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kyDrive\Work\In_Development\"/>
    </mc:Choice>
  </mc:AlternateContent>
  <xr:revisionPtr revIDLastSave="2862" documentId="8_{0D46B487-815C-4731-AC4D-D87B0B40F427}" xr6:coauthVersionLast="45" xr6:coauthVersionMax="46" xr10:uidLastSave="{F18D605D-4945-4512-837C-0FAEA5C3AD2C}"/>
  <bookViews>
    <workbookView xWindow="-60" yWindow="-60" windowWidth="28920" windowHeight="15660" xr2:uid="{B13BBE2E-A114-4C5F-995E-169540EE683C}"/>
  </bookViews>
  <sheets>
    <sheet name="Shear_Wall_Foundation" sheetId="1" r:id="rId1"/>
    <sheet name="Long_VandM" sheetId="4" r:id="rId2"/>
    <sheet name="Short_VandM" sheetId="5" r:id="rId3"/>
    <sheet name="charting" sheetId="2" r:id="rId4"/>
  </sheets>
  <functionGroups builtInGroupCount="19"/>
  <definedNames>
    <definedName name="bar_180hook_cost">Shear_Wall_Foundation!$N$47</definedName>
    <definedName name="bar_90hook_cost">Shear_Wall_Foundation!$M$47</definedName>
    <definedName name="bar_count_cost">Shear_Wall_Foundation!$I$47</definedName>
    <definedName name="bar_length_cost">Shear_Wall_Foundation!$K$47</definedName>
    <definedName name="bar_spacing_cost">Shear_Wall_Foundation!$J$47</definedName>
    <definedName name="bar_weight_cost">Shear_Wall_Foundation!$L$47</definedName>
    <definedName name="barsize_heading">Shear_Wall_Foundation!$A$488</definedName>
    <definedName name="beta1">Shear_Wall_Foundation!$B$502</definedName>
    <definedName name="Bf_ft">Shear_Wall_Foundation!$B$17</definedName>
    <definedName name="bottom_cover">Shear_Wall_Foundation!$B$481</definedName>
    <definedName name="C_chord_EQ_kips">Shear_Wall_Foundation!$Q$129</definedName>
    <definedName name="C_chord_Wind_kips">Shear_Wall_Foundation!$M$129</definedName>
    <definedName name="D_toanchor_in">Shear_Wall_Foundation!$B$38</definedName>
    <definedName name="ec">Shear_Wall_Foundation!$B$505</definedName>
    <definedName name="EQ_Overturning_Reduction">Shear_Wall_Foundation!$B$58</definedName>
    <definedName name="EQ_rho">Shear_Wall_Foundation!$B$57</definedName>
    <definedName name="fc_fnd_psi">Shear_Wall_Foundation!$B$10</definedName>
    <definedName name="fnd_density_pcf">Shear_Wall_Foundation!$B$11</definedName>
    <definedName name="ftg_kern_ft">Shear_Wall_Foundation!$G$18</definedName>
    <definedName name="Fy_psi">Shear_Wall_Foundation!$B$501</definedName>
    <definedName name="Hoverburden_ft">Shear_Wall_Foundation!$B$7</definedName>
    <definedName name="Hs_ft">Shear_Wall_Foundation!$B$22</definedName>
    <definedName name="L_chord_to_anchor_ft">Shear_Wall_Foundation!$B$44</definedName>
    <definedName name="L1_EQ_kips">Shear_Wall_Foundation!$C$48</definedName>
    <definedName name="L1_W_kips">Shear_Wall_Foundation!$B$48</definedName>
    <definedName name="L2_EQ_kips">Shear_Wall_Foundation!$C$49</definedName>
    <definedName name="L2_W_kips">Shear_Wall_Foundation!$B$49</definedName>
    <definedName name="L3_EQ_kips">Shear_Wall_Foundation!$C$50</definedName>
    <definedName name="L3_W_kips">Shear_Wall_Foundation!$B$50</definedName>
    <definedName name="L4_EQ_kips">Shear_Wall_Foundation!$C$51</definedName>
    <definedName name="L4_W_kips">Shear_Wall_Foundation!$B$51</definedName>
    <definedName name="L5_EQ_kips">Shear_Wall_Foundation!$C$52</definedName>
    <definedName name="L5_W_kips">Shear_Wall_Foundation!$B$52</definedName>
    <definedName name="Lf_ft">Shear_Wall_Foundation!$B$18</definedName>
    <definedName name="Lift_1_H_ft">Shear_Wall_Foundation!$B$28</definedName>
    <definedName name="Lift_2_H_ft">Shear_Wall_Foundation!$B$29</definedName>
    <definedName name="Lift_3_H_ft">Shear_Wall_Foundation!$B$30</definedName>
    <definedName name="Lift_4_h_ft">Shear_Wall_Foundation!$B$31</definedName>
    <definedName name="Lift_5_H_ft">Shear_Wall_Foundation!$B$32</definedName>
    <definedName name="LRFD_f1">Shear_Wall_Foundation!$B$55</definedName>
    <definedName name="LRFD_f2">Shear_Wall_Foundation!$B$56</definedName>
    <definedName name="Ls_ft">Shear_Wall_Foundation!$B$23</definedName>
    <definedName name="Lw_ft">Shear_Wall_Foundation!$B$34</definedName>
    <definedName name="Mum_left_ftkips">Shear_Wall_Foundation!$B$567</definedName>
    <definedName name="Mum_right_ftkips">Shear_Wall_Foundation!$F$567</definedName>
    <definedName name="Mup_left_ftkips">Shear_Wall_Foundation!$B$566</definedName>
    <definedName name="Mup_right_ftkips">Shear_Wall_Foundation!$F$566</definedName>
    <definedName name="phi_M_pc">Shear_Wall_Foundation!$B$473</definedName>
    <definedName name="phi_M_rf">Shear_Wall_Foundation!$B$477</definedName>
    <definedName name="phi_V_pc">Shear_Wall_Foundation!$B$474</definedName>
    <definedName name="phi_V_rf">Shear_Wall_Foundation!$B$478</definedName>
    <definedName name="plan_xt_ft">charting!$B$102</definedName>
    <definedName name="plan_yt_ft">charting!$B$103</definedName>
    <definedName name="q_allow_psf">Shear_Wall_Foundation!$B$4</definedName>
    <definedName name="q_overburden_psf">Shear_Wall_Foundation!$B$8</definedName>
    <definedName name="reinf_bars">Shear_Wall_Foundation!$A$489:$A$499</definedName>
    <definedName name="s_left_offset_ft">Shear_Wall_Foundation!$B$25</definedName>
    <definedName name="soil_density_pcf">Shear_Wall_Foundation!$B$6</definedName>
    <definedName name="soil_friction">Shear_Wall_Foundation!$B$5</definedName>
    <definedName name="stem_density_pcf">Shear_Wall_Foundation!$B$14</definedName>
    <definedName name="stem_fcfm_psi">Shear_Wall_Foundation!$B$13</definedName>
    <definedName name="T_anchor_EQ_kips">Shear_Wall_Foundation!$P$129</definedName>
    <definedName name="T_anchor_Wind_kips">Shear_Wall_Foundation!$L$129</definedName>
    <definedName name="tf_in">Shear_Wall_Foundation!$B$19</definedName>
    <definedName name="top_cover">Shear_Wall_Foundation!$B$482</definedName>
    <definedName name="ts_in">Shear_Wall_Foundation!$B$24</definedName>
    <definedName name="V_EQ_base_kips">Shear_Wall_Foundation!$N$129</definedName>
    <definedName name="V_W_base_kips">Shear_Wall_Foundation!$J$129</definedName>
    <definedName name="Vbase_EQ_kips">Shear_Wall_Foundation!$C$53</definedName>
    <definedName name="Vbase_W_kips">Shear_Wall_Foundation!$B$53</definedName>
    <definedName name="w_left_offset_ft">Shear_Wall_Foundation!$B$35</definedName>
    <definedName name="Wchord_in">Shear_Wall_Foundation!$B$37</definedName>
    <definedName name="X_left_anchor_ft">Shear_Wall_Foundation!$B$41</definedName>
    <definedName name="X_left_chord_ft">Shear_Wall_Foundation!$B$40</definedName>
    <definedName name="x_m_left">Shear_Wall_Foundation!$B$557</definedName>
    <definedName name="x_m_right">Shear_Wall_Foundation!$B$558</definedName>
    <definedName name="x_right_anchor_ft">Shear_Wall_Foundation!$B$43</definedName>
    <definedName name="x_right_chord_ft">Shear_Wall_Foundation!$B$42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087" i="1" l="1"/>
  <c r="F1087" i="1"/>
  <c r="E1087" i="1"/>
  <c r="D1087" i="1"/>
  <c r="C1087" i="1"/>
  <c r="B1087" i="1"/>
  <c r="G910" i="1"/>
  <c r="F910" i="1"/>
  <c r="E910" i="1"/>
  <c r="D910" i="1"/>
  <c r="C910" i="1"/>
  <c r="B910" i="1"/>
  <c r="G735" i="1"/>
  <c r="F735" i="1"/>
  <c r="E735" i="1"/>
  <c r="D735" i="1"/>
  <c r="C735" i="1"/>
  <c r="B735" i="1"/>
  <c r="B945" i="1"/>
  <c r="B946" i="1"/>
  <c r="B947" i="1"/>
  <c r="B948" i="1"/>
  <c r="B949" i="1"/>
  <c r="D963" i="1" s="1"/>
  <c r="B950" i="1"/>
  <c r="B951" i="1"/>
  <c r="B952" i="1"/>
  <c r="B953" i="1"/>
  <c r="B954" i="1"/>
  <c r="B944" i="1"/>
  <c r="E1040" i="1"/>
  <c r="E1054" i="1" s="1"/>
  <c r="D1040" i="1"/>
  <c r="D1054" i="1" s="1"/>
  <c r="E1039" i="1"/>
  <c r="E1053" i="1" s="1"/>
  <c r="D1039" i="1"/>
  <c r="D1053" i="1" s="1"/>
  <c r="E1038" i="1"/>
  <c r="E1052" i="1" s="1"/>
  <c r="D1038" i="1"/>
  <c r="D1052" i="1" s="1"/>
  <c r="E1037" i="1"/>
  <c r="E1051" i="1" s="1"/>
  <c r="D1037" i="1"/>
  <c r="D1051" i="1" s="1"/>
  <c r="E1036" i="1"/>
  <c r="E1050" i="1" s="1"/>
  <c r="D1036" i="1"/>
  <c r="D1050" i="1" s="1"/>
  <c r="E1035" i="1"/>
  <c r="E1049" i="1" s="1"/>
  <c r="D1035" i="1"/>
  <c r="D1049" i="1" s="1"/>
  <c r="E1034" i="1"/>
  <c r="E1048" i="1" s="1"/>
  <c r="D1034" i="1"/>
  <c r="D1048" i="1" s="1"/>
  <c r="E1033" i="1"/>
  <c r="E1047" i="1" s="1"/>
  <c r="D1033" i="1"/>
  <c r="D1047" i="1" s="1"/>
  <c r="E1032" i="1"/>
  <c r="E1046" i="1" s="1"/>
  <c r="D1032" i="1"/>
  <c r="D1046" i="1" s="1"/>
  <c r="E1031" i="1"/>
  <c r="E1045" i="1" s="1"/>
  <c r="D1031" i="1"/>
  <c r="D1045" i="1" s="1"/>
  <c r="E1030" i="1"/>
  <c r="E1044" i="1" s="1"/>
  <c r="D1030" i="1"/>
  <c r="D1044" i="1" s="1"/>
  <c r="H1014" i="1"/>
  <c r="H1013" i="1"/>
  <c r="H1012" i="1"/>
  <c r="H1011" i="1"/>
  <c r="H1010" i="1"/>
  <c r="H1009" i="1"/>
  <c r="H1008" i="1"/>
  <c r="H1007" i="1"/>
  <c r="H1006" i="1"/>
  <c r="H1005" i="1"/>
  <c r="H1004" i="1"/>
  <c r="C958" i="1"/>
  <c r="D966" i="1" l="1"/>
  <c r="E968" i="1"/>
  <c r="D959" i="1"/>
  <c r="D967" i="1"/>
  <c r="E962" i="1"/>
  <c r="D958" i="1"/>
  <c r="D961" i="1"/>
  <c r="E964" i="1"/>
  <c r="E965" i="1"/>
  <c r="E960" i="1"/>
  <c r="D964" i="1"/>
  <c r="D968" i="1"/>
  <c r="E961" i="1"/>
  <c r="D962" i="1"/>
  <c r="E959" i="1"/>
  <c r="E963" i="1"/>
  <c r="D960" i="1"/>
  <c r="E967" i="1"/>
  <c r="E958" i="1"/>
  <c r="E966" i="1"/>
  <c r="D965" i="1"/>
  <c r="E854" i="1"/>
  <c r="E855" i="1"/>
  <c r="E856" i="1"/>
  <c r="E857" i="1"/>
  <c r="E858" i="1"/>
  <c r="E859" i="1"/>
  <c r="E860" i="1"/>
  <c r="E861" i="1"/>
  <c r="E862" i="1"/>
  <c r="E863" i="1"/>
  <c r="E853" i="1"/>
  <c r="E867" i="1" s="1"/>
  <c r="D854" i="1"/>
  <c r="D855" i="1"/>
  <c r="D856" i="1"/>
  <c r="D857" i="1"/>
  <c r="D858" i="1"/>
  <c r="D859" i="1"/>
  <c r="D860" i="1"/>
  <c r="D861" i="1"/>
  <c r="D862" i="1"/>
  <c r="D863" i="1"/>
  <c r="D853" i="1"/>
  <c r="D867" i="1" s="1"/>
  <c r="E702" i="1"/>
  <c r="E693" i="1"/>
  <c r="E694" i="1"/>
  <c r="E695" i="1"/>
  <c r="E696" i="1"/>
  <c r="E697" i="1"/>
  <c r="E698" i="1"/>
  <c r="E699" i="1"/>
  <c r="E700" i="1"/>
  <c r="E701" i="1"/>
  <c r="D693" i="1"/>
  <c r="D694" i="1"/>
  <c r="D695" i="1"/>
  <c r="D696" i="1"/>
  <c r="D697" i="1"/>
  <c r="D698" i="1"/>
  <c r="D699" i="1"/>
  <c r="D700" i="1"/>
  <c r="D701" i="1"/>
  <c r="D702" i="1"/>
  <c r="E692" i="1"/>
  <c r="D692" i="1"/>
  <c r="B768" i="1"/>
  <c r="B769" i="1"/>
  <c r="B770" i="1"/>
  <c r="B771" i="1"/>
  <c r="B772" i="1"/>
  <c r="B773" i="1"/>
  <c r="B774" i="1"/>
  <c r="B775" i="1"/>
  <c r="B776" i="1"/>
  <c r="B777" i="1"/>
  <c r="B767" i="1"/>
  <c r="D781" i="1" s="1"/>
  <c r="B593" i="1"/>
  <c r="E607" i="1" s="1"/>
  <c r="B594" i="1"/>
  <c r="E608" i="1" s="1"/>
  <c r="B595" i="1"/>
  <c r="D609" i="1" s="1"/>
  <c r="B596" i="1"/>
  <c r="E610" i="1" s="1"/>
  <c r="B597" i="1"/>
  <c r="D611" i="1" s="1"/>
  <c r="B598" i="1"/>
  <c r="D612" i="1" s="1"/>
  <c r="B599" i="1"/>
  <c r="D613" i="1" s="1"/>
  <c r="B600" i="1"/>
  <c r="D614" i="1" s="1"/>
  <c r="B601" i="1"/>
  <c r="E615" i="1" s="1"/>
  <c r="B602" i="1"/>
  <c r="E616" i="1" s="1"/>
  <c r="B592" i="1"/>
  <c r="D606" i="1" s="1"/>
  <c r="H837" i="1"/>
  <c r="H836" i="1"/>
  <c r="H835" i="1"/>
  <c r="H834" i="1"/>
  <c r="H833" i="1"/>
  <c r="H832" i="1"/>
  <c r="H831" i="1"/>
  <c r="H830" i="1"/>
  <c r="H829" i="1"/>
  <c r="H828" i="1"/>
  <c r="H827" i="1"/>
  <c r="C781" i="1"/>
  <c r="L56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48" i="5"/>
  <c r="A63" i="5"/>
  <c r="G63" i="5" s="1"/>
  <c r="A64" i="5"/>
  <c r="G64" i="5" s="1"/>
  <c r="A65" i="5"/>
  <c r="G65" i="5" s="1"/>
  <c r="A66" i="5"/>
  <c r="G66" i="5" s="1"/>
  <c r="A67" i="5"/>
  <c r="G67" i="5" s="1"/>
  <c r="A68" i="5"/>
  <c r="G68" i="5" s="1"/>
  <c r="A69" i="5"/>
  <c r="G69" i="5" s="1"/>
  <c r="A70" i="5"/>
  <c r="G70" i="5" s="1"/>
  <c r="A71" i="5"/>
  <c r="G71" i="5" s="1"/>
  <c r="A72" i="5"/>
  <c r="G72" i="5" s="1"/>
  <c r="A49" i="5"/>
  <c r="G49" i="5" s="1"/>
  <c r="A50" i="5"/>
  <c r="G50" i="5" s="1"/>
  <c r="A51" i="5"/>
  <c r="G51" i="5" s="1"/>
  <c r="A52" i="5"/>
  <c r="G52" i="5" s="1"/>
  <c r="A53" i="5"/>
  <c r="G53" i="5" s="1"/>
  <c r="A54" i="5"/>
  <c r="G54" i="5" s="1"/>
  <c r="A55" i="5"/>
  <c r="G55" i="5" s="1"/>
  <c r="A56" i="5"/>
  <c r="G56" i="5" s="1"/>
  <c r="A57" i="5"/>
  <c r="G57" i="5" s="1"/>
  <c r="A58" i="5"/>
  <c r="G58" i="5" s="1"/>
  <c r="A59" i="5"/>
  <c r="G59" i="5" s="1"/>
  <c r="A60" i="5"/>
  <c r="G60" i="5" s="1"/>
  <c r="A61" i="5"/>
  <c r="G61" i="5" s="1"/>
  <c r="A62" i="5"/>
  <c r="G62" i="5" s="1"/>
  <c r="A48" i="5"/>
  <c r="G48" i="5" s="1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8" i="5"/>
  <c r="A45" i="5"/>
  <c r="A46" i="5"/>
  <c r="A47" i="5"/>
  <c r="A42" i="5"/>
  <c r="A43" i="5"/>
  <c r="A44" i="5"/>
  <c r="A36" i="5"/>
  <c r="A37" i="5"/>
  <c r="A38" i="5"/>
  <c r="A39" i="5"/>
  <c r="A40" i="5"/>
  <c r="A41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8" i="5"/>
  <c r="B7" i="5"/>
  <c r="E6" i="5"/>
  <c r="B6" i="5"/>
  <c r="D5" i="5"/>
  <c r="L49" i="5" s="1"/>
  <c r="B5" i="5"/>
  <c r="E4" i="5"/>
  <c r="L80" i="5" s="1"/>
  <c r="B4" i="5"/>
  <c r="E679" i="1"/>
  <c r="E680" i="1"/>
  <c r="E681" i="1"/>
  <c r="E682" i="1"/>
  <c r="E683" i="1"/>
  <c r="E684" i="1"/>
  <c r="E685" i="1"/>
  <c r="E686" i="1"/>
  <c r="E687" i="1"/>
  <c r="E688" i="1"/>
  <c r="E678" i="1"/>
  <c r="D679" i="1"/>
  <c r="D680" i="1"/>
  <c r="D681" i="1"/>
  <c r="D682" i="1"/>
  <c r="D683" i="1"/>
  <c r="D684" i="1"/>
  <c r="D685" i="1"/>
  <c r="D686" i="1"/>
  <c r="D687" i="1"/>
  <c r="D688" i="1"/>
  <c r="D678" i="1"/>
  <c r="H653" i="1"/>
  <c r="H654" i="1"/>
  <c r="H655" i="1"/>
  <c r="H656" i="1"/>
  <c r="H657" i="1"/>
  <c r="H658" i="1"/>
  <c r="H659" i="1"/>
  <c r="H660" i="1"/>
  <c r="H661" i="1"/>
  <c r="H662" i="1"/>
  <c r="H652" i="1"/>
  <c r="C606" i="1"/>
  <c r="B578" i="1"/>
  <c r="B579" i="1" s="1"/>
  <c r="B572" i="1"/>
  <c r="B573" i="1" s="1"/>
  <c r="J54" i="4"/>
  <c r="B558" i="1"/>
  <c r="B557" i="1"/>
  <c r="B580" i="1" s="1"/>
  <c r="J133" i="4" s="1"/>
  <c r="C610" i="1" l="1"/>
  <c r="C963" i="1"/>
  <c r="C962" i="1"/>
  <c r="C961" i="1"/>
  <c r="C968" i="1"/>
  <c r="C960" i="1"/>
  <c r="C967" i="1"/>
  <c r="C959" i="1"/>
  <c r="C964" i="1"/>
  <c r="C966" i="1"/>
  <c r="C965" i="1"/>
  <c r="J44" i="4"/>
  <c r="J43" i="4" s="1"/>
  <c r="J45" i="4" s="1"/>
  <c r="J46" i="4" s="1"/>
  <c r="J47" i="4" s="1"/>
  <c r="J48" i="4" s="1"/>
  <c r="J49" i="4" s="1"/>
  <c r="J50" i="4" s="1"/>
  <c r="J51" i="4" s="1"/>
  <c r="J52" i="4" s="1"/>
  <c r="J53" i="4" s="1"/>
  <c r="B1001" i="1"/>
  <c r="B1000" i="1"/>
  <c r="B648" i="1"/>
  <c r="B649" i="1"/>
  <c r="B823" i="1"/>
  <c r="B824" i="1"/>
  <c r="C787" i="1"/>
  <c r="C788" i="1"/>
  <c r="C789" i="1"/>
  <c r="C782" i="1"/>
  <c r="C790" i="1"/>
  <c r="C783" i="1"/>
  <c r="C791" i="1"/>
  <c r="C784" i="1"/>
  <c r="C785" i="1"/>
  <c r="C786" i="1"/>
  <c r="E781" i="1"/>
  <c r="L50" i="5"/>
  <c r="L52" i="5" s="1"/>
  <c r="E5" i="5"/>
  <c r="E7" i="5" s="1"/>
  <c r="L33" i="5"/>
  <c r="L35" i="5" s="1"/>
  <c r="L36" i="5" s="1"/>
  <c r="L37" i="5" s="1"/>
  <c r="L38" i="5" s="1"/>
  <c r="L39" i="5" s="1"/>
  <c r="L40" i="5" s="1"/>
  <c r="L41" i="5" s="1"/>
  <c r="L42" i="5" s="1"/>
  <c r="L43" i="5" s="1"/>
  <c r="L44" i="5" s="1"/>
  <c r="L45" i="5" s="1"/>
  <c r="L46" i="5" s="1"/>
  <c r="L47" i="5" s="1"/>
  <c r="L48" i="5" s="1"/>
  <c r="D7" i="5"/>
  <c r="C607" i="1"/>
  <c r="E614" i="1"/>
  <c r="C616" i="1"/>
  <c r="E613" i="1"/>
  <c r="C615" i="1"/>
  <c r="E612" i="1"/>
  <c r="C614" i="1"/>
  <c r="E611" i="1"/>
  <c r="C613" i="1"/>
  <c r="C609" i="1"/>
  <c r="C608" i="1"/>
  <c r="D608" i="1"/>
  <c r="C612" i="1"/>
  <c r="E606" i="1"/>
  <c r="E609" i="1"/>
  <c r="D616" i="1"/>
  <c r="D607" i="1"/>
  <c r="C611" i="1"/>
  <c r="D610" i="1"/>
  <c r="D615" i="1"/>
  <c r="J42" i="4"/>
  <c r="J30" i="4" s="1"/>
  <c r="B574" i="1"/>
  <c r="B575" i="1" s="1"/>
  <c r="B576" i="1" s="1"/>
  <c r="F580" i="1"/>
  <c r="J134" i="4" s="1"/>
  <c r="J131" i="4"/>
  <c r="CM44" i="4"/>
  <c r="CM45" i="4" s="1"/>
  <c r="J4" i="4"/>
  <c r="J4" i="5" s="1"/>
  <c r="K4" i="4"/>
  <c r="K4" i="5" s="1"/>
  <c r="L4" i="4"/>
  <c r="L4" i="5" s="1"/>
  <c r="M4" i="4"/>
  <c r="M4" i="5" s="1"/>
  <c r="N4" i="4"/>
  <c r="N4" i="5" s="1"/>
  <c r="O4" i="4"/>
  <c r="O4" i="5" s="1"/>
  <c r="P4" i="4"/>
  <c r="P4" i="5" s="1"/>
  <c r="Q4" i="4"/>
  <c r="Q4" i="5" s="1"/>
  <c r="R4" i="4"/>
  <c r="R4" i="5" s="1"/>
  <c r="S4" i="4"/>
  <c r="S4" i="5" s="1"/>
  <c r="T4" i="4"/>
  <c r="T4" i="5" s="1"/>
  <c r="U4" i="4"/>
  <c r="U4" i="5" s="1"/>
  <c r="J5" i="4"/>
  <c r="J5" i="5" s="1"/>
  <c r="K5" i="4"/>
  <c r="K5" i="5" s="1"/>
  <c r="L5" i="4"/>
  <c r="L5" i="5" s="1"/>
  <c r="M5" i="4"/>
  <c r="M5" i="5" s="1"/>
  <c r="N5" i="4"/>
  <c r="N5" i="5" s="1"/>
  <c r="O5" i="4"/>
  <c r="O5" i="5" s="1"/>
  <c r="P5" i="4"/>
  <c r="P5" i="5" s="1"/>
  <c r="Q5" i="4"/>
  <c r="Q5" i="5" s="1"/>
  <c r="R5" i="4"/>
  <c r="R5" i="5" s="1"/>
  <c r="S5" i="4"/>
  <c r="S5" i="5" s="1"/>
  <c r="T5" i="4"/>
  <c r="T5" i="5" s="1"/>
  <c r="U5" i="4"/>
  <c r="U5" i="5" s="1"/>
  <c r="J6" i="4"/>
  <c r="J6" i="5" s="1"/>
  <c r="K6" i="4"/>
  <c r="K6" i="5" s="1"/>
  <c r="L6" i="4"/>
  <c r="L6" i="5" s="1"/>
  <c r="M6" i="4"/>
  <c r="M6" i="5" s="1"/>
  <c r="N6" i="4"/>
  <c r="N6" i="5" s="1"/>
  <c r="O6" i="4"/>
  <c r="O6" i="5" s="1"/>
  <c r="P6" i="4"/>
  <c r="P6" i="5" s="1"/>
  <c r="Q6" i="4"/>
  <c r="Q6" i="5" s="1"/>
  <c r="R6" i="4"/>
  <c r="R6" i="5" s="1"/>
  <c r="S6" i="4"/>
  <c r="S6" i="5" s="1"/>
  <c r="T6" i="4"/>
  <c r="T6" i="5" s="1"/>
  <c r="U6" i="4"/>
  <c r="U6" i="5" s="1"/>
  <c r="J7" i="4"/>
  <c r="J7" i="5" s="1"/>
  <c r="K7" i="4"/>
  <c r="K7" i="5" s="1"/>
  <c r="L7" i="4"/>
  <c r="L7" i="5" s="1"/>
  <c r="M7" i="4"/>
  <c r="M7" i="5" s="1"/>
  <c r="N7" i="4"/>
  <c r="N7" i="5" s="1"/>
  <c r="O7" i="4"/>
  <c r="O7" i="5" s="1"/>
  <c r="P7" i="4"/>
  <c r="P7" i="5" s="1"/>
  <c r="Q7" i="4"/>
  <c r="Q7" i="5" s="1"/>
  <c r="R7" i="4"/>
  <c r="R7" i="5" s="1"/>
  <c r="S7" i="4"/>
  <c r="S7" i="5" s="1"/>
  <c r="T7" i="4"/>
  <c r="T7" i="5" s="1"/>
  <c r="U7" i="4"/>
  <c r="U7" i="5" s="1"/>
  <c r="J8" i="4"/>
  <c r="J8" i="5" s="1"/>
  <c r="K8" i="4"/>
  <c r="K8" i="5" s="1"/>
  <c r="L8" i="4"/>
  <c r="L8" i="5" s="1"/>
  <c r="N8" i="4"/>
  <c r="N8" i="5" s="1"/>
  <c r="O8" i="4"/>
  <c r="O8" i="5" s="1"/>
  <c r="P8" i="4"/>
  <c r="P8" i="5" s="1"/>
  <c r="Q8" i="4"/>
  <c r="Q8" i="5" s="1"/>
  <c r="R8" i="4"/>
  <c r="R8" i="5" s="1"/>
  <c r="S8" i="4"/>
  <c r="S8" i="5" s="1"/>
  <c r="T8" i="4"/>
  <c r="T8" i="5" s="1"/>
  <c r="U8" i="4"/>
  <c r="U8" i="5" s="1"/>
  <c r="J9" i="4"/>
  <c r="J9" i="5" s="1"/>
  <c r="K9" i="4"/>
  <c r="K9" i="5" s="1"/>
  <c r="L9" i="4"/>
  <c r="L9" i="5" s="1"/>
  <c r="N9" i="4"/>
  <c r="N9" i="5" s="1"/>
  <c r="O9" i="4"/>
  <c r="O9" i="5" s="1"/>
  <c r="P9" i="4"/>
  <c r="P9" i="5" s="1"/>
  <c r="Q9" i="4"/>
  <c r="Q9" i="5" s="1"/>
  <c r="R9" i="4"/>
  <c r="R9" i="5" s="1"/>
  <c r="S9" i="4"/>
  <c r="S9" i="5" s="1"/>
  <c r="T9" i="4"/>
  <c r="T9" i="5" s="1"/>
  <c r="U9" i="4"/>
  <c r="U9" i="5" s="1"/>
  <c r="J10" i="4"/>
  <c r="J10" i="5" s="1"/>
  <c r="K10" i="4"/>
  <c r="K10" i="5" s="1"/>
  <c r="L10" i="4"/>
  <c r="L10" i="5" s="1"/>
  <c r="N10" i="4"/>
  <c r="N10" i="5" s="1"/>
  <c r="O10" i="4"/>
  <c r="O10" i="5" s="1"/>
  <c r="P10" i="4"/>
  <c r="P10" i="5" s="1"/>
  <c r="Q10" i="4"/>
  <c r="Q10" i="5" s="1"/>
  <c r="R10" i="4"/>
  <c r="R10" i="5" s="1"/>
  <c r="S10" i="4"/>
  <c r="S10" i="5" s="1"/>
  <c r="T10" i="4"/>
  <c r="T10" i="5" s="1"/>
  <c r="U10" i="4"/>
  <c r="U10" i="5" s="1"/>
  <c r="L63" i="5" l="1"/>
  <c r="L53" i="5"/>
  <c r="L54" i="5" s="1"/>
  <c r="L55" i="5" s="1"/>
  <c r="L51" i="5"/>
  <c r="CM32" i="4"/>
  <c r="CM33" i="4" s="1"/>
  <c r="J56" i="4"/>
  <c r="J55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33" i="4"/>
  <c r="J34" i="4" s="1"/>
  <c r="J35" i="4" s="1"/>
  <c r="J36" i="4" s="1"/>
  <c r="J37" i="4" s="1"/>
  <c r="J38" i="4" s="1"/>
  <c r="J39" i="4" s="1"/>
  <c r="J40" i="4" s="1"/>
  <c r="J41" i="4" s="1"/>
  <c r="B502" i="1"/>
  <c r="B504" i="1" s="1"/>
  <c r="B484" i="1"/>
  <c r="G20" i="4"/>
  <c r="B486" i="1" l="1"/>
  <c r="B485" i="1"/>
  <c r="L57" i="5"/>
  <c r="L59" i="5" s="1"/>
  <c r="L64" i="5"/>
  <c r="L66" i="5" s="1"/>
  <c r="C630" i="1"/>
  <c r="B503" i="1"/>
  <c r="R11" i="4"/>
  <c r="R11" i="5" s="1"/>
  <c r="S11" i="4"/>
  <c r="S11" i="5" s="1"/>
  <c r="T11" i="4"/>
  <c r="T11" i="5" s="1"/>
  <c r="U11" i="4"/>
  <c r="U11" i="5" s="1"/>
  <c r="R12" i="4"/>
  <c r="R12" i="5" s="1"/>
  <c r="S12" i="4"/>
  <c r="S12" i="5" s="1"/>
  <c r="T12" i="4"/>
  <c r="T12" i="5" s="1"/>
  <c r="U12" i="4"/>
  <c r="U12" i="5" s="1"/>
  <c r="R13" i="4"/>
  <c r="R13" i="5" s="1"/>
  <c r="S13" i="4"/>
  <c r="S13" i="5" s="1"/>
  <c r="T13" i="4"/>
  <c r="T13" i="5" s="1"/>
  <c r="U13" i="4"/>
  <c r="U13" i="5" s="1"/>
  <c r="R14" i="4"/>
  <c r="R14" i="5" s="1"/>
  <c r="S14" i="4"/>
  <c r="S14" i="5" s="1"/>
  <c r="T14" i="4"/>
  <c r="T14" i="5" s="1"/>
  <c r="U14" i="4"/>
  <c r="U14" i="5" s="1"/>
  <c r="R15" i="4"/>
  <c r="R15" i="5" s="1"/>
  <c r="S15" i="4"/>
  <c r="S15" i="5" s="1"/>
  <c r="T15" i="4"/>
  <c r="T15" i="5" s="1"/>
  <c r="U15" i="4"/>
  <c r="U15" i="5" s="1"/>
  <c r="R16" i="4"/>
  <c r="R16" i="5" s="1"/>
  <c r="S16" i="4"/>
  <c r="S16" i="5" s="1"/>
  <c r="T16" i="4"/>
  <c r="T16" i="5" s="1"/>
  <c r="U16" i="4"/>
  <c r="U16" i="5" s="1"/>
  <c r="R17" i="4"/>
  <c r="R17" i="5" s="1"/>
  <c r="S17" i="4"/>
  <c r="S17" i="5" s="1"/>
  <c r="T17" i="4"/>
  <c r="T17" i="5" s="1"/>
  <c r="U17" i="4"/>
  <c r="U17" i="5" s="1"/>
  <c r="R18" i="4"/>
  <c r="R18" i="5" s="1"/>
  <c r="S18" i="4"/>
  <c r="S18" i="5" s="1"/>
  <c r="T18" i="4"/>
  <c r="T18" i="5" s="1"/>
  <c r="U18" i="4"/>
  <c r="U18" i="5" s="1"/>
  <c r="R19" i="4"/>
  <c r="R19" i="5" s="1"/>
  <c r="S19" i="4"/>
  <c r="S19" i="5" s="1"/>
  <c r="T19" i="4"/>
  <c r="T19" i="5" s="1"/>
  <c r="U19" i="4"/>
  <c r="U19" i="5" s="1"/>
  <c r="R20" i="4"/>
  <c r="R20" i="5" s="1"/>
  <c r="S20" i="4"/>
  <c r="S20" i="5" s="1"/>
  <c r="T20" i="4"/>
  <c r="T20" i="5" s="1"/>
  <c r="U20" i="4"/>
  <c r="U20" i="5" s="1"/>
  <c r="R21" i="4"/>
  <c r="R21" i="5" s="1"/>
  <c r="S21" i="4"/>
  <c r="S21" i="5" s="1"/>
  <c r="T21" i="4"/>
  <c r="T21" i="5" s="1"/>
  <c r="U21" i="4"/>
  <c r="U21" i="5" s="1"/>
  <c r="R22" i="4"/>
  <c r="R22" i="5" s="1"/>
  <c r="S22" i="4"/>
  <c r="S22" i="5" s="1"/>
  <c r="T22" i="4"/>
  <c r="T22" i="5" s="1"/>
  <c r="U22" i="4"/>
  <c r="U22" i="5" s="1"/>
  <c r="R23" i="4"/>
  <c r="R23" i="5" s="1"/>
  <c r="S23" i="4"/>
  <c r="S23" i="5" s="1"/>
  <c r="T23" i="4"/>
  <c r="T23" i="5" s="1"/>
  <c r="U23" i="4"/>
  <c r="U23" i="5" s="1"/>
  <c r="R24" i="4"/>
  <c r="R24" i="5" s="1"/>
  <c r="S24" i="4"/>
  <c r="S24" i="5" s="1"/>
  <c r="T24" i="4"/>
  <c r="T24" i="5" s="1"/>
  <c r="U24" i="4"/>
  <c r="U24" i="5" s="1"/>
  <c r="R25" i="4"/>
  <c r="R25" i="5" s="1"/>
  <c r="S25" i="4"/>
  <c r="S25" i="5" s="1"/>
  <c r="T25" i="4"/>
  <c r="T25" i="5" s="1"/>
  <c r="U25" i="4"/>
  <c r="U25" i="5" s="1"/>
  <c r="R26" i="4"/>
  <c r="R26" i="5" s="1"/>
  <c r="S26" i="4"/>
  <c r="S26" i="5" s="1"/>
  <c r="T26" i="4"/>
  <c r="T26" i="5" s="1"/>
  <c r="U26" i="4"/>
  <c r="U26" i="5" s="1"/>
  <c r="R27" i="4"/>
  <c r="R27" i="5" s="1"/>
  <c r="S27" i="4"/>
  <c r="S27" i="5" s="1"/>
  <c r="T27" i="4"/>
  <c r="T27" i="5" s="1"/>
  <c r="U27" i="4"/>
  <c r="U27" i="5" s="1"/>
  <c r="R28" i="4"/>
  <c r="R28" i="5" s="1"/>
  <c r="S28" i="4"/>
  <c r="S28" i="5" s="1"/>
  <c r="T28" i="4"/>
  <c r="T28" i="5" s="1"/>
  <c r="U28" i="4"/>
  <c r="U28" i="5" s="1"/>
  <c r="S3" i="4"/>
  <c r="S3" i="5" s="1"/>
  <c r="T3" i="4"/>
  <c r="T3" i="5" s="1"/>
  <c r="U3" i="4"/>
  <c r="U3" i="5" s="1"/>
  <c r="R3" i="4"/>
  <c r="R3" i="5" s="1"/>
  <c r="J11" i="4"/>
  <c r="J11" i="5" s="1"/>
  <c r="K11" i="4"/>
  <c r="K11" i="5" s="1"/>
  <c r="L11" i="4"/>
  <c r="L11" i="5" s="1"/>
  <c r="M11" i="4"/>
  <c r="M11" i="5" s="1"/>
  <c r="N11" i="4"/>
  <c r="N11" i="5" s="1"/>
  <c r="O11" i="4"/>
  <c r="O11" i="5" s="1"/>
  <c r="P11" i="4"/>
  <c r="P11" i="5" s="1"/>
  <c r="Q11" i="4"/>
  <c r="Q11" i="5" s="1"/>
  <c r="J12" i="4"/>
  <c r="J12" i="5" s="1"/>
  <c r="K12" i="4"/>
  <c r="K12" i="5" s="1"/>
  <c r="L12" i="4"/>
  <c r="L12" i="5" s="1"/>
  <c r="M12" i="4"/>
  <c r="M12" i="5" s="1"/>
  <c r="N12" i="4"/>
  <c r="N12" i="5" s="1"/>
  <c r="O12" i="4"/>
  <c r="O12" i="5" s="1"/>
  <c r="P12" i="4"/>
  <c r="P12" i="5" s="1"/>
  <c r="Q12" i="4"/>
  <c r="Q12" i="5" s="1"/>
  <c r="J13" i="4"/>
  <c r="J13" i="5" s="1"/>
  <c r="K13" i="4"/>
  <c r="K13" i="5" s="1"/>
  <c r="L13" i="4"/>
  <c r="L13" i="5" s="1"/>
  <c r="M13" i="4"/>
  <c r="M13" i="5" s="1"/>
  <c r="N13" i="4"/>
  <c r="N13" i="5" s="1"/>
  <c r="O13" i="4"/>
  <c r="O13" i="5" s="1"/>
  <c r="P13" i="4"/>
  <c r="P13" i="5" s="1"/>
  <c r="Q13" i="4"/>
  <c r="Q13" i="5" s="1"/>
  <c r="J14" i="4"/>
  <c r="J14" i="5" s="1"/>
  <c r="K14" i="4"/>
  <c r="K14" i="5" s="1"/>
  <c r="L14" i="4"/>
  <c r="L14" i="5" s="1"/>
  <c r="M14" i="4"/>
  <c r="M14" i="5" s="1"/>
  <c r="N14" i="4"/>
  <c r="N14" i="5" s="1"/>
  <c r="O14" i="4"/>
  <c r="O14" i="5" s="1"/>
  <c r="P14" i="4"/>
  <c r="P14" i="5" s="1"/>
  <c r="Q14" i="4"/>
  <c r="Q14" i="5" s="1"/>
  <c r="J15" i="4"/>
  <c r="J15" i="5" s="1"/>
  <c r="K15" i="4"/>
  <c r="K15" i="5" s="1"/>
  <c r="L15" i="4"/>
  <c r="L15" i="5" s="1"/>
  <c r="M15" i="4"/>
  <c r="M15" i="5" s="1"/>
  <c r="N15" i="4"/>
  <c r="N15" i="5" s="1"/>
  <c r="O15" i="4"/>
  <c r="O15" i="5" s="1"/>
  <c r="P15" i="4"/>
  <c r="P15" i="5" s="1"/>
  <c r="Q15" i="4"/>
  <c r="Q15" i="5" s="1"/>
  <c r="J16" i="4"/>
  <c r="J16" i="5" s="1"/>
  <c r="K16" i="4"/>
  <c r="K16" i="5" s="1"/>
  <c r="L16" i="4"/>
  <c r="L16" i="5" s="1"/>
  <c r="M16" i="4"/>
  <c r="M16" i="5" s="1"/>
  <c r="N16" i="4"/>
  <c r="N16" i="5" s="1"/>
  <c r="O16" i="4"/>
  <c r="O16" i="5" s="1"/>
  <c r="P16" i="4"/>
  <c r="P16" i="5" s="1"/>
  <c r="Q16" i="4"/>
  <c r="Q16" i="5" s="1"/>
  <c r="J17" i="4"/>
  <c r="J17" i="5" s="1"/>
  <c r="K17" i="4"/>
  <c r="K17" i="5" s="1"/>
  <c r="L17" i="4"/>
  <c r="L17" i="5" s="1"/>
  <c r="N17" i="4"/>
  <c r="N17" i="5" s="1"/>
  <c r="O17" i="4"/>
  <c r="O17" i="5" s="1"/>
  <c r="P17" i="4"/>
  <c r="P17" i="5" s="1"/>
  <c r="Q17" i="4"/>
  <c r="Q17" i="5" s="1"/>
  <c r="J18" i="4"/>
  <c r="J18" i="5" s="1"/>
  <c r="K18" i="4"/>
  <c r="K18" i="5" s="1"/>
  <c r="L18" i="4"/>
  <c r="L18" i="5" s="1"/>
  <c r="N18" i="4"/>
  <c r="N18" i="5" s="1"/>
  <c r="O18" i="4"/>
  <c r="O18" i="5" s="1"/>
  <c r="P18" i="4"/>
  <c r="P18" i="5" s="1"/>
  <c r="Q18" i="4"/>
  <c r="Q18" i="5" s="1"/>
  <c r="J19" i="4"/>
  <c r="J19" i="5" s="1"/>
  <c r="K19" i="4"/>
  <c r="K19" i="5" s="1"/>
  <c r="L19" i="4"/>
  <c r="L19" i="5" s="1"/>
  <c r="N19" i="4"/>
  <c r="N19" i="5" s="1"/>
  <c r="O19" i="4"/>
  <c r="O19" i="5" s="1"/>
  <c r="P19" i="4"/>
  <c r="P19" i="5" s="1"/>
  <c r="Q19" i="4"/>
  <c r="Q19" i="5" s="1"/>
  <c r="J20" i="4"/>
  <c r="J20" i="5" s="1"/>
  <c r="K20" i="4"/>
  <c r="K20" i="5" s="1"/>
  <c r="L20" i="4"/>
  <c r="L20" i="5" s="1"/>
  <c r="N20" i="4"/>
  <c r="N20" i="5" s="1"/>
  <c r="O20" i="4"/>
  <c r="O20" i="5" s="1"/>
  <c r="P20" i="4"/>
  <c r="P20" i="5" s="1"/>
  <c r="Q20" i="4"/>
  <c r="Q20" i="5" s="1"/>
  <c r="J21" i="4"/>
  <c r="J21" i="5" s="1"/>
  <c r="K21" i="4"/>
  <c r="K21" i="5" s="1"/>
  <c r="L21" i="4"/>
  <c r="L21" i="5" s="1"/>
  <c r="N21" i="4"/>
  <c r="N21" i="5" s="1"/>
  <c r="O21" i="4"/>
  <c r="O21" i="5" s="1"/>
  <c r="P21" i="4"/>
  <c r="P21" i="5" s="1"/>
  <c r="Q21" i="4"/>
  <c r="Q21" i="5" s="1"/>
  <c r="J22" i="4"/>
  <c r="J22" i="5" s="1"/>
  <c r="K22" i="4"/>
  <c r="K22" i="5" s="1"/>
  <c r="L22" i="4"/>
  <c r="L22" i="5" s="1"/>
  <c r="N22" i="4"/>
  <c r="N22" i="5" s="1"/>
  <c r="O22" i="4"/>
  <c r="O22" i="5" s="1"/>
  <c r="P22" i="4"/>
  <c r="P22" i="5" s="1"/>
  <c r="Q22" i="4"/>
  <c r="Q22" i="5" s="1"/>
  <c r="J23" i="4"/>
  <c r="J23" i="5" s="1"/>
  <c r="K23" i="4"/>
  <c r="K23" i="5" s="1"/>
  <c r="L23" i="4"/>
  <c r="L23" i="5" s="1"/>
  <c r="N23" i="4"/>
  <c r="N23" i="5" s="1"/>
  <c r="O23" i="4"/>
  <c r="O23" i="5" s="1"/>
  <c r="Q23" i="4"/>
  <c r="Q23" i="5" s="1"/>
  <c r="J24" i="4"/>
  <c r="J24" i="5" s="1"/>
  <c r="K24" i="4"/>
  <c r="K24" i="5" s="1"/>
  <c r="L24" i="4"/>
  <c r="L24" i="5" s="1"/>
  <c r="N24" i="4"/>
  <c r="N24" i="5" s="1"/>
  <c r="O24" i="4"/>
  <c r="O24" i="5" s="1"/>
  <c r="Q24" i="4"/>
  <c r="Q24" i="5" s="1"/>
  <c r="J25" i="4"/>
  <c r="J25" i="5" s="1"/>
  <c r="K25" i="4"/>
  <c r="K25" i="5" s="1"/>
  <c r="L25" i="4"/>
  <c r="L25" i="5" s="1"/>
  <c r="M25" i="4"/>
  <c r="M25" i="5" s="1"/>
  <c r="N25" i="4"/>
  <c r="N25" i="5" s="1"/>
  <c r="O25" i="4"/>
  <c r="O25" i="5" s="1"/>
  <c r="P25" i="4"/>
  <c r="P25" i="5" s="1"/>
  <c r="Q25" i="4"/>
  <c r="Q25" i="5" s="1"/>
  <c r="J26" i="4"/>
  <c r="J26" i="5" s="1"/>
  <c r="K26" i="4"/>
  <c r="K26" i="5" s="1"/>
  <c r="L26" i="4"/>
  <c r="L26" i="5" s="1"/>
  <c r="M26" i="4"/>
  <c r="M26" i="5" s="1"/>
  <c r="N26" i="4"/>
  <c r="N26" i="5" s="1"/>
  <c r="O26" i="4"/>
  <c r="O26" i="5" s="1"/>
  <c r="P26" i="4"/>
  <c r="P26" i="5" s="1"/>
  <c r="Q26" i="4"/>
  <c r="Q26" i="5" s="1"/>
  <c r="J27" i="4"/>
  <c r="J27" i="5" s="1"/>
  <c r="K27" i="4"/>
  <c r="K27" i="5" s="1"/>
  <c r="L27" i="4"/>
  <c r="L27" i="5" s="1"/>
  <c r="M27" i="4"/>
  <c r="M27" i="5" s="1"/>
  <c r="N27" i="4"/>
  <c r="N27" i="5" s="1"/>
  <c r="O27" i="4"/>
  <c r="O27" i="5" s="1"/>
  <c r="P27" i="4"/>
  <c r="P27" i="5" s="1"/>
  <c r="Q27" i="4"/>
  <c r="Q27" i="5" s="1"/>
  <c r="J28" i="4"/>
  <c r="J28" i="5" s="1"/>
  <c r="K28" i="4"/>
  <c r="K28" i="5" s="1"/>
  <c r="L28" i="4"/>
  <c r="L28" i="5" s="1"/>
  <c r="M28" i="4"/>
  <c r="M28" i="5" s="1"/>
  <c r="N28" i="4"/>
  <c r="N28" i="5" s="1"/>
  <c r="O28" i="4"/>
  <c r="O28" i="5" s="1"/>
  <c r="P28" i="4"/>
  <c r="P28" i="5" s="1"/>
  <c r="Q28" i="4"/>
  <c r="Q28" i="5" s="1"/>
  <c r="K3" i="4"/>
  <c r="K3" i="5" s="1"/>
  <c r="L3" i="4"/>
  <c r="L3" i="5" s="1"/>
  <c r="M3" i="4"/>
  <c r="M3" i="5" s="1"/>
  <c r="N3" i="4"/>
  <c r="N3" i="5" s="1"/>
  <c r="O3" i="4"/>
  <c r="O3" i="5" s="1"/>
  <c r="P3" i="4"/>
  <c r="P3" i="5" s="1"/>
  <c r="Q3" i="4"/>
  <c r="Q3" i="5" s="1"/>
  <c r="J3" i="4"/>
  <c r="J3" i="5" s="1"/>
  <c r="A82" i="4"/>
  <c r="G82" i="4" s="1"/>
  <c r="A83" i="4"/>
  <c r="G83" i="4" s="1"/>
  <c r="A84" i="4"/>
  <c r="G84" i="4" s="1"/>
  <c r="A61" i="4"/>
  <c r="G61" i="4" s="1"/>
  <c r="A62" i="4"/>
  <c r="G62" i="4" s="1"/>
  <c r="A63" i="4"/>
  <c r="G63" i="4" s="1"/>
  <c r="A64" i="4"/>
  <c r="G64" i="4" s="1"/>
  <c r="A65" i="4"/>
  <c r="G65" i="4" s="1"/>
  <c r="A66" i="4"/>
  <c r="G66" i="4" s="1"/>
  <c r="A67" i="4"/>
  <c r="G67" i="4" s="1"/>
  <c r="A68" i="4"/>
  <c r="G68" i="4" s="1"/>
  <c r="A69" i="4"/>
  <c r="G69" i="4" s="1"/>
  <c r="A70" i="4"/>
  <c r="G70" i="4" s="1"/>
  <c r="A71" i="4"/>
  <c r="G71" i="4" s="1"/>
  <c r="A72" i="4"/>
  <c r="G72" i="4" s="1"/>
  <c r="A73" i="4"/>
  <c r="G73" i="4" s="1"/>
  <c r="A74" i="4"/>
  <c r="G74" i="4" s="1"/>
  <c r="A75" i="4"/>
  <c r="G75" i="4" s="1"/>
  <c r="A76" i="4"/>
  <c r="G76" i="4" s="1"/>
  <c r="A77" i="4"/>
  <c r="G77" i="4" s="1"/>
  <c r="A78" i="4"/>
  <c r="G78" i="4" s="1"/>
  <c r="A79" i="4"/>
  <c r="G79" i="4" s="1"/>
  <c r="A80" i="4"/>
  <c r="G80" i="4" s="1"/>
  <c r="A81" i="4"/>
  <c r="G81" i="4" s="1"/>
  <c r="A60" i="4"/>
  <c r="G60" i="4" s="1"/>
  <c r="B20" i="4"/>
  <c r="C20" i="4"/>
  <c r="D20" i="4"/>
  <c r="E20" i="4"/>
  <c r="F20" i="4"/>
  <c r="B21" i="4"/>
  <c r="C21" i="4"/>
  <c r="D21" i="4"/>
  <c r="E21" i="4"/>
  <c r="F21" i="4"/>
  <c r="G21" i="4"/>
  <c r="B22" i="4"/>
  <c r="C22" i="4"/>
  <c r="D22" i="4"/>
  <c r="E22" i="4"/>
  <c r="F22" i="4"/>
  <c r="G22" i="4"/>
  <c r="B23" i="4"/>
  <c r="C23" i="4"/>
  <c r="D23" i="4"/>
  <c r="E23" i="4"/>
  <c r="F23" i="4"/>
  <c r="G23" i="4"/>
  <c r="B24" i="4"/>
  <c r="C24" i="4"/>
  <c r="D24" i="4"/>
  <c r="E24" i="4"/>
  <c r="F24" i="4"/>
  <c r="G24" i="4"/>
  <c r="B25" i="4"/>
  <c r="C25" i="4"/>
  <c r="D25" i="4"/>
  <c r="E25" i="4"/>
  <c r="F25" i="4"/>
  <c r="G25" i="4"/>
  <c r="B26" i="4"/>
  <c r="C26" i="4"/>
  <c r="D26" i="4"/>
  <c r="E26" i="4"/>
  <c r="F26" i="4"/>
  <c r="G26" i="4"/>
  <c r="B27" i="4"/>
  <c r="C27" i="4"/>
  <c r="D27" i="4"/>
  <c r="E27" i="4"/>
  <c r="F27" i="4"/>
  <c r="G27" i="4"/>
  <c r="B28" i="4"/>
  <c r="C28" i="4"/>
  <c r="D28" i="4"/>
  <c r="E28" i="4"/>
  <c r="F28" i="4"/>
  <c r="G28" i="4"/>
  <c r="B29" i="4"/>
  <c r="C29" i="4"/>
  <c r="D29" i="4"/>
  <c r="E29" i="4"/>
  <c r="F29" i="4"/>
  <c r="G29" i="4"/>
  <c r="B30" i="4"/>
  <c r="C30" i="4"/>
  <c r="D30" i="4"/>
  <c r="E30" i="4"/>
  <c r="F30" i="4"/>
  <c r="G30" i="4"/>
  <c r="B31" i="4"/>
  <c r="C31" i="4"/>
  <c r="D31" i="4"/>
  <c r="E31" i="4"/>
  <c r="F31" i="4"/>
  <c r="G31" i="4"/>
  <c r="B32" i="4"/>
  <c r="C32" i="4"/>
  <c r="D32" i="4"/>
  <c r="E32" i="4"/>
  <c r="F32" i="4"/>
  <c r="G32" i="4"/>
  <c r="B33" i="4"/>
  <c r="C33" i="4"/>
  <c r="D33" i="4"/>
  <c r="E33" i="4"/>
  <c r="F33" i="4"/>
  <c r="G33" i="4"/>
  <c r="B34" i="4"/>
  <c r="C34" i="4"/>
  <c r="D34" i="4"/>
  <c r="E34" i="4"/>
  <c r="F34" i="4"/>
  <c r="G34" i="4"/>
  <c r="B35" i="4"/>
  <c r="C35" i="4"/>
  <c r="D35" i="4"/>
  <c r="E35" i="4"/>
  <c r="F35" i="4"/>
  <c r="G35" i="4"/>
  <c r="B36" i="4"/>
  <c r="C36" i="4"/>
  <c r="D36" i="4"/>
  <c r="E36" i="4"/>
  <c r="F36" i="4"/>
  <c r="G36" i="4"/>
  <c r="B37" i="4"/>
  <c r="C37" i="4"/>
  <c r="D37" i="4"/>
  <c r="E37" i="4"/>
  <c r="F37" i="4"/>
  <c r="G37" i="4"/>
  <c r="B38" i="4"/>
  <c r="C38" i="4"/>
  <c r="D38" i="4"/>
  <c r="E38" i="4"/>
  <c r="F38" i="4"/>
  <c r="G38" i="4"/>
  <c r="B39" i="4"/>
  <c r="C39" i="4"/>
  <c r="D39" i="4"/>
  <c r="E39" i="4"/>
  <c r="F39" i="4"/>
  <c r="G39" i="4"/>
  <c r="B40" i="4"/>
  <c r="C40" i="4"/>
  <c r="D40" i="4"/>
  <c r="E40" i="4"/>
  <c r="F40" i="4"/>
  <c r="G40" i="4"/>
  <c r="B41" i="4"/>
  <c r="C41" i="4"/>
  <c r="D41" i="4"/>
  <c r="E41" i="4"/>
  <c r="F41" i="4"/>
  <c r="G41" i="4"/>
  <c r="B42" i="4"/>
  <c r="C42" i="4"/>
  <c r="D42" i="4"/>
  <c r="E42" i="4"/>
  <c r="F42" i="4"/>
  <c r="G42" i="4"/>
  <c r="B43" i="4"/>
  <c r="C43" i="4"/>
  <c r="D43" i="4"/>
  <c r="E43" i="4"/>
  <c r="F43" i="4"/>
  <c r="G43" i="4"/>
  <c r="B44" i="4"/>
  <c r="C44" i="4"/>
  <c r="D44" i="4"/>
  <c r="E44" i="4"/>
  <c r="F44" i="4"/>
  <c r="G44" i="4"/>
  <c r="B45" i="4"/>
  <c r="C45" i="4"/>
  <c r="D45" i="4"/>
  <c r="E45" i="4"/>
  <c r="F45" i="4"/>
  <c r="G45" i="4"/>
  <c r="B46" i="4"/>
  <c r="C46" i="4"/>
  <c r="D46" i="4"/>
  <c r="E46" i="4"/>
  <c r="F46" i="4"/>
  <c r="G46" i="4"/>
  <c r="B47" i="4"/>
  <c r="C47" i="4"/>
  <c r="D47" i="4"/>
  <c r="E47" i="4"/>
  <c r="F47" i="4"/>
  <c r="G47" i="4"/>
  <c r="B48" i="4"/>
  <c r="C48" i="4"/>
  <c r="D48" i="4"/>
  <c r="E48" i="4"/>
  <c r="F48" i="4"/>
  <c r="G48" i="4"/>
  <c r="B49" i="4"/>
  <c r="C49" i="4"/>
  <c r="D49" i="4"/>
  <c r="E49" i="4"/>
  <c r="F49" i="4"/>
  <c r="G49" i="4"/>
  <c r="B50" i="4"/>
  <c r="C50" i="4"/>
  <c r="D50" i="4"/>
  <c r="E50" i="4"/>
  <c r="F50" i="4"/>
  <c r="G50" i="4"/>
  <c r="B51" i="4"/>
  <c r="C51" i="4"/>
  <c r="D51" i="4"/>
  <c r="E51" i="4"/>
  <c r="F51" i="4"/>
  <c r="G51" i="4"/>
  <c r="B52" i="4"/>
  <c r="C52" i="4"/>
  <c r="D52" i="4"/>
  <c r="E52" i="4"/>
  <c r="F52" i="4"/>
  <c r="G52" i="4"/>
  <c r="B53" i="4"/>
  <c r="C53" i="4"/>
  <c r="D53" i="4"/>
  <c r="E53" i="4"/>
  <c r="F53" i="4"/>
  <c r="G53" i="4"/>
  <c r="B54" i="4"/>
  <c r="C54" i="4"/>
  <c r="D54" i="4"/>
  <c r="E54" i="4"/>
  <c r="F54" i="4"/>
  <c r="G54" i="4"/>
  <c r="B55" i="4"/>
  <c r="C55" i="4"/>
  <c r="D55" i="4"/>
  <c r="E55" i="4"/>
  <c r="F55" i="4"/>
  <c r="G55" i="4"/>
  <c r="B56" i="4"/>
  <c r="C56" i="4"/>
  <c r="D56" i="4"/>
  <c r="E56" i="4"/>
  <c r="F56" i="4"/>
  <c r="G56" i="4"/>
  <c r="B57" i="4"/>
  <c r="C57" i="4"/>
  <c r="D57" i="4"/>
  <c r="E57" i="4"/>
  <c r="F57" i="4"/>
  <c r="G57" i="4"/>
  <c r="B58" i="4"/>
  <c r="C58" i="4"/>
  <c r="D58" i="4"/>
  <c r="E58" i="4"/>
  <c r="F58" i="4"/>
  <c r="G58" i="4"/>
  <c r="B59" i="4"/>
  <c r="C59" i="4"/>
  <c r="D59" i="4"/>
  <c r="E59" i="4"/>
  <c r="F59" i="4"/>
  <c r="G59" i="4"/>
  <c r="A59" i="4"/>
  <c r="A52" i="4"/>
  <c r="A53" i="4"/>
  <c r="A54" i="4"/>
  <c r="A55" i="4"/>
  <c r="A56" i="4"/>
  <c r="A57" i="4"/>
  <c r="A58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20" i="4"/>
  <c r="D10" i="4"/>
  <c r="E10" i="4" s="1"/>
  <c r="E13" i="4" s="1"/>
  <c r="E16" i="4" s="1"/>
  <c r="E19" i="4" s="1"/>
  <c r="C10" i="4"/>
  <c r="C13" i="4" s="1"/>
  <c r="C16" i="4" s="1"/>
  <c r="C19" i="4" s="1"/>
  <c r="A9" i="4"/>
  <c r="A10" i="4"/>
  <c r="A11" i="4"/>
  <c r="A12" i="4"/>
  <c r="A13" i="4"/>
  <c r="A14" i="4"/>
  <c r="A15" i="4"/>
  <c r="A16" i="4"/>
  <c r="A17" i="4"/>
  <c r="A18" i="4"/>
  <c r="A19" i="4"/>
  <c r="A8" i="4"/>
  <c r="E7" i="4"/>
  <c r="D7" i="4"/>
  <c r="B7" i="4"/>
  <c r="C7" i="4" s="1"/>
  <c r="E6" i="4"/>
  <c r="B6" i="4"/>
  <c r="C6" i="4" s="1"/>
  <c r="E5" i="4"/>
  <c r="D5" i="4"/>
  <c r="B5" i="4"/>
  <c r="C5" i="4" s="1"/>
  <c r="E4" i="4"/>
  <c r="B4" i="4"/>
  <c r="C4" i="4" s="1"/>
  <c r="C623" i="1" l="1"/>
  <c r="C982" i="1"/>
  <c r="C974" i="1"/>
  <c r="C981" i="1"/>
  <c r="C973" i="1"/>
  <c r="C980" i="1"/>
  <c r="C972" i="1"/>
  <c r="C975" i="1"/>
  <c r="C979" i="1"/>
  <c r="C978" i="1"/>
  <c r="C977" i="1"/>
  <c r="C976" i="1"/>
  <c r="C626" i="1"/>
  <c r="C625" i="1"/>
  <c r="C627" i="1"/>
  <c r="C629" i="1"/>
  <c r="C622" i="1"/>
  <c r="C621" i="1"/>
  <c r="C624" i="1"/>
  <c r="C628" i="1"/>
  <c r="C620" i="1"/>
  <c r="C805" i="1"/>
  <c r="C801" i="1"/>
  <c r="C796" i="1"/>
  <c r="C800" i="1"/>
  <c r="C804" i="1"/>
  <c r="C798" i="1"/>
  <c r="C802" i="1"/>
  <c r="C797" i="1"/>
  <c r="C799" i="1"/>
  <c r="C795" i="1"/>
  <c r="C803" i="1"/>
  <c r="L67" i="5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65" i="5"/>
  <c r="L60" i="5"/>
  <c r="L61" i="5" s="1"/>
  <c r="L62" i="5" s="1"/>
  <c r="L58" i="5"/>
  <c r="D13" i="4"/>
  <c r="D16" i="4" s="1"/>
  <c r="D19" i="4" s="1"/>
  <c r="O130" i="1"/>
  <c r="B41" i="1"/>
  <c r="B42" i="1"/>
  <c r="B40" i="1"/>
  <c r="P108" i="2"/>
  <c r="P107" i="2"/>
  <c r="M108" i="2"/>
  <c r="M107" i="2"/>
  <c r="H111" i="2"/>
  <c r="H110" i="2"/>
  <c r="H109" i="2"/>
  <c r="H108" i="2"/>
  <c r="H107" i="2"/>
  <c r="E107" i="2"/>
  <c r="E111" i="2" s="1"/>
  <c r="B103" i="2"/>
  <c r="B107" i="2" s="1"/>
  <c r="B102" i="2"/>
  <c r="G107" i="2" s="1"/>
  <c r="G111" i="2" s="1"/>
  <c r="K130" i="1"/>
  <c r="N83" i="2"/>
  <c r="I83" i="2"/>
  <c r="D83" i="2"/>
  <c r="N76" i="2"/>
  <c r="I76" i="2"/>
  <c r="D76" i="2"/>
  <c r="N69" i="2"/>
  <c r="I69" i="2"/>
  <c r="D69" i="2"/>
  <c r="N62" i="2"/>
  <c r="I62" i="2"/>
  <c r="D62" i="2"/>
  <c r="N55" i="2"/>
  <c r="I55" i="2"/>
  <c r="D55" i="2"/>
  <c r="N48" i="2"/>
  <c r="I48" i="2"/>
  <c r="D48" i="2"/>
  <c r="N41" i="2"/>
  <c r="I41" i="2"/>
  <c r="I34" i="2"/>
  <c r="D41" i="2"/>
  <c r="N34" i="2"/>
  <c r="D34" i="2"/>
  <c r="E108" i="2" l="1"/>
  <c r="E109" i="2" s="1"/>
  <c r="E110" i="2" s="1"/>
  <c r="A107" i="2"/>
  <c r="D107" i="2"/>
  <c r="D110" i="2" s="1"/>
  <c r="B111" i="2"/>
  <c r="B108" i="2"/>
  <c r="B109" i="2" s="1"/>
  <c r="B110" i="2" s="1"/>
  <c r="G108" i="2"/>
  <c r="G109" i="2" s="1"/>
  <c r="G110" i="2"/>
  <c r="G375" i="1"/>
  <c r="P24" i="4" s="1"/>
  <c r="P24" i="5" s="1"/>
  <c r="G374" i="1"/>
  <c r="P23" i="4" s="1"/>
  <c r="P23" i="5" s="1"/>
  <c r="D375" i="1"/>
  <c r="M24" i="4" s="1"/>
  <c r="M24" i="5" s="1"/>
  <c r="D374" i="1"/>
  <c r="M23" i="4" s="1"/>
  <c r="M23" i="5" s="1"/>
  <c r="D373" i="1"/>
  <c r="M22" i="4" s="1"/>
  <c r="M22" i="5" s="1"/>
  <c r="D372" i="1"/>
  <c r="M21" i="4" s="1"/>
  <c r="M21" i="5" s="1"/>
  <c r="D371" i="1"/>
  <c r="M20" i="4" s="1"/>
  <c r="M20" i="5" s="1"/>
  <c r="D370" i="1"/>
  <c r="M19" i="4" s="1"/>
  <c r="M19" i="5" s="1"/>
  <c r="D369" i="1"/>
  <c r="M18" i="4" s="1"/>
  <c r="M18" i="5" s="1"/>
  <c r="D368" i="1"/>
  <c r="M17" i="4" s="1"/>
  <c r="M17" i="5" s="1"/>
  <c r="D361" i="1"/>
  <c r="M10" i="4" s="1"/>
  <c r="M10" i="5" s="1"/>
  <c r="D360" i="1"/>
  <c r="M9" i="4" s="1"/>
  <c r="M9" i="5" s="1"/>
  <c r="D359" i="1"/>
  <c r="M8" i="4" s="1"/>
  <c r="M8" i="5" s="1"/>
  <c r="C325" i="1"/>
  <c r="B325" i="1"/>
  <c r="G18" i="1"/>
  <c r="E255" i="1"/>
  <c r="D254" i="1"/>
  <c r="C253" i="1"/>
  <c r="C252" i="1"/>
  <c r="C251" i="1"/>
  <c r="B250" i="1"/>
  <c r="B249" i="1"/>
  <c r="B248" i="1"/>
  <c r="G62" i="1"/>
  <c r="F62" i="1"/>
  <c r="G63" i="1"/>
  <c r="F63" i="1"/>
  <c r="G64" i="1"/>
  <c r="C56" i="1"/>
  <c r="C55" i="1"/>
  <c r="D108" i="2" l="1"/>
  <c r="D109" i="2" s="1"/>
  <c r="D111" i="2"/>
  <c r="A110" i="2"/>
  <c r="A111" i="2" s="1"/>
  <c r="A108" i="2"/>
  <c r="A109" i="2" s="1"/>
  <c r="B137" i="1"/>
  <c r="C137" i="1"/>
  <c r="B138" i="1"/>
  <c r="C138" i="1"/>
  <c r="B139" i="1"/>
  <c r="C139" i="1"/>
  <c r="B140" i="1"/>
  <c r="C140" i="1"/>
  <c r="B141" i="1"/>
  <c r="C141" i="1"/>
  <c r="D141" i="1" s="1"/>
  <c r="B142" i="1"/>
  <c r="C142" i="1"/>
  <c r="B143" i="1"/>
  <c r="C143" i="1"/>
  <c r="B144" i="1"/>
  <c r="C144" i="1"/>
  <c r="D144" i="1" s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D151" i="1" s="1"/>
  <c r="B152" i="1"/>
  <c r="C152" i="1"/>
  <c r="D152" i="1" s="1"/>
  <c r="B153" i="1"/>
  <c r="C153" i="1"/>
  <c r="D153" i="1" s="1"/>
  <c r="B154" i="1"/>
  <c r="C154" i="1"/>
  <c r="B155" i="1"/>
  <c r="C155" i="1"/>
  <c r="B156" i="1"/>
  <c r="C156" i="1"/>
  <c r="B157" i="1"/>
  <c r="C157" i="1"/>
  <c r="B158" i="1"/>
  <c r="C158" i="1"/>
  <c r="B159" i="1"/>
  <c r="C159" i="1"/>
  <c r="D159" i="1" s="1"/>
  <c r="B160" i="1"/>
  <c r="C160" i="1"/>
  <c r="D160" i="1" s="1"/>
  <c r="B161" i="1"/>
  <c r="C161" i="1"/>
  <c r="D161" i="1" s="1"/>
  <c r="B162" i="1"/>
  <c r="C162" i="1"/>
  <c r="B163" i="1"/>
  <c r="C163" i="1"/>
  <c r="B164" i="1"/>
  <c r="C164" i="1"/>
  <c r="B165" i="1"/>
  <c r="C165" i="1"/>
  <c r="D165" i="1" s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36" i="1"/>
  <c r="C136" i="1"/>
  <c r="E136" i="1"/>
  <c r="B136" i="1"/>
  <c r="B135" i="1"/>
  <c r="C135" i="1"/>
  <c r="C134" i="1"/>
  <c r="B134" i="1"/>
  <c r="J153" i="1"/>
  <c r="J152" i="1"/>
  <c r="J151" i="1"/>
  <c r="J150" i="1"/>
  <c r="J149" i="1"/>
  <c r="N129" i="1"/>
  <c r="J129" i="1"/>
  <c r="N128" i="1"/>
  <c r="K139" i="1" s="1"/>
  <c r="M139" i="1" s="1"/>
  <c r="J128" i="1"/>
  <c r="J139" i="1" s="1"/>
  <c r="L139" i="1" s="1"/>
  <c r="N127" i="1"/>
  <c r="K138" i="1" s="1"/>
  <c r="M138" i="1" s="1"/>
  <c r="J127" i="1"/>
  <c r="K127" i="1" s="1"/>
  <c r="N126" i="1"/>
  <c r="K137" i="1" s="1"/>
  <c r="M137" i="1" s="1"/>
  <c r="J126" i="1"/>
  <c r="K126" i="1" s="1"/>
  <c r="N125" i="1"/>
  <c r="K136" i="1" s="1"/>
  <c r="M136" i="1" s="1"/>
  <c r="J125" i="1"/>
  <c r="J136" i="1" s="1"/>
  <c r="L136" i="1" s="1"/>
  <c r="B43" i="1"/>
  <c r="C121" i="1"/>
  <c r="B121" i="1"/>
  <c r="C120" i="1"/>
  <c r="B120" i="1"/>
  <c r="B16" i="4" l="1"/>
  <c r="B19" i="4" s="1"/>
  <c r="D170" i="1"/>
  <c r="D173" i="1"/>
  <c r="D149" i="1"/>
  <c r="D175" i="1"/>
  <c r="D174" i="1"/>
  <c r="D124" i="1"/>
  <c r="D127" i="1" s="1"/>
  <c r="B10" i="4"/>
  <c r="B13" i="4" s="1"/>
  <c r="D139" i="1"/>
  <c r="B179" i="1"/>
  <c r="D172" i="1"/>
  <c r="D157" i="1"/>
  <c r="D145" i="1"/>
  <c r="D148" i="1"/>
  <c r="D155" i="1"/>
  <c r="D140" i="1"/>
  <c r="D166" i="1"/>
  <c r="D162" i="1"/>
  <c r="D158" i="1"/>
  <c r="D154" i="1"/>
  <c r="D150" i="1"/>
  <c r="D147" i="1"/>
  <c r="D164" i="1"/>
  <c r="D146" i="1"/>
  <c r="D142" i="1"/>
  <c r="B8" i="1"/>
  <c r="N9" i="1" s="1"/>
  <c r="B36" i="2" s="1"/>
  <c r="B37" i="2" s="1"/>
  <c r="C125" i="1"/>
  <c r="D11" i="4" s="1"/>
  <c r="U107" i="2"/>
  <c r="C128" i="1"/>
  <c r="D14" i="4" s="1"/>
  <c r="R107" i="2"/>
  <c r="C126" i="1"/>
  <c r="D12" i="4" s="1"/>
  <c r="L107" i="2"/>
  <c r="L108" i="2" s="1"/>
  <c r="C129" i="1"/>
  <c r="D15" i="4" s="1"/>
  <c r="O107" i="2"/>
  <c r="O108" i="2" s="1"/>
  <c r="D136" i="1"/>
  <c r="D135" i="1"/>
  <c r="J140" i="1"/>
  <c r="L140" i="1" s="1"/>
  <c r="D186" i="1"/>
  <c r="C123" i="1"/>
  <c r="D9" i="4" s="1"/>
  <c r="B183" i="1"/>
  <c r="C185" i="1"/>
  <c r="C183" i="1"/>
  <c r="B180" i="1"/>
  <c r="B184" i="1"/>
  <c r="C180" i="1"/>
  <c r="B181" i="1"/>
  <c r="B185" i="1"/>
  <c r="K140" i="1"/>
  <c r="M140" i="1" s="1"/>
  <c r="D188" i="1"/>
  <c r="D189" i="1" s="1"/>
  <c r="D121" i="1"/>
  <c r="B182" i="1"/>
  <c r="D134" i="1"/>
  <c r="C182" i="1" s="1"/>
  <c r="D171" i="1"/>
  <c r="D167" i="1"/>
  <c r="D163" i="1"/>
  <c r="D156" i="1"/>
  <c r="D169" i="1"/>
  <c r="D168" i="1"/>
  <c r="D143" i="1"/>
  <c r="D138" i="1"/>
  <c r="C184" i="1" s="1"/>
  <c r="D137" i="1"/>
  <c r="C181" i="1" s="1"/>
  <c r="C131" i="1"/>
  <c r="D17" i="4" s="1"/>
  <c r="C132" i="1"/>
  <c r="D18" i="4" s="1"/>
  <c r="C122" i="1"/>
  <c r="D8" i="4" s="1"/>
  <c r="D130" i="1"/>
  <c r="D133" i="1" s="1"/>
  <c r="J138" i="1"/>
  <c r="L138" i="1" s="1"/>
  <c r="K125" i="1"/>
  <c r="K128" i="1"/>
  <c r="K129" i="1"/>
  <c r="J137" i="1"/>
  <c r="L137" i="1" s="1"/>
  <c r="O125" i="1"/>
  <c r="O126" i="1"/>
  <c r="O128" i="1"/>
  <c r="O129" i="1"/>
  <c r="O127" i="1"/>
  <c r="B44" i="1"/>
  <c r="D120" i="1"/>
  <c r="D14" i="1"/>
  <c r="D13" i="1"/>
  <c r="A14" i="1"/>
  <c r="A13" i="1"/>
  <c r="L130" i="1" l="1"/>
  <c r="P130" i="1"/>
  <c r="P125" i="1"/>
  <c r="Q125" i="1" s="1"/>
  <c r="D187" i="1"/>
  <c r="D265" i="1" a="1"/>
  <c r="D415" i="1" a="1"/>
  <c r="C179" i="1"/>
  <c r="L125" i="1"/>
  <c r="M125" i="1" s="1"/>
  <c r="B16" i="2"/>
  <c r="G5" i="2"/>
  <c r="J5" i="2" s="1"/>
  <c r="H4" i="2"/>
  <c r="H8" i="2" s="1"/>
  <c r="G4" i="2"/>
  <c r="G8" i="2" s="1"/>
  <c r="D5" i="2"/>
  <c r="D6" i="2" s="1"/>
  <c r="E4" i="2"/>
  <c r="E8" i="2" s="1"/>
  <c r="D4" i="2"/>
  <c r="D8" i="2" s="1"/>
  <c r="B6" i="2"/>
  <c r="B7" i="2" s="1"/>
  <c r="A6" i="2"/>
  <c r="A5" i="2"/>
  <c r="A37" i="2" s="1"/>
  <c r="P126" i="1" l="1"/>
  <c r="L126" i="1"/>
  <c r="M126" i="1" s="1"/>
  <c r="D415" i="1"/>
  <c r="D421" i="1"/>
  <c r="D418" i="1"/>
  <c r="D432" i="1"/>
  <c r="D416" i="1"/>
  <c r="D438" i="1"/>
  <c r="D425" i="1"/>
  <c r="D429" i="1"/>
  <c r="D422" i="1"/>
  <c r="D436" i="1"/>
  <c r="D420" i="1"/>
  <c r="D430" i="1"/>
  <c r="D424" i="1"/>
  <c r="D428" i="1"/>
  <c r="D433" i="1"/>
  <c r="D419" i="1"/>
  <c r="D437" i="1"/>
  <c r="D417" i="1"/>
  <c r="D431" i="1"/>
  <c r="D435" i="1"/>
  <c r="D439" i="1"/>
  <c r="D426" i="1"/>
  <c r="D427" i="1"/>
  <c r="D434" i="1"/>
  <c r="D423" i="1"/>
  <c r="D265" i="1"/>
  <c r="C326" i="1" s="1"/>
  <c r="E326" i="1" s="1"/>
  <c r="D282" i="1"/>
  <c r="C343" i="1" s="1"/>
  <c r="D270" i="1"/>
  <c r="C331" i="1" s="1"/>
  <c r="E331" i="1" s="1"/>
  <c r="D287" i="1"/>
  <c r="C348" i="1" s="1"/>
  <c r="D274" i="1"/>
  <c r="C335" i="1" s="1"/>
  <c r="D271" i="1"/>
  <c r="C332" i="1" s="1"/>
  <c r="E332" i="1" s="1"/>
  <c r="D288" i="1"/>
  <c r="C349" i="1" s="1"/>
  <c r="D285" i="1"/>
  <c r="C346" i="1" s="1"/>
  <c r="D279" i="1"/>
  <c r="C340" i="1" s="1"/>
  <c r="D284" i="1"/>
  <c r="C345" i="1" s="1"/>
  <c r="D286" i="1"/>
  <c r="C347" i="1" s="1"/>
  <c r="D280" i="1"/>
  <c r="C341" i="1" s="1"/>
  <c r="D269" i="1"/>
  <c r="C330" i="1" s="1"/>
  <c r="E330" i="1" s="1"/>
  <c r="D277" i="1"/>
  <c r="C338" i="1" s="1"/>
  <c r="D266" i="1"/>
  <c r="C327" i="1" s="1"/>
  <c r="E327" i="1" s="1"/>
  <c r="D283" i="1"/>
  <c r="C344" i="1" s="1"/>
  <c r="D275" i="1"/>
  <c r="C336" i="1" s="1"/>
  <c r="D267" i="1"/>
  <c r="C328" i="1" s="1"/>
  <c r="E328" i="1" s="1"/>
  <c r="D276" i="1"/>
  <c r="C337" i="1" s="1"/>
  <c r="D273" i="1"/>
  <c r="C334" i="1" s="1"/>
  <c r="D272" i="1"/>
  <c r="C333" i="1" s="1"/>
  <c r="E333" i="1" s="1"/>
  <c r="D281" i="1"/>
  <c r="C342" i="1" s="1"/>
  <c r="D268" i="1"/>
  <c r="C329" i="1" s="1"/>
  <c r="E329" i="1" s="1"/>
  <c r="D278" i="1"/>
  <c r="C339" i="1" s="1"/>
  <c r="H5" i="2"/>
  <c r="H6" i="2" s="1"/>
  <c r="H7" i="2" s="1"/>
  <c r="J6" i="2"/>
  <c r="M6" i="2" s="1"/>
  <c r="P6" i="2" s="1"/>
  <c r="S6" i="2" s="1"/>
  <c r="M5" i="2"/>
  <c r="P5" i="2" s="1"/>
  <c r="S5" i="2" s="1"/>
  <c r="J4" i="2"/>
  <c r="G6" i="2"/>
  <c r="G7" i="2"/>
  <c r="D7" i="2"/>
  <c r="E5" i="2"/>
  <c r="E6" i="2" s="1"/>
  <c r="E7" i="2" s="1"/>
  <c r="L127" i="1" l="1"/>
  <c r="M127" i="1" s="1"/>
  <c r="Q126" i="1"/>
  <c r="P127" i="1"/>
  <c r="B20" i="2"/>
  <c r="D24" i="2" s="1"/>
  <c r="W10" i="2"/>
  <c r="Z10" i="2" s="1"/>
  <c r="W9" i="2"/>
  <c r="Z9" i="2" s="1"/>
  <c r="B24" i="2"/>
  <c r="B25" i="2" s="1"/>
  <c r="B28" i="2" s="1"/>
  <c r="B29" i="2" s="1"/>
  <c r="K4" i="2"/>
  <c r="K8" i="2" s="1"/>
  <c r="J7" i="2"/>
  <c r="M7" i="2" s="1"/>
  <c r="P7" i="2" s="1"/>
  <c r="S7" i="2" s="1"/>
  <c r="M4" i="2"/>
  <c r="P4" i="2" s="1"/>
  <c r="S4" i="2" s="1"/>
  <c r="J8" i="2"/>
  <c r="M8" i="2" s="1"/>
  <c r="P8" i="2" s="1"/>
  <c r="S8" i="2" s="1"/>
  <c r="L128" i="1" l="1"/>
  <c r="L129" i="1" s="1"/>
  <c r="M130" i="1" s="1"/>
  <c r="Q127" i="1"/>
  <c r="P128" i="1"/>
  <c r="M24" i="2"/>
  <c r="A24" i="2"/>
  <c r="A25" i="2" s="1"/>
  <c r="A28" i="2" s="1"/>
  <c r="A29" i="2" s="1"/>
  <c r="J24" i="2"/>
  <c r="G24" i="2"/>
  <c r="K5" i="2"/>
  <c r="K6" i="2" s="1"/>
  <c r="N5" i="2" s="1"/>
  <c r="N6" i="2" s="1"/>
  <c r="V4" i="2"/>
  <c r="Y4" i="2"/>
  <c r="M128" i="1" l="1"/>
  <c r="M25" i="2"/>
  <c r="M28" i="2" s="1"/>
  <c r="M29" i="2" s="1"/>
  <c r="J25" i="2"/>
  <c r="J28" i="2" s="1"/>
  <c r="J29" i="2" s="1"/>
  <c r="D25" i="2"/>
  <c r="D28" i="2" s="1"/>
  <c r="D29" i="2" s="1"/>
  <c r="G25" i="2"/>
  <c r="G28" i="2" s="1"/>
  <c r="G29" i="2" s="1"/>
  <c r="Q128" i="1"/>
  <c r="P129" i="1"/>
  <c r="Q130" i="1" s="1"/>
  <c r="N4" i="2"/>
  <c r="N8" i="2" s="1"/>
  <c r="K7" i="2"/>
  <c r="E24" i="2" s="1"/>
  <c r="E25" i="2" s="1"/>
  <c r="E28" i="2" s="1"/>
  <c r="E29" i="2" s="1"/>
  <c r="M129" i="1"/>
  <c r="B122" i="1"/>
  <c r="B8" i="4" s="1"/>
  <c r="B125" i="1"/>
  <c r="B11" i="4" s="1"/>
  <c r="Y9" i="2"/>
  <c r="Y10" i="2" s="1"/>
  <c r="Y5" i="2"/>
  <c r="V5" i="2"/>
  <c r="V9" i="2"/>
  <c r="V10" i="2" s="1"/>
  <c r="N7" i="2"/>
  <c r="Q4" i="2"/>
  <c r="Q129" i="1" l="1"/>
  <c r="B128" i="1"/>
  <c r="B14" i="4" s="1"/>
  <c r="B131" i="1"/>
  <c r="B17" i="4" s="1"/>
  <c r="D122" i="1"/>
  <c r="D125" i="1"/>
  <c r="H24" i="2"/>
  <c r="H25" i="2" s="1"/>
  <c r="H28" i="2" s="1"/>
  <c r="H29" i="2" s="1"/>
  <c r="B123" i="1"/>
  <c r="B126" i="1"/>
  <c r="Q5" i="2"/>
  <c r="Q6" i="2" s="1"/>
  <c r="Q8" i="2"/>
  <c r="D126" i="1" l="1"/>
  <c r="B12" i="4"/>
  <c r="D123" i="1"/>
  <c r="C186" i="1" s="1"/>
  <c r="B9" i="4"/>
  <c r="B187" i="1"/>
  <c r="D131" i="1"/>
  <c r="D128" i="1"/>
  <c r="B132" i="1"/>
  <c r="B18" i="4" s="1"/>
  <c r="B129" i="1"/>
  <c r="B15" i="4" s="1"/>
  <c r="C187" i="1"/>
  <c r="B186" i="1"/>
  <c r="Q7" i="2"/>
  <c r="K24" i="2" s="1"/>
  <c r="K25" i="2" s="1"/>
  <c r="K28" i="2" s="1"/>
  <c r="K29" i="2" s="1"/>
  <c r="T4" i="2"/>
  <c r="D132" i="1" l="1"/>
  <c r="C189" i="1" s="1"/>
  <c r="D129" i="1"/>
  <c r="C188" i="1" s="1"/>
  <c r="B189" i="1"/>
  <c r="B188" i="1"/>
  <c r="T8" i="2"/>
  <c r="T5" i="2"/>
  <c r="T6" i="2" s="1"/>
  <c r="T7" i="2" s="1"/>
  <c r="C265" i="1" l="1" a="1"/>
  <c r="C265" i="1" s="1"/>
  <c r="C415" i="1" a="1"/>
  <c r="C434" i="1" s="1"/>
  <c r="B265" i="1" a="1"/>
  <c r="B265" i="1" s="1"/>
  <c r="G37" i="2" s="1"/>
  <c r="B415" i="1" a="1"/>
  <c r="B434" i="1" s="1"/>
  <c r="W5" i="2"/>
  <c r="Z5" i="2" s="1"/>
  <c r="W4" i="2"/>
  <c r="Z4" i="2" s="1"/>
  <c r="N24" i="2"/>
  <c r="N25" i="2" s="1"/>
  <c r="N28" i="2" s="1"/>
  <c r="N29" i="2" s="1"/>
  <c r="C287" i="1" l="1"/>
  <c r="C271" i="1"/>
  <c r="C269" i="1"/>
  <c r="C282" i="1"/>
  <c r="C279" i="1"/>
  <c r="C274" i="1"/>
  <c r="C284" i="1"/>
  <c r="C272" i="1"/>
  <c r="C288" i="1"/>
  <c r="C267" i="1"/>
  <c r="C266" i="1"/>
  <c r="C268" i="1"/>
  <c r="C276" i="1"/>
  <c r="C273" i="1"/>
  <c r="C278" i="1"/>
  <c r="C283" i="1"/>
  <c r="C280" i="1"/>
  <c r="C277" i="1"/>
  <c r="C285" i="1"/>
  <c r="C270" i="1"/>
  <c r="C275" i="1"/>
  <c r="C286" i="1"/>
  <c r="C281" i="1"/>
  <c r="C415" i="1"/>
  <c r="C431" i="1"/>
  <c r="C417" i="1"/>
  <c r="C416" i="1"/>
  <c r="C428" i="1"/>
  <c r="C429" i="1"/>
  <c r="C421" i="1"/>
  <c r="C435" i="1"/>
  <c r="C426" i="1"/>
  <c r="C437" i="1"/>
  <c r="C424" i="1"/>
  <c r="C422" i="1"/>
  <c r="C433" i="1"/>
  <c r="C438" i="1"/>
  <c r="C425" i="1"/>
  <c r="C420" i="1"/>
  <c r="C427" i="1"/>
  <c r="C436" i="1"/>
  <c r="C423" i="1"/>
  <c r="C439" i="1"/>
  <c r="C432" i="1"/>
  <c r="C430" i="1"/>
  <c r="C419" i="1"/>
  <c r="C418" i="1"/>
  <c r="B283" i="1"/>
  <c r="B344" i="1" s="1"/>
  <c r="D344" i="1" s="1"/>
  <c r="E344" i="1" s="1"/>
  <c r="B284" i="1"/>
  <c r="B345" i="1" s="1"/>
  <c r="D345" i="1" s="1"/>
  <c r="E345" i="1" s="1"/>
  <c r="B277" i="1"/>
  <c r="B338" i="1" s="1"/>
  <c r="D338" i="1" s="1"/>
  <c r="E338" i="1" s="1"/>
  <c r="B270" i="1"/>
  <c r="B331" i="1" s="1"/>
  <c r="D331" i="1" s="1"/>
  <c r="B279" i="1"/>
  <c r="B340" i="1" s="1"/>
  <c r="D340" i="1" s="1"/>
  <c r="E340" i="1" s="1"/>
  <c r="B267" i="1"/>
  <c r="Q37" i="2" s="1"/>
  <c r="B288" i="1"/>
  <c r="B349" i="1" s="1"/>
  <c r="D349" i="1" s="1"/>
  <c r="E349" i="1" s="1"/>
  <c r="B269" i="1"/>
  <c r="B276" i="1"/>
  <c r="B337" i="1" s="1"/>
  <c r="D337" i="1" s="1"/>
  <c r="E337" i="1" s="1"/>
  <c r="B274" i="1"/>
  <c r="B335" i="1" s="1"/>
  <c r="D335" i="1" s="1"/>
  <c r="E335" i="1" s="1"/>
  <c r="B266" i="1"/>
  <c r="L37" i="2" s="1"/>
  <c r="B271" i="1"/>
  <c r="B282" i="1"/>
  <c r="E282" i="1" s="1"/>
  <c r="P71" i="2" s="1"/>
  <c r="P72" i="2" s="1"/>
  <c r="B287" i="1"/>
  <c r="L86" i="2" s="1"/>
  <c r="B272" i="1"/>
  <c r="L51" i="2" s="1"/>
  <c r="E265" i="1"/>
  <c r="F36" i="2" s="1"/>
  <c r="F37" i="2" s="1"/>
  <c r="B273" i="1"/>
  <c r="B334" i="1" s="1"/>
  <c r="D334" i="1" s="1"/>
  <c r="E334" i="1" s="1"/>
  <c r="B268" i="1"/>
  <c r="G44" i="2" s="1"/>
  <c r="B326" i="1"/>
  <c r="D326" i="1" s="1"/>
  <c r="B280" i="1"/>
  <c r="G72" i="2" s="1"/>
  <c r="B278" i="1"/>
  <c r="B286" i="1"/>
  <c r="B347" i="1" s="1"/>
  <c r="D347" i="1" s="1"/>
  <c r="E347" i="1" s="1"/>
  <c r="B281" i="1"/>
  <c r="B285" i="1"/>
  <c r="Q79" i="2" s="1"/>
  <c r="B275" i="1"/>
  <c r="B336" i="1" s="1"/>
  <c r="D336" i="1" s="1"/>
  <c r="E336" i="1" s="1"/>
  <c r="B431" i="1"/>
  <c r="E431" i="1" s="1"/>
  <c r="H431" i="1" s="1"/>
  <c r="B435" i="1"/>
  <c r="B437" i="1"/>
  <c r="B417" i="1"/>
  <c r="B439" i="1"/>
  <c r="B425" i="1"/>
  <c r="E425" i="1" s="1"/>
  <c r="B438" i="1"/>
  <c r="B416" i="1"/>
  <c r="B432" i="1"/>
  <c r="B433" i="1"/>
  <c r="B418" i="1"/>
  <c r="B428" i="1"/>
  <c r="E428" i="1" s="1"/>
  <c r="F428" i="1" s="1"/>
  <c r="G428" i="1" s="1"/>
  <c r="E457" i="1" s="1"/>
  <c r="E73" i="4" s="1"/>
  <c r="B427" i="1"/>
  <c r="B436" i="1"/>
  <c r="B423" i="1"/>
  <c r="B420" i="1"/>
  <c r="B419" i="1"/>
  <c r="B429" i="1"/>
  <c r="B430" i="1"/>
  <c r="B424" i="1"/>
  <c r="B421" i="1"/>
  <c r="B422" i="1"/>
  <c r="B426" i="1"/>
  <c r="B415" i="1"/>
  <c r="E415" i="1" s="1"/>
  <c r="F415" i="1" s="1"/>
  <c r="L79" i="2"/>
  <c r="G65" i="2"/>
  <c r="E434" i="1"/>
  <c r="E423" i="1" l="1"/>
  <c r="F423" i="1" s="1"/>
  <c r="G423" i="1" s="1"/>
  <c r="E452" i="1" s="1"/>
  <c r="E68" i="4" s="1"/>
  <c r="E439" i="1"/>
  <c r="E277" i="1"/>
  <c r="F64" i="2" s="1"/>
  <c r="F65" i="2" s="1"/>
  <c r="E266" i="1"/>
  <c r="K36" i="2" s="1"/>
  <c r="K37" i="2" s="1"/>
  <c r="G58" i="2"/>
  <c r="E269" i="1"/>
  <c r="H269" i="1" s="1"/>
  <c r="E284" i="1"/>
  <c r="K78" i="2" s="1"/>
  <c r="K79" i="2" s="1"/>
  <c r="E424" i="1"/>
  <c r="F424" i="1" s="1"/>
  <c r="G424" i="1" s="1"/>
  <c r="E453" i="1" s="1"/>
  <c r="E69" i="4" s="1"/>
  <c r="B329" i="1"/>
  <c r="D329" i="1" s="1"/>
  <c r="E274" i="1"/>
  <c r="F57" i="2" s="1"/>
  <c r="F58" i="2" s="1"/>
  <c r="E437" i="1"/>
  <c r="F437" i="1" s="1"/>
  <c r="G437" i="1" s="1"/>
  <c r="C466" i="1" s="1"/>
  <c r="D82" i="4" s="1"/>
  <c r="E280" i="1"/>
  <c r="F71" i="2" s="1"/>
  <c r="F72" i="2" s="1"/>
  <c r="B327" i="1"/>
  <c r="D327" i="1" s="1"/>
  <c r="E417" i="1"/>
  <c r="F417" i="1" s="1"/>
  <c r="G417" i="1" s="1"/>
  <c r="B446" i="1" s="1"/>
  <c r="E271" i="1"/>
  <c r="F271" i="1" s="1"/>
  <c r="G271" i="1" s="1"/>
  <c r="Q58" i="2"/>
  <c r="E278" i="1"/>
  <c r="K64" i="2" s="1"/>
  <c r="K65" i="2" s="1"/>
  <c r="E281" i="1"/>
  <c r="K71" i="2" s="1"/>
  <c r="K72" i="2" s="1"/>
  <c r="E276" i="1"/>
  <c r="F276" i="1" s="1"/>
  <c r="G276" i="1" s="1"/>
  <c r="B308" i="1" s="1"/>
  <c r="O58" i="2" s="1"/>
  <c r="L58" i="2"/>
  <c r="Q51" i="2"/>
  <c r="E283" i="1"/>
  <c r="F78" i="2" s="1"/>
  <c r="F79" i="2" s="1"/>
  <c r="E273" i="1"/>
  <c r="P50" i="2" s="1"/>
  <c r="P51" i="2" s="1"/>
  <c r="E426" i="1"/>
  <c r="F426" i="1" s="1"/>
  <c r="G426" i="1" s="1"/>
  <c r="C455" i="1" s="1"/>
  <c r="D71" i="4" s="1"/>
  <c r="G79" i="2"/>
  <c r="E275" i="1"/>
  <c r="H275" i="1" s="1"/>
  <c r="E427" i="1"/>
  <c r="H427" i="1" s="1"/>
  <c r="B341" i="1"/>
  <c r="D341" i="1" s="1"/>
  <c r="E341" i="1" s="1"/>
  <c r="E435" i="1"/>
  <c r="F435" i="1" s="1"/>
  <c r="G435" i="1" s="1"/>
  <c r="B464" i="1" s="1"/>
  <c r="E429" i="1"/>
  <c r="F429" i="1" s="1"/>
  <c r="G429" i="1" s="1"/>
  <c r="E458" i="1" s="1"/>
  <c r="E74" i="4" s="1"/>
  <c r="E419" i="1"/>
  <c r="F419" i="1" s="1"/>
  <c r="B330" i="1"/>
  <c r="D330" i="1" s="1"/>
  <c r="E418" i="1"/>
  <c r="H418" i="1" s="1"/>
  <c r="L44" i="2"/>
  <c r="B346" i="1"/>
  <c r="D346" i="1" s="1"/>
  <c r="E346" i="1" s="1"/>
  <c r="L72" i="2"/>
  <c r="E416" i="1"/>
  <c r="F416" i="1" s="1"/>
  <c r="G416" i="1" s="1"/>
  <c r="E445" i="1" s="1"/>
  <c r="E61" i="4" s="1"/>
  <c r="B333" i="1"/>
  <c r="D333" i="1" s="1"/>
  <c r="E421" i="1"/>
  <c r="F421" i="1" s="1"/>
  <c r="G421" i="1" s="1"/>
  <c r="E432" i="1"/>
  <c r="F432" i="1" s="1"/>
  <c r="G432" i="1" s="1"/>
  <c r="C461" i="1" s="1"/>
  <c r="D77" i="4" s="1"/>
  <c r="E288" i="1"/>
  <c r="P85" i="2" s="1"/>
  <c r="P86" i="2" s="1"/>
  <c r="B342" i="1"/>
  <c r="D342" i="1" s="1"/>
  <c r="E342" i="1" s="1"/>
  <c r="E272" i="1"/>
  <c r="K50" i="2" s="1"/>
  <c r="K51" i="2" s="1"/>
  <c r="Q86" i="2"/>
  <c r="E433" i="1"/>
  <c r="F433" i="1" s="1"/>
  <c r="G433" i="1" s="1"/>
  <c r="C462" i="1" s="1"/>
  <c r="D78" i="4" s="1"/>
  <c r="E430" i="1"/>
  <c r="H430" i="1" s="1"/>
  <c r="E268" i="1"/>
  <c r="F43" i="2" s="1"/>
  <c r="F44" i="2" s="1"/>
  <c r="E270" i="1"/>
  <c r="H270" i="1" s="1"/>
  <c r="Q72" i="2"/>
  <c r="E420" i="1"/>
  <c r="F420" i="1" s="1"/>
  <c r="G420" i="1" s="1"/>
  <c r="E438" i="1"/>
  <c r="F438" i="1" s="1"/>
  <c r="G438" i="1" s="1"/>
  <c r="D467" i="1" s="1"/>
  <c r="C83" i="4" s="1"/>
  <c r="E422" i="1"/>
  <c r="H422" i="1" s="1"/>
  <c r="E436" i="1"/>
  <c r="H436" i="1" s="1"/>
  <c r="E285" i="1"/>
  <c r="P78" i="2" s="1"/>
  <c r="P79" i="2" s="1"/>
  <c r="H265" i="1"/>
  <c r="G51" i="2"/>
  <c r="B343" i="1"/>
  <c r="D343" i="1" s="1"/>
  <c r="E343" i="1" s="1"/>
  <c r="F265" i="1"/>
  <c r="G265" i="1" s="1"/>
  <c r="E297" i="1" s="1"/>
  <c r="B328" i="1"/>
  <c r="D328" i="1" s="1"/>
  <c r="Q44" i="2"/>
  <c r="B348" i="1"/>
  <c r="D348" i="1" s="1"/>
  <c r="E348" i="1" s="1"/>
  <c r="L65" i="2"/>
  <c r="B339" i="1"/>
  <c r="D339" i="1" s="1"/>
  <c r="E339" i="1" s="1"/>
  <c r="E279" i="1"/>
  <c r="P64" i="2" s="1"/>
  <c r="P65" i="2" s="1"/>
  <c r="Q65" i="2"/>
  <c r="G86" i="2"/>
  <c r="E287" i="1"/>
  <c r="E267" i="1"/>
  <c r="P36" i="2" s="1"/>
  <c r="P37" i="2" s="1"/>
  <c r="B332" i="1"/>
  <c r="D332" i="1" s="1"/>
  <c r="E286" i="1"/>
  <c r="F85" i="2" s="1"/>
  <c r="F86" i="2" s="1"/>
  <c r="F431" i="1"/>
  <c r="G431" i="1" s="1"/>
  <c r="C460" i="1" s="1"/>
  <c r="D76" i="4" s="1"/>
  <c r="F282" i="1"/>
  <c r="G282" i="1" s="1"/>
  <c r="B314" i="1" s="1"/>
  <c r="O72" i="2" s="1"/>
  <c r="H415" i="1"/>
  <c r="H282" i="1"/>
  <c r="H428" i="1"/>
  <c r="H423" i="1"/>
  <c r="G415" i="1"/>
  <c r="E444" i="1" s="1"/>
  <c r="E60" i="4" s="1"/>
  <c r="F439" i="1"/>
  <c r="G439" i="1" s="1"/>
  <c r="D468" i="1" s="1"/>
  <c r="C84" i="4" s="1"/>
  <c r="H439" i="1"/>
  <c r="F425" i="1"/>
  <c r="G425" i="1" s="1"/>
  <c r="C454" i="1" s="1"/>
  <c r="D70" i="4" s="1"/>
  <c r="H425" i="1"/>
  <c r="F434" i="1"/>
  <c r="G434" i="1" s="1"/>
  <c r="B463" i="1" s="1"/>
  <c r="H434" i="1"/>
  <c r="D457" i="1"/>
  <c r="C73" i="4" s="1"/>
  <c r="B457" i="1"/>
  <c r="D452" i="1"/>
  <c r="C68" i="4" s="1"/>
  <c r="B452" i="1"/>
  <c r="F266" i="1" l="1"/>
  <c r="G266" i="1" s="1"/>
  <c r="E298" i="1" s="1"/>
  <c r="I38" i="2" s="1"/>
  <c r="I39" i="2" s="1"/>
  <c r="B62" i="4"/>
  <c r="B80" i="4"/>
  <c r="B73" i="4"/>
  <c r="B79" i="4"/>
  <c r="B68" i="4"/>
  <c r="H266" i="1"/>
  <c r="F277" i="1"/>
  <c r="G277" i="1" s="1"/>
  <c r="B309" i="1" s="1"/>
  <c r="E65" i="2" s="1"/>
  <c r="K43" i="2"/>
  <c r="K44" i="2" s="1"/>
  <c r="H284" i="1"/>
  <c r="D453" i="1"/>
  <c r="C69" i="4" s="1"/>
  <c r="F269" i="1"/>
  <c r="G269" i="1" s="1"/>
  <c r="B301" i="1" s="1"/>
  <c r="J44" i="2" s="1"/>
  <c r="H277" i="1"/>
  <c r="F284" i="1"/>
  <c r="G284" i="1" s="1"/>
  <c r="D316" i="1" s="1"/>
  <c r="J80" i="2" s="1"/>
  <c r="B453" i="1"/>
  <c r="H424" i="1"/>
  <c r="H278" i="1"/>
  <c r="F274" i="1"/>
  <c r="G274" i="1" s="1"/>
  <c r="B306" i="1" s="1"/>
  <c r="E58" i="2" s="1"/>
  <c r="H274" i="1"/>
  <c r="H280" i="1"/>
  <c r="F280" i="1"/>
  <c r="G280" i="1" s="1"/>
  <c r="D312" i="1" s="1"/>
  <c r="E73" i="2" s="1"/>
  <c r="H437" i="1"/>
  <c r="D446" i="1"/>
  <c r="C62" i="4" s="1"/>
  <c r="H417" i="1"/>
  <c r="C446" i="1"/>
  <c r="D62" i="4" s="1"/>
  <c r="E446" i="1"/>
  <c r="E62" i="4" s="1"/>
  <c r="H271" i="1"/>
  <c r="F50" i="2"/>
  <c r="F51" i="2" s="1"/>
  <c r="H281" i="1"/>
  <c r="F281" i="1"/>
  <c r="G281" i="1" s="1"/>
  <c r="B313" i="1" s="1"/>
  <c r="J72" i="2" s="1"/>
  <c r="H276" i="1"/>
  <c r="F427" i="1"/>
  <c r="G427" i="1" s="1"/>
  <c r="C456" i="1" s="1"/>
  <c r="D72" i="4" s="1"/>
  <c r="P57" i="2"/>
  <c r="P58" i="2" s="1"/>
  <c r="F278" i="1"/>
  <c r="G278" i="1" s="1"/>
  <c r="D310" i="1" s="1"/>
  <c r="J66" i="2" s="1"/>
  <c r="F283" i="1"/>
  <c r="G283" i="1" s="1"/>
  <c r="D315" i="1" s="1"/>
  <c r="E80" i="2" s="1"/>
  <c r="H283" i="1"/>
  <c r="H268" i="1"/>
  <c r="F273" i="1"/>
  <c r="G273" i="1" s="1"/>
  <c r="D305" i="1" s="1"/>
  <c r="O52" i="2" s="1"/>
  <c r="H426" i="1"/>
  <c r="H421" i="1"/>
  <c r="H419" i="1"/>
  <c r="H273" i="1"/>
  <c r="F275" i="1"/>
  <c r="G275" i="1" s="1"/>
  <c r="E307" i="1" s="1"/>
  <c r="I59" i="2" s="1"/>
  <c r="I60" i="2" s="1"/>
  <c r="K57" i="2"/>
  <c r="K58" i="2" s="1"/>
  <c r="F418" i="1"/>
  <c r="G418" i="1" s="1"/>
  <c r="F288" i="1"/>
  <c r="G288" i="1" s="1"/>
  <c r="B320" i="1" s="1"/>
  <c r="O86" i="2" s="1"/>
  <c r="F279" i="1"/>
  <c r="G279" i="1" s="1"/>
  <c r="B311" i="1" s="1"/>
  <c r="O65" i="2" s="1"/>
  <c r="H288" i="1"/>
  <c r="B458" i="1"/>
  <c r="H435" i="1"/>
  <c r="H429" i="1"/>
  <c r="D458" i="1"/>
  <c r="C74" i="4" s="1"/>
  <c r="P43" i="2"/>
  <c r="P44" i="2" s="1"/>
  <c r="H432" i="1"/>
  <c r="F270" i="1"/>
  <c r="G270" i="1" s="1"/>
  <c r="E302" i="1" s="1"/>
  <c r="N45" i="2" s="1"/>
  <c r="N46" i="2" s="1"/>
  <c r="H279" i="1"/>
  <c r="B449" i="1"/>
  <c r="D449" i="1"/>
  <c r="C65" i="4" s="1"/>
  <c r="E449" i="1"/>
  <c r="E65" i="4" s="1"/>
  <c r="H420" i="1"/>
  <c r="H416" i="1"/>
  <c r="F436" i="1"/>
  <c r="G436" i="1" s="1"/>
  <c r="E465" i="1" s="1"/>
  <c r="E81" i="4" s="1"/>
  <c r="F286" i="1"/>
  <c r="G286" i="1" s="1"/>
  <c r="D318" i="1" s="1"/>
  <c r="E87" i="2" s="1"/>
  <c r="H433" i="1"/>
  <c r="F272" i="1"/>
  <c r="G272" i="1" s="1"/>
  <c r="H272" i="1"/>
  <c r="H438" i="1"/>
  <c r="F422" i="1"/>
  <c r="G422" i="1" s="1"/>
  <c r="E451" i="1" s="1"/>
  <c r="E67" i="4" s="1"/>
  <c r="F268" i="1"/>
  <c r="G268" i="1" s="1"/>
  <c r="E300" i="1" s="1"/>
  <c r="D45" i="2" s="1"/>
  <c r="D46" i="2" s="1"/>
  <c r="H285" i="1"/>
  <c r="F285" i="1"/>
  <c r="G285" i="1" s="1"/>
  <c r="B317" i="1" s="1"/>
  <c r="O79" i="2" s="1"/>
  <c r="H286" i="1"/>
  <c r="F430" i="1"/>
  <c r="G430" i="1" s="1"/>
  <c r="E459" i="1" s="1"/>
  <c r="E75" i="4" s="1"/>
  <c r="B462" i="1"/>
  <c r="D462" i="1"/>
  <c r="C78" i="4" s="1"/>
  <c r="E350" i="1"/>
  <c r="J4" i="1" s="1"/>
  <c r="K85" i="2"/>
  <c r="K86" i="2" s="1"/>
  <c r="F287" i="1"/>
  <c r="F267" i="1"/>
  <c r="G267" i="1" s="1"/>
  <c r="E299" i="1" s="1"/>
  <c r="N38" i="2" s="1"/>
  <c r="N39" i="2" s="1"/>
  <c r="J24" i="1"/>
  <c r="H267" i="1"/>
  <c r="H287" i="1"/>
  <c r="C452" i="1"/>
  <c r="D68" i="4" s="1"/>
  <c r="C458" i="1"/>
  <c r="D74" i="4" s="1"/>
  <c r="C457" i="1"/>
  <c r="D73" i="4" s="1"/>
  <c r="C453" i="1"/>
  <c r="D69" i="4" s="1"/>
  <c r="C314" i="1"/>
  <c r="N71" i="2" s="1"/>
  <c r="N72" i="2" s="1"/>
  <c r="E314" i="1"/>
  <c r="N73" i="2" s="1"/>
  <c r="N74" i="2" s="1"/>
  <c r="B460" i="1"/>
  <c r="D460" i="1"/>
  <c r="C76" i="4" s="1"/>
  <c r="D314" i="1"/>
  <c r="F314" i="1" s="1"/>
  <c r="G314" i="1" s="1"/>
  <c r="D298" i="1"/>
  <c r="J38" i="2" s="1"/>
  <c r="B297" i="1"/>
  <c r="E37" i="2" s="1"/>
  <c r="E308" i="1"/>
  <c r="N59" i="2" s="1"/>
  <c r="N60" i="2" s="1"/>
  <c r="D308" i="1"/>
  <c r="F308" i="1" s="1"/>
  <c r="G308" i="1" s="1"/>
  <c r="C308" i="1"/>
  <c r="N57" i="2" s="1"/>
  <c r="N58" i="2" s="1"/>
  <c r="D303" i="1"/>
  <c r="E52" i="2" s="1"/>
  <c r="E303" i="1"/>
  <c r="D52" i="2" s="1"/>
  <c r="D53" i="2" s="1"/>
  <c r="C464" i="1"/>
  <c r="D80" i="4" s="1"/>
  <c r="D38" i="2"/>
  <c r="D39" i="2" s="1"/>
  <c r="B303" i="1"/>
  <c r="E51" i="2" s="1"/>
  <c r="D444" i="1"/>
  <c r="C60" i="4" s="1"/>
  <c r="B445" i="1"/>
  <c r="B444" i="1"/>
  <c r="C444" i="1"/>
  <c r="D60" i="4" s="1"/>
  <c r="D445" i="1"/>
  <c r="C61" i="4" s="1"/>
  <c r="D297" i="1"/>
  <c r="E38" i="2" s="1"/>
  <c r="D464" i="1"/>
  <c r="C80" i="4" s="1"/>
  <c r="E464" i="1"/>
  <c r="E80" i="4" s="1"/>
  <c r="D450" i="1"/>
  <c r="C66" i="4" s="1"/>
  <c r="B450" i="1"/>
  <c r="E467" i="1"/>
  <c r="E83" i="4" s="1"/>
  <c r="B467" i="1"/>
  <c r="C467" i="1"/>
  <c r="D83" i="4" s="1"/>
  <c r="B466" i="1"/>
  <c r="D466" i="1"/>
  <c r="C82" i="4" s="1"/>
  <c r="G419" i="1"/>
  <c r="B455" i="1"/>
  <c r="D463" i="1"/>
  <c r="C79" i="4" s="1"/>
  <c r="B461" i="1"/>
  <c r="D461" i="1"/>
  <c r="C77" i="4" s="1"/>
  <c r="C468" i="1"/>
  <c r="D84" i="4" s="1"/>
  <c r="D455" i="1"/>
  <c r="C71" i="4" s="1"/>
  <c r="E463" i="1"/>
  <c r="E79" i="4" s="1"/>
  <c r="E450" i="1"/>
  <c r="E66" i="4" s="1"/>
  <c r="C450" i="1"/>
  <c r="D66" i="4" s="1"/>
  <c r="D454" i="1"/>
  <c r="C70" i="4" s="1"/>
  <c r="B454" i="1"/>
  <c r="B468" i="1"/>
  <c r="D456" i="1" l="1"/>
  <c r="C72" i="4" s="1"/>
  <c r="B298" i="1"/>
  <c r="J37" i="2" s="1"/>
  <c r="E301" i="1"/>
  <c r="I45" i="2" s="1"/>
  <c r="I46" i="2" s="1"/>
  <c r="C298" i="1"/>
  <c r="I36" i="2" s="1"/>
  <c r="I37" i="2" s="1"/>
  <c r="C297" i="1"/>
  <c r="D36" i="2" s="1"/>
  <c r="D37" i="2" s="1"/>
  <c r="C445" i="1"/>
  <c r="D61" i="4" s="1"/>
  <c r="C449" i="1"/>
  <c r="D65" i="4" s="1"/>
  <c r="C303" i="1"/>
  <c r="D50" i="2" s="1"/>
  <c r="D51" i="2" s="1"/>
  <c r="B71" i="5"/>
  <c r="E309" i="1"/>
  <c r="D66" i="2" s="1"/>
  <c r="D67" i="2" s="1"/>
  <c r="D309" i="1"/>
  <c r="F309" i="1" s="1"/>
  <c r="G309" i="1" s="1"/>
  <c r="B56" i="5"/>
  <c r="B68" i="5"/>
  <c r="B57" i="5"/>
  <c r="B50" i="5"/>
  <c r="B62" i="5"/>
  <c r="B54" i="5"/>
  <c r="B48" i="5"/>
  <c r="B61" i="5"/>
  <c r="B83" i="4"/>
  <c r="B71" i="4"/>
  <c r="B76" i="4"/>
  <c r="B78" i="4"/>
  <c r="B61" i="4"/>
  <c r="B84" i="4"/>
  <c r="B82" i="4"/>
  <c r="B65" i="4"/>
  <c r="B74" i="4"/>
  <c r="B70" i="4"/>
  <c r="B77" i="4"/>
  <c r="B69" i="4"/>
  <c r="B66" i="4"/>
  <c r="B60" i="4"/>
  <c r="C463" i="1"/>
  <c r="D79" i="4" s="1"/>
  <c r="D301" i="1"/>
  <c r="J45" i="2" s="1"/>
  <c r="C301" i="1"/>
  <c r="I43" i="2" s="1"/>
  <c r="I44" i="2" s="1"/>
  <c r="D306" i="1"/>
  <c r="F306" i="1" s="1"/>
  <c r="G306" i="1" s="1"/>
  <c r="E306" i="1"/>
  <c r="D59" i="2" s="1"/>
  <c r="D60" i="2" s="1"/>
  <c r="C306" i="1"/>
  <c r="D57" i="2" s="1"/>
  <c r="D58" i="2" s="1"/>
  <c r="B312" i="1"/>
  <c r="E72" i="2" s="1"/>
  <c r="C312" i="1"/>
  <c r="D71" i="2" s="1"/>
  <c r="D72" i="2" s="1"/>
  <c r="B456" i="1"/>
  <c r="B307" i="1"/>
  <c r="J58" i="2" s="1"/>
  <c r="D307" i="1"/>
  <c r="J59" i="2" s="1"/>
  <c r="D447" i="1"/>
  <c r="C63" i="4" s="1"/>
  <c r="B300" i="1"/>
  <c r="E44" i="2" s="1"/>
  <c r="D300" i="1"/>
  <c r="E45" i="2" s="1"/>
  <c r="E447" i="1"/>
  <c r="E63" i="4" s="1"/>
  <c r="B447" i="1"/>
  <c r="D465" i="1"/>
  <c r="C81" i="4" s="1"/>
  <c r="C302" i="1"/>
  <c r="N43" i="2" s="1"/>
  <c r="N44" i="2" s="1"/>
  <c r="B465" i="1"/>
  <c r="D302" i="1"/>
  <c r="O45" i="2" s="1"/>
  <c r="B302" i="1"/>
  <c r="O44" i="2" s="1"/>
  <c r="E317" i="1"/>
  <c r="N80" i="2" s="1"/>
  <c r="N81" i="2" s="1"/>
  <c r="H440" i="1"/>
  <c r="J6" i="1" s="1"/>
  <c r="B304" i="1"/>
  <c r="J51" i="2" s="1"/>
  <c r="B459" i="1"/>
  <c r="D459" i="1"/>
  <c r="C75" i="4" s="1"/>
  <c r="E304" i="1"/>
  <c r="I52" i="2" s="1"/>
  <c r="I53" i="2" s="1"/>
  <c r="G440" i="1"/>
  <c r="J5" i="1" s="1"/>
  <c r="D451" i="1"/>
  <c r="C67" i="4" s="1"/>
  <c r="B451" i="1"/>
  <c r="D304" i="1"/>
  <c r="J52" i="2" s="1"/>
  <c r="H289" i="1"/>
  <c r="B3" i="1" s="1"/>
  <c r="Q24" i="1"/>
  <c r="E462" i="1"/>
  <c r="E78" i="4" s="1"/>
  <c r="D317" i="1"/>
  <c r="C317" i="1" s="1"/>
  <c r="N78" i="2" s="1"/>
  <c r="N79" i="2" s="1"/>
  <c r="C299" i="1"/>
  <c r="N36" i="2" s="1"/>
  <c r="N37" i="2" s="1"/>
  <c r="B299" i="1"/>
  <c r="O37" i="2" s="1"/>
  <c r="D299" i="1"/>
  <c r="O38" i="2" s="1"/>
  <c r="G287" i="1"/>
  <c r="G289" i="1" s="1"/>
  <c r="J1" i="1" s="1"/>
  <c r="E460" i="1"/>
  <c r="E76" i="4" s="1"/>
  <c r="E466" i="1"/>
  <c r="E82" i="4" s="1"/>
  <c r="E468" i="1"/>
  <c r="E84" i="4" s="1"/>
  <c r="E454" i="1"/>
  <c r="E70" i="4" s="1"/>
  <c r="E461" i="1"/>
  <c r="E77" i="4" s="1"/>
  <c r="E455" i="1"/>
  <c r="E71" i="4" s="1"/>
  <c r="E456" i="1"/>
  <c r="E72" i="4" s="1"/>
  <c r="O73" i="2"/>
  <c r="F298" i="1"/>
  <c r="G298" i="1" s="1"/>
  <c r="O59" i="2"/>
  <c r="F303" i="1"/>
  <c r="G303" i="1" s="1"/>
  <c r="F297" i="1"/>
  <c r="G297" i="1" s="1"/>
  <c r="D448" i="1"/>
  <c r="C64" i="4" s="1"/>
  <c r="B448" i="1"/>
  <c r="E448" i="1"/>
  <c r="E64" i="4" s="1"/>
  <c r="E312" i="1"/>
  <c r="D73" i="2" s="1"/>
  <c r="D74" i="2" s="1"/>
  <c r="C310" i="1"/>
  <c r="I64" i="2" s="1"/>
  <c r="I65" i="2" s="1"/>
  <c r="B310" i="1"/>
  <c r="E310" i="1"/>
  <c r="I66" i="2" s="1"/>
  <c r="I67" i="2" s="1"/>
  <c r="D313" i="1"/>
  <c r="C313" i="1"/>
  <c r="I71" i="2" s="1"/>
  <c r="I72" i="2" s="1"/>
  <c r="E313" i="1"/>
  <c r="I73" i="2" s="1"/>
  <c r="I74" i="2" s="1"/>
  <c r="B318" i="1"/>
  <c r="C318" i="1"/>
  <c r="D85" i="2" s="1"/>
  <c r="D86" i="2" s="1"/>
  <c r="D320" i="1"/>
  <c r="E320" i="1"/>
  <c r="N87" i="2" s="1"/>
  <c r="N88" i="2" s="1"/>
  <c r="C320" i="1"/>
  <c r="N85" i="2" s="1"/>
  <c r="N86" i="2" s="1"/>
  <c r="B315" i="1"/>
  <c r="E315" i="1"/>
  <c r="D80" i="2" s="1"/>
  <c r="D81" i="2" s="1"/>
  <c r="C315" i="1"/>
  <c r="D78" i="2" s="1"/>
  <c r="D79" i="2" s="1"/>
  <c r="B305" i="1"/>
  <c r="E305" i="1"/>
  <c r="N52" i="2" s="1"/>
  <c r="N53" i="2" s="1"/>
  <c r="C305" i="1"/>
  <c r="N50" i="2" s="1"/>
  <c r="N51" i="2" s="1"/>
  <c r="B316" i="1"/>
  <c r="E316" i="1" s="1"/>
  <c r="I80" i="2" s="1"/>
  <c r="I81" i="2" s="1"/>
  <c r="C316" i="1"/>
  <c r="I78" i="2" s="1"/>
  <c r="I79" i="2" s="1"/>
  <c r="D311" i="1"/>
  <c r="E311" i="1"/>
  <c r="N66" i="2" s="1"/>
  <c r="N67" i="2" s="1"/>
  <c r="B87" i="4" a="1"/>
  <c r="C309" i="1" l="1"/>
  <c r="D64" i="2" s="1"/>
  <c r="D65" i="2" s="1"/>
  <c r="C307" i="1"/>
  <c r="I57" i="2" s="1"/>
  <c r="I58" i="2" s="1"/>
  <c r="B53" i="5"/>
  <c r="C300" i="1"/>
  <c r="D43" i="2" s="1"/>
  <c r="D44" i="2" s="1"/>
  <c r="C304" i="1"/>
  <c r="I50" i="2" s="1"/>
  <c r="I51" i="2" s="1"/>
  <c r="C448" i="1"/>
  <c r="D64" i="4" s="1"/>
  <c r="C451" i="1"/>
  <c r="D67" i="4" s="1"/>
  <c r="B49" i="5"/>
  <c r="C447" i="1"/>
  <c r="D63" i="4" s="1"/>
  <c r="E66" i="2"/>
  <c r="E59" i="2"/>
  <c r="B60" i="5"/>
  <c r="B70" i="5"/>
  <c r="F301" i="1"/>
  <c r="G301" i="1" s="1"/>
  <c r="B59" i="5"/>
  <c r="B65" i="5"/>
  <c r="B67" i="5"/>
  <c r="B58" i="5"/>
  <c r="B66" i="5"/>
  <c r="B72" i="5"/>
  <c r="B64" i="5"/>
  <c r="B87" i="4"/>
  <c r="B64" i="4"/>
  <c r="B81" i="4"/>
  <c r="B75" i="4"/>
  <c r="B63" i="4"/>
  <c r="B72" i="4"/>
  <c r="B67" i="4"/>
  <c r="F312" i="1"/>
  <c r="G312" i="1" s="1"/>
  <c r="F307" i="1"/>
  <c r="G307" i="1" s="1"/>
  <c r="F300" i="1"/>
  <c r="G300" i="1" s="1"/>
  <c r="C465" i="1"/>
  <c r="D81" i="4" s="1"/>
  <c r="F302" i="1"/>
  <c r="G302" i="1" s="1"/>
  <c r="O80" i="2"/>
  <c r="F317" i="1"/>
  <c r="G317" i="1" s="1"/>
  <c r="C459" i="1"/>
  <c r="D75" i="4" s="1"/>
  <c r="J3" i="1"/>
  <c r="F304" i="1"/>
  <c r="G304" i="1" s="1"/>
  <c r="D319" i="1"/>
  <c r="J87" i="2" s="1"/>
  <c r="F299" i="1"/>
  <c r="G299" i="1" s="1"/>
  <c r="B319" i="1"/>
  <c r="J86" i="2" s="1"/>
  <c r="E319" i="1"/>
  <c r="I87" i="2" s="1"/>
  <c r="I88" i="2" s="1"/>
  <c r="F311" i="1"/>
  <c r="G311" i="1" s="1"/>
  <c r="O66" i="2"/>
  <c r="F305" i="1"/>
  <c r="G305" i="1" s="1"/>
  <c r="O51" i="2"/>
  <c r="E318" i="1"/>
  <c r="D87" i="2" s="1"/>
  <c r="D88" i="2" s="1"/>
  <c r="E86" i="2"/>
  <c r="F316" i="1"/>
  <c r="G316" i="1" s="1"/>
  <c r="J79" i="2"/>
  <c r="F315" i="1"/>
  <c r="G315" i="1" s="1"/>
  <c r="E79" i="2"/>
  <c r="F313" i="1"/>
  <c r="G313" i="1" s="1"/>
  <c r="J73" i="2"/>
  <c r="F310" i="1"/>
  <c r="G310" i="1" s="1"/>
  <c r="J65" i="2"/>
  <c r="F320" i="1"/>
  <c r="G320" i="1" s="1"/>
  <c r="O87" i="2"/>
  <c r="C311" i="1"/>
  <c r="N64" i="2" s="1"/>
  <c r="N65" i="2" s="1"/>
  <c r="F318" i="1"/>
  <c r="G318" i="1" s="1"/>
  <c r="K98" i="4" a="1"/>
  <c r="K106" i="4" a="1"/>
  <c r="K121" i="4" a="1"/>
  <c r="K42" i="4" a="1"/>
  <c r="K69" i="4" a="1"/>
  <c r="K122" i="4" a="1"/>
  <c r="K50" i="4" a="1"/>
  <c r="K112" i="4" a="1"/>
  <c r="K95" i="4" a="1"/>
  <c r="K63" i="4" a="1"/>
  <c r="K49" i="4" a="1"/>
  <c r="K78" i="4" a="1"/>
  <c r="K110" i="4" a="1"/>
  <c r="K36" i="4" a="1"/>
  <c r="K108" i="4" a="1"/>
  <c r="K79" i="4" a="1"/>
  <c r="K118" i="4" a="1"/>
  <c r="K101" i="4" a="1"/>
  <c r="K100" i="4" a="1"/>
  <c r="K68" i="4" a="1"/>
  <c r="K47" i="4" a="1"/>
  <c r="K59" i="4" a="1"/>
  <c r="K67" i="4" a="1"/>
  <c r="K90" i="4" a="1"/>
  <c r="K88" i="4" a="1"/>
  <c r="K82" i="4" a="1"/>
  <c r="K35" i="4" a="1"/>
  <c r="K117" i="4" a="1"/>
  <c r="K73" i="4" a="1"/>
  <c r="K51" i="4" a="1"/>
  <c r="K62" i="4" a="1"/>
  <c r="K83" i="4" a="1"/>
  <c r="K107" i="4" a="1"/>
  <c r="K66" i="4" a="1"/>
  <c r="K97" i="4" a="1"/>
  <c r="K54" i="4" a="1"/>
  <c r="K133" i="4" a="1"/>
  <c r="K34" i="4" a="1"/>
  <c r="K120" i="4" a="1"/>
  <c r="K94" i="4" a="1"/>
  <c r="K114" i="4" a="1"/>
  <c r="K71" i="4" a="1"/>
  <c r="K127" i="4" a="1"/>
  <c r="K38" i="4" a="1"/>
  <c r="K39" i="4" a="1"/>
  <c r="K74" i="4" a="1"/>
  <c r="K58" i="4" a="1"/>
  <c r="K44" i="4" a="1"/>
  <c r="K109" i="4" a="1"/>
  <c r="K126" i="4" a="1"/>
  <c r="K128" i="4" a="1"/>
  <c r="K89" i="4" a="1"/>
  <c r="K33" i="4" a="1"/>
  <c r="K86" i="4" a="1"/>
  <c r="K45" i="4" a="1"/>
  <c r="K57" i="4" a="1"/>
  <c r="K119" i="4" a="1"/>
  <c r="K53" i="4" a="1"/>
  <c r="K56" i="4" a="1"/>
  <c r="K77" i="4" a="1"/>
  <c r="K46" i="4" a="1"/>
  <c r="K111" i="4" a="1"/>
  <c r="K87" i="4" a="1"/>
  <c r="K40" i="4" a="1"/>
  <c r="K48" i="4" a="1"/>
  <c r="K105" i="4" a="1"/>
  <c r="K60" i="4" a="1"/>
  <c r="K37" i="4" a="1"/>
  <c r="K130" i="4" a="1"/>
  <c r="K134" i="4" a="1"/>
  <c r="K125" i="4" a="1"/>
  <c r="K124" i="4" a="1"/>
  <c r="K81" i="4" a="1"/>
  <c r="K72" i="4" a="1"/>
  <c r="K64" i="4" a="1"/>
  <c r="K115" i="4" a="1"/>
  <c r="K70" i="4" a="1"/>
  <c r="K52" i="4" a="1"/>
  <c r="K93" i="4" a="1"/>
  <c r="K99" i="4" a="1"/>
  <c r="K123" i="4" a="1"/>
  <c r="K116" i="4" a="1"/>
  <c r="K96" i="4" a="1"/>
  <c r="K102" i="4" a="1"/>
  <c r="K41" i="4" a="1"/>
  <c r="K75" i="4" a="1"/>
  <c r="K104" i="4" a="1"/>
  <c r="K131" i="4" a="1"/>
  <c r="K76" i="4" a="1"/>
  <c r="K92" i="4" a="1"/>
  <c r="K91" i="4" a="1"/>
  <c r="K84" i="4" a="1"/>
  <c r="K32" i="4" a="1"/>
  <c r="K103" i="4" a="1"/>
  <c r="K80" i="4" a="1"/>
  <c r="K65" i="4" a="1"/>
  <c r="K61" i="4" a="1"/>
  <c r="K85" i="4" a="1"/>
  <c r="K129" i="4" a="1"/>
  <c r="K113" i="4" a="1"/>
  <c r="B52" i="5" l="1"/>
  <c r="B55" i="5"/>
  <c r="B51" i="5"/>
  <c r="B69" i="5"/>
  <c r="B63" i="5"/>
  <c r="CI133" i="4"/>
  <c r="CH133" i="4"/>
  <c r="CK133" i="4"/>
  <c r="CJ133" i="4"/>
  <c r="K133" i="4"/>
  <c r="CH134" i="4"/>
  <c r="CK134" i="4"/>
  <c r="CI134" i="4"/>
  <c r="CJ134" i="4"/>
  <c r="K134" i="4"/>
  <c r="CH41" i="4"/>
  <c r="CI41" i="4"/>
  <c r="CJ41" i="4"/>
  <c r="CK41" i="4"/>
  <c r="K41" i="4"/>
  <c r="CK44" i="4"/>
  <c r="CJ44" i="4"/>
  <c r="CI44" i="4"/>
  <c r="CH44" i="4"/>
  <c r="K44" i="4"/>
  <c r="CH53" i="4"/>
  <c r="CI53" i="4"/>
  <c r="CJ53" i="4"/>
  <c r="CK53" i="4"/>
  <c r="K53" i="4"/>
  <c r="CH45" i="4"/>
  <c r="CI45" i="4"/>
  <c r="CJ45" i="4"/>
  <c r="CK45" i="4"/>
  <c r="K45" i="4"/>
  <c r="CH52" i="4"/>
  <c r="CI52" i="4"/>
  <c r="CJ52" i="4"/>
  <c r="CK52" i="4"/>
  <c r="K52" i="4"/>
  <c r="CH51" i="4"/>
  <c r="CI51" i="4"/>
  <c r="CJ51" i="4"/>
  <c r="CK51" i="4"/>
  <c r="K51" i="4"/>
  <c r="CH50" i="4"/>
  <c r="CI50" i="4"/>
  <c r="CJ50" i="4"/>
  <c r="CK50" i="4"/>
  <c r="K50" i="4"/>
  <c r="CH49" i="4"/>
  <c r="CI49" i="4"/>
  <c r="CJ49" i="4"/>
  <c r="CK49" i="4"/>
  <c r="K49" i="4"/>
  <c r="CH48" i="4"/>
  <c r="CI48" i="4"/>
  <c r="CK48" i="4"/>
  <c r="CJ48" i="4"/>
  <c r="K48" i="4"/>
  <c r="CH47" i="4"/>
  <c r="CI47" i="4"/>
  <c r="CJ47" i="4"/>
  <c r="CK47" i="4"/>
  <c r="K47" i="4"/>
  <c r="CH54" i="4"/>
  <c r="CI54" i="4"/>
  <c r="CJ54" i="4"/>
  <c r="CK54" i="4"/>
  <c r="K54" i="4"/>
  <c r="CH46" i="4"/>
  <c r="CI46" i="4"/>
  <c r="CK46" i="4"/>
  <c r="CJ46" i="4"/>
  <c r="K46" i="4"/>
  <c r="CK56" i="4"/>
  <c r="CJ56" i="4"/>
  <c r="CI56" i="4"/>
  <c r="CH56" i="4"/>
  <c r="K56" i="4"/>
  <c r="CK58" i="4"/>
  <c r="K58" i="4"/>
  <c r="CI58" i="4"/>
  <c r="CH58" i="4"/>
  <c r="CJ58" i="4"/>
  <c r="K72" i="4"/>
  <c r="CJ72" i="4"/>
  <c r="CI72" i="4"/>
  <c r="CK72" i="4"/>
  <c r="CH72" i="4"/>
  <c r="CK64" i="4"/>
  <c r="CI64" i="4"/>
  <c r="CH64" i="4"/>
  <c r="K64" i="4"/>
  <c r="CJ64" i="4"/>
  <c r="CH71" i="4"/>
  <c r="CI71" i="4"/>
  <c r="CJ71" i="4"/>
  <c r="CK71" i="4"/>
  <c r="K71" i="4"/>
  <c r="CK59" i="4"/>
  <c r="CH59" i="4"/>
  <c r="CI59" i="4"/>
  <c r="K59" i="4"/>
  <c r="CJ59" i="4"/>
  <c r="CJ66" i="4"/>
  <c r="CK66" i="4"/>
  <c r="K66" i="4"/>
  <c r="CH66" i="4"/>
  <c r="CI66" i="4"/>
  <c r="CK68" i="4"/>
  <c r="CH68" i="4"/>
  <c r="CI68" i="4"/>
  <c r="K68" i="4"/>
  <c r="CJ68" i="4"/>
  <c r="CJ60" i="4"/>
  <c r="CK60" i="4"/>
  <c r="CH60" i="4"/>
  <c r="CI60" i="4"/>
  <c r="K60" i="4"/>
  <c r="K67" i="4"/>
  <c r="CI67" i="4"/>
  <c r="CH67" i="4"/>
  <c r="CJ67" i="4"/>
  <c r="CK67" i="4"/>
  <c r="CJ63" i="4"/>
  <c r="CH63" i="4"/>
  <c r="K63" i="4"/>
  <c r="CK63" i="4"/>
  <c r="CI63" i="4"/>
  <c r="K70" i="4"/>
  <c r="CK70" i="4"/>
  <c r="CI70" i="4"/>
  <c r="CH70" i="4"/>
  <c r="CJ70" i="4"/>
  <c r="CI62" i="4"/>
  <c r="CJ62" i="4"/>
  <c r="CH62" i="4"/>
  <c r="CK62" i="4"/>
  <c r="K62" i="4"/>
  <c r="CH69" i="4"/>
  <c r="CK69" i="4"/>
  <c r="CI69" i="4"/>
  <c r="CJ69" i="4"/>
  <c r="K69" i="4"/>
  <c r="CJ65" i="4"/>
  <c r="CK65" i="4"/>
  <c r="CH65" i="4"/>
  <c r="CI65" i="4"/>
  <c r="K65" i="4"/>
  <c r="CK61" i="4"/>
  <c r="CJ61" i="4"/>
  <c r="K61" i="4"/>
  <c r="CH61" i="4"/>
  <c r="CI61" i="4"/>
  <c r="CK57" i="4"/>
  <c r="K57" i="4"/>
  <c r="CI57" i="4"/>
  <c r="CH57" i="4"/>
  <c r="CJ57" i="4"/>
  <c r="CH128" i="4"/>
  <c r="CI128" i="4"/>
  <c r="CJ128" i="4"/>
  <c r="CK128" i="4"/>
  <c r="K128" i="4"/>
  <c r="CH116" i="4"/>
  <c r="CI116" i="4"/>
  <c r="CJ116" i="4"/>
  <c r="CK116" i="4"/>
  <c r="K116" i="4"/>
  <c r="CH104" i="4"/>
  <c r="CI104" i="4"/>
  <c r="CJ104" i="4"/>
  <c r="CK104" i="4"/>
  <c r="K104" i="4"/>
  <c r="CH92" i="4"/>
  <c r="CI92" i="4"/>
  <c r="CJ92" i="4"/>
  <c r="CK92" i="4"/>
  <c r="K92" i="4"/>
  <c r="CJ84" i="4"/>
  <c r="CK84" i="4"/>
  <c r="CH84" i="4"/>
  <c r="CI84" i="4"/>
  <c r="K84" i="4"/>
  <c r="CJ131" i="4"/>
  <c r="CK131" i="4"/>
  <c r="CI131" i="4"/>
  <c r="CH131" i="4"/>
  <c r="K131" i="4"/>
  <c r="CJ119" i="4"/>
  <c r="CK119" i="4"/>
  <c r="CH119" i="4"/>
  <c r="CI119" i="4"/>
  <c r="K119" i="4"/>
  <c r="CJ107" i="4"/>
  <c r="CK107" i="4"/>
  <c r="CI107" i="4"/>
  <c r="CH107" i="4"/>
  <c r="K107" i="4"/>
  <c r="CJ95" i="4"/>
  <c r="CK95" i="4"/>
  <c r="CH95" i="4"/>
  <c r="CI95" i="4"/>
  <c r="K95" i="4"/>
  <c r="CH79" i="4"/>
  <c r="CI79" i="4"/>
  <c r="CJ79" i="4"/>
  <c r="CK79" i="4"/>
  <c r="K79" i="4"/>
  <c r="CH130" i="4"/>
  <c r="CI130" i="4"/>
  <c r="CJ130" i="4"/>
  <c r="CK130" i="4"/>
  <c r="K130" i="4"/>
  <c r="CH126" i="4"/>
  <c r="CI126" i="4"/>
  <c r="CJ126" i="4"/>
  <c r="CK126" i="4"/>
  <c r="K126" i="4"/>
  <c r="CH122" i="4"/>
  <c r="CI122" i="4"/>
  <c r="CJ122" i="4"/>
  <c r="CK122" i="4"/>
  <c r="K122" i="4"/>
  <c r="CH114" i="4"/>
  <c r="CI114" i="4"/>
  <c r="CJ114" i="4"/>
  <c r="CK114" i="4"/>
  <c r="K114" i="4"/>
  <c r="CH110" i="4"/>
  <c r="CI110" i="4"/>
  <c r="CJ110" i="4"/>
  <c r="CK110" i="4"/>
  <c r="K110" i="4"/>
  <c r="CH106" i="4"/>
  <c r="CI106" i="4"/>
  <c r="CJ106" i="4"/>
  <c r="CK106" i="4"/>
  <c r="K106" i="4"/>
  <c r="CH102" i="4"/>
  <c r="CI102" i="4"/>
  <c r="CJ102" i="4"/>
  <c r="CK102" i="4"/>
  <c r="K102" i="4"/>
  <c r="CH98" i="4"/>
  <c r="CI98" i="4"/>
  <c r="CJ98" i="4"/>
  <c r="CK98" i="4"/>
  <c r="K98" i="4"/>
  <c r="CH94" i="4"/>
  <c r="CI94" i="4"/>
  <c r="CJ94" i="4"/>
  <c r="CK94" i="4"/>
  <c r="K94" i="4"/>
  <c r="CH90" i="4"/>
  <c r="CI90" i="4"/>
  <c r="CJ90" i="4"/>
  <c r="CK90" i="4"/>
  <c r="K90" i="4"/>
  <c r="CJ86" i="4"/>
  <c r="CK86" i="4"/>
  <c r="CH86" i="4"/>
  <c r="CI86" i="4"/>
  <c r="K86" i="4"/>
  <c r="CJ78" i="4"/>
  <c r="CK78" i="4"/>
  <c r="CH78" i="4"/>
  <c r="CI78" i="4"/>
  <c r="K78" i="4"/>
  <c r="CJ74" i="4"/>
  <c r="CK74" i="4"/>
  <c r="CI74" i="4"/>
  <c r="CH74" i="4"/>
  <c r="K74" i="4"/>
  <c r="CH120" i="4"/>
  <c r="CI120" i="4"/>
  <c r="CJ120" i="4"/>
  <c r="CK120" i="4"/>
  <c r="K120" i="4"/>
  <c r="CH108" i="4"/>
  <c r="CI108" i="4"/>
  <c r="CJ108" i="4"/>
  <c r="CK108" i="4"/>
  <c r="K108" i="4"/>
  <c r="CH96" i="4"/>
  <c r="CI96" i="4"/>
  <c r="CJ96" i="4"/>
  <c r="CK96" i="4"/>
  <c r="K96" i="4"/>
  <c r="CJ76" i="4"/>
  <c r="CK76" i="4"/>
  <c r="CH76" i="4"/>
  <c r="CI76" i="4"/>
  <c r="K76" i="4"/>
  <c r="CJ127" i="4"/>
  <c r="CK127" i="4"/>
  <c r="CH127" i="4"/>
  <c r="CI127" i="4"/>
  <c r="K127" i="4"/>
  <c r="CJ115" i="4"/>
  <c r="CK115" i="4"/>
  <c r="CH115" i="4"/>
  <c r="CI115" i="4"/>
  <c r="K115" i="4"/>
  <c r="CJ103" i="4"/>
  <c r="CK103" i="4"/>
  <c r="CH103" i="4"/>
  <c r="CI103" i="4"/>
  <c r="K103" i="4"/>
  <c r="CJ87" i="4"/>
  <c r="CK87" i="4"/>
  <c r="CH87" i="4"/>
  <c r="CI87" i="4"/>
  <c r="K87" i="4"/>
  <c r="CH75" i="4"/>
  <c r="CI75" i="4"/>
  <c r="CJ75" i="4"/>
  <c r="CK75" i="4"/>
  <c r="K75" i="4"/>
  <c r="CH118" i="4"/>
  <c r="CI118" i="4"/>
  <c r="CJ118" i="4"/>
  <c r="CK118" i="4"/>
  <c r="K118" i="4"/>
  <c r="CJ82" i="4"/>
  <c r="CK82" i="4"/>
  <c r="CH82" i="4"/>
  <c r="CI82" i="4"/>
  <c r="K82" i="4"/>
  <c r="CH124" i="4"/>
  <c r="CI124" i="4"/>
  <c r="CJ124" i="4"/>
  <c r="CK124" i="4"/>
  <c r="K124" i="4"/>
  <c r="CH112" i="4"/>
  <c r="CI112" i="4"/>
  <c r="CJ112" i="4"/>
  <c r="CK112" i="4"/>
  <c r="K112" i="4"/>
  <c r="CH100" i="4"/>
  <c r="CI100" i="4"/>
  <c r="CJ100" i="4"/>
  <c r="CK100" i="4"/>
  <c r="K100" i="4"/>
  <c r="CH88" i="4"/>
  <c r="CI88" i="4"/>
  <c r="CJ88" i="4"/>
  <c r="CK88" i="4"/>
  <c r="K88" i="4"/>
  <c r="CJ80" i="4"/>
  <c r="CK80" i="4"/>
  <c r="CH80" i="4"/>
  <c r="CI80" i="4"/>
  <c r="K80" i="4"/>
  <c r="CJ123" i="4"/>
  <c r="CK123" i="4"/>
  <c r="CH123" i="4"/>
  <c r="CI123" i="4"/>
  <c r="K123" i="4"/>
  <c r="CJ111" i="4"/>
  <c r="CK111" i="4"/>
  <c r="CH111" i="4"/>
  <c r="CI111" i="4"/>
  <c r="K111" i="4"/>
  <c r="CJ99" i="4"/>
  <c r="CK99" i="4"/>
  <c r="CH99" i="4"/>
  <c r="CI99" i="4"/>
  <c r="K99" i="4"/>
  <c r="CJ91" i="4"/>
  <c r="CK91" i="4"/>
  <c r="CH91" i="4"/>
  <c r="CI91" i="4"/>
  <c r="K91" i="4"/>
  <c r="CH83" i="4"/>
  <c r="CI83" i="4"/>
  <c r="CJ83" i="4"/>
  <c r="CK83" i="4"/>
  <c r="K83" i="4"/>
  <c r="CJ129" i="4"/>
  <c r="CK129" i="4"/>
  <c r="CI129" i="4"/>
  <c r="CH129" i="4"/>
  <c r="K129" i="4"/>
  <c r="CJ125" i="4"/>
  <c r="CK125" i="4"/>
  <c r="CH125" i="4"/>
  <c r="CI125" i="4"/>
  <c r="K125" i="4"/>
  <c r="CJ121" i="4"/>
  <c r="CK121" i="4"/>
  <c r="CH121" i="4"/>
  <c r="CI121" i="4"/>
  <c r="K121" i="4"/>
  <c r="CJ117" i="4"/>
  <c r="CK117" i="4"/>
  <c r="CH117" i="4"/>
  <c r="CI117" i="4"/>
  <c r="K117" i="4"/>
  <c r="CJ113" i="4"/>
  <c r="CK113" i="4"/>
  <c r="CI113" i="4"/>
  <c r="CH113" i="4"/>
  <c r="K113" i="4"/>
  <c r="CJ109" i="4"/>
  <c r="CK109" i="4"/>
  <c r="CH109" i="4"/>
  <c r="CI109" i="4"/>
  <c r="K109" i="4"/>
  <c r="CJ105" i="4"/>
  <c r="CK105" i="4"/>
  <c r="CH105" i="4"/>
  <c r="CI105" i="4"/>
  <c r="K105" i="4"/>
  <c r="CJ101" i="4"/>
  <c r="CK101" i="4"/>
  <c r="CH101" i="4"/>
  <c r="CI101" i="4"/>
  <c r="K101" i="4"/>
  <c r="CJ97" i="4"/>
  <c r="CK97" i="4"/>
  <c r="CH97" i="4"/>
  <c r="CI97" i="4"/>
  <c r="K97" i="4"/>
  <c r="CJ93" i="4"/>
  <c r="CK93" i="4"/>
  <c r="CH93" i="4"/>
  <c r="CI93" i="4"/>
  <c r="K93" i="4"/>
  <c r="CJ89" i="4"/>
  <c r="CK89" i="4"/>
  <c r="CH89" i="4"/>
  <c r="CI89" i="4"/>
  <c r="K89" i="4"/>
  <c r="CH85" i="4"/>
  <c r="CI85" i="4"/>
  <c r="CJ85" i="4"/>
  <c r="CK85" i="4"/>
  <c r="K85" i="4"/>
  <c r="CH81" i="4"/>
  <c r="CI81" i="4"/>
  <c r="CJ81" i="4"/>
  <c r="CK81" i="4"/>
  <c r="K81" i="4"/>
  <c r="CH77" i="4"/>
  <c r="CI77" i="4"/>
  <c r="CJ77" i="4"/>
  <c r="CK77" i="4"/>
  <c r="K77" i="4"/>
  <c r="CH73" i="4"/>
  <c r="CI73" i="4"/>
  <c r="CJ73" i="4"/>
  <c r="CK73" i="4"/>
  <c r="K73" i="4"/>
  <c r="C319" i="1"/>
  <c r="I85" i="2" s="1"/>
  <c r="I86" i="2" s="1"/>
  <c r="CH32" i="4"/>
  <c r="CK32" i="4"/>
  <c r="CJ32" i="4"/>
  <c r="CI32" i="4"/>
  <c r="K32" i="4"/>
  <c r="CK36" i="4"/>
  <c r="CH36" i="4"/>
  <c r="CI36" i="4"/>
  <c r="CJ36" i="4"/>
  <c r="K36" i="4"/>
  <c r="CK40" i="4"/>
  <c r="CH40" i="4"/>
  <c r="CI40" i="4"/>
  <c r="CJ40" i="4"/>
  <c r="K40" i="4"/>
  <c r="CH35" i="4"/>
  <c r="CI35" i="4"/>
  <c r="CJ35" i="4"/>
  <c r="CK35" i="4"/>
  <c r="K35" i="4"/>
  <c r="CH39" i="4"/>
  <c r="CI39" i="4"/>
  <c r="CJ39" i="4"/>
  <c r="CK39" i="4"/>
  <c r="K39" i="4"/>
  <c r="CK34" i="4"/>
  <c r="CH34" i="4"/>
  <c r="CI34" i="4"/>
  <c r="CJ34" i="4"/>
  <c r="K34" i="4"/>
  <c r="CH38" i="4"/>
  <c r="CI38" i="4"/>
  <c r="CJ38" i="4"/>
  <c r="K38" i="4"/>
  <c r="CK38" i="4"/>
  <c r="CI42" i="4"/>
  <c r="CJ42" i="4"/>
  <c r="CK42" i="4"/>
  <c r="K42" i="4"/>
  <c r="CH42" i="4"/>
  <c r="CH37" i="4"/>
  <c r="CI37" i="4"/>
  <c r="CJ37" i="4"/>
  <c r="CK37" i="4"/>
  <c r="K37" i="4"/>
  <c r="CK33" i="4"/>
  <c r="K33" i="4"/>
  <c r="CH33" i="4"/>
  <c r="CI33" i="4"/>
  <c r="CJ33" i="4"/>
  <c r="J10" i="1"/>
  <c r="F319" i="1"/>
  <c r="G319" i="1" s="1"/>
  <c r="G321" i="1" s="1"/>
  <c r="J2" i="1" s="1"/>
  <c r="M59" i="5" a="1"/>
  <c r="M67" i="5" a="1"/>
  <c r="M79" i="5" a="1"/>
  <c r="M39" i="5" a="1"/>
  <c r="M71" i="5" a="1"/>
  <c r="M42" i="5" a="1"/>
  <c r="M45" i="5" a="1"/>
  <c r="M61" i="5" a="1"/>
  <c r="M76" i="5" a="1"/>
  <c r="M60" i="5" a="1"/>
  <c r="M56" i="5" a="1"/>
  <c r="M53" i="5" a="1"/>
  <c r="M37" i="5" a="1"/>
  <c r="M77" i="5" a="1"/>
  <c r="M54" i="5" a="1"/>
  <c r="M80" i="5" a="1"/>
  <c r="M47" i="5" a="1"/>
  <c r="M69" i="5" a="1"/>
  <c r="M68" i="5" a="1"/>
  <c r="M62" i="5" a="1"/>
  <c r="M58" i="5" a="1"/>
  <c r="M78" i="5" a="1"/>
  <c r="M43" i="5" a="1"/>
  <c r="M74" i="5" a="1"/>
  <c r="M63" i="5" a="1"/>
  <c r="M49" i="5" a="1"/>
  <c r="M52" i="5" a="1"/>
  <c r="M46" i="5" a="1"/>
  <c r="M38" i="5" a="1"/>
  <c r="M40" i="5" a="1"/>
  <c r="M51" i="5" a="1"/>
  <c r="M66" i="5" a="1"/>
  <c r="M75" i="5" a="1"/>
  <c r="M73" i="5" a="1"/>
  <c r="M70" i="5" a="1"/>
  <c r="M72" i="5" a="1"/>
  <c r="M65" i="5" a="1"/>
  <c r="M36" i="5" a="1"/>
  <c r="M35" i="5" a="1"/>
  <c r="M48" i="5" a="1"/>
  <c r="M34" i="5" a="1"/>
  <c r="M44" i="5" a="1"/>
  <c r="M41" i="5" a="1"/>
  <c r="M55" i="5" a="1"/>
  <c r="CJ65" i="5" l="1"/>
  <c r="CK65" i="5"/>
  <c r="CL65" i="5"/>
  <c r="CM65" i="5"/>
  <c r="M65" i="5"/>
  <c r="CM58" i="5"/>
  <c r="CJ58" i="5"/>
  <c r="CL58" i="5"/>
  <c r="CK58" i="5"/>
  <c r="M58" i="5"/>
  <c r="CM51" i="5"/>
  <c r="CL51" i="5"/>
  <c r="CK51" i="5"/>
  <c r="CJ51" i="5"/>
  <c r="M51" i="5"/>
  <c r="CJ67" i="5"/>
  <c r="CK67" i="5"/>
  <c r="M67" i="5"/>
  <c r="CL67" i="5"/>
  <c r="CM67" i="5"/>
  <c r="M71" i="5"/>
  <c r="CJ71" i="5"/>
  <c r="CK71" i="5"/>
  <c r="CL71" i="5"/>
  <c r="CM71" i="5"/>
  <c r="CJ75" i="5"/>
  <c r="CK75" i="5"/>
  <c r="CL75" i="5"/>
  <c r="CM75" i="5"/>
  <c r="M75" i="5"/>
  <c r="CL79" i="5"/>
  <c r="CJ79" i="5"/>
  <c r="M79" i="5"/>
  <c r="CK79" i="5"/>
  <c r="CM79" i="5"/>
  <c r="CM68" i="5"/>
  <c r="CJ68" i="5"/>
  <c r="CK68" i="5"/>
  <c r="CL68" i="5"/>
  <c r="M68" i="5"/>
  <c r="CK72" i="5"/>
  <c r="CM72" i="5"/>
  <c r="M72" i="5"/>
  <c r="CJ72" i="5"/>
  <c r="CL72" i="5"/>
  <c r="CM76" i="5"/>
  <c r="CJ76" i="5"/>
  <c r="CK76" i="5"/>
  <c r="CL76" i="5"/>
  <c r="M76" i="5"/>
  <c r="M80" i="5"/>
  <c r="CM80" i="5"/>
  <c r="CJ80" i="5"/>
  <c r="CL80" i="5"/>
  <c r="CK80" i="5"/>
  <c r="CM74" i="5"/>
  <c r="CJ74" i="5"/>
  <c r="M74" i="5"/>
  <c r="CK74" i="5"/>
  <c r="CL74" i="5"/>
  <c r="M69" i="5"/>
  <c r="CL69" i="5"/>
  <c r="CJ69" i="5"/>
  <c r="CK69" i="5"/>
  <c r="CM69" i="5"/>
  <c r="CJ73" i="5"/>
  <c r="CK73" i="5"/>
  <c r="CL73" i="5"/>
  <c r="CM73" i="5"/>
  <c r="M73" i="5"/>
  <c r="CL77" i="5"/>
  <c r="CJ77" i="5"/>
  <c r="M77" i="5"/>
  <c r="CK77" i="5"/>
  <c r="CM77" i="5"/>
  <c r="CM78" i="5"/>
  <c r="CJ78" i="5"/>
  <c r="CK78" i="5"/>
  <c r="CL78" i="5"/>
  <c r="M78" i="5"/>
  <c r="CM70" i="5"/>
  <c r="M70" i="5"/>
  <c r="CJ70" i="5"/>
  <c r="CK70" i="5"/>
  <c r="CL70" i="5"/>
  <c r="CM66" i="5"/>
  <c r="CJ66" i="5"/>
  <c r="CK66" i="5"/>
  <c r="M66" i="5"/>
  <c r="CL66" i="5"/>
  <c r="CM60" i="5"/>
  <c r="M60" i="5"/>
  <c r="CJ60" i="5"/>
  <c r="CK60" i="5"/>
  <c r="CL60" i="5"/>
  <c r="CJ61" i="5"/>
  <c r="CK61" i="5"/>
  <c r="CL61" i="5"/>
  <c r="CM61" i="5"/>
  <c r="M61" i="5"/>
  <c r="CM62" i="5"/>
  <c r="M62" i="5"/>
  <c r="CJ62" i="5"/>
  <c r="CK62" i="5"/>
  <c r="CL62" i="5"/>
  <c r="CJ63" i="5"/>
  <c r="CK63" i="5"/>
  <c r="CL63" i="5"/>
  <c r="CM63" i="5"/>
  <c r="M63" i="5"/>
  <c r="CJ59" i="5"/>
  <c r="CK59" i="5"/>
  <c r="CL59" i="5"/>
  <c r="CM59" i="5"/>
  <c r="M59" i="5"/>
  <c r="CJ53" i="5"/>
  <c r="CK53" i="5"/>
  <c r="CL53" i="5"/>
  <c r="CM53" i="5"/>
  <c r="M53" i="5"/>
  <c r="M54" i="5"/>
  <c r="CM54" i="5"/>
  <c r="CJ54" i="5"/>
  <c r="CK54" i="5"/>
  <c r="CL54" i="5"/>
  <c r="CJ55" i="5"/>
  <c r="CK55" i="5"/>
  <c r="M55" i="5"/>
  <c r="CL55" i="5"/>
  <c r="CM55" i="5"/>
  <c r="M56" i="5"/>
  <c r="CM56" i="5"/>
  <c r="CJ56" i="5"/>
  <c r="CK56" i="5"/>
  <c r="CL56" i="5"/>
  <c r="CM52" i="5"/>
  <c r="CJ52" i="5"/>
  <c r="CK52" i="5"/>
  <c r="CL52" i="5"/>
  <c r="M52" i="5"/>
  <c r="M35" i="5"/>
  <c r="CJ35" i="5"/>
  <c r="CK35" i="5"/>
  <c r="CL35" i="5"/>
  <c r="CM35" i="5"/>
  <c r="CJ39" i="5"/>
  <c r="CK39" i="5"/>
  <c r="CL39" i="5"/>
  <c r="M39" i="5"/>
  <c r="CM39" i="5"/>
  <c r="M43" i="5"/>
  <c r="CJ43" i="5"/>
  <c r="CK43" i="5"/>
  <c r="CL43" i="5"/>
  <c r="CM43" i="5"/>
  <c r="CJ47" i="5"/>
  <c r="M47" i="5"/>
  <c r="CK47" i="5"/>
  <c r="CL47" i="5"/>
  <c r="CM47" i="5"/>
  <c r="CM36" i="5"/>
  <c r="CJ36" i="5"/>
  <c r="CK36" i="5"/>
  <c r="CL36" i="5"/>
  <c r="M36" i="5"/>
  <c r="CM40" i="5"/>
  <c r="CJ40" i="5"/>
  <c r="CK40" i="5"/>
  <c r="CL40" i="5"/>
  <c r="M40" i="5"/>
  <c r="CM44" i="5"/>
  <c r="CJ44" i="5"/>
  <c r="M44" i="5"/>
  <c r="CK44" i="5"/>
  <c r="CL44" i="5"/>
  <c r="CM48" i="5"/>
  <c r="CJ48" i="5"/>
  <c r="CK48" i="5"/>
  <c r="CL48" i="5"/>
  <c r="M48" i="5"/>
  <c r="M37" i="5"/>
  <c r="CJ37" i="5"/>
  <c r="CK37" i="5"/>
  <c r="CL37" i="5"/>
  <c r="CM37" i="5"/>
  <c r="CJ41" i="5"/>
  <c r="CK41" i="5"/>
  <c r="CL41" i="5"/>
  <c r="M41" i="5"/>
  <c r="CM41" i="5"/>
  <c r="M45" i="5"/>
  <c r="CJ45" i="5"/>
  <c r="CK45" i="5"/>
  <c r="CL45" i="5"/>
  <c r="CM45" i="5"/>
  <c r="CJ49" i="5"/>
  <c r="M49" i="5"/>
  <c r="CK49" i="5"/>
  <c r="CL49" i="5"/>
  <c r="CM49" i="5"/>
  <c r="CM38" i="5"/>
  <c r="CJ38" i="5"/>
  <c r="CK38" i="5"/>
  <c r="CL38" i="5"/>
  <c r="M38" i="5"/>
  <c r="CM42" i="5"/>
  <c r="CJ42" i="5"/>
  <c r="CK42" i="5"/>
  <c r="CL42" i="5"/>
  <c r="M42" i="5"/>
  <c r="CM46" i="5"/>
  <c r="CJ46" i="5"/>
  <c r="M46" i="5"/>
  <c r="CK46" i="5"/>
  <c r="CL46" i="5"/>
  <c r="CM34" i="5"/>
  <c r="CL34" i="5"/>
  <c r="CK34" i="5"/>
  <c r="CJ34" i="5"/>
  <c r="M34" i="5"/>
  <c r="F581" i="1"/>
  <c r="F586" i="1" s="1"/>
  <c r="B581" i="1"/>
  <c r="B586" i="1" s="1"/>
  <c r="CN33" i="4"/>
  <c r="B561" i="1"/>
  <c r="B562" i="1"/>
  <c r="CN44" i="4"/>
  <c r="CN32" i="4"/>
  <c r="B560" i="1"/>
  <c r="B563" i="1"/>
  <c r="CN45" i="4"/>
  <c r="J9" i="1"/>
  <c r="L9" i="1" s="1"/>
  <c r="Q9" i="1" s="1"/>
  <c r="D90" i="2"/>
  <c r="D92" i="2" s="1"/>
  <c r="D93" i="2" s="1"/>
  <c r="B567" i="1" l="1"/>
  <c r="B566" i="1"/>
  <c r="C588" i="1" s="1"/>
  <c r="L28" i="1" s="1"/>
  <c r="F566" i="1"/>
  <c r="F567" i="1"/>
  <c r="F585" i="1" s="1"/>
  <c r="G93" i="2"/>
  <c r="E94" i="2"/>
  <c r="D94" i="2"/>
  <c r="D95" i="2" s="1"/>
  <c r="E93" i="2"/>
  <c r="F92" i="2"/>
  <c r="F93" i="2" s="1"/>
  <c r="F90" i="2"/>
  <c r="F584" i="1" l="1"/>
  <c r="C948" i="1"/>
  <c r="D948" i="1" s="1"/>
  <c r="E948" i="1" s="1"/>
  <c r="B962" i="1" s="1"/>
  <c r="F962" i="1" s="1"/>
  <c r="G962" i="1" s="1"/>
  <c r="B976" i="1" s="1"/>
  <c r="D976" i="1" s="1"/>
  <c r="C951" i="1"/>
  <c r="D951" i="1" s="1"/>
  <c r="E951" i="1" s="1"/>
  <c r="B965" i="1" s="1"/>
  <c r="F965" i="1" s="1"/>
  <c r="G965" i="1" s="1"/>
  <c r="B979" i="1" s="1"/>
  <c r="D979" i="1" s="1"/>
  <c r="C944" i="1"/>
  <c r="D944" i="1" s="1"/>
  <c r="E944" i="1" s="1"/>
  <c r="B958" i="1" s="1"/>
  <c r="F958" i="1" s="1"/>
  <c r="G958" i="1" s="1"/>
  <c r="B972" i="1" s="1"/>
  <c r="D972" i="1" s="1"/>
  <c r="C950" i="1"/>
  <c r="D950" i="1" s="1"/>
  <c r="E950" i="1" s="1"/>
  <c r="B964" i="1" s="1"/>
  <c r="F964" i="1" s="1"/>
  <c r="G964" i="1" s="1"/>
  <c r="B978" i="1" s="1"/>
  <c r="D978" i="1" s="1"/>
  <c r="C947" i="1"/>
  <c r="D947" i="1" s="1"/>
  <c r="E947" i="1" s="1"/>
  <c r="B961" i="1" s="1"/>
  <c r="F961" i="1" s="1"/>
  <c r="G961" i="1" s="1"/>
  <c r="B975" i="1" s="1"/>
  <c r="D975" i="1" s="1"/>
  <c r="C949" i="1"/>
  <c r="D949" i="1" s="1"/>
  <c r="E949" i="1" s="1"/>
  <c r="B963" i="1" s="1"/>
  <c r="F963" i="1" s="1"/>
  <c r="G963" i="1" s="1"/>
  <c r="B977" i="1" s="1"/>
  <c r="D977" i="1" s="1"/>
  <c r="C954" i="1"/>
  <c r="D954" i="1" s="1"/>
  <c r="E954" i="1" s="1"/>
  <c r="B968" i="1" s="1"/>
  <c r="F968" i="1" s="1"/>
  <c r="G968" i="1" s="1"/>
  <c r="B982" i="1" s="1"/>
  <c r="D982" i="1" s="1"/>
  <c r="C946" i="1"/>
  <c r="D946" i="1" s="1"/>
  <c r="E946" i="1" s="1"/>
  <c r="B960" i="1" s="1"/>
  <c r="F960" i="1" s="1"/>
  <c r="G960" i="1" s="1"/>
  <c r="B974" i="1" s="1"/>
  <c r="D974" i="1" s="1"/>
  <c r="C953" i="1"/>
  <c r="D953" i="1" s="1"/>
  <c r="E953" i="1" s="1"/>
  <c r="B967" i="1" s="1"/>
  <c r="F967" i="1" s="1"/>
  <c r="G967" i="1" s="1"/>
  <c r="B981" i="1" s="1"/>
  <c r="D981" i="1" s="1"/>
  <c r="C945" i="1"/>
  <c r="D945" i="1" s="1"/>
  <c r="E945" i="1" s="1"/>
  <c r="B959" i="1" s="1"/>
  <c r="F959" i="1" s="1"/>
  <c r="G959" i="1" s="1"/>
  <c r="B973" i="1" s="1"/>
  <c r="D973" i="1" s="1"/>
  <c r="C952" i="1"/>
  <c r="D952" i="1" s="1"/>
  <c r="E952" i="1" s="1"/>
  <c r="B966" i="1" s="1"/>
  <c r="F966" i="1" s="1"/>
  <c r="G966" i="1" s="1"/>
  <c r="B980" i="1" s="1"/>
  <c r="D980" i="1" s="1"/>
  <c r="B585" i="1"/>
  <c r="C768" i="1"/>
  <c r="C774" i="1"/>
  <c r="C771" i="1"/>
  <c r="C777" i="1"/>
  <c r="C772" i="1"/>
  <c r="C769" i="1"/>
  <c r="C775" i="1"/>
  <c r="C767" i="1"/>
  <c r="D767" i="1" s="1"/>
  <c r="E767" i="1" s="1"/>
  <c r="C776" i="1"/>
  <c r="C773" i="1"/>
  <c r="C770" i="1"/>
  <c r="B584" i="1"/>
  <c r="C595" i="1"/>
  <c r="D595" i="1" s="1"/>
  <c r="E595" i="1" s="1"/>
  <c r="C592" i="1"/>
  <c r="D592" i="1" s="1"/>
  <c r="E592" i="1" s="1"/>
  <c r="C596" i="1"/>
  <c r="D596" i="1" s="1"/>
  <c r="E596" i="1" s="1"/>
  <c r="C597" i="1"/>
  <c r="D597" i="1" s="1"/>
  <c r="E597" i="1" s="1"/>
  <c r="C600" i="1"/>
  <c r="D600" i="1" s="1"/>
  <c r="E600" i="1" s="1"/>
  <c r="C594" i="1"/>
  <c r="D594" i="1" s="1"/>
  <c r="E594" i="1" s="1"/>
  <c r="C598" i="1"/>
  <c r="D598" i="1" s="1"/>
  <c r="E598" i="1" s="1"/>
  <c r="C599" i="1"/>
  <c r="D599" i="1" s="1"/>
  <c r="E599" i="1" s="1"/>
  <c r="C593" i="1"/>
  <c r="D593" i="1" s="1"/>
  <c r="E593" i="1" s="1"/>
  <c r="C601" i="1"/>
  <c r="D601" i="1" s="1"/>
  <c r="E601" i="1" s="1"/>
  <c r="C602" i="1"/>
  <c r="D602" i="1" s="1"/>
  <c r="E602" i="1" s="1"/>
  <c r="F982" i="1" l="1"/>
  <c r="C1014" i="1" s="1"/>
  <c r="D1014" i="1" s="1"/>
  <c r="E982" i="1"/>
  <c r="F977" i="1"/>
  <c r="C1009" i="1" s="1"/>
  <c r="D1009" i="1" s="1"/>
  <c r="E977" i="1"/>
  <c r="F975" i="1"/>
  <c r="C1007" i="1" s="1"/>
  <c r="D1007" i="1" s="1"/>
  <c r="E975" i="1"/>
  <c r="F978" i="1"/>
  <c r="C1010" i="1" s="1"/>
  <c r="D1010" i="1" s="1"/>
  <c r="E978" i="1"/>
  <c r="E980" i="1"/>
  <c r="F980" i="1"/>
  <c r="C1012" i="1" s="1"/>
  <c r="D1012" i="1" s="1"/>
  <c r="E972" i="1"/>
  <c r="F972" i="1"/>
  <c r="C1004" i="1" s="1"/>
  <c r="D1004" i="1" s="1"/>
  <c r="F973" i="1"/>
  <c r="C1005" i="1" s="1"/>
  <c r="D1005" i="1" s="1"/>
  <c r="E973" i="1"/>
  <c r="F979" i="1"/>
  <c r="C1011" i="1" s="1"/>
  <c r="D1011" i="1" s="1"/>
  <c r="E979" i="1"/>
  <c r="F981" i="1"/>
  <c r="C1013" i="1" s="1"/>
  <c r="D1013" i="1" s="1"/>
  <c r="E981" i="1"/>
  <c r="E976" i="1"/>
  <c r="F976" i="1"/>
  <c r="C1008" i="1" s="1"/>
  <c r="D1008" i="1" s="1"/>
  <c r="F974" i="1"/>
  <c r="C1006" i="1" s="1"/>
  <c r="D1006" i="1" s="1"/>
  <c r="E974" i="1"/>
  <c r="B781" i="1"/>
  <c r="F781" i="1" s="1"/>
  <c r="G781" i="1" s="1"/>
  <c r="B795" i="1" s="1"/>
  <c r="D795" i="1" s="1"/>
  <c r="B612" i="1"/>
  <c r="F612" i="1" s="1"/>
  <c r="G612" i="1" s="1"/>
  <c r="B608" i="1"/>
  <c r="F608" i="1" s="1"/>
  <c r="G608" i="1" s="1"/>
  <c r="B614" i="1"/>
  <c r="F614" i="1" s="1"/>
  <c r="G614" i="1" s="1"/>
  <c r="B611" i="1"/>
  <c r="F611" i="1" s="1"/>
  <c r="G611" i="1" s="1"/>
  <c r="B616" i="1"/>
  <c r="F616" i="1" s="1"/>
  <c r="G616" i="1" s="1"/>
  <c r="B610" i="1"/>
  <c r="F610" i="1" s="1"/>
  <c r="G610" i="1" s="1"/>
  <c r="B606" i="1"/>
  <c r="F606" i="1" s="1"/>
  <c r="G606" i="1" s="1"/>
  <c r="B607" i="1"/>
  <c r="F607" i="1" s="1"/>
  <c r="G607" i="1" s="1"/>
  <c r="B609" i="1"/>
  <c r="F609" i="1" s="1"/>
  <c r="G609" i="1" s="1"/>
  <c r="B615" i="1"/>
  <c r="F615" i="1" s="1"/>
  <c r="G615" i="1" s="1"/>
  <c r="B613" i="1"/>
  <c r="F613" i="1" s="1"/>
  <c r="G613" i="1" s="1"/>
  <c r="B1011" i="1" l="1"/>
  <c r="B1037" i="1" s="1"/>
  <c r="C1037" i="1" s="1"/>
  <c r="B993" i="1"/>
  <c r="C993" i="1" s="1"/>
  <c r="D993" i="1" s="1"/>
  <c r="E993" i="1" s="1"/>
  <c r="B1010" i="1"/>
  <c r="B1036" i="1" s="1"/>
  <c r="C1036" i="1" s="1"/>
  <c r="B992" i="1"/>
  <c r="C992" i="1" s="1"/>
  <c r="D992" i="1" s="1"/>
  <c r="E992" i="1" s="1"/>
  <c r="B1006" i="1"/>
  <c r="B1032" i="1" s="1"/>
  <c r="C1032" i="1" s="1"/>
  <c r="B988" i="1"/>
  <c r="C988" i="1" s="1"/>
  <c r="D988" i="1" s="1"/>
  <c r="E988" i="1" s="1"/>
  <c r="B1005" i="1"/>
  <c r="B1031" i="1" s="1"/>
  <c r="C1031" i="1" s="1"/>
  <c r="B987" i="1"/>
  <c r="C987" i="1" s="1"/>
  <c r="D987" i="1" s="1"/>
  <c r="E987" i="1" s="1"/>
  <c r="B1007" i="1"/>
  <c r="B1033" i="1" s="1"/>
  <c r="C1033" i="1" s="1"/>
  <c r="B989" i="1"/>
  <c r="C989" i="1" s="1"/>
  <c r="D989" i="1" s="1"/>
  <c r="E989" i="1" s="1"/>
  <c r="B1009" i="1"/>
  <c r="B1035" i="1" s="1"/>
  <c r="C1035" i="1" s="1"/>
  <c r="B991" i="1"/>
  <c r="C991" i="1" s="1"/>
  <c r="D991" i="1" s="1"/>
  <c r="E991" i="1" s="1"/>
  <c r="B1008" i="1"/>
  <c r="B1034" i="1" s="1"/>
  <c r="C1034" i="1" s="1"/>
  <c r="B990" i="1"/>
  <c r="C990" i="1" s="1"/>
  <c r="D990" i="1" s="1"/>
  <c r="E990" i="1" s="1"/>
  <c r="B1004" i="1"/>
  <c r="B1030" i="1" s="1"/>
  <c r="C1030" i="1" s="1"/>
  <c r="B986" i="1"/>
  <c r="C986" i="1" s="1"/>
  <c r="D986" i="1" s="1"/>
  <c r="E986" i="1" s="1"/>
  <c r="B1013" i="1"/>
  <c r="B1039" i="1" s="1"/>
  <c r="C1039" i="1" s="1"/>
  <c r="B995" i="1"/>
  <c r="C995" i="1" s="1"/>
  <c r="D995" i="1" s="1"/>
  <c r="E995" i="1" s="1"/>
  <c r="B1014" i="1"/>
  <c r="B1040" i="1" s="1"/>
  <c r="C1040" i="1" s="1"/>
  <c r="B996" i="1"/>
  <c r="C996" i="1" s="1"/>
  <c r="D996" i="1" s="1"/>
  <c r="E996" i="1" s="1"/>
  <c r="B1012" i="1"/>
  <c r="B1038" i="1" s="1"/>
  <c r="C1038" i="1" s="1"/>
  <c r="B994" i="1"/>
  <c r="C994" i="1" s="1"/>
  <c r="D994" i="1" s="1"/>
  <c r="E994" i="1" s="1"/>
  <c r="E795" i="1"/>
  <c r="B827" i="1" s="1"/>
  <c r="F795" i="1"/>
  <c r="C827" i="1" s="1"/>
  <c r="D827" i="1" s="1"/>
  <c r="B621" i="1"/>
  <c r="D621" i="1" s="1"/>
  <c r="B630" i="1"/>
  <c r="D630" i="1" s="1"/>
  <c r="B625" i="1"/>
  <c r="D625" i="1" s="1"/>
  <c r="B624" i="1"/>
  <c r="D624" i="1" s="1"/>
  <c r="F624" i="1" s="1"/>
  <c r="C656" i="1" s="1"/>
  <c r="D656" i="1" s="1"/>
  <c r="B628" i="1"/>
  <c r="D628" i="1" s="1"/>
  <c r="B629" i="1"/>
  <c r="D629" i="1" s="1"/>
  <c r="B622" i="1"/>
  <c r="D622" i="1" s="1"/>
  <c r="B627" i="1"/>
  <c r="D627" i="1" s="1"/>
  <c r="F627" i="1" s="1"/>
  <c r="C659" i="1" s="1"/>
  <c r="D659" i="1" s="1"/>
  <c r="B623" i="1"/>
  <c r="D623" i="1" s="1"/>
  <c r="B626" i="1"/>
  <c r="D626" i="1" s="1"/>
  <c r="B620" i="1"/>
  <c r="D620" i="1" s="1"/>
  <c r="B1023" i="1" l="1"/>
  <c r="C1023" i="1" s="1"/>
  <c r="F993" i="1"/>
  <c r="G993" i="1" s="1"/>
  <c r="F989" i="1"/>
  <c r="G989" i="1" s="1"/>
  <c r="H989" i="1" s="1"/>
  <c r="F992" i="1"/>
  <c r="G992" i="1" s="1"/>
  <c r="B1022" i="1"/>
  <c r="C1022" i="1" s="1"/>
  <c r="B1019" i="1"/>
  <c r="B1047" i="1"/>
  <c r="C1047" i="1"/>
  <c r="G1033" i="1"/>
  <c r="F1033" i="1"/>
  <c r="F996" i="1"/>
  <c r="G996" i="1" s="1"/>
  <c r="F986" i="1"/>
  <c r="G986" i="1" s="1"/>
  <c r="B1049" i="1"/>
  <c r="C1049" i="1"/>
  <c r="G1035" i="1"/>
  <c r="F1035" i="1"/>
  <c r="F987" i="1"/>
  <c r="G987" i="1" s="1"/>
  <c r="B1017" i="1"/>
  <c r="G1032" i="1"/>
  <c r="B1046" i="1"/>
  <c r="C1046" i="1"/>
  <c r="F1032" i="1"/>
  <c r="B1054" i="1"/>
  <c r="C1054" i="1"/>
  <c r="F1040" i="1"/>
  <c r="G1040" i="1"/>
  <c r="B1021" i="1"/>
  <c r="F1031" i="1"/>
  <c r="B1045" i="1"/>
  <c r="C1045" i="1"/>
  <c r="G1031" i="1"/>
  <c r="C1050" i="1"/>
  <c r="F1036" i="1"/>
  <c r="G1036" i="1"/>
  <c r="B1050" i="1"/>
  <c r="B1027" i="1"/>
  <c r="B1025" i="1"/>
  <c r="F990" i="1"/>
  <c r="G990" i="1" s="1"/>
  <c r="B1020" i="1"/>
  <c r="F988" i="1"/>
  <c r="G988" i="1" s="1"/>
  <c r="C1044" i="1"/>
  <c r="F1030" i="1"/>
  <c r="G1030" i="1"/>
  <c r="B1044" i="1"/>
  <c r="F994" i="1"/>
  <c r="G994" i="1" s="1"/>
  <c r="F995" i="1"/>
  <c r="G995" i="1" s="1"/>
  <c r="B1018" i="1"/>
  <c r="B1048" i="1"/>
  <c r="C1048" i="1"/>
  <c r="F1034" i="1"/>
  <c r="G1034" i="1"/>
  <c r="G1037" i="1"/>
  <c r="F1037" i="1"/>
  <c r="B1051" i="1"/>
  <c r="C1051" i="1"/>
  <c r="C1052" i="1"/>
  <c r="F1038" i="1"/>
  <c r="G1038" i="1"/>
  <c r="B1052" i="1"/>
  <c r="B1053" i="1"/>
  <c r="G1039" i="1"/>
  <c r="C1053" i="1"/>
  <c r="F1039" i="1"/>
  <c r="F991" i="1"/>
  <c r="G991" i="1" s="1"/>
  <c r="B1024" i="1"/>
  <c r="B1026" i="1"/>
  <c r="B809" i="1"/>
  <c r="C809" i="1" s="1"/>
  <c r="D809" i="1" s="1"/>
  <c r="E809" i="1" s="1"/>
  <c r="B853" i="1"/>
  <c r="C853" i="1" s="1"/>
  <c r="E629" i="1"/>
  <c r="F629" i="1"/>
  <c r="C661" i="1" s="1"/>
  <c r="D661" i="1" s="1"/>
  <c r="E628" i="1"/>
  <c r="B660" i="1" s="1"/>
  <c r="F628" i="1"/>
  <c r="C660" i="1" s="1"/>
  <c r="D660" i="1" s="1"/>
  <c r="E625" i="1"/>
  <c r="F625" i="1"/>
  <c r="E626" i="1"/>
  <c r="F626" i="1"/>
  <c r="E630" i="1"/>
  <c r="F630" i="1"/>
  <c r="C662" i="1" s="1"/>
  <c r="D662" i="1" s="1"/>
  <c r="E622" i="1"/>
  <c r="F622" i="1"/>
  <c r="C654" i="1" s="1"/>
  <c r="D654" i="1" s="1"/>
  <c r="E623" i="1"/>
  <c r="F623" i="1"/>
  <c r="E621" i="1"/>
  <c r="B653" i="1" s="1"/>
  <c r="F621" i="1"/>
  <c r="E620" i="1"/>
  <c r="F620" i="1"/>
  <c r="C652" i="1" s="1"/>
  <c r="D652" i="1" s="1"/>
  <c r="E627" i="1"/>
  <c r="E624" i="1"/>
  <c r="D1023" i="1" l="1"/>
  <c r="B1076" i="1"/>
  <c r="C1076" i="1" s="1"/>
  <c r="D1022" i="1"/>
  <c r="H994" i="1"/>
  <c r="B1081" i="1" s="1"/>
  <c r="H990" i="1"/>
  <c r="B1077" i="1" s="1"/>
  <c r="H987" i="1"/>
  <c r="B1074" i="1" s="1"/>
  <c r="C1065" i="1"/>
  <c r="B1065" i="1"/>
  <c r="C1025" i="1"/>
  <c r="D1025" i="1"/>
  <c r="D1027" i="1"/>
  <c r="C1027" i="1"/>
  <c r="D1026" i="1"/>
  <c r="C1026" i="1"/>
  <c r="C1024" i="1"/>
  <c r="D1024" i="1"/>
  <c r="H991" i="1"/>
  <c r="B1078" i="1" s="1"/>
  <c r="H993" i="1"/>
  <c r="B1080" i="1" s="1"/>
  <c r="C1021" i="1"/>
  <c r="D1021" i="1"/>
  <c r="H986" i="1"/>
  <c r="B1073" i="1" s="1"/>
  <c r="C1018" i="1"/>
  <c r="D1018" i="1"/>
  <c r="H988" i="1"/>
  <c r="B1075" i="1" s="1"/>
  <c r="C1017" i="1"/>
  <c r="D1017" i="1"/>
  <c r="H996" i="1"/>
  <c r="B1083" i="1" s="1"/>
  <c r="C1064" i="1"/>
  <c r="B1064" i="1"/>
  <c r="H995" i="1"/>
  <c r="B1082" i="1" s="1"/>
  <c r="C1020" i="1"/>
  <c r="D1020" i="1"/>
  <c r="H992" i="1"/>
  <c r="B1079" i="1" s="1"/>
  <c r="C1019" i="1"/>
  <c r="D1019" i="1"/>
  <c r="B639" i="1"/>
  <c r="C639" i="1" s="1"/>
  <c r="D639" i="1" s="1"/>
  <c r="E639" i="1" s="1"/>
  <c r="B657" i="1"/>
  <c r="B638" i="1"/>
  <c r="C638" i="1" s="1"/>
  <c r="D638" i="1" s="1"/>
  <c r="E638" i="1" s="1"/>
  <c r="B656" i="1"/>
  <c r="B682" i="1" s="1"/>
  <c r="B641" i="1"/>
  <c r="C641" i="1" s="1"/>
  <c r="D641" i="1" s="1"/>
  <c r="E641" i="1" s="1"/>
  <c r="B659" i="1"/>
  <c r="B685" i="1" s="1"/>
  <c r="B636" i="1"/>
  <c r="C636" i="1" s="1"/>
  <c r="D636" i="1" s="1"/>
  <c r="E636" i="1" s="1"/>
  <c r="B654" i="1"/>
  <c r="B637" i="1"/>
  <c r="C637" i="1" s="1"/>
  <c r="D637" i="1" s="1"/>
  <c r="E637" i="1" s="1"/>
  <c r="B655" i="1"/>
  <c r="B644" i="1"/>
  <c r="C644" i="1" s="1"/>
  <c r="D644" i="1" s="1"/>
  <c r="E644" i="1" s="1"/>
  <c r="B662" i="1"/>
  <c r="B675" i="1" s="1"/>
  <c r="D675" i="1" s="1"/>
  <c r="B643" i="1"/>
  <c r="C643" i="1" s="1"/>
  <c r="D643" i="1" s="1"/>
  <c r="E643" i="1" s="1"/>
  <c r="B661" i="1"/>
  <c r="B674" i="1" s="1"/>
  <c r="B640" i="1"/>
  <c r="C640" i="1" s="1"/>
  <c r="D640" i="1" s="1"/>
  <c r="E640" i="1" s="1"/>
  <c r="B658" i="1"/>
  <c r="B634" i="1"/>
  <c r="C634" i="1" s="1"/>
  <c r="D634" i="1" s="1"/>
  <c r="E634" i="1" s="1"/>
  <c r="B652" i="1"/>
  <c r="B678" i="1" s="1"/>
  <c r="C678" i="1" s="1"/>
  <c r="F809" i="1"/>
  <c r="G809" i="1" s="1"/>
  <c r="H809" i="1" s="1"/>
  <c r="G853" i="1"/>
  <c r="B867" i="1"/>
  <c r="F853" i="1"/>
  <c r="C867" i="1"/>
  <c r="B840" i="1"/>
  <c r="B642" i="1"/>
  <c r="C642" i="1" s="1"/>
  <c r="D642" i="1" s="1"/>
  <c r="E642" i="1" s="1"/>
  <c r="B679" i="1"/>
  <c r="C679" i="1" s="1"/>
  <c r="B686" i="1"/>
  <c r="C686" i="1" s="1"/>
  <c r="B673" i="1"/>
  <c r="C673" i="1" s="1"/>
  <c r="C658" i="1"/>
  <c r="D658" i="1" s="1"/>
  <c r="C655" i="1"/>
  <c r="C657" i="1"/>
  <c r="C653" i="1"/>
  <c r="B635" i="1"/>
  <c r="C635" i="1" s="1"/>
  <c r="D635" i="1" s="1"/>
  <c r="E635" i="1" s="1"/>
  <c r="F637" i="1" l="1"/>
  <c r="F634" i="1"/>
  <c r="G634" i="1" s="1"/>
  <c r="H634" i="1" s="1"/>
  <c r="F639" i="1"/>
  <c r="G639" i="1" s="1"/>
  <c r="H639" i="1" s="1"/>
  <c r="F1076" i="1"/>
  <c r="D1065" i="1"/>
  <c r="E1065" i="1" s="1"/>
  <c r="G1076" i="1"/>
  <c r="F644" i="1"/>
  <c r="G644" i="1" s="1"/>
  <c r="H644" i="1" s="1"/>
  <c r="F638" i="1"/>
  <c r="G638" i="1" s="1"/>
  <c r="H638" i="1" s="1"/>
  <c r="F1080" i="1"/>
  <c r="C1080" i="1"/>
  <c r="G1080" i="1"/>
  <c r="D1080" i="1"/>
  <c r="G1082" i="1"/>
  <c r="F1082" i="1"/>
  <c r="E1082" i="1"/>
  <c r="D1082" i="1"/>
  <c r="B1099" i="1"/>
  <c r="C1082" i="1"/>
  <c r="C1078" i="1"/>
  <c r="G1078" i="1"/>
  <c r="F1078" i="1"/>
  <c r="D1078" i="1"/>
  <c r="F1075" i="1"/>
  <c r="C1075" i="1"/>
  <c r="G1075" i="1"/>
  <c r="G1077" i="1"/>
  <c r="F1077" i="1"/>
  <c r="C1077" i="1"/>
  <c r="D1077" i="1"/>
  <c r="G1081" i="1"/>
  <c r="F1081" i="1"/>
  <c r="C1081" i="1"/>
  <c r="D1081" i="1"/>
  <c r="D1074" i="1"/>
  <c r="C1074" i="1"/>
  <c r="B1091" i="1"/>
  <c r="G1074" i="1"/>
  <c r="F1074" i="1"/>
  <c r="E1074" i="1"/>
  <c r="C1069" i="1"/>
  <c r="B1069" i="1"/>
  <c r="D1064" i="1"/>
  <c r="E1064" i="1" s="1"/>
  <c r="E1078" i="1" s="1"/>
  <c r="C1061" i="1"/>
  <c r="B1061" i="1"/>
  <c r="B1060" i="1"/>
  <c r="C1060" i="1"/>
  <c r="B1067" i="1"/>
  <c r="C1067" i="1"/>
  <c r="G1079" i="1"/>
  <c r="F1079" i="1"/>
  <c r="C1079" i="1"/>
  <c r="D1079" i="1"/>
  <c r="D1083" i="1"/>
  <c r="C1083" i="1"/>
  <c r="G1083" i="1"/>
  <c r="B1100" i="1"/>
  <c r="F1083" i="1"/>
  <c r="E1083" i="1"/>
  <c r="F1073" i="1"/>
  <c r="E1073" i="1"/>
  <c r="B1084" i="1"/>
  <c r="D1073" i="1"/>
  <c r="C1073" i="1"/>
  <c r="B1090" i="1"/>
  <c r="G1073" i="1"/>
  <c r="E1079" i="1"/>
  <c r="C1066" i="1"/>
  <c r="B1066" i="1"/>
  <c r="C1068" i="1"/>
  <c r="B1068" i="1"/>
  <c r="C1062" i="1"/>
  <c r="B1062" i="1"/>
  <c r="B1059" i="1"/>
  <c r="C1059" i="1"/>
  <c r="C1063" i="1"/>
  <c r="B1063" i="1"/>
  <c r="B687" i="1"/>
  <c r="C687" i="1" s="1"/>
  <c r="F687" i="1" s="1"/>
  <c r="F643" i="1"/>
  <c r="G643" i="1" s="1"/>
  <c r="H643" i="1" s="1"/>
  <c r="F641" i="1"/>
  <c r="G641" i="1" s="1"/>
  <c r="H641" i="1" s="1"/>
  <c r="G637" i="1"/>
  <c r="H637" i="1" s="1"/>
  <c r="F636" i="1"/>
  <c r="G636" i="1" s="1"/>
  <c r="H636" i="1" s="1"/>
  <c r="F640" i="1"/>
  <c r="G640" i="1" s="1"/>
  <c r="H640" i="1" s="1"/>
  <c r="B665" i="1"/>
  <c r="C665" i="1" s="1"/>
  <c r="B688" i="1"/>
  <c r="C688" i="1" s="1"/>
  <c r="C702" i="1" s="1"/>
  <c r="F642" i="1"/>
  <c r="G642" i="1" s="1"/>
  <c r="H642" i="1" s="1"/>
  <c r="C840" i="1"/>
  <c r="D840" i="1"/>
  <c r="B896" i="1"/>
  <c r="B913" i="1" s="1"/>
  <c r="B700" i="1"/>
  <c r="G686" i="1"/>
  <c r="C700" i="1"/>
  <c r="F686" i="1"/>
  <c r="F679" i="1"/>
  <c r="C693" i="1"/>
  <c r="B693" i="1"/>
  <c r="G679" i="1"/>
  <c r="B684" i="1"/>
  <c r="C684" i="1" s="1"/>
  <c r="B680" i="1"/>
  <c r="C680" i="1" s="1"/>
  <c r="B683" i="1"/>
  <c r="C683" i="1" s="1"/>
  <c r="B681" i="1"/>
  <c r="C681" i="1" s="1"/>
  <c r="C692" i="1"/>
  <c r="F678" i="1"/>
  <c r="B692" i="1"/>
  <c r="G678" i="1"/>
  <c r="B671" i="1"/>
  <c r="D671" i="1" s="1"/>
  <c r="B667" i="1"/>
  <c r="C682" i="1"/>
  <c r="G682" i="1" s="1"/>
  <c r="B669" i="1"/>
  <c r="E872" i="1" s="1"/>
  <c r="C685" i="1"/>
  <c r="B672" i="1"/>
  <c r="D875" i="1" s="1"/>
  <c r="D653" i="1"/>
  <c r="B666" i="1" s="1"/>
  <c r="D657" i="1"/>
  <c r="B670" i="1" s="1"/>
  <c r="D655" i="1"/>
  <c r="B668" i="1" s="1"/>
  <c r="F635" i="1"/>
  <c r="G635" i="1" s="1"/>
  <c r="H635" i="1" s="1"/>
  <c r="E870" i="1"/>
  <c r="E877" i="1"/>
  <c r="D877" i="1"/>
  <c r="D673" i="1"/>
  <c r="E876" i="1"/>
  <c r="D876" i="1"/>
  <c r="E868" i="1"/>
  <c r="D868" i="1"/>
  <c r="C715" i="1"/>
  <c r="B715" i="1"/>
  <c r="C675" i="1"/>
  <c r="D674" i="1"/>
  <c r="C674" i="1"/>
  <c r="D1069" i="1" l="1"/>
  <c r="E1069" i="1" s="1"/>
  <c r="G687" i="1"/>
  <c r="D1059" i="1"/>
  <c r="E1059" i="1" s="1"/>
  <c r="B701" i="1"/>
  <c r="D1068" i="1"/>
  <c r="E1068" i="1" s="1"/>
  <c r="C1084" i="1"/>
  <c r="D1067" i="1"/>
  <c r="E1067" i="1" s="1"/>
  <c r="E1081" i="1" s="1"/>
  <c r="C701" i="1"/>
  <c r="D1063" i="1"/>
  <c r="E1063" i="1" s="1"/>
  <c r="E1077" i="1" s="1"/>
  <c r="D1066" i="1"/>
  <c r="E1066" i="1" s="1"/>
  <c r="E1080" i="1" s="1"/>
  <c r="D1061" i="1"/>
  <c r="F1084" i="1"/>
  <c r="G1084" i="1"/>
  <c r="D1060" i="1"/>
  <c r="E1060" i="1" s="1"/>
  <c r="D1062" i="1"/>
  <c r="B882" i="1"/>
  <c r="C882" i="1"/>
  <c r="D665" i="1"/>
  <c r="F688" i="1"/>
  <c r="G688" i="1"/>
  <c r="B702" i="1"/>
  <c r="B731" i="1" s="1"/>
  <c r="B748" i="1" s="1"/>
  <c r="C896" i="1"/>
  <c r="D896" i="1"/>
  <c r="E896" i="1"/>
  <c r="F896" i="1"/>
  <c r="G896" i="1"/>
  <c r="C672" i="1"/>
  <c r="B714" i="1" s="1"/>
  <c r="B721" i="1"/>
  <c r="F721" i="1" s="1"/>
  <c r="B729" i="1"/>
  <c r="C694" i="1"/>
  <c r="F680" i="1"/>
  <c r="G680" i="1"/>
  <c r="B694" i="1"/>
  <c r="F681" i="1"/>
  <c r="C695" i="1"/>
  <c r="G681" i="1"/>
  <c r="B695" i="1"/>
  <c r="C697" i="1"/>
  <c r="B697" i="1"/>
  <c r="F683" i="1"/>
  <c r="G683" i="1"/>
  <c r="G684" i="1"/>
  <c r="B698" i="1"/>
  <c r="F684" i="1"/>
  <c r="C698" i="1"/>
  <c r="D672" i="1"/>
  <c r="C696" i="1"/>
  <c r="B696" i="1"/>
  <c r="F682" i="1"/>
  <c r="E875" i="1"/>
  <c r="B722" i="1"/>
  <c r="B739" i="1" s="1"/>
  <c r="B699" i="1"/>
  <c r="F685" i="1"/>
  <c r="C699" i="1"/>
  <c r="G685" i="1"/>
  <c r="D667" i="1"/>
  <c r="D669" i="1"/>
  <c r="D872" i="1"/>
  <c r="C669" i="1"/>
  <c r="B711" i="1" s="1"/>
  <c r="E871" i="1"/>
  <c r="D871" i="1"/>
  <c r="D668" i="1"/>
  <c r="C668" i="1"/>
  <c r="E873" i="1"/>
  <c r="C670" i="1"/>
  <c r="B712" i="1" s="1"/>
  <c r="D873" i="1"/>
  <c r="D670" i="1"/>
  <c r="C666" i="1"/>
  <c r="B708" i="1" s="1"/>
  <c r="E869" i="1"/>
  <c r="D666" i="1"/>
  <c r="D869" i="1"/>
  <c r="D874" i="1"/>
  <c r="E874" i="1"/>
  <c r="C671" i="1"/>
  <c r="B713" i="1" s="1"/>
  <c r="C667" i="1"/>
  <c r="B709" i="1" s="1"/>
  <c r="D870" i="1"/>
  <c r="D787" i="1"/>
  <c r="E787" i="1"/>
  <c r="D773" i="1"/>
  <c r="E773" i="1" s="1"/>
  <c r="E788" i="1"/>
  <c r="D788" i="1"/>
  <c r="D774" i="1"/>
  <c r="E774" i="1" s="1"/>
  <c r="E789" i="1"/>
  <c r="D789" i="1"/>
  <c r="D775" i="1"/>
  <c r="E775" i="1" s="1"/>
  <c r="E785" i="1"/>
  <c r="D785" i="1"/>
  <c r="D771" i="1"/>
  <c r="E771" i="1" s="1"/>
  <c r="E790" i="1"/>
  <c r="D790" i="1"/>
  <c r="D776" i="1"/>
  <c r="E776" i="1" s="1"/>
  <c r="E784" i="1"/>
  <c r="D770" i="1"/>
  <c r="E770" i="1" s="1"/>
  <c r="D784" i="1"/>
  <c r="D786" i="1"/>
  <c r="E786" i="1"/>
  <c r="D772" i="1"/>
  <c r="E772" i="1" s="1"/>
  <c r="D791" i="1"/>
  <c r="D777" i="1"/>
  <c r="E777" i="1" s="1"/>
  <c r="E791" i="1"/>
  <c r="D783" i="1"/>
  <c r="E783" i="1"/>
  <c r="D769" i="1"/>
  <c r="E769" i="1" s="1"/>
  <c r="E782" i="1"/>
  <c r="D768" i="1"/>
  <c r="E768" i="1" s="1"/>
  <c r="D782" i="1"/>
  <c r="D715" i="1"/>
  <c r="E715" i="1" s="1"/>
  <c r="C707" i="1"/>
  <c r="B707" i="1"/>
  <c r="B716" i="1"/>
  <c r="C716" i="1"/>
  <c r="C717" i="1"/>
  <c r="B717" i="1"/>
  <c r="B730" i="1" l="1"/>
  <c r="B747" i="1" s="1"/>
  <c r="E1061" i="1"/>
  <c r="E1075" i="1" s="1"/>
  <c r="D1075" i="1"/>
  <c r="E1062" i="1"/>
  <c r="E1076" i="1" s="1"/>
  <c r="D1076" i="1"/>
  <c r="C714" i="1"/>
  <c r="D714" i="1" s="1"/>
  <c r="E714" i="1" s="1"/>
  <c r="D729" i="1"/>
  <c r="G721" i="1"/>
  <c r="B738" i="1"/>
  <c r="C721" i="1"/>
  <c r="F722" i="1"/>
  <c r="F729" i="1"/>
  <c r="F731" i="1"/>
  <c r="C731" i="1"/>
  <c r="C729" i="1"/>
  <c r="G729" i="1"/>
  <c r="E729" i="1"/>
  <c r="G731" i="1"/>
  <c r="B723" i="1"/>
  <c r="B726" i="1"/>
  <c r="D882" i="1"/>
  <c r="E882" i="1" s="1"/>
  <c r="B725" i="1"/>
  <c r="B727" i="1"/>
  <c r="B724" i="1"/>
  <c r="C711" i="1"/>
  <c r="D711" i="1" s="1"/>
  <c r="E711" i="1" s="1"/>
  <c r="C722" i="1"/>
  <c r="G722" i="1"/>
  <c r="C709" i="1"/>
  <c r="D709" i="1" s="1"/>
  <c r="E709" i="1" s="1"/>
  <c r="C708" i="1"/>
  <c r="D708" i="1" s="1"/>
  <c r="C712" i="1"/>
  <c r="D712" i="1" s="1"/>
  <c r="E712" i="1" s="1"/>
  <c r="B728" i="1"/>
  <c r="B710" i="1"/>
  <c r="C710" i="1"/>
  <c r="C713" i="1"/>
  <c r="D713" i="1" s="1"/>
  <c r="E713" i="1" s="1"/>
  <c r="B790" i="1"/>
  <c r="F790" i="1" s="1"/>
  <c r="G790" i="1" s="1"/>
  <c r="B788" i="1"/>
  <c r="F788" i="1" s="1"/>
  <c r="G788" i="1" s="1"/>
  <c r="B786" i="1"/>
  <c r="F786" i="1" s="1"/>
  <c r="G786" i="1" s="1"/>
  <c r="B785" i="1"/>
  <c r="F785" i="1" s="1"/>
  <c r="G785" i="1" s="1"/>
  <c r="B783" i="1"/>
  <c r="F783" i="1" s="1"/>
  <c r="G783" i="1" s="1"/>
  <c r="B787" i="1"/>
  <c r="F787" i="1" s="1"/>
  <c r="G787" i="1" s="1"/>
  <c r="B791" i="1"/>
  <c r="F791" i="1" s="1"/>
  <c r="G791" i="1" s="1"/>
  <c r="B784" i="1"/>
  <c r="F784" i="1" s="1"/>
  <c r="G784" i="1" s="1"/>
  <c r="B789" i="1"/>
  <c r="F789" i="1" s="1"/>
  <c r="G789" i="1" s="1"/>
  <c r="B782" i="1"/>
  <c r="F782" i="1" s="1"/>
  <c r="G782" i="1" s="1"/>
  <c r="D717" i="1"/>
  <c r="D707" i="1"/>
  <c r="E707" i="1" s="1"/>
  <c r="E721" i="1" s="1"/>
  <c r="D716" i="1"/>
  <c r="G730" i="1" l="1"/>
  <c r="F730" i="1"/>
  <c r="C730" i="1"/>
  <c r="D1084" i="1"/>
  <c r="E1084" i="1"/>
  <c r="C723" i="1"/>
  <c r="C724" i="1"/>
  <c r="C726" i="1"/>
  <c r="C727" i="1"/>
  <c r="F725" i="1"/>
  <c r="E723" i="1"/>
  <c r="E725" i="1"/>
  <c r="E726" i="1"/>
  <c r="G723" i="1"/>
  <c r="F723" i="1"/>
  <c r="F726" i="1"/>
  <c r="G726" i="1"/>
  <c r="G725" i="1"/>
  <c r="C725" i="1"/>
  <c r="D727" i="1"/>
  <c r="G727" i="1"/>
  <c r="E727" i="1"/>
  <c r="G724" i="1"/>
  <c r="F727" i="1"/>
  <c r="F724" i="1"/>
  <c r="E728" i="1"/>
  <c r="D710" i="1"/>
  <c r="E710" i="1" s="1"/>
  <c r="E724" i="1" s="1"/>
  <c r="C728" i="1"/>
  <c r="G728" i="1"/>
  <c r="F728" i="1"/>
  <c r="B732" i="1"/>
  <c r="B805" i="1"/>
  <c r="D805" i="1" s="1"/>
  <c r="B801" i="1"/>
  <c r="D801" i="1" s="1"/>
  <c r="B797" i="1"/>
  <c r="D797" i="1" s="1"/>
  <c r="B798" i="1"/>
  <c r="D798" i="1" s="1"/>
  <c r="B796" i="1"/>
  <c r="D796" i="1" s="1"/>
  <c r="B799" i="1"/>
  <c r="D799" i="1" s="1"/>
  <c r="B800" i="1"/>
  <c r="D800" i="1" s="1"/>
  <c r="B802" i="1"/>
  <c r="D802" i="1" s="1"/>
  <c r="B803" i="1"/>
  <c r="D803" i="1" s="1"/>
  <c r="B804" i="1"/>
  <c r="D804" i="1" s="1"/>
  <c r="D723" i="1"/>
  <c r="D726" i="1"/>
  <c r="E717" i="1"/>
  <c r="E731" i="1" s="1"/>
  <c r="D731" i="1"/>
  <c r="D721" i="1"/>
  <c r="D725" i="1"/>
  <c r="D728" i="1"/>
  <c r="E708" i="1"/>
  <c r="E722" i="1" s="1"/>
  <c r="D722" i="1"/>
  <c r="E716" i="1"/>
  <c r="E730" i="1" s="1"/>
  <c r="D730" i="1"/>
  <c r="C732" i="1" l="1"/>
  <c r="D724" i="1"/>
  <c r="F732" i="1"/>
  <c r="G732" i="1"/>
  <c r="E800" i="1"/>
  <c r="B832" i="1" s="1"/>
  <c r="F800" i="1"/>
  <c r="C832" i="1" s="1"/>
  <c r="D832" i="1" s="1"/>
  <c r="E802" i="1"/>
  <c r="F802" i="1"/>
  <c r="C834" i="1" s="1"/>
  <c r="D834" i="1" s="1"/>
  <c r="E799" i="1"/>
  <c r="F799" i="1"/>
  <c r="E796" i="1"/>
  <c r="F796" i="1"/>
  <c r="E798" i="1"/>
  <c r="F798" i="1"/>
  <c r="C830" i="1" s="1"/>
  <c r="D830" i="1" s="1"/>
  <c r="E797" i="1"/>
  <c r="F797" i="1"/>
  <c r="E804" i="1"/>
  <c r="F804" i="1"/>
  <c r="E801" i="1"/>
  <c r="B833" i="1" s="1"/>
  <c r="F801" i="1"/>
  <c r="E803" i="1"/>
  <c r="B835" i="1" s="1"/>
  <c r="F803" i="1"/>
  <c r="E805" i="1"/>
  <c r="B837" i="1" s="1"/>
  <c r="F805" i="1"/>
  <c r="E732" i="1"/>
  <c r="D732" i="1"/>
  <c r="B1098" i="1" l="1"/>
  <c r="B746" i="1"/>
  <c r="B1097" i="1"/>
  <c r="B745" i="1"/>
  <c r="B1096" i="1"/>
  <c r="B1095" i="1"/>
  <c r="B1094" i="1"/>
  <c r="B811" i="1"/>
  <c r="C811" i="1" s="1"/>
  <c r="D811" i="1" s="1"/>
  <c r="E811" i="1" s="1"/>
  <c r="B829" i="1"/>
  <c r="B816" i="1"/>
  <c r="C816" i="1" s="1"/>
  <c r="D816" i="1" s="1"/>
  <c r="E816" i="1" s="1"/>
  <c r="B834" i="1"/>
  <c r="B812" i="1"/>
  <c r="C812" i="1" s="1"/>
  <c r="D812" i="1" s="1"/>
  <c r="E812" i="1" s="1"/>
  <c r="B830" i="1"/>
  <c r="B843" i="1" s="1"/>
  <c r="C843" i="1" s="1"/>
  <c r="B810" i="1"/>
  <c r="C810" i="1" s="1"/>
  <c r="D810" i="1" s="1"/>
  <c r="E810" i="1" s="1"/>
  <c r="B828" i="1"/>
  <c r="B818" i="1"/>
  <c r="C818" i="1" s="1"/>
  <c r="D818" i="1" s="1"/>
  <c r="E818" i="1" s="1"/>
  <c r="B836" i="1"/>
  <c r="B813" i="1"/>
  <c r="C813" i="1" s="1"/>
  <c r="D813" i="1" s="1"/>
  <c r="E813" i="1" s="1"/>
  <c r="B831" i="1"/>
  <c r="B1093" i="1"/>
  <c r="B1092" i="1"/>
  <c r="B743" i="1"/>
  <c r="B744" i="1"/>
  <c r="B742" i="1"/>
  <c r="B740" i="1"/>
  <c r="B741" i="1"/>
  <c r="B858" i="1"/>
  <c r="C858" i="1" s="1"/>
  <c r="B861" i="1"/>
  <c r="C861" i="1" s="1"/>
  <c r="B863" i="1"/>
  <c r="C863" i="1" s="1"/>
  <c r="B859" i="1"/>
  <c r="C859" i="1" s="1"/>
  <c r="B814" i="1"/>
  <c r="C814" i="1" s="1"/>
  <c r="D814" i="1" s="1"/>
  <c r="E814" i="1" s="1"/>
  <c r="B817" i="1"/>
  <c r="C817" i="1" s="1"/>
  <c r="D817" i="1" s="1"/>
  <c r="E817" i="1" s="1"/>
  <c r="B845" i="1"/>
  <c r="C845" i="1" s="1"/>
  <c r="B819" i="1"/>
  <c r="C819" i="1" s="1"/>
  <c r="D819" i="1" s="1"/>
  <c r="E819" i="1" s="1"/>
  <c r="C833" i="1"/>
  <c r="C828" i="1"/>
  <c r="D828" i="1" s="1"/>
  <c r="C836" i="1"/>
  <c r="D836" i="1" s="1"/>
  <c r="C831" i="1"/>
  <c r="D831" i="1" s="1"/>
  <c r="C837" i="1"/>
  <c r="C829" i="1"/>
  <c r="D829" i="1" s="1"/>
  <c r="C835" i="1"/>
  <c r="B815" i="1"/>
  <c r="C815" i="1" s="1"/>
  <c r="D815" i="1" s="1"/>
  <c r="E815" i="1" s="1"/>
  <c r="F812" i="1" l="1"/>
  <c r="G812" i="1" s="1"/>
  <c r="H812" i="1" s="1"/>
  <c r="F811" i="1"/>
  <c r="G811" i="1" s="1"/>
  <c r="H811" i="1" s="1"/>
  <c r="F818" i="1"/>
  <c r="G818" i="1" s="1"/>
  <c r="H818" i="1" s="1"/>
  <c r="F816" i="1"/>
  <c r="G816" i="1" s="1"/>
  <c r="H816" i="1" s="1"/>
  <c r="F813" i="1"/>
  <c r="G813" i="1" s="1"/>
  <c r="H813" i="1" s="1"/>
  <c r="F810" i="1"/>
  <c r="G810" i="1" s="1"/>
  <c r="H810" i="1" s="1"/>
  <c r="B885" i="1"/>
  <c r="C885" i="1"/>
  <c r="B887" i="1"/>
  <c r="C887" i="1"/>
  <c r="B1101" i="1"/>
  <c r="B1109" i="1" s="1"/>
  <c r="B856" i="1"/>
  <c r="C856" i="1" s="1"/>
  <c r="G856" i="1" s="1"/>
  <c r="D843" i="1"/>
  <c r="F859" i="1"/>
  <c r="G859" i="1"/>
  <c r="F863" i="1"/>
  <c r="G863" i="1"/>
  <c r="F861" i="1"/>
  <c r="G861" i="1"/>
  <c r="F858" i="1"/>
  <c r="G858" i="1"/>
  <c r="B873" i="1"/>
  <c r="C873" i="1"/>
  <c r="B872" i="1"/>
  <c r="C872" i="1"/>
  <c r="B877" i="1"/>
  <c r="C877" i="1"/>
  <c r="B875" i="1"/>
  <c r="C875" i="1"/>
  <c r="B855" i="1"/>
  <c r="C855" i="1" s="1"/>
  <c r="B862" i="1"/>
  <c r="C862" i="1" s="1"/>
  <c r="B857" i="1"/>
  <c r="C857" i="1" s="1"/>
  <c r="F814" i="1"/>
  <c r="G814" i="1" s="1"/>
  <c r="H814" i="1" s="1"/>
  <c r="B854" i="1"/>
  <c r="C854" i="1" s="1"/>
  <c r="B860" i="1"/>
  <c r="C860" i="1" s="1"/>
  <c r="F817" i="1"/>
  <c r="G817" i="1" s="1"/>
  <c r="H817" i="1" s="1"/>
  <c r="F819" i="1"/>
  <c r="G819" i="1" s="1"/>
  <c r="B849" i="1"/>
  <c r="D849" i="1" s="1"/>
  <c r="D845" i="1"/>
  <c r="B847" i="1"/>
  <c r="B842" i="1"/>
  <c r="B844" i="1"/>
  <c r="D844" i="1" s="1"/>
  <c r="B841" i="1"/>
  <c r="D835" i="1"/>
  <c r="B848" i="1" s="1"/>
  <c r="D837" i="1"/>
  <c r="B850" i="1" s="1"/>
  <c r="D833" i="1"/>
  <c r="B846" i="1" s="1"/>
  <c r="F815" i="1"/>
  <c r="G815" i="1" s="1"/>
  <c r="H815" i="1" s="1"/>
  <c r="B749" i="1"/>
  <c r="E1104" i="1" l="1"/>
  <c r="G1106" i="1"/>
  <c r="C1104" i="1"/>
  <c r="F1106" i="1"/>
  <c r="B1104" i="1"/>
  <c r="D1104" i="1" s="1"/>
  <c r="G1105" i="1"/>
  <c r="A1104" i="1"/>
  <c r="B1112" i="1" s="1"/>
  <c r="B1113" i="1" s="1"/>
  <c r="J144" i="4" s="1"/>
  <c r="F1105" i="1"/>
  <c r="G1104" i="1"/>
  <c r="F1104" i="1"/>
  <c r="F856" i="1"/>
  <c r="C870" i="1"/>
  <c r="B870" i="1"/>
  <c r="B902" i="1"/>
  <c r="C902" i="1" s="1"/>
  <c r="F862" i="1"/>
  <c r="G862" i="1"/>
  <c r="F855" i="1"/>
  <c r="G855" i="1"/>
  <c r="F857" i="1"/>
  <c r="G857" i="1"/>
  <c r="F860" i="1"/>
  <c r="G860" i="1"/>
  <c r="F854" i="1"/>
  <c r="G854" i="1"/>
  <c r="C849" i="1"/>
  <c r="B901" i="1"/>
  <c r="C876" i="1"/>
  <c r="B876" i="1"/>
  <c r="B874" i="1"/>
  <c r="C874" i="1"/>
  <c r="B871" i="1"/>
  <c r="C871" i="1"/>
  <c r="B869" i="1"/>
  <c r="C869" i="1"/>
  <c r="C868" i="1"/>
  <c r="B868" i="1"/>
  <c r="B904" i="1"/>
  <c r="H819" i="1"/>
  <c r="B906" i="1" s="1"/>
  <c r="B923" i="1" s="1"/>
  <c r="C846" i="1"/>
  <c r="C888" i="1" s="1"/>
  <c r="D846" i="1"/>
  <c r="C850" i="1"/>
  <c r="C892" i="1" s="1"/>
  <c r="D850" i="1"/>
  <c r="C848" i="1"/>
  <c r="C890" i="1" s="1"/>
  <c r="D848" i="1"/>
  <c r="C841" i="1"/>
  <c r="D841" i="1"/>
  <c r="C847" i="1"/>
  <c r="D847" i="1"/>
  <c r="C842" i="1"/>
  <c r="D842" i="1"/>
  <c r="C844" i="1"/>
  <c r="D887" i="1"/>
  <c r="E887" i="1" s="1"/>
  <c r="D885" i="1"/>
  <c r="B757" i="1"/>
  <c r="Q29" i="1" s="1"/>
  <c r="A927" i="1"/>
  <c r="B935" i="1" s="1"/>
  <c r="G929" i="1"/>
  <c r="F929" i="1"/>
  <c r="G754" i="1"/>
  <c r="A752" i="1"/>
  <c r="B760" i="1" s="1"/>
  <c r="B763" i="1" s="1"/>
  <c r="G752" i="1"/>
  <c r="F752" i="1"/>
  <c r="E752" i="1"/>
  <c r="C752" i="1"/>
  <c r="B752" i="1"/>
  <c r="F753" i="1"/>
  <c r="G753" i="1"/>
  <c r="F754" i="1"/>
  <c r="K144" i="4" a="1"/>
  <c r="CK144" i="4" l="1"/>
  <c r="CJ144" i="4"/>
  <c r="CI144" i="4"/>
  <c r="CH144" i="4"/>
  <c r="K144" i="4"/>
  <c r="B883" i="1"/>
  <c r="C883" i="1"/>
  <c r="B886" i="1"/>
  <c r="C886" i="1"/>
  <c r="B889" i="1"/>
  <c r="C889" i="1"/>
  <c r="B884" i="1"/>
  <c r="C884" i="1"/>
  <c r="B891" i="1"/>
  <c r="C891" i="1"/>
  <c r="B890" i="1"/>
  <c r="D890" i="1" s="1"/>
  <c r="E890" i="1" s="1"/>
  <c r="E904" i="1" s="1"/>
  <c r="B888" i="1"/>
  <c r="D888" i="1" s="1"/>
  <c r="B892" i="1"/>
  <c r="D892" i="1" s="1"/>
  <c r="E892" i="1" s="1"/>
  <c r="G1107" i="1"/>
  <c r="B1115" i="1"/>
  <c r="F1107" i="1"/>
  <c r="B936" i="1"/>
  <c r="J141" i="4" s="1"/>
  <c r="B938" i="1"/>
  <c r="B761" i="1"/>
  <c r="J138" i="4" s="1"/>
  <c r="B899" i="1"/>
  <c r="C899" i="1" s="1"/>
  <c r="G928" i="1"/>
  <c r="G930" i="1" s="1"/>
  <c r="G902" i="1"/>
  <c r="F928" i="1"/>
  <c r="F930" i="1" s="1"/>
  <c r="F901" i="1"/>
  <c r="G904" i="1"/>
  <c r="F902" i="1"/>
  <c r="D901" i="1"/>
  <c r="B905" i="1"/>
  <c r="B922" i="1" s="1"/>
  <c r="G901" i="1"/>
  <c r="C901" i="1"/>
  <c r="B900" i="1"/>
  <c r="E901" i="1"/>
  <c r="E885" i="1"/>
  <c r="B903" i="1"/>
  <c r="B897" i="1"/>
  <c r="F904" i="1"/>
  <c r="B898" i="1"/>
  <c r="C904" i="1"/>
  <c r="F906" i="1"/>
  <c r="E906" i="1"/>
  <c r="D906" i="1"/>
  <c r="C906" i="1"/>
  <c r="G906" i="1"/>
  <c r="D752" i="1"/>
  <c r="F755" i="1"/>
  <c r="G755" i="1"/>
  <c r="K138" i="4" a="1"/>
  <c r="K141" i="4" a="1"/>
  <c r="D891" i="1" l="1"/>
  <c r="E891" i="1" s="1"/>
  <c r="D883" i="1"/>
  <c r="E883" i="1" s="1"/>
  <c r="B1114" i="1" a="1"/>
  <c r="B1114" i="1" s="1"/>
  <c r="D1115" i="1" s="1"/>
  <c r="D904" i="1"/>
  <c r="B921" i="1"/>
  <c r="D886" i="1"/>
  <c r="E886" i="1" s="1"/>
  <c r="E900" i="1" s="1"/>
  <c r="D884" i="1"/>
  <c r="E884" i="1" s="1"/>
  <c r="E898" i="1" s="1"/>
  <c r="CI141" i="4"/>
  <c r="CH141" i="4"/>
  <c r="CK141" i="4"/>
  <c r="CJ141" i="4"/>
  <c r="K141" i="4"/>
  <c r="CK138" i="4"/>
  <c r="CI138" i="4"/>
  <c r="CH138" i="4"/>
  <c r="CJ138" i="4"/>
  <c r="K138" i="4"/>
  <c r="F899" i="1"/>
  <c r="G899" i="1"/>
  <c r="D899" i="1"/>
  <c r="E899" i="1"/>
  <c r="B918" i="1"/>
  <c r="E888" i="1"/>
  <c r="E902" i="1" s="1"/>
  <c r="D902" i="1"/>
  <c r="C898" i="1"/>
  <c r="C897" i="1"/>
  <c r="B914" i="1"/>
  <c r="C903" i="1"/>
  <c r="D905" i="1"/>
  <c r="C905" i="1"/>
  <c r="G905" i="1"/>
  <c r="F905" i="1"/>
  <c r="E905" i="1"/>
  <c r="D900" i="1"/>
  <c r="G900" i="1"/>
  <c r="B927" i="1"/>
  <c r="C900" i="1"/>
  <c r="F900" i="1"/>
  <c r="F903" i="1"/>
  <c r="E897" i="1"/>
  <c r="G903" i="1"/>
  <c r="G897" i="1"/>
  <c r="F897" i="1"/>
  <c r="D897" i="1"/>
  <c r="B907" i="1"/>
  <c r="F898" i="1"/>
  <c r="G898" i="1"/>
  <c r="D889" i="1"/>
  <c r="E889" i="1" s="1"/>
  <c r="E903" i="1" s="1"/>
  <c r="B756" i="1"/>
  <c r="L29" i="1" s="1"/>
  <c r="D898" i="1" l="1"/>
  <c r="C927" i="1"/>
  <c r="D903" i="1"/>
  <c r="B920" i="1" s="1"/>
  <c r="B937" i="1" a="1"/>
  <c r="B937" i="1" s="1"/>
  <c r="D938" i="1" s="1"/>
  <c r="B762" i="1" a="1"/>
  <c r="B762" i="1" s="1"/>
  <c r="L30" i="1" s="1"/>
  <c r="B916" i="1"/>
  <c r="D927" i="1"/>
  <c r="B919" i="1"/>
  <c r="B915" i="1"/>
  <c r="C907" i="1"/>
  <c r="B917" i="1"/>
  <c r="E927" i="1"/>
  <c r="F927" i="1"/>
  <c r="G927" i="1"/>
  <c r="E907" i="1"/>
  <c r="F907" i="1"/>
  <c r="G907" i="1"/>
  <c r="D907" i="1" l="1"/>
  <c r="D763" i="1"/>
  <c r="Q30" i="1" s="1"/>
  <c r="B1108" i="1"/>
  <c r="B924" i="1"/>
  <c r="B931" i="1" s="1"/>
  <c r="L31" i="1" s="1"/>
  <c r="B932" i="1" l="1"/>
  <c r="Q3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<sst xmlns="http://schemas.openxmlformats.org/spreadsheetml/2006/main" count="1482" uniqueCount="478">
  <si>
    <t>Wood Shear Wall Foundation</t>
  </si>
  <si>
    <t>ft</t>
  </si>
  <si>
    <t>in</t>
  </si>
  <si>
    <t>x</t>
  </si>
  <si>
    <t>y</t>
  </si>
  <si>
    <t>Foundation</t>
  </si>
  <si>
    <t>Foundation Geometry:</t>
  </si>
  <si>
    <t>Bf</t>
  </si>
  <si>
    <t>Footing Width</t>
  </si>
  <si>
    <t>Lf</t>
  </si>
  <si>
    <t>Footing Overall Length</t>
  </si>
  <si>
    <t>tf</t>
  </si>
  <si>
    <t>Footing Thickness</t>
  </si>
  <si>
    <t>Stem Wall Geometry:</t>
  </si>
  <si>
    <t>Hs</t>
  </si>
  <si>
    <t>Stem Wall Height</t>
  </si>
  <si>
    <t>Ls</t>
  </si>
  <si>
    <t>ts</t>
  </si>
  <si>
    <t>Stem Wall Thickness</t>
  </si>
  <si>
    <t>Stem Wall Length</t>
  </si>
  <si>
    <t>s_left_offset</t>
  </si>
  <si>
    <t>Stem Offset from Left Edge of footing, x=0</t>
  </si>
  <si>
    <t>Stem Wall</t>
  </si>
  <si>
    <t>Wood Wall Geometry:</t>
  </si>
  <si>
    <t>Lift_1_H</t>
  </si>
  <si>
    <t>Lift_2_H</t>
  </si>
  <si>
    <t>Lift_3_H</t>
  </si>
  <si>
    <t>Lift_4_H</t>
  </si>
  <si>
    <t>Lift_5_H</t>
  </si>
  <si>
    <t>Lw</t>
  </si>
  <si>
    <t>Wood Wall Length</t>
  </si>
  <si>
    <t>Height of first Wall Lift</t>
  </si>
  <si>
    <t>Height of Second Wall Lift</t>
  </si>
  <si>
    <t>Height of Third Wall Lift</t>
  </si>
  <si>
    <t>Height of Fourth Wall Lift</t>
  </si>
  <si>
    <t>Height of Fifth Wall Lift</t>
  </si>
  <si>
    <t>w_left_offset</t>
  </si>
  <si>
    <t>Wood Wall Offset from Left Edge of footing, x=0</t>
  </si>
  <si>
    <t>Lift_1</t>
  </si>
  <si>
    <t>Lift_2</t>
  </si>
  <si>
    <t>Lift_3</t>
  </si>
  <si>
    <t>Lift_4</t>
  </si>
  <si>
    <t>Lift_5</t>
  </si>
  <si>
    <t>Chord_Width</t>
  </si>
  <si>
    <t>Wall End Chord width parallel to wall</t>
  </si>
  <si>
    <t>Dist to Hold Down</t>
  </si>
  <si>
    <t>Left_Chord</t>
  </si>
  <si>
    <t>Right_chord</t>
  </si>
  <si>
    <t>Left_Holddown</t>
  </si>
  <si>
    <t>Right_Holddown</t>
  </si>
  <si>
    <t>Lateral Loads:</t>
  </si>
  <si>
    <t>Wind (kips)</t>
  </si>
  <si>
    <t>EQ (kips)</t>
  </si>
  <si>
    <t>Ultimate</t>
  </si>
  <si>
    <t>Lift_1_LL</t>
  </si>
  <si>
    <t>Lift_2_LL</t>
  </si>
  <si>
    <t>Lift_3_LL</t>
  </si>
  <si>
    <t>Lift_4_LL</t>
  </si>
  <si>
    <t>Lift_5_LL</t>
  </si>
  <si>
    <t>Lateral Loads</t>
  </si>
  <si>
    <t>Max:</t>
  </si>
  <si>
    <t>Min:</t>
  </si>
  <si>
    <t>Normal to:</t>
  </si>
  <si>
    <t>start_x</t>
  </si>
  <si>
    <t>L1_wind</t>
  </si>
  <si>
    <t>L1_eq</t>
  </si>
  <si>
    <t>L2_wind</t>
  </si>
  <si>
    <t>L2_eq</t>
  </si>
  <si>
    <t>L3_wind</t>
  </si>
  <si>
    <t>L3_eq</t>
  </si>
  <si>
    <t>L4_wind</t>
  </si>
  <si>
    <t>L4_eq</t>
  </si>
  <si>
    <t>L5_wind</t>
  </si>
  <si>
    <t>L5_eq</t>
  </si>
  <si>
    <t>Materials:</t>
  </si>
  <si>
    <t>psf</t>
  </si>
  <si>
    <t>Allowable Soil bearing pressure</t>
  </si>
  <si>
    <t>Q,allow</t>
  </si>
  <si>
    <t>Soil:</t>
  </si>
  <si>
    <t>Soil Friction Coefficient</t>
  </si>
  <si>
    <t>Soil Density (used for overburden)</t>
  </si>
  <si>
    <t>Soil Height of overburden over foundation</t>
  </si>
  <si>
    <t>Hoverburden:</t>
  </si>
  <si>
    <t>F'c_fnd</t>
  </si>
  <si>
    <t>ρc :</t>
  </si>
  <si>
    <t>ρs :</t>
  </si>
  <si>
    <t>psi</t>
  </si>
  <si>
    <t>pcf</t>
  </si>
  <si>
    <t>Stem:</t>
  </si>
  <si>
    <t>Chord face to center of anchor</t>
  </si>
  <si>
    <t>28-day compressive strength for foundation</t>
  </si>
  <si>
    <t>Foundation concrete density</t>
  </si>
  <si>
    <t>CIP</t>
  </si>
  <si>
    <t>Other Vertical Loading</t>
  </si>
  <si>
    <t>a</t>
  </si>
  <si>
    <t>b</t>
  </si>
  <si>
    <t>Postive Vertical loads act in the -y direction</t>
  </si>
  <si>
    <t>Positive Horizontal loads act in the +x direction</t>
  </si>
  <si>
    <t>Positive Moments act counter clockwise</t>
  </si>
  <si>
    <t>Load #</t>
  </si>
  <si>
    <t>a (ft)</t>
  </si>
  <si>
    <t>b (ft)</t>
  </si>
  <si>
    <t>Type</t>
  </si>
  <si>
    <t>Kind</t>
  </si>
  <si>
    <t>D</t>
  </si>
  <si>
    <t>N/A</t>
  </si>
  <si>
    <t>P (kips)
M (ft-kips)
w1 (klf)</t>
  </si>
  <si>
    <t>w2 (klf)</t>
  </si>
  <si>
    <t>Determine Equivalent Point Loads (P, kips), Application Points (X',ft), and Moments (M, ft-kips)</t>
  </si>
  <si>
    <t>Application point is relative to 0,0 = bottom left corner of foundation</t>
  </si>
  <si>
    <t>P (kips)</t>
  </si>
  <si>
    <t>X' (ft)</t>
  </si>
  <si>
    <t>M (ft-kips)</t>
  </si>
  <si>
    <t>Load Source</t>
  </si>
  <si>
    <t>Stem</t>
  </si>
  <si>
    <t>Wind +x - Hold Down</t>
  </si>
  <si>
    <t>Wind +x - Chord</t>
  </si>
  <si>
    <t>X_left_chord</t>
  </si>
  <si>
    <t>X_left_anchor</t>
  </si>
  <si>
    <t>X_right_chord</t>
  </si>
  <si>
    <t>X_right_anchor</t>
  </si>
  <si>
    <t>L_chord_to_anchor</t>
  </si>
  <si>
    <t>Chord CL relative to 0,0</t>
  </si>
  <si>
    <t>Anchor CL relative to 0,0</t>
  </si>
  <si>
    <t>Moment Arm between Anchor and Chord</t>
  </si>
  <si>
    <t>Shear Wall Load Takedown</t>
  </si>
  <si>
    <t>Secondary analysis by level for chord and hold down forces from lateral loads only</t>
  </si>
  <si>
    <t>Anlysis will go in reverse lift order</t>
  </si>
  <si>
    <t>Lift</t>
  </si>
  <si>
    <t>Wind_V
(kips)</t>
  </si>
  <si>
    <t>Wind_M
(ft-kips)</t>
  </si>
  <si>
    <t>Wind_M and EQ_M are computed per level, In lieu of summing moments about the base of the footing</t>
  </si>
  <si>
    <t>The Wind_M and EQ_M will be resolved into Tension Compression couples applied at the Hold downs</t>
  </si>
  <si>
    <t>and end chords respectively.</t>
  </si>
  <si>
    <t>T_wind
(kips)</t>
  </si>
  <si>
    <t>C_wind
(kips)</t>
  </si>
  <si>
    <t>EQ_V
(kips)</t>
  </si>
  <si>
    <t>EQ_M
(ft-kips)</t>
  </si>
  <si>
    <t>T_EQ
(kips)</t>
  </si>
  <si>
    <t>C_EQ
(kips)</t>
  </si>
  <si>
    <t>The chords and hold downs are assumed to be symmetric so +/- loading remains equivalent</t>
  </si>
  <si>
    <t>Wall PLF's by Lift</t>
  </si>
  <si>
    <t>Wind (plf)</t>
  </si>
  <si>
    <t>EQ (plf)</t>
  </si>
  <si>
    <t>ASD</t>
  </si>
  <si>
    <t>Wall Panel H/L Ratios by Lift</t>
  </si>
  <si>
    <t>H/L</t>
  </si>
  <si>
    <t>Wp</t>
  </si>
  <si>
    <t>Wind -x - Hold Down</t>
  </si>
  <si>
    <t>Wind -x - Chord</t>
  </si>
  <si>
    <t>Wind -x - Base Shear</t>
  </si>
  <si>
    <t>Wind +x - Base Shear</t>
  </si>
  <si>
    <t>Wn</t>
  </si>
  <si>
    <t>EQ +x - Hold Down</t>
  </si>
  <si>
    <t>EQ +x - Chord</t>
  </si>
  <si>
    <t>EQ +x - Base Shear</t>
  </si>
  <si>
    <t>EQ -x - Hold Down</t>
  </si>
  <si>
    <t>EQ -x - Chord</t>
  </si>
  <si>
    <t>EQ -x - Base Shear</t>
  </si>
  <si>
    <t>Distance from 0,0 to load application/start point</t>
  </si>
  <si>
    <t>Distance from 0,0 to load end point</t>
  </si>
  <si>
    <t>Ep</t>
  </si>
  <si>
    <t>En</t>
  </si>
  <si>
    <t>Overburden</t>
  </si>
  <si>
    <t>H</t>
  </si>
  <si>
    <t>Assumed to act over entire footing</t>
  </si>
  <si>
    <t>Overburden Stem</t>
  </si>
  <si>
    <t>Correction to remove stem volume</t>
  </si>
  <si>
    <t>Load Kind</t>
  </si>
  <si>
    <t>F</t>
  </si>
  <si>
    <t>L</t>
  </si>
  <si>
    <t>Lr</t>
  </si>
  <si>
    <t>S</t>
  </si>
  <si>
    <t>R</t>
  </si>
  <si>
    <t>Load Combination Variables:</t>
  </si>
  <si>
    <t>f1</t>
  </si>
  <si>
    <t>f2</t>
  </si>
  <si>
    <t>UDL</t>
  </si>
  <si>
    <t>stem</t>
  </si>
  <si>
    <t>ftg</t>
  </si>
  <si>
    <t>a/b of elements</t>
  </si>
  <si>
    <t>wood wall</t>
  </si>
  <si>
    <t>POINT</t>
  </si>
  <si>
    <t>M (ft-Kips)</t>
  </si>
  <si>
    <t>V (kips)</t>
  </si>
  <si>
    <t>ρ</t>
  </si>
  <si>
    <t>Note:</t>
  </si>
  <si>
    <t>Redundancy Coefficient - ASCE 7-10 section 12.3.4</t>
  </si>
  <si>
    <t>ASCE 7-10 section 12.4.2.2 - Exception 2 is taken to allow Ev = 0 in all load combinations</t>
  </si>
  <si>
    <t>Overturning Reduction</t>
  </si>
  <si>
    <t>ASCE 7-10 section 12.13.4, applies to EQ load only</t>
  </si>
  <si>
    <t>M includes redundancy and overturning reduction</t>
  </si>
  <si>
    <t>ASD/Basic Load Combindations</t>
  </si>
  <si>
    <t>IBC Eq.</t>
  </si>
  <si>
    <t>16-8</t>
  </si>
  <si>
    <t>16-9</t>
  </si>
  <si>
    <t>16-10Lr</t>
  </si>
  <si>
    <t>16-10S</t>
  </si>
  <si>
    <t>16-10R</t>
  </si>
  <si>
    <t>16-11Lr</t>
  </si>
  <si>
    <t>16-11S</t>
  </si>
  <si>
    <t>16-11R</t>
  </si>
  <si>
    <t>ASD/Basic Combination Results:</t>
  </si>
  <si>
    <t>e(0,0) (ft)</t>
  </si>
  <si>
    <t>efnd_cl (ft)</t>
  </si>
  <si>
    <t>Kern</t>
  </si>
  <si>
    <t>Out of Kern?</t>
  </si>
  <si>
    <t>ASD/Basic Bearing Pressures</t>
  </si>
  <si>
    <t>xl (ft)</t>
  </si>
  <si>
    <t>xr (ft)</t>
  </si>
  <si>
    <t>q,left (ksf)</t>
  </si>
  <si>
    <t>q,right (ksf)</t>
  </si>
  <si>
    <t>q,max (psf)</t>
  </si>
  <si>
    <t>&gt; Q,allow?</t>
  </si>
  <si>
    <t>Key:</t>
  </si>
  <si>
    <t>ASD Sliding Check</t>
  </si>
  <si>
    <t>µs :</t>
  </si>
  <si>
    <t>P*µs (kips)</t>
  </si>
  <si>
    <t>S.F.</t>
  </si>
  <si>
    <t>Collect P,M and V into Load Kind Bins to perform load combinations</t>
  </si>
  <si>
    <t>16-12Wp</t>
  </si>
  <si>
    <t>16-12Wn</t>
  </si>
  <si>
    <t>16-12Ep</t>
  </si>
  <si>
    <t>16-12En</t>
  </si>
  <si>
    <t>16-13Wp_Lr</t>
  </si>
  <si>
    <t>16-13Wp_S</t>
  </si>
  <si>
    <t>16-13Wp_R</t>
  </si>
  <si>
    <t>16-13Wn_Lr</t>
  </si>
  <si>
    <t>16-13Wn_S</t>
  </si>
  <si>
    <t>16-13Wn_R</t>
  </si>
  <si>
    <t>16-14Ep</t>
  </si>
  <si>
    <t>16-14En</t>
  </si>
  <si>
    <t>16-15Wp</t>
  </si>
  <si>
    <t>16-15Wn</t>
  </si>
  <si>
    <t>16-16Ep</t>
  </si>
  <si>
    <t>16-16En</t>
  </si>
  <si>
    <t>LRFD Load Combinations</t>
  </si>
  <si>
    <t>16-1</t>
  </si>
  <si>
    <t>16-2Lr</t>
  </si>
  <si>
    <t>16-2S</t>
  </si>
  <si>
    <t>16-2R</t>
  </si>
  <si>
    <t>16-3Lr_L</t>
  </si>
  <si>
    <t>16-3S_L</t>
  </si>
  <si>
    <t>16-3R_L</t>
  </si>
  <si>
    <t>LRFD Combination Results:</t>
  </si>
  <si>
    <t>16-3Lr_Wp</t>
  </si>
  <si>
    <t>16-3S_Wp</t>
  </si>
  <si>
    <t>16-3R_Wp</t>
  </si>
  <si>
    <t>16-3Lr_Wn</t>
  </si>
  <si>
    <t>16-3S_Wn</t>
  </si>
  <si>
    <t>16-3R_Wn</t>
  </si>
  <si>
    <t>16-4Wp_Lr</t>
  </si>
  <si>
    <t>16-4Wp_S</t>
  </si>
  <si>
    <t>16-4Wp_R</t>
  </si>
  <si>
    <t>16-4Wn_Lr</t>
  </si>
  <si>
    <t>16-4Wn_S</t>
  </si>
  <si>
    <t>16-4Wn_R</t>
  </si>
  <si>
    <t>16-5Ep</t>
  </si>
  <si>
    <t>16-5En</t>
  </si>
  <si>
    <t>16-6Wp</t>
  </si>
  <si>
    <t>16-6Wn</t>
  </si>
  <si>
    <t>16-7Ep</t>
  </si>
  <si>
    <t>16-7En</t>
  </si>
  <si>
    <t>LRFD Bearing Pressures</t>
  </si>
  <si>
    <t>e&gt;L_ft</t>
  </si>
  <si>
    <t>Shear @ T/Stem Produces a moment</t>
  </si>
  <si>
    <t>Messages:</t>
  </si>
  <si>
    <t>Warning</t>
  </si>
  <si>
    <t>Failure</t>
  </si>
  <si>
    <t xml:space="preserve">Q,min : </t>
  </si>
  <si>
    <t>Status</t>
  </si>
  <si>
    <t>Q,allow :</t>
  </si>
  <si>
    <t xml:space="preserve">Q,max : </t>
  </si>
  <si>
    <t>Allowable</t>
  </si>
  <si>
    <t>Q,max</t>
  </si>
  <si>
    <t>at T/stem divided by moment arm between anchor and chord.</t>
  </si>
  <si>
    <t>Plan View and Reinforcement</t>
  </si>
  <si>
    <t>Translate so that cener of ftg is at 0,0</t>
  </si>
  <si>
    <t>xt</t>
  </si>
  <si>
    <t>yt</t>
  </si>
  <si>
    <t>ftg_plan</t>
  </si>
  <si>
    <t>stem_plan</t>
  </si>
  <si>
    <t>Wall_plan</t>
  </si>
  <si>
    <t>(graphically shown as 5.5" wide</t>
  </si>
  <si>
    <t>Left Chord</t>
  </si>
  <si>
    <t>Right Chord</t>
  </si>
  <si>
    <t>Left HD</t>
  </si>
  <si>
    <t>Right HD</t>
  </si>
  <si>
    <t>Last row Check that Cumulative analysis matches global Moment</t>
  </si>
  <si>
    <t>Sliding F.S.:</t>
  </si>
  <si>
    <t>Sliding is checked using friction and ASD/Basic combinations only</t>
  </si>
  <si>
    <t>Q,overburden</t>
  </si>
  <si>
    <t>Increase Q,allow by Q,overburden?</t>
  </si>
  <si>
    <t>H Loading Kind will always be assumed to be stabilizing forces in combinations</t>
  </si>
  <si>
    <t>Caclulation of factored shear and moment along footing length using rigid body mechanics</t>
  </si>
  <si>
    <t>FTG_Self</t>
  </si>
  <si>
    <t>STEM_Self</t>
  </si>
  <si>
    <t>Overburden_STEM</t>
  </si>
  <si>
    <t>w2 (klf)
e (ft) (for UDH)</t>
  </si>
  <si>
    <t>UDH</t>
  </si>
  <si>
    <t>TRAP</t>
  </si>
  <si>
    <t>step</t>
  </si>
  <si>
    <t>P</t>
  </si>
  <si>
    <t>V</t>
  </si>
  <si>
    <t>M</t>
  </si>
  <si>
    <t>Vmax</t>
  </si>
  <si>
    <t>Vmin</t>
  </si>
  <si>
    <t>Mmax</t>
  </si>
  <si>
    <t>Mmin</t>
  </si>
  <si>
    <t>Concrete Design Factors</t>
  </si>
  <si>
    <t>ACI 318-14 - Table 21.2.1</t>
  </si>
  <si>
    <t>Plain Concrete:</t>
  </si>
  <si>
    <t>phi_M_pc</t>
  </si>
  <si>
    <t>phi_V_pc</t>
  </si>
  <si>
    <t>Y</t>
  </si>
  <si>
    <t>Reinforced Concrete:</t>
  </si>
  <si>
    <t>phi_M_rf</t>
  </si>
  <si>
    <t>phi_V_rf</t>
  </si>
  <si>
    <t>Cover</t>
  </si>
  <si>
    <t>Bottom</t>
  </si>
  <si>
    <t>Top</t>
  </si>
  <si>
    <t>** Long bars are assumed to be the outer layer</t>
  </si>
  <si>
    <t>Max Spacing</t>
  </si>
  <si>
    <t>Bar</t>
  </si>
  <si>
    <t>dia. (in)</t>
  </si>
  <si>
    <t>area (in2)</t>
  </si>
  <si>
    <t>weight (plf)</t>
  </si>
  <si>
    <t>Fy</t>
  </si>
  <si>
    <t>Beta1</t>
  </si>
  <si>
    <t>rho,t</t>
  </si>
  <si>
    <t>rho,max</t>
  </si>
  <si>
    <t># Long Bars for s</t>
  </si>
  <si>
    <t># Short Bars for s</t>
  </si>
  <si>
    <t>ACI 318-14 - Table 21.2.1 **may be less than 0.9 if e,t between 0.004 and 0.005</t>
  </si>
  <si>
    <t>Long Bars</t>
  </si>
  <si>
    <t>ft-kips</t>
  </si>
  <si>
    <t>Sm</t>
  </si>
  <si>
    <t>in3</t>
  </si>
  <si>
    <t>Mn = min [</t>
  </si>
  <si>
    <t>Face_Left</t>
  </si>
  <si>
    <t>Face_Right</t>
  </si>
  <si>
    <t>x_m_left:</t>
  </si>
  <si>
    <t>x_m_right:</t>
  </si>
  <si>
    <t>btwn</t>
  </si>
  <si>
    <t>Mmax_left:</t>
  </si>
  <si>
    <t>Mmin_left</t>
  </si>
  <si>
    <t>Mmax_right:</t>
  </si>
  <si>
    <t>Mmin_right:</t>
  </si>
  <si>
    <t>M+:</t>
  </si>
  <si>
    <t>M-:</t>
  </si>
  <si>
    <t>Left Design Moments:</t>
  </si>
  <si>
    <t>Right Design Moments:</t>
  </si>
  <si>
    <t>Plain Concrete Checks:</t>
  </si>
  <si>
    <t>Cross section is the same at the left and right sections</t>
  </si>
  <si>
    <t>Flexure:</t>
  </si>
  <si>
    <t>Sm,top=Sm,bottom</t>
  </si>
  <si>
    <t>Mn</t>
  </si>
  <si>
    <t>phi*Mn</t>
  </si>
  <si>
    <t>Left Status:</t>
  </si>
  <si>
    <t>Shear:</t>
  </si>
  <si>
    <t>x_v,pc_left:</t>
  </si>
  <si>
    <t>x_v,pc_right:</t>
  </si>
  <si>
    <t>kips</t>
  </si>
  <si>
    <t>Vu,left</t>
  </si>
  <si>
    <t>plain Vu</t>
  </si>
  <si>
    <t>Vc</t>
  </si>
  <si>
    <t>Phi*Vc</t>
  </si>
  <si>
    <t>kip</t>
  </si>
  <si>
    <t>Right Status:</t>
  </si>
  <si>
    <t>Vu,right</t>
  </si>
  <si>
    <t>V:</t>
  </si>
  <si>
    <t>ACI 318-14 - Table 14.5.5.1(a)</t>
  </si>
  <si>
    <t>ACI 318-14 - 14.5.2.1a</t>
  </si>
  <si>
    <t>ACI 318-14 - 14.5.2.1b</t>
  </si>
  <si>
    <t>Left Section Reinforcement Design:</t>
  </si>
  <si>
    <t>M+ (Bottom Steel)</t>
  </si>
  <si>
    <t>Determine As,required</t>
  </si>
  <si>
    <t>d (in)</t>
  </si>
  <si>
    <t>Ku</t>
  </si>
  <si>
    <t>As,req (in2)</t>
  </si>
  <si>
    <t>Determine As,min</t>
  </si>
  <si>
    <t>1.33*As,req</t>
  </si>
  <si>
    <t>Tbl 7.6.1.1</t>
  </si>
  <si>
    <t>9.6.1.2(a)</t>
  </si>
  <si>
    <t>9.6.1.2(b)</t>
  </si>
  <si>
    <t>As,min (in2)</t>
  </si>
  <si>
    <t># for S,max</t>
  </si>
  <si>
    <t>Determine # of Bars for As,min and Maximum Spacing</t>
  </si>
  <si>
    <t>As (in2)</t>
  </si>
  <si>
    <t xml:space="preserve"> # for As</t>
  </si>
  <si>
    <t>Check As for Tension Control and Capacity</t>
  </si>
  <si>
    <t>As,use (in2)</t>
  </si>
  <si>
    <t>e,s</t>
  </si>
  <si>
    <t>ec</t>
  </si>
  <si>
    <t>c</t>
  </si>
  <si>
    <t>phi</t>
  </si>
  <si>
    <t>Mn (ft-kips)</t>
  </si>
  <si>
    <t>phi Mn
(ft-kips)</t>
  </si>
  <si>
    <t>Check Development Length</t>
  </si>
  <si>
    <t>Ld,left available</t>
  </si>
  <si>
    <t>Ld,right available</t>
  </si>
  <si>
    <t>As,req/As</t>
  </si>
  <si>
    <t>S, use (in)</t>
  </si>
  <si>
    <t>cb</t>
  </si>
  <si>
    <t>cb+Ktr/db</t>
  </si>
  <si>
    <t>lamba</t>
  </si>
  <si>
    <t>psi,t</t>
  </si>
  <si>
    <t>psi,e</t>
  </si>
  <si>
    <t>psi,s</t>
  </si>
  <si>
    <t>Ld (ft)</t>
  </si>
  <si>
    <t>Hook Left?</t>
  </si>
  <si>
    <t>Hook Right?</t>
  </si>
  <si>
    <t>Ldh (in)</t>
  </si>
  <si>
    <t>Ldh (ft)</t>
  </si>
  <si>
    <t>90 H (in)</t>
  </si>
  <si>
    <t>180 H (in)</t>
  </si>
  <si>
    <t>90 fit?</t>
  </si>
  <si>
    <t>180 fit?</t>
  </si>
  <si>
    <t>Check fit of Ldh and both 90 and 180 hooks</t>
  </si>
  <si>
    <t>Ldh,left fit?</t>
  </si>
  <si>
    <t>Ldh,right fit?</t>
  </si>
  <si>
    <t>Determine Total Bar Length</t>
  </si>
  <si>
    <t>L 90 (ft)</t>
  </si>
  <si>
    <t>L 180 (ft)</t>
  </si>
  <si>
    <t>L,left (ft)</t>
  </si>
  <si>
    <t>L,right (ft)</t>
  </si>
  <si>
    <t>L,tot (ft)</t>
  </si>
  <si>
    <t>Weight (kips)</t>
  </si>
  <si>
    <t># Bars Use</t>
  </si>
  <si>
    <t>Summary</t>
  </si>
  <si>
    <t># Bars</t>
  </si>
  <si>
    <t>Spacing (in)</t>
  </si>
  <si>
    <t>Apply a cost weighting to each category</t>
  </si>
  <si>
    <t>Cost Factor:</t>
  </si>
  <si>
    <t>"cost"</t>
  </si>
  <si>
    <t>**Normalizes the above Summary Columns to:</t>
  </si>
  <si>
    <t>L,tot = Max = 1</t>
  </si>
  <si>
    <t>Weight = Max = 1</t>
  </si>
  <si>
    <t>Bar set with the least cost will be reported on the summary sheet</t>
  </si>
  <si>
    <t>90 Hook</t>
  </si>
  <si>
    <t>180 Hook</t>
  </si>
  <si>
    <t># bars = Max = 1</t>
  </si>
  <si>
    <t>Spacing = Min = 1</t>
  </si>
  <si>
    <t>Use base on "cost"</t>
  </si>
  <si>
    <t>as Text:</t>
  </si>
  <si>
    <t>Reinforcment:</t>
  </si>
  <si>
    <t>Left M+:</t>
  </si>
  <si>
    <t>Long Direction</t>
  </si>
  <si>
    <t>Caclulation of factored shear and moment perpendicular to footing length using rigid body mechanics</t>
  </si>
  <si>
    <t>User Input</t>
  </si>
  <si>
    <t>Menu</t>
  </si>
  <si>
    <t>Calculated</t>
  </si>
  <si>
    <t>Constant</t>
  </si>
  <si>
    <t>USE</t>
  </si>
  <si>
    <t>Allow Plain?</t>
  </si>
  <si>
    <t>Weighting factors for automated bar selection:</t>
  </si>
  <si>
    <t>Use?</t>
  </si>
  <si>
    <t>Left M-:</t>
  </si>
  <si>
    <t>Right M+:</t>
  </si>
  <si>
    <t>Right M-:</t>
  </si>
  <si>
    <t>Short Direction</t>
  </si>
  <si>
    <t>Status Integer:</t>
  </si>
  <si>
    <t>M- (Top Steel)</t>
  </si>
  <si>
    <t>d,M+</t>
  </si>
  <si>
    <t>x_Vu_M+</t>
  </si>
  <si>
    <t>Left M+ -- Vu</t>
  </si>
  <si>
    <t>Vu</t>
  </si>
  <si>
    <t>phi Vc</t>
  </si>
  <si>
    <t>Shear M+:</t>
  </si>
  <si>
    <t>Left M- -- Vu</t>
  </si>
  <si>
    <t>Right Section Reinforcement Design:</t>
  </si>
  <si>
    <t>N</t>
  </si>
  <si>
    <t>Right M+ -- Vu</t>
  </si>
  <si>
    <t>Shear M-:</t>
  </si>
  <si>
    <t>d,M-</t>
  </si>
  <si>
    <t>x_Vu_M-</t>
  </si>
  <si>
    <t>Left:</t>
  </si>
  <si>
    <t>V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</si>
</sst>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0000000"/>
    <numFmt numFmtId="167" formatCode="0.0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</font>
    <font>
      <b/>
      <sz val="9"/>
      <color theme="7" tint="-0.249977111117893"/>
      <name val="Calibri"/>
      <family val="2"/>
      <scheme val="minor"/>
    </font>
    <font>
      <i/>
      <sz val="9"/>
      <color theme="6" tint="-0.249977111117893"/>
      <name val="Calibri"/>
      <family val="2"/>
      <scheme val="minor"/>
    </font>
    <font>
      <b/>
      <u/>
      <sz val="9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9"/>
      <color theme="2" tint="-0.499984740745262"/>
      <name val="Calibri"/>
      <family val="2"/>
      <scheme val="minor"/>
    </font>
    <font>
      <sz val="9"/>
      <name val="Calibri"/>
      <family val="2"/>
      <scheme val="minor"/>
    </font>
    <font>
      <i/>
      <sz val="9"/>
      <color theme="0" tint="-0.499984740745262"/>
      <name val="Calibri"/>
      <family val="2"/>
      <scheme val="minor"/>
    </font>
    <font>
      <u/>
      <sz val="9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2" fillId="0" borderId="0" xfId="0" applyFont="1"/>
    <xf numFmtId="0" fontId="4" fillId="0" borderId="0" xfId="0" applyFont="1" applyFill="1" applyBorder="1" applyAlignment="1">
      <alignment horizontal="left"/>
    </xf>
    <xf numFmtId="2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right"/>
    </xf>
    <xf numFmtId="165" fontId="2" fillId="2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0" fontId="5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165" fontId="2" fillId="0" borderId="0" xfId="0" applyNumberFormat="1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65" fontId="2" fillId="2" borderId="0" xfId="0" applyNumberFormat="1" applyFont="1" applyFill="1" applyAlignment="1">
      <alignment horizontal="center"/>
    </xf>
    <xf numFmtId="165" fontId="2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2" fillId="3" borderId="0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4" fillId="0" borderId="0" xfId="0" applyFont="1"/>
    <xf numFmtId="164" fontId="2" fillId="0" borderId="0" xfId="0" applyNumberFormat="1" applyFont="1" applyFill="1" applyBorder="1" applyAlignment="1">
      <alignment horizontal="right"/>
    </xf>
    <xf numFmtId="0" fontId="2" fillId="0" borderId="0" xfId="0" applyFont="1" applyAlignment="1">
      <alignment horizontal="left"/>
    </xf>
    <xf numFmtId="165" fontId="2" fillId="0" borderId="0" xfId="0" applyNumberFormat="1" applyFont="1"/>
    <xf numFmtId="0" fontId="2" fillId="0" borderId="0" xfId="0" applyFont="1" applyAlignment="1">
      <alignment horizontal="center" wrapText="1"/>
    </xf>
    <xf numFmtId="0" fontId="2" fillId="0" borderId="0" xfId="0" applyNumberFormat="1" applyFont="1" applyAlignment="1">
      <alignment horizontal="center"/>
    </xf>
    <xf numFmtId="165" fontId="2" fillId="2" borderId="3" xfId="0" applyNumberFormat="1" applyFont="1" applyFill="1" applyBorder="1" applyAlignment="1">
      <alignment horizontal="center"/>
    </xf>
    <xf numFmtId="165" fontId="2" fillId="2" borderId="4" xfId="0" applyNumberFormat="1" applyFont="1" applyFill="1" applyBorder="1" applyAlignment="1">
      <alignment horizontal="center"/>
    </xf>
    <xf numFmtId="165" fontId="2" fillId="2" borderId="6" xfId="0" applyNumberFormat="1" applyFont="1" applyFill="1" applyBorder="1" applyAlignment="1">
      <alignment horizontal="center"/>
    </xf>
    <xf numFmtId="165" fontId="2" fillId="2" borderId="1" xfId="0" applyNumberFormat="1" applyFont="1" applyFill="1" applyBorder="1" applyAlignment="1">
      <alignment horizontal="center"/>
    </xf>
    <xf numFmtId="165" fontId="2" fillId="2" borderId="8" xfId="0" applyNumberFormat="1" applyFont="1" applyFill="1" applyBorder="1" applyAlignment="1">
      <alignment horizontal="center"/>
    </xf>
    <xf numFmtId="165" fontId="2" fillId="2" borderId="9" xfId="0" applyNumberFormat="1" applyFont="1" applyFill="1" applyBorder="1" applyAlignment="1">
      <alignment horizontal="center"/>
    </xf>
    <xf numFmtId="0" fontId="2" fillId="0" borderId="0" xfId="0" applyFont="1" applyAlignment="1">
      <alignment horizontal="right" indent="1"/>
    </xf>
    <xf numFmtId="0" fontId="2" fillId="0" borderId="0" xfId="0" applyFont="1" applyAlignment="1">
      <alignment horizontal="left" indent="1"/>
    </xf>
    <xf numFmtId="0" fontId="2" fillId="3" borderId="0" xfId="0" applyFont="1" applyFill="1" applyAlignment="1">
      <alignment horizontal="center"/>
    </xf>
    <xf numFmtId="2" fontId="2" fillId="3" borderId="0" xfId="0" applyNumberFormat="1" applyFont="1" applyFill="1" applyAlignment="1">
      <alignment horizontal="center"/>
    </xf>
    <xf numFmtId="9" fontId="2" fillId="3" borderId="0" xfId="1" applyFont="1" applyFill="1" applyAlignment="1">
      <alignment horizontal="center"/>
    </xf>
    <xf numFmtId="0" fontId="6" fillId="0" borderId="0" xfId="0" applyFont="1"/>
    <xf numFmtId="0" fontId="4" fillId="0" borderId="0" xfId="0" applyFont="1" applyFill="1" applyBorder="1" applyAlignment="1">
      <alignment horizontal="center"/>
    </xf>
    <xf numFmtId="165" fontId="4" fillId="0" borderId="0" xfId="0" applyNumberFormat="1" applyFont="1" applyFill="1" applyBorder="1" applyAlignment="1">
      <alignment horizontal="center"/>
    </xf>
    <xf numFmtId="165" fontId="4" fillId="0" borderId="0" xfId="0" applyNumberFormat="1" applyFont="1" applyAlignment="1">
      <alignment horizontal="center"/>
    </xf>
    <xf numFmtId="165" fontId="4" fillId="0" borderId="2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2" fillId="0" borderId="0" xfId="0" applyFont="1" applyBorder="1" applyAlignment="1">
      <alignment horizontal="right"/>
    </xf>
    <xf numFmtId="0" fontId="2" fillId="0" borderId="0" xfId="0" applyFont="1" applyBorder="1" applyAlignment="1">
      <alignment horizontal="center"/>
    </xf>
    <xf numFmtId="165" fontId="2" fillId="0" borderId="0" xfId="0" applyNumberFormat="1" applyFont="1" applyBorder="1" applyAlignment="1">
      <alignment horizontal="center"/>
    </xf>
    <xf numFmtId="0" fontId="2" fillId="0" borderId="0" xfId="0" applyFont="1" applyBorder="1"/>
    <xf numFmtId="165" fontId="4" fillId="0" borderId="0" xfId="0" applyNumberFormat="1" applyFont="1" applyBorder="1" applyAlignment="1">
      <alignment horizontal="center"/>
    </xf>
    <xf numFmtId="1" fontId="4" fillId="0" borderId="0" xfId="0" applyNumberFormat="1" applyFont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7" fillId="0" borderId="0" xfId="0" applyFont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2" fontId="8" fillId="0" borderId="0" xfId="0" applyNumberFormat="1" applyFont="1" applyFill="1" applyBorder="1" applyAlignment="1">
      <alignment horizontal="center"/>
    </xf>
    <xf numFmtId="0" fontId="6" fillId="0" borderId="0" xfId="0" applyFont="1" applyFill="1" applyBorder="1"/>
    <xf numFmtId="0" fontId="8" fillId="0" borderId="0" xfId="0" applyFont="1"/>
    <xf numFmtId="0" fontId="8" fillId="0" borderId="0" xfId="0" applyFont="1" applyFill="1" applyBorder="1"/>
    <xf numFmtId="0" fontId="5" fillId="0" borderId="0" xfId="0" applyFont="1"/>
    <xf numFmtId="0" fontId="9" fillId="0" borderId="1" xfId="0" applyFont="1" applyBorder="1" applyAlignment="1">
      <alignment horizontal="center"/>
    </xf>
    <xf numFmtId="0" fontId="9" fillId="0" borderId="1" xfId="0" applyFont="1" applyBorder="1"/>
    <xf numFmtId="0" fontId="0" fillId="0" borderId="1" xfId="0" applyBorder="1" applyAlignment="1">
      <alignment horizontal="center"/>
    </xf>
    <xf numFmtId="0" fontId="10" fillId="0" borderId="0" xfId="0" applyFont="1" applyFill="1" applyBorder="1"/>
    <xf numFmtId="0" fontId="11" fillId="0" borderId="0" xfId="0" applyFont="1" applyFill="1"/>
    <xf numFmtId="166" fontId="4" fillId="0" borderId="0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0" fontId="12" fillId="0" borderId="0" xfId="0" applyFont="1" applyAlignment="1">
      <alignment horizontal="center"/>
    </xf>
    <xf numFmtId="165" fontId="2" fillId="0" borderId="0" xfId="0" applyNumberFormat="1" applyFont="1" applyAlignment="1">
      <alignment horizontal="left"/>
    </xf>
    <xf numFmtId="0" fontId="13" fillId="0" borderId="0" xfId="0" applyFont="1" applyAlignment="1">
      <alignment horizontal="left"/>
    </xf>
    <xf numFmtId="165" fontId="2" fillId="0" borderId="0" xfId="0" applyNumberFormat="1" applyFont="1" applyAlignment="1">
      <alignment horizontal="right" indent="1"/>
    </xf>
    <xf numFmtId="1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165" fontId="12" fillId="0" borderId="0" xfId="0" applyNumberFormat="1" applyFont="1" applyAlignment="1">
      <alignment horizontal="center"/>
    </xf>
    <xf numFmtId="0" fontId="14" fillId="0" borderId="0" xfId="0" applyFont="1" applyAlignment="1">
      <alignment horizontal="right" indent="1"/>
    </xf>
    <xf numFmtId="0" fontId="14" fillId="0" borderId="0" xfId="0" applyFont="1"/>
    <xf numFmtId="167" fontId="4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right" indent="1"/>
    </xf>
    <xf numFmtId="2" fontId="0" fillId="0" borderId="0" xfId="0" applyNumberFormat="1"/>
    <xf numFmtId="0" fontId="5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165" fontId="4" fillId="0" borderId="0" xfId="0" applyNumberFormat="1" applyFont="1" applyFill="1" applyBorder="1" applyAlignment="1">
      <alignment horizontal="left"/>
    </xf>
    <xf numFmtId="0" fontId="0" fillId="0" borderId="0" xfId="0" applyAlignment="1">
      <alignment horizontal="right"/>
    </xf>
    <xf numFmtId="0" fontId="2" fillId="2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/>
    <xf numFmtId="0" fontId="11" fillId="2" borderId="0" xfId="0" applyFont="1" applyFill="1" applyAlignment="1">
      <alignment horizontal="center"/>
    </xf>
    <xf numFmtId="0" fontId="2" fillId="0" borderId="0" xfId="0" applyFont="1" applyFill="1" applyBorder="1" applyAlignment="1">
      <alignment horizontal="right" indent="1"/>
    </xf>
    <xf numFmtId="2" fontId="2" fillId="0" borderId="0" xfId="0" applyNumberFormat="1" applyFont="1" applyFill="1" applyBorder="1" applyAlignment="1">
      <alignment horizontal="left" indent="1"/>
    </xf>
    <xf numFmtId="0" fontId="15" fillId="0" borderId="0" xfId="0" applyFont="1" applyAlignment="1">
      <alignment horizontal="right"/>
    </xf>
    <xf numFmtId="0" fontId="4" fillId="0" borderId="0" xfId="0" applyFont="1" applyFill="1" applyBorder="1"/>
  </cellXfs>
  <cellStyles count="2">
    <cellStyle name="Normal" xfId="0" builtinId="0"/>
    <cellStyle name="Percent" xfId="1" builtinId="5"/>
  </cellStyles>
  <dxfs count="1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ftg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charting!$A$4:$A$8</c:f>
              <c:numCache>
                <c:formatCode>General</c:formatCode>
                <c:ptCount val="5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charting!$B$4:$B$8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E3-42D6-AE46-8561C64E9F10}"/>
            </c:ext>
          </c:extLst>
        </c:ser>
        <c:ser>
          <c:idx val="1"/>
          <c:order val="1"/>
          <c:tx>
            <c:v>stem_wall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charting!$D$4:$D$8</c:f>
              <c:numCache>
                <c:formatCode>General</c:formatCode>
                <c:ptCount val="5"/>
                <c:pt idx="0">
                  <c:v>7</c:v>
                </c:pt>
                <c:pt idx="1">
                  <c:v>27</c:v>
                </c:pt>
                <c:pt idx="2">
                  <c:v>27</c:v>
                </c:pt>
                <c:pt idx="3">
                  <c:v>7</c:v>
                </c:pt>
                <c:pt idx="4">
                  <c:v>7</c:v>
                </c:pt>
              </c:numCache>
            </c:numRef>
          </c:xVal>
          <c:yVal>
            <c:numRef>
              <c:f>charting!$E$4:$E$8</c:f>
              <c:numCache>
                <c:formatCode>General</c:formatCode>
                <c:ptCount val="5"/>
                <c:pt idx="0">
                  <c:v>1.5</c:v>
                </c:pt>
                <c:pt idx="1">
                  <c:v>1.5</c:v>
                </c:pt>
                <c:pt idx="2">
                  <c:v>3.5</c:v>
                </c:pt>
                <c:pt idx="3">
                  <c:v>3.5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E3-42D6-AE46-8561C64E9F10}"/>
            </c:ext>
          </c:extLst>
        </c:ser>
        <c:ser>
          <c:idx val="2"/>
          <c:order val="2"/>
          <c:tx>
            <c:v>w_lift_1</c:v>
          </c:tx>
          <c:spPr>
            <a:ln w="158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charting!$G$4:$G$8</c:f>
              <c:numCache>
                <c:formatCode>General</c:formatCode>
                <c:ptCount val="5"/>
                <c:pt idx="0">
                  <c:v>9.5</c:v>
                </c:pt>
                <c:pt idx="1">
                  <c:v>24.5</c:v>
                </c:pt>
                <c:pt idx="2">
                  <c:v>24.5</c:v>
                </c:pt>
                <c:pt idx="3">
                  <c:v>9.5</c:v>
                </c:pt>
                <c:pt idx="4">
                  <c:v>9.5</c:v>
                </c:pt>
              </c:numCache>
            </c:numRef>
          </c:xVal>
          <c:yVal>
            <c:numRef>
              <c:f>charting!$H$4:$H$8</c:f>
              <c:numCache>
                <c:formatCode>General</c:formatCode>
                <c:ptCount val="5"/>
                <c:pt idx="0">
                  <c:v>3.5</c:v>
                </c:pt>
                <c:pt idx="1">
                  <c:v>3.5</c:v>
                </c:pt>
                <c:pt idx="2">
                  <c:v>18.5</c:v>
                </c:pt>
                <c:pt idx="3">
                  <c:v>18.5</c:v>
                </c:pt>
                <c:pt idx="4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E3-42D6-AE46-8561C64E9F10}"/>
            </c:ext>
          </c:extLst>
        </c:ser>
        <c:ser>
          <c:idx val="3"/>
          <c:order val="3"/>
          <c:tx>
            <c:v>w_lift_2</c:v>
          </c:tx>
          <c:spPr>
            <a:ln w="158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charting!$J$4:$J$8</c:f>
              <c:numCache>
                <c:formatCode>General</c:formatCode>
                <c:ptCount val="5"/>
                <c:pt idx="0">
                  <c:v>9.5</c:v>
                </c:pt>
                <c:pt idx="1">
                  <c:v>24.5</c:v>
                </c:pt>
                <c:pt idx="2">
                  <c:v>24.5</c:v>
                </c:pt>
                <c:pt idx="3">
                  <c:v>9.5</c:v>
                </c:pt>
                <c:pt idx="4">
                  <c:v>9.5</c:v>
                </c:pt>
              </c:numCache>
            </c:numRef>
          </c:xVal>
          <c:yVal>
            <c:numRef>
              <c:f>charting!$K$4:$K$8</c:f>
              <c:numCache>
                <c:formatCode>General</c:formatCode>
                <c:ptCount val="5"/>
                <c:pt idx="0">
                  <c:v>18.5</c:v>
                </c:pt>
                <c:pt idx="1">
                  <c:v>18.5</c:v>
                </c:pt>
                <c:pt idx="2">
                  <c:v>28.5</c:v>
                </c:pt>
                <c:pt idx="3">
                  <c:v>28.5</c:v>
                </c:pt>
                <c:pt idx="4">
                  <c:v>18.5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E3-42D6-AE46-8561C64E9F10}"/>
            </c:ext>
          </c:extLst>
        </c:ser>
        <c:ser>
          <c:idx val="4"/>
          <c:order val="4"/>
          <c:tx>
            <c:v>w_lift_3</c:v>
          </c:tx>
          <c:spPr>
            <a:ln w="158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charting!$M$4:$M$8</c:f>
              <c:numCache>
                <c:formatCode>General</c:formatCode>
                <c:ptCount val="5"/>
                <c:pt idx="0">
                  <c:v>9.5</c:v>
                </c:pt>
                <c:pt idx="1">
                  <c:v>24.5</c:v>
                </c:pt>
                <c:pt idx="2">
                  <c:v>24.5</c:v>
                </c:pt>
                <c:pt idx="3">
                  <c:v>9.5</c:v>
                </c:pt>
                <c:pt idx="4">
                  <c:v>9.5</c:v>
                </c:pt>
              </c:numCache>
            </c:numRef>
          </c:xVal>
          <c:yVal>
            <c:numRef>
              <c:f>charting!$N$4:$N$8</c:f>
              <c:numCache>
                <c:formatCode>General</c:formatCode>
                <c:ptCount val="5"/>
                <c:pt idx="0">
                  <c:v>28.5</c:v>
                </c:pt>
                <c:pt idx="1">
                  <c:v>28.5</c:v>
                </c:pt>
                <c:pt idx="2">
                  <c:v>38.5</c:v>
                </c:pt>
                <c:pt idx="3">
                  <c:v>38.5</c:v>
                </c:pt>
                <c:pt idx="4">
                  <c:v>28.5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2E3-42D6-AE46-8561C64E9F10}"/>
            </c:ext>
          </c:extLst>
        </c:ser>
        <c:ser>
          <c:idx val="5"/>
          <c:order val="5"/>
          <c:tx>
            <c:v>w_lift_4</c:v>
          </c:tx>
          <c:spPr>
            <a:ln w="158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charting!$P$4:$P$8</c:f>
              <c:numCache>
                <c:formatCode>General</c:formatCode>
                <c:ptCount val="5"/>
                <c:pt idx="0">
                  <c:v>9.5</c:v>
                </c:pt>
                <c:pt idx="1">
                  <c:v>24.5</c:v>
                </c:pt>
                <c:pt idx="2">
                  <c:v>24.5</c:v>
                </c:pt>
                <c:pt idx="3">
                  <c:v>9.5</c:v>
                </c:pt>
                <c:pt idx="4">
                  <c:v>9.5</c:v>
                </c:pt>
              </c:numCache>
            </c:numRef>
          </c:xVal>
          <c:yVal>
            <c:numRef>
              <c:f>charting!$Q$4:$Q$8</c:f>
              <c:numCache>
                <c:formatCode>General</c:formatCode>
                <c:ptCount val="5"/>
                <c:pt idx="0">
                  <c:v>38.5</c:v>
                </c:pt>
                <c:pt idx="1">
                  <c:v>38.5</c:v>
                </c:pt>
                <c:pt idx="2">
                  <c:v>48.5</c:v>
                </c:pt>
                <c:pt idx="3">
                  <c:v>48.5</c:v>
                </c:pt>
                <c:pt idx="4">
                  <c:v>38.5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2E3-42D6-AE46-8561C64E9F10}"/>
            </c:ext>
          </c:extLst>
        </c:ser>
        <c:ser>
          <c:idx val="6"/>
          <c:order val="6"/>
          <c:tx>
            <c:v>w_lift_5</c:v>
          </c:tx>
          <c:spPr>
            <a:ln w="158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charting!$S$4:$S$8</c:f>
              <c:numCache>
                <c:formatCode>General</c:formatCode>
                <c:ptCount val="5"/>
                <c:pt idx="0">
                  <c:v>9.5</c:v>
                </c:pt>
                <c:pt idx="1">
                  <c:v>24.5</c:v>
                </c:pt>
                <c:pt idx="2">
                  <c:v>24.5</c:v>
                </c:pt>
                <c:pt idx="3">
                  <c:v>9.5</c:v>
                </c:pt>
                <c:pt idx="4">
                  <c:v>9.5</c:v>
                </c:pt>
              </c:numCache>
            </c:numRef>
          </c:xVal>
          <c:yVal>
            <c:numRef>
              <c:f>charting!$T$4:$T$8</c:f>
              <c:numCache>
                <c:formatCode>General</c:formatCode>
                <c:ptCount val="5"/>
                <c:pt idx="0">
                  <c:v>48.5</c:v>
                </c:pt>
                <c:pt idx="1">
                  <c:v>48.5</c:v>
                </c:pt>
                <c:pt idx="2">
                  <c:v>58.5</c:v>
                </c:pt>
                <c:pt idx="3">
                  <c:v>58.5</c:v>
                </c:pt>
                <c:pt idx="4">
                  <c:v>48.5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2E3-42D6-AE46-8561C64E9F10}"/>
            </c:ext>
          </c:extLst>
        </c:ser>
        <c:ser>
          <c:idx val="7"/>
          <c:order val="7"/>
          <c:tx>
            <c:v>Left_Chord_Edge</c:v>
          </c:tx>
          <c:spPr>
            <a:ln w="1270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charting!$V$4:$V$5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charting!$W$4:$W$5</c:f>
              <c:numCache>
                <c:formatCode>General</c:formatCode>
                <c:ptCount val="2"/>
                <c:pt idx="0">
                  <c:v>3.5</c:v>
                </c:pt>
                <c:pt idx="1">
                  <c:v>58.5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2E3-42D6-AE46-8561C64E9F10}"/>
            </c:ext>
          </c:extLst>
        </c:ser>
        <c:ser>
          <c:idx val="8"/>
          <c:order val="8"/>
          <c:tx>
            <c:v>Right_Chord_Edge</c:v>
          </c:tx>
          <c:spPr>
            <a:ln w="1270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charting!$Y$4:$Y$5</c:f>
              <c:numCache>
                <c:formatCode>General</c:formatCode>
                <c:ptCount val="2"/>
                <c:pt idx="0">
                  <c:v>24</c:v>
                </c:pt>
                <c:pt idx="1">
                  <c:v>24</c:v>
                </c:pt>
              </c:numCache>
            </c:numRef>
          </c:xVal>
          <c:yVal>
            <c:numRef>
              <c:f>charting!$Z$4:$Z$5</c:f>
              <c:numCache>
                <c:formatCode>General</c:formatCode>
                <c:ptCount val="2"/>
                <c:pt idx="0">
                  <c:v>3.5</c:v>
                </c:pt>
                <c:pt idx="1">
                  <c:v>58.5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2E3-42D6-AE46-8561C64E9F10}"/>
            </c:ext>
          </c:extLst>
        </c:ser>
        <c:ser>
          <c:idx val="9"/>
          <c:order val="9"/>
          <c:tx>
            <c:v>Left_Holddown</c:v>
          </c:tx>
          <c:spPr>
            <a:ln w="12700" cap="rnd">
              <a:solidFill>
                <a:srgbClr val="FF0000"/>
              </a:solidFill>
              <a:prstDash val="lgDashDot"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charting!$V$9:$V$10</c:f>
              <c:numCache>
                <c:formatCode>General</c:formatCode>
                <c:ptCount val="2"/>
                <c:pt idx="0">
                  <c:v>10.177083333333334</c:v>
                </c:pt>
                <c:pt idx="1">
                  <c:v>10.177083333333334</c:v>
                </c:pt>
              </c:numCache>
            </c:numRef>
          </c:xVal>
          <c:yVal>
            <c:numRef>
              <c:f>charting!$W$9:$W$10</c:f>
              <c:numCache>
                <c:formatCode>General</c:formatCode>
                <c:ptCount val="2"/>
                <c:pt idx="0">
                  <c:v>4.5</c:v>
                </c:pt>
                <c:pt idx="1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2E3-42D6-AE46-8561C64E9F10}"/>
            </c:ext>
          </c:extLst>
        </c:ser>
        <c:ser>
          <c:idx val="10"/>
          <c:order val="10"/>
          <c:tx>
            <c:v>Right_Holddown</c:v>
          </c:tx>
          <c:spPr>
            <a:ln w="12700" cap="rnd">
              <a:solidFill>
                <a:srgbClr val="FF0000"/>
              </a:solidFill>
              <a:prstDash val="lgDashDot"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charting!$Y$9:$Y$10</c:f>
              <c:numCache>
                <c:formatCode>General</c:formatCode>
                <c:ptCount val="2"/>
                <c:pt idx="0">
                  <c:v>23.822916666666668</c:v>
                </c:pt>
                <c:pt idx="1">
                  <c:v>23.822916666666668</c:v>
                </c:pt>
              </c:numCache>
            </c:numRef>
          </c:xVal>
          <c:yVal>
            <c:numRef>
              <c:f>charting!$Z$9:$Z$10</c:f>
              <c:numCache>
                <c:formatCode>General</c:formatCode>
                <c:ptCount val="2"/>
                <c:pt idx="0">
                  <c:v>4.5</c:v>
                </c:pt>
                <c:pt idx="1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2E3-42D6-AE46-8561C64E9F10}"/>
            </c:ext>
          </c:extLst>
        </c:ser>
        <c:ser>
          <c:idx val="11"/>
          <c:order val="11"/>
          <c:tx>
            <c:v>L1_wind</c:v>
          </c:tx>
          <c:spPr>
            <a:ln w="19050" cap="rnd">
              <a:solidFill>
                <a:srgbClr val="FF0000"/>
              </a:solidFill>
              <a:round/>
              <a:headEnd type="stealth"/>
              <a:tailEnd type="stealth"/>
            </a:ln>
            <a:effectLst/>
          </c:spPr>
          <c:marker>
            <c:symbol val="none"/>
          </c:marker>
          <c:xVal>
            <c:numRef>
              <c:f>charting!$A$24:$A$25</c:f>
              <c:numCache>
                <c:formatCode>General</c:formatCode>
                <c:ptCount val="2"/>
                <c:pt idx="0">
                  <c:v>25</c:v>
                </c:pt>
                <c:pt idx="1">
                  <c:v>25.6</c:v>
                </c:pt>
              </c:numCache>
            </c:numRef>
          </c:xVal>
          <c:yVal>
            <c:numRef>
              <c:f>charting!$B$24:$B$25</c:f>
              <c:numCache>
                <c:formatCode>General</c:formatCode>
                <c:ptCount val="2"/>
                <c:pt idx="0">
                  <c:v>18.5</c:v>
                </c:pt>
                <c:pt idx="1">
                  <c:v>18.5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E3-43DA-B828-CC08A88F5FAA}"/>
            </c:ext>
          </c:extLst>
        </c:ser>
        <c:ser>
          <c:idx val="12"/>
          <c:order val="12"/>
          <c:tx>
            <c:v>L1_EQ</c:v>
          </c:tx>
          <c:spPr>
            <a:ln w="15875" cap="rnd">
              <a:solidFill>
                <a:schemeClr val="tx1">
                  <a:lumMod val="85000"/>
                  <a:lumOff val="15000"/>
                </a:schemeClr>
              </a:solidFill>
              <a:round/>
              <a:headEnd type="stealth"/>
              <a:tailEnd type="stealth"/>
            </a:ln>
            <a:effectLst/>
          </c:spPr>
          <c:marker>
            <c:symbol val="none"/>
          </c:marker>
          <c:xVal>
            <c:numRef>
              <c:f>charting!$A$28:$A$29</c:f>
              <c:numCache>
                <c:formatCode>General</c:formatCode>
                <c:ptCount val="2"/>
                <c:pt idx="0">
                  <c:v>25.6</c:v>
                </c:pt>
                <c:pt idx="1">
                  <c:v>26.200000000000003</c:v>
                </c:pt>
              </c:numCache>
            </c:numRef>
          </c:xVal>
          <c:yVal>
            <c:numRef>
              <c:f>charting!$B$28:$B$29</c:f>
              <c:numCache>
                <c:formatCode>General</c:formatCode>
                <c:ptCount val="2"/>
                <c:pt idx="0">
                  <c:v>18.5</c:v>
                </c:pt>
                <c:pt idx="1">
                  <c:v>18.5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7E3-43DA-B828-CC08A88F5FAA}"/>
            </c:ext>
          </c:extLst>
        </c:ser>
        <c:ser>
          <c:idx val="13"/>
          <c:order val="13"/>
          <c:tx>
            <c:v>L2_wind</c:v>
          </c:tx>
          <c:spPr>
            <a:ln w="19050" cap="rnd">
              <a:solidFill>
                <a:srgbClr val="FF0000"/>
              </a:solidFill>
              <a:round/>
              <a:headEnd type="stealth"/>
              <a:tailEnd type="stealth"/>
            </a:ln>
            <a:effectLst/>
          </c:spPr>
          <c:marker>
            <c:symbol val="none"/>
          </c:marker>
          <c:xVal>
            <c:numRef>
              <c:f>charting!$D$24:$D$25</c:f>
              <c:numCache>
                <c:formatCode>General</c:formatCode>
                <c:ptCount val="2"/>
                <c:pt idx="0">
                  <c:v>25</c:v>
                </c:pt>
                <c:pt idx="1">
                  <c:v>26.2</c:v>
                </c:pt>
              </c:numCache>
            </c:numRef>
          </c:xVal>
          <c:yVal>
            <c:numRef>
              <c:f>charting!$E$24:$E$25</c:f>
              <c:numCache>
                <c:formatCode>General</c:formatCode>
                <c:ptCount val="2"/>
                <c:pt idx="0">
                  <c:v>28.5</c:v>
                </c:pt>
                <c:pt idx="1">
                  <c:v>28.5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7E3-43DA-B828-CC08A88F5FAA}"/>
            </c:ext>
          </c:extLst>
        </c:ser>
        <c:ser>
          <c:idx val="14"/>
          <c:order val="14"/>
          <c:tx>
            <c:v>L2_EQ</c:v>
          </c:tx>
          <c:spPr>
            <a:ln w="15875" cap="rnd">
              <a:solidFill>
                <a:schemeClr val="tx1">
                  <a:lumMod val="85000"/>
                  <a:lumOff val="15000"/>
                </a:schemeClr>
              </a:solidFill>
              <a:round/>
              <a:headEnd type="stealth"/>
              <a:tailEnd type="stealth"/>
            </a:ln>
            <a:effectLst/>
          </c:spPr>
          <c:marker>
            <c:symbol val="none"/>
          </c:marker>
          <c:xVal>
            <c:numRef>
              <c:f>charting!$D$28:$D$29</c:f>
              <c:numCache>
                <c:formatCode>General</c:formatCode>
                <c:ptCount val="2"/>
                <c:pt idx="0">
                  <c:v>26.2</c:v>
                </c:pt>
                <c:pt idx="1">
                  <c:v>27.4</c:v>
                </c:pt>
              </c:numCache>
            </c:numRef>
          </c:xVal>
          <c:yVal>
            <c:numRef>
              <c:f>charting!$E$28:$E$29</c:f>
              <c:numCache>
                <c:formatCode>General</c:formatCode>
                <c:ptCount val="2"/>
                <c:pt idx="0">
                  <c:v>28.5</c:v>
                </c:pt>
                <c:pt idx="1">
                  <c:v>28.5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7E3-43DA-B828-CC08A88F5FAA}"/>
            </c:ext>
          </c:extLst>
        </c:ser>
        <c:ser>
          <c:idx val="15"/>
          <c:order val="15"/>
          <c:tx>
            <c:v>L3_wind</c:v>
          </c:tx>
          <c:spPr>
            <a:ln w="19050" cap="rnd">
              <a:solidFill>
                <a:srgbClr val="FF0000"/>
              </a:solidFill>
              <a:round/>
              <a:headEnd type="stealth"/>
              <a:tailEnd type="stealth"/>
            </a:ln>
            <a:effectLst/>
          </c:spPr>
          <c:marker>
            <c:symbol val="none"/>
          </c:marker>
          <c:xVal>
            <c:numRef>
              <c:f>charting!$G$24:$G$25</c:f>
              <c:numCache>
                <c:formatCode>General</c:formatCode>
                <c:ptCount val="2"/>
                <c:pt idx="0">
                  <c:v>25</c:v>
                </c:pt>
                <c:pt idx="1">
                  <c:v>26.8</c:v>
                </c:pt>
              </c:numCache>
            </c:numRef>
          </c:xVal>
          <c:yVal>
            <c:numRef>
              <c:f>charting!$H$24:$H$25</c:f>
              <c:numCache>
                <c:formatCode>General</c:formatCode>
                <c:ptCount val="2"/>
                <c:pt idx="0">
                  <c:v>38.5</c:v>
                </c:pt>
                <c:pt idx="1">
                  <c:v>38.5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7E3-43DA-B828-CC08A88F5FAA}"/>
            </c:ext>
          </c:extLst>
        </c:ser>
        <c:ser>
          <c:idx val="16"/>
          <c:order val="16"/>
          <c:tx>
            <c:v>L3_EQ</c:v>
          </c:tx>
          <c:spPr>
            <a:ln w="15875" cap="rnd">
              <a:solidFill>
                <a:schemeClr val="tx1">
                  <a:lumMod val="85000"/>
                  <a:lumOff val="15000"/>
                </a:schemeClr>
              </a:solidFill>
              <a:round/>
              <a:headEnd type="stealth"/>
              <a:tailEnd type="stealth"/>
            </a:ln>
            <a:effectLst/>
          </c:spPr>
          <c:marker>
            <c:symbol val="none"/>
          </c:marker>
          <c:xVal>
            <c:numRef>
              <c:f>charting!$G$28:$G$29</c:f>
              <c:numCache>
                <c:formatCode>General</c:formatCode>
                <c:ptCount val="2"/>
                <c:pt idx="0">
                  <c:v>26.8</c:v>
                </c:pt>
                <c:pt idx="1">
                  <c:v>28.6</c:v>
                </c:pt>
              </c:numCache>
            </c:numRef>
          </c:xVal>
          <c:yVal>
            <c:numRef>
              <c:f>charting!$H$28:$H$29</c:f>
              <c:numCache>
                <c:formatCode>General</c:formatCode>
                <c:ptCount val="2"/>
                <c:pt idx="0">
                  <c:v>38.5</c:v>
                </c:pt>
                <c:pt idx="1">
                  <c:v>38.5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7E3-43DA-B828-CC08A88F5FAA}"/>
            </c:ext>
          </c:extLst>
        </c:ser>
        <c:ser>
          <c:idx val="17"/>
          <c:order val="17"/>
          <c:tx>
            <c:v>L4_wind</c:v>
          </c:tx>
          <c:spPr>
            <a:ln w="19050" cap="rnd">
              <a:solidFill>
                <a:srgbClr val="FF0000"/>
              </a:solidFill>
              <a:round/>
              <a:headEnd type="stealth"/>
              <a:tailEnd type="stealth"/>
            </a:ln>
            <a:effectLst/>
          </c:spPr>
          <c:marker>
            <c:symbol val="none"/>
          </c:marker>
          <c:xVal>
            <c:numRef>
              <c:f>charting!$J$24:$J$25</c:f>
              <c:numCache>
                <c:formatCode>General</c:formatCode>
                <c:ptCount val="2"/>
                <c:pt idx="0">
                  <c:v>25</c:v>
                </c:pt>
                <c:pt idx="1">
                  <c:v>27.4</c:v>
                </c:pt>
              </c:numCache>
            </c:numRef>
          </c:xVal>
          <c:yVal>
            <c:numRef>
              <c:f>charting!$K$24:$K$25</c:f>
              <c:numCache>
                <c:formatCode>General</c:formatCode>
                <c:ptCount val="2"/>
                <c:pt idx="0">
                  <c:v>48.5</c:v>
                </c:pt>
                <c:pt idx="1">
                  <c:v>48.5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7E3-43DA-B828-CC08A88F5FAA}"/>
            </c:ext>
          </c:extLst>
        </c:ser>
        <c:ser>
          <c:idx val="18"/>
          <c:order val="18"/>
          <c:tx>
            <c:v>L4_EQ</c:v>
          </c:tx>
          <c:spPr>
            <a:ln w="15875" cap="rnd">
              <a:solidFill>
                <a:schemeClr val="tx1">
                  <a:lumMod val="85000"/>
                  <a:lumOff val="15000"/>
                </a:schemeClr>
              </a:solidFill>
              <a:round/>
              <a:headEnd type="stealth"/>
              <a:tailEnd type="stealth"/>
            </a:ln>
            <a:effectLst/>
          </c:spPr>
          <c:marker>
            <c:symbol val="none"/>
          </c:marker>
          <c:xVal>
            <c:numRef>
              <c:f>charting!$J$28:$J$29</c:f>
              <c:numCache>
                <c:formatCode>General</c:formatCode>
                <c:ptCount val="2"/>
                <c:pt idx="0">
                  <c:v>27.4</c:v>
                </c:pt>
                <c:pt idx="1">
                  <c:v>29.799999999999997</c:v>
                </c:pt>
              </c:numCache>
            </c:numRef>
          </c:xVal>
          <c:yVal>
            <c:numRef>
              <c:f>charting!$K$28:$K$29</c:f>
              <c:numCache>
                <c:formatCode>General</c:formatCode>
                <c:ptCount val="2"/>
                <c:pt idx="0">
                  <c:v>48.5</c:v>
                </c:pt>
                <c:pt idx="1">
                  <c:v>48.5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7E3-43DA-B828-CC08A88F5FAA}"/>
            </c:ext>
          </c:extLst>
        </c:ser>
        <c:ser>
          <c:idx val="19"/>
          <c:order val="19"/>
          <c:tx>
            <c:v>L5_wind</c:v>
          </c:tx>
          <c:spPr>
            <a:ln w="19050" cap="rnd">
              <a:solidFill>
                <a:srgbClr val="FF0000"/>
              </a:solidFill>
              <a:round/>
              <a:headEnd type="stealth"/>
              <a:tailEnd type="stealth"/>
            </a:ln>
            <a:effectLst/>
          </c:spPr>
          <c:marker>
            <c:symbol val="none"/>
          </c:marker>
          <c:xVal>
            <c:numRef>
              <c:f>charting!$M$24:$M$25</c:f>
              <c:numCache>
                <c:formatCode>General</c:formatCode>
                <c:ptCount val="2"/>
                <c:pt idx="0">
                  <c:v>25</c:v>
                </c:pt>
                <c:pt idx="1">
                  <c:v>28</c:v>
                </c:pt>
              </c:numCache>
            </c:numRef>
          </c:xVal>
          <c:yVal>
            <c:numRef>
              <c:f>charting!$N$24:$N$25</c:f>
              <c:numCache>
                <c:formatCode>General</c:formatCode>
                <c:ptCount val="2"/>
                <c:pt idx="0">
                  <c:v>58.5</c:v>
                </c:pt>
                <c:pt idx="1">
                  <c:v>58.5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7E3-43DA-B828-CC08A88F5FAA}"/>
            </c:ext>
          </c:extLst>
        </c:ser>
        <c:ser>
          <c:idx val="20"/>
          <c:order val="20"/>
          <c:tx>
            <c:v>L5_EQ</c:v>
          </c:tx>
          <c:spPr>
            <a:ln w="15875" cap="rnd">
              <a:solidFill>
                <a:schemeClr val="tx1">
                  <a:lumMod val="85000"/>
                  <a:lumOff val="15000"/>
                </a:schemeClr>
              </a:solidFill>
              <a:round/>
              <a:headEnd type="stealth"/>
              <a:tailEnd type="stealth"/>
            </a:ln>
            <a:effectLst/>
          </c:spPr>
          <c:marker>
            <c:symbol val="none"/>
          </c:marker>
          <c:xVal>
            <c:numRef>
              <c:f>charting!$M$28:$M$29</c:f>
              <c:numCache>
                <c:formatCode>General</c:formatCode>
                <c:ptCount val="2"/>
                <c:pt idx="0">
                  <c:v>28</c:v>
                </c:pt>
                <c:pt idx="1">
                  <c:v>31</c:v>
                </c:pt>
              </c:numCache>
            </c:numRef>
          </c:xVal>
          <c:yVal>
            <c:numRef>
              <c:f>charting!$N$28:$N$29</c:f>
              <c:numCache>
                <c:formatCode>General</c:formatCode>
                <c:ptCount val="2"/>
                <c:pt idx="0">
                  <c:v>58.5</c:v>
                </c:pt>
                <c:pt idx="1">
                  <c:v>58.5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7E3-43DA-B828-CC08A88F5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725072"/>
        <c:axId val="806609376"/>
      </c:scatterChart>
      <c:valAx>
        <c:axId val="23972507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6609376"/>
        <c:crosses val="autoZero"/>
        <c:crossBetween val="midCat"/>
      </c:valAx>
      <c:valAx>
        <c:axId val="80660937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725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charting!$F$90</c:f>
          <c:strCache>
            <c:ptCount val="1"/>
            <c:pt idx="0">
              <c:v>Q,Max - Combo: 16-13Wp_S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strRef>
              <c:f>charting!$D$90</c:f>
              <c:strCache>
                <c:ptCount val="1"/>
                <c:pt idx="0">
                  <c:v>16-13Wp_S</c:v>
                </c:pt>
              </c:strCache>
            </c:strRef>
          </c:tx>
          <c:spPr>
            <a:ln>
              <a:solidFill>
                <a:srgbClr val="002060"/>
              </a:solidFill>
              <a:headEnd type="stealth"/>
              <a:tailEnd type="stealth"/>
            </a:ln>
          </c:spPr>
          <c:marker>
            <c:symbol val="none"/>
          </c:marker>
          <c:xVal>
            <c:numRef>
              <c:f>charting!$D$92:$D$95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30</c:v>
                </c:pt>
                <c:pt idx="3">
                  <c:v>30</c:v>
                </c:pt>
              </c:numCache>
            </c:numRef>
          </c:xVal>
          <c:yVal>
            <c:numRef>
              <c:f>charting!$E$92:$E$95</c:f>
              <c:numCache>
                <c:formatCode>General</c:formatCode>
                <c:ptCount val="4"/>
                <c:pt idx="0">
                  <c:v>0</c:v>
                </c:pt>
                <c:pt idx="1">
                  <c:v>-256.66666666666634</c:v>
                </c:pt>
                <c:pt idx="2">
                  <c:v>-1951.2698412698417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44-4478-8701-6D1974FF9F44}"/>
            </c:ext>
          </c:extLst>
        </c:ser>
        <c:ser>
          <c:idx val="4"/>
          <c:order val="1"/>
          <c:tx>
            <c:v>ftg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charting!$A$4:$A$5</c:f>
              <c:numCache>
                <c:formatCode>General</c:formatCode>
                <c:ptCount val="2"/>
                <c:pt idx="0">
                  <c:v>0</c:v>
                </c:pt>
                <c:pt idx="1">
                  <c:v>30</c:v>
                </c:pt>
              </c:numCache>
            </c:numRef>
          </c:xVal>
          <c:yVal>
            <c:numRef>
              <c:f>charting!$B$4:$B$5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44-4478-8701-6D1974FF9F44}"/>
            </c:ext>
          </c:extLst>
        </c:ser>
        <c:ser>
          <c:idx val="5"/>
          <c:order val="2"/>
          <c:tx>
            <c:v>q_allow</c:v>
          </c:tx>
          <c:spPr>
            <a:ln w="15875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charting!$A$36:$A$37</c:f>
              <c:numCache>
                <c:formatCode>General</c:formatCode>
                <c:ptCount val="2"/>
                <c:pt idx="0">
                  <c:v>0</c:v>
                </c:pt>
                <c:pt idx="1">
                  <c:v>30</c:v>
                </c:pt>
              </c:numCache>
            </c:numRef>
          </c:xVal>
          <c:yVal>
            <c:numRef>
              <c:f>charting!$B$36:$B$37</c:f>
              <c:numCache>
                <c:formatCode>General</c:formatCode>
                <c:ptCount val="2"/>
                <c:pt idx="0">
                  <c:v>-2185.0793650793648</c:v>
                </c:pt>
                <c:pt idx="1">
                  <c:v>-2185.0793650793648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344-4478-8701-6D1974FF9F44}"/>
            </c:ext>
          </c:extLst>
        </c:ser>
        <c:ser>
          <c:idx val="0"/>
          <c:order val="3"/>
          <c:tx>
            <c:v>P</c:v>
          </c:tx>
          <c:spPr>
            <a:ln w="25400">
              <a:solidFill>
                <a:schemeClr val="tx1"/>
              </a:solidFill>
              <a:headEnd type="stealth" w="lg" len="med"/>
            </a:ln>
          </c:spPr>
          <c:marker>
            <c:symbol val="none"/>
          </c:marker>
          <c:xVal>
            <c:numRef>
              <c:f>charting!$F$92:$F$93</c:f>
              <c:numCache>
                <c:formatCode>General</c:formatCode>
                <c:ptCount val="2"/>
                <c:pt idx="0">
                  <c:v>18.837526959022288</c:v>
                </c:pt>
                <c:pt idx="1">
                  <c:v>18.837526959022288</c:v>
                </c:pt>
              </c:numCache>
            </c:numRef>
          </c:xVal>
          <c:yVal>
            <c:numRef>
              <c:f>charting!$G$92:$G$93</c:f>
              <c:numCache>
                <c:formatCode>General</c:formatCode>
                <c:ptCount val="2"/>
                <c:pt idx="0">
                  <c:v>0</c:v>
                </c:pt>
                <c:pt idx="1">
                  <c:v>115.91666666666667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344-4478-8701-6D1974FF9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125216"/>
        <c:axId val="196125632"/>
      </c:scatterChart>
      <c:valAx>
        <c:axId val="196125216"/>
        <c:scaling>
          <c:orientation val="minMax"/>
          <c:min val="-2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25632"/>
        <c:crosses val="autoZero"/>
        <c:crossBetween val="midCat"/>
      </c:valAx>
      <c:valAx>
        <c:axId val="19612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25216"/>
        <c:crosses val="autoZero"/>
        <c:crossBetween val="midCat"/>
        <c:minorUnit val="25"/>
      </c:valAx>
    </c:plotArea>
    <c:plotVisOnly val="1"/>
    <c:dispBlanksAs val="gap"/>
    <c:showDLblsOverMax val="0"/>
    <c:extLst/>
  </c:chart>
  <c:spPr>
    <a:ln>
      <a:solidFill>
        <a:schemeClr val="tx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charting!$A$105</c:f>
              <c:strCache>
                <c:ptCount val="1"/>
                <c:pt idx="0">
                  <c:v>ftg_plan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charting!$A$107:$A$111</c:f>
              <c:numCache>
                <c:formatCode>General</c:formatCode>
                <c:ptCount val="5"/>
                <c:pt idx="0">
                  <c:v>-15</c:v>
                </c:pt>
                <c:pt idx="1">
                  <c:v>15</c:v>
                </c:pt>
                <c:pt idx="2">
                  <c:v>15</c:v>
                </c:pt>
                <c:pt idx="3">
                  <c:v>-15</c:v>
                </c:pt>
                <c:pt idx="4">
                  <c:v>-15</c:v>
                </c:pt>
              </c:numCache>
            </c:numRef>
          </c:xVal>
          <c:yVal>
            <c:numRef>
              <c:f>charting!$B$107:$B$111</c:f>
              <c:numCache>
                <c:formatCode>General</c:formatCode>
                <c:ptCount val="5"/>
                <c:pt idx="0">
                  <c:v>-1.75</c:v>
                </c:pt>
                <c:pt idx="1">
                  <c:v>-1.75</c:v>
                </c:pt>
                <c:pt idx="2">
                  <c:v>1.75</c:v>
                </c:pt>
                <c:pt idx="3">
                  <c:v>1.75</c:v>
                </c:pt>
                <c:pt idx="4">
                  <c:v>-1.75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57-402B-937B-64B28DBEDDF1}"/>
            </c:ext>
          </c:extLst>
        </c:ser>
        <c:ser>
          <c:idx val="1"/>
          <c:order val="1"/>
          <c:tx>
            <c:strRef>
              <c:f>charting!$D$105</c:f>
              <c:strCache>
                <c:ptCount val="1"/>
                <c:pt idx="0">
                  <c:v>stem_plan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charting!$D$107:$D$111</c:f>
              <c:numCache>
                <c:formatCode>General</c:formatCode>
                <c:ptCount val="5"/>
                <c:pt idx="0">
                  <c:v>-8</c:v>
                </c:pt>
                <c:pt idx="1">
                  <c:v>12</c:v>
                </c:pt>
                <c:pt idx="2">
                  <c:v>12</c:v>
                </c:pt>
                <c:pt idx="3">
                  <c:v>-8</c:v>
                </c:pt>
                <c:pt idx="4">
                  <c:v>-8</c:v>
                </c:pt>
              </c:numCache>
            </c:numRef>
          </c:xVal>
          <c:yVal>
            <c:numRef>
              <c:f>charting!$E$107:$E$111</c:f>
              <c:numCache>
                <c:formatCode>General</c:formatCode>
                <c:ptCount val="5"/>
                <c:pt idx="0">
                  <c:v>-0.41666666666666669</c:v>
                </c:pt>
                <c:pt idx="1">
                  <c:v>-0.41666666666666669</c:v>
                </c:pt>
                <c:pt idx="2">
                  <c:v>0.41666666666666669</c:v>
                </c:pt>
                <c:pt idx="3">
                  <c:v>0.41666666666666669</c:v>
                </c:pt>
                <c:pt idx="4">
                  <c:v>-0.41666666666666669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57-402B-937B-64B28DBEDDF1}"/>
            </c:ext>
          </c:extLst>
        </c:ser>
        <c:ser>
          <c:idx val="2"/>
          <c:order val="2"/>
          <c:tx>
            <c:strRef>
              <c:f>charting!$G$105</c:f>
              <c:strCache>
                <c:ptCount val="1"/>
                <c:pt idx="0">
                  <c:v>Wall_plan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charting!$G$107:$G$111</c:f>
              <c:numCache>
                <c:formatCode>General</c:formatCode>
                <c:ptCount val="5"/>
                <c:pt idx="0">
                  <c:v>-5.5</c:v>
                </c:pt>
                <c:pt idx="1">
                  <c:v>9.5</c:v>
                </c:pt>
                <c:pt idx="2">
                  <c:v>9.5</c:v>
                </c:pt>
                <c:pt idx="3">
                  <c:v>-5.5</c:v>
                </c:pt>
                <c:pt idx="4">
                  <c:v>-5.5</c:v>
                </c:pt>
              </c:numCache>
            </c:numRef>
          </c:xVal>
          <c:yVal>
            <c:numRef>
              <c:f>charting!$H$107:$H$111</c:f>
              <c:numCache>
                <c:formatCode>General</c:formatCode>
                <c:ptCount val="5"/>
                <c:pt idx="0">
                  <c:v>-0.22916666666666666</c:v>
                </c:pt>
                <c:pt idx="1">
                  <c:v>-0.22916666666666666</c:v>
                </c:pt>
                <c:pt idx="2">
                  <c:v>0.22916666666666666</c:v>
                </c:pt>
                <c:pt idx="3">
                  <c:v>0.22916666666666666</c:v>
                </c:pt>
                <c:pt idx="4">
                  <c:v>-0.22916666666666666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57-402B-937B-64B28DBEDDF1}"/>
            </c:ext>
          </c:extLst>
        </c:ser>
        <c:ser>
          <c:idx val="3"/>
          <c:order val="3"/>
          <c:tx>
            <c:strRef>
              <c:f>charting!$L$105</c:f>
              <c:strCache>
                <c:ptCount val="1"/>
                <c:pt idx="0">
                  <c:v>Left Chord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charting!$L$107:$L$108</c:f>
              <c:numCache>
                <c:formatCode>General</c:formatCode>
                <c:ptCount val="2"/>
                <c:pt idx="0">
                  <c:v>-5</c:v>
                </c:pt>
                <c:pt idx="1">
                  <c:v>-5</c:v>
                </c:pt>
              </c:numCache>
            </c:numRef>
          </c:xVal>
          <c:yVal>
            <c:numRef>
              <c:f>charting!$M$107:$M$108</c:f>
              <c:numCache>
                <c:formatCode>General</c:formatCode>
                <c:ptCount val="2"/>
                <c:pt idx="0">
                  <c:v>-0.22916666666666666</c:v>
                </c:pt>
                <c:pt idx="1">
                  <c:v>0.22916666666666666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57-402B-937B-64B28DBEDDF1}"/>
            </c:ext>
          </c:extLst>
        </c:ser>
        <c:ser>
          <c:idx val="4"/>
          <c:order val="4"/>
          <c:tx>
            <c:strRef>
              <c:f>charting!$O$105</c:f>
              <c:strCache>
                <c:ptCount val="1"/>
                <c:pt idx="0">
                  <c:v>Right Chord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charting!$O$107:$O$108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charting!$P$107:$P$108</c:f>
              <c:numCache>
                <c:formatCode>General</c:formatCode>
                <c:ptCount val="2"/>
                <c:pt idx="0">
                  <c:v>-0.22916666666666666</c:v>
                </c:pt>
                <c:pt idx="1">
                  <c:v>0.22916666666666666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57-402B-937B-64B28DBEDDF1}"/>
            </c:ext>
          </c:extLst>
        </c:ser>
        <c:ser>
          <c:idx val="5"/>
          <c:order val="5"/>
          <c:tx>
            <c:strRef>
              <c:f>charting!$R$105</c:f>
              <c:strCache>
                <c:ptCount val="1"/>
                <c:pt idx="0">
                  <c:v>Left HD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charting!$R$107</c:f>
              <c:numCache>
                <c:formatCode>General</c:formatCode>
                <c:ptCount val="1"/>
                <c:pt idx="0">
                  <c:v>-4.8229166666666661</c:v>
                </c:pt>
              </c:numCache>
            </c:numRef>
          </c:xVal>
          <c:yVal>
            <c:numRef>
              <c:f>charting!$S$107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57-402B-937B-64B28DBEDDF1}"/>
            </c:ext>
          </c:extLst>
        </c:ser>
        <c:ser>
          <c:idx val="6"/>
          <c:order val="6"/>
          <c:tx>
            <c:strRef>
              <c:f>charting!$U$105</c:f>
              <c:strCache>
                <c:ptCount val="1"/>
                <c:pt idx="0">
                  <c:v>Right HD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charting!$U$107</c:f>
              <c:numCache>
                <c:formatCode>General</c:formatCode>
                <c:ptCount val="1"/>
                <c:pt idx="0">
                  <c:v>8.8229166666666679</c:v>
                </c:pt>
              </c:numCache>
            </c:numRef>
          </c:xVal>
          <c:yVal>
            <c:numRef>
              <c:f>charting!$V$107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57-402B-937B-64B28DBED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69327"/>
        <c:axId val="165665999"/>
      </c:scatterChart>
      <c:valAx>
        <c:axId val="165669327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lgDashDot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65999"/>
        <c:crosses val="autoZero"/>
        <c:crossBetween val="midCat"/>
      </c:valAx>
      <c:valAx>
        <c:axId val="165665999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lgDashDot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693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LONG DIRECTION - LRFD Max/Min Moment Envelope (ft-kips)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Mmax_crit_left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plus"/>
            <c:size val="4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Long_VandM!$J$32:$J$42</c:f>
              <c:numCache>
                <c:formatCode>General</c:formatCode>
                <c:ptCount val="1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</c:v>
                </c:pt>
              </c:numCache>
            </c:numRef>
          </c:xVal>
          <c:yVal>
            <c:numRef>
              <c:f>Long_VandM!$CJ$32:$CJ$42</c:f>
              <c:numCache>
                <c:formatCode>General</c:formatCode>
                <c:ptCount val="11"/>
                <c:pt idx="0">
                  <c:v>0</c:v>
                </c:pt>
                <c:pt idx="1">
                  <c:v>1.4453041283052037</c:v>
                </c:pt>
                <c:pt idx="2">
                  <c:v>5.6968089471002132</c:v>
                </c:pt>
                <c:pt idx="3">
                  <c:v>12.627903107204117</c:v>
                </c:pt>
                <c:pt idx="4">
                  <c:v>22.111975259436043</c:v>
                </c:pt>
                <c:pt idx="5">
                  <c:v>34.022414054615041</c:v>
                </c:pt>
                <c:pt idx="6">
                  <c:v>48.424798800000019</c:v>
                </c:pt>
                <c:pt idx="7">
                  <c:v>65.231595177777791</c:v>
                </c:pt>
                <c:pt idx="8">
                  <c:v>84.312370488888959</c:v>
                </c:pt>
                <c:pt idx="9">
                  <c:v>105.58386720000007</c:v>
                </c:pt>
                <c:pt idx="10">
                  <c:v>128.96282777777782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9F-48D5-B5AB-B80F1B95C24B}"/>
            </c:ext>
          </c:extLst>
        </c:ser>
        <c:ser>
          <c:idx val="1"/>
          <c:order val="1"/>
          <c:tx>
            <c:v>Mmin_crit_left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plus"/>
            <c:size val="4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Long_VandM!$J$32:$J$42</c:f>
              <c:numCache>
                <c:formatCode>General</c:formatCode>
                <c:ptCount val="11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2.0999999999999996</c:v>
                </c:pt>
                <c:pt idx="4">
                  <c:v>2.8</c:v>
                </c:pt>
                <c:pt idx="5">
                  <c:v>3.5</c:v>
                </c:pt>
                <c:pt idx="6">
                  <c:v>4.2</c:v>
                </c:pt>
                <c:pt idx="7">
                  <c:v>4.9000000000000004</c:v>
                </c:pt>
                <c:pt idx="8">
                  <c:v>5.6000000000000005</c:v>
                </c:pt>
                <c:pt idx="9">
                  <c:v>6.3000000000000007</c:v>
                </c:pt>
                <c:pt idx="10">
                  <c:v>7</c:v>
                </c:pt>
              </c:numCache>
            </c:numRef>
          </c:xVal>
          <c:yVal>
            <c:numRef>
              <c:f>Long_VandM!$CK$32:$CK$42</c:f>
              <c:numCache>
                <c:formatCode>General</c:formatCode>
                <c:ptCount val="11"/>
                <c:pt idx="0">
                  <c:v>0</c:v>
                </c:pt>
                <c:pt idx="1">
                  <c:v>-0.45018749999999985</c:v>
                </c:pt>
                <c:pt idx="2">
                  <c:v>-1.8007499999999994</c:v>
                </c:pt>
                <c:pt idx="3">
                  <c:v>-4.0516874999999981</c:v>
                </c:pt>
                <c:pt idx="4">
                  <c:v>-7.2029999999999976</c:v>
                </c:pt>
                <c:pt idx="5">
                  <c:v>-11.254687499999999</c:v>
                </c:pt>
                <c:pt idx="6">
                  <c:v>-16.20675</c:v>
                </c:pt>
                <c:pt idx="7">
                  <c:v>-22.059187500000004</c:v>
                </c:pt>
                <c:pt idx="8">
                  <c:v>-28.811999999999998</c:v>
                </c:pt>
                <c:pt idx="9">
                  <c:v>-36.445762950371424</c:v>
                </c:pt>
                <c:pt idx="10">
                  <c:v>-44.851758102959401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9F-48D5-B5AB-B80F1B95C24B}"/>
            </c:ext>
          </c:extLst>
        </c:ser>
        <c:ser>
          <c:idx val="2"/>
          <c:order val="2"/>
          <c:tx>
            <c:v>Mmax_crit_right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plus"/>
            <c:size val="4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Long_VandM!$J$44:$J$54</c:f>
              <c:numCache>
                <c:formatCode>General</c:formatCode>
                <c:ptCount val="11"/>
                <c:pt idx="0">
                  <c:v>27</c:v>
                </c:pt>
                <c:pt idx="1">
                  <c:v>27.3</c:v>
                </c:pt>
                <c:pt idx="2">
                  <c:v>27.6</c:v>
                </c:pt>
                <c:pt idx="3">
                  <c:v>27.900000000000002</c:v>
                </c:pt>
                <c:pt idx="4">
                  <c:v>28.200000000000003</c:v>
                </c:pt>
                <c:pt idx="5">
                  <c:v>28.500000000000004</c:v>
                </c:pt>
                <c:pt idx="6">
                  <c:v>28.800000000000004</c:v>
                </c:pt>
                <c:pt idx="7">
                  <c:v>29.100000000000005</c:v>
                </c:pt>
                <c:pt idx="8">
                  <c:v>29.400000000000006</c:v>
                </c:pt>
                <c:pt idx="9">
                  <c:v>29.700000000000006</c:v>
                </c:pt>
                <c:pt idx="10">
                  <c:v>30</c:v>
                </c:pt>
              </c:numCache>
            </c:numRef>
          </c:xVal>
          <c:yVal>
            <c:numRef>
              <c:f>Long_VandM!$CJ$44:$CJ$54</c:f>
              <c:numCache>
                <c:formatCode>General</c:formatCode>
                <c:ptCount val="11"/>
                <c:pt idx="0">
                  <c:v>35.696280600196275</c:v>
                </c:pt>
                <c:pt idx="1">
                  <c:v>29.161644003598667</c:v>
                </c:pt>
                <c:pt idx="2">
                  <c:v>23.236978347487195</c:v>
                </c:pt>
                <c:pt idx="3">
                  <c:v>17.940628573894259</c:v>
                </c:pt>
                <c:pt idx="4">
                  <c:v>13.290939624852456</c:v>
                </c:pt>
                <c:pt idx="5">
                  <c:v>9.3062564423941012</c:v>
                </c:pt>
                <c:pt idx="6">
                  <c:v>6.0049239685524753</c:v>
                </c:pt>
                <c:pt idx="7">
                  <c:v>3.4052871453600346</c:v>
                </c:pt>
                <c:pt idx="8">
                  <c:v>1.5256909148484397</c:v>
                </c:pt>
                <c:pt idx="9">
                  <c:v>0.38448021905054475</c:v>
                </c:pt>
                <c:pt idx="10">
                  <c:v>4.5474735088646412E-13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DA-4E54-A505-F6CF2F7FFCB3}"/>
            </c:ext>
          </c:extLst>
        </c:ser>
        <c:ser>
          <c:idx val="3"/>
          <c:order val="3"/>
          <c:tx>
            <c:v>Mmin_crit_right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plus"/>
            <c:size val="4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Long_VandM!$J$44:$J$54</c:f>
              <c:numCache>
                <c:formatCode>General</c:formatCode>
                <c:ptCount val="11"/>
                <c:pt idx="0">
                  <c:v>27</c:v>
                </c:pt>
                <c:pt idx="1">
                  <c:v>27.3</c:v>
                </c:pt>
                <c:pt idx="2">
                  <c:v>27.6</c:v>
                </c:pt>
                <c:pt idx="3">
                  <c:v>27.900000000000002</c:v>
                </c:pt>
                <c:pt idx="4">
                  <c:v>28.200000000000003</c:v>
                </c:pt>
                <c:pt idx="5">
                  <c:v>28.500000000000004</c:v>
                </c:pt>
                <c:pt idx="6">
                  <c:v>28.800000000000004</c:v>
                </c:pt>
                <c:pt idx="7">
                  <c:v>29.100000000000005</c:v>
                </c:pt>
                <c:pt idx="8">
                  <c:v>29.400000000000006</c:v>
                </c:pt>
                <c:pt idx="9">
                  <c:v>29.700000000000006</c:v>
                </c:pt>
                <c:pt idx="10">
                  <c:v>30</c:v>
                </c:pt>
              </c:numCache>
            </c:numRef>
          </c:xVal>
          <c:yVal>
            <c:numRef>
              <c:f>Long_VandM!$CK$44:$CK$54</c:f>
              <c:numCache>
                <c:formatCode>General</c:formatCode>
                <c:ptCount val="11"/>
                <c:pt idx="0">
                  <c:v>-6.3679500000002918</c:v>
                </c:pt>
                <c:pt idx="1">
                  <c:v>-5.2479737999994995</c:v>
                </c:pt>
                <c:pt idx="2">
                  <c:v>-4.2176064000000224</c:v>
                </c:pt>
                <c:pt idx="3">
                  <c:v>-3.2835096000003432</c:v>
                </c:pt>
                <c:pt idx="4">
                  <c:v>-2.4523451999998542</c:v>
                </c:pt>
                <c:pt idx="5">
                  <c:v>-1.7307749999995394</c:v>
                </c:pt>
                <c:pt idx="6">
                  <c:v>-1.1254607999990185</c:v>
                </c:pt>
                <c:pt idx="7">
                  <c:v>-0.64306439999973009</c:v>
                </c:pt>
                <c:pt idx="8">
                  <c:v>-0.29024759999992966</c:v>
                </c:pt>
                <c:pt idx="9">
                  <c:v>-7.3672200000146404E-2</c:v>
                </c:pt>
                <c:pt idx="10">
                  <c:v>-9.0949470177292824E-13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DA-4E54-A505-F6CF2F7FFCB3}"/>
            </c:ext>
          </c:extLst>
        </c:ser>
        <c:ser>
          <c:idx val="4"/>
          <c:order val="4"/>
          <c:tx>
            <c:v>Mmax_along_support</c:v>
          </c:tx>
          <c:spPr>
            <a:ln w="1270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Long_VandM!$J$56:$J$131</c:f>
              <c:numCache>
                <c:formatCode>General</c:formatCode>
                <c:ptCount val="76"/>
                <c:pt idx="0">
                  <c:v>7</c:v>
                </c:pt>
                <c:pt idx="1">
                  <c:v>7.2666666666666666</c:v>
                </c:pt>
                <c:pt idx="2">
                  <c:v>7.5333333333333332</c:v>
                </c:pt>
                <c:pt idx="3">
                  <c:v>7.8</c:v>
                </c:pt>
                <c:pt idx="4">
                  <c:v>8.0666666666666664</c:v>
                </c:pt>
                <c:pt idx="5">
                  <c:v>8.3333333333333339</c:v>
                </c:pt>
                <c:pt idx="6">
                  <c:v>8.6000000000000014</c:v>
                </c:pt>
                <c:pt idx="7">
                  <c:v>8.8666666666666689</c:v>
                </c:pt>
                <c:pt idx="8">
                  <c:v>9.1333333333333364</c:v>
                </c:pt>
                <c:pt idx="9">
                  <c:v>9.4000000000000039</c:v>
                </c:pt>
                <c:pt idx="10">
                  <c:v>9.6666666666666714</c:v>
                </c:pt>
                <c:pt idx="11">
                  <c:v>9.9333333333333389</c:v>
                </c:pt>
                <c:pt idx="12">
                  <c:v>10.200000000000006</c:v>
                </c:pt>
                <c:pt idx="13">
                  <c:v>10.466666666666674</c:v>
                </c:pt>
                <c:pt idx="14">
                  <c:v>10.733333333333341</c:v>
                </c:pt>
                <c:pt idx="15">
                  <c:v>11.000000000000009</c:v>
                </c:pt>
                <c:pt idx="16">
                  <c:v>11.266666666666676</c:v>
                </c:pt>
                <c:pt idx="17">
                  <c:v>11.533333333333344</c:v>
                </c:pt>
                <c:pt idx="18">
                  <c:v>11.800000000000011</c:v>
                </c:pt>
                <c:pt idx="19">
                  <c:v>12.066666666666679</c:v>
                </c:pt>
                <c:pt idx="20">
                  <c:v>12.333333333333346</c:v>
                </c:pt>
                <c:pt idx="21">
                  <c:v>12.600000000000014</c:v>
                </c:pt>
                <c:pt idx="22">
                  <c:v>12.866666666666681</c:v>
                </c:pt>
                <c:pt idx="23">
                  <c:v>13.133333333333349</c:v>
                </c:pt>
                <c:pt idx="24">
                  <c:v>13.400000000000016</c:v>
                </c:pt>
                <c:pt idx="25">
                  <c:v>13.666666666666684</c:v>
                </c:pt>
                <c:pt idx="26">
                  <c:v>13.933333333333351</c:v>
                </c:pt>
                <c:pt idx="27">
                  <c:v>14.200000000000019</c:v>
                </c:pt>
                <c:pt idx="28">
                  <c:v>14.466666666666686</c:v>
                </c:pt>
                <c:pt idx="29">
                  <c:v>14.733333333333354</c:v>
                </c:pt>
                <c:pt idx="30">
                  <c:v>15.000000000000021</c:v>
                </c:pt>
                <c:pt idx="31">
                  <c:v>15.266666666666689</c:v>
                </c:pt>
                <c:pt idx="32">
                  <c:v>15.533333333333356</c:v>
                </c:pt>
                <c:pt idx="33">
                  <c:v>15.800000000000024</c:v>
                </c:pt>
                <c:pt idx="34">
                  <c:v>16.066666666666691</c:v>
                </c:pt>
                <c:pt idx="35">
                  <c:v>16.333333333333357</c:v>
                </c:pt>
                <c:pt idx="36">
                  <c:v>16.600000000000023</c:v>
                </c:pt>
                <c:pt idx="37">
                  <c:v>16.866666666666688</c:v>
                </c:pt>
                <c:pt idx="38">
                  <c:v>17.133333333333354</c:v>
                </c:pt>
                <c:pt idx="39">
                  <c:v>17.40000000000002</c:v>
                </c:pt>
                <c:pt idx="40">
                  <c:v>17.666666666666686</c:v>
                </c:pt>
                <c:pt idx="41">
                  <c:v>17.933333333333351</c:v>
                </c:pt>
                <c:pt idx="42">
                  <c:v>18.200000000000017</c:v>
                </c:pt>
                <c:pt idx="43">
                  <c:v>18.466666666666683</c:v>
                </c:pt>
                <c:pt idx="44">
                  <c:v>18.733333333333348</c:v>
                </c:pt>
                <c:pt idx="45">
                  <c:v>19.000000000000014</c:v>
                </c:pt>
                <c:pt idx="46">
                  <c:v>19.26666666666668</c:v>
                </c:pt>
                <c:pt idx="47">
                  <c:v>19.533333333333346</c:v>
                </c:pt>
                <c:pt idx="48">
                  <c:v>19.800000000000011</c:v>
                </c:pt>
                <c:pt idx="49">
                  <c:v>20.066666666666677</c:v>
                </c:pt>
                <c:pt idx="50">
                  <c:v>20.333333333333343</c:v>
                </c:pt>
                <c:pt idx="51">
                  <c:v>20.600000000000009</c:v>
                </c:pt>
                <c:pt idx="52">
                  <c:v>20.866666666666674</c:v>
                </c:pt>
                <c:pt idx="53">
                  <c:v>21.13333333333334</c:v>
                </c:pt>
                <c:pt idx="54">
                  <c:v>21.400000000000006</c:v>
                </c:pt>
                <c:pt idx="55">
                  <c:v>21.666666666666671</c:v>
                </c:pt>
                <c:pt idx="56">
                  <c:v>21.933333333333337</c:v>
                </c:pt>
                <c:pt idx="57">
                  <c:v>22.200000000000003</c:v>
                </c:pt>
                <c:pt idx="58">
                  <c:v>22.466666666666669</c:v>
                </c:pt>
                <c:pt idx="59">
                  <c:v>22.733333333333334</c:v>
                </c:pt>
                <c:pt idx="60">
                  <c:v>23</c:v>
                </c:pt>
                <c:pt idx="61">
                  <c:v>23.266666666666666</c:v>
                </c:pt>
                <c:pt idx="62">
                  <c:v>23.533333333333331</c:v>
                </c:pt>
                <c:pt idx="63">
                  <c:v>23.799999999999997</c:v>
                </c:pt>
                <c:pt idx="64">
                  <c:v>24.066666666666663</c:v>
                </c:pt>
                <c:pt idx="65">
                  <c:v>24.333333333333329</c:v>
                </c:pt>
                <c:pt idx="66">
                  <c:v>24.599999999999994</c:v>
                </c:pt>
                <c:pt idx="67">
                  <c:v>24.86666666666666</c:v>
                </c:pt>
                <c:pt idx="68">
                  <c:v>25.133333333333326</c:v>
                </c:pt>
                <c:pt idx="69">
                  <c:v>25.399999999999991</c:v>
                </c:pt>
                <c:pt idx="70">
                  <c:v>25.666666666666657</c:v>
                </c:pt>
                <c:pt idx="71">
                  <c:v>25.933333333333323</c:v>
                </c:pt>
                <c:pt idx="72">
                  <c:v>26.199999999999989</c:v>
                </c:pt>
                <c:pt idx="73">
                  <c:v>26.466666666666654</c:v>
                </c:pt>
                <c:pt idx="74">
                  <c:v>26.73333333333332</c:v>
                </c:pt>
                <c:pt idx="75">
                  <c:v>27</c:v>
                </c:pt>
              </c:numCache>
            </c:numRef>
          </c:xVal>
          <c:yVal>
            <c:numRef>
              <c:f>Long_VandM!$CJ$56:$CJ$131</c:f>
              <c:numCache>
                <c:formatCode>General</c:formatCode>
                <c:ptCount val="76"/>
                <c:pt idx="0">
                  <c:v>128.96282777777782</c:v>
                </c:pt>
                <c:pt idx="1">
                  <c:v>138.40357291687241</c:v>
                </c:pt>
                <c:pt idx="2">
                  <c:v>148.12849970534987</c:v>
                </c:pt>
                <c:pt idx="3">
                  <c:v>158.13300520000001</c:v>
                </c:pt>
                <c:pt idx="4">
                  <c:v>168.41248645761326</c:v>
                </c:pt>
                <c:pt idx="5">
                  <c:v>178.96234053497957</c:v>
                </c:pt>
                <c:pt idx="6">
                  <c:v>189.77796448888898</c:v>
                </c:pt>
                <c:pt idx="7">
                  <c:v>200.85475537613181</c:v>
                </c:pt>
                <c:pt idx="8">
                  <c:v>212.18811025349817</c:v>
                </c:pt>
                <c:pt idx="9">
                  <c:v>223.77342617777799</c:v>
                </c:pt>
                <c:pt idx="10">
                  <c:v>234.96325298353932</c:v>
                </c:pt>
                <c:pt idx="11">
                  <c:v>245.76254883868341</c:v>
                </c:pt>
                <c:pt idx="12">
                  <c:v>247.45233176834969</c:v>
                </c:pt>
                <c:pt idx="13">
                  <c:v>246.05663485042908</c:v>
                </c:pt>
                <c:pt idx="14">
                  <c:v>244.58517315226163</c:v>
                </c:pt>
                <c:pt idx="15">
                  <c:v>243.03334373063726</c:v>
                </c:pt>
                <c:pt idx="16">
                  <c:v>241.39654364234627</c:v>
                </c:pt>
                <c:pt idx="17">
                  <c:v>239.67016994417861</c:v>
                </c:pt>
                <c:pt idx="18">
                  <c:v>237.84961969292476</c:v>
                </c:pt>
                <c:pt idx="19">
                  <c:v>235.93028994537451</c:v>
                </c:pt>
                <c:pt idx="20">
                  <c:v>233.9075777583181</c:v>
                </c:pt>
                <c:pt idx="21">
                  <c:v>231.77688018854559</c:v>
                </c:pt>
                <c:pt idx="22">
                  <c:v>229.53359429284717</c:v>
                </c:pt>
                <c:pt idx="23">
                  <c:v>227.17311712801296</c:v>
                </c:pt>
                <c:pt idx="24">
                  <c:v>224.69084575083298</c:v>
                </c:pt>
                <c:pt idx="25">
                  <c:v>222.08217721809774</c:v>
                </c:pt>
                <c:pt idx="26">
                  <c:v>219.34250858659669</c:v>
                </c:pt>
                <c:pt idx="27">
                  <c:v>216.46723691312047</c:v>
                </c:pt>
                <c:pt idx="28">
                  <c:v>213.4517592544592</c:v>
                </c:pt>
                <c:pt idx="29">
                  <c:v>210.29147266740284</c:v>
                </c:pt>
                <c:pt idx="30">
                  <c:v>206.98177420874129</c:v>
                </c:pt>
                <c:pt idx="31">
                  <c:v>203.51806093526523</c:v>
                </c:pt>
                <c:pt idx="32">
                  <c:v>199.89572990376439</c:v>
                </c:pt>
                <c:pt idx="33">
                  <c:v>196.11017817102879</c:v>
                </c:pt>
                <c:pt idx="34">
                  <c:v>192.15680279384901</c:v>
                </c:pt>
                <c:pt idx="35">
                  <c:v>188.03100082901449</c:v>
                </c:pt>
                <c:pt idx="36">
                  <c:v>185.1138163851848</c:v>
                </c:pt>
                <c:pt idx="37">
                  <c:v>184.45839716104251</c:v>
                </c:pt>
                <c:pt idx="38">
                  <c:v>183.5656598266113</c:v>
                </c:pt>
                <c:pt idx="39">
                  <c:v>182.43739279999988</c:v>
                </c:pt>
                <c:pt idx="40">
                  <c:v>181.0753844993136</c:v>
                </c:pt>
                <c:pt idx="41">
                  <c:v>179.48142334266072</c:v>
                </c:pt>
                <c:pt idx="42">
                  <c:v>177.65729774814781</c:v>
                </c:pt>
                <c:pt idx="43">
                  <c:v>175.60479613388168</c:v>
                </c:pt>
                <c:pt idx="44">
                  <c:v>173.32570691796934</c:v>
                </c:pt>
                <c:pt idx="45">
                  <c:v>170.82181851851817</c:v>
                </c:pt>
                <c:pt idx="46">
                  <c:v>168.09491935363462</c:v>
                </c:pt>
                <c:pt idx="47">
                  <c:v>165.14679784142618</c:v>
                </c:pt>
                <c:pt idx="48">
                  <c:v>161.97924239999941</c:v>
                </c:pt>
                <c:pt idx="49">
                  <c:v>158.59404144746202</c:v>
                </c:pt>
                <c:pt idx="50">
                  <c:v>154.99298340192036</c:v>
                </c:pt>
                <c:pt idx="51">
                  <c:v>151.1778566814811</c:v>
                </c:pt>
                <c:pt idx="52">
                  <c:v>147.15044970425186</c:v>
                </c:pt>
                <c:pt idx="53">
                  <c:v>142.91255088833987</c:v>
                </c:pt>
                <c:pt idx="54">
                  <c:v>138.4659486518517</c:v>
                </c:pt>
                <c:pt idx="55">
                  <c:v>133.81243141289451</c:v>
                </c:pt>
                <c:pt idx="56">
                  <c:v>128.95378758957452</c:v>
                </c:pt>
                <c:pt idx="57">
                  <c:v>123.89180559999954</c:v>
                </c:pt>
                <c:pt idx="58">
                  <c:v>118.62827386227696</c:v>
                </c:pt>
                <c:pt idx="59">
                  <c:v>116.75927427682115</c:v>
                </c:pt>
                <c:pt idx="60">
                  <c:v>118.93778139105166</c:v>
                </c:pt>
                <c:pt idx="61">
                  <c:v>121.23954916412831</c:v>
                </c:pt>
                <c:pt idx="62">
                  <c:v>123.67746183517446</c:v>
                </c:pt>
                <c:pt idx="63">
                  <c:v>126.26440364331268</c:v>
                </c:pt>
                <c:pt idx="64">
                  <c:v>125.99894081711628</c:v>
                </c:pt>
                <c:pt idx="65">
                  <c:v>116.86532157460769</c:v>
                </c:pt>
                <c:pt idx="66">
                  <c:v>107.57973418656081</c:v>
                </c:pt>
                <c:pt idx="67">
                  <c:v>98.029829558764703</c:v>
                </c:pt>
                <c:pt idx="68">
                  <c:v>88.840575263676101</c:v>
                </c:pt>
                <c:pt idx="69">
                  <c:v>80.024855540417832</c:v>
                </c:pt>
                <c:pt idx="70">
                  <c:v>71.595554628113177</c:v>
                </c:pt>
                <c:pt idx="71">
                  <c:v>63.565556765884651</c:v>
                </c:pt>
                <c:pt idx="72">
                  <c:v>55.947746192855817</c:v>
                </c:pt>
                <c:pt idx="73">
                  <c:v>48.755007148149673</c:v>
                </c:pt>
                <c:pt idx="74">
                  <c:v>42.00022387088876</c:v>
                </c:pt>
                <c:pt idx="75">
                  <c:v>35.696280600196275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DA-4E54-A505-F6CF2F7FFCB3}"/>
            </c:ext>
          </c:extLst>
        </c:ser>
        <c:ser>
          <c:idx val="5"/>
          <c:order val="5"/>
          <c:tx>
            <c:v>Mmin_along_support</c:v>
          </c:tx>
          <c:spPr>
            <a:ln w="1270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Long_VandM!$J$56:$J$131</c:f>
              <c:numCache>
                <c:formatCode>General</c:formatCode>
                <c:ptCount val="76"/>
                <c:pt idx="0">
                  <c:v>7</c:v>
                </c:pt>
                <c:pt idx="1">
                  <c:v>7.2666666666666666</c:v>
                </c:pt>
                <c:pt idx="2">
                  <c:v>7.5333333333333332</c:v>
                </c:pt>
                <c:pt idx="3">
                  <c:v>7.8</c:v>
                </c:pt>
                <c:pt idx="4">
                  <c:v>8.0666666666666664</c:v>
                </c:pt>
                <c:pt idx="5">
                  <c:v>8.3333333333333339</c:v>
                </c:pt>
                <c:pt idx="6">
                  <c:v>8.6000000000000014</c:v>
                </c:pt>
                <c:pt idx="7">
                  <c:v>8.8666666666666689</c:v>
                </c:pt>
                <c:pt idx="8">
                  <c:v>9.1333333333333364</c:v>
                </c:pt>
                <c:pt idx="9">
                  <c:v>9.4000000000000039</c:v>
                </c:pt>
                <c:pt idx="10">
                  <c:v>9.6666666666666714</c:v>
                </c:pt>
                <c:pt idx="11">
                  <c:v>9.9333333333333389</c:v>
                </c:pt>
                <c:pt idx="12">
                  <c:v>10.200000000000006</c:v>
                </c:pt>
                <c:pt idx="13">
                  <c:v>10.466666666666674</c:v>
                </c:pt>
                <c:pt idx="14">
                  <c:v>10.733333333333341</c:v>
                </c:pt>
                <c:pt idx="15">
                  <c:v>11.000000000000009</c:v>
                </c:pt>
                <c:pt idx="16">
                  <c:v>11.266666666666676</c:v>
                </c:pt>
                <c:pt idx="17">
                  <c:v>11.533333333333344</c:v>
                </c:pt>
                <c:pt idx="18">
                  <c:v>11.800000000000011</c:v>
                </c:pt>
                <c:pt idx="19">
                  <c:v>12.066666666666679</c:v>
                </c:pt>
                <c:pt idx="20">
                  <c:v>12.333333333333346</c:v>
                </c:pt>
                <c:pt idx="21">
                  <c:v>12.600000000000014</c:v>
                </c:pt>
                <c:pt idx="22">
                  <c:v>12.866666666666681</c:v>
                </c:pt>
                <c:pt idx="23">
                  <c:v>13.133333333333349</c:v>
                </c:pt>
                <c:pt idx="24">
                  <c:v>13.400000000000016</c:v>
                </c:pt>
                <c:pt idx="25">
                  <c:v>13.666666666666684</c:v>
                </c:pt>
                <c:pt idx="26">
                  <c:v>13.933333333333351</c:v>
                </c:pt>
                <c:pt idx="27">
                  <c:v>14.200000000000019</c:v>
                </c:pt>
                <c:pt idx="28">
                  <c:v>14.466666666666686</c:v>
                </c:pt>
                <c:pt idx="29">
                  <c:v>14.733333333333354</c:v>
                </c:pt>
                <c:pt idx="30">
                  <c:v>15.000000000000021</c:v>
                </c:pt>
                <c:pt idx="31">
                  <c:v>15.266666666666689</c:v>
                </c:pt>
                <c:pt idx="32">
                  <c:v>15.533333333333356</c:v>
                </c:pt>
                <c:pt idx="33">
                  <c:v>15.800000000000024</c:v>
                </c:pt>
                <c:pt idx="34">
                  <c:v>16.066666666666691</c:v>
                </c:pt>
                <c:pt idx="35">
                  <c:v>16.333333333333357</c:v>
                </c:pt>
                <c:pt idx="36">
                  <c:v>16.600000000000023</c:v>
                </c:pt>
                <c:pt idx="37">
                  <c:v>16.866666666666688</c:v>
                </c:pt>
                <c:pt idx="38">
                  <c:v>17.133333333333354</c:v>
                </c:pt>
                <c:pt idx="39">
                  <c:v>17.40000000000002</c:v>
                </c:pt>
                <c:pt idx="40">
                  <c:v>17.666666666666686</c:v>
                </c:pt>
                <c:pt idx="41">
                  <c:v>17.933333333333351</c:v>
                </c:pt>
                <c:pt idx="42">
                  <c:v>18.200000000000017</c:v>
                </c:pt>
                <c:pt idx="43">
                  <c:v>18.466666666666683</c:v>
                </c:pt>
                <c:pt idx="44">
                  <c:v>18.733333333333348</c:v>
                </c:pt>
                <c:pt idx="45">
                  <c:v>19.000000000000014</c:v>
                </c:pt>
                <c:pt idx="46">
                  <c:v>19.26666666666668</c:v>
                </c:pt>
                <c:pt idx="47">
                  <c:v>19.533333333333346</c:v>
                </c:pt>
                <c:pt idx="48">
                  <c:v>19.800000000000011</c:v>
                </c:pt>
                <c:pt idx="49">
                  <c:v>20.066666666666677</c:v>
                </c:pt>
                <c:pt idx="50">
                  <c:v>20.333333333333343</c:v>
                </c:pt>
                <c:pt idx="51">
                  <c:v>20.600000000000009</c:v>
                </c:pt>
                <c:pt idx="52">
                  <c:v>20.866666666666674</c:v>
                </c:pt>
                <c:pt idx="53">
                  <c:v>21.13333333333334</c:v>
                </c:pt>
                <c:pt idx="54">
                  <c:v>21.400000000000006</c:v>
                </c:pt>
                <c:pt idx="55">
                  <c:v>21.666666666666671</c:v>
                </c:pt>
                <c:pt idx="56">
                  <c:v>21.933333333333337</c:v>
                </c:pt>
                <c:pt idx="57">
                  <c:v>22.200000000000003</c:v>
                </c:pt>
                <c:pt idx="58">
                  <c:v>22.466666666666669</c:v>
                </c:pt>
                <c:pt idx="59">
                  <c:v>22.733333333333334</c:v>
                </c:pt>
                <c:pt idx="60">
                  <c:v>23</c:v>
                </c:pt>
                <c:pt idx="61">
                  <c:v>23.266666666666666</c:v>
                </c:pt>
                <c:pt idx="62">
                  <c:v>23.533333333333331</c:v>
                </c:pt>
                <c:pt idx="63">
                  <c:v>23.799999999999997</c:v>
                </c:pt>
                <c:pt idx="64">
                  <c:v>24.066666666666663</c:v>
                </c:pt>
                <c:pt idx="65">
                  <c:v>24.333333333333329</c:v>
                </c:pt>
                <c:pt idx="66">
                  <c:v>24.599999999999994</c:v>
                </c:pt>
                <c:pt idx="67">
                  <c:v>24.86666666666666</c:v>
                </c:pt>
                <c:pt idx="68">
                  <c:v>25.133333333333326</c:v>
                </c:pt>
                <c:pt idx="69">
                  <c:v>25.399999999999991</c:v>
                </c:pt>
                <c:pt idx="70">
                  <c:v>25.666666666666657</c:v>
                </c:pt>
                <c:pt idx="71">
                  <c:v>25.933333333333323</c:v>
                </c:pt>
                <c:pt idx="72">
                  <c:v>26.199999999999989</c:v>
                </c:pt>
                <c:pt idx="73">
                  <c:v>26.466666666666654</c:v>
                </c:pt>
                <c:pt idx="74">
                  <c:v>26.73333333333332</c:v>
                </c:pt>
                <c:pt idx="75">
                  <c:v>27</c:v>
                </c:pt>
              </c:numCache>
            </c:numRef>
          </c:xVal>
          <c:yVal>
            <c:numRef>
              <c:f>Long_VandM!$CK$56:$CK$131</c:f>
              <c:numCache>
                <c:formatCode>General</c:formatCode>
                <c:ptCount val="76"/>
                <c:pt idx="0">
                  <c:v>-44.851758102959401</c:v>
                </c:pt>
                <c:pt idx="1">
                  <c:v>-48.231608612824871</c:v>
                </c:pt>
                <c:pt idx="2">
                  <c:v>-51.701579520027309</c:v>
                </c:pt>
                <c:pt idx="3">
                  <c:v>-55.254242498319542</c:v>
                </c:pt>
                <c:pt idx="4">
                  <c:v>-58.882169221454376</c:v>
                </c:pt>
                <c:pt idx="5">
                  <c:v>-62.577931363184646</c:v>
                </c:pt>
                <c:pt idx="6">
                  <c:v>-66.334100597263216</c:v>
                </c:pt>
                <c:pt idx="7">
                  <c:v>-70.143248597442806</c:v>
                </c:pt>
                <c:pt idx="8">
                  <c:v>-73.997947037476308</c:v>
                </c:pt>
                <c:pt idx="9">
                  <c:v>-77.8907675911165</c:v>
                </c:pt>
                <c:pt idx="10">
                  <c:v>-81.286295821005083</c:v>
                </c:pt>
                <c:pt idx="11">
                  <c:v>-84.618542289783861</c:v>
                </c:pt>
                <c:pt idx="12">
                  <c:v>-87.213831855078723</c:v>
                </c:pt>
                <c:pt idx="13">
                  <c:v>-79.079807780695674</c:v>
                </c:pt>
                <c:pt idx="14">
                  <c:v>-71.230141966461261</c:v>
                </c:pt>
                <c:pt idx="15">
                  <c:v>-63.657406086128219</c:v>
                </c:pt>
                <c:pt idx="16">
                  <c:v>-56.35417181344949</c:v>
                </c:pt>
                <c:pt idx="17">
                  <c:v>-49.313010822177681</c:v>
                </c:pt>
                <c:pt idx="18">
                  <c:v>-42.526494786065854</c:v>
                </c:pt>
                <c:pt idx="19">
                  <c:v>-35.987195378866645</c:v>
                </c:pt>
                <c:pt idx="20">
                  <c:v>-30.071079999206489</c:v>
                </c:pt>
                <c:pt idx="21">
                  <c:v>-25.923219617644492</c:v>
                </c:pt>
                <c:pt idx="22">
                  <c:v>-21.929964092818231</c:v>
                </c:pt>
                <c:pt idx="23">
                  <c:v>-18.085355388416318</c:v>
                </c:pt>
                <c:pt idx="24">
                  <c:v>-14.383435468127253</c:v>
                </c:pt>
                <c:pt idx="25">
                  <c:v>-10.818246295639753</c:v>
                </c:pt>
                <c:pt idx="26">
                  <c:v>-7.383829834642377</c:v>
                </c:pt>
                <c:pt idx="27">
                  <c:v>-4.0742280488237359</c:v>
                </c:pt>
                <c:pt idx="28">
                  <c:v>-0.88348290187250811</c:v>
                </c:pt>
                <c:pt idx="29">
                  <c:v>2.1943636425228235</c:v>
                </c:pt>
                <c:pt idx="30">
                  <c:v>5.1652696206735769</c:v>
                </c:pt>
                <c:pt idx="31">
                  <c:v>8.0351930688911324</c:v>
                </c:pt>
                <c:pt idx="32">
                  <c:v>10.810092023486966</c:v>
                </c:pt>
                <c:pt idx="33">
                  <c:v>13.495924520772377</c:v>
                </c:pt>
                <c:pt idx="34">
                  <c:v>16.098648597058784</c:v>
                </c:pt>
                <c:pt idx="35">
                  <c:v>18.624222288657585</c:v>
                </c:pt>
                <c:pt idx="36">
                  <c:v>21.078603631880277</c:v>
                </c:pt>
                <c:pt idx="37">
                  <c:v>23.46775066303811</c:v>
                </c:pt>
                <c:pt idx="38">
                  <c:v>25.797621418442475</c:v>
                </c:pt>
                <c:pt idx="39">
                  <c:v>28.07417393440484</c:v>
                </c:pt>
                <c:pt idx="40">
                  <c:v>30.303366247236617</c:v>
                </c:pt>
                <c:pt idx="41">
                  <c:v>32.491156393249113</c:v>
                </c:pt>
                <c:pt idx="42">
                  <c:v>34.643502408753747</c:v>
                </c:pt>
                <c:pt idx="43">
                  <c:v>36.766362330061952</c:v>
                </c:pt>
                <c:pt idx="44">
                  <c:v>38.865694193485069</c:v>
                </c:pt>
                <c:pt idx="45">
                  <c:v>40.947456035334596</c:v>
                </c:pt>
                <c:pt idx="46">
                  <c:v>43.017605891921789</c:v>
                </c:pt>
                <c:pt idx="47">
                  <c:v>45.082101799558117</c:v>
                </c:pt>
                <c:pt idx="48">
                  <c:v>47.14690179455522</c:v>
                </c:pt>
                <c:pt idx="49">
                  <c:v>49.217963913223798</c:v>
                </c:pt>
                <c:pt idx="50">
                  <c:v>51.301246191875904</c:v>
                </c:pt>
                <c:pt idx="51">
                  <c:v>50.173913578522843</c:v>
                </c:pt>
                <c:pt idx="52">
                  <c:v>44.982535704146017</c:v>
                </c:pt>
                <c:pt idx="53">
                  <c:v>39.629050279092326</c:v>
                </c:pt>
                <c:pt idx="54">
                  <c:v>34.109598423472676</c:v>
                </c:pt>
                <c:pt idx="55">
                  <c:v>28.420321257399337</c:v>
                </c:pt>
                <c:pt idx="56">
                  <c:v>22.557359900982874</c:v>
                </c:pt>
                <c:pt idx="57">
                  <c:v>16.516855474335102</c:v>
                </c:pt>
                <c:pt idx="58">
                  <c:v>10.294949097566814</c:v>
                </c:pt>
                <c:pt idx="59">
                  <c:v>3.8877818907902792</c:v>
                </c:pt>
                <c:pt idx="60">
                  <c:v>-2.7085050258842784</c:v>
                </c:pt>
                <c:pt idx="61">
                  <c:v>-9.4977705323442478</c:v>
                </c:pt>
                <c:pt idx="62">
                  <c:v>-16.483873508478837</c:v>
                </c:pt>
                <c:pt idx="63">
                  <c:v>-23.777340683872808</c:v>
                </c:pt>
                <c:pt idx="64">
                  <c:v>-23.161612500000047</c:v>
                </c:pt>
                <c:pt idx="65">
                  <c:v>-21.758645833333503</c:v>
                </c:pt>
                <c:pt idx="66">
                  <c:v>-20.244262499999877</c:v>
                </c:pt>
                <c:pt idx="67">
                  <c:v>-18.27702916666658</c:v>
                </c:pt>
                <c:pt idx="68">
                  <c:v>-16.411529166666696</c:v>
                </c:pt>
                <c:pt idx="69">
                  <c:v>-14.647762499999999</c:v>
                </c:pt>
                <c:pt idx="70">
                  <c:v>-12.98572916666626</c:v>
                </c:pt>
                <c:pt idx="71">
                  <c:v>-11.425429166666618</c:v>
                </c:pt>
                <c:pt idx="72">
                  <c:v>-9.9668624999999338</c:v>
                </c:pt>
                <c:pt idx="73">
                  <c:v>-8.6100291666666635</c:v>
                </c:pt>
                <c:pt idx="74">
                  <c:v>-7.4358149415638763</c:v>
                </c:pt>
                <c:pt idx="75">
                  <c:v>-6.3679500000002918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DA-4E54-A505-F6CF2F7FFCB3}"/>
            </c:ext>
          </c:extLst>
        </c:ser>
        <c:ser>
          <c:idx val="6"/>
          <c:order val="6"/>
          <c:tx>
            <c:v>x_m_left</c:v>
          </c:tx>
          <c:spPr>
            <a:ln w="12700" cap="rnd">
              <a:solidFill>
                <a:schemeClr val="tx1">
                  <a:lumMod val="95000"/>
                  <a:lumOff val="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Long_VandM!$CM$32:$CM$33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Long_VandM!$CN$32:$CN$33</c:f>
              <c:numCache>
                <c:formatCode>General</c:formatCode>
                <c:ptCount val="2"/>
                <c:pt idx="0">
                  <c:v>128.96282777777782</c:v>
                </c:pt>
                <c:pt idx="1">
                  <c:v>-44.851758102959401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DA-4E54-A505-F6CF2F7FFCB3}"/>
            </c:ext>
          </c:extLst>
        </c:ser>
        <c:ser>
          <c:idx val="7"/>
          <c:order val="7"/>
          <c:tx>
            <c:v>x_m_right</c:v>
          </c:tx>
          <c:spPr>
            <a:ln w="12700" cap="rnd">
              <a:solidFill>
                <a:schemeClr val="tx1">
                  <a:lumMod val="95000"/>
                  <a:lumOff val="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Long_VandM!$CM$44:$CM$45</c:f>
              <c:numCache>
                <c:formatCode>General</c:formatCode>
                <c:ptCount val="2"/>
                <c:pt idx="0">
                  <c:v>27</c:v>
                </c:pt>
                <c:pt idx="1">
                  <c:v>27</c:v>
                </c:pt>
              </c:numCache>
            </c:numRef>
          </c:xVal>
          <c:yVal>
            <c:numRef>
              <c:f>Long_VandM!$CN$44:$CN$45</c:f>
              <c:numCache>
                <c:formatCode>General</c:formatCode>
                <c:ptCount val="2"/>
                <c:pt idx="0">
                  <c:v>35.696280600196275</c:v>
                </c:pt>
                <c:pt idx="1">
                  <c:v>-6.3679500000002918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FDA-4E54-A505-F6CF2F7FF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3382719"/>
        <c:axId val="1133380639"/>
      </c:scatterChart>
      <c:valAx>
        <c:axId val="1133382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3380639"/>
        <c:crosses val="autoZero"/>
        <c:crossBetween val="midCat"/>
      </c:valAx>
      <c:valAx>
        <c:axId val="1133380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3382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0" i="0" baseline="0">
                <a:effectLst/>
              </a:rPr>
              <a:t>SHORT DIRECTION - LRFD Max/Min Moment Envelope (ft-kips)</a:t>
            </a:r>
            <a:endParaRPr lang="en-US" sz="10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left_Mmax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plus"/>
            <c:size val="4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Short_VandM!$L$34:$L$49</c:f>
              <c:numCache>
                <c:formatCode>General</c:formatCode>
                <c:ptCount val="16"/>
                <c:pt idx="0">
                  <c:v>0</c:v>
                </c:pt>
                <c:pt idx="1">
                  <c:v>8.8888888888888878E-2</c:v>
                </c:pt>
                <c:pt idx="2">
                  <c:v>0.17777777777777776</c:v>
                </c:pt>
                <c:pt idx="3">
                  <c:v>0.26666666666666661</c:v>
                </c:pt>
                <c:pt idx="4">
                  <c:v>0.35555555555555551</c:v>
                </c:pt>
                <c:pt idx="5">
                  <c:v>0.44444444444444442</c:v>
                </c:pt>
                <c:pt idx="6">
                  <c:v>0.53333333333333333</c:v>
                </c:pt>
                <c:pt idx="7">
                  <c:v>0.62222222222222223</c:v>
                </c:pt>
                <c:pt idx="8">
                  <c:v>0.71111111111111114</c:v>
                </c:pt>
                <c:pt idx="9">
                  <c:v>0.8</c:v>
                </c:pt>
                <c:pt idx="10">
                  <c:v>0.88888888888888895</c:v>
                </c:pt>
                <c:pt idx="11">
                  <c:v>0.97777777777777786</c:v>
                </c:pt>
                <c:pt idx="12">
                  <c:v>1.0666666666666667</c:v>
                </c:pt>
                <c:pt idx="13">
                  <c:v>1.1555555555555554</c:v>
                </c:pt>
                <c:pt idx="14">
                  <c:v>1.2444444444444442</c:v>
                </c:pt>
                <c:pt idx="15">
                  <c:v>1.3333333333333333</c:v>
                </c:pt>
              </c:numCache>
            </c:numRef>
          </c:xVal>
          <c:yVal>
            <c:numRef>
              <c:f>Short_VandM!$CL$34:$CL$49</c:f>
              <c:numCache>
                <c:formatCode>General</c:formatCode>
                <c:ptCount val="16"/>
                <c:pt idx="0">
                  <c:v>0</c:v>
                </c:pt>
                <c:pt idx="1">
                  <c:v>0.11976014109347435</c:v>
                </c:pt>
                <c:pt idx="2">
                  <c:v>0.47904056437389742</c:v>
                </c:pt>
                <c:pt idx="3">
                  <c:v>1.0778412698412694</c:v>
                </c:pt>
                <c:pt idx="4">
                  <c:v>1.9161622574955897</c:v>
                </c:pt>
                <c:pt idx="5">
                  <c:v>2.9940035273368606</c:v>
                </c:pt>
                <c:pt idx="6">
                  <c:v>4.3113650793650802</c:v>
                </c:pt>
                <c:pt idx="7">
                  <c:v>5.8682469135802471</c:v>
                </c:pt>
                <c:pt idx="8">
                  <c:v>7.664649029982364</c:v>
                </c:pt>
                <c:pt idx="9">
                  <c:v>9.7005714285714308</c:v>
                </c:pt>
                <c:pt idx="10">
                  <c:v>11.976014109347444</c:v>
                </c:pt>
                <c:pt idx="11">
                  <c:v>14.490977072310411</c:v>
                </c:pt>
                <c:pt idx="12">
                  <c:v>17.245460317460321</c:v>
                </c:pt>
                <c:pt idx="13">
                  <c:v>20.239463844797175</c:v>
                </c:pt>
                <c:pt idx="14">
                  <c:v>23.472987654320978</c:v>
                </c:pt>
                <c:pt idx="15">
                  <c:v>26.946031746031743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10-4834-A157-4865241A9AF4}"/>
            </c:ext>
          </c:extLst>
        </c:ser>
        <c:ser>
          <c:idx val="1"/>
          <c:order val="1"/>
          <c:tx>
            <c:v>left_Mmin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plus"/>
            <c:size val="4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Short_VandM!$L$34:$L$49</c:f>
              <c:numCache>
                <c:formatCode>General</c:formatCode>
                <c:ptCount val="16"/>
                <c:pt idx="0">
                  <c:v>0</c:v>
                </c:pt>
                <c:pt idx="1">
                  <c:v>8.8888888888888878E-2</c:v>
                </c:pt>
                <c:pt idx="2">
                  <c:v>0.17777777777777776</c:v>
                </c:pt>
                <c:pt idx="3">
                  <c:v>0.26666666666666661</c:v>
                </c:pt>
                <c:pt idx="4">
                  <c:v>0.35555555555555551</c:v>
                </c:pt>
                <c:pt idx="5">
                  <c:v>0.44444444444444442</c:v>
                </c:pt>
                <c:pt idx="6">
                  <c:v>0.53333333333333333</c:v>
                </c:pt>
                <c:pt idx="7">
                  <c:v>0.62222222222222223</c:v>
                </c:pt>
                <c:pt idx="8">
                  <c:v>0.71111111111111114</c:v>
                </c:pt>
                <c:pt idx="9">
                  <c:v>0.8</c:v>
                </c:pt>
                <c:pt idx="10">
                  <c:v>0.88888888888888895</c:v>
                </c:pt>
                <c:pt idx="11">
                  <c:v>0.97777777777777786</c:v>
                </c:pt>
                <c:pt idx="12">
                  <c:v>1.0666666666666667</c:v>
                </c:pt>
                <c:pt idx="13">
                  <c:v>1.1555555555555554</c:v>
                </c:pt>
                <c:pt idx="14">
                  <c:v>1.2444444444444442</c:v>
                </c:pt>
                <c:pt idx="15">
                  <c:v>1.3333333333333333</c:v>
                </c:pt>
              </c:numCache>
            </c:numRef>
          </c:xVal>
          <c:yVal>
            <c:numRef>
              <c:f>Short_VandM!$CM$34:$CM$49</c:f>
              <c:numCache>
                <c:formatCode>General</c:formatCode>
                <c:ptCount val="16"/>
                <c:pt idx="0">
                  <c:v>0</c:v>
                </c:pt>
                <c:pt idx="1">
                  <c:v>3.6232804232804207E-2</c:v>
                </c:pt>
                <c:pt idx="2">
                  <c:v>0.14493121693121683</c:v>
                </c:pt>
                <c:pt idx="3">
                  <c:v>0.32609523809523783</c:v>
                </c:pt>
                <c:pt idx="4">
                  <c:v>0.57972486772486731</c:v>
                </c:pt>
                <c:pt idx="5">
                  <c:v>0.90582010582010564</c:v>
                </c:pt>
                <c:pt idx="6">
                  <c:v>1.3043809523809524</c:v>
                </c:pt>
                <c:pt idx="7">
                  <c:v>1.7754074074074069</c:v>
                </c:pt>
                <c:pt idx="8">
                  <c:v>2.3188994708994706</c:v>
                </c:pt>
                <c:pt idx="9">
                  <c:v>2.9348571428571422</c:v>
                </c:pt>
                <c:pt idx="10">
                  <c:v>3.6232804232804199</c:v>
                </c:pt>
                <c:pt idx="11">
                  <c:v>4.3841693121693144</c:v>
                </c:pt>
                <c:pt idx="12">
                  <c:v>5.2175238095238097</c:v>
                </c:pt>
                <c:pt idx="13">
                  <c:v>6.1233439153439138</c:v>
                </c:pt>
                <c:pt idx="14">
                  <c:v>7.1016296296296257</c:v>
                </c:pt>
                <c:pt idx="15">
                  <c:v>8.1523809523809518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10-4834-A157-4865241A9AF4}"/>
            </c:ext>
          </c:extLst>
        </c:ser>
        <c:ser>
          <c:idx val="2"/>
          <c:order val="2"/>
          <c:tx>
            <c:v>right_Mmax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plus"/>
            <c:size val="4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Short_VandM!$L$65:$L$80</c:f>
              <c:numCache>
                <c:formatCode>General</c:formatCode>
                <c:ptCount val="16"/>
                <c:pt idx="0">
                  <c:v>2.1666666666666665</c:v>
                </c:pt>
                <c:pt idx="1">
                  <c:v>2.2555555555555555</c:v>
                </c:pt>
                <c:pt idx="2">
                  <c:v>2.3444444444444446</c:v>
                </c:pt>
                <c:pt idx="3">
                  <c:v>2.4333333333333336</c:v>
                </c:pt>
                <c:pt idx="4">
                  <c:v>2.5222222222222226</c:v>
                </c:pt>
                <c:pt idx="5">
                  <c:v>2.6111111111111116</c:v>
                </c:pt>
                <c:pt idx="6">
                  <c:v>2.7000000000000006</c:v>
                </c:pt>
                <c:pt idx="7">
                  <c:v>2.7888888888888896</c:v>
                </c:pt>
                <c:pt idx="8">
                  <c:v>2.8777777777777787</c:v>
                </c:pt>
                <c:pt idx="9">
                  <c:v>2.9666666666666677</c:v>
                </c:pt>
                <c:pt idx="10">
                  <c:v>3.0555555555555567</c:v>
                </c:pt>
                <c:pt idx="11">
                  <c:v>3.1444444444444457</c:v>
                </c:pt>
                <c:pt idx="12">
                  <c:v>3.2333333333333347</c:v>
                </c:pt>
                <c:pt idx="13">
                  <c:v>3.3222222222222237</c:v>
                </c:pt>
                <c:pt idx="14">
                  <c:v>3.4111111111111128</c:v>
                </c:pt>
                <c:pt idx="15">
                  <c:v>3.5</c:v>
                </c:pt>
              </c:numCache>
            </c:numRef>
          </c:xVal>
          <c:yVal>
            <c:numRef>
              <c:f>Short_VandM!$CL$65:$CL$80</c:f>
              <c:numCache>
                <c:formatCode>General</c:formatCode>
                <c:ptCount val="16"/>
                <c:pt idx="0">
                  <c:v>26.94603174603175</c:v>
                </c:pt>
                <c:pt idx="1">
                  <c:v>23.472987654320974</c:v>
                </c:pt>
                <c:pt idx="2">
                  <c:v>20.2394638447972</c:v>
                </c:pt>
                <c:pt idx="3">
                  <c:v>17.245460317460314</c:v>
                </c:pt>
                <c:pt idx="4">
                  <c:v>14.490977072310443</c:v>
                </c:pt>
                <c:pt idx="5">
                  <c:v>11.976014109347432</c:v>
                </c:pt>
                <c:pt idx="6">
                  <c:v>9.7005714285714362</c:v>
                </c:pt>
                <c:pt idx="7">
                  <c:v>7.6646490299823711</c:v>
                </c:pt>
                <c:pt idx="8">
                  <c:v>5.8682469135802364</c:v>
                </c:pt>
                <c:pt idx="9">
                  <c:v>4.3113650793650322</c:v>
                </c:pt>
                <c:pt idx="10">
                  <c:v>2.9940035273368721</c:v>
                </c:pt>
                <c:pt idx="11">
                  <c:v>1.9161622574955857</c:v>
                </c:pt>
                <c:pt idx="12">
                  <c:v>1.0778412698412581</c:v>
                </c:pt>
                <c:pt idx="13">
                  <c:v>0.47904056437386089</c:v>
                </c:pt>
                <c:pt idx="14">
                  <c:v>0.11976014109347943</c:v>
                </c:pt>
                <c:pt idx="15">
                  <c:v>1.1368683772161603E-13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10-4834-A157-4865241A9AF4}"/>
            </c:ext>
          </c:extLst>
        </c:ser>
        <c:ser>
          <c:idx val="3"/>
          <c:order val="3"/>
          <c:tx>
            <c:v>right_Mmin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plus"/>
            <c:size val="4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Short_VandM!$L$65:$L$80</c:f>
              <c:numCache>
                <c:formatCode>General</c:formatCode>
                <c:ptCount val="16"/>
                <c:pt idx="0">
                  <c:v>2.1666666666666665</c:v>
                </c:pt>
                <c:pt idx="1">
                  <c:v>2.2555555555555555</c:v>
                </c:pt>
                <c:pt idx="2">
                  <c:v>2.3444444444444446</c:v>
                </c:pt>
                <c:pt idx="3">
                  <c:v>2.4333333333333336</c:v>
                </c:pt>
                <c:pt idx="4">
                  <c:v>2.5222222222222226</c:v>
                </c:pt>
                <c:pt idx="5">
                  <c:v>2.6111111111111116</c:v>
                </c:pt>
                <c:pt idx="6">
                  <c:v>2.7000000000000006</c:v>
                </c:pt>
                <c:pt idx="7">
                  <c:v>2.7888888888888896</c:v>
                </c:pt>
                <c:pt idx="8">
                  <c:v>2.8777777777777787</c:v>
                </c:pt>
                <c:pt idx="9">
                  <c:v>2.9666666666666677</c:v>
                </c:pt>
                <c:pt idx="10">
                  <c:v>3.0555555555555567</c:v>
                </c:pt>
                <c:pt idx="11">
                  <c:v>3.1444444444444457</c:v>
                </c:pt>
                <c:pt idx="12">
                  <c:v>3.2333333333333347</c:v>
                </c:pt>
                <c:pt idx="13">
                  <c:v>3.3222222222222237</c:v>
                </c:pt>
                <c:pt idx="14">
                  <c:v>3.4111111111111128</c:v>
                </c:pt>
                <c:pt idx="15">
                  <c:v>3.5</c:v>
                </c:pt>
              </c:numCache>
            </c:numRef>
          </c:xVal>
          <c:yVal>
            <c:numRef>
              <c:f>Short_VandM!$CM$65:$CM$80</c:f>
              <c:numCache>
                <c:formatCode>General</c:formatCode>
                <c:ptCount val="16"/>
                <c:pt idx="0">
                  <c:v>8.1523809523809518</c:v>
                </c:pt>
                <c:pt idx="1">
                  <c:v>7.1016296296296204</c:v>
                </c:pt>
                <c:pt idx="2">
                  <c:v>6.1233439153439093</c:v>
                </c:pt>
                <c:pt idx="3">
                  <c:v>5.2175238095237972</c:v>
                </c:pt>
                <c:pt idx="4">
                  <c:v>4.3841693121692842</c:v>
                </c:pt>
                <c:pt idx="5">
                  <c:v>3.6232804232804057</c:v>
                </c:pt>
                <c:pt idx="6">
                  <c:v>2.9348571428571404</c:v>
                </c:pt>
                <c:pt idx="7">
                  <c:v>2.318899470899467</c:v>
                </c:pt>
                <c:pt idx="8">
                  <c:v>1.7754074074073998</c:v>
                </c:pt>
                <c:pt idx="9">
                  <c:v>1.3043809523809387</c:v>
                </c:pt>
                <c:pt idx="10">
                  <c:v>0.90582010582009787</c:v>
                </c:pt>
                <c:pt idx="11">
                  <c:v>0.57972486772484899</c:v>
                </c:pt>
                <c:pt idx="12">
                  <c:v>0.32609523809522045</c:v>
                </c:pt>
                <c:pt idx="13">
                  <c:v>0.14493121693119804</c:v>
                </c:pt>
                <c:pt idx="14">
                  <c:v>3.6232804232781746E-2</c:v>
                </c:pt>
                <c:pt idx="15">
                  <c:v>-8.5265128291212022E-14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710-4834-A157-4865241A9AF4}"/>
            </c:ext>
          </c:extLst>
        </c:ser>
        <c:ser>
          <c:idx val="4"/>
          <c:order val="4"/>
          <c:tx>
            <c:v>midL_Mmax</c:v>
          </c:tx>
          <c:spPr>
            <a:ln w="1270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Short_VandM!$L$51:$L$56</c:f>
              <c:numCache>
                <c:formatCode>General</c:formatCode>
                <c:ptCount val="6"/>
                <c:pt idx="0">
                  <c:v>1.3333333333333333</c:v>
                </c:pt>
                <c:pt idx="1">
                  <c:v>1.4166666666666665</c:v>
                </c:pt>
                <c:pt idx="2">
                  <c:v>1.4999999999999998</c:v>
                </c:pt>
                <c:pt idx="3">
                  <c:v>1.583333333333333</c:v>
                </c:pt>
                <c:pt idx="4">
                  <c:v>1.6666666666666663</c:v>
                </c:pt>
                <c:pt idx="5">
                  <c:v>1.75</c:v>
                </c:pt>
              </c:numCache>
            </c:numRef>
          </c:xVal>
          <c:yVal>
            <c:numRef>
              <c:f>Short_VandM!$CL$51:$CL$56</c:f>
              <c:numCache>
                <c:formatCode>General</c:formatCode>
                <c:ptCount val="6"/>
                <c:pt idx="0">
                  <c:v>26.946031746031743</c:v>
                </c:pt>
                <c:pt idx="1">
                  <c:v>30.413710317460325</c:v>
                </c:pt>
                <c:pt idx="2">
                  <c:v>34.080238095238087</c:v>
                </c:pt>
                <c:pt idx="3">
                  <c:v>37.945615079365069</c:v>
                </c:pt>
                <c:pt idx="4">
                  <c:v>42.009841269841246</c:v>
                </c:pt>
                <c:pt idx="5">
                  <c:v>46.272916666666696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10-4834-A157-4865241A9AF4}"/>
            </c:ext>
          </c:extLst>
        </c:ser>
        <c:ser>
          <c:idx val="5"/>
          <c:order val="5"/>
          <c:tx>
            <c:v>midL_Mmin</c:v>
          </c:tx>
          <c:spPr>
            <a:ln w="1270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Short_VandM!$L$51:$L$56</c:f>
              <c:numCache>
                <c:formatCode>General</c:formatCode>
                <c:ptCount val="6"/>
                <c:pt idx="0">
                  <c:v>1.3333333333333333</c:v>
                </c:pt>
                <c:pt idx="1">
                  <c:v>1.4166666666666665</c:v>
                </c:pt>
                <c:pt idx="2">
                  <c:v>1.4999999999999998</c:v>
                </c:pt>
                <c:pt idx="3">
                  <c:v>1.583333333333333</c:v>
                </c:pt>
                <c:pt idx="4">
                  <c:v>1.6666666666666663</c:v>
                </c:pt>
                <c:pt idx="5">
                  <c:v>1.75</c:v>
                </c:pt>
              </c:numCache>
            </c:numRef>
          </c:xVal>
          <c:yVal>
            <c:numRef>
              <c:f>Short_VandM!$CM$51:$CM$56</c:f>
              <c:numCache>
                <c:formatCode>General</c:formatCode>
                <c:ptCount val="6"/>
                <c:pt idx="0">
                  <c:v>8.1523809523809518</c:v>
                </c:pt>
                <c:pt idx="1">
                  <c:v>9.1988988095238042</c:v>
                </c:pt>
                <c:pt idx="2">
                  <c:v>10.300357142857138</c:v>
                </c:pt>
                <c:pt idx="3">
                  <c:v>11.456755952380943</c:v>
                </c:pt>
                <c:pt idx="4">
                  <c:v>12.668095238095237</c:v>
                </c:pt>
                <c:pt idx="5">
                  <c:v>13.934374999999992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710-4834-A157-4865241A9AF4}"/>
            </c:ext>
          </c:extLst>
        </c:ser>
        <c:ser>
          <c:idx val="6"/>
          <c:order val="6"/>
          <c:tx>
            <c:v>midR_Mmax</c:v>
          </c:tx>
          <c:spPr>
            <a:ln w="1270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Short_VandM!$L$58:$L$63</c:f>
              <c:numCache>
                <c:formatCode>General</c:formatCode>
                <c:ptCount val="6"/>
                <c:pt idx="0">
                  <c:v>1.75</c:v>
                </c:pt>
                <c:pt idx="1">
                  <c:v>1.8333333333333333</c:v>
                </c:pt>
                <c:pt idx="2">
                  <c:v>1.9166666666666665</c:v>
                </c:pt>
                <c:pt idx="3">
                  <c:v>1.9999999999999998</c:v>
                </c:pt>
                <c:pt idx="4">
                  <c:v>2.083333333333333</c:v>
                </c:pt>
                <c:pt idx="5">
                  <c:v>2.1666666666666665</c:v>
                </c:pt>
              </c:numCache>
            </c:numRef>
          </c:xVal>
          <c:yVal>
            <c:numRef>
              <c:f>Short_VandM!$CL$58:$CL$63</c:f>
              <c:numCache>
                <c:formatCode>General</c:formatCode>
                <c:ptCount val="6"/>
                <c:pt idx="0">
                  <c:v>46.272916666666696</c:v>
                </c:pt>
                <c:pt idx="1">
                  <c:v>42.009841269841274</c:v>
                </c:pt>
                <c:pt idx="2">
                  <c:v>37.945615079365083</c:v>
                </c:pt>
                <c:pt idx="3">
                  <c:v>34.080238095238087</c:v>
                </c:pt>
                <c:pt idx="4">
                  <c:v>30.413710317460357</c:v>
                </c:pt>
                <c:pt idx="5">
                  <c:v>26.94603174603175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710-4834-A157-4865241A9AF4}"/>
            </c:ext>
          </c:extLst>
        </c:ser>
        <c:ser>
          <c:idx val="7"/>
          <c:order val="7"/>
          <c:tx>
            <c:v>midR_Mmin</c:v>
          </c:tx>
          <c:spPr>
            <a:ln w="1270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Short_VandM!$L$58:$L$63</c:f>
              <c:numCache>
                <c:formatCode>General</c:formatCode>
                <c:ptCount val="6"/>
                <c:pt idx="0">
                  <c:v>1.75</c:v>
                </c:pt>
                <c:pt idx="1">
                  <c:v>1.8333333333333333</c:v>
                </c:pt>
                <c:pt idx="2">
                  <c:v>1.9166666666666665</c:v>
                </c:pt>
                <c:pt idx="3">
                  <c:v>1.9999999999999998</c:v>
                </c:pt>
                <c:pt idx="4">
                  <c:v>2.083333333333333</c:v>
                </c:pt>
                <c:pt idx="5">
                  <c:v>2.1666666666666665</c:v>
                </c:pt>
              </c:numCache>
            </c:numRef>
          </c:xVal>
          <c:yVal>
            <c:numRef>
              <c:f>Short_VandM!$CM$58:$CM$63</c:f>
              <c:numCache>
                <c:formatCode>General</c:formatCode>
                <c:ptCount val="6"/>
                <c:pt idx="0">
                  <c:v>13.934374999999992</c:v>
                </c:pt>
                <c:pt idx="1">
                  <c:v>12.668095238095237</c:v>
                </c:pt>
                <c:pt idx="2">
                  <c:v>11.456755952380945</c:v>
                </c:pt>
                <c:pt idx="3">
                  <c:v>10.300357142857131</c:v>
                </c:pt>
                <c:pt idx="4">
                  <c:v>9.1988988095238113</c:v>
                </c:pt>
                <c:pt idx="5">
                  <c:v>8.1523809523809518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710-4834-A157-4865241A9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0998639"/>
        <c:axId val="771004879"/>
      </c:scatterChart>
      <c:valAx>
        <c:axId val="7709986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004879"/>
        <c:crosses val="autoZero"/>
        <c:crossBetween val="midCat"/>
      </c:valAx>
      <c:valAx>
        <c:axId val="771004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9986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57151</xdr:colOff>
      <xdr:row>59</xdr:row>
      <xdr:rowOff>104772</xdr:rowOff>
    </xdr:from>
    <xdr:to>
      <xdr:col>16</xdr:col>
      <xdr:colOff>590551</xdr:colOff>
      <xdr:row>115</xdr:row>
      <xdr:rowOff>114299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979056-4488-4CD4-B213-BC57A9BA1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123825</xdr:colOff>
      <xdr:row>10</xdr:row>
      <xdr:rowOff>47625</xdr:rowOff>
    </xdr:from>
    <xdr:to>
      <xdr:col>13</xdr:col>
      <xdr:colOff>495300</xdr:colOff>
      <xdr:row>22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0019DD9-E114-4780-A469-467C91BB4A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161925</xdr:colOff>
      <xdr:row>48</xdr:row>
      <xdr:rowOff>19050</xdr:rowOff>
    </xdr:from>
    <xdr:to>
      <xdr:col>16</xdr:col>
      <xdr:colOff>466725</xdr:colOff>
      <xdr:row>58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1EF48C2-FBBF-4701-BF1E-DB8BF543B0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529</xdr:row>
      <xdr:rowOff>66674</xdr:rowOff>
    </xdr:from>
    <xdr:to>
      <xdr:col>7</xdr:col>
      <xdr:colOff>490347</xdr:colOff>
      <xdr:row>554</xdr:row>
      <xdr:rowOff>142874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B8AEB9-729B-4593-ACB1-FB104A40F8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47625</xdr:colOff>
      <xdr:row>529</xdr:row>
      <xdr:rowOff>19050</xdr:rowOff>
    </xdr:from>
    <xdr:to>
      <xdr:col>16</xdr:col>
      <xdr:colOff>600075</xdr:colOff>
      <xdr:row>554</xdr:row>
      <xdr:rowOff>95250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162A84D-E11D-432C-B43C-9C6BD56BCB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4A994-C44E-419C-A4A0-8E68C2A5EC05}">
  <sheetPr codeName="Sheet1"/>
  <dimension ref="A1:Q1115"/>
  <sheetViews>
    <sheetView tabSelected="1" view="pageLayout" topLeftCell="A4" zoomScaleNormal="100" workbookViewId="0">
      <selection activeCell="M32" sqref="M32"/>
    </sheetView>
  </sheetViews>
  <sheetFormatPr defaultRowHeight="12" x14ac:dyDescent="0.2"/>
  <cols>
    <col min="1" max="1" width="18.28515625" style="6" customWidth="1"/>
    <col min="2" max="2" width="12.5703125" style="6" bestFit="1" customWidth="1"/>
    <col min="3" max="3" width="11.5703125" style="6" bestFit="1" customWidth="1"/>
    <col min="4" max="4" width="9.5703125" style="6" customWidth="1"/>
    <col min="5" max="5" width="10.140625" style="6" customWidth="1"/>
    <col min="6" max="16384" width="9.140625" style="6"/>
  </cols>
  <sheetData>
    <row r="1" spans="1:17" x14ac:dyDescent="0.2">
      <c r="A1" s="5" t="s">
        <v>0</v>
      </c>
      <c r="H1" s="6" t="s">
        <v>214</v>
      </c>
      <c r="I1" s="15" t="s">
        <v>266</v>
      </c>
      <c r="J1" s="48" t="str">
        <f>IF(G289&gt;0,G289&amp;" ASD/Basic  Combos - resultant load outside of the kern zone","")</f>
        <v>6 ASD/Basic  Combos - resultant load outside of the kern zone</v>
      </c>
      <c r="Q1" s="9" t="s">
        <v>214</v>
      </c>
    </row>
    <row r="2" spans="1:17" x14ac:dyDescent="0.2">
      <c r="H2" s="96" t="s">
        <v>449</v>
      </c>
      <c r="J2" s="67" t="str">
        <f>IF(G321&gt;0,G321&amp;" ASD/Basic Combos - Q,max &gt; Q,allow","")</f>
        <v/>
      </c>
      <c r="Q2" s="67" t="s">
        <v>268</v>
      </c>
    </row>
    <row r="3" spans="1:17" x14ac:dyDescent="0.2">
      <c r="A3" s="7" t="s">
        <v>78</v>
      </c>
      <c r="B3" s="65" t="str">
        <f>IF(H289&gt;0,"** UNSTABLE **","")</f>
        <v/>
      </c>
      <c r="E3" s="9"/>
      <c r="F3" s="9"/>
      <c r="G3" s="9"/>
      <c r="H3" s="45" t="s">
        <v>450</v>
      </c>
      <c r="I3" s="9"/>
      <c r="J3" s="67" t="str">
        <f>IF(H289&gt;0,H289&amp;" ASD/Basic Combos - Net Uplift ** SYSTEM UNSTABLE **","")</f>
        <v/>
      </c>
      <c r="K3" s="9"/>
      <c r="L3" s="9"/>
      <c r="Q3" s="48" t="s">
        <v>267</v>
      </c>
    </row>
    <row r="4" spans="1:17" x14ac:dyDescent="0.2">
      <c r="A4" s="11" t="s">
        <v>77</v>
      </c>
      <c r="B4" s="12">
        <v>2000</v>
      </c>
      <c r="C4" s="9" t="s">
        <v>75</v>
      </c>
      <c r="D4" s="13" t="s">
        <v>76</v>
      </c>
      <c r="E4" s="9"/>
      <c r="F4" s="9"/>
      <c r="G4" s="9"/>
      <c r="H4" s="22" t="s">
        <v>451</v>
      </c>
      <c r="I4" s="9"/>
      <c r="J4" s="61" t="str">
        <f>IF(E350&gt;0,E350&amp;" ASD/Basic Combos - V &gt; P*µs - sliding resistance requires more than friction","")</f>
        <v/>
      </c>
      <c r="K4" s="9"/>
      <c r="L4" s="9"/>
    </row>
    <row r="5" spans="1:17" x14ac:dyDescent="0.2">
      <c r="A5" s="14" t="s">
        <v>216</v>
      </c>
      <c r="B5" s="12">
        <v>0.3</v>
      </c>
      <c r="C5" s="9"/>
      <c r="D5" s="13" t="s">
        <v>79</v>
      </c>
      <c r="E5" s="9"/>
      <c r="F5" s="9"/>
      <c r="G5" s="9"/>
      <c r="H5" s="64" t="s">
        <v>452</v>
      </c>
      <c r="I5" s="9"/>
      <c r="J5" s="66" t="str">
        <f>IF(G440&gt;0,G440&amp;" LRFD  Combos - resultant load outside of the kern zone","")</f>
        <v>8 LRFD  Combos - resultant load outside of the kern zone</v>
      </c>
      <c r="K5" s="9"/>
      <c r="L5" s="9"/>
    </row>
    <row r="6" spans="1:17" x14ac:dyDescent="0.2">
      <c r="A6" s="14" t="s">
        <v>85</v>
      </c>
      <c r="B6" s="12">
        <v>110</v>
      </c>
      <c r="C6" s="9" t="s">
        <v>87</v>
      </c>
      <c r="D6" s="13" t="s">
        <v>80</v>
      </c>
      <c r="E6" s="9"/>
      <c r="F6" s="9"/>
      <c r="G6" s="9"/>
      <c r="I6" s="9"/>
      <c r="J6" s="68" t="str">
        <f>IF(H440&gt;0,H440&amp;" LRFD Combos - Net Uplift ** SYSTEM UNSTABLE **","")</f>
        <v/>
      </c>
      <c r="K6" s="9"/>
      <c r="L6" s="9"/>
    </row>
    <row r="7" spans="1:17" x14ac:dyDescent="0.2">
      <c r="A7" s="11" t="s">
        <v>82</v>
      </c>
      <c r="B7" s="12">
        <v>2</v>
      </c>
      <c r="C7" s="9" t="s">
        <v>1</v>
      </c>
      <c r="D7" s="13" t="s">
        <v>81</v>
      </c>
      <c r="E7" s="9"/>
      <c r="F7" s="9"/>
      <c r="G7" s="9"/>
      <c r="I7" s="9"/>
      <c r="J7" s="9"/>
      <c r="K7" s="9"/>
      <c r="L7" s="9"/>
    </row>
    <row r="8" spans="1:17" x14ac:dyDescent="0.2">
      <c r="A8" s="11" t="s">
        <v>291</v>
      </c>
      <c r="B8" s="16">
        <f>(1000*(B134+B135))/(Bf_ft*Lf_ft)</f>
        <v>185.07936507936506</v>
      </c>
      <c r="C8" s="9" t="s">
        <v>75</v>
      </c>
      <c r="D8" s="13" t="s">
        <v>292</v>
      </c>
      <c r="E8" s="9"/>
      <c r="F8" s="9"/>
      <c r="G8" s="24" t="s">
        <v>314</v>
      </c>
      <c r="H8" s="9"/>
      <c r="I8" s="9"/>
      <c r="J8" s="9"/>
      <c r="K8" s="9"/>
      <c r="L8" s="9"/>
      <c r="Q8" s="19" t="s">
        <v>270</v>
      </c>
    </row>
    <row r="9" spans="1:17" x14ac:dyDescent="0.2">
      <c r="A9" s="7" t="s">
        <v>74</v>
      </c>
      <c r="B9" s="10"/>
      <c r="C9" s="9"/>
      <c r="D9" s="10"/>
      <c r="E9" s="9"/>
      <c r="F9" s="9"/>
      <c r="G9" s="9"/>
      <c r="H9" s="9"/>
      <c r="I9" s="11" t="s">
        <v>272</v>
      </c>
      <c r="J9" s="16">
        <f>MAX(F297:F320)</f>
        <v>1951.2698412698417</v>
      </c>
      <c r="K9" s="9" t="s">
        <v>75</v>
      </c>
      <c r="L9" s="49" t="str">
        <f>IF(J9&gt;N9,"&gt;","≤")</f>
        <v>≤</v>
      </c>
      <c r="M9" s="15" t="s">
        <v>271</v>
      </c>
      <c r="N9" s="21">
        <f>IF(G8="Y",q_allow_psf+q_overburden_psf,q_allow_psf)</f>
        <v>2185.0793650793648</v>
      </c>
      <c r="O9" s="6" t="s">
        <v>75</v>
      </c>
      <c r="Q9" s="22" t="str">
        <f>IF(L9="&gt;","NG","OK")</f>
        <v>OK</v>
      </c>
    </row>
    <row r="10" spans="1:17" x14ac:dyDescent="0.2">
      <c r="A10" s="11" t="s">
        <v>83</v>
      </c>
      <c r="B10" s="12">
        <v>3000</v>
      </c>
      <c r="C10" s="9" t="s">
        <v>86</v>
      </c>
      <c r="D10" s="13" t="s">
        <v>90</v>
      </c>
      <c r="E10" s="9"/>
      <c r="F10" s="9"/>
      <c r="G10" s="9"/>
      <c r="H10" s="9"/>
      <c r="I10" s="11" t="s">
        <v>269</v>
      </c>
      <c r="J10" s="16">
        <f>MIN(D297:D320,B297:B320)</f>
        <v>0</v>
      </c>
      <c r="K10" s="9" t="s">
        <v>75</v>
      </c>
      <c r="L10" s="9"/>
    </row>
    <row r="11" spans="1:17" x14ac:dyDescent="0.2">
      <c r="A11" s="14" t="s">
        <v>84</v>
      </c>
      <c r="B11" s="12">
        <v>145</v>
      </c>
      <c r="C11" s="9" t="s">
        <v>87</v>
      </c>
      <c r="D11" s="13" t="s">
        <v>91</v>
      </c>
      <c r="E11" s="9"/>
      <c r="F11" s="9"/>
      <c r="G11" s="9"/>
      <c r="H11" s="9"/>
      <c r="I11" s="9"/>
      <c r="J11" s="9"/>
      <c r="K11" s="9"/>
      <c r="L11" s="9"/>
    </row>
    <row r="12" spans="1:17" x14ac:dyDescent="0.2">
      <c r="A12" s="14" t="s">
        <v>88</v>
      </c>
      <c r="B12" s="45" t="s">
        <v>92</v>
      </c>
      <c r="I12" s="9"/>
      <c r="J12" s="9"/>
      <c r="K12" s="9"/>
      <c r="L12" s="9"/>
      <c r="N12" s="69"/>
    </row>
    <row r="13" spans="1:17" x14ac:dyDescent="0.2">
      <c r="A13" s="15" t="str">
        <f>IF(B12="CIP","F'c_stem","F'm_stem")</f>
        <v>F'c_stem</v>
      </c>
      <c r="B13" s="20">
        <v>4500</v>
      </c>
      <c r="C13" s="6" t="s">
        <v>86</v>
      </c>
      <c r="D13" s="6" t="str">
        <f>IF(B12="CIP","28-day compressive strength for Stem","Masonry Assembly Compressive Strength")</f>
        <v>28-day compressive strength for Stem</v>
      </c>
      <c r="I13" s="9"/>
      <c r="J13" s="9"/>
      <c r="K13" s="9"/>
      <c r="L13" s="9"/>
    </row>
    <row r="14" spans="1:17" x14ac:dyDescent="0.2">
      <c r="A14" s="14" t="str">
        <f>IF(B12="CIP","ρc :","ρm :")</f>
        <v>ρc :</v>
      </c>
      <c r="B14" s="20">
        <v>145</v>
      </c>
      <c r="C14" s="6" t="s">
        <v>87</v>
      </c>
      <c r="D14" s="6" t="str">
        <f>IF(B12="CIP","Stem concrete density","Stem masonry density")</f>
        <v>Stem concrete density</v>
      </c>
      <c r="H14" s="9"/>
      <c r="I14" s="9"/>
      <c r="J14" s="9"/>
      <c r="K14" s="9"/>
      <c r="L14" s="9"/>
    </row>
    <row r="15" spans="1:17" x14ac:dyDescent="0.2">
      <c r="E15" s="9"/>
      <c r="F15" s="9"/>
      <c r="G15" s="9"/>
      <c r="H15" s="9"/>
      <c r="I15" s="9"/>
      <c r="J15" s="9"/>
      <c r="K15" s="9"/>
      <c r="L15" s="9"/>
    </row>
    <row r="16" spans="1:17" x14ac:dyDescent="0.2">
      <c r="A16" s="7" t="s">
        <v>6</v>
      </c>
      <c r="B16" s="10"/>
      <c r="C16" s="9"/>
      <c r="D16" s="10"/>
      <c r="E16" s="9"/>
      <c r="F16" s="9"/>
      <c r="G16" s="9"/>
      <c r="H16" s="9"/>
      <c r="I16" s="9"/>
      <c r="J16" s="9"/>
      <c r="K16" s="9"/>
      <c r="L16" s="9"/>
    </row>
    <row r="17" spans="1:17" x14ac:dyDescent="0.2">
      <c r="A17" s="11" t="s">
        <v>7</v>
      </c>
      <c r="B17" s="12">
        <v>3.5</v>
      </c>
      <c r="C17" s="9" t="s">
        <v>1</v>
      </c>
      <c r="D17" s="13" t="s">
        <v>8</v>
      </c>
      <c r="E17" s="9"/>
      <c r="F17" s="9"/>
      <c r="G17" s="9"/>
      <c r="H17" s="9"/>
      <c r="I17" s="9"/>
      <c r="J17" s="9"/>
      <c r="K17" s="9"/>
      <c r="L17" s="9"/>
    </row>
    <row r="18" spans="1:17" x14ac:dyDescent="0.2">
      <c r="A18" s="11" t="s">
        <v>9</v>
      </c>
      <c r="B18" s="12">
        <v>30</v>
      </c>
      <c r="C18" s="9" t="s">
        <v>1</v>
      </c>
      <c r="D18" s="9" t="s">
        <v>10</v>
      </c>
      <c r="E18" s="9"/>
      <c r="F18" s="11" t="s">
        <v>205</v>
      </c>
      <c r="G18" s="50">
        <f>Lf_ft/6</f>
        <v>5</v>
      </c>
      <c r="H18" s="9" t="s">
        <v>1</v>
      </c>
      <c r="I18" s="9"/>
      <c r="J18" s="9"/>
      <c r="K18" s="9"/>
      <c r="L18" s="9"/>
    </row>
    <row r="19" spans="1:17" x14ac:dyDescent="0.2">
      <c r="A19" s="11" t="s">
        <v>11</v>
      </c>
      <c r="B19" s="12">
        <v>18</v>
      </c>
      <c r="C19" s="9" t="s">
        <v>2</v>
      </c>
      <c r="D19" s="9" t="s">
        <v>12</v>
      </c>
      <c r="E19" s="9"/>
      <c r="F19" s="9"/>
      <c r="G19" s="9"/>
      <c r="H19" s="9"/>
      <c r="I19" s="9"/>
      <c r="J19" s="9"/>
      <c r="K19" s="9"/>
      <c r="L19" s="9"/>
    </row>
    <row r="20" spans="1:17" x14ac:dyDescent="0.2">
      <c r="A20" s="11"/>
      <c r="B20" s="10"/>
      <c r="C20" s="9"/>
      <c r="D20" s="9"/>
      <c r="E20" s="9"/>
      <c r="F20" s="9"/>
      <c r="G20" s="9"/>
      <c r="H20" s="9"/>
      <c r="I20" s="9"/>
      <c r="J20" s="9"/>
      <c r="K20" s="9"/>
      <c r="L20" s="9"/>
    </row>
    <row r="21" spans="1:17" x14ac:dyDescent="0.2">
      <c r="A21" s="7" t="s">
        <v>13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</row>
    <row r="22" spans="1:17" x14ac:dyDescent="0.2">
      <c r="A22" s="11" t="s">
        <v>14</v>
      </c>
      <c r="B22" s="12">
        <v>2</v>
      </c>
      <c r="C22" s="9" t="s">
        <v>1</v>
      </c>
      <c r="D22" s="9" t="s">
        <v>15</v>
      </c>
      <c r="E22" s="9"/>
      <c r="F22" s="9"/>
      <c r="G22" s="9"/>
      <c r="H22" s="9"/>
      <c r="I22" s="9"/>
      <c r="J22" s="9"/>
      <c r="K22" s="9"/>
      <c r="L22" s="9"/>
    </row>
    <row r="23" spans="1:17" x14ac:dyDescent="0.2">
      <c r="A23" s="11" t="s">
        <v>16</v>
      </c>
      <c r="B23" s="12">
        <v>20</v>
      </c>
      <c r="C23" s="9" t="s">
        <v>1</v>
      </c>
      <c r="D23" s="9" t="s">
        <v>19</v>
      </c>
      <c r="E23" s="9"/>
      <c r="F23" s="9"/>
      <c r="G23" s="9"/>
      <c r="H23" s="9"/>
      <c r="I23" s="9"/>
      <c r="J23" s="9"/>
      <c r="K23" s="9"/>
      <c r="L23" s="9"/>
    </row>
    <row r="24" spans="1:17" x14ac:dyDescent="0.2">
      <c r="A24" s="11" t="s">
        <v>17</v>
      </c>
      <c r="B24" s="12">
        <v>10</v>
      </c>
      <c r="C24" s="9" t="s">
        <v>2</v>
      </c>
      <c r="D24" s="9" t="s">
        <v>18</v>
      </c>
      <c r="E24" s="9"/>
      <c r="F24" s="9"/>
      <c r="G24" s="9"/>
      <c r="H24" s="9"/>
      <c r="I24" s="10" t="s">
        <v>289</v>
      </c>
      <c r="J24" s="8">
        <f>MIN(E326:E349)</f>
        <v>1.3989285714285713</v>
      </c>
      <c r="K24" s="73" t="s">
        <v>290</v>
      </c>
      <c r="L24" s="9"/>
      <c r="Q24" s="22" t="str">
        <f>IF(E350=0,"OK","WARNING")</f>
        <v>OK</v>
      </c>
    </row>
    <row r="25" spans="1:17" x14ac:dyDescent="0.2">
      <c r="A25" s="11" t="s">
        <v>20</v>
      </c>
      <c r="B25" s="12">
        <v>7</v>
      </c>
      <c r="C25" s="9" t="s">
        <v>1</v>
      </c>
      <c r="D25" s="9" t="s">
        <v>21</v>
      </c>
      <c r="E25" s="9"/>
      <c r="F25" s="9"/>
      <c r="G25" s="9"/>
      <c r="H25" s="9"/>
      <c r="I25" s="9"/>
      <c r="J25" s="9"/>
      <c r="K25" s="9"/>
      <c r="L25" s="9"/>
    </row>
    <row r="26" spans="1:17" x14ac:dyDescent="0.2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</row>
    <row r="27" spans="1:17" x14ac:dyDescent="0.2">
      <c r="A27" s="7" t="s">
        <v>23</v>
      </c>
      <c r="B27" s="9"/>
      <c r="C27" s="9"/>
      <c r="D27" s="9"/>
      <c r="E27" s="9"/>
      <c r="F27" s="9"/>
      <c r="G27" s="9"/>
      <c r="H27" s="9"/>
      <c r="I27" s="7" t="s">
        <v>445</v>
      </c>
      <c r="J27" s="9"/>
      <c r="K27" s="44" t="s">
        <v>447</v>
      </c>
      <c r="L27" s="9"/>
    </row>
    <row r="28" spans="1:17" x14ac:dyDescent="0.2">
      <c r="A28" s="11" t="s">
        <v>24</v>
      </c>
      <c r="B28" s="12">
        <v>15</v>
      </c>
      <c r="C28" s="9" t="s">
        <v>1</v>
      </c>
      <c r="D28" s="9" t="s">
        <v>31</v>
      </c>
      <c r="E28" s="9"/>
      <c r="F28" s="9"/>
      <c r="G28" s="9"/>
      <c r="H28" s="9"/>
      <c r="I28" s="103" t="s">
        <v>454</v>
      </c>
      <c r="J28" s="97" t="s">
        <v>471</v>
      </c>
      <c r="K28" s="43" t="s">
        <v>476</v>
      </c>
      <c r="L28" s="7" t="str">
        <f>C588</f>
        <v>M+: 128.96 ft-kips, M-: -44.85 ft-kips</v>
      </c>
    </row>
    <row r="29" spans="1:17" x14ac:dyDescent="0.2">
      <c r="A29" s="11" t="s">
        <v>25</v>
      </c>
      <c r="B29" s="12">
        <v>10</v>
      </c>
      <c r="C29" s="9" t="s">
        <v>1</v>
      </c>
      <c r="D29" s="9" t="s">
        <v>32</v>
      </c>
      <c r="E29" s="9"/>
      <c r="F29" s="9"/>
      <c r="G29" s="9"/>
      <c r="H29" s="9"/>
      <c r="K29" s="43" t="s">
        <v>446</v>
      </c>
      <c r="L29" s="94" t="str">
        <f ca="1">B756</f>
        <v>( 5 ) #6 @ 8.813 in o.c. w/ Left End: Straight - Right End: Straight</v>
      </c>
      <c r="Q29" s="22" t="str">
        <f ca="1">IF(B757=1,"OK","NG")</f>
        <v>OK</v>
      </c>
    </row>
    <row r="30" spans="1:17" x14ac:dyDescent="0.2">
      <c r="A30" s="11" t="s">
        <v>26</v>
      </c>
      <c r="B30" s="12">
        <v>10</v>
      </c>
      <c r="C30" s="9" t="s">
        <v>1</v>
      </c>
      <c r="D30" s="9" t="s">
        <v>33</v>
      </c>
      <c r="E30" s="9"/>
      <c r="F30" s="9"/>
      <c r="G30" s="9"/>
      <c r="H30" s="9"/>
      <c r="I30" s="89" t="s">
        <v>323</v>
      </c>
      <c r="J30" s="89" t="s">
        <v>456</v>
      </c>
      <c r="K30" s="101" t="s">
        <v>477</v>
      </c>
      <c r="L30" s="104" t="str">
        <f ca="1">IF(AND(B584="OK",B586="OK"),"PLAIN CONCRETE -- Vu: "&amp;ROUND(B581,2)&amp;" kips @ "&amp;ROUND(B580,2)&amp;" ft - Phi Vc: "&amp;ROUND(B579,2)&amp;" kips","Vu: "&amp;ROUND(B762,2)&amp;" kips @ "&amp;ROUND(B761,2)&amp;" ft - Phi Vc: "&amp;ROUND(B763,2)&amp;" kips")</f>
        <v>Vu: 29.65 kips @ 5.78 ft - Phi Vc: 40.37 kips</v>
      </c>
      <c r="Q30" s="22" t="str">
        <f ca="1">IF(D763=1,"OK","NG")</f>
        <v>OK</v>
      </c>
    </row>
    <row r="31" spans="1:17" x14ac:dyDescent="0.2">
      <c r="A31" s="11" t="s">
        <v>27</v>
      </c>
      <c r="B31" s="12">
        <v>10</v>
      </c>
      <c r="C31" s="9" t="s">
        <v>1</v>
      </c>
      <c r="D31" s="9" t="s">
        <v>34</v>
      </c>
      <c r="E31" s="9"/>
      <c r="F31" s="9"/>
      <c r="G31" s="9"/>
      <c r="H31" s="9"/>
      <c r="I31" s="89">
        <v>3</v>
      </c>
      <c r="J31" s="97" t="s">
        <v>105</v>
      </c>
      <c r="K31" s="101" t="s">
        <v>457</v>
      </c>
      <c r="L31" s="31" t="str">
        <f ca="1">B931</f>
        <v>( 4 ) #6 @ 11.75 in o.c. w/ Left End: Straight - Right End: Straight</v>
      </c>
      <c r="Q31" s="22" t="str">
        <f ca="1">IF(B932=1,"OK","NG")</f>
        <v>OK</v>
      </c>
    </row>
    <row r="32" spans="1:17" x14ac:dyDescent="0.2">
      <c r="A32" s="11" t="s">
        <v>28</v>
      </c>
      <c r="B32" s="12">
        <v>10</v>
      </c>
      <c r="C32" s="9" t="s">
        <v>1</v>
      </c>
      <c r="D32" s="9" t="s">
        <v>35</v>
      </c>
      <c r="E32" s="9"/>
      <c r="F32" s="9"/>
      <c r="G32" s="9"/>
      <c r="H32" s="9"/>
      <c r="I32" s="89">
        <v>4</v>
      </c>
      <c r="J32" s="97" t="s">
        <v>105</v>
      </c>
      <c r="K32" s="101" t="s">
        <v>477</v>
      </c>
    </row>
    <row r="33" spans="1:14" x14ac:dyDescent="0.2">
      <c r="A33" s="11"/>
      <c r="B33" s="9"/>
      <c r="C33" s="9"/>
      <c r="D33" s="9"/>
      <c r="E33" s="9"/>
      <c r="F33" s="9"/>
      <c r="G33" s="9"/>
      <c r="H33" s="9"/>
      <c r="I33" s="89">
        <v>5</v>
      </c>
      <c r="J33" s="97" t="s">
        <v>453</v>
      </c>
      <c r="K33" s="101" t="s">
        <v>458</v>
      </c>
      <c r="L33" s="9"/>
    </row>
    <row r="34" spans="1:14" x14ac:dyDescent="0.2">
      <c r="A34" s="11" t="s">
        <v>29</v>
      </c>
      <c r="B34" s="12">
        <v>15</v>
      </c>
      <c r="C34" s="9" t="s">
        <v>1</v>
      </c>
      <c r="D34" s="9" t="s">
        <v>30</v>
      </c>
      <c r="E34" s="9"/>
      <c r="F34" s="9"/>
      <c r="G34" s="9"/>
      <c r="H34" s="9"/>
      <c r="I34" s="89">
        <v>6</v>
      </c>
      <c r="J34" s="97" t="s">
        <v>453</v>
      </c>
      <c r="K34" s="101" t="s">
        <v>477</v>
      </c>
      <c r="L34" s="9"/>
    </row>
    <row r="35" spans="1:14" x14ac:dyDescent="0.2">
      <c r="A35" s="11" t="s">
        <v>36</v>
      </c>
      <c r="B35" s="12">
        <v>9.5</v>
      </c>
      <c r="C35" s="9" t="s">
        <v>1</v>
      </c>
      <c r="D35" s="9" t="s">
        <v>37</v>
      </c>
      <c r="E35" s="9"/>
      <c r="F35" s="9"/>
      <c r="G35" s="9"/>
      <c r="H35" s="9"/>
      <c r="I35" s="89">
        <v>7</v>
      </c>
      <c r="J35" s="97" t="s">
        <v>105</v>
      </c>
      <c r="K35" s="101" t="s">
        <v>459</v>
      </c>
      <c r="L35" s="10"/>
    </row>
    <row r="36" spans="1:14" x14ac:dyDescent="0.2">
      <c r="A36" s="11"/>
      <c r="B36" s="9"/>
      <c r="C36" s="9"/>
      <c r="D36" s="9"/>
      <c r="E36" s="9"/>
      <c r="F36" s="9"/>
      <c r="G36" s="9"/>
      <c r="H36" s="9"/>
      <c r="I36" s="89">
        <v>8</v>
      </c>
      <c r="J36" s="97" t="s">
        <v>105</v>
      </c>
      <c r="K36" s="101" t="s">
        <v>477</v>
      </c>
      <c r="L36" s="10"/>
    </row>
    <row r="37" spans="1:14" x14ac:dyDescent="0.2">
      <c r="A37" s="11" t="s">
        <v>43</v>
      </c>
      <c r="B37" s="12">
        <v>6</v>
      </c>
      <c r="C37" s="9" t="s">
        <v>2</v>
      </c>
      <c r="D37" s="9" t="s">
        <v>44</v>
      </c>
      <c r="E37" s="9"/>
      <c r="F37" s="9"/>
      <c r="G37" s="9"/>
      <c r="H37" s="10"/>
      <c r="I37" s="89">
        <v>9</v>
      </c>
      <c r="J37" s="97" t="s">
        <v>105</v>
      </c>
      <c r="K37" s="102" t="s">
        <v>460</v>
      </c>
      <c r="L37" s="10"/>
    </row>
    <row r="38" spans="1:14" x14ac:dyDescent="0.2">
      <c r="A38" s="11" t="s">
        <v>45</v>
      </c>
      <c r="B38" s="12">
        <v>2.125</v>
      </c>
      <c r="C38" s="9" t="s">
        <v>2</v>
      </c>
      <c r="D38" s="9" t="s">
        <v>89</v>
      </c>
      <c r="E38" s="10"/>
      <c r="F38" s="10"/>
      <c r="G38" s="9"/>
      <c r="H38" s="16"/>
      <c r="I38" s="89">
        <v>10</v>
      </c>
      <c r="J38" s="97" t="s">
        <v>105</v>
      </c>
      <c r="K38" s="43" t="s">
        <v>348</v>
      </c>
    </row>
    <row r="39" spans="1:14" x14ac:dyDescent="0.2">
      <c r="A39" s="10"/>
      <c r="B39" s="10"/>
      <c r="C39" s="10"/>
      <c r="D39" s="13"/>
      <c r="E39" s="17"/>
      <c r="F39" s="10"/>
      <c r="G39" s="9"/>
      <c r="H39" s="16"/>
      <c r="I39" s="89">
        <v>11</v>
      </c>
      <c r="J39" s="97" t="s">
        <v>105</v>
      </c>
      <c r="K39" s="43"/>
    </row>
    <row r="40" spans="1:14" x14ac:dyDescent="0.2">
      <c r="A40" s="15" t="s">
        <v>117</v>
      </c>
      <c r="B40" s="51">
        <f>w_left_offset_ft+(Wchord_in/12)</f>
        <v>10</v>
      </c>
      <c r="C40" s="6" t="s">
        <v>1</v>
      </c>
      <c r="D40" s="6" t="s">
        <v>122</v>
      </c>
      <c r="G40" s="9"/>
      <c r="I40" s="89">
        <v>14</v>
      </c>
      <c r="J40" s="97" t="s">
        <v>105</v>
      </c>
      <c r="K40" s="43" t="s">
        <v>349</v>
      </c>
    </row>
    <row r="41" spans="1:14" x14ac:dyDescent="0.2">
      <c r="A41" s="15" t="s">
        <v>118</v>
      </c>
      <c r="B41" s="51">
        <f>w_left_offset_ft+((D_toanchor_in+Wchord_in)/12)</f>
        <v>10.177083333333334</v>
      </c>
      <c r="C41" s="6" t="s">
        <v>1</v>
      </c>
      <c r="D41" s="6" t="s">
        <v>123</v>
      </c>
      <c r="I41" s="89">
        <v>18</v>
      </c>
      <c r="J41" s="97" t="s">
        <v>105</v>
      </c>
      <c r="K41" s="43"/>
    </row>
    <row r="42" spans="1:14" x14ac:dyDescent="0.2">
      <c r="A42" s="32" t="s">
        <v>119</v>
      </c>
      <c r="B42" s="50">
        <f>w_left_offset_ft+Lw_ft-(Wchord_in/12)</f>
        <v>24</v>
      </c>
      <c r="C42" s="13" t="s">
        <v>1</v>
      </c>
      <c r="D42" s="6" t="s">
        <v>122</v>
      </c>
      <c r="K42" s="43" t="s">
        <v>370</v>
      </c>
    </row>
    <row r="43" spans="1:14" x14ac:dyDescent="0.2">
      <c r="A43" s="32" t="s">
        <v>120</v>
      </c>
      <c r="B43" s="51">
        <f>(w_left_offset_ft+Lw_ft-((Wchord_in+D_toanchor_in)/12))</f>
        <v>23.822916666666668</v>
      </c>
      <c r="C43" s="33" t="s">
        <v>1</v>
      </c>
      <c r="D43" s="6" t="s">
        <v>123</v>
      </c>
    </row>
    <row r="44" spans="1:14" x14ac:dyDescent="0.2">
      <c r="A44" s="15" t="s">
        <v>121</v>
      </c>
      <c r="B44" s="51">
        <f>B42-B41</f>
        <v>13.822916666666666</v>
      </c>
      <c r="C44" s="6" t="s">
        <v>1</v>
      </c>
      <c r="D44" s="34" t="s">
        <v>124</v>
      </c>
    </row>
    <row r="45" spans="1:14" x14ac:dyDescent="0.2">
      <c r="I45" s="6" t="s">
        <v>455</v>
      </c>
    </row>
    <row r="46" spans="1:14" x14ac:dyDescent="0.2">
      <c r="A46" s="7" t="s">
        <v>50</v>
      </c>
      <c r="B46" s="18" t="s">
        <v>53</v>
      </c>
      <c r="C46" s="10"/>
      <c r="I46" s="98" t="s">
        <v>430</v>
      </c>
      <c r="J46" s="99" t="s">
        <v>431</v>
      </c>
      <c r="K46" s="98" t="s">
        <v>426</v>
      </c>
      <c r="L46" s="99" t="s">
        <v>427</v>
      </c>
      <c r="M46" s="98" t="s">
        <v>439</v>
      </c>
      <c r="N46" s="98" t="s">
        <v>440</v>
      </c>
    </row>
    <row r="47" spans="1:14" x14ac:dyDescent="0.2">
      <c r="B47" s="19" t="s">
        <v>51</v>
      </c>
      <c r="C47" s="19" t="s">
        <v>52</v>
      </c>
      <c r="I47" s="100">
        <v>1</v>
      </c>
      <c r="J47" s="100">
        <v>1</v>
      </c>
      <c r="K47" s="100">
        <v>1</v>
      </c>
      <c r="L47" s="100">
        <v>1</v>
      </c>
      <c r="M47" s="100">
        <v>0.5</v>
      </c>
      <c r="N47" s="100">
        <v>0.75</v>
      </c>
    </row>
    <row r="48" spans="1:14" x14ac:dyDescent="0.2">
      <c r="A48" s="19" t="s">
        <v>54</v>
      </c>
      <c r="B48" s="20">
        <v>1</v>
      </c>
      <c r="C48" s="20">
        <v>1</v>
      </c>
    </row>
    <row r="49" spans="1:8" x14ac:dyDescent="0.2">
      <c r="A49" s="19" t="s">
        <v>55</v>
      </c>
      <c r="B49" s="20">
        <v>2</v>
      </c>
      <c r="C49" s="20">
        <v>2</v>
      </c>
    </row>
    <row r="50" spans="1:8" x14ac:dyDescent="0.2">
      <c r="A50" s="19" t="s">
        <v>56</v>
      </c>
      <c r="B50" s="20">
        <v>3</v>
      </c>
      <c r="C50" s="20">
        <v>3</v>
      </c>
    </row>
    <row r="51" spans="1:8" x14ac:dyDescent="0.2">
      <c r="A51" s="19" t="s">
        <v>57</v>
      </c>
      <c r="B51" s="20">
        <v>4</v>
      </c>
      <c r="C51" s="20">
        <v>4</v>
      </c>
    </row>
    <row r="52" spans="1:8" x14ac:dyDescent="0.2">
      <c r="A52" s="19" t="s">
        <v>58</v>
      </c>
      <c r="B52" s="20">
        <v>5</v>
      </c>
      <c r="C52" s="20">
        <v>5</v>
      </c>
    </row>
    <row r="53" spans="1:8" x14ac:dyDescent="0.2">
      <c r="A53" s="19"/>
      <c r="B53" s="21"/>
      <c r="C53" s="21"/>
    </row>
    <row r="54" spans="1:8" x14ac:dyDescent="0.2">
      <c r="A54" s="31" t="s">
        <v>174</v>
      </c>
    </row>
    <row r="55" spans="1:8" x14ac:dyDescent="0.2">
      <c r="A55" s="15" t="s">
        <v>175</v>
      </c>
      <c r="B55" s="45">
        <v>0.5</v>
      </c>
      <c r="C55" s="6" t="str">
        <f>IF(B55=1,"places of public assembly with live loads &gt; 100 psf and parking garages","other live loads")</f>
        <v>other live loads</v>
      </c>
    </row>
    <row r="56" spans="1:8" x14ac:dyDescent="0.2">
      <c r="A56" s="15" t="s">
        <v>176</v>
      </c>
      <c r="B56" s="45">
        <v>0.7</v>
      </c>
      <c r="C56" s="6" t="str">
        <f>IF(B56=0.7,"roof configurations that do no shed snow off of the structure","other roof configurations")</f>
        <v>roof configurations that do no shed snow off of the structure</v>
      </c>
    </row>
    <row r="57" spans="1:8" x14ac:dyDescent="0.2">
      <c r="A57" s="15" t="s">
        <v>185</v>
      </c>
      <c r="B57" s="46">
        <v>1</v>
      </c>
      <c r="C57" s="6" t="s">
        <v>187</v>
      </c>
    </row>
    <row r="58" spans="1:8" x14ac:dyDescent="0.2">
      <c r="A58" s="15" t="s">
        <v>189</v>
      </c>
      <c r="B58" s="47">
        <v>0.25</v>
      </c>
      <c r="C58" s="6" t="s">
        <v>190</v>
      </c>
    </row>
    <row r="59" spans="1:8" x14ac:dyDescent="0.2">
      <c r="A59" s="15" t="s">
        <v>186</v>
      </c>
      <c r="B59" s="6" t="s">
        <v>188</v>
      </c>
    </row>
    <row r="60" spans="1:8" x14ac:dyDescent="0.2">
      <c r="A60" s="23" t="s">
        <v>93</v>
      </c>
      <c r="F60" s="6" t="s">
        <v>180</v>
      </c>
    </row>
    <row r="61" spans="1:8" x14ac:dyDescent="0.2">
      <c r="A61" s="15" t="s">
        <v>94</v>
      </c>
      <c r="B61" s="6" t="s">
        <v>159</v>
      </c>
      <c r="F61" s="19" t="s">
        <v>94</v>
      </c>
      <c r="G61" s="19" t="s">
        <v>95</v>
      </c>
      <c r="H61" s="19"/>
    </row>
    <row r="62" spans="1:8" x14ac:dyDescent="0.2">
      <c r="A62" s="15" t="s">
        <v>95</v>
      </c>
      <c r="B62" s="6" t="s">
        <v>160</v>
      </c>
      <c r="F62" s="22">
        <f>w_left_offset_ft</f>
        <v>9.5</v>
      </c>
      <c r="G62" s="22">
        <f>w_left_offset_ft+Lw_ft</f>
        <v>24.5</v>
      </c>
      <c r="H62" s="33" t="s">
        <v>181</v>
      </c>
    </row>
    <row r="63" spans="1:8" x14ac:dyDescent="0.2">
      <c r="B63" s="6" t="s">
        <v>96</v>
      </c>
      <c r="F63" s="22">
        <f>s_left_offset_ft</f>
        <v>7</v>
      </c>
      <c r="G63" s="22">
        <f>s_left_offset_ft+Ls_ft</f>
        <v>27</v>
      </c>
      <c r="H63" s="33" t="s">
        <v>178</v>
      </c>
    </row>
    <row r="64" spans="1:8" x14ac:dyDescent="0.2">
      <c r="B64" s="6" t="s">
        <v>97</v>
      </c>
      <c r="F64" s="22">
        <v>0</v>
      </c>
      <c r="G64" s="22">
        <f>Lf_ft</f>
        <v>30</v>
      </c>
      <c r="H64" s="33" t="s">
        <v>179</v>
      </c>
    </row>
    <row r="65" spans="1:7" x14ac:dyDescent="0.2">
      <c r="B65" s="6" t="s">
        <v>98</v>
      </c>
    </row>
    <row r="66" spans="1:7" x14ac:dyDescent="0.2">
      <c r="B66" s="6" t="s">
        <v>293</v>
      </c>
    </row>
    <row r="67" spans="1:7" ht="36.75" thickBot="1" x14ac:dyDescent="0.25">
      <c r="A67" s="4" t="s">
        <v>99</v>
      </c>
      <c r="B67" s="3" t="s">
        <v>106</v>
      </c>
      <c r="C67" s="3" t="s">
        <v>107</v>
      </c>
      <c r="D67" s="4" t="s">
        <v>100</v>
      </c>
      <c r="E67" s="4" t="s">
        <v>101</v>
      </c>
      <c r="F67" s="4" t="s">
        <v>102</v>
      </c>
      <c r="G67" s="4" t="s">
        <v>103</v>
      </c>
    </row>
    <row r="68" spans="1:7" x14ac:dyDescent="0.2">
      <c r="A68" s="6">
        <v>1</v>
      </c>
      <c r="B68" s="37">
        <v>2.2999999999999998</v>
      </c>
      <c r="C68" s="38">
        <v>0</v>
      </c>
      <c r="D68" s="38">
        <v>9.5</v>
      </c>
      <c r="E68" s="38">
        <v>24.5</v>
      </c>
      <c r="F68" s="26" t="s">
        <v>177</v>
      </c>
      <c r="G68" s="27" t="s">
        <v>104</v>
      </c>
    </row>
    <row r="69" spans="1:7" x14ac:dyDescent="0.2">
      <c r="A69" s="6">
        <v>2</v>
      </c>
      <c r="B69" s="39">
        <v>2.4500000000000002</v>
      </c>
      <c r="C69" s="40">
        <v>0</v>
      </c>
      <c r="D69" s="40">
        <v>9.5</v>
      </c>
      <c r="E69" s="40">
        <v>24.5</v>
      </c>
      <c r="F69" s="25" t="s">
        <v>177</v>
      </c>
      <c r="G69" s="28" t="s">
        <v>170</v>
      </c>
    </row>
    <row r="70" spans="1:7" x14ac:dyDescent="0.2">
      <c r="A70" s="6">
        <v>3</v>
      </c>
      <c r="B70" s="39">
        <v>0.6</v>
      </c>
      <c r="C70" s="40">
        <v>0</v>
      </c>
      <c r="D70" s="40">
        <v>9.5</v>
      </c>
      <c r="E70" s="40">
        <v>24.5</v>
      </c>
      <c r="F70" s="25" t="s">
        <v>177</v>
      </c>
      <c r="G70" s="28" t="s">
        <v>172</v>
      </c>
    </row>
    <row r="71" spans="1:7" x14ac:dyDescent="0.2">
      <c r="A71" s="6">
        <v>4</v>
      </c>
      <c r="B71" s="39">
        <v>0</v>
      </c>
      <c r="C71" s="40">
        <v>0</v>
      </c>
      <c r="D71" s="40">
        <v>0</v>
      </c>
      <c r="E71" s="40">
        <v>0</v>
      </c>
      <c r="F71" s="25" t="s">
        <v>105</v>
      </c>
      <c r="G71" s="28" t="s">
        <v>104</v>
      </c>
    </row>
    <row r="72" spans="1:7" x14ac:dyDescent="0.2">
      <c r="A72" s="6">
        <v>5</v>
      </c>
      <c r="B72" s="39">
        <v>0</v>
      </c>
      <c r="C72" s="40">
        <v>0</v>
      </c>
      <c r="D72" s="40">
        <v>0</v>
      </c>
      <c r="E72" s="40">
        <v>0</v>
      </c>
      <c r="F72" s="25" t="s">
        <v>105</v>
      </c>
      <c r="G72" s="28" t="s">
        <v>104</v>
      </c>
    </row>
    <row r="73" spans="1:7" x14ac:dyDescent="0.2">
      <c r="A73" s="6">
        <v>6</v>
      </c>
      <c r="B73" s="39">
        <v>0</v>
      </c>
      <c r="C73" s="40">
        <v>0</v>
      </c>
      <c r="D73" s="40">
        <v>0</v>
      </c>
      <c r="E73" s="40">
        <v>0</v>
      </c>
      <c r="F73" s="25" t="s">
        <v>105</v>
      </c>
      <c r="G73" s="28" t="s">
        <v>104</v>
      </c>
    </row>
    <row r="74" spans="1:7" x14ac:dyDescent="0.2">
      <c r="A74" s="6">
        <v>7</v>
      </c>
      <c r="B74" s="39">
        <v>0</v>
      </c>
      <c r="C74" s="40">
        <v>0</v>
      </c>
      <c r="D74" s="40">
        <v>0</v>
      </c>
      <c r="E74" s="40">
        <v>0</v>
      </c>
      <c r="F74" s="25" t="s">
        <v>105</v>
      </c>
      <c r="G74" s="28" t="s">
        <v>104</v>
      </c>
    </row>
    <row r="75" spans="1:7" x14ac:dyDescent="0.2">
      <c r="A75" s="6">
        <v>8</v>
      </c>
      <c r="B75" s="39">
        <v>0</v>
      </c>
      <c r="C75" s="40">
        <v>0</v>
      </c>
      <c r="D75" s="40">
        <v>0</v>
      </c>
      <c r="E75" s="40">
        <v>0</v>
      </c>
      <c r="F75" s="25" t="s">
        <v>105</v>
      </c>
      <c r="G75" s="28" t="s">
        <v>104</v>
      </c>
    </row>
    <row r="76" spans="1:7" x14ac:dyDescent="0.2">
      <c r="A76" s="6">
        <v>9</v>
      </c>
      <c r="B76" s="39">
        <v>0</v>
      </c>
      <c r="C76" s="40">
        <v>0</v>
      </c>
      <c r="D76" s="40">
        <v>0</v>
      </c>
      <c r="E76" s="40">
        <v>0</v>
      </c>
      <c r="F76" s="25" t="s">
        <v>105</v>
      </c>
      <c r="G76" s="28" t="s">
        <v>104</v>
      </c>
    </row>
    <row r="77" spans="1:7" x14ac:dyDescent="0.2">
      <c r="A77" s="6">
        <v>10</v>
      </c>
      <c r="B77" s="39">
        <v>0</v>
      </c>
      <c r="C77" s="40">
        <v>0</v>
      </c>
      <c r="D77" s="40">
        <v>0</v>
      </c>
      <c r="E77" s="40">
        <v>0</v>
      </c>
      <c r="F77" s="25" t="s">
        <v>105</v>
      </c>
      <c r="G77" s="28" t="s">
        <v>104</v>
      </c>
    </row>
    <row r="78" spans="1:7" x14ac:dyDescent="0.2">
      <c r="A78" s="6">
        <v>11</v>
      </c>
      <c r="B78" s="39">
        <v>0</v>
      </c>
      <c r="C78" s="40">
        <v>0</v>
      </c>
      <c r="D78" s="40">
        <v>0</v>
      </c>
      <c r="E78" s="40">
        <v>0</v>
      </c>
      <c r="F78" s="25" t="s">
        <v>105</v>
      </c>
      <c r="G78" s="28" t="s">
        <v>104</v>
      </c>
    </row>
    <row r="79" spans="1:7" x14ac:dyDescent="0.2">
      <c r="A79" s="6">
        <v>12</v>
      </c>
      <c r="B79" s="39">
        <v>0</v>
      </c>
      <c r="C79" s="40">
        <v>0</v>
      </c>
      <c r="D79" s="40">
        <v>0</v>
      </c>
      <c r="E79" s="40">
        <v>0</v>
      </c>
      <c r="F79" s="25" t="s">
        <v>105</v>
      </c>
      <c r="G79" s="28" t="s">
        <v>104</v>
      </c>
    </row>
    <row r="80" spans="1:7" x14ac:dyDescent="0.2">
      <c r="A80" s="6">
        <v>13</v>
      </c>
      <c r="B80" s="39">
        <v>0</v>
      </c>
      <c r="C80" s="40">
        <v>0</v>
      </c>
      <c r="D80" s="40">
        <v>0</v>
      </c>
      <c r="E80" s="40">
        <v>0</v>
      </c>
      <c r="F80" s="25" t="s">
        <v>105</v>
      </c>
      <c r="G80" s="28" t="s">
        <v>104</v>
      </c>
    </row>
    <row r="81" spans="1:7" x14ac:dyDescent="0.2">
      <c r="A81" s="6">
        <v>14</v>
      </c>
      <c r="B81" s="39">
        <v>0</v>
      </c>
      <c r="C81" s="40">
        <v>0</v>
      </c>
      <c r="D81" s="40">
        <v>0</v>
      </c>
      <c r="E81" s="40">
        <v>0</v>
      </c>
      <c r="F81" s="25" t="s">
        <v>105</v>
      </c>
      <c r="G81" s="28" t="s">
        <v>104</v>
      </c>
    </row>
    <row r="82" spans="1:7" x14ac:dyDescent="0.2">
      <c r="A82" s="6">
        <v>15</v>
      </c>
      <c r="B82" s="39">
        <v>0</v>
      </c>
      <c r="C82" s="40">
        <v>0</v>
      </c>
      <c r="D82" s="40">
        <v>0</v>
      </c>
      <c r="E82" s="40">
        <v>0</v>
      </c>
      <c r="F82" s="25" t="s">
        <v>105</v>
      </c>
      <c r="G82" s="28" t="s">
        <v>104</v>
      </c>
    </row>
    <row r="83" spans="1:7" x14ac:dyDescent="0.2">
      <c r="A83" s="6">
        <v>16</v>
      </c>
      <c r="B83" s="39">
        <v>0</v>
      </c>
      <c r="C83" s="40">
        <v>0</v>
      </c>
      <c r="D83" s="40">
        <v>0</v>
      </c>
      <c r="E83" s="40">
        <v>0</v>
      </c>
      <c r="F83" s="25" t="s">
        <v>105</v>
      </c>
      <c r="G83" s="28" t="s">
        <v>104</v>
      </c>
    </row>
    <row r="84" spans="1:7" x14ac:dyDescent="0.2">
      <c r="A84" s="6">
        <v>17</v>
      </c>
      <c r="B84" s="39">
        <v>0</v>
      </c>
      <c r="C84" s="40">
        <v>0</v>
      </c>
      <c r="D84" s="40">
        <v>0</v>
      </c>
      <c r="E84" s="40">
        <v>0</v>
      </c>
      <c r="F84" s="25" t="s">
        <v>105</v>
      </c>
      <c r="G84" s="28" t="s">
        <v>104</v>
      </c>
    </row>
    <row r="85" spans="1:7" x14ac:dyDescent="0.2">
      <c r="A85" s="6">
        <v>18</v>
      </c>
      <c r="B85" s="39">
        <v>0</v>
      </c>
      <c r="C85" s="40">
        <v>0</v>
      </c>
      <c r="D85" s="40">
        <v>0</v>
      </c>
      <c r="E85" s="40">
        <v>0</v>
      </c>
      <c r="F85" s="25" t="s">
        <v>105</v>
      </c>
      <c r="G85" s="28" t="s">
        <v>104</v>
      </c>
    </row>
    <row r="86" spans="1:7" x14ac:dyDescent="0.2">
      <c r="A86" s="6">
        <v>19</v>
      </c>
      <c r="B86" s="39">
        <v>0</v>
      </c>
      <c r="C86" s="40">
        <v>0</v>
      </c>
      <c r="D86" s="40">
        <v>0</v>
      </c>
      <c r="E86" s="40">
        <v>0</v>
      </c>
      <c r="F86" s="25" t="s">
        <v>105</v>
      </c>
      <c r="G86" s="28" t="s">
        <v>104</v>
      </c>
    </row>
    <row r="87" spans="1:7" x14ac:dyDescent="0.2">
      <c r="A87" s="6">
        <v>20</v>
      </c>
      <c r="B87" s="39">
        <v>0</v>
      </c>
      <c r="C87" s="40">
        <v>0</v>
      </c>
      <c r="D87" s="40">
        <v>0</v>
      </c>
      <c r="E87" s="40">
        <v>0</v>
      </c>
      <c r="F87" s="25" t="s">
        <v>105</v>
      </c>
      <c r="G87" s="28" t="s">
        <v>104</v>
      </c>
    </row>
    <row r="88" spans="1:7" x14ac:dyDescent="0.2">
      <c r="A88" s="6">
        <v>21</v>
      </c>
      <c r="B88" s="39">
        <v>0</v>
      </c>
      <c r="C88" s="40">
        <v>0</v>
      </c>
      <c r="D88" s="40">
        <v>0</v>
      </c>
      <c r="E88" s="40">
        <v>0</v>
      </c>
      <c r="F88" s="25" t="s">
        <v>105</v>
      </c>
      <c r="G88" s="28" t="s">
        <v>104</v>
      </c>
    </row>
    <row r="89" spans="1:7" x14ac:dyDescent="0.2">
      <c r="A89" s="6">
        <v>22</v>
      </c>
      <c r="B89" s="39">
        <v>0</v>
      </c>
      <c r="C89" s="40">
        <v>0</v>
      </c>
      <c r="D89" s="40">
        <v>0</v>
      </c>
      <c r="E89" s="40">
        <v>0</v>
      </c>
      <c r="F89" s="25" t="s">
        <v>105</v>
      </c>
      <c r="G89" s="28" t="s">
        <v>104</v>
      </c>
    </row>
    <row r="90" spans="1:7" x14ac:dyDescent="0.2">
      <c r="A90" s="6">
        <v>23</v>
      </c>
      <c r="B90" s="39">
        <v>0</v>
      </c>
      <c r="C90" s="40">
        <v>0</v>
      </c>
      <c r="D90" s="40">
        <v>0</v>
      </c>
      <c r="E90" s="40">
        <v>0</v>
      </c>
      <c r="F90" s="25" t="s">
        <v>105</v>
      </c>
      <c r="G90" s="28" t="s">
        <v>104</v>
      </c>
    </row>
    <row r="91" spans="1:7" x14ac:dyDescent="0.2">
      <c r="A91" s="6">
        <v>24</v>
      </c>
      <c r="B91" s="39">
        <v>0</v>
      </c>
      <c r="C91" s="40">
        <v>0</v>
      </c>
      <c r="D91" s="40">
        <v>0</v>
      </c>
      <c r="E91" s="40">
        <v>0</v>
      </c>
      <c r="F91" s="25" t="s">
        <v>105</v>
      </c>
      <c r="G91" s="28" t="s">
        <v>104</v>
      </c>
    </row>
    <row r="92" spans="1:7" x14ac:dyDescent="0.2">
      <c r="A92" s="6">
        <v>25</v>
      </c>
      <c r="B92" s="39">
        <v>0</v>
      </c>
      <c r="C92" s="40">
        <v>0</v>
      </c>
      <c r="D92" s="40">
        <v>0</v>
      </c>
      <c r="E92" s="40">
        <v>0</v>
      </c>
      <c r="F92" s="25" t="s">
        <v>105</v>
      </c>
      <c r="G92" s="28" t="s">
        <v>104</v>
      </c>
    </row>
    <row r="93" spans="1:7" x14ac:dyDescent="0.2">
      <c r="A93" s="6">
        <v>26</v>
      </c>
      <c r="B93" s="39">
        <v>0</v>
      </c>
      <c r="C93" s="40">
        <v>0</v>
      </c>
      <c r="D93" s="40">
        <v>0</v>
      </c>
      <c r="E93" s="40">
        <v>0</v>
      </c>
      <c r="F93" s="25" t="s">
        <v>105</v>
      </c>
      <c r="G93" s="28" t="s">
        <v>104</v>
      </c>
    </row>
    <row r="94" spans="1:7" x14ac:dyDescent="0.2">
      <c r="A94" s="6">
        <v>27</v>
      </c>
      <c r="B94" s="39">
        <v>0</v>
      </c>
      <c r="C94" s="40">
        <v>0</v>
      </c>
      <c r="D94" s="40">
        <v>0</v>
      </c>
      <c r="E94" s="40">
        <v>0</v>
      </c>
      <c r="F94" s="25" t="s">
        <v>105</v>
      </c>
      <c r="G94" s="28" t="s">
        <v>104</v>
      </c>
    </row>
    <row r="95" spans="1:7" x14ac:dyDescent="0.2">
      <c r="A95" s="6">
        <v>28</v>
      </c>
      <c r="B95" s="39">
        <v>0</v>
      </c>
      <c r="C95" s="40">
        <v>0</v>
      </c>
      <c r="D95" s="40">
        <v>0</v>
      </c>
      <c r="E95" s="40">
        <v>0</v>
      </c>
      <c r="F95" s="25" t="s">
        <v>105</v>
      </c>
      <c r="G95" s="28" t="s">
        <v>104</v>
      </c>
    </row>
    <row r="96" spans="1:7" x14ac:dyDescent="0.2">
      <c r="A96" s="6">
        <v>29</v>
      </c>
      <c r="B96" s="39">
        <v>0</v>
      </c>
      <c r="C96" s="40">
        <v>0</v>
      </c>
      <c r="D96" s="40">
        <v>0</v>
      </c>
      <c r="E96" s="40">
        <v>0</v>
      </c>
      <c r="F96" s="25" t="s">
        <v>105</v>
      </c>
      <c r="G96" s="28" t="s">
        <v>104</v>
      </c>
    </row>
    <row r="97" spans="1:7" x14ac:dyDescent="0.2">
      <c r="A97" s="6">
        <v>30</v>
      </c>
      <c r="B97" s="39">
        <v>0</v>
      </c>
      <c r="C97" s="40">
        <v>0</v>
      </c>
      <c r="D97" s="40">
        <v>0</v>
      </c>
      <c r="E97" s="40">
        <v>0</v>
      </c>
      <c r="F97" s="25" t="s">
        <v>105</v>
      </c>
      <c r="G97" s="28" t="s">
        <v>104</v>
      </c>
    </row>
    <row r="98" spans="1:7" x14ac:dyDescent="0.2">
      <c r="A98" s="6">
        <v>31</v>
      </c>
      <c r="B98" s="39">
        <v>0</v>
      </c>
      <c r="C98" s="40">
        <v>0</v>
      </c>
      <c r="D98" s="40">
        <v>0</v>
      </c>
      <c r="E98" s="40">
        <v>0</v>
      </c>
      <c r="F98" s="25" t="s">
        <v>105</v>
      </c>
      <c r="G98" s="28" t="s">
        <v>104</v>
      </c>
    </row>
    <row r="99" spans="1:7" x14ac:dyDescent="0.2">
      <c r="A99" s="6">
        <v>32</v>
      </c>
      <c r="B99" s="39">
        <v>0</v>
      </c>
      <c r="C99" s="40">
        <v>0</v>
      </c>
      <c r="D99" s="40">
        <v>0</v>
      </c>
      <c r="E99" s="40">
        <v>0</v>
      </c>
      <c r="F99" s="25" t="s">
        <v>105</v>
      </c>
      <c r="G99" s="28" t="s">
        <v>104</v>
      </c>
    </row>
    <row r="100" spans="1:7" x14ac:dyDescent="0.2">
      <c r="A100" s="6">
        <v>33</v>
      </c>
      <c r="B100" s="39">
        <v>0</v>
      </c>
      <c r="C100" s="40">
        <v>0</v>
      </c>
      <c r="D100" s="40">
        <v>0</v>
      </c>
      <c r="E100" s="40">
        <v>0</v>
      </c>
      <c r="F100" s="25" t="s">
        <v>105</v>
      </c>
      <c r="G100" s="28" t="s">
        <v>104</v>
      </c>
    </row>
    <row r="101" spans="1:7" x14ac:dyDescent="0.2">
      <c r="A101" s="6">
        <v>34</v>
      </c>
      <c r="B101" s="39">
        <v>0</v>
      </c>
      <c r="C101" s="40">
        <v>0</v>
      </c>
      <c r="D101" s="40">
        <v>0</v>
      </c>
      <c r="E101" s="40">
        <v>0</v>
      </c>
      <c r="F101" s="25" t="s">
        <v>105</v>
      </c>
      <c r="G101" s="28" t="s">
        <v>104</v>
      </c>
    </row>
    <row r="102" spans="1:7" x14ac:dyDescent="0.2">
      <c r="A102" s="6">
        <v>35</v>
      </c>
      <c r="B102" s="39">
        <v>0</v>
      </c>
      <c r="C102" s="40">
        <v>0</v>
      </c>
      <c r="D102" s="40">
        <v>0</v>
      </c>
      <c r="E102" s="40">
        <v>0</v>
      </c>
      <c r="F102" s="25" t="s">
        <v>105</v>
      </c>
      <c r="G102" s="28" t="s">
        <v>104</v>
      </c>
    </row>
    <row r="103" spans="1:7" x14ac:dyDescent="0.2">
      <c r="A103" s="6">
        <v>36</v>
      </c>
      <c r="B103" s="39">
        <v>0</v>
      </c>
      <c r="C103" s="40">
        <v>0</v>
      </c>
      <c r="D103" s="40">
        <v>0</v>
      </c>
      <c r="E103" s="40">
        <v>0</v>
      </c>
      <c r="F103" s="25" t="s">
        <v>105</v>
      </c>
      <c r="G103" s="28" t="s">
        <v>104</v>
      </c>
    </row>
    <row r="104" spans="1:7" x14ac:dyDescent="0.2">
      <c r="A104" s="6">
        <v>37</v>
      </c>
      <c r="B104" s="39">
        <v>0</v>
      </c>
      <c r="C104" s="40">
        <v>0</v>
      </c>
      <c r="D104" s="40">
        <v>0</v>
      </c>
      <c r="E104" s="40">
        <v>0</v>
      </c>
      <c r="F104" s="25" t="s">
        <v>105</v>
      </c>
      <c r="G104" s="28" t="s">
        <v>104</v>
      </c>
    </row>
    <row r="105" spans="1:7" x14ac:dyDescent="0.2">
      <c r="A105" s="6">
        <v>38</v>
      </c>
      <c r="B105" s="39">
        <v>0</v>
      </c>
      <c r="C105" s="40">
        <v>0</v>
      </c>
      <c r="D105" s="40">
        <v>0</v>
      </c>
      <c r="E105" s="40">
        <v>0</v>
      </c>
      <c r="F105" s="25" t="s">
        <v>105</v>
      </c>
      <c r="G105" s="28" t="s">
        <v>104</v>
      </c>
    </row>
    <row r="106" spans="1:7" x14ac:dyDescent="0.2">
      <c r="A106" s="6">
        <v>39</v>
      </c>
      <c r="B106" s="39">
        <v>0</v>
      </c>
      <c r="C106" s="40">
        <v>0</v>
      </c>
      <c r="D106" s="40">
        <v>0</v>
      </c>
      <c r="E106" s="40">
        <v>0</v>
      </c>
      <c r="F106" s="25" t="s">
        <v>105</v>
      </c>
      <c r="G106" s="28" t="s">
        <v>104</v>
      </c>
    </row>
    <row r="107" spans="1:7" ht="12.75" thickBot="1" x14ac:dyDescent="0.25">
      <c r="A107" s="6">
        <v>40</v>
      </c>
      <c r="B107" s="41">
        <v>0</v>
      </c>
      <c r="C107" s="42">
        <v>0</v>
      </c>
      <c r="D107" s="42">
        <v>0</v>
      </c>
      <c r="E107" s="42">
        <v>0</v>
      </c>
      <c r="F107" s="29" t="s">
        <v>105</v>
      </c>
      <c r="G107" s="30" t="s">
        <v>104</v>
      </c>
    </row>
    <row r="117" spans="1:17" x14ac:dyDescent="0.2">
      <c r="A117" s="23" t="s">
        <v>108</v>
      </c>
      <c r="I117" s="31" t="s">
        <v>125</v>
      </c>
    </row>
    <row r="118" spans="1:17" x14ac:dyDescent="0.2">
      <c r="A118" s="6" t="s">
        <v>109</v>
      </c>
      <c r="I118" s="6" t="s">
        <v>126</v>
      </c>
    </row>
    <row r="119" spans="1:17" x14ac:dyDescent="0.2">
      <c r="A119" s="19" t="s">
        <v>113</v>
      </c>
      <c r="B119" s="19" t="s">
        <v>110</v>
      </c>
      <c r="C119" s="19" t="s">
        <v>111</v>
      </c>
      <c r="D119" s="19" t="s">
        <v>112</v>
      </c>
      <c r="E119" s="19" t="s">
        <v>103</v>
      </c>
      <c r="I119" s="6" t="s">
        <v>127</v>
      </c>
    </row>
    <row r="120" spans="1:17" x14ac:dyDescent="0.2">
      <c r="A120" s="44" t="s">
        <v>5</v>
      </c>
      <c r="B120" s="51">
        <f>Bf_ft*Lf_ft*(tf_in/12)*fnd_density_pcf*(1/1000)</f>
        <v>22.837500000000002</v>
      </c>
      <c r="C120" s="51">
        <f>Lf_ft/2</f>
        <v>15</v>
      </c>
      <c r="D120" s="51">
        <f>B120*C120</f>
        <v>342.56250000000006</v>
      </c>
      <c r="E120" s="19" t="s">
        <v>104</v>
      </c>
      <c r="I120" s="6" t="s">
        <v>131</v>
      </c>
    </row>
    <row r="121" spans="1:17" x14ac:dyDescent="0.2">
      <c r="A121" s="44" t="s">
        <v>114</v>
      </c>
      <c r="B121" s="51">
        <f>Hs_ft*Ls_ft*(ts_in/12)*stem_density_pcf*(1/1000)</f>
        <v>4.8333333333333339</v>
      </c>
      <c r="C121" s="51">
        <f>(Ls_ft/2)+s_left_offset_ft</f>
        <v>17</v>
      </c>
      <c r="D121" s="51">
        <f>B121*C121</f>
        <v>82.166666666666671</v>
      </c>
      <c r="E121" s="19" t="s">
        <v>104</v>
      </c>
      <c r="I121" s="6" t="s">
        <v>132</v>
      </c>
    </row>
    <row r="122" spans="1:17" x14ac:dyDescent="0.2">
      <c r="A122" s="44" t="s">
        <v>115</v>
      </c>
      <c r="B122" s="51">
        <f>-1*T_anchor_Wind_kips</f>
        <v>-45.214770158251696</v>
      </c>
      <c r="C122" s="51">
        <f>X_left_anchor_ft</f>
        <v>10.177083333333334</v>
      </c>
      <c r="D122" s="51">
        <f>B122*C122</f>
        <v>-460.1544837980407</v>
      </c>
      <c r="E122" s="19" t="s">
        <v>147</v>
      </c>
      <c r="I122" s="6" t="s">
        <v>133</v>
      </c>
    </row>
    <row r="123" spans="1:17" x14ac:dyDescent="0.2">
      <c r="A123" s="44" t="s">
        <v>116</v>
      </c>
      <c r="B123" s="51">
        <f>C_chord_Wind_kips</f>
        <v>45.214770158251696</v>
      </c>
      <c r="C123" s="51">
        <f>x_right_chord_ft</f>
        <v>24</v>
      </c>
      <c r="D123" s="51">
        <f>B123*C123</f>
        <v>1085.1544837980407</v>
      </c>
      <c r="E123" s="19" t="s">
        <v>147</v>
      </c>
      <c r="I123" s="6" t="s">
        <v>140</v>
      </c>
    </row>
    <row r="124" spans="1:17" ht="24" x14ac:dyDescent="0.2">
      <c r="A124" s="44" t="s">
        <v>151</v>
      </c>
      <c r="B124" s="51">
        <v>0</v>
      </c>
      <c r="C124" s="51">
        <v>0</v>
      </c>
      <c r="D124" s="51">
        <f>V_W_base_kips*((tf_in/12)+Hs_ft)</f>
        <v>52.5</v>
      </c>
      <c r="E124" s="19" t="s">
        <v>147</v>
      </c>
      <c r="F124" s="6" t="s">
        <v>265</v>
      </c>
      <c r="I124" s="19" t="s">
        <v>128</v>
      </c>
      <c r="J124" s="35" t="s">
        <v>129</v>
      </c>
      <c r="K124" s="35" t="s">
        <v>130</v>
      </c>
      <c r="L124" s="35" t="s">
        <v>134</v>
      </c>
      <c r="M124" s="35" t="s">
        <v>135</v>
      </c>
      <c r="N124" s="35" t="s">
        <v>136</v>
      </c>
      <c r="O124" s="35" t="s">
        <v>137</v>
      </c>
      <c r="P124" s="35" t="s">
        <v>138</v>
      </c>
      <c r="Q124" s="35" t="s">
        <v>139</v>
      </c>
    </row>
    <row r="125" spans="1:17" x14ac:dyDescent="0.2">
      <c r="A125" s="44" t="s">
        <v>148</v>
      </c>
      <c r="B125" s="51">
        <f>-1*T_anchor_Wind_kips</f>
        <v>-45.214770158251696</v>
      </c>
      <c r="C125" s="51">
        <f>x_right_anchor_ft</f>
        <v>23.822916666666668</v>
      </c>
      <c r="D125" s="51">
        <f>B125*C125</f>
        <v>-1077.1477015825171</v>
      </c>
      <c r="E125" s="19" t="s">
        <v>152</v>
      </c>
      <c r="I125" s="36">
        <v>5</v>
      </c>
      <c r="J125" s="51">
        <f>L5_W_kips</f>
        <v>5</v>
      </c>
      <c r="K125" s="51">
        <f>J125*Lift_5_H_ft</f>
        <v>50</v>
      </c>
      <c r="L125" s="51">
        <f>(K125/L_chord_to_anchor_ft)</f>
        <v>3.6171816126601359</v>
      </c>
      <c r="M125" s="51">
        <f>L125</f>
        <v>3.6171816126601359</v>
      </c>
      <c r="N125" s="51">
        <f>L5_EQ_kips</f>
        <v>5</v>
      </c>
      <c r="O125" s="51">
        <f>N125*Lift_5_H_ft</f>
        <v>50</v>
      </c>
      <c r="P125" s="51">
        <f>(O125/L_chord_to_anchor_ft)</f>
        <v>3.6171816126601359</v>
      </c>
      <c r="Q125" s="51">
        <f>P125</f>
        <v>3.6171816126601359</v>
      </c>
    </row>
    <row r="126" spans="1:17" x14ac:dyDescent="0.2">
      <c r="A126" s="44" t="s">
        <v>149</v>
      </c>
      <c r="B126" s="51">
        <f>C_chord_Wind_kips</f>
        <v>45.214770158251696</v>
      </c>
      <c r="C126" s="51">
        <f>X_left_chord_ft</f>
        <v>10</v>
      </c>
      <c r="D126" s="51">
        <f>B126*C126</f>
        <v>452.14770158251696</v>
      </c>
      <c r="E126" s="19" t="s">
        <v>152</v>
      </c>
      <c r="I126" s="36">
        <v>4</v>
      </c>
      <c r="J126" s="51">
        <f>L5_W_kips+L4_W_kips</f>
        <v>9</v>
      </c>
      <c r="K126" s="51">
        <f>J126*Lift_4_h_ft</f>
        <v>90</v>
      </c>
      <c r="L126" s="51">
        <f>(K126/L_chord_to_anchor_ft)+L125</f>
        <v>10.12810851544838</v>
      </c>
      <c r="M126" s="51">
        <f>L126</f>
        <v>10.12810851544838</v>
      </c>
      <c r="N126" s="51">
        <f>L5_EQ_kips+L4_EQ_kips</f>
        <v>9</v>
      </c>
      <c r="O126" s="51">
        <f>N126*Lift_4_h_ft</f>
        <v>90</v>
      </c>
      <c r="P126" s="51">
        <f>(O126/L_chord_to_anchor_ft)+P125</f>
        <v>10.12810851544838</v>
      </c>
      <c r="Q126" s="51">
        <f>P126</f>
        <v>10.12810851544838</v>
      </c>
    </row>
    <row r="127" spans="1:17" x14ac:dyDescent="0.2">
      <c r="A127" s="44" t="s">
        <v>150</v>
      </c>
      <c r="B127" s="51">
        <v>0</v>
      </c>
      <c r="C127" s="51">
        <v>0</v>
      </c>
      <c r="D127" s="51">
        <f>D124*-1</f>
        <v>-52.5</v>
      </c>
      <c r="E127" s="19" t="s">
        <v>152</v>
      </c>
      <c r="F127" s="6" t="s">
        <v>265</v>
      </c>
      <c r="I127" s="36">
        <v>3</v>
      </c>
      <c r="J127" s="51">
        <f>L5_W_kips+L4_W_kips+L3_W_kips</f>
        <v>12</v>
      </c>
      <c r="K127" s="51">
        <f>J127*Lift_3_H_ft</f>
        <v>120</v>
      </c>
      <c r="L127" s="51">
        <f>(K127/L_chord_to_anchor_ft)+L126</f>
        <v>18.809344385832706</v>
      </c>
      <c r="M127" s="51">
        <f>L127</f>
        <v>18.809344385832706</v>
      </c>
      <c r="N127" s="51">
        <f>L5_EQ_kips+L4_EQ_kips+L3_EQ_kips</f>
        <v>12</v>
      </c>
      <c r="O127" s="51">
        <f>N127*Lift_3_H_ft</f>
        <v>120</v>
      </c>
      <c r="P127" s="51">
        <f>(O127/L_chord_to_anchor_ft)+P126</f>
        <v>18.809344385832706</v>
      </c>
      <c r="Q127" s="51">
        <f>P127</f>
        <v>18.809344385832706</v>
      </c>
    </row>
    <row r="128" spans="1:17" ht="12.75" thickBot="1" x14ac:dyDescent="0.25">
      <c r="A128" s="44" t="s">
        <v>153</v>
      </c>
      <c r="B128" s="51">
        <f>-1*T_anchor_EQ_kips</f>
        <v>-45.214770158251696</v>
      </c>
      <c r="C128" s="51">
        <f>X_left_anchor_ft</f>
        <v>10.177083333333334</v>
      </c>
      <c r="D128" s="51">
        <f>C128*B128</f>
        <v>-460.1544837980407</v>
      </c>
      <c r="E128" s="19" t="s">
        <v>161</v>
      </c>
      <c r="I128" s="36">
        <v>2</v>
      </c>
      <c r="J128" s="51">
        <f>L5_W_kips+L4_W_kips+L3_W_kips+L2_W_kips</f>
        <v>14</v>
      </c>
      <c r="K128" s="51">
        <f>J128*Lift_2_H_ft</f>
        <v>140</v>
      </c>
      <c r="L128" s="51">
        <f>(K128/L_chord_to_anchor_ft)+L127</f>
        <v>28.937452901281084</v>
      </c>
      <c r="M128" s="51">
        <f>L128</f>
        <v>28.937452901281084</v>
      </c>
      <c r="N128" s="51">
        <f>L5_EQ_kips+L4_EQ_kips+L3_EQ_kips+L2_EQ_kips</f>
        <v>14</v>
      </c>
      <c r="O128" s="51">
        <f>N128*Lift_2_H_ft</f>
        <v>140</v>
      </c>
      <c r="P128" s="51">
        <f>(O128/L_chord_to_anchor_ft)+P127</f>
        <v>28.937452901281084</v>
      </c>
      <c r="Q128" s="51">
        <f>P128</f>
        <v>28.937452901281084</v>
      </c>
    </row>
    <row r="129" spans="1:17" ht="12.75" thickBot="1" x14ac:dyDescent="0.25">
      <c r="A129" s="44" t="s">
        <v>154</v>
      </c>
      <c r="B129" s="51">
        <f>C_chord_EQ_kips</f>
        <v>45.214770158251696</v>
      </c>
      <c r="C129" s="51">
        <f>x_right_chord_ft</f>
        <v>24</v>
      </c>
      <c r="D129" s="51">
        <f t="shared" ref="D129:D132" si="0">C129*B129</f>
        <v>1085.1544837980407</v>
      </c>
      <c r="E129" s="19" t="s">
        <v>161</v>
      </c>
      <c r="I129" s="36">
        <v>1</v>
      </c>
      <c r="J129" s="52">
        <f>L5_W_kips+L4_W_kips+L3_W_kips+L2_W_kips+L1_W_kips</f>
        <v>15</v>
      </c>
      <c r="K129" s="51">
        <f>J129*Lift_1_H_ft</f>
        <v>225</v>
      </c>
      <c r="L129" s="52">
        <f>(K129/L_chord_to_anchor_ft)+L128</f>
        <v>45.214770158251696</v>
      </c>
      <c r="M129" s="52">
        <f>L129</f>
        <v>45.214770158251696</v>
      </c>
      <c r="N129" s="52">
        <f>L5_EQ_kips+L4_EQ_kips+L3_EQ_kips+L2_EQ_kips+L1_EQ_kips</f>
        <v>15</v>
      </c>
      <c r="O129" s="51">
        <f>N129*Lift_1_H_ft</f>
        <v>225</v>
      </c>
      <c r="P129" s="52">
        <f>(O129/L_chord_to_anchor_ft)+P128</f>
        <v>45.214770158251696</v>
      </c>
      <c r="Q129" s="52">
        <f>P129</f>
        <v>45.214770158251696</v>
      </c>
    </row>
    <row r="130" spans="1:17" x14ac:dyDescent="0.2">
      <c r="A130" s="44" t="s">
        <v>155</v>
      </c>
      <c r="B130" s="51">
        <v>0</v>
      </c>
      <c r="C130" s="51">
        <v>0</v>
      </c>
      <c r="D130" s="51">
        <f>V_EQ_base_kips*((tf_in/12)+Hs_ft)</f>
        <v>52.5</v>
      </c>
      <c r="E130" s="19" t="s">
        <v>161</v>
      </c>
      <c r="F130" s="6" t="s">
        <v>265</v>
      </c>
      <c r="K130" s="51">
        <f>(L5_W_kips*SUM(B28:B32))+(L4_W_kips*SUM(B28:B31))+(L3_W_kips*SUM(B28:B30))+(L2_W_kips*SUM(B28:B29))+(L1_W_kips*Lift_1_H_ft)</f>
        <v>625</v>
      </c>
      <c r="L130" s="51">
        <f>K130/L_chord_to_anchor_ft</f>
        <v>45.214770158251696</v>
      </c>
      <c r="M130" s="6" t="str">
        <f>IF(L130=T_anchor_Wind_kips,"OK","NG")</f>
        <v>OK</v>
      </c>
      <c r="O130" s="51">
        <f>(L5_EQ_kips*SUM(B28:B32))+(L4_EQ_kips*SUM(B28:B31))+(L3_EQ_kips*SUM(B28:B30))+(L2_EQ_kips*SUM(B28:B29))+(L1_EQ_kips*Lift_1_H_ft)</f>
        <v>625</v>
      </c>
      <c r="P130" s="51">
        <f>O130/L_chord_to_anchor_ft</f>
        <v>45.214770158251696</v>
      </c>
      <c r="Q130" s="6" t="str">
        <f>IF(P130=T_anchor_EQ_kips,"OK","NG")</f>
        <v>OK</v>
      </c>
    </row>
    <row r="131" spans="1:17" x14ac:dyDescent="0.2">
      <c r="A131" s="44" t="s">
        <v>156</v>
      </c>
      <c r="B131" s="51">
        <f>-1*T_anchor_EQ_kips</f>
        <v>-45.214770158251696</v>
      </c>
      <c r="C131" s="51">
        <f>x_right_anchor_ft</f>
        <v>23.822916666666668</v>
      </c>
      <c r="D131" s="51">
        <f t="shared" si="0"/>
        <v>-1077.1477015825171</v>
      </c>
      <c r="E131" s="19" t="s">
        <v>162</v>
      </c>
      <c r="L131" s="6" t="s">
        <v>288</v>
      </c>
    </row>
    <row r="132" spans="1:17" x14ac:dyDescent="0.2">
      <c r="A132" s="44" t="s">
        <v>157</v>
      </c>
      <c r="B132" s="51">
        <f>C_chord_EQ_kips</f>
        <v>45.214770158251696</v>
      </c>
      <c r="C132" s="51">
        <f>X_left_chord_ft</f>
        <v>10</v>
      </c>
      <c r="D132" s="51">
        <f t="shared" si="0"/>
        <v>452.14770158251696</v>
      </c>
      <c r="E132" s="19" t="s">
        <v>162</v>
      </c>
      <c r="L132" s="6" t="s">
        <v>275</v>
      </c>
    </row>
    <row r="133" spans="1:17" x14ac:dyDescent="0.2">
      <c r="A133" s="44" t="s">
        <v>158</v>
      </c>
      <c r="B133" s="51">
        <v>0</v>
      </c>
      <c r="C133" s="51">
        <v>0</v>
      </c>
      <c r="D133" s="51">
        <f>D130*-1</f>
        <v>-52.5</v>
      </c>
      <c r="E133" s="19" t="s">
        <v>162</v>
      </c>
      <c r="F133" s="6" t="s">
        <v>265</v>
      </c>
      <c r="I133" s="31" t="s">
        <v>141</v>
      </c>
    </row>
    <row r="134" spans="1:17" x14ac:dyDescent="0.2">
      <c r="A134" s="44" t="s">
        <v>163</v>
      </c>
      <c r="B134" s="22">
        <f>(Bf_ft*Lf_ft*Hoverburden_ft*soil_density_pcf)*(1/1000)</f>
        <v>23.1</v>
      </c>
      <c r="C134" s="22">
        <f>Lf_ft/2</f>
        <v>15</v>
      </c>
      <c r="D134" s="22">
        <f>C134*B134</f>
        <v>346.5</v>
      </c>
      <c r="E134" s="19" t="s">
        <v>104</v>
      </c>
      <c r="F134" s="6" t="s">
        <v>165</v>
      </c>
      <c r="J134" s="19" t="s">
        <v>53</v>
      </c>
      <c r="K134" s="19"/>
      <c r="L134" s="19" t="s">
        <v>144</v>
      </c>
      <c r="M134" s="19"/>
    </row>
    <row r="135" spans="1:17" x14ac:dyDescent="0.2">
      <c r="A135" s="44" t="s">
        <v>166</v>
      </c>
      <c r="B135" s="22">
        <f>((ts_in/12)*Ls_ft*Hoverburden_ft*soil_density_pcf)*(1/1000)*-1</f>
        <v>-3.666666666666667</v>
      </c>
      <c r="C135" s="22">
        <f>s_left_offset_ft+(Ls_ft/2)</f>
        <v>17</v>
      </c>
      <c r="D135" s="22">
        <f>B135*C135</f>
        <v>-62.333333333333336</v>
      </c>
      <c r="E135" s="19" t="s">
        <v>104</v>
      </c>
      <c r="F135" s="6" t="s">
        <v>167</v>
      </c>
      <c r="I135" s="19" t="s">
        <v>128</v>
      </c>
      <c r="J135" s="19" t="s">
        <v>142</v>
      </c>
      <c r="K135" s="19" t="s">
        <v>143</v>
      </c>
      <c r="L135" s="19" t="s">
        <v>142</v>
      </c>
      <c r="M135" s="19" t="s">
        <v>143</v>
      </c>
    </row>
    <row r="136" spans="1:17" x14ac:dyDescent="0.2">
      <c r="A136" s="43">
        <f>A68</f>
        <v>1</v>
      </c>
      <c r="B136" s="51">
        <f>IF(OR(F68="N/A",F68="Moment"),0,IF(F68="POINT",B68,IF(F68="UDL",B68*(E68-D68),0.5*(B68+C68)*(E68-D68))))</f>
        <v>34.5</v>
      </c>
      <c r="C136" s="51">
        <f>IF(OR(F68="N/A",F68="MOMENT"),0,IF(F68="POINT",D68,IF(F68="UDL",D68+((E68-D68)/2), (((D68+(2*E68))/(3*(D68+E68)))*(E68-D68))+D68)))</f>
        <v>17</v>
      </c>
      <c r="D136" s="51">
        <f>IF(F68="MOMENT",B68,C136*B136)</f>
        <v>586.5</v>
      </c>
      <c r="E136" s="19" t="str">
        <f>G68</f>
        <v>D</v>
      </c>
      <c r="I136" s="36">
        <v>5</v>
      </c>
      <c r="J136" s="51">
        <f>(J125/Lw_ft)*1000</f>
        <v>333.33333333333331</v>
      </c>
      <c r="K136" s="51">
        <f>(N125/Lw_ft)*1000</f>
        <v>333.33333333333331</v>
      </c>
      <c r="L136" s="51">
        <f>J136*0.6</f>
        <v>199.99999999999997</v>
      </c>
      <c r="M136" s="51">
        <f>K136*0.7</f>
        <v>233.33333333333331</v>
      </c>
    </row>
    <row r="137" spans="1:17" x14ac:dyDescent="0.2">
      <c r="A137" s="43">
        <f t="shared" ref="A137:A175" si="1">A69</f>
        <v>2</v>
      </c>
      <c r="B137" s="51">
        <f t="shared" ref="B137:B175" si="2">IF(OR(F69="N/A",F69="Moment"),0,IF(F69="POINT",B69,IF(F69="UDL",B69*(E69-D69),0.5*(B69+C69)*(E69-D69))))</f>
        <v>36.75</v>
      </c>
      <c r="C137" s="51">
        <f t="shared" ref="C137:C175" si="3">IF(OR(F69="N/A",F69="MOMENT"),0,IF(F69="POINT",D69,IF(F69="UDL",D69+((E69-D69)/2), (((D69+(2*E69))/(3*(D69+E69)))*(E69-D69))+D69)))</f>
        <v>17</v>
      </c>
      <c r="D137" s="51">
        <f t="shared" ref="D137:D175" si="4">IF(F69="MOMENT",B69,C137*B137)</f>
        <v>624.75</v>
      </c>
      <c r="E137" s="19" t="str">
        <f t="shared" ref="E137:E175" si="5">G69</f>
        <v>L</v>
      </c>
      <c r="F137" s="21"/>
      <c r="I137" s="36">
        <v>4</v>
      </c>
      <c r="J137" s="51">
        <f>(J126/Lw_ft)*1000</f>
        <v>600</v>
      </c>
      <c r="K137" s="51">
        <f>(N126/Lw_ft)*1000</f>
        <v>600</v>
      </c>
      <c r="L137" s="51">
        <f t="shared" ref="L137:L140" si="6">J137*0.6</f>
        <v>360</v>
      </c>
      <c r="M137" s="51">
        <f t="shared" ref="M137:M140" si="7">K137*0.7</f>
        <v>420</v>
      </c>
    </row>
    <row r="138" spans="1:17" x14ac:dyDescent="0.2">
      <c r="A138" s="43">
        <f t="shared" si="1"/>
        <v>3</v>
      </c>
      <c r="B138" s="51">
        <f t="shared" si="2"/>
        <v>9</v>
      </c>
      <c r="C138" s="51">
        <f t="shared" si="3"/>
        <v>17</v>
      </c>
      <c r="D138" s="51">
        <f t="shared" si="4"/>
        <v>153</v>
      </c>
      <c r="E138" s="19" t="str">
        <f t="shared" si="5"/>
        <v>S</v>
      </c>
      <c r="I138" s="36">
        <v>3</v>
      </c>
      <c r="J138" s="51">
        <f>(J127/Lw_ft)*1000</f>
        <v>800</v>
      </c>
      <c r="K138" s="51">
        <f>(N127/Lw_ft)*1000</f>
        <v>800</v>
      </c>
      <c r="L138" s="51">
        <f t="shared" si="6"/>
        <v>480</v>
      </c>
      <c r="M138" s="51">
        <f t="shared" si="7"/>
        <v>560</v>
      </c>
    </row>
    <row r="139" spans="1:17" x14ac:dyDescent="0.2">
      <c r="A139" s="43">
        <f t="shared" si="1"/>
        <v>4</v>
      </c>
      <c r="B139" s="51">
        <f t="shared" si="2"/>
        <v>0</v>
      </c>
      <c r="C139" s="51">
        <f t="shared" si="3"/>
        <v>0</v>
      </c>
      <c r="D139" s="51">
        <f t="shared" si="4"/>
        <v>0</v>
      </c>
      <c r="E139" s="19" t="str">
        <f t="shared" si="5"/>
        <v>D</v>
      </c>
      <c r="I139" s="36">
        <v>2</v>
      </c>
      <c r="J139" s="51">
        <f>(J128/Lw_ft)*1000</f>
        <v>933.33333333333337</v>
      </c>
      <c r="K139" s="51">
        <f>(N128/Lw_ft)*1000</f>
        <v>933.33333333333337</v>
      </c>
      <c r="L139" s="51">
        <f t="shared" si="6"/>
        <v>560</v>
      </c>
      <c r="M139" s="51">
        <f t="shared" si="7"/>
        <v>653.33333333333337</v>
      </c>
    </row>
    <row r="140" spans="1:17" x14ac:dyDescent="0.2">
      <c r="A140" s="43">
        <f t="shared" si="1"/>
        <v>5</v>
      </c>
      <c r="B140" s="51">
        <f t="shared" si="2"/>
        <v>0</v>
      </c>
      <c r="C140" s="51">
        <f t="shared" si="3"/>
        <v>0</v>
      </c>
      <c r="D140" s="51">
        <f t="shared" si="4"/>
        <v>0</v>
      </c>
      <c r="E140" s="19" t="str">
        <f t="shared" si="5"/>
        <v>D</v>
      </c>
      <c r="I140" s="36">
        <v>1</v>
      </c>
      <c r="J140" s="51">
        <f>(J129/Lw_ft)*1000</f>
        <v>1000</v>
      </c>
      <c r="K140" s="51">
        <f>(N129/Lw_ft)*1000</f>
        <v>1000</v>
      </c>
      <c r="L140" s="51">
        <f t="shared" si="6"/>
        <v>600</v>
      </c>
      <c r="M140" s="51">
        <f t="shared" si="7"/>
        <v>700</v>
      </c>
    </row>
    <row r="141" spans="1:17" x14ac:dyDescent="0.2">
      <c r="A141" s="43">
        <f t="shared" si="1"/>
        <v>6</v>
      </c>
      <c r="B141" s="51">
        <f t="shared" si="2"/>
        <v>0</v>
      </c>
      <c r="C141" s="51">
        <f t="shared" si="3"/>
        <v>0</v>
      </c>
      <c r="D141" s="51">
        <f t="shared" si="4"/>
        <v>0</v>
      </c>
      <c r="E141" s="19" t="str">
        <f t="shared" si="5"/>
        <v>D</v>
      </c>
    </row>
    <row r="142" spans="1:17" x14ac:dyDescent="0.2">
      <c r="A142" s="43">
        <f t="shared" si="1"/>
        <v>7</v>
      </c>
      <c r="B142" s="51">
        <f t="shared" si="2"/>
        <v>0</v>
      </c>
      <c r="C142" s="51">
        <f t="shared" si="3"/>
        <v>0</v>
      </c>
      <c r="D142" s="51">
        <f t="shared" si="4"/>
        <v>0</v>
      </c>
      <c r="E142" s="19" t="str">
        <f t="shared" si="5"/>
        <v>D</v>
      </c>
    </row>
    <row r="143" spans="1:17" x14ac:dyDescent="0.2">
      <c r="A143" s="43">
        <f t="shared" si="1"/>
        <v>8</v>
      </c>
      <c r="B143" s="51">
        <f t="shared" si="2"/>
        <v>0</v>
      </c>
      <c r="C143" s="51">
        <f t="shared" si="3"/>
        <v>0</v>
      </c>
      <c r="D143" s="51">
        <f t="shared" si="4"/>
        <v>0</v>
      </c>
      <c r="E143" s="19" t="str">
        <f t="shared" si="5"/>
        <v>D</v>
      </c>
    </row>
    <row r="144" spans="1:17" x14ac:dyDescent="0.2">
      <c r="A144" s="43">
        <f t="shared" si="1"/>
        <v>9</v>
      </c>
      <c r="B144" s="51">
        <f t="shared" si="2"/>
        <v>0</v>
      </c>
      <c r="C144" s="51">
        <f t="shared" si="3"/>
        <v>0</v>
      </c>
      <c r="D144" s="51">
        <f t="shared" si="4"/>
        <v>0</v>
      </c>
      <c r="E144" s="19" t="str">
        <f t="shared" si="5"/>
        <v>D</v>
      </c>
    </row>
    <row r="145" spans="1:10" x14ac:dyDescent="0.2">
      <c r="A145" s="43">
        <f t="shared" si="1"/>
        <v>10</v>
      </c>
      <c r="B145" s="51">
        <f t="shared" si="2"/>
        <v>0</v>
      </c>
      <c r="C145" s="51">
        <f t="shared" si="3"/>
        <v>0</v>
      </c>
      <c r="D145" s="51">
        <f t="shared" si="4"/>
        <v>0</v>
      </c>
      <c r="E145" s="19" t="str">
        <f t="shared" si="5"/>
        <v>D</v>
      </c>
    </row>
    <row r="146" spans="1:10" x14ac:dyDescent="0.2">
      <c r="A146" s="43">
        <f t="shared" si="1"/>
        <v>11</v>
      </c>
      <c r="B146" s="51">
        <f t="shared" si="2"/>
        <v>0</v>
      </c>
      <c r="C146" s="51">
        <f t="shared" si="3"/>
        <v>0</v>
      </c>
      <c r="D146" s="51">
        <f t="shared" si="4"/>
        <v>0</v>
      </c>
      <c r="E146" s="19" t="str">
        <f t="shared" si="5"/>
        <v>D</v>
      </c>
    </row>
    <row r="147" spans="1:10" x14ac:dyDescent="0.2">
      <c r="A147" s="43">
        <f t="shared" si="1"/>
        <v>12</v>
      </c>
      <c r="B147" s="51">
        <f t="shared" si="2"/>
        <v>0</v>
      </c>
      <c r="C147" s="51">
        <f t="shared" si="3"/>
        <v>0</v>
      </c>
      <c r="D147" s="51">
        <f t="shared" si="4"/>
        <v>0</v>
      </c>
      <c r="E147" s="19" t="str">
        <f t="shared" si="5"/>
        <v>D</v>
      </c>
      <c r="I147" s="31" t="s">
        <v>145</v>
      </c>
    </row>
    <row r="148" spans="1:10" x14ac:dyDescent="0.2">
      <c r="A148" s="43">
        <f t="shared" si="1"/>
        <v>13</v>
      </c>
      <c r="B148" s="51">
        <f t="shared" si="2"/>
        <v>0</v>
      </c>
      <c r="C148" s="51">
        <f t="shared" si="3"/>
        <v>0</v>
      </c>
      <c r="D148" s="51">
        <f t="shared" si="4"/>
        <v>0</v>
      </c>
      <c r="E148" s="19" t="str">
        <f t="shared" si="5"/>
        <v>D</v>
      </c>
      <c r="I148" s="19" t="s">
        <v>128</v>
      </c>
      <c r="J148" s="19" t="s">
        <v>146</v>
      </c>
    </row>
    <row r="149" spans="1:10" x14ac:dyDescent="0.2">
      <c r="A149" s="43">
        <f t="shared" si="1"/>
        <v>14</v>
      </c>
      <c r="B149" s="51">
        <f t="shared" si="2"/>
        <v>0</v>
      </c>
      <c r="C149" s="51">
        <f t="shared" si="3"/>
        <v>0</v>
      </c>
      <c r="D149" s="51">
        <f t="shared" si="4"/>
        <v>0</v>
      </c>
      <c r="E149" s="19" t="str">
        <f t="shared" si="5"/>
        <v>D</v>
      </c>
      <c r="I149" s="36">
        <v>5</v>
      </c>
      <c r="J149" s="51">
        <f>Lift_5_H_ft/Lw_ft</f>
        <v>0.66666666666666663</v>
      </c>
    </row>
    <row r="150" spans="1:10" x14ac:dyDescent="0.2">
      <c r="A150" s="43">
        <f t="shared" si="1"/>
        <v>15</v>
      </c>
      <c r="B150" s="51">
        <f t="shared" si="2"/>
        <v>0</v>
      </c>
      <c r="C150" s="51">
        <f t="shared" si="3"/>
        <v>0</v>
      </c>
      <c r="D150" s="51">
        <f t="shared" si="4"/>
        <v>0</v>
      </c>
      <c r="E150" s="19" t="str">
        <f t="shared" si="5"/>
        <v>D</v>
      </c>
      <c r="I150" s="36">
        <v>4</v>
      </c>
      <c r="J150" s="51">
        <f>Lift_4_h_ft/Lw_ft</f>
        <v>0.66666666666666663</v>
      </c>
    </row>
    <row r="151" spans="1:10" x14ac:dyDescent="0.2">
      <c r="A151" s="43">
        <f t="shared" si="1"/>
        <v>16</v>
      </c>
      <c r="B151" s="51">
        <f t="shared" si="2"/>
        <v>0</v>
      </c>
      <c r="C151" s="51">
        <f t="shared" si="3"/>
        <v>0</v>
      </c>
      <c r="D151" s="51">
        <f t="shared" si="4"/>
        <v>0</v>
      </c>
      <c r="E151" s="19" t="str">
        <f t="shared" si="5"/>
        <v>D</v>
      </c>
      <c r="I151" s="36">
        <v>3</v>
      </c>
      <c r="J151" s="51">
        <f>Lift_3_H_ft/Lw_ft</f>
        <v>0.66666666666666663</v>
      </c>
    </row>
    <row r="152" spans="1:10" x14ac:dyDescent="0.2">
      <c r="A152" s="43">
        <f t="shared" si="1"/>
        <v>17</v>
      </c>
      <c r="B152" s="51">
        <f t="shared" si="2"/>
        <v>0</v>
      </c>
      <c r="C152" s="51">
        <f t="shared" si="3"/>
        <v>0</v>
      </c>
      <c r="D152" s="51">
        <f t="shared" si="4"/>
        <v>0</v>
      </c>
      <c r="E152" s="19" t="str">
        <f t="shared" si="5"/>
        <v>D</v>
      </c>
      <c r="I152" s="36">
        <v>2</v>
      </c>
      <c r="J152" s="51">
        <f>Lift_2_H_ft/Lw_ft</f>
        <v>0.66666666666666663</v>
      </c>
    </row>
    <row r="153" spans="1:10" x14ac:dyDescent="0.2">
      <c r="A153" s="43">
        <f t="shared" si="1"/>
        <v>18</v>
      </c>
      <c r="B153" s="51">
        <f t="shared" si="2"/>
        <v>0</v>
      </c>
      <c r="C153" s="51">
        <f t="shared" si="3"/>
        <v>0</v>
      </c>
      <c r="D153" s="51">
        <f t="shared" si="4"/>
        <v>0</v>
      </c>
      <c r="E153" s="19" t="str">
        <f t="shared" si="5"/>
        <v>D</v>
      </c>
      <c r="I153" s="36">
        <v>1</v>
      </c>
      <c r="J153" s="51">
        <f>Lift_1_H_ft/Lw_ft</f>
        <v>1</v>
      </c>
    </row>
    <row r="154" spans="1:10" x14ac:dyDescent="0.2">
      <c r="A154" s="43">
        <f t="shared" si="1"/>
        <v>19</v>
      </c>
      <c r="B154" s="51">
        <f t="shared" si="2"/>
        <v>0</v>
      </c>
      <c r="C154" s="51">
        <f t="shared" si="3"/>
        <v>0</v>
      </c>
      <c r="D154" s="51">
        <f t="shared" si="4"/>
        <v>0</v>
      </c>
      <c r="E154" s="19" t="str">
        <f t="shared" si="5"/>
        <v>D</v>
      </c>
    </row>
    <row r="155" spans="1:10" x14ac:dyDescent="0.2">
      <c r="A155" s="43">
        <f t="shared" si="1"/>
        <v>20</v>
      </c>
      <c r="B155" s="51">
        <f t="shared" si="2"/>
        <v>0</v>
      </c>
      <c r="C155" s="51">
        <f t="shared" si="3"/>
        <v>0</v>
      </c>
      <c r="D155" s="51">
        <f t="shared" si="4"/>
        <v>0</v>
      </c>
      <c r="E155" s="19" t="str">
        <f t="shared" si="5"/>
        <v>D</v>
      </c>
    </row>
    <row r="156" spans="1:10" x14ac:dyDescent="0.2">
      <c r="A156" s="43">
        <f t="shared" si="1"/>
        <v>21</v>
      </c>
      <c r="B156" s="51">
        <f t="shared" si="2"/>
        <v>0</v>
      </c>
      <c r="C156" s="51">
        <f t="shared" si="3"/>
        <v>0</v>
      </c>
      <c r="D156" s="51">
        <f t="shared" si="4"/>
        <v>0</v>
      </c>
      <c r="E156" s="19" t="str">
        <f t="shared" si="5"/>
        <v>D</v>
      </c>
    </row>
    <row r="157" spans="1:10" x14ac:dyDescent="0.2">
      <c r="A157" s="43">
        <f t="shared" si="1"/>
        <v>22</v>
      </c>
      <c r="B157" s="51">
        <f t="shared" si="2"/>
        <v>0</v>
      </c>
      <c r="C157" s="51">
        <f t="shared" si="3"/>
        <v>0</v>
      </c>
      <c r="D157" s="51">
        <f t="shared" si="4"/>
        <v>0</v>
      </c>
      <c r="E157" s="19" t="str">
        <f t="shared" si="5"/>
        <v>D</v>
      </c>
    </row>
    <row r="158" spans="1:10" x14ac:dyDescent="0.2">
      <c r="A158" s="43">
        <f t="shared" si="1"/>
        <v>23</v>
      </c>
      <c r="B158" s="51">
        <f t="shared" si="2"/>
        <v>0</v>
      </c>
      <c r="C158" s="51">
        <f t="shared" si="3"/>
        <v>0</v>
      </c>
      <c r="D158" s="51">
        <f t="shared" si="4"/>
        <v>0</v>
      </c>
      <c r="E158" s="19" t="str">
        <f t="shared" si="5"/>
        <v>D</v>
      </c>
    </row>
    <row r="159" spans="1:10" x14ac:dyDescent="0.2">
      <c r="A159" s="43">
        <f t="shared" si="1"/>
        <v>24</v>
      </c>
      <c r="B159" s="51">
        <f t="shared" si="2"/>
        <v>0</v>
      </c>
      <c r="C159" s="51">
        <f t="shared" si="3"/>
        <v>0</v>
      </c>
      <c r="D159" s="51">
        <f t="shared" si="4"/>
        <v>0</v>
      </c>
      <c r="E159" s="19" t="str">
        <f t="shared" si="5"/>
        <v>D</v>
      </c>
    </row>
    <row r="160" spans="1:10" x14ac:dyDescent="0.2">
      <c r="A160" s="43">
        <f t="shared" si="1"/>
        <v>25</v>
      </c>
      <c r="B160" s="51">
        <f t="shared" si="2"/>
        <v>0</v>
      </c>
      <c r="C160" s="51">
        <f t="shared" si="3"/>
        <v>0</v>
      </c>
      <c r="D160" s="51">
        <f t="shared" si="4"/>
        <v>0</v>
      </c>
      <c r="E160" s="19" t="str">
        <f t="shared" si="5"/>
        <v>D</v>
      </c>
    </row>
    <row r="161" spans="1:9" x14ac:dyDescent="0.2">
      <c r="A161" s="43">
        <f t="shared" si="1"/>
        <v>26</v>
      </c>
      <c r="B161" s="51">
        <f t="shared" si="2"/>
        <v>0</v>
      </c>
      <c r="C161" s="51">
        <f t="shared" si="3"/>
        <v>0</v>
      </c>
      <c r="D161" s="51">
        <f t="shared" si="4"/>
        <v>0</v>
      </c>
      <c r="E161" s="19" t="str">
        <f t="shared" si="5"/>
        <v>D</v>
      </c>
    </row>
    <row r="162" spans="1:9" x14ac:dyDescent="0.2">
      <c r="A162" s="43">
        <f t="shared" si="1"/>
        <v>27</v>
      </c>
      <c r="B162" s="51">
        <f t="shared" si="2"/>
        <v>0</v>
      </c>
      <c r="C162" s="51">
        <f t="shared" si="3"/>
        <v>0</v>
      </c>
      <c r="D162" s="51">
        <f t="shared" si="4"/>
        <v>0</v>
      </c>
      <c r="E162" s="19" t="str">
        <f t="shared" si="5"/>
        <v>D</v>
      </c>
    </row>
    <row r="163" spans="1:9" x14ac:dyDescent="0.2">
      <c r="A163" s="43">
        <f t="shared" si="1"/>
        <v>28</v>
      </c>
      <c r="B163" s="51">
        <f t="shared" si="2"/>
        <v>0</v>
      </c>
      <c r="C163" s="51">
        <f t="shared" si="3"/>
        <v>0</v>
      </c>
      <c r="D163" s="51">
        <f t="shared" si="4"/>
        <v>0</v>
      </c>
      <c r="E163" s="19" t="str">
        <f t="shared" si="5"/>
        <v>D</v>
      </c>
    </row>
    <row r="164" spans="1:9" x14ac:dyDescent="0.2">
      <c r="A164" s="43">
        <f t="shared" si="1"/>
        <v>29</v>
      </c>
      <c r="B164" s="51">
        <f t="shared" si="2"/>
        <v>0</v>
      </c>
      <c r="C164" s="51">
        <f t="shared" si="3"/>
        <v>0</v>
      </c>
      <c r="D164" s="51">
        <f t="shared" si="4"/>
        <v>0</v>
      </c>
      <c r="E164" s="19" t="str">
        <f t="shared" si="5"/>
        <v>D</v>
      </c>
    </row>
    <row r="165" spans="1:9" x14ac:dyDescent="0.2">
      <c r="A165" s="43">
        <f t="shared" si="1"/>
        <v>30</v>
      </c>
      <c r="B165" s="51">
        <f t="shared" si="2"/>
        <v>0</v>
      </c>
      <c r="C165" s="51">
        <f t="shared" si="3"/>
        <v>0</v>
      </c>
      <c r="D165" s="51">
        <f t="shared" si="4"/>
        <v>0</v>
      </c>
      <c r="E165" s="19" t="str">
        <f t="shared" si="5"/>
        <v>D</v>
      </c>
    </row>
    <row r="166" spans="1:9" x14ac:dyDescent="0.2">
      <c r="A166" s="43">
        <f t="shared" si="1"/>
        <v>31</v>
      </c>
      <c r="B166" s="51">
        <f t="shared" si="2"/>
        <v>0</v>
      </c>
      <c r="C166" s="51">
        <f t="shared" si="3"/>
        <v>0</v>
      </c>
      <c r="D166" s="51">
        <f t="shared" si="4"/>
        <v>0</v>
      </c>
      <c r="E166" s="19" t="str">
        <f t="shared" si="5"/>
        <v>D</v>
      </c>
    </row>
    <row r="167" spans="1:9" x14ac:dyDescent="0.2">
      <c r="A167" s="43">
        <f t="shared" si="1"/>
        <v>32</v>
      </c>
      <c r="B167" s="51">
        <f t="shared" si="2"/>
        <v>0</v>
      </c>
      <c r="C167" s="51">
        <f t="shared" si="3"/>
        <v>0</v>
      </c>
      <c r="D167" s="51">
        <f t="shared" si="4"/>
        <v>0</v>
      </c>
      <c r="E167" s="19" t="str">
        <f t="shared" si="5"/>
        <v>D</v>
      </c>
    </row>
    <row r="168" spans="1:9" x14ac:dyDescent="0.2">
      <c r="A168" s="43">
        <f t="shared" si="1"/>
        <v>33</v>
      </c>
      <c r="B168" s="51">
        <f t="shared" si="2"/>
        <v>0</v>
      </c>
      <c r="C168" s="51">
        <f t="shared" si="3"/>
        <v>0</v>
      </c>
      <c r="D168" s="51">
        <f t="shared" si="4"/>
        <v>0</v>
      </c>
      <c r="E168" s="19" t="str">
        <f t="shared" si="5"/>
        <v>D</v>
      </c>
    </row>
    <row r="169" spans="1:9" x14ac:dyDescent="0.2">
      <c r="A169" s="43">
        <f t="shared" si="1"/>
        <v>34</v>
      </c>
      <c r="B169" s="51">
        <f t="shared" si="2"/>
        <v>0</v>
      </c>
      <c r="C169" s="51">
        <f t="shared" si="3"/>
        <v>0</v>
      </c>
      <c r="D169" s="51">
        <f t="shared" si="4"/>
        <v>0</v>
      </c>
      <c r="E169" s="19" t="str">
        <f t="shared" si="5"/>
        <v>D</v>
      </c>
    </row>
    <row r="170" spans="1:9" x14ac:dyDescent="0.2">
      <c r="A170" s="43">
        <f t="shared" si="1"/>
        <v>35</v>
      </c>
      <c r="B170" s="51">
        <f t="shared" si="2"/>
        <v>0</v>
      </c>
      <c r="C170" s="51">
        <f t="shared" si="3"/>
        <v>0</v>
      </c>
      <c r="D170" s="51">
        <f t="shared" si="4"/>
        <v>0</v>
      </c>
      <c r="E170" s="19" t="str">
        <f t="shared" si="5"/>
        <v>D</v>
      </c>
    </row>
    <row r="171" spans="1:9" x14ac:dyDescent="0.2">
      <c r="A171" s="43">
        <f t="shared" si="1"/>
        <v>36</v>
      </c>
      <c r="B171" s="51">
        <f t="shared" si="2"/>
        <v>0</v>
      </c>
      <c r="C171" s="51">
        <f t="shared" si="3"/>
        <v>0</v>
      </c>
      <c r="D171" s="51">
        <f t="shared" si="4"/>
        <v>0</v>
      </c>
      <c r="E171" s="19" t="str">
        <f t="shared" si="5"/>
        <v>D</v>
      </c>
    </row>
    <row r="172" spans="1:9" x14ac:dyDescent="0.2">
      <c r="A172" s="43">
        <f t="shared" si="1"/>
        <v>37</v>
      </c>
      <c r="B172" s="51">
        <f t="shared" si="2"/>
        <v>0</v>
      </c>
      <c r="C172" s="51">
        <f t="shared" si="3"/>
        <v>0</v>
      </c>
      <c r="D172" s="51">
        <f t="shared" si="4"/>
        <v>0</v>
      </c>
      <c r="E172" s="19" t="str">
        <f t="shared" si="5"/>
        <v>D</v>
      </c>
    </row>
    <row r="173" spans="1:9" x14ac:dyDescent="0.2">
      <c r="A173" s="43">
        <f t="shared" si="1"/>
        <v>38</v>
      </c>
      <c r="B173" s="51">
        <f t="shared" si="2"/>
        <v>0</v>
      </c>
      <c r="C173" s="51">
        <f t="shared" si="3"/>
        <v>0</v>
      </c>
      <c r="D173" s="51">
        <f t="shared" si="4"/>
        <v>0</v>
      </c>
      <c r="E173" s="19" t="str">
        <f t="shared" si="5"/>
        <v>D</v>
      </c>
    </row>
    <row r="174" spans="1:9" x14ac:dyDescent="0.2">
      <c r="A174" s="43">
        <f t="shared" si="1"/>
        <v>39</v>
      </c>
      <c r="B174" s="51">
        <f t="shared" si="2"/>
        <v>0</v>
      </c>
      <c r="C174" s="51">
        <f t="shared" si="3"/>
        <v>0</v>
      </c>
      <c r="D174" s="51">
        <f t="shared" si="4"/>
        <v>0</v>
      </c>
      <c r="E174" s="19" t="str">
        <f t="shared" si="5"/>
        <v>D</v>
      </c>
    </row>
    <row r="175" spans="1:9" x14ac:dyDescent="0.2">
      <c r="A175" s="43">
        <f t="shared" si="1"/>
        <v>40</v>
      </c>
      <c r="B175" s="51">
        <f t="shared" si="2"/>
        <v>0</v>
      </c>
      <c r="C175" s="51">
        <f t="shared" si="3"/>
        <v>0</v>
      </c>
      <c r="D175" s="51">
        <f t="shared" si="4"/>
        <v>0</v>
      </c>
      <c r="E175" s="19" t="str">
        <f t="shared" si="5"/>
        <v>D</v>
      </c>
      <c r="I175" s="31"/>
    </row>
    <row r="176" spans="1:9" x14ac:dyDescent="0.2">
      <c r="A176" s="31" t="s">
        <v>219</v>
      </c>
      <c r="I176" s="74"/>
    </row>
    <row r="178" spans="1:8" x14ac:dyDescent="0.2">
      <c r="A178" s="19" t="s">
        <v>168</v>
      </c>
      <c r="B178" s="19" t="s">
        <v>110</v>
      </c>
      <c r="C178" s="19" t="s">
        <v>183</v>
      </c>
      <c r="D178" s="19" t="s">
        <v>184</v>
      </c>
    </row>
    <row r="179" spans="1:8" x14ac:dyDescent="0.2">
      <c r="A179" s="19" t="s">
        <v>104</v>
      </c>
      <c r="B179" s="51">
        <f>SUMIF($E$120:$E$175,A179,$B$120:$B$175)</f>
        <v>81.604166666666671</v>
      </c>
      <c r="C179" s="51">
        <f>SUMIF($E$120:$E$175,A179,$D$120:$D$175)</f>
        <v>1295.3958333333335</v>
      </c>
      <c r="D179" s="51">
        <v>0</v>
      </c>
    </row>
    <row r="180" spans="1:8" x14ac:dyDescent="0.2">
      <c r="A180" s="19" t="s">
        <v>169</v>
      </c>
      <c r="B180" s="51">
        <f t="shared" ref="B180:B189" si="8">SUMIF($E$120:$E$175,A180,$B$120:$B$175)</f>
        <v>0</v>
      </c>
      <c r="C180" s="51">
        <f t="shared" ref="C180:C187" si="9">SUMIF($E$120:$E$175,A180,$D$120:$D$175)</f>
        <v>0</v>
      </c>
      <c r="D180" s="51">
        <v>0</v>
      </c>
    </row>
    <row r="181" spans="1:8" x14ac:dyDescent="0.2">
      <c r="A181" s="19" t="s">
        <v>170</v>
      </c>
      <c r="B181" s="51">
        <f t="shared" si="8"/>
        <v>36.75</v>
      </c>
      <c r="C181" s="51">
        <f t="shared" si="9"/>
        <v>624.75</v>
      </c>
      <c r="D181" s="51">
        <v>0</v>
      </c>
    </row>
    <row r="182" spans="1:8" x14ac:dyDescent="0.2">
      <c r="A182" s="19" t="s">
        <v>164</v>
      </c>
      <c r="B182" s="51">
        <f t="shared" si="8"/>
        <v>0</v>
      </c>
      <c r="C182" s="51">
        <f t="shared" si="9"/>
        <v>0</v>
      </c>
      <c r="D182" s="51">
        <v>0</v>
      </c>
    </row>
    <row r="183" spans="1:8" x14ac:dyDescent="0.2">
      <c r="A183" s="19" t="s">
        <v>171</v>
      </c>
      <c r="B183" s="51">
        <f t="shared" si="8"/>
        <v>0</v>
      </c>
      <c r="C183" s="51">
        <f t="shared" si="9"/>
        <v>0</v>
      </c>
      <c r="D183" s="51">
        <v>0</v>
      </c>
    </row>
    <row r="184" spans="1:8" x14ac:dyDescent="0.2">
      <c r="A184" s="19" t="s">
        <v>172</v>
      </c>
      <c r="B184" s="51">
        <f t="shared" si="8"/>
        <v>9</v>
      </c>
      <c r="C184" s="51">
        <f t="shared" si="9"/>
        <v>153</v>
      </c>
      <c r="D184" s="51">
        <v>0</v>
      </c>
    </row>
    <row r="185" spans="1:8" x14ac:dyDescent="0.2">
      <c r="A185" s="19" t="s">
        <v>173</v>
      </c>
      <c r="B185" s="51">
        <f t="shared" si="8"/>
        <v>0</v>
      </c>
      <c r="C185" s="51">
        <f t="shared" si="9"/>
        <v>0</v>
      </c>
      <c r="D185" s="51">
        <v>0</v>
      </c>
    </row>
    <row r="186" spans="1:8" x14ac:dyDescent="0.2">
      <c r="A186" s="19" t="s">
        <v>147</v>
      </c>
      <c r="B186" s="51">
        <f t="shared" si="8"/>
        <v>0</v>
      </c>
      <c r="C186" s="51">
        <f t="shared" si="9"/>
        <v>677.5</v>
      </c>
      <c r="D186" s="51">
        <f>V_W_base_kips</f>
        <v>15</v>
      </c>
    </row>
    <row r="187" spans="1:8" x14ac:dyDescent="0.2">
      <c r="A187" s="19" t="s">
        <v>152</v>
      </c>
      <c r="B187" s="51">
        <f t="shared" si="8"/>
        <v>0</v>
      </c>
      <c r="C187" s="51">
        <f t="shared" si="9"/>
        <v>-677.50000000000023</v>
      </c>
      <c r="D187" s="51">
        <f>-1*D186</f>
        <v>-15</v>
      </c>
    </row>
    <row r="188" spans="1:8" x14ac:dyDescent="0.2">
      <c r="A188" s="19" t="s">
        <v>161</v>
      </c>
      <c r="B188" s="51">
        <f t="shared" si="8"/>
        <v>0</v>
      </c>
      <c r="C188" s="51">
        <f>SUMIF($E$120:$E$175,A188,$D$120:$D$175)*EQ_rho*(1-EQ_Overturning_Reduction)</f>
        <v>508.125</v>
      </c>
      <c r="D188" s="51">
        <f>V_EQ_base_kips</f>
        <v>15</v>
      </c>
      <c r="E188" s="6" t="s">
        <v>191</v>
      </c>
    </row>
    <row r="189" spans="1:8" x14ac:dyDescent="0.2">
      <c r="A189" s="19" t="s">
        <v>162</v>
      </c>
      <c r="B189" s="51">
        <f t="shared" si="8"/>
        <v>0</v>
      </c>
      <c r="C189" s="51">
        <f>SUMIF($E$120:$E$175,A189,$D$120:$D$175)*EQ_rho*(1-EQ_Overturning_Reduction)</f>
        <v>-508.12500000000017</v>
      </c>
      <c r="D189" s="51">
        <f>-1*D188</f>
        <v>-15</v>
      </c>
      <c r="E189" s="6" t="s">
        <v>191</v>
      </c>
    </row>
    <row r="191" spans="1:8" x14ac:dyDescent="0.2">
      <c r="A191" s="31" t="s">
        <v>192</v>
      </c>
    </row>
    <row r="192" spans="1:8" x14ac:dyDescent="0.2">
      <c r="A192" s="55" t="s">
        <v>193</v>
      </c>
      <c r="B192" s="55" t="s">
        <v>104</v>
      </c>
      <c r="C192" s="55" t="s">
        <v>169</v>
      </c>
      <c r="D192" s="55" t="s">
        <v>170</v>
      </c>
      <c r="E192" s="55" t="s">
        <v>164</v>
      </c>
      <c r="F192" s="55" t="s">
        <v>171</v>
      </c>
      <c r="G192" s="55" t="s">
        <v>172</v>
      </c>
      <c r="H192" s="55" t="s">
        <v>173</v>
      </c>
    </row>
    <row r="193" spans="1:8" x14ac:dyDescent="0.2">
      <c r="A193" s="54" t="s">
        <v>194</v>
      </c>
      <c r="B193" s="62">
        <v>1</v>
      </c>
      <c r="C193" s="62">
        <v>1</v>
      </c>
      <c r="D193" s="62">
        <v>0</v>
      </c>
      <c r="E193" s="62">
        <v>0</v>
      </c>
      <c r="F193" s="62">
        <v>0</v>
      </c>
      <c r="G193" s="62">
        <v>0</v>
      </c>
      <c r="H193" s="62">
        <v>0</v>
      </c>
    </row>
    <row r="194" spans="1:8" x14ac:dyDescent="0.2">
      <c r="A194" s="54" t="s">
        <v>195</v>
      </c>
      <c r="B194" s="62">
        <v>1</v>
      </c>
      <c r="C194" s="62">
        <v>1</v>
      </c>
      <c r="D194" s="62">
        <v>1</v>
      </c>
      <c r="E194" s="62">
        <v>1</v>
      </c>
      <c r="F194" s="62">
        <v>0</v>
      </c>
      <c r="G194" s="62">
        <v>0</v>
      </c>
      <c r="H194" s="62">
        <v>0</v>
      </c>
    </row>
    <row r="195" spans="1:8" x14ac:dyDescent="0.2">
      <c r="A195" s="54" t="s">
        <v>196</v>
      </c>
      <c r="B195" s="62">
        <v>1</v>
      </c>
      <c r="C195" s="62">
        <v>1</v>
      </c>
      <c r="D195" s="62">
        <v>0</v>
      </c>
      <c r="E195" s="62">
        <v>1</v>
      </c>
      <c r="F195" s="62">
        <v>1</v>
      </c>
      <c r="G195" s="62">
        <v>0</v>
      </c>
      <c r="H195" s="62">
        <v>0</v>
      </c>
    </row>
    <row r="196" spans="1:8" x14ac:dyDescent="0.2">
      <c r="A196" s="54" t="s">
        <v>197</v>
      </c>
      <c r="B196" s="62">
        <v>1</v>
      </c>
      <c r="C196" s="62">
        <v>1</v>
      </c>
      <c r="D196" s="62">
        <v>0</v>
      </c>
      <c r="E196" s="62">
        <v>1</v>
      </c>
      <c r="F196" s="62">
        <v>0</v>
      </c>
      <c r="G196" s="62">
        <v>1</v>
      </c>
      <c r="H196" s="62">
        <v>0</v>
      </c>
    </row>
    <row r="197" spans="1:8" x14ac:dyDescent="0.2">
      <c r="A197" s="54" t="s">
        <v>198</v>
      </c>
      <c r="B197" s="62">
        <v>1</v>
      </c>
      <c r="C197" s="62">
        <v>1</v>
      </c>
      <c r="D197" s="62">
        <v>0</v>
      </c>
      <c r="E197" s="62">
        <v>1</v>
      </c>
      <c r="F197" s="62">
        <v>0</v>
      </c>
      <c r="G197" s="62">
        <v>0</v>
      </c>
      <c r="H197" s="62">
        <v>1</v>
      </c>
    </row>
    <row r="198" spans="1:8" x14ac:dyDescent="0.2">
      <c r="A198" s="54" t="s">
        <v>199</v>
      </c>
      <c r="B198" s="62">
        <v>1</v>
      </c>
      <c r="C198" s="62">
        <v>1</v>
      </c>
      <c r="D198" s="62">
        <v>0.75</v>
      </c>
      <c r="E198" s="62">
        <v>1</v>
      </c>
      <c r="F198" s="62">
        <v>0.75</v>
      </c>
      <c r="G198" s="62">
        <v>0</v>
      </c>
      <c r="H198" s="62">
        <v>0</v>
      </c>
    </row>
    <row r="199" spans="1:8" x14ac:dyDescent="0.2">
      <c r="A199" s="54" t="s">
        <v>200</v>
      </c>
      <c r="B199" s="62">
        <v>1</v>
      </c>
      <c r="C199" s="62">
        <v>1</v>
      </c>
      <c r="D199" s="62">
        <v>0.75</v>
      </c>
      <c r="E199" s="62">
        <v>1</v>
      </c>
      <c r="F199" s="62">
        <v>0</v>
      </c>
      <c r="G199" s="62">
        <v>0.75</v>
      </c>
      <c r="H199" s="62">
        <v>0</v>
      </c>
    </row>
    <row r="200" spans="1:8" x14ac:dyDescent="0.2">
      <c r="A200" s="54" t="s">
        <v>201</v>
      </c>
      <c r="B200" s="62">
        <v>1</v>
      </c>
      <c r="C200" s="62">
        <v>1</v>
      </c>
      <c r="D200" s="62">
        <v>0.75</v>
      </c>
      <c r="E200" s="62">
        <v>1</v>
      </c>
      <c r="F200" s="62">
        <v>0</v>
      </c>
      <c r="G200" s="62">
        <v>0</v>
      </c>
      <c r="H200" s="62">
        <v>0.75</v>
      </c>
    </row>
    <row r="201" spans="1:8" x14ac:dyDescent="0.2">
      <c r="A201" s="54" t="s">
        <v>220</v>
      </c>
      <c r="B201" s="62">
        <v>1</v>
      </c>
      <c r="C201" s="62">
        <v>1</v>
      </c>
      <c r="D201" s="62">
        <v>0</v>
      </c>
      <c r="E201" s="62">
        <v>1</v>
      </c>
      <c r="F201" s="62">
        <v>0</v>
      </c>
      <c r="G201" s="62">
        <v>0</v>
      </c>
      <c r="H201" s="62">
        <v>0</v>
      </c>
    </row>
    <row r="202" spans="1:8" x14ac:dyDescent="0.2">
      <c r="A202" s="54" t="s">
        <v>221</v>
      </c>
      <c r="B202" s="62">
        <v>1</v>
      </c>
      <c r="C202" s="62">
        <v>1</v>
      </c>
      <c r="D202" s="62">
        <v>0</v>
      </c>
      <c r="E202" s="62">
        <v>1</v>
      </c>
      <c r="F202" s="62">
        <v>0</v>
      </c>
      <c r="G202" s="62">
        <v>0</v>
      </c>
      <c r="H202" s="62">
        <v>0</v>
      </c>
    </row>
    <row r="203" spans="1:8" x14ac:dyDescent="0.2">
      <c r="A203" s="54" t="s">
        <v>222</v>
      </c>
      <c r="B203" s="62">
        <v>1</v>
      </c>
      <c r="C203" s="62">
        <v>1</v>
      </c>
      <c r="D203" s="62">
        <v>0</v>
      </c>
      <c r="E203" s="62">
        <v>1</v>
      </c>
      <c r="F203" s="62">
        <v>0</v>
      </c>
      <c r="G203" s="62">
        <v>0</v>
      </c>
      <c r="H203" s="62">
        <v>0</v>
      </c>
    </row>
    <row r="204" spans="1:8" x14ac:dyDescent="0.2">
      <c r="A204" s="54" t="s">
        <v>223</v>
      </c>
      <c r="B204" s="62">
        <v>1</v>
      </c>
      <c r="C204" s="62">
        <v>1</v>
      </c>
      <c r="D204" s="62">
        <v>0</v>
      </c>
      <c r="E204" s="62">
        <v>1</v>
      </c>
      <c r="F204" s="62">
        <v>0</v>
      </c>
      <c r="G204" s="62">
        <v>0</v>
      </c>
      <c r="H204" s="62">
        <v>0</v>
      </c>
    </row>
    <row r="205" spans="1:8" x14ac:dyDescent="0.2">
      <c r="A205" s="54" t="s">
        <v>224</v>
      </c>
      <c r="B205" s="62">
        <v>1</v>
      </c>
      <c r="C205" s="62">
        <v>1</v>
      </c>
      <c r="D205" s="62">
        <v>0.75</v>
      </c>
      <c r="E205" s="62">
        <v>1</v>
      </c>
      <c r="F205" s="62">
        <v>0.75</v>
      </c>
      <c r="G205" s="62">
        <v>0</v>
      </c>
      <c r="H205" s="62">
        <v>0</v>
      </c>
    </row>
    <row r="206" spans="1:8" x14ac:dyDescent="0.2">
      <c r="A206" s="54" t="s">
        <v>225</v>
      </c>
      <c r="B206" s="62">
        <v>1</v>
      </c>
      <c r="C206" s="62">
        <v>1</v>
      </c>
      <c r="D206" s="62">
        <v>0.75</v>
      </c>
      <c r="E206" s="62">
        <v>1</v>
      </c>
      <c r="F206" s="62">
        <v>0</v>
      </c>
      <c r="G206" s="62">
        <v>0.75</v>
      </c>
      <c r="H206" s="62">
        <v>0</v>
      </c>
    </row>
    <row r="207" spans="1:8" x14ac:dyDescent="0.2">
      <c r="A207" s="54" t="s">
        <v>226</v>
      </c>
      <c r="B207" s="62">
        <v>1</v>
      </c>
      <c r="C207" s="62">
        <v>1</v>
      </c>
      <c r="D207" s="62">
        <v>0.75</v>
      </c>
      <c r="E207" s="62">
        <v>1</v>
      </c>
      <c r="F207" s="62">
        <v>0</v>
      </c>
      <c r="G207" s="62">
        <v>0</v>
      </c>
      <c r="H207" s="62">
        <v>0.75</v>
      </c>
    </row>
    <row r="208" spans="1:8" x14ac:dyDescent="0.2">
      <c r="A208" s="54" t="s">
        <v>227</v>
      </c>
      <c r="B208" s="62">
        <v>1</v>
      </c>
      <c r="C208" s="62">
        <v>1</v>
      </c>
      <c r="D208" s="62">
        <v>0.75</v>
      </c>
      <c r="E208" s="62">
        <v>1</v>
      </c>
      <c r="F208" s="62">
        <v>0.75</v>
      </c>
      <c r="G208" s="62">
        <v>0</v>
      </c>
      <c r="H208" s="62">
        <v>0</v>
      </c>
    </row>
    <row r="209" spans="1:8" x14ac:dyDescent="0.2">
      <c r="A209" s="54" t="s">
        <v>228</v>
      </c>
      <c r="B209" s="62">
        <v>1</v>
      </c>
      <c r="C209" s="62">
        <v>1</v>
      </c>
      <c r="D209" s="62">
        <v>0.75</v>
      </c>
      <c r="E209" s="62">
        <v>1</v>
      </c>
      <c r="F209" s="62">
        <v>0</v>
      </c>
      <c r="G209" s="62">
        <v>0.75</v>
      </c>
      <c r="H209" s="62">
        <v>0</v>
      </c>
    </row>
    <row r="210" spans="1:8" x14ac:dyDescent="0.2">
      <c r="A210" s="54" t="s">
        <v>229</v>
      </c>
      <c r="B210" s="62">
        <v>1</v>
      </c>
      <c r="C210" s="62">
        <v>1</v>
      </c>
      <c r="D210" s="62">
        <v>0.75</v>
      </c>
      <c r="E210" s="62">
        <v>1</v>
      </c>
      <c r="F210" s="62">
        <v>0</v>
      </c>
      <c r="G210" s="62">
        <v>0</v>
      </c>
      <c r="H210" s="62">
        <v>0.75</v>
      </c>
    </row>
    <row r="211" spans="1:8" x14ac:dyDescent="0.2">
      <c r="A211" s="54" t="s">
        <v>230</v>
      </c>
      <c r="B211" s="62">
        <v>1</v>
      </c>
      <c r="C211" s="62">
        <v>1</v>
      </c>
      <c r="D211" s="62">
        <v>0.75</v>
      </c>
      <c r="E211" s="62">
        <v>1</v>
      </c>
      <c r="F211" s="62">
        <v>0</v>
      </c>
      <c r="G211" s="62">
        <v>0.75</v>
      </c>
      <c r="H211" s="62">
        <v>0</v>
      </c>
    </row>
    <row r="212" spans="1:8" x14ac:dyDescent="0.2">
      <c r="A212" s="54" t="s">
        <v>231</v>
      </c>
      <c r="B212" s="62">
        <v>1</v>
      </c>
      <c r="C212" s="62">
        <v>1</v>
      </c>
      <c r="D212" s="62">
        <v>0.75</v>
      </c>
      <c r="E212" s="62">
        <v>1</v>
      </c>
      <c r="F212" s="62">
        <v>0</v>
      </c>
      <c r="G212" s="62">
        <v>0.75</v>
      </c>
      <c r="H212" s="62">
        <v>0</v>
      </c>
    </row>
    <row r="213" spans="1:8" x14ac:dyDescent="0.2">
      <c r="A213" s="54" t="s">
        <v>232</v>
      </c>
      <c r="B213" s="62">
        <v>0.6</v>
      </c>
      <c r="C213" s="62">
        <v>0</v>
      </c>
      <c r="D213" s="62">
        <v>0</v>
      </c>
      <c r="E213" s="62">
        <v>0.6</v>
      </c>
      <c r="F213" s="62">
        <v>0</v>
      </c>
      <c r="G213" s="62">
        <v>0</v>
      </c>
      <c r="H213" s="62">
        <v>0</v>
      </c>
    </row>
    <row r="214" spans="1:8" x14ac:dyDescent="0.2">
      <c r="A214" s="54" t="s">
        <v>233</v>
      </c>
      <c r="B214" s="62">
        <v>0.6</v>
      </c>
      <c r="C214" s="62">
        <v>0</v>
      </c>
      <c r="D214" s="62">
        <v>0</v>
      </c>
      <c r="E214" s="62">
        <v>0.6</v>
      </c>
      <c r="F214" s="62">
        <v>0</v>
      </c>
      <c r="G214" s="62">
        <v>0</v>
      </c>
      <c r="H214" s="62">
        <v>0</v>
      </c>
    </row>
    <row r="215" spans="1:8" x14ac:dyDescent="0.2">
      <c r="A215" s="54" t="s">
        <v>234</v>
      </c>
      <c r="B215" s="62">
        <v>0.6</v>
      </c>
      <c r="C215" s="62">
        <v>0.6</v>
      </c>
      <c r="D215" s="62">
        <v>0</v>
      </c>
      <c r="E215" s="62">
        <v>0.6</v>
      </c>
      <c r="F215" s="62">
        <v>0</v>
      </c>
      <c r="G215" s="62">
        <v>0</v>
      </c>
      <c r="H215" s="62">
        <v>0</v>
      </c>
    </row>
    <row r="216" spans="1:8" x14ac:dyDescent="0.2">
      <c r="A216" s="54" t="s">
        <v>235</v>
      </c>
      <c r="B216" s="62">
        <v>0.6</v>
      </c>
      <c r="C216" s="62">
        <v>0.6</v>
      </c>
      <c r="D216" s="62">
        <v>0</v>
      </c>
      <c r="E216" s="62">
        <v>0.6</v>
      </c>
      <c r="F216" s="62">
        <v>0</v>
      </c>
      <c r="G216" s="62">
        <v>0</v>
      </c>
      <c r="H216" s="62">
        <v>0</v>
      </c>
    </row>
    <row r="235" spans="1:5" x14ac:dyDescent="0.2">
      <c r="A235" s="55" t="s">
        <v>193</v>
      </c>
      <c r="B235" s="55" t="s">
        <v>147</v>
      </c>
      <c r="C235" s="55" t="s">
        <v>152</v>
      </c>
      <c r="D235" s="55" t="s">
        <v>161</v>
      </c>
      <c r="E235" s="55" t="s">
        <v>162</v>
      </c>
    </row>
    <row r="236" spans="1:5" x14ac:dyDescent="0.2">
      <c r="A236" s="54" t="s">
        <v>194</v>
      </c>
      <c r="B236" s="62">
        <v>0</v>
      </c>
      <c r="C236" s="62">
        <v>0</v>
      </c>
      <c r="D236" s="62">
        <v>0</v>
      </c>
      <c r="E236" s="62">
        <v>0</v>
      </c>
    </row>
    <row r="237" spans="1:5" x14ac:dyDescent="0.2">
      <c r="A237" s="54" t="s">
        <v>195</v>
      </c>
      <c r="B237" s="62">
        <v>0</v>
      </c>
      <c r="C237" s="62">
        <v>0</v>
      </c>
      <c r="D237" s="62">
        <v>0</v>
      </c>
      <c r="E237" s="62">
        <v>0</v>
      </c>
    </row>
    <row r="238" spans="1:5" x14ac:dyDescent="0.2">
      <c r="A238" s="54" t="s">
        <v>196</v>
      </c>
      <c r="B238" s="62">
        <v>0</v>
      </c>
      <c r="C238" s="62">
        <v>0</v>
      </c>
      <c r="D238" s="62">
        <v>0</v>
      </c>
      <c r="E238" s="62">
        <v>0</v>
      </c>
    </row>
    <row r="239" spans="1:5" x14ac:dyDescent="0.2">
      <c r="A239" s="54" t="s">
        <v>197</v>
      </c>
      <c r="B239" s="62">
        <v>0</v>
      </c>
      <c r="C239" s="62">
        <v>0</v>
      </c>
      <c r="D239" s="62">
        <v>0</v>
      </c>
      <c r="E239" s="62">
        <v>0</v>
      </c>
    </row>
    <row r="240" spans="1:5" x14ac:dyDescent="0.2">
      <c r="A240" s="54" t="s">
        <v>198</v>
      </c>
      <c r="B240" s="62">
        <v>0</v>
      </c>
      <c r="C240" s="62">
        <v>0</v>
      </c>
      <c r="D240" s="62">
        <v>0</v>
      </c>
      <c r="E240" s="62">
        <v>0</v>
      </c>
    </row>
    <row r="241" spans="1:5" x14ac:dyDescent="0.2">
      <c r="A241" s="54" t="s">
        <v>199</v>
      </c>
      <c r="B241" s="62">
        <v>0</v>
      </c>
      <c r="C241" s="62">
        <v>0</v>
      </c>
      <c r="D241" s="62">
        <v>0</v>
      </c>
      <c r="E241" s="62">
        <v>0</v>
      </c>
    </row>
    <row r="242" spans="1:5" x14ac:dyDescent="0.2">
      <c r="A242" s="54" t="s">
        <v>200</v>
      </c>
      <c r="B242" s="62">
        <v>0</v>
      </c>
      <c r="C242" s="62">
        <v>0</v>
      </c>
      <c r="D242" s="62">
        <v>0</v>
      </c>
      <c r="E242" s="62">
        <v>0</v>
      </c>
    </row>
    <row r="243" spans="1:5" x14ac:dyDescent="0.2">
      <c r="A243" s="54" t="s">
        <v>201</v>
      </c>
      <c r="B243" s="62">
        <v>0</v>
      </c>
      <c r="C243" s="62">
        <v>0</v>
      </c>
      <c r="D243" s="62">
        <v>0</v>
      </c>
      <c r="E243" s="62">
        <v>0</v>
      </c>
    </row>
    <row r="244" spans="1:5" x14ac:dyDescent="0.2">
      <c r="A244" s="54" t="s">
        <v>220</v>
      </c>
      <c r="B244" s="62">
        <v>0.6</v>
      </c>
      <c r="C244" s="62">
        <v>0</v>
      </c>
      <c r="D244" s="62">
        <v>0</v>
      </c>
      <c r="E244" s="62">
        <v>0</v>
      </c>
    </row>
    <row r="245" spans="1:5" x14ac:dyDescent="0.2">
      <c r="A245" s="54" t="s">
        <v>221</v>
      </c>
      <c r="B245" s="62">
        <v>0</v>
      </c>
      <c r="C245" s="62">
        <v>0.6</v>
      </c>
      <c r="D245" s="62">
        <v>0</v>
      </c>
      <c r="E245" s="62">
        <v>0</v>
      </c>
    </row>
    <row r="246" spans="1:5" x14ac:dyDescent="0.2">
      <c r="A246" s="54" t="s">
        <v>222</v>
      </c>
      <c r="B246" s="62">
        <v>0</v>
      </c>
      <c r="C246" s="62">
        <v>0</v>
      </c>
      <c r="D246" s="62">
        <v>0.7</v>
      </c>
      <c r="E246" s="62">
        <v>0</v>
      </c>
    </row>
    <row r="247" spans="1:5" x14ac:dyDescent="0.2">
      <c r="A247" s="54" t="s">
        <v>223</v>
      </c>
      <c r="B247" s="62">
        <v>0</v>
      </c>
      <c r="C247" s="62">
        <v>0</v>
      </c>
      <c r="D247" s="62">
        <v>0</v>
      </c>
      <c r="E247" s="62">
        <v>0.7</v>
      </c>
    </row>
    <row r="248" spans="1:5" x14ac:dyDescent="0.2">
      <c r="A248" s="54" t="s">
        <v>224</v>
      </c>
      <c r="B248" s="53">
        <f>0.75*0.6</f>
        <v>0.44999999999999996</v>
      </c>
      <c r="C248" s="62">
        <v>0</v>
      </c>
      <c r="D248" s="62">
        <v>0</v>
      </c>
      <c r="E248" s="62">
        <v>0</v>
      </c>
    </row>
    <row r="249" spans="1:5" x14ac:dyDescent="0.2">
      <c r="A249" s="54" t="s">
        <v>225</v>
      </c>
      <c r="B249" s="53">
        <f>0.75*0.6</f>
        <v>0.44999999999999996</v>
      </c>
      <c r="C249" s="62">
        <v>0</v>
      </c>
      <c r="D249" s="62">
        <v>0</v>
      </c>
      <c r="E249" s="62">
        <v>0</v>
      </c>
    </row>
    <row r="250" spans="1:5" x14ac:dyDescent="0.2">
      <c r="A250" s="54" t="s">
        <v>226</v>
      </c>
      <c r="B250" s="53">
        <f>0.75*0.6</f>
        <v>0.44999999999999996</v>
      </c>
      <c r="C250" s="62">
        <v>0</v>
      </c>
      <c r="D250" s="62">
        <v>0</v>
      </c>
      <c r="E250" s="62">
        <v>0</v>
      </c>
    </row>
    <row r="251" spans="1:5" x14ac:dyDescent="0.2">
      <c r="A251" s="54" t="s">
        <v>227</v>
      </c>
      <c r="B251" s="62">
        <v>0</v>
      </c>
      <c r="C251" s="53">
        <f>0.75*0.6</f>
        <v>0.44999999999999996</v>
      </c>
      <c r="D251" s="62">
        <v>0</v>
      </c>
      <c r="E251" s="62">
        <v>0</v>
      </c>
    </row>
    <row r="252" spans="1:5" x14ac:dyDescent="0.2">
      <c r="A252" s="54" t="s">
        <v>228</v>
      </c>
      <c r="B252" s="62">
        <v>0</v>
      </c>
      <c r="C252" s="53">
        <f>0.75*0.6</f>
        <v>0.44999999999999996</v>
      </c>
      <c r="D252" s="62">
        <v>0</v>
      </c>
      <c r="E252" s="62">
        <v>0</v>
      </c>
    </row>
    <row r="253" spans="1:5" x14ac:dyDescent="0.2">
      <c r="A253" s="54" t="s">
        <v>229</v>
      </c>
      <c r="B253" s="62">
        <v>0</v>
      </c>
      <c r="C253" s="53">
        <f>0.75*0.6</f>
        <v>0.44999999999999996</v>
      </c>
      <c r="D253" s="62">
        <v>0</v>
      </c>
      <c r="E253" s="62">
        <v>0</v>
      </c>
    </row>
    <row r="254" spans="1:5" x14ac:dyDescent="0.2">
      <c r="A254" s="54" t="s">
        <v>230</v>
      </c>
      <c r="B254" s="62">
        <v>0</v>
      </c>
      <c r="C254" s="62">
        <v>0</v>
      </c>
      <c r="D254" s="53">
        <f>0.75*0.7</f>
        <v>0.52499999999999991</v>
      </c>
      <c r="E254" s="62">
        <v>0</v>
      </c>
    </row>
    <row r="255" spans="1:5" x14ac:dyDescent="0.2">
      <c r="A255" s="54" t="s">
        <v>231</v>
      </c>
      <c r="B255" s="62">
        <v>0</v>
      </c>
      <c r="C255" s="62">
        <v>0</v>
      </c>
      <c r="D255" s="62">
        <v>0</v>
      </c>
      <c r="E255" s="53">
        <f>0.75*0.7</f>
        <v>0.52499999999999991</v>
      </c>
    </row>
    <row r="256" spans="1:5" x14ac:dyDescent="0.2">
      <c r="A256" s="54" t="s">
        <v>232</v>
      </c>
      <c r="B256" s="62">
        <v>0.6</v>
      </c>
      <c r="C256" s="62">
        <v>0</v>
      </c>
      <c r="D256" s="62">
        <v>0</v>
      </c>
      <c r="E256" s="62">
        <v>0</v>
      </c>
    </row>
    <row r="257" spans="1:8" x14ac:dyDescent="0.2">
      <c r="A257" s="54" t="s">
        <v>233</v>
      </c>
      <c r="B257" s="62">
        <v>0</v>
      </c>
      <c r="C257" s="62">
        <v>0.6</v>
      </c>
      <c r="D257" s="62">
        <v>0</v>
      </c>
      <c r="E257" s="62">
        <v>0</v>
      </c>
    </row>
    <row r="258" spans="1:8" x14ac:dyDescent="0.2">
      <c r="A258" s="54" t="s">
        <v>234</v>
      </c>
      <c r="B258" s="62">
        <v>0</v>
      </c>
      <c r="C258" s="62">
        <v>0</v>
      </c>
      <c r="D258" s="62">
        <v>0.7</v>
      </c>
      <c r="E258" s="62">
        <v>0</v>
      </c>
    </row>
    <row r="259" spans="1:8" x14ac:dyDescent="0.2">
      <c r="A259" s="54" t="s">
        <v>235</v>
      </c>
      <c r="B259" s="62">
        <v>0</v>
      </c>
      <c r="C259" s="62">
        <v>0</v>
      </c>
      <c r="D259" s="62">
        <v>0</v>
      </c>
      <c r="E259" s="62">
        <v>0.7</v>
      </c>
    </row>
    <row r="262" spans="1:8" x14ac:dyDescent="0.2">
      <c r="A262" s="31" t="s">
        <v>202</v>
      </c>
    </row>
    <row r="264" spans="1:8" x14ac:dyDescent="0.2">
      <c r="A264" s="55" t="s">
        <v>193</v>
      </c>
      <c r="B264" s="56" t="s">
        <v>110</v>
      </c>
      <c r="C264" s="56" t="s">
        <v>112</v>
      </c>
      <c r="D264" s="56" t="s">
        <v>184</v>
      </c>
      <c r="E264" s="55" t="s">
        <v>203</v>
      </c>
      <c r="F264" s="57" t="s">
        <v>204</v>
      </c>
      <c r="G264" s="55" t="s">
        <v>206</v>
      </c>
      <c r="H264" s="19" t="s">
        <v>264</v>
      </c>
    </row>
    <row r="265" spans="1:8" x14ac:dyDescent="0.2">
      <c r="A265" s="54" t="s">
        <v>194</v>
      </c>
      <c r="B265" s="58">
        <f t="array" ref="B265:B288">MMULT(B193:H216,B179:B185)+MMULT(B236:E259,B186:B189)</f>
        <v>81.604166666666671</v>
      </c>
      <c r="C265" s="58">
        <f t="array" ref="C265:C288">MMULT(B193:H216,C179:C185)+MMULT(B236:E259,C186:C189)</f>
        <v>1295.3958333333335</v>
      </c>
      <c r="D265" s="58">
        <f t="array" ref="D265:D288">MMULT(B193:H216,D179:D185)+MMULT(B236:E259,D186:D189)</f>
        <v>0</v>
      </c>
      <c r="E265" s="58">
        <f>C265/B265</f>
        <v>15.874138371202452</v>
      </c>
      <c r="F265" s="58">
        <f t="shared" ref="F265:F288" si="10">E265-(Lf_ft/2)</f>
        <v>0.87413837120245219</v>
      </c>
      <c r="G265" s="59">
        <f t="shared" ref="G265:G288" si="11">IF(ABS(F265)&gt;ftg_kern_ft,1,0)</f>
        <v>0</v>
      </c>
      <c r="H265" s="59">
        <f t="shared" ref="H265:H288" si="12">IF(OR(E265&gt;=Lf_ft,E265&lt;=0),1,0)</f>
        <v>0</v>
      </c>
    </row>
    <row r="266" spans="1:8" x14ac:dyDescent="0.2">
      <c r="A266" s="54" t="s">
        <v>195</v>
      </c>
      <c r="B266" s="58">
        <v>118.35416666666667</v>
      </c>
      <c r="C266" s="58">
        <v>1920.1458333333335</v>
      </c>
      <c r="D266" s="58">
        <v>0</v>
      </c>
      <c r="E266" s="58">
        <f t="shared" ref="E266:E288" si="13">C266/B266</f>
        <v>16.223728216863229</v>
      </c>
      <c r="F266" s="58">
        <f t="shared" si="10"/>
        <v>1.2237282168632291</v>
      </c>
      <c r="G266" s="59">
        <f t="shared" si="11"/>
        <v>0</v>
      </c>
      <c r="H266" s="59">
        <f t="shared" si="12"/>
        <v>0</v>
      </c>
    </row>
    <row r="267" spans="1:8" x14ac:dyDescent="0.2">
      <c r="A267" s="54" t="s">
        <v>196</v>
      </c>
      <c r="B267" s="58">
        <v>81.604166666666671</v>
      </c>
      <c r="C267" s="58">
        <v>1295.3958333333335</v>
      </c>
      <c r="D267" s="58">
        <v>0</v>
      </c>
      <c r="E267" s="58">
        <f t="shared" si="13"/>
        <v>15.874138371202452</v>
      </c>
      <c r="F267" s="58">
        <f t="shared" si="10"/>
        <v>0.87413837120245219</v>
      </c>
      <c r="G267" s="59">
        <f t="shared" si="11"/>
        <v>0</v>
      </c>
      <c r="H267" s="59">
        <f t="shared" si="12"/>
        <v>0</v>
      </c>
    </row>
    <row r="268" spans="1:8" x14ac:dyDescent="0.2">
      <c r="A268" s="54" t="s">
        <v>197</v>
      </c>
      <c r="B268" s="58">
        <v>90.604166666666671</v>
      </c>
      <c r="C268" s="58">
        <v>1448.3958333333335</v>
      </c>
      <c r="D268" s="58">
        <v>0</v>
      </c>
      <c r="E268" s="58">
        <f t="shared" si="13"/>
        <v>15.985973787077491</v>
      </c>
      <c r="F268" s="58">
        <f t="shared" si="10"/>
        <v>0.98597378707749073</v>
      </c>
      <c r="G268" s="59">
        <f t="shared" si="11"/>
        <v>0</v>
      </c>
      <c r="H268" s="59">
        <f t="shared" si="12"/>
        <v>0</v>
      </c>
    </row>
    <row r="269" spans="1:8" x14ac:dyDescent="0.2">
      <c r="A269" s="54" t="s">
        <v>198</v>
      </c>
      <c r="B269" s="58">
        <v>81.604166666666671</v>
      </c>
      <c r="C269" s="58">
        <v>1295.3958333333335</v>
      </c>
      <c r="D269" s="58">
        <v>0</v>
      </c>
      <c r="E269" s="58">
        <f t="shared" si="13"/>
        <v>15.874138371202452</v>
      </c>
      <c r="F269" s="58">
        <f t="shared" si="10"/>
        <v>0.87413837120245219</v>
      </c>
      <c r="G269" s="59">
        <f t="shared" si="11"/>
        <v>0</v>
      </c>
      <c r="H269" s="59">
        <f t="shared" si="12"/>
        <v>0</v>
      </c>
    </row>
    <row r="270" spans="1:8" x14ac:dyDescent="0.2">
      <c r="A270" s="54" t="s">
        <v>199</v>
      </c>
      <c r="B270" s="58">
        <v>109.16666666666667</v>
      </c>
      <c r="C270" s="58">
        <v>1763.9583333333335</v>
      </c>
      <c r="D270" s="58">
        <v>0</v>
      </c>
      <c r="E270" s="58">
        <f t="shared" si="13"/>
        <v>16.158396946564885</v>
      </c>
      <c r="F270" s="58">
        <f t="shared" si="10"/>
        <v>1.1583969465648849</v>
      </c>
      <c r="G270" s="59">
        <f t="shared" si="11"/>
        <v>0</v>
      </c>
      <c r="H270" s="59">
        <f t="shared" si="12"/>
        <v>0</v>
      </c>
    </row>
    <row r="271" spans="1:8" x14ac:dyDescent="0.2">
      <c r="A271" s="54" t="s">
        <v>200</v>
      </c>
      <c r="B271" s="58">
        <v>115.91666666666667</v>
      </c>
      <c r="C271" s="58">
        <v>1878.7083333333335</v>
      </c>
      <c r="D271" s="58">
        <v>0</v>
      </c>
      <c r="E271" s="58">
        <f t="shared" si="13"/>
        <v>16.207404744787922</v>
      </c>
      <c r="F271" s="58">
        <f t="shared" si="10"/>
        <v>1.2074047447879224</v>
      </c>
      <c r="G271" s="59">
        <f t="shared" si="11"/>
        <v>0</v>
      </c>
      <c r="H271" s="59">
        <f t="shared" si="12"/>
        <v>0</v>
      </c>
    </row>
    <row r="272" spans="1:8" x14ac:dyDescent="0.2">
      <c r="A272" s="54" t="s">
        <v>201</v>
      </c>
      <c r="B272" s="58">
        <v>109.16666666666667</v>
      </c>
      <c r="C272" s="58">
        <v>1763.9583333333335</v>
      </c>
      <c r="D272" s="58">
        <v>0</v>
      </c>
      <c r="E272" s="58">
        <f t="shared" si="13"/>
        <v>16.158396946564885</v>
      </c>
      <c r="F272" s="58">
        <f t="shared" si="10"/>
        <v>1.1583969465648849</v>
      </c>
      <c r="G272" s="59">
        <f t="shared" si="11"/>
        <v>0</v>
      </c>
      <c r="H272" s="59">
        <f t="shared" si="12"/>
        <v>0</v>
      </c>
    </row>
    <row r="273" spans="1:8" x14ac:dyDescent="0.2">
      <c r="A273" s="54" t="s">
        <v>220</v>
      </c>
      <c r="B273" s="58">
        <v>81.604166666666671</v>
      </c>
      <c r="C273" s="58">
        <v>1701.8958333333335</v>
      </c>
      <c r="D273" s="58">
        <v>9</v>
      </c>
      <c r="E273" s="58">
        <f t="shared" si="13"/>
        <v>20.855501659433241</v>
      </c>
      <c r="F273" s="58">
        <f t="shared" si="10"/>
        <v>5.8555016594332407</v>
      </c>
      <c r="G273" s="59">
        <f t="shared" si="11"/>
        <v>1</v>
      </c>
      <c r="H273" s="59">
        <f t="shared" si="12"/>
        <v>0</v>
      </c>
    </row>
    <row r="274" spans="1:8" x14ac:dyDescent="0.2">
      <c r="A274" s="54" t="s">
        <v>221</v>
      </c>
      <c r="B274" s="58">
        <v>81.604166666666671</v>
      </c>
      <c r="C274" s="58">
        <v>888.89583333333337</v>
      </c>
      <c r="D274" s="58">
        <v>-9</v>
      </c>
      <c r="E274" s="58">
        <f t="shared" si="13"/>
        <v>10.892775082971662</v>
      </c>
      <c r="F274" s="58">
        <f t="shared" si="10"/>
        <v>-4.1072249170283381</v>
      </c>
      <c r="G274" s="59">
        <f t="shared" si="11"/>
        <v>0</v>
      </c>
      <c r="H274" s="59">
        <f t="shared" si="12"/>
        <v>0</v>
      </c>
    </row>
    <row r="275" spans="1:8" x14ac:dyDescent="0.2">
      <c r="A275" s="54" t="s">
        <v>222</v>
      </c>
      <c r="B275" s="58">
        <v>81.604166666666671</v>
      </c>
      <c r="C275" s="58">
        <v>1651.0833333333335</v>
      </c>
      <c r="D275" s="58">
        <v>10.5</v>
      </c>
      <c r="E275" s="58">
        <f t="shared" si="13"/>
        <v>20.232831248404391</v>
      </c>
      <c r="F275" s="58">
        <f t="shared" si="10"/>
        <v>5.2328312484043913</v>
      </c>
      <c r="G275" s="59">
        <f t="shared" si="11"/>
        <v>1</v>
      </c>
      <c r="H275" s="59">
        <f t="shared" si="12"/>
        <v>0</v>
      </c>
    </row>
    <row r="276" spans="1:8" x14ac:dyDescent="0.2">
      <c r="A276" s="54" t="s">
        <v>223</v>
      </c>
      <c r="B276" s="58">
        <v>81.604166666666671</v>
      </c>
      <c r="C276" s="58">
        <v>939.70833333333337</v>
      </c>
      <c r="D276" s="58">
        <v>-10.5</v>
      </c>
      <c r="E276" s="58">
        <f t="shared" si="13"/>
        <v>11.51544549400051</v>
      </c>
      <c r="F276" s="58">
        <f t="shared" si="10"/>
        <v>-3.4845545059994905</v>
      </c>
      <c r="G276" s="59">
        <f t="shared" si="11"/>
        <v>0</v>
      </c>
      <c r="H276" s="59">
        <f t="shared" si="12"/>
        <v>0</v>
      </c>
    </row>
    <row r="277" spans="1:8" x14ac:dyDescent="0.2">
      <c r="A277" s="54" t="s">
        <v>224</v>
      </c>
      <c r="B277" s="58">
        <v>109.16666666666667</v>
      </c>
      <c r="C277" s="58">
        <v>2068.8333333333335</v>
      </c>
      <c r="D277" s="58">
        <v>6.7499999999999991</v>
      </c>
      <c r="E277" s="58">
        <f t="shared" si="13"/>
        <v>18.95114503816794</v>
      </c>
      <c r="F277" s="58">
        <f t="shared" si="10"/>
        <v>3.9511450381679403</v>
      </c>
      <c r="G277" s="59">
        <f t="shared" si="11"/>
        <v>0</v>
      </c>
      <c r="H277" s="59">
        <f t="shared" si="12"/>
        <v>0</v>
      </c>
    </row>
    <row r="278" spans="1:8" x14ac:dyDescent="0.2">
      <c r="A278" s="54" t="s">
        <v>225</v>
      </c>
      <c r="B278" s="58">
        <v>115.91666666666667</v>
      </c>
      <c r="C278" s="58">
        <v>2183.5833333333335</v>
      </c>
      <c r="D278" s="58">
        <v>6.7499999999999991</v>
      </c>
      <c r="E278" s="58">
        <f t="shared" si="13"/>
        <v>18.837526959022288</v>
      </c>
      <c r="F278" s="58">
        <f t="shared" si="10"/>
        <v>3.8375269590222878</v>
      </c>
      <c r="G278" s="59">
        <f t="shared" si="11"/>
        <v>0</v>
      </c>
      <c r="H278" s="59">
        <f t="shared" si="12"/>
        <v>0</v>
      </c>
    </row>
    <row r="279" spans="1:8" x14ac:dyDescent="0.2">
      <c r="A279" s="54" t="s">
        <v>226</v>
      </c>
      <c r="B279" s="58">
        <v>109.16666666666667</v>
      </c>
      <c r="C279" s="58">
        <v>2068.8333333333335</v>
      </c>
      <c r="D279" s="58">
        <v>6.7499999999999991</v>
      </c>
      <c r="E279" s="58">
        <f t="shared" si="13"/>
        <v>18.95114503816794</v>
      </c>
      <c r="F279" s="58">
        <f t="shared" si="10"/>
        <v>3.9511450381679403</v>
      </c>
      <c r="G279" s="59">
        <f t="shared" si="11"/>
        <v>0</v>
      </c>
      <c r="H279" s="59">
        <f t="shared" si="12"/>
        <v>0</v>
      </c>
    </row>
    <row r="280" spans="1:8" x14ac:dyDescent="0.2">
      <c r="A280" s="54" t="s">
        <v>227</v>
      </c>
      <c r="B280" s="58">
        <v>109.16666666666667</v>
      </c>
      <c r="C280" s="58">
        <v>1459.0833333333335</v>
      </c>
      <c r="D280" s="58">
        <v>-6.7499999999999991</v>
      </c>
      <c r="E280" s="58">
        <f t="shared" si="13"/>
        <v>13.365648854961833</v>
      </c>
      <c r="F280" s="58">
        <f t="shared" si="10"/>
        <v>-1.6343511450381669</v>
      </c>
      <c r="G280" s="59">
        <f t="shared" si="11"/>
        <v>0</v>
      </c>
      <c r="H280" s="59">
        <f t="shared" si="12"/>
        <v>0</v>
      </c>
    </row>
    <row r="281" spans="1:8" x14ac:dyDescent="0.2">
      <c r="A281" s="54" t="s">
        <v>228</v>
      </c>
      <c r="B281" s="58">
        <v>115.91666666666667</v>
      </c>
      <c r="C281" s="58">
        <v>1573.8333333333335</v>
      </c>
      <c r="D281" s="58">
        <v>-6.7499999999999991</v>
      </c>
      <c r="E281" s="58">
        <f t="shared" si="13"/>
        <v>13.577282530553559</v>
      </c>
      <c r="F281" s="58">
        <f t="shared" si="10"/>
        <v>-1.4227174694464413</v>
      </c>
      <c r="G281" s="59">
        <f t="shared" si="11"/>
        <v>0</v>
      </c>
      <c r="H281" s="59">
        <f t="shared" si="12"/>
        <v>0</v>
      </c>
    </row>
    <row r="282" spans="1:8" x14ac:dyDescent="0.2">
      <c r="A282" s="54" t="s">
        <v>229</v>
      </c>
      <c r="B282" s="58">
        <v>109.16666666666667</v>
      </c>
      <c r="C282" s="58">
        <v>1459.0833333333335</v>
      </c>
      <c r="D282" s="58">
        <v>-6.7499999999999991</v>
      </c>
      <c r="E282" s="58">
        <f t="shared" si="13"/>
        <v>13.365648854961833</v>
      </c>
      <c r="F282" s="58">
        <f t="shared" si="10"/>
        <v>-1.6343511450381669</v>
      </c>
      <c r="G282" s="59">
        <f t="shared" si="11"/>
        <v>0</v>
      </c>
      <c r="H282" s="59">
        <f t="shared" si="12"/>
        <v>0</v>
      </c>
    </row>
    <row r="283" spans="1:8" x14ac:dyDescent="0.2">
      <c r="A283" s="54" t="s">
        <v>230</v>
      </c>
      <c r="B283" s="58">
        <v>115.91666666666667</v>
      </c>
      <c r="C283" s="58">
        <v>2145.4739583333335</v>
      </c>
      <c r="D283" s="58">
        <v>7.8749999999999982</v>
      </c>
      <c r="E283" s="58">
        <f t="shared" si="13"/>
        <v>18.508761682242991</v>
      </c>
      <c r="F283" s="58">
        <f t="shared" si="10"/>
        <v>3.5087616822429908</v>
      </c>
      <c r="G283" s="59">
        <f t="shared" si="11"/>
        <v>0</v>
      </c>
      <c r="H283" s="59">
        <f t="shared" si="12"/>
        <v>0</v>
      </c>
    </row>
    <row r="284" spans="1:8" x14ac:dyDescent="0.2">
      <c r="A284" s="54" t="s">
        <v>231</v>
      </c>
      <c r="B284" s="58">
        <v>115.91666666666667</v>
      </c>
      <c r="C284" s="58">
        <v>1611.9427083333335</v>
      </c>
      <c r="D284" s="58">
        <v>-7.8749999999999982</v>
      </c>
      <c r="E284" s="58">
        <f t="shared" si="13"/>
        <v>13.906047807332854</v>
      </c>
      <c r="F284" s="58">
        <f t="shared" si="10"/>
        <v>-1.0939521926671461</v>
      </c>
      <c r="G284" s="59">
        <f t="shared" si="11"/>
        <v>0</v>
      </c>
      <c r="H284" s="59">
        <f t="shared" si="12"/>
        <v>0</v>
      </c>
    </row>
    <row r="285" spans="1:8" x14ac:dyDescent="0.2">
      <c r="A285" s="54" t="s">
        <v>232</v>
      </c>
      <c r="B285" s="58">
        <v>48.962499999999999</v>
      </c>
      <c r="C285" s="58">
        <v>1183.7375000000002</v>
      </c>
      <c r="D285" s="58">
        <v>9</v>
      </c>
      <c r="E285" s="58">
        <f t="shared" si="13"/>
        <v>24.176410518253771</v>
      </c>
      <c r="F285" s="58">
        <f t="shared" si="10"/>
        <v>9.1764105182537712</v>
      </c>
      <c r="G285" s="59">
        <f t="shared" si="11"/>
        <v>1</v>
      </c>
      <c r="H285" s="59">
        <f t="shared" si="12"/>
        <v>0</v>
      </c>
    </row>
    <row r="286" spans="1:8" x14ac:dyDescent="0.2">
      <c r="A286" s="54" t="s">
        <v>233</v>
      </c>
      <c r="B286" s="58">
        <v>48.962499999999999</v>
      </c>
      <c r="C286" s="58">
        <v>370.73749999999995</v>
      </c>
      <c r="D286" s="58">
        <v>-9</v>
      </c>
      <c r="E286" s="58">
        <f t="shared" si="13"/>
        <v>7.571866224151135</v>
      </c>
      <c r="F286" s="58">
        <f t="shared" si="10"/>
        <v>-7.428133775848865</v>
      </c>
      <c r="G286" s="59">
        <f t="shared" si="11"/>
        <v>1</v>
      </c>
      <c r="H286" s="59">
        <f t="shared" si="12"/>
        <v>0</v>
      </c>
    </row>
    <row r="287" spans="1:8" x14ac:dyDescent="0.2">
      <c r="A287" s="54" t="s">
        <v>234</v>
      </c>
      <c r="B287" s="58">
        <v>48.962499999999999</v>
      </c>
      <c r="C287" s="58">
        <v>1132.9250000000002</v>
      </c>
      <c r="D287" s="58">
        <v>10.5</v>
      </c>
      <c r="E287" s="58">
        <f t="shared" si="13"/>
        <v>23.138626499872355</v>
      </c>
      <c r="F287" s="58">
        <f t="shared" si="10"/>
        <v>8.1386264998723554</v>
      </c>
      <c r="G287" s="59">
        <f t="shared" si="11"/>
        <v>1</v>
      </c>
      <c r="H287" s="59">
        <f t="shared" si="12"/>
        <v>0</v>
      </c>
    </row>
    <row r="288" spans="1:8" x14ac:dyDescent="0.2">
      <c r="A288" s="54" t="s">
        <v>235</v>
      </c>
      <c r="B288" s="58">
        <v>48.962499999999999</v>
      </c>
      <c r="C288" s="58">
        <v>421.54999999999995</v>
      </c>
      <c r="D288" s="58">
        <v>-10.5</v>
      </c>
      <c r="E288" s="58">
        <f t="shared" si="13"/>
        <v>8.609650242532549</v>
      </c>
      <c r="F288" s="58">
        <f t="shared" si="10"/>
        <v>-6.390349757467451</v>
      </c>
      <c r="G288" s="59">
        <f t="shared" si="11"/>
        <v>1</v>
      </c>
      <c r="H288" s="59">
        <f t="shared" si="12"/>
        <v>0</v>
      </c>
    </row>
    <row r="289" spans="1:8" x14ac:dyDescent="0.2">
      <c r="G289" s="60">
        <f>SUM(G265:G288)</f>
        <v>6</v>
      </c>
      <c r="H289" s="60">
        <f>SUM(H265:H288)</f>
        <v>0</v>
      </c>
    </row>
    <row r="294" spans="1:8" x14ac:dyDescent="0.2">
      <c r="A294" s="31" t="s">
        <v>207</v>
      </c>
    </row>
    <row r="296" spans="1:8" x14ac:dyDescent="0.2">
      <c r="A296" s="55" t="s">
        <v>193</v>
      </c>
      <c r="B296" s="55" t="s">
        <v>210</v>
      </c>
      <c r="C296" s="55" t="s">
        <v>208</v>
      </c>
      <c r="D296" s="55" t="s">
        <v>211</v>
      </c>
      <c r="E296" s="55" t="s">
        <v>209</v>
      </c>
      <c r="F296" s="55" t="s">
        <v>212</v>
      </c>
      <c r="G296" s="57" t="s">
        <v>213</v>
      </c>
    </row>
    <row r="297" spans="1:8" x14ac:dyDescent="0.2">
      <c r="A297" s="54" t="s">
        <v>194</v>
      </c>
      <c r="B297" s="58">
        <f t="shared" ref="B297:B320" si="14">IF(F265=0,B265/(Bf_ft*Lf_ft),IF(G265=0,(B265*(1-(F265/ftg_kern_ft)))/(Bf_ft*Lf_ft),IF(F265&gt;0,0,(2/3)*B265*(1/(Bf_ft*(E265))))))</f>
        <v>0.64130952380952377</v>
      </c>
      <c r="C297" s="58">
        <f t="shared" ref="C297:C320" si="15">IF(G265=0,0,IF(F265&lt;0,0,Lf_ft-((2*B265)/(D297*Bf_ft))))</f>
        <v>0</v>
      </c>
      <c r="D297" s="58">
        <f t="shared" ref="D297:D320" si="16">IF(F265=0,B265/(Bf_ft*Lf_ft),IF(G265=0,(B265*(1+(F265/ftg_kern_ft)))/(Bf_ft*Lf_ft),IF(F265&lt;0,0,(2/3)*B265*(1/(Bf_ft*(Lf_ft-E265))))))</f>
        <v>0.91305555555555573</v>
      </c>
      <c r="E297" s="58">
        <f t="shared" ref="E297:E320" si="17">IF(G265=0,Lf_ft,IF(F265&gt;0,Lf_ft,((2*B265)/(B297*Bf_ft))))</f>
        <v>30</v>
      </c>
      <c r="F297" s="58">
        <f>MAX(D297,B297)*1000</f>
        <v>913.05555555555577</v>
      </c>
      <c r="G297" s="53">
        <f t="shared" ref="G297:G320" si="18">IF(F297&gt;IF($G$8="Y",q_allow_psf+q_overburden_psf,q_allow_psf),1,0)</f>
        <v>0</v>
      </c>
    </row>
    <row r="298" spans="1:8" x14ac:dyDescent="0.2">
      <c r="A298" s="54" t="s">
        <v>195</v>
      </c>
      <c r="B298" s="58">
        <f t="shared" si="14"/>
        <v>0.85130952380952374</v>
      </c>
      <c r="C298" s="58">
        <f t="shared" si="15"/>
        <v>0</v>
      </c>
      <c r="D298" s="58">
        <f t="shared" si="16"/>
        <v>1.4030555555555557</v>
      </c>
      <c r="E298" s="58">
        <f t="shared" si="17"/>
        <v>30</v>
      </c>
      <c r="F298" s="58">
        <f t="shared" ref="F298:F320" si="19">MAX(D298,B298)*1000</f>
        <v>1403.0555555555557</v>
      </c>
      <c r="G298" s="53">
        <f t="shared" si="18"/>
        <v>0</v>
      </c>
    </row>
    <row r="299" spans="1:8" x14ac:dyDescent="0.2">
      <c r="A299" s="54" t="s">
        <v>196</v>
      </c>
      <c r="B299" s="58">
        <f t="shared" si="14"/>
        <v>0.64130952380952377</v>
      </c>
      <c r="C299" s="58">
        <f t="shared" si="15"/>
        <v>0</v>
      </c>
      <c r="D299" s="58">
        <f t="shared" si="16"/>
        <v>0.91305555555555573</v>
      </c>
      <c r="E299" s="58">
        <f t="shared" si="17"/>
        <v>30</v>
      </c>
      <c r="F299" s="58">
        <f t="shared" si="19"/>
        <v>913.05555555555577</v>
      </c>
      <c r="G299" s="53">
        <f t="shared" si="18"/>
        <v>0</v>
      </c>
    </row>
    <row r="300" spans="1:8" x14ac:dyDescent="0.2">
      <c r="A300" s="54" t="s">
        <v>197</v>
      </c>
      <c r="B300" s="58">
        <f t="shared" si="14"/>
        <v>0.69273809523809493</v>
      </c>
      <c r="C300" s="58">
        <f t="shared" si="15"/>
        <v>0</v>
      </c>
      <c r="D300" s="58">
        <f t="shared" si="16"/>
        <v>1.0330555555555558</v>
      </c>
      <c r="E300" s="58">
        <f t="shared" si="17"/>
        <v>30</v>
      </c>
      <c r="F300" s="58">
        <f t="shared" si="19"/>
        <v>1033.0555555555559</v>
      </c>
      <c r="G300" s="53">
        <f t="shared" si="18"/>
        <v>0</v>
      </c>
    </row>
    <row r="301" spans="1:8" x14ac:dyDescent="0.2">
      <c r="A301" s="54" t="s">
        <v>198</v>
      </c>
      <c r="B301" s="58">
        <f t="shared" si="14"/>
        <v>0.64130952380952377</v>
      </c>
      <c r="C301" s="58">
        <f t="shared" si="15"/>
        <v>0</v>
      </c>
      <c r="D301" s="58">
        <f t="shared" si="16"/>
        <v>0.91305555555555573</v>
      </c>
      <c r="E301" s="58">
        <f t="shared" si="17"/>
        <v>30</v>
      </c>
      <c r="F301" s="58">
        <f t="shared" si="19"/>
        <v>913.05555555555577</v>
      </c>
      <c r="G301" s="53">
        <f t="shared" si="18"/>
        <v>0</v>
      </c>
    </row>
    <row r="302" spans="1:8" x14ac:dyDescent="0.2">
      <c r="A302" s="54" t="s">
        <v>199</v>
      </c>
      <c r="B302" s="58">
        <f t="shared" si="14"/>
        <v>0.79880952380952408</v>
      </c>
      <c r="C302" s="58">
        <f t="shared" si="15"/>
        <v>0</v>
      </c>
      <c r="D302" s="58">
        <f t="shared" si="16"/>
        <v>1.2805555555555554</v>
      </c>
      <c r="E302" s="58">
        <f t="shared" si="17"/>
        <v>30</v>
      </c>
      <c r="F302" s="58">
        <f t="shared" si="19"/>
        <v>1280.5555555555554</v>
      </c>
      <c r="G302" s="53">
        <f t="shared" si="18"/>
        <v>0</v>
      </c>
    </row>
    <row r="303" spans="1:8" x14ac:dyDescent="0.2">
      <c r="A303" s="54" t="s">
        <v>200</v>
      </c>
      <c r="B303" s="58">
        <f t="shared" si="14"/>
        <v>0.83738095238095245</v>
      </c>
      <c r="C303" s="58">
        <f t="shared" si="15"/>
        <v>0</v>
      </c>
      <c r="D303" s="58">
        <f t="shared" si="16"/>
        <v>1.3705555555555555</v>
      </c>
      <c r="E303" s="58">
        <f t="shared" si="17"/>
        <v>30</v>
      </c>
      <c r="F303" s="58">
        <f t="shared" si="19"/>
        <v>1370.5555555555554</v>
      </c>
      <c r="G303" s="53">
        <f t="shared" si="18"/>
        <v>0</v>
      </c>
    </row>
    <row r="304" spans="1:8" x14ac:dyDescent="0.2">
      <c r="A304" s="54" t="s">
        <v>201</v>
      </c>
      <c r="B304" s="58">
        <f t="shared" si="14"/>
        <v>0.79880952380952408</v>
      </c>
      <c r="C304" s="58">
        <f t="shared" si="15"/>
        <v>0</v>
      </c>
      <c r="D304" s="58">
        <f t="shared" si="16"/>
        <v>1.2805555555555554</v>
      </c>
      <c r="E304" s="58">
        <f t="shared" si="17"/>
        <v>30</v>
      </c>
      <c r="F304" s="58">
        <f t="shared" si="19"/>
        <v>1280.5555555555554</v>
      </c>
      <c r="G304" s="53">
        <f t="shared" si="18"/>
        <v>0</v>
      </c>
    </row>
    <row r="305" spans="1:7" x14ac:dyDescent="0.2">
      <c r="A305" s="54" t="s">
        <v>220</v>
      </c>
      <c r="B305" s="58">
        <f t="shared" si="14"/>
        <v>0</v>
      </c>
      <c r="C305" s="58">
        <f t="shared" si="15"/>
        <v>2.5665049782997222</v>
      </c>
      <c r="D305" s="58">
        <f t="shared" si="16"/>
        <v>1.6997816845453577</v>
      </c>
      <c r="E305" s="58">
        <f t="shared" si="17"/>
        <v>30</v>
      </c>
      <c r="F305" s="58">
        <f t="shared" si="19"/>
        <v>1699.7816845453576</v>
      </c>
      <c r="G305" s="53">
        <f t="shared" si="18"/>
        <v>0</v>
      </c>
    </row>
    <row r="306" spans="1:7" x14ac:dyDescent="0.2">
      <c r="A306" s="54" t="s">
        <v>221</v>
      </c>
      <c r="B306" s="58">
        <f t="shared" si="14"/>
        <v>1.4155952380952384</v>
      </c>
      <c r="C306" s="58">
        <f t="shared" si="15"/>
        <v>0</v>
      </c>
      <c r="D306" s="58">
        <f t="shared" si="16"/>
        <v>0.13876984126984127</v>
      </c>
      <c r="E306" s="58">
        <f t="shared" si="17"/>
        <v>30</v>
      </c>
      <c r="F306" s="58">
        <f t="shared" si="19"/>
        <v>1415.5952380952383</v>
      </c>
      <c r="G306" s="53">
        <f t="shared" si="18"/>
        <v>0</v>
      </c>
    </row>
    <row r="307" spans="1:7" x14ac:dyDescent="0.2">
      <c r="A307" s="54" t="s">
        <v>222</v>
      </c>
      <c r="B307" s="58">
        <f t="shared" si="14"/>
        <v>0</v>
      </c>
      <c r="C307" s="58">
        <f t="shared" si="15"/>
        <v>0.69849374521317031</v>
      </c>
      <c r="D307" s="58">
        <f t="shared" si="16"/>
        <v>1.591418269609759</v>
      </c>
      <c r="E307" s="58">
        <f t="shared" si="17"/>
        <v>30</v>
      </c>
      <c r="F307" s="58">
        <f t="shared" si="19"/>
        <v>1591.4182696097589</v>
      </c>
      <c r="G307" s="53">
        <f t="shared" si="18"/>
        <v>0</v>
      </c>
    </row>
    <row r="308" spans="1:7" x14ac:dyDescent="0.2">
      <c r="A308" s="54" t="s">
        <v>223</v>
      </c>
      <c r="B308" s="58">
        <f t="shared" si="14"/>
        <v>1.3188095238095241</v>
      </c>
      <c r="C308" s="58">
        <f t="shared" si="15"/>
        <v>0</v>
      </c>
      <c r="D308" s="58">
        <f t="shared" si="16"/>
        <v>0.23555555555555543</v>
      </c>
      <c r="E308" s="58">
        <f t="shared" si="17"/>
        <v>30</v>
      </c>
      <c r="F308" s="58">
        <f t="shared" si="19"/>
        <v>1318.8095238095241</v>
      </c>
      <c r="G308" s="53">
        <f t="shared" si="18"/>
        <v>0</v>
      </c>
    </row>
    <row r="309" spans="1:7" x14ac:dyDescent="0.2">
      <c r="A309" s="54" t="s">
        <v>224</v>
      </c>
      <c r="B309" s="58">
        <f t="shared" si="14"/>
        <v>0.21809523809523781</v>
      </c>
      <c r="C309" s="58">
        <f t="shared" si="15"/>
        <v>0</v>
      </c>
      <c r="D309" s="58">
        <f t="shared" si="16"/>
        <v>1.8612698412698416</v>
      </c>
      <c r="E309" s="58">
        <f t="shared" si="17"/>
        <v>30</v>
      </c>
      <c r="F309" s="58">
        <f t="shared" si="19"/>
        <v>1861.2698412698417</v>
      </c>
      <c r="G309" s="53">
        <f t="shared" si="18"/>
        <v>0</v>
      </c>
    </row>
    <row r="310" spans="1:7" x14ac:dyDescent="0.2">
      <c r="A310" s="54" t="s">
        <v>225</v>
      </c>
      <c r="B310" s="58">
        <f t="shared" si="14"/>
        <v>0.25666666666666632</v>
      </c>
      <c r="C310" s="58">
        <f t="shared" si="15"/>
        <v>0</v>
      </c>
      <c r="D310" s="58">
        <f t="shared" si="16"/>
        <v>1.9512698412698417</v>
      </c>
      <c r="E310" s="58">
        <f t="shared" si="17"/>
        <v>30</v>
      </c>
      <c r="F310" s="58">
        <f t="shared" si="19"/>
        <v>1951.2698412698417</v>
      </c>
      <c r="G310" s="53">
        <f t="shared" si="18"/>
        <v>0</v>
      </c>
    </row>
    <row r="311" spans="1:7" x14ac:dyDescent="0.2">
      <c r="A311" s="54" t="s">
        <v>226</v>
      </c>
      <c r="B311" s="58">
        <f t="shared" si="14"/>
        <v>0.21809523809523781</v>
      </c>
      <c r="C311" s="58">
        <f t="shared" si="15"/>
        <v>0</v>
      </c>
      <c r="D311" s="58">
        <f t="shared" si="16"/>
        <v>1.8612698412698416</v>
      </c>
      <c r="E311" s="58">
        <f t="shared" si="17"/>
        <v>30</v>
      </c>
      <c r="F311" s="58">
        <f t="shared" si="19"/>
        <v>1861.2698412698417</v>
      </c>
      <c r="G311" s="53">
        <f t="shared" si="18"/>
        <v>0</v>
      </c>
    </row>
    <row r="312" spans="1:7" x14ac:dyDescent="0.2">
      <c r="A312" s="54" t="s">
        <v>227</v>
      </c>
      <c r="B312" s="58">
        <f t="shared" si="14"/>
        <v>1.3795238095238092</v>
      </c>
      <c r="C312" s="58">
        <f t="shared" si="15"/>
        <v>0</v>
      </c>
      <c r="D312" s="58">
        <f t="shared" si="16"/>
        <v>0.69984126984127015</v>
      </c>
      <c r="E312" s="58">
        <f t="shared" si="17"/>
        <v>30</v>
      </c>
      <c r="F312" s="58">
        <f t="shared" si="19"/>
        <v>1379.5238095238092</v>
      </c>
      <c r="G312" s="53">
        <f t="shared" si="18"/>
        <v>0</v>
      </c>
    </row>
    <row r="313" spans="1:7" x14ac:dyDescent="0.2">
      <c r="A313" s="54" t="s">
        <v>228</v>
      </c>
      <c r="B313" s="58">
        <f t="shared" si="14"/>
        <v>1.4180952380952381</v>
      </c>
      <c r="C313" s="58">
        <f t="shared" si="15"/>
        <v>0</v>
      </c>
      <c r="D313" s="58">
        <f t="shared" si="16"/>
        <v>0.7898412698412699</v>
      </c>
      <c r="E313" s="58">
        <f t="shared" si="17"/>
        <v>30</v>
      </c>
      <c r="F313" s="58">
        <f t="shared" si="19"/>
        <v>1418.0952380952381</v>
      </c>
      <c r="G313" s="53">
        <f t="shared" si="18"/>
        <v>0</v>
      </c>
    </row>
    <row r="314" spans="1:7" x14ac:dyDescent="0.2">
      <c r="A314" s="54" t="s">
        <v>229</v>
      </c>
      <c r="B314" s="58">
        <f t="shared" si="14"/>
        <v>1.3795238095238092</v>
      </c>
      <c r="C314" s="58">
        <f t="shared" si="15"/>
        <v>0</v>
      </c>
      <c r="D314" s="58">
        <f t="shared" si="16"/>
        <v>0.69984126984127015</v>
      </c>
      <c r="E314" s="58">
        <f t="shared" si="17"/>
        <v>30</v>
      </c>
      <c r="F314" s="58">
        <f t="shared" si="19"/>
        <v>1379.5238095238092</v>
      </c>
      <c r="G314" s="53">
        <f t="shared" si="18"/>
        <v>0</v>
      </c>
    </row>
    <row r="315" spans="1:7" x14ac:dyDescent="0.2">
      <c r="A315" s="54" t="s">
        <v>230</v>
      </c>
      <c r="B315" s="58">
        <f t="shared" si="14"/>
        <v>0.32925595238095234</v>
      </c>
      <c r="C315" s="58">
        <f t="shared" si="15"/>
        <v>0</v>
      </c>
      <c r="D315" s="58">
        <f t="shared" si="16"/>
        <v>1.8786805555555559</v>
      </c>
      <c r="E315" s="58">
        <f t="shared" si="17"/>
        <v>30</v>
      </c>
      <c r="F315" s="58">
        <f t="shared" si="19"/>
        <v>1878.6805555555559</v>
      </c>
      <c r="G315" s="53">
        <f t="shared" si="18"/>
        <v>0</v>
      </c>
    </row>
    <row r="316" spans="1:7" x14ac:dyDescent="0.2">
      <c r="A316" s="54" t="s">
        <v>231</v>
      </c>
      <c r="B316" s="58">
        <f t="shared" si="14"/>
        <v>1.3455059523809525</v>
      </c>
      <c r="C316" s="58">
        <f t="shared" si="15"/>
        <v>0</v>
      </c>
      <c r="D316" s="58">
        <f t="shared" si="16"/>
        <v>0.86243055555555559</v>
      </c>
      <c r="E316" s="58">
        <f t="shared" si="17"/>
        <v>30</v>
      </c>
      <c r="F316" s="58">
        <f t="shared" si="19"/>
        <v>1345.5059523809525</v>
      </c>
      <c r="G316" s="53">
        <f t="shared" si="18"/>
        <v>0</v>
      </c>
    </row>
    <row r="317" spans="1:7" x14ac:dyDescent="0.2">
      <c r="A317" s="54" t="s">
        <v>232</v>
      </c>
      <c r="B317" s="58">
        <f t="shared" si="14"/>
        <v>0</v>
      </c>
      <c r="C317" s="58">
        <f t="shared" si="15"/>
        <v>12.52923155476131</v>
      </c>
      <c r="D317" s="58">
        <f t="shared" si="16"/>
        <v>1.6014505324290089</v>
      </c>
      <c r="E317" s="58">
        <f t="shared" si="17"/>
        <v>30</v>
      </c>
      <c r="F317" s="58">
        <f t="shared" si="19"/>
        <v>1601.4505324290089</v>
      </c>
      <c r="G317" s="53">
        <f t="shared" si="18"/>
        <v>0</v>
      </c>
    </row>
    <row r="318" spans="1:7" x14ac:dyDescent="0.2">
      <c r="A318" s="54" t="s">
        <v>233</v>
      </c>
      <c r="B318" s="58">
        <f t="shared" si="14"/>
        <v>1.2316898106894401</v>
      </c>
      <c r="C318" s="58">
        <f t="shared" si="15"/>
        <v>0</v>
      </c>
      <c r="D318" s="58">
        <f t="shared" si="16"/>
        <v>0</v>
      </c>
      <c r="E318" s="58">
        <f t="shared" si="17"/>
        <v>22.715598672453403</v>
      </c>
      <c r="F318" s="58">
        <f t="shared" si="19"/>
        <v>1231.68981068944</v>
      </c>
      <c r="G318" s="53">
        <f t="shared" si="18"/>
        <v>0</v>
      </c>
    </row>
    <row r="319" spans="1:7" x14ac:dyDescent="0.2">
      <c r="A319" s="54" t="s">
        <v>234</v>
      </c>
      <c r="B319" s="58">
        <f t="shared" si="14"/>
        <v>0</v>
      </c>
      <c r="C319" s="58">
        <f t="shared" si="15"/>
        <v>9.4158794996170663</v>
      </c>
      <c r="D319" s="58">
        <f t="shared" si="16"/>
        <v>1.3592308414659218</v>
      </c>
      <c r="E319" s="58">
        <f t="shared" si="17"/>
        <v>30</v>
      </c>
      <c r="F319" s="58">
        <f t="shared" si="19"/>
        <v>1359.2308414659217</v>
      </c>
      <c r="G319" s="53">
        <f t="shared" si="18"/>
        <v>0</v>
      </c>
    </row>
    <row r="320" spans="1:7" x14ac:dyDescent="0.2">
      <c r="A320" s="54" t="s">
        <v>235</v>
      </c>
      <c r="B320" s="58">
        <f t="shared" si="14"/>
        <v>1.0832252430090765</v>
      </c>
      <c r="C320" s="58">
        <f t="shared" si="15"/>
        <v>0</v>
      </c>
      <c r="D320" s="58">
        <f t="shared" si="16"/>
        <v>0</v>
      </c>
      <c r="E320" s="58">
        <f t="shared" si="17"/>
        <v>25.82895072759765</v>
      </c>
      <c r="F320" s="58">
        <f t="shared" si="19"/>
        <v>1083.2252430090766</v>
      </c>
      <c r="G320" s="53">
        <f t="shared" si="18"/>
        <v>0</v>
      </c>
    </row>
    <row r="321" spans="1:7" x14ac:dyDescent="0.2">
      <c r="B321" s="31"/>
      <c r="C321" s="31"/>
      <c r="D321" s="31"/>
      <c r="E321" s="31"/>
      <c r="F321" s="31"/>
      <c r="G321" s="60">
        <f>SUM(G297:G320)</f>
        <v>0</v>
      </c>
    </row>
    <row r="323" spans="1:7" x14ac:dyDescent="0.2">
      <c r="A323" s="31" t="s">
        <v>215</v>
      </c>
    </row>
    <row r="325" spans="1:7" x14ac:dyDescent="0.2">
      <c r="A325" s="19" t="s">
        <v>193</v>
      </c>
      <c r="B325" s="21" t="str">
        <f>B264</f>
        <v>P (kips)</v>
      </c>
      <c r="C325" s="21" t="str">
        <f>D264</f>
        <v>V (kips)</v>
      </c>
      <c r="D325" s="19" t="s">
        <v>217</v>
      </c>
      <c r="E325" s="19" t="s">
        <v>218</v>
      </c>
    </row>
    <row r="326" spans="1:7" x14ac:dyDescent="0.2">
      <c r="A326" s="15" t="s">
        <v>194</v>
      </c>
      <c r="B326" s="63">
        <f t="shared" ref="B326:B349" si="20">B265</f>
        <v>81.604166666666671</v>
      </c>
      <c r="C326" s="63">
        <f t="shared" ref="C326:C349" si="21">D265</f>
        <v>0</v>
      </c>
      <c r="D326" s="63">
        <f t="shared" ref="D326:D349" si="22">B326*soil_friction</f>
        <v>24.481249999999999</v>
      </c>
      <c r="E326" s="63">
        <f>IF(C326=0,10,D326/ABS(C326))</f>
        <v>10</v>
      </c>
    </row>
    <row r="327" spans="1:7" x14ac:dyDescent="0.2">
      <c r="A327" s="15" t="s">
        <v>195</v>
      </c>
      <c r="B327" s="63">
        <f t="shared" si="20"/>
        <v>118.35416666666667</v>
      </c>
      <c r="C327" s="63">
        <f t="shared" si="21"/>
        <v>0</v>
      </c>
      <c r="D327" s="63">
        <f t="shared" si="22"/>
        <v>35.506250000000001</v>
      </c>
      <c r="E327" s="63">
        <f t="shared" ref="E327:E349" si="23">IF(C327=0,10,D327/ABS(C327))</f>
        <v>10</v>
      </c>
    </row>
    <row r="328" spans="1:7" x14ac:dyDescent="0.2">
      <c r="A328" s="15" t="s">
        <v>196</v>
      </c>
      <c r="B328" s="63">
        <f t="shared" si="20"/>
        <v>81.604166666666671</v>
      </c>
      <c r="C328" s="63">
        <f t="shared" si="21"/>
        <v>0</v>
      </c>
      <c r="D328" s="63">
        <f t="shared" si="22"/>
        <v>24.481249999999999</v>
      </c>
      <c r="E328" s="63">
        <f t="shared" si="23"/>
        <v>10</v>
      </c>
    </row>
    <row r="329" spans="1:7" x14ac:dyDescent="0.2">
      <c r="A329" s="15" t="s">
        <v>197</v>
      </c>
      <c r="B329" s="63">
        <f t="shared" si="20"/>
        <v>90.604166666666671</v>
      </c>
      <c r="C329" s="63">
        <f t="shared" si="21"/>
        <v>0</v>
      </c>
      <c r="D329" s="63">
        <f t="shared" si="22"/>
        <v>27.181250000000002</v>
      </c>
      <c r="E329" s="63">
        <f t="shared" si="23"/>
        <v>10</v>
      </c>
    </row>
    <row r="330" spans="1:7" x14ac:dyDescent="0.2">
      <c r="A330" s="15" t="s">
        <v>198</v>
      </c>
      <c r="B330" s="63">
        <f t="shared" si="20"/>
        <v>81.604166666666671</v>
      </c>
      <c r="C330" s="63">
        <f t="shared" si="21"/>
        <v>0</v>
      </c>
      <c r="D330" s="63">
        <f t="shared" si="22"/>
        <v>24.481249999999999</v>
      </c>
      <c r="E330" s="63">
        <f t="shared" si="23"/>
        <v>10</v>
      </c>
    </row>
    <row r="331" spans="1:7" x14ac:dyDescent="0.2">
      <c r="A331" s="15" t="s">
        <v>199</v>
      </c>
      <c r="B331" s="63">
        <f t="shared" si="20"/>
        <v>109.16666666666667</v>
      </c>
      <c r="C331" s="63">
        <f t="shared" si="21"/>
        <v>0</v>
      </c>
      <c r="D331" s="63">
        <f t="shared" si="22"/>
        <v>32.75</v>
      </c>
      <c r="E331" s="63">
        <f t="shared" si="23"/>
        <v>10</v>
      </c>
    </row>
    <row r="332" spans="1:7" x14ac:dyDescent="0.2">
      <c r="A332" s="15" t="s">
        <v>200</v>
      </c>
      <c r="B332" s="63">
        <f t="shared" si="20"/>
        <v>115.91666666666667</v>
      </c>
      <c r="C332" s="63">
        <f t="shared" si="21"/>
        <v>0</v>
      </c>
      <c r="D332" s="63">
        <f t="shared" si="22"/>
        <v>34.774999999999999</v>
      </c>
      <c r="E332" s="63">
        <f t="shared" si="23"/>
        <v>10</v>
      </c>
    </row>
    <row r="333" spans="1:7" x14ac:dyDescent="0.2">
      <c r="A333" s="15" t="s">
        <v>201</v>
      </c>
      <c r="B333" s="63">
        <f t="shared" si="20"/>
        <v>109.16666666666667</v>
      </c>
      <c r="C333" s="63">
        <f t="shared" si="21"/>
        <v>0</v>
      </c>
      <c r="D333" s="63">
        <f t="shared" si="22"/>
        <v>32.75</v>
      </c>
      <c r="E333" s="63">
        <f t="shared" si="23"/>
        <v>10</v>
      </c>
    </row>
    <row r="334" spans="1:7" x14ac:dyDescent="0.2">
      <c r="A334" s="15" t="s">
        <v>220</v>
      </c>
      <c r="B334" s="63">
        <f t="shared" si="20"/>
        <v>81.604166666666671</v>
      </c>
      <c r="C334" s="63">
        <f t="shared" si="21"/>
        <v>9</v>
      </c>
      <c r="D334" s="63">
        <f t="shared" si="22"/>
        <v>24.481249999999999</v>
      </c>
      <c r="E334" s="63">
        <f t="shared" si="23"/>
        <v>2.7201388888888887</v>
      </c>
    </row>
    <row r="335" spans="1:7" x14ac:dyDescent="0.2">
      <c r="A335" s="15" t="s">
        <v>221</v>
      </c>
      <c r="B335" s="63">
        <f t="shared" si="20"/>
        <v>81.604166666666671</v>
      </c>
      <c r="C335" s="63">
        <f t="shared" si="21"/>
        <v>-9</v>
      </c>
      <c r="D335" s="63">
        <f t="shared" si="22"/>
        <v>24.481249999999999</v>
      </c>
      <c r="E335" s="63">
        <f t="shared" si="23"/>
        <v>2.7201388888888887</v>
      </c>
    </row>
    <row r="336" spans="1:7" x14ac:dyDescent="0.2">
      <c r="A336" s="15" t="s">
        <v>222</v>
      </c>
      <c r="B336" s="63">
        <f t="shared" si="20"/>
        <v>81.604166666666671</v>
      </c>
      <c r="C336" s="63">
        <f t="shared" si="21"/>
        <v>10.5</v>
      </c>
      <c r="D336" s="63">
        <f t="shared" si="22"/>
        <v>24.481249999999999</v>
      </c>
      <c r="E336" s="63">
        <f t="shared" si="23"/>
        <v>2.331547619047619</v>
      </c>
    </row>
    <row r="337" spans="1:5" x14ac:dyDescent="0.2">
      <c r="A337" s="15" t="s">
        <v>223</v>
      </c>
      <c r="B337" s="63">
        <f t="shared" si="20"/>
        <v>81.604166666666671</v>
      </c>
      <c r="C337" s="63">
        <f t="shared" si="21"/>
        <v>-10.5</v>
      </c>
      <c r="D337" s="63">
        <f t="shared" si="22"/>
        <v>24.481249999999999</v>
      </c>
      <c r="E337" s="63">
        <f t="shared" si="23"/>
        <v>2.331547619047619</v>
      </c>
    </row>
    <row r="338" spans="1:5" x14ac:dyDescent="0.2">
      <c r="A338" s="15" t="s">
        <v>224</v>
      </c>
      <c r="B338" s="63">
        <f t="shared" si="20"/>
        <v>109.16666666666667</v>
      </c>
      <c r="C338" s="63">
        <f t="shared" si="21"/>
        <v>6.7499999999999991</v>
      </c>
      <c r="D338" s="63">
        <f t="shared" si="22"/>
        <v>32.75</v>
      </c>
      <c r="E338" s="63">
        <f t="shared" si="23"/>
        <v>4.8518518518518521</v>
      </c>
    </row>
    <row r="339" spans="1:5" x14ac:dyDescent="0.2">
      <c r="A339" s="15" t="s">
        <v>225</v>
      </c>
      <c r="B339" s="63">
        <f t="shared" si="20"/>
        <v>115.91666666666667</v>
      </c>
      <c r="C339" s="63">
        <f t="shared" si="21"/>
        <v>6.7499999999999991</v>
      </c>
      <c r="D339" s="63">
        <f t="shared" si="22"/>
        <v>34.774999999999999</v>
      </c>
      <c r="E339" s="63">
        <f t="shared" si="23"/>
        <v>5.1518518518518519</v>
      </c>
    </row>
    <row r="340" spans="1:5" x14ac:dyDescent="0.2">
      <c r="A340" s="15" t="s">
        <v>226</v>
      </c>
      <c r="B340" s="63">
        <f t="shared" si="20"/>
        <v>109.16666666666667</v>
      </c>
      <c r="C340" s="63">
        <f t="shared" si="21"/>
        <v>6.7499999999999991</v>
      </c>
      <c r="D340" s="63">
        <f t="shared" si="22"/>
        <v>32.75</v>
      </c>
      <c r="E340" s="63">
        <f t="shared" si="23"/>
        <v>4.8518518518518521</v>
      </c>
    </row>
    <row r="341" spans="1:5" x14ac:dyDescent="0.2">
      <c r="A341" s="15" t="s">
        <v>227</v>
      </c>
      <c r="B341" s="63">
        <f t="shared" si="20"/>
        <v>109.16666666666667</v>
      </c>
      <c r="C341" s="63">
        <f t="shared" si="21"/>
        <v>-6.7499999999999991</v>
      </c>
      <c r="D341" s="63">
        <f t="shared" si="22"/>
        <v>32.75</v>
      </c>
      <c r="E341" s="63">
        <f t="shared" si="23"/>
        <v>4.8518518518518521</v>
      </c>
    </row>
    <row r="342" spans="1:5" x14ac:dyDescent="0.2">
      <c r="A342" s="15" t="s">
        <v>228</v>
      </c>
      <c r="B342" s="63">
        <f t="shared" si="20"/>
        <v>115.91666666666667</v>
      </c>
      <c r="C342" s="63">
        <f t="shared" si="21"/>
        <v>-6.7499999999999991</v>
      </c>
      <c r="D342" s="63">
        <f t="shared" si="22"/>
        <v>34.774999999999999</v>
      </c>
      <c r="E342" s="63">
        <f t="shared" si="23"/>
        <v>5.1518518518518519</v>
      </c>
    </row>
    <row r="343" spans="1:5" x14ac:dyDescent="0.2">
      <c r="A343" s="15" t="s">
        <v>229</v>
      </c>
      <c r="B343" s="63">
        <f t="shared" si="20"/>
        <v>109.16666666666667</v>
      </c>
      <c r="C343" s="63">
        <f t="shared" si="21"/>
        <v>-6.7499999999999991</v>
      </c>
      <c r="D343" s="63">
        <f t="shared" si="22"/>
        <v>32.75</v>
      </c>
      <c r="E343" s="63">
        <f t="shared" si="23"/>
        <v>4.8518518518518521</v>
      </c>
    </row>
    <row r="344" spans="1:5" x14ac:dyDescent="0.2">
      <c r="A344" s="15" t="s">
        <v>230</v>
      </c>
      <c r="B344" s="63">
        <f t="shared" si="20"/>
        <v>115.91666666666667</v>
      </c>
      <c r="C344" s="63">
        <f t="shared" si="21"/>
        <v>7.8749999999999982</v>
      </c>
      <c r="D344" s="63">
        <f t="shared" si="22"/>
        <v>34.774999999999999</v>
      </c>
      <c r="E344" s="63">
        <f t="shared" si="23"/>
        <v>4.4158730158730171</v>
      </c>
    </row>
    <row r="345" spans="1:5" x14ac:dyDescent="0.2">
      <c r="A345" s="15" t="s">
        <v>231</v>
      </c>
      <c r="B345" s="63">
        <f t="shared" si="20"/>
        <v>115.91666666666667</v>
      </c>
      <c r="C345" s="63">
        <f t="shared" si="21"/>
        <v>-7.8749999999999982</v>
      </c>
      <c r="D345" s="63">
        <f t="shared" si="22"/>
        <v>34.774999999999999</v>
      </c>
      <c r="E345" s="63">
        <f t="shared" si="23"/>
        <v>4.4158730158730171</v>
      </c>
    </row>
    <row r="346" spans="1:5" x14ac:dyDescent="0.2">
      <c r="A346" s="15" t="s">
        <v>232</v>
      </c>
      <c r="B346" s="63">
        <f t="shared" si="20"/>
        <v>48.962499999999999</v>
      </c>
      <c r="C346" s="63">
        <f t="shared" si="21"/>
        <v>9</v>
      </c>
      <c r="D346" s="63">
        <f t="shared" si="22"/>
        <v>14.688749999999999</v>
      </c>
      <c r="E346" s="63">
        <f t="shared" si="23"/>
        <v>1.6320833333333331</v>
      </c>
    </row>
    <row r="347" spans="1:5" x14ac:dyDescent="0.2">
      <c r="A347" s="15" t="s">
        <v>233</v>
      </c>
      <c r="B347" s="63">
        <f t="shared" si="20"/>
        <v>48.962499999999999</v>
      </c>
      <c r="C347" s="63">
        <f t="shared" si="21"/>
        <v>-9</v>
      </c>
      <c r="D347" s="63">
        <f t="shared" si="22"/>
        <v>14.688749999999999</v>
      </c>
      <c r="E347" s="63">
        <f t="shared" si="23"/>
        <v>1.6320833333333331</v>
      </c>
    </row>
    <row r="348" spans="1:5" x14ac:dyDescent="0.2">
      <c r="A348" s="15" t="s">
        <v>234</v>
      </c>
      <c r="B348" s="63">
        <f t="shared" si="20"/>
        <v>48.962499999999999</v>
      </c>
      <c r="C348" s="63">
        <f t="shared" si="21"/>
        <v>10.5</v>
      </c>
      <c r="D348" s="63">
        <f t="shared" si="22"/>
        <v>14.688749999999999</v>
      </c>
      <c r="E348" s="63">
        <f t="shared" si="23"/>
        <v>1.3989285714285713</v>
      </c>
    </row>
    <row r="349" spans="1:5" x14ac:dyDescent="0.2">
      <c r="A349" s="15" t="s">
        <v>235</v>
      </c>
      <c r="B349" s="63">
        <f t="shared" si="20"/>
        <v>48.962499999999999</v>
      </c>
      <c r="C349" s="63">
        <f t="shared" si="21"/>
        <v>-10.5</v>
      </c>
      <c r="D349" s="63">
        <f t="shared" si="22"/>
        <v>14.688749999999999</v>
      </c>
      <c r="E349" s="63">
        <f t="shared" si="23"/>
        <v>1.3989285714285713</v>
      </c>
    </row>
    <row r="350" spans="1:5" x14ac:dyDescent="0.2">
      <c r="E350" s="60">
        <f>COUNTIF(E326:E349,"&lt;1")</f>
        <v>0</v>
      </c>
    </row>
    <row r="353" spans="1:8" x14ac:dyDescent="0.2">
      <c r="A353" s="6" t="s">
        <v>236</v>
      </c>
    </row>
    <row r="354" spans="1:8" x14ac:dyDescent="0.2">
      <c r="A354" s="19" t="s">
        <v>193</v>
      </c>
      <c r="B354" s="19" t="s">
        <v>104</v>
      </c>
      <c r="C354" s="19" t="s">
        <v>169</v>
      </c>
      <c r="D354" s="19" t="s">
        <v>170</v>
      </c>
      <c r="E354" s="19" t="s">
        <v>164</v>
      </c>
      <c r="F354" s="19" t="s">
        <v>171</v>
      </c>
      <c r="G354" s="19" t="s">
        <v>172</v>
      </c>
      <c r="H354" s="19" t="s">
        <v>173</v>
      </c>
    </row>
    <row r="355" spans="1:8" x14ac:dyDescent="0.2">
      <c r="A355" s="15" t="s">
        <v>237</v>
      </c>
      <c r="B355" s="64">
        <v>1.4</v>
      </c>
      <c r="C355" s="64">
        <v>1.4</v>
      </c>
      <c r="D355" s="64">
        <v>0</v>
      </c>
      <c r="E355" s="64">
        <v>0</v>
      </c>
      <c r="F355" s="64">
        <v>0</v>
      </c>
      <c r="G355" s="64">
        <v>0</v>
      </c>
      <c r="H355" s="64">
        <v>0</v>
      </c>
    </row>
    <row r="356" spans="1:8" x14ac:dyDescent="0.2">
      <c r="A356" s="15" t="s">
        <v>238</v>
      </c>
      <c r="B356" s="64">
        <v>1.2</v>
      </c>
      <c r="C356" s="64">
        <v>1.2</v>
      </c>
      <c r="D356" s="64">
        <v>1.6</v>
      </c>
      <c r="E356" s="64">
        <v>1.6</v>
      </c>
      <c r="F356" s="64">
        <v>0.5</v>
      </c>
      <c r="G356" s="64">
        <v>0</v>
      </c>
      <c r="H356" s="64">
        <v>0</v>
      </c>
    </row>
    <row r="357" spans="1:8" x14ac:dyDescent="0.2">
      <c r="A357" s="15" t="s">
        <v>239</v>
      </c>
      <c r="B357" s="64">
        <v>1.2</v>
      </c>
      <c r="C357" s="64">
        <v>1.2</v>
      </c>
      <c r="D357" s="64">
        <v>1.6</v>
      </c>
      <c r="E357" s="64">
        <v>1.6</v>
      </c>
      <c r="F357" s="64">
        <v>0</v>
      </c>
      <c r="G357" s="64">
        <v>0.5</v>
      </c>
      <c r="H357" s="64">
        <v>0</v>
      </c>
    </row>
    <row r="358" spans="1:8" x14ac:dyDescent="0.2">
      <c r="A358" s="15" t="s">
        <v>240</v>
      </c>
      <c r="B358" s="64">
        <v>1.2</v>
      </c>
      <c r="C358" s="64">
        <v>1.2</v>
      </c>
      <c r="D358" s="64">
        <v>1.6</v>
      </c>
      <c r="E358" s="64">
        <v>1.6</v>
      </c>
      <c r="F358" s="64">
        <v>0</v>
      </c>
      <c r="G358" s="64">
        <v>0</v>
      </c>
      <c r="H358" s="64">
        <v>0.5</v>
      </c>
    </row>
    <row r="359" spans="1:8" x14ac:dyDescent="0.2">
      <c r="A359" s="15" t="s">
        <v>241</v>
      </c>
      <c r="B359" s="64">
        <v>1.2</v>
      </c>
      <c r="C359" s="64">
        <v>1.2</v>
      </c>
      <c r="D359" s="22">
        <f>LRFD_f1</f>
        <v>0.5</v>
      </c>
      <c r="E359" s="64">
        <v>1.6</v>
      </c>
      <c r="F359" s="64">
        <v>1.6</v>
      </c>
      <c r="G359" s="64">
        <v>0</v>
      </c>
      <c r="H359" s="64">
        <v>0</v>
      </c>
    </row>
    <row r="360" spans="1:8" x14ac:dyDescent="0.2">
      <c r="A360" s="15" t="s">
        <v>242</v>
      </c>
      <c r="B360" s="64">
        <v>1.2</v>
      </c>
      <c r="C360" s="64">
        <v>1.2</v>
      </c>
      <c r="D360" s="22">
        <f>LRFD_f1</f>
        <v>0.5</v>
      </c>
      <c r="E360" s="64">
        <v>1.6</v>
      </c>
      <c r="F360" s="64">
        <v>0</v>
      </c>
      <c r="G360" s="64">
        <v>1.6</v>
      </c>
      <c r="H360" s="64">
        <v>0</v>
      </c>
    </row>
    <row r="361" spans="1:8" x14ac:dyDescent="0.2">
      <c r="A361" s="15" t="s">
        <v>243</v>
      </c>
      <c r="B361" s="64">
        <v>1.2</v>
      </c>
      <c r="C361" s="64">
        <v>1.2</v>
      </c>
      <c r="D361" s="22">
        <f>LRFD_f1</f>
        <v>0.5</v>
      </c>
      <c r="E361" s="64">
        <v>1.6</v>
      </c>
      <c r="F361" s="64">
        <v>0</v>
      </c>
      <c r="G361" s="64">
        <v>0</v>
      </c>
      <c r="H361" s="64">
        <v>1.6</v>
      </c>
    </row>
    <row r="362" spans="1:8" x14ac:dyDescent="0.2">
      <c r="A362" s="15" t="s">
        <v>245</v>
      </c>
      <c r="B362" s="64">
        <v>1.2</v>
      </c>
      <c r="C362" s="64">
        <v>1.2</v>
      </c>
      <c r="D362" s="64">
        <v>0</v>
      </c>
      <c r="E362" s="64">
        <v>1.6</v>
      </c>
      <c r="F362" s="64">
        <v>1.6</v>
      </c>
      <c r="G362" s="64">
        <v>0</v>
      </c>
      <c r="H362" s="64">
        <v>0</v>
      </c>
    </row>
    <row r="363" spans="1:8" x14ac:dyDescent="0.2">
      <c r="A363" s="15" t="s">
        <v>246</v>
      </c>
      <c r="B363" s="64">
        <v>1.2</v>
      </c>
      <c r="C363" s="64">
        <v>1.2</v>
      </c>
      <c r="D363" s="64">
        <v>0</v>
      </c>
      <c r="E363" s="64">
        <v>1.6</v>
      </c>
      <c r="F363" s="64">
        <v>0</v>
      </c>
      <c r="G363" s="64">
        <v>1.6</v>
      </c>
      <c r="H363" s="64">
        <v>0</v>
      </c>
    </row>
    <row r="364" spans="1:8" x14ac:dyDescent="0.2">
      <c r="A364" s="15" t="s">
        <v>247</v>
      </c>
      <c r="B364" s="64">
        <v>1.2</v>
      </c>
      <c r="C364" s="64">
        <v>1.2</v>
      </c>
      <c r="D364" s="64">
        <v>0</v>
      </c>
      <c r="E364" s="64">
        <v>1.6</v>
      </c>
      <c r="F364" s="64">
        <v>0</v>
      </c>
      <c r="G364" s="64">
        <v>0</v>
      </c>
      <c r="H364" s="64">
        <v>1.6</v>
      </c>
    </row>
    <row r="365" spans="1:8" x14ac:dyDescent="0.2">
      <c r="A365" s="15" t="s">
        <v>248</v>
      </c>
      <c r="B365" s="64">
        <v>1.2</v>
      </c>
      <c r="C365" s="64">
        <v>1.2</v>
      </c>
      <c r="D365" s="64">
        <v>0</v>
      </c>
      <c r="E365" s="64">
        <v>1.6</v>
      </c>
      <c r="F365" s="64">
        <v>1.6</v>
      </c>
      <c r="G365" s="64">
        <v>0</v>
      </c>
      <c r="H365" s="64">
        <v>0</v>
      </c>
    </row>
    <row r="366" spans="1:8" x14ac:dyDescent="0.2">
      <c r="A366" s="15" t="s">
        <v>249</v>
      </c>
      <c r="B366" s="64">
        <v>1.2</v>
      </c>
      <c r="C366" s="64">
        <v>1.2</v>
      </c>
      <c r="D366" s="64">
        <v>0</v>
      </c>
      <c r="E366" s="64">
        <v>1.6</v>
      </c>
      <c r="F366" s="64">
        <v>0</v>
      </c>
      <c r="G366" s="64">
        <v>1.6</v>
      </c>
      <c r="H366" s="64">
        <v>0</v>
      </c>
    </row>
    <row r="367" spans="1:8" x14ac:dyDescent="0.2">
      <c r="A367" s="15" t="s">
        <v>250</v>
      </c>
      <c r="B367" s="64">
        <v>1.2</v>
      </c>
      <c r="C367" s="64">
        <v>1.2</v>
      </c>
      <c r="D367" s="64">
        <v>0</v>
      </c>
      <c r="E367" s="64">
        <v>1.6</v>
      </c>
      <c r="F367" s="64">
        <v>0</v>
      </c>
      <c r="G367" s="64">
        <v>0</v>
      </c>
      <c r="H367" s="64">
        <v>1.6</v>
      </c>
    </row>
    <row r="368" spans="1:8" x14ac:dyDescent="0.2">
      <c r="A368" s="15" t="s">
        <v>251</v>
      </c>
      <c r="B368" s="64">
        <v>1.2</v>
      </c>
      <c r="C368" s="64">
        <v>1.2</v>
      </c>
      <c r="D368" s="22">
        <f t="shared" ref="D368:D375" si="24">LRFD_f1</f>
        <v>0.5</v>
      </c>
      <c r="E368" s="64">
        <v>1.6</v>
      </c>
      <c r="F368" s="64">
        <v>0.5</v>
      </c>
      <c r="G368" s="64">
        <v>0</v>
      </c>
      <c r="H368" s="64">
        <v>0</v>
      </c>
    </row>
    <row r="369" spans="1:8" x14ac:dyDescent="0.2">
      <c r="A369" s="15" t="s">
        <v>252</v>
      </c>
      <c r="B369" s="64">
        <v>1.2</v>
      </c>
      <c r="C369" s="64">
        <v>1.2</v>
      </c>
      <c r="D369" s="22">
        <f t="shared" si="24"/>
        <v>0.5</v>
      </c>
      <c r="E369" s="64">
        <v>1.6</v>
      </c>
      <c r="F369" s="64">
        <v>0</v>
      </c>
      <c r="G369" s="64">
        <v>0.5</v>
      </c>
      <c r="H369" s="64">
        <v>0</v>
      </c>
    </row>
    <row r="370" spans="1:8" x14ac:dyDescent="0.2">
      <c r="A370" s="15" t="s">
        <v>253</v>
      </c>
      <c r="B370" s="64">
        <v>1.2</v>
      </c>
      <c r="C370" s="64">
        <v>1.2</v>
      </c>
      <c r="D370" s="22">
        <f t="shared" si="24"/>
        <v>0.5</v>
      </c>
      <c r="E370" s="64">
        <v>1.6</v>
      </c>
      <c r="F370" s="64">
        <v>0</v>
      </c>
      <c r="G370" s="64">
        <v>0</v>
      </c>
      <c r="H370" s="64">
        <v>0.5</v>
      </c>
    </row>
    <row r="371" spans="1:8" x14ac:dyDescent="0.2">
      <c r="A371" s="15" t="s">
        <v>254</v>
      </c>
      <c r="B371" s="64">
        <v>1.2</v>
      </c>
      <c r="C371" s="64">
        <v>1.2</v>
      </c>
      <c r="D371" s="22">
        <f t="shared" si="24"/>
        <v>0.5</v>
      </c>
      <c r="E371" s="64">
        <v>1.6</v>
      </c>
      <c r="F371" s="64">
        <v>0.5</v>
      </c>
      <c r="G371" s="64">
        <v>0</v>
      </c>
      <c r="H371" s="64">
        <v>0</v>
      </c>
    </row>
    <row r="372" spans="1:8" x14ac:dyDescent="0.2">
      <c r="A372" s="15" t="s">
        <v>255</v>
      </c>
      <c r="B372" s="64">
        <v>1.2</v>
      </c>
      <c r="C372" s="64">
        <v>1.2</v>
      </c>
      <c r="D372" s="22">
        <f t="shared" si="24"/>
        <v>0.5</v>
      </c>
      <c r="E372" s="64">
        <v>1.6</v>
      </c>
      <c r="F372" s="64">
        <v>0</v>
      </c>
      <c r="G372" s="64">
        <v>0.5</v>
      </c>
      <c r="H372" s="64">
        <v>0</v>
      </c>
    </row>
    <row r="373" spans="1:8" x14ac:dyDescent="0.2">
      <c r="A373" s="15" t="s">
        <v>256</v>
      </c>
      <c r="B373" s="64">
        <v>1.2</v>
      </c>
      <c r="C373" s="64">
        <v>1.2</v>
      </c>
      <c r="D373" s="22">
        <f t="shared" si="24"/>
        <v>0.5</v>
      </c>
      <c r="E373" s="64">
        <v>1.6</v>
      </c>
      <c r="F373" s="64">
        <v>0</v>
      </c>
      <c r="G373" s="64">
        <v>0</v>
      </c>
      <c r="H373" s="64">
        <v>0.5</v>
      </c>
    </row>
    <row r="374" spans="1:8" x14ac:dyDescent="0.2">
      <c r="A374" s="15" t="s">
        <v>257</v>
      </c>
      <c r="B374" s="64">
        <v>1.2</v>
      </c>
      <c r="C374" s="64">
        <v>1.2</v>
      </c>
      <c r="D374" s="22">
        <f t="shared" si="24"/>
        <v>0.5</v>
      </c>
      <c r="E374" s="64">
        <v>1.6</v>
      </c>
      <c r="F374" s="64">
        <v>0</v>
      </c>
      <c r="G374" s="22">
        <f>LRFD_f2</f>
        <v>0.7</v>
      </c>
      <c r="H374" s="64">
        <v>0</v>
      </c>
    </row>
    <row r="375" spans="1:8" x14ac:dyDescent="0.2">
      <c r="A375" s="15" t="s">
        <v>258</v>
      </c>
      <c r="B375" s="64">
        <v>1.2</v>
      </c>
      <c r="C375" s="64">
        <v>1.2</v>
      </c>
      <c r="D375" s="22">
        <f t="shared" si="24"/>
        <v>0.5</v>
      </c>
      <c r="E375" s="64">
        <v>1.6</v>
      </c>
      <c r="F375" s="64">
        <v>0</v>
      </c>
      <c r="G375" s="22">
        <f>LRFD_f2</f>
        <v>0.7</v>
      </c>
      <c r="H375" s="64">
        <v>0</v>
      </c>
    </row>
    <row r="376" spans="1:8" x14ac:dyDescent="0.2">
      <c r="A376" s="15" t="s">
        <v>259</v>
      </c>
      <c r="B376" s="64">
        <v>0.9</v>
      </c>
      <c r="C376" s="64">
        <v>0</v>
      </c>
      <c r="D376" s="64">
        <v>0</v>
      </c>
      <c r="E376" s="64">
        <v>0.9</v>
      </c>
      <c r="F376" s="64">
        <v>0</v>
      </c>
      <c r="G376" s="64">
        <v>0</v>
      </c>
      <c r="H376" s="64">
        <v>0</v>
      </c>
    </row>
    <row r="377" spans="1:8" x14ac:dyDescent="0.2">
      <c r="A377" s="15" t="s">
        <v>260</v>
      </c>
      <c r="B377" s="64">
        <v>0.9</v>
      </c>
      <c r="C377" s="64">
        <v>0</v>
      </c>
      <c r="D377" s="64">
        <v>0</v>
      </c>
      <c r="E377" s="64">
        <v>0.9</v>
      </c>
      <c r="F377" s="64">
        <v>0</v>
      </c>
      <c r="G377" s="64">
        <v>0</v>
      </c>
      <c r="H377" s="64">
        <v>0</v>
      </c>
    </row>
    <row r="378" spans="1:8" x14ac:dyDescent="0.2">
      <c r="A378" s="15" t="s">
        <v>261</v>
      </c>
      <c r="B378" s="64">
        <v>0.9</v>
      </c>
      <c r="C378" s="64">
        <v>0.9</v>
      </c>
      <c r="D378" s="64">
        <v>0</v>
      </c>
      <c r="E378" s="64">
        <v>0.9</v>
      </c>
      <c r="F378" s="64">
        <v>0</v>
      </c>
      <c r="G378" s="64">
        <v>0</v>
      </c>
      <c r="H378" s="64">
        <v>0</v>
      </c>
    </row>
    <row r="379" spans="1:8" x14ac:dyDescent="0.2">
      <c r="A379" s="15" t="s">
        <v>262</v>
      </c>
      <c r="B379" s="64">
        <v>0.9</v>
      </c>
      <c r="C379" s="64">
        <v>0.9</v>
      </c>
      <c r="D379" s="64">
        <v>0</v>
      </c>
      <c r="E379" s="64">
        <v>0.9</v>
      </c>
      <c r="F379" s="64">
        <v>0</v>
      </c>
      <c r="G379" s="64">
        <v>0</v>
      </c>
      <c r="H379" s="64">
        <v>0</v>
      </c>
    </row>
    <row r="380" spans="1:8" x14ac:dyDescent="0.2">
      <c r="B380" s="19"/>
      <c r="C380" s="19"/>
      <c r="D380" s="19"/>
      <c r="E380" s="19"/>
      <c r="F380" s="19"/>
      <c r="G380" s="19"/>
      <c r="H380" s="19"/>
    </row>
    <row r="381" spans="1:8" x14ac:dyDescent="0.2">
      <c r="A381" s="19" t="s">
        <v>193</v>
      </c>
      <c r="B381" s="55" t="s">
        <v>147</v>
      </c>
      <c r="C381" s="55" t="s">
        <v>152</v>
      </c>
      <c r="D381" s="55" t="s">
        <v>161</v>
      </c>
      <c r="E381" s="55" t="s">
        <v>162</v>
      </c>
    </row>
    <row r="382" spans="1:8" x14ac:dyDescent="0.2">
      <c r="A382" s="15" t="s">
        <v>237</v>
      </c>
      <c r="B382" s="64">
        <v>0</v>
      </c>
      <c r="C382" s="64">
        <v>0</v>
      </c>
      <c r="D382" s="64">
        <v>0</v>
      </c>
      <c r="E382" s="64">
        <v>0</v>
      </c>
    </row>
    <row r="383" spans="1:8" x14ac:dyDescent="0.2">
      <c r="A383" s="15" t="s">
        <v>238</v>
      </c>
      <c r="B383" s="64">
        <v>0</v>
      </c>
      <c r="C383" s="64">
        <v>0</v>
      </c>
      <c r="D383" s="64">
        <v>0</v>
      </c>
      <c r="E383" s="64">
        <v>0</v>
      </c>
    </row>
    <row r="384" spans="1:8" x14ac:dyDescent="0.2">
      <c r="A384" s="15" t="s">
        <v>239</v>
      </c>
      <c r="B384" s="64">
        <v>0</v>
      </c>
      <c r="C384" s="64">
        <v>0</v>
      </c>
      <c r="D384" s="64">
        <v>0</v>
      </c>
      <c r="E384" s="64">
        <v>0</v>
      </c>
    </row>
    <row r="385" spans="1:5" x14ac:dyDescent="0.2">
      <c r="A385" s="15" t="s">
        <v>240</v>
      </c>
      <c r="B385" s="64">
        <v>0</v>
      </c>
      <c r="C385" s="64">
        <v>0</v>
      </c>
      <c r="D385" s="64">
        <v>0</v>
      </c>
      <c r="E385" s="64">
        <v>0</v>
      </c>
    </row>
    <row r="386" spans="1:5" x14ac:dyDescent="0.2">
      <c r="A386" s="15" t="s">
        <v>241</v>
      </c>
      <c r="B386" s="64">
        <v>0</v>
      </c>
      <c r="C386" s="64">
        <v>0</v>
      </c>
      <c r="D386" s="64">
        <v>0</v>
      </c>
      <c r="E386" s="64">
        <v>0</v>
      </c>
    </row>
    <row r="387" spans="1:5" x14ac:dyDescent="0.2">
      <c r="A387" s="15" t="s">
        <v>242</v>
      </c>
      <c r="B387" s="64">
        <v>0</v>
      </c>
      <c r="C387" s="64">
        <v>0</v>
      </c>
      <c r="D387" s="64">
        <v>0</v>
      </c>
      <c r="E387" s="64">
        <v>0</v>
      </c>
    </row>
    <row r="388" spans="1:5" x14ac:dyDescent="0.2">
      <c r="A388" s="15" t="s">
        <v>243</v>
      </c>
      <c r="B388" s="64">
        <v>0</v>
      </c>
      <c r="C388" s="64">
        <v>0</v>
      </c>
      <c r="D388" s="64">
        <v>0</v>
      </c>
      <c r="E388" s="64">
        <v>0</v>
      </c>
    </row>
    <row r="389" spans="1:5" x14ac:dyDescent="0.2">
      <c r="A389" s="15" t="s">
        <v>245</v>
      </c>
      <c r="B389" s="64">
        <v>0.5</v>
      </c>
      <c r="C389" s="64">
        <v>0</v>
      </c>
      <c r="D389" s="64">
        <v>0</v>
      </c>
      <c r="E389" s="64">
        <v>0</v>
      </c>
    </row>
    <row r="390" spans="1:5" x14ac:dyDescent="0.2">
      <c r="A390" s="15" t="s">
        <v>246</v>
      </c>
      <c r="B390" s="64">
        <v>0.5</v>
      </c>
      <c r="C390" s="64">
        <v>0</v>
      </c>
      <c r="D390" s="64">
        <v>0</v>
      </c>
      <c r="E390" s="64">
        <v>0</v>
      </c>
    </row>
    <row r="391" spans="1:5" x14ac:dyDescent="0.2">
      <c r="A391" s="15" t="s">
        <v>247</v>
      </c>
      <c r="B391" s="64">
        <v>0.5</v>
      </c>
      <c r="C391" s="64">
        <v>0</v>
      </c>
      <c r="D391" s="64">
        <v>0</v>
      </c>
      <c r="E391" s="64">
        <v>0</v>
      </c>
    </row>
    <row r="392" spans="1:5" x14ac:dyDescent="0.2">
      <c r="A392" s="15" t="s">
        <v>248</v>
      </c>
      <c r="B392" s="64">
        <v>0</v>
      </c>
      <c r="C392" s="64">
        <v>0.5</v>
      </c>
      <c r="D392" s="64">
        <v>0</v>
      </c>
      <c r="E392" s="64">
        <v>0</v>
      </c>
    </row>
    <row r="393" spans="1:5" x14ac:dyDescent="0.2">
      <c r="A393" s="15" t="s">
        <v>249</v>
      </c>
      <c r="B393" s="64">
        <v>0</v>
      </c>
      <c r="C393" s="64">
        <v>0.5</v>
      </c>
      <c r="D393" s="64">
        <v>0</v>
      </c>
      <c r="E393" s="64">
        <v>0</v>
      </c>
    </row>
    <row r="394" spans="1:5" x14ac:dyDescent="0.2">
      <c r="A394" s="15" t="s">
        <v>250</v>
      </c>
      <c r="B394" s="64">
        <v>0</v>
      </c>
      <c r="C394" s="64">
        <v>0.5</v>
      </c>
      <c r="D394" s="64">
        <v>0</v>
      </c>
      <c r="E394" s="64">
        <v>0</v>
      </c>
    </row>
    <row r="395" spans="1:5" x14ac:dyDescent="0.2">
      <c r="A395" s="15" t="s">
        <v>251</v>
      </c>
      <c r="B395" s="64">
        <v>1</v>
      </c>
      <c r="C395" s="64">
        <v>0</v>
      </c>
      <c r="D395" s="64">
        <v>0</v>
      </c>
      <c r="E395" s="64">
        <v>0</v>
      </c>
    </row>
    <row r="396" spans="1:5" x14ac:dyDescent="0.2">
      <c r="A396" s="15" t="s">
        <v>252</v>
      </c>
      <c r="B396" s="64">
        <v>1</v>
      </c>
      <c r="C396" s="64">
        <v>0</v>
      </c>
      <c r="D396" s="64">
        <v>0</v>
      </c>
      <c r="E396" s="64">
        <v>0</v>
      </c>
    </row>
    <row r="397" spans="1:5" x14ac:dyDescent="0.2">
      <c r="A397" s="15" t="s">
        <v>253</v>
      </c>
      <c r="B397" s="64">
        <v>1</v>
      </c>
      <c r="C397" s="64">
        <v>0</v>
      </c>
      <c r="D397" s="64">
        <v>0</v>
      </c>
      <c r="E397" s="64">
        <v>0</v>
      </c>
    </row>
    <row r="398" spans="1:5" x14ac:dyDescent="0.2">
      <c r="A398" s="15" t="s">
        <v>254</v>
      </c>
      <c r="B398" s="64">
        <v>0</v>
      </c>
      <c r="C398" s="64">
        <v>1</v>
      </c>
      <c r="D398" s="64">
        <v>0</v>
      </c>
      <c r="E398" s="64">
        <v>0</v>
      </c>
    </row>
    <row r="399" spans="1:5" x14ac:dyDescent="0.2">
      <c r="A399" s="15" t="s">
        <v>255</v>
      </c>
      <c r="B399" s="64">
        <v>0</v>
      </c>
      <c r="C399" s="64">
        <v>1</v>
      </c>
      <c r="D399" s="64">
        <v>0</v>
      </c>
      <c r="E399" s="64">
        <v>0</v>
      </c>
    </row>
    <row r="400" spans="1:5" x14ac:dyDescent="0.2">
      <c r="A400" s="15" t="s">
        <v>256</v>
      </c>
      <c r="B400" s="64">
        <v>0</v>
      </c>
      <c r="C400" s="64">
        <v>1</v>
      </c>
      <c r="D400" s="64">
        <v>0</v>
      </c>
      <c r="E400" s="64">
        <v>0</v>
      </c>
    </row>
    <row r="401" spans="1:8" x14ac:dyDescent="0.2">
      <c r="A401" s="15" t="s">
        <v>257</v>
      </c>
      <c r="B401" s="64">
        <v>0</v>
      </c>
      <c r="C401" s="64">
        <v>0</v>
      </c>
      <c r="D401" s="64">
        <v>1</v>
      </c>
      <c r="E401" s="64">
        <v>0</v>
      </c>
    </row>
    <row r="402" spans="1:8" x14ac:dyDescent="0.2">
      <c r="A402" s="15" t="s">
        <v>258</v>
      </c>
      <c r="B402" s="64">
        <v>0</v>
      </c>
      <c r="C402" s="64">
        <v>0</v>
      </c>
      <c r="D402" s="64">
        <v>0</v>
      </c>
      <c r="E402" s="64">
        <v>1</v>
      </c>
    </row>
    <row r="403" spans="1:8" x14ac:dyDescent="0.2">
      <c r="A403" s="15" t="s">
        <v>259</v>
      </c>
      <c r="B403" s="64">
        <v>1</v>
      </c>
      <c r="C403" s="64">
        <v>0</v>
      </c>
      <c r="D403" s="64">
        <v>0</v>
      </c>
      <c r="E403" s="64">
        <v>0</v>
      </c>
    </row>
    <row r="404" spans="1:8" x14ac:dyDescent="0.2">
      <c r="A404" s="15" t="s">
        <v>260</v>
      </c>
      <c r="B404" s="64">
        <v>0</v>
      </c>
      <c r="C404" s="64">
        <v>1</v>
      </c>
      <c r="D404" s="64">
        <v>0</v>
      </c>
      <c r="E404" s="64">
        <v>0</v>
      </c>
    </row>
    <row r="405" spans="1:8" x14ac:dyDescent="0.2">
      <c r="A405" s="15" t="s">
        <v>261</v>
      </c>
      <c r="B405" s="64">
        <v>0</v>
      </c>
      <c r="C405" s="64">
        <v>0</v>
      </c>
      <c r="D405" s="64">
        <v>1</v>
      </c>
      <c r="E405" s="64">
        <v>0</v>
      </c>
    </row>
    <row r="406" spans="1:8" x14ac:dyDescent="0.2">
      <c r="A406" s="15" t="s">
        <v>262</v>
      </c>
      <c r="B406" s="64">
        <v>0</v>
      </c>
      <c r="C406" s="64">
        <v>0</v>
      </c>
      <c r="D406" s="64">
        <v>0</v>
      </c>
      <c r="E406" s="64">
        <v>1</v>
      </c>
    </row>
    <row r="412" spans="1:8" x14ac:dyDescent="0.2">
      <c r="A412" s="31" t="s">
        <v>244</v>
      </c>
    </row>
    <row r="414" spans="1:8" x14ac:dyDescent="0.2">
      <c r="A414" s="55" t="s">
        <v>193</v>
      </c>
      <c r="B414" s="56" t="s">
        <v>110</v>
      </c>
      <c r="C414" s="56" t="s">
        <v>112</v>
      </c>
      <c r="D414" s="56" t="s">
        <v>184</v>
      </c>
      <c r="E414" s="55" t="s">
        <v>203</v>
      </c>
      <c r="F414" s="57" t="s">
        <v>204</v>
      </c>
      <c r="G414" s="55" t="s">
        <v>206</v>
      </c>
      <c r="H414" s="19" t="s">
        <v>264</v>
      </c>
    </row>
    <row r="415" spans="1:8" x14ac:dyDescent="0.2">
      <c r="A415" s="15" t="s">
        <v>237</v>
      </c>
      <c r="B415" s="58">
        <f t="array" ref="B415:B439">MMULT(B355:H379,B179:B185)+MMULT(B382:E406,B186:B189)</f>
        <v>114.24583333333334</v>
      </c>
      <c r="C415" s="58">
        <f t="array" ref="C415:C439">MMULT(B355:H379,C179:C185)+MMULT(B382:E406,C186:C189)</f>
        <v>1813.5541666666668</v>
      </c>
      <c r="D415" s="58">
        <f t="array" ref="D415:D439">MMULT(B355:H379,D179:D185)+MMULT(B382:E406,D186:D189)</f>
        <v>0</v>
      </c>
      <c r="E415" s="58">
        <f>C415/B415</f>
        <v>15.874138371202452</v>
      </c>
      <c r="F415" s="58">
        <f t="shared" ref="F415:F439" si="25">E415-(Lf_ft/2)</f>
        <v>0.87413837120245219</v>
      </c>
      <c r="G415" s="58">
        <f t="shared" ref="G415:G439" si="26">IF(ABS(F415)&gt;ftg_kern_ft,1,0)</f>
        <v>0</v>
      </c>
      <c r="H415" s="59">
        <f t="shared" ref="H415:H439" si="27">IF(OR(E415&gt;=Lf_ft,E415&lt;=0),1,0)</f>
        <v>0</v>
      </c>
    </row>
    <row r="416" spans="1:8" x14ac:dyDescent="0.2">
      <c r="A416" s="15" t="s">
        <v>238</v>
      </c>
      <c r="B416" s="58">
        <v>156.72499999999999</v>
      </c>
      <c r="C416" s="58">
        <v>2554.0750000000003</v>
      </c>
      <c r="D416" s="58">
        <v>0</v>
      </c>
      <c r="E416" s="58">
        <f t="shared" ref="E416:E439" si="28">C416/B416</f>
        <v>16.296538522890415</v>
      </c>
      <c r="F416" s="58">
        <f t="shared" si="25"/>
        <v>1.2965385228904154</v>
      </c>
      <c r="G416" s="58">
        <f t="shared" si="26"/>
        <v>0</v>
      </c>
      <c r="H416" s="59">
        <f t="shared" si="27"/>
        <v>0</v>
      </c>
    </row>
    <row r="417" spans="1:8" x14ac:dyDescent="0.2">
      <c r="A417" s="15" t="s">
        <v>239</v>
      </c>
      <c r="B417" s="58">
        <v>161.22499999999999</v>
      </c>
      <c r="C417" s="58">
        <v>2630.5750000000003</v>
      </c>
      <c r="D417" s="58">
        <v>0</v>
      </c>
      <c r="E417" s="58">
        <f t="shared" si="28"/>
        <v>16.316173050085286</v>
      </c>
      <c r="F417" s="58">
        <f t="shared" si="25"/>
        <v>1.3161730500852862</v>
      </c>
      <c r="G417" s="58">
        <f t="shared" si="26"/>
        <v>0</v>
      </c>
      <c r="H417" s="59">
        <f t="shared" si="27"/>
        <v>0</v>
      </c>
    </row>
    <row r="418" spans="1:8" x14ac:dyDescent="0.2">
      <c r="A418" s="15" t="s">
        <v>240</v>
      </c>
      <c r="B418" s="58">
        <v>156.72499999999999</v>
      </c>
      <c r="C418" s="58">
        <v>2554.0750000000003</v>
      </c>
      <c r="D418" s="58">
        <v>0</v>
      </c>
      <c r="E418" s="58">
        <f t="shared" si="28"/>
        <v>16.296538522890415</v>
      </c>
      <c r="F418" s="58">
        <f t="shared" si="25"/>
        <v>1.2965385228904154</v>
      </c>
      <c r="G418" s="58">
        <f t="shared" si="26"/>
        <v>0</v>
      </c>
      <c r="H418" s="59">
        <f t="shared" si="27"/>
        <v>0</v>
      </c>
    </row>
    <row r="419" spans="1:8" x14ac:dyDescent="0.2">
      <c r="A419" s="15" t="s">
        <v>241</v>
      </c>
      <c r="B419" s="58">
        <v>116.3</v>
      </c>
      <c r="C419" s="58">
        <v>1866.8500000000001</v>
      </c>
      <c r="D419" s="58">
        <v>0</v>
      </c>
      <c r="E419" s="58">
        <f t="shared" si="28"/>
        <v>16.052020636285469</v>
      </c>
      <c r="F419" s="58">
        <f t="shared" si="25"/>
        <v>1.0520206362854694</v>
      </c>
      <c r="G419" s="58">
        <f t="shared" si="26"/>
        <v>0</v>
      </c>
      <c r="H419" s="59">
        <f t="shared" si="27"/>
        <v>0</v>
      </c>
    </row>
    <row r="420" spans="1:8" x14ac:dyDescent="0.2">
      <c r="A420" s="15" t="s">
        <v>242</v>
      </c>
      <c r="B420" s="58">
        <v>130.69999999999999</v>
      </c>
      <c r="C420" s="58">
        <v>2111.65</v>
      </c>
      <c r="D420" s="58">
        <v>0</v>
      </c>
      <c r="E420" s="58">
        <f t="shared" si="28"/>
        <v>16.156465187452184</v>
      </c>
      <c r="F420" s="58">
        <f t="shared" si="25"/>
        <v>1.1564651874521843</v>
      </c>
      <c r="G420" s="58">
        <f t="shared" si="26"/>
        <v>0</v>
      </c>
      <c r="H420" s="59">
        <f t="shared" si="27"/>
        <v>0</v>
      </c>
    </row>
    <row r="421" spans="1:8" x14ac:dyDescent="0.2">
      <c r="A421" s="15" t="s">
        <v>243</v>
      </c>
      <c r="B421" s="58">
        <v>116.3</v>
      </c>
      <c r="C421" s="58">
        <v>1866.8500000000001</v>
      </c>
      <c r="D421" s="58">
        <v>0</v>
      </c>
      <c r="E421" s="58">
        <f t="shared" si="28"/>
        <v>16.052020636285469</v>
      </c>
      <c r="F421" s="58">
        <f t="shared" si="25"/>
        <v>1.0520206362854694</v>
      </c>
      <c r="G421" s="58">
        <f t="shared" si="26"/>
        <v>0</v>
      </c>
      <c r="H421" s="59">
        <f t="shared" si="27"/>
        <v>0</v>
      </c>
    </row>
    <row r="422" spans="1:8" x14ac:dyDescent="0.2">
      <c r="A422" s="15" t="s">
        <v>245</v>
      </c>
      <c r="B422" s="58">
        <v>97.924999999999997</v>
      </c>
      <c r="C422" s="58">
        <v>1893.2250000000001</v>
      </c>
      <c r="D422" s="58">
        <v>7.5</v>
      </c>
      <c r="E422" s="58">
        <f t="shared" si="28"/>
        <v>19.333418432473835</v>
      </c>
      <c r="F422" s="58">
        <f t="shared" si="25"/>
        <v>4.3334184324738345</v>
      </c>
      <c r="G422" s="58">
        <f t="shared" si="26"/>
        <v>0</v>
      </c>
      <c r="H422" s="59">
        <f t="shared" si="27"/>
        <v>0</v>
      </c>
    </row>
    <row r="423" spans="1:8" x14ac:dyDescent="0.2">
      <c r="A423" s="15" t="s">
        <v>246</v>
      </c>
      <c r="B423" s="58">
        <v>112.325</v>
      </c>
      <c r="C423" s="58">
        <v>2138.0250000000001</v>
      </c>
      <c r="D423" s="58">
        <v>7.5</v>
      </c>
      <c r="E423" s="58">
        <f t="shared" si="28"/>
        <v>19.034275539728466</v>
      </c>
      <c r="F423" s="58">
        <f t="shared" si="25"/>
        <v>4.0342755397284655</v>
      </c>
      <c r="G423" s="58">
        <f t="shared" si="26"/>
        <v>0</v>
      </c>
      <c r="H423" s="59">
        <f t="shared" si="27"/>
        <v>0</v>
      </c>
    </row>
    <row r="424" spans="1:8" x14ac:dyDescent="0.2">
      <c r="A424" s="15" t="s">
        <v>247</v>
      </c>
      <c r="B424" s="58">
        <v>97.924999999999997</v>
      </c>
      <c r="C424" s="58">
        <v>1893.2250000000001</v>
      </c>
      <c r="D424" s="58">
        <v>7.5</v>
      </c>
      <c r="E424" s="58">
        <f t="shared" si="28"/>
        <v>19.333418432473835</v>
      </c>
      <c r="F424" s="58">
        <f t="shared" si="25"/>
        <v>4.3334184324738345</v>
      </c>
      <c r="G424" s="58">
        <f t="shared" si="26"/>
        <v>0</v>
      </c>
      <c r="H424" s="59">
        <f t="shared" si="27"/>
        <v>0</v>
      </c>
    </row>
    <row r="425" spans="1:8" x14ac:dyDescent="0.2">
      <c r="A425" s="15" t="s">
        <v>248</v>
      </c>
      <c r="B425" s="58">
        <v>97.924999999999997</v>
      </c>
      <c r="C425" s="58">
        <v>1215.7249999999999</v>
      </c>
      <c r="D425" s="58">
        <v>-7.5</v>
      </c>
      <c r="E425" s="58">
        <f t="shared" si="28"/>
        <v>12.41485830993107</v>
      </c>
      <c r="F425" s="58">
        <f t="shared" si="25"/>
        <v>-2.5851416900689301</v>
      </c>
      <c r="G425" s="58">
        <f t="shared" si="26"/>
        <v>0</v>
      </c>
      <c r="H425" s="59">
        <f t="shared" si="27"/>
        <v>0</v>
      </c>
    </row>
    <row r="426" spans="1:8" x14ac:dyDescent="0.2">
      <c r="A426" s="15" t="s">
        <v>249</v>
      </c>
      <c r="B426" s="58">
        <v>112.325</v>
      </c>
      <c r="C426" s="58">
        <v>1460.5250000000001</v>
      </c>
      <c r="D426" s="58">
        <v>-7.5</v>
      </c>
      <c r="E426" s="58">
        <f t="shared" si="28"/>
        <v>13.002670821277544</v>
      </c>
      <c r="F426" s="58">
        <f t="shared" si="25"/>
        <v>-1.9973291787224561</v>
      </c>
      <c r="G426" s="58">
        <f t="shared" si="26"/>
        <v>0</v>
      </c>
      <c r="H426" s="59">
        <f t="shared" si="27"/>
        <v>0</v>
      </c>
    </row>
    <row r="427" spans="1:8" x14ac:dyDescent="0.2">
      <c r="A427" s="15" t="s">
        <v>250</v>
      </c>
      <c r="B427" s="58">
        <v>97.924999999999997</v>
      </c>
      <c r="C427" s="58">
        <v>1215.7249999999999</v>
      </c>
      <c r="D427" s="58">
        <v>-7.5</v>
      </c>
      <c r="E427" s="58">
        <f t="shared" si="28"/>
        <v>12.41485830993107</v>
      </c>
      <c r="F427" s="58">
        <f t="shared" si="25"/>
        <v>-2.5851416900689301</v>
      </c>
      <c r="G427" s="58">
        <f t="shared" si="26"/>
        <v>0</v>
      </c>
      <c r="H427" s="59">
        <f t="shared" si="27"/>
        <v>0</v>
      </c>
    </row>
    <row r="428" spans="1:8" x14ac:dyDescent="0.2">
      <c r="A428" s="15" t="s">
        <v>251</v>
      </c>
      <c r="B428" s="58">
        <v>116.3</v>
      </c>
      <c r="C428" s="58">
        <v>2544.3500000000004</v>
      </c>
      <c r="D428" s="58">
        <v>15</v>
      </c>
      <c r="E428" s="58">
        <f t="shared" si="28"/>
        <v>21.877472055030097</v>
      </c>
      <c r="F428" s="58">
        <f t="shared" si="25"/>
        <v>6.877472055030097</v>
      </c>
      <c r="G428" s="58">
        <f t="shared" si="26"/>
        <v>1</v>
      </c>
      <c r="H428" s="59">
        <f t="shared" si="27"/>
        <v>0</v>
      </c>
    </row>
    <row r="429" spans="1:8" x14ac:dyDescent="0.2">
      <c r="A429" s="15" t="s">
        <v>252</v>
      </c>
      <c r="B429" s="58">
        <v>120.8</v>
      </c>
      <c r="C429" s="58">
        <v>2620.8500000000004</v>
      </c>
      <c r="D429" s="58">
        <v>15</v>
      </c>
      <c r="E429" s="58">
        <f t="shared" si="28"/>
        <v>21.695778145695368</v>
      </c>
      <c r="F429" s="58">
        <f t="shared" si="25"/>
        <v>6.6957781456953676</v>
      </c>
      <c r="G429" s="58">
        <f t="shared" si="26"/>
        <v>1</v>
      </c>
      <c r="H429" s="59">
        <f t="shared" si="27"/>
        <v>0</v>
      </c>
    </row>
    <row r="430" spans="1:8" x14ac:dyDescent="0.2">
      <c r="A430" s="15" t="s">
        <v>253</v>
      </c>
      <c r="B430" s="58">
        <v>116.3</v>
      </c>
      <c r="C430" s="58">
        <v>2544.3500000000004</v>
      </c>
      <c r="D430" s="58">
        <v>15</v>
      </c>
      <c r="E430" s="58">
        <f t="shared" si="28"/>
        <v>21.877472055030097</v>
      </c>
      <c r="F430" s="58">
        <f t="shared" si="25"/>
        <v>6.877472055030097</v>
      </c>
      <c r="G430" s="58">
        <f t="shared" si="26"/>
        <v>1</v>
      </c>
      <c r="H430" s="59">
        <f t="shared" si="27"/>
        <v>0</v>
      </c>
    </row>
    <row r="431" spans="1:8" x14ac:dyDescent="0.2">
      <c r="A431" s="15" t="s">
        <v>254</v>
      </c>
      <c r="B431" s="58">
        <v>116.3</v>
      </c>
      <c r="C431" s="58">
        <v>1189.3499999999999</v>
      </c>
      <c r="D431" s="58">
        <v>-15</v>
      </c>
      <c r="E431" s="58">
        <f t="shared" si="28"/>
        <v>10.226569217540842</v>
      </c>
      <c r="F431" s="58">
        <f t="shared" si="25"/>
        <v>-4.7734307824591582</v>
      </c>
      <c r="G431" s="58">
        <f t="shared" si="26"/>
        <v>0</v>
      </c>
      <c r="H431" s="59">
        <f t="shared" si="27"/>
        <v>0</v>
      </c>
    </row>
    <row r="432" spans="1:8" x14ac:dyDescent="0.2">
      <c r="A432" s="15" t="s">
        <v>255</v>
      </c>
      <c r="B432" s="58">
        <v>120.8</v>
      </c>
      <c r="C432" s="58">
        <v>1265.8499999999999</v>
      </c>
      <c r="D432" s="58">
        <v>-15</v>
      </c>
      <c r="E432" s="58">
        <f t="shared" si="28"/>
        <v>10.47889072847682</v>
      </c>
      <c r="F432" s="58">
        <f t="shared" si="25"/>
        <v>-4.52110927152318</v>
      </c>
      <c r="G432" s="58">
        <f t="shared" si="26"/>
        <v>0</v>
      </c>
      <c r="H432" s="59">
        <f t="shared" si="27"/>
        <v>0</v>
      </c>
    </row>
    <row r="433" spans="1:8" x14ac:dyDescent="0.2">
      <c r="A433" s="15" t="s">
        <v>256</v>
      </c>
      <c r="B433" s="58">
        <v>116.3</v>
      </c>
      <c r="C433" s="58">
        <v>1189.3499999999999</v>
      </c>
      <c r="D433" s="58">
        <v>-15</v>
      </c>
      <c r="E433" s="58">
        <f t="shared" si="28"/>
        <v>10.226569217540842</v>
      </c>
      <c r="F433" s="58">
        <f t="shared" si="25"/>
        <v>-4.7734307824591582</v>
      </c>
      <c r="G433" s="58">
        <f t="shared" si="26"/>
        <v>0</v>
      </c>
      <c r="H433" s="59">
        <f t="shared" si="27"/>
        <v>0</v>
      </c>
    </row>
    <row r="434" spans="1:8" x14ac:dyDescent="0.2">
      <c r="A434" s="15" t="s">
        <v>257</v>
      </c>
      <c r="B434" s="58">
        <v>122.6</v>
      </c>
      <c r="C434" s="58">
        <v>2482.0749999999998</v>
      </c>
      <c r="D434" s="58">
        <v>15</v>
      </c>
      <c r="E434" s="58">
        <f t="shared" si="28"/>
        <v>20.24530995106036</v>
      </c>
      <c r="F434" s="58">
        <f t="shared" si="25"/>
        <v>5.24530995106036</v>
      </c>
      <c r="G434" s="58">
        <f t="shared" si="26"/>
        <v>1</v>
      </c>
      <c r="H434" s="59">
        <f t="shared" si="27"/>
        <v>0</v>
      </c>
    </row>
    <row r="435" spans="1:8" x14ac:dyDescent="0.2">
      <c r="A435" s="15" t="s">
        <v>258</v>
      </c>
      <c r="B435" s="58">
        <v>122.6</v>
      </c>
      <c r="C435" s="58">
        <v>1465.8249999999998</v>
      </c>
      <c r="D435" s="58">
        <v>-15</v>
      </c>
      <c r="E435" s="58">
        <f t="shared" si="28"/>
        <v>11.95615823817292</v>
      </c>
      <c r="F435" s="58">
        <f t="shared" si="25"/>
        <v>-3.0438417618270801</v>
      </c>
      <c r="G435" s="58">
        <f t="shared" si="26"/>
        <v>0</v>
      </c>
      <c r="H435" s="59">
        <f t="shared" si="27"/>
        <v>0</v>
      </c>
    </row>
    <row r="436" spans="1:8" x14ac:dyDescent="0.2">
      <c r="A436" s="15" t="s">
        <v>259</v>
      </c>
      <c r="B436" s="58">
        <v>73.443750000000009</v>
      </c>
      <c r="C436" s="58">
        <v>1843.3562500000003</v>
      </c>
      <c r="D436" s="58">
        <v>15</v>
      </c>
      <c r="E436" s="58">
        <f t="shared" si="28"/>
        <v>25.098885201259467</v>
      </c>
      <c r="F436" s="58">
        <f t="shared" si="25"/>
        <v>10.098885201259467</v>
      </c>
      <c r="G436" s="58">
        <f t="shared" si="26"/>
        <v>1</v>
      </c>
      <c r="H436" s="59">
        <f t="shared" si="27"/>
        <v>0</v>
      </c>
    </row>
    <row r="437" spans="1:8" x14ac:dyDescent="0.2">
      <c r="A437" s="15" t="s">
        <v>260</v>
      </c>
      <c r="B437" s="58">
        <v>73.443750000000009</v>
      </c>
      <c r="C437" s="58">
        <v>488.35625000000005</v>
      </c>
      <c r="D437" s="58">
        <v>-15</v>
      </c>
      <c r="E437" s="58">
        <f t="shared" si="28"/>
        <v>6.6493915411454338</v>
      </c>
      <c r="F437" s="58">
        <f t="shared" si="25"/>
        <v>-8.3506084588545662</v>
      </c>
      <c r="G437" s="58">
        <f t="shared" si="26"/>
        <v>1</v>
      </c>
      <c r="H437" s="59">
        <f t="shared" si="27"/>
        <v>0</v>
      </c>
    </row>
    <row r="438" spans="1:8" x14ac:dyDescent="0.2">
      <c r="A438" s="15" t="s">
        <v>261</v>
      </c>
      <c r="B438" s="58">
        <v>73.443750000000009</v>
      </c>
      <c r="C438" s="58">
        <v>1673.9812500000003</v>
      </c>
      <c r="D438" s="58">
        <v>15</v>
      </c>
      <c r="E438" s="58">
        <f t="shared" si="28"/>
        <v>22.792698493745213</v>
      </c>
      <c r="F438" s="58">
        <f t="shared" si="25"/>
        <v>7.7926984937452133</v>
      </c>
      <c r="G438" s="58">
        <f t="shared" si="26"/>
        <v>1</v>
      </c>
      <c r="H438" s="59">
        <f t="shared" si="27"/>
        <v>0</v>
      </c>
    </row>
    <row r="439" spans="1:8" x14ac:dyDescent="0.2">
      <c r="A439" s="15" t="s">
        <v>262</v>
      </c>
      <c r="B439" s="58">
        <v>73.443750000000009</v>
      </c>
      <c r="C439" s="58">
        <v>657.73125000000005</v>
      </c>
      <c r="D439" s="58">
        <v>-15</v>
      </c>
      <c r="E439" s="58">
        <f t="shared" si="28"/>
        <v>8.9555782486596875</v>
      </c>
      <c r="F439" s="58">
        <f t="shared" si="25"/>
        <v>-6.0444217513403125</v>
      </c>
      <c r="G439" s="58">
        <f t="shared" si="26"/>
        <v>1</v>
      </c>
      <c r="H439" s="59">
        <f t="shared" si="27"/>
        <v>0</v>
      </c>
    </row>
    <row r="440" spans="1:8" x14ac:dyDescent="0.2">
      <c r="G440" s="60">
        <f>SUM(G416:G439)</f>
        <v>8</v>
      </c>
      <c r="H440" s="60">
        <f>SUM(H416:H439)</f>
        <v>0</v>
      </c>
    </row>
    <row r="441" spans="1:8" x14ac:dyDescent="0.2">
      <c r="A441" s="31" t="s">
        <v>263</v>
      </c>
    </row>
    <row r="443" spans="1:8" x14ac:dyDescent="0.2">
      <c r="A443" s="55" t="s">
        <v>193</v>
      </c>
      <c r="B443" s="55" t="s">
        <v>210</v>
      </c>
      <c r="C443" s="55" t="s">
        <v>208</v>
      </c>
      <c r="D443" s="55" t="s">
        <v>211</v>
      </c>
      <c r="E443" s="55" t="s">
        <v>209</v>
      </c>
      <c r="F443" s="55"/>
      <c r="G443" s="57"/>
    </row>
    <row r="444" spans="1:8" x14ac:dyDescent="0.2">
      <c r="A444" s="15" t="s">
        <v>237</v>
      </c>
      <c r="B444" s="75">
        <f t="shared" ref="B444:B468" si="29">IF(F415=0,B415/(Bf_ft*Lf_ft),IF(G415=0,(B415*(1-(F415/ftg_kern_ft)))/(Bf_ft*Lf_ft),IF(F415&gt;0,0,(2/3)*B415*(1/(Bf_ft*(E415))))))</f>
        <v>0.89783333333333315</v>
      </c>
      <c r="C444" s="58">
        <f t="shared" ref="C444:C468" si="30">IF(G415=0,0,IF(F415&lt;0,0,Lf_ft-((2*B415)/(D444*Bf_ft))))</f>
        <v>0</v>
      </c>
      <c r="D444" s="75">
        <f t="shared" ref="D444:D468" si="31">IF(F415=0,B415/(Bf_ft*Lf_ft),IF(G415=0,(B415*(1+(F415/ftg_kern_ft)))/(Bf_ft*Lf_ft),IF(F415&lt;0,0,(2/3)*B415*(1/(Bf_ft*(Lf_ft-E415))))))</f>
        <v>1.2782777777777781</v>
      </c>
      <c r="E444" s="58">
        <f t="shared" ref="E444:E468" si="32">IF(G415=0,Lf_ft,IF(F415&gt;0,Lf_ft,((2*B415)/(B444*Bf_ft))))</f>
        <v>30</v>
      </c>
    </row>
    <row r="445" spans="1:8" x14ac:dyDescent="0.2">
      <c r="A445" s="15" t="s">
        <v>238</v>
      </c>
      <c r="B445" s="58">
        <f t="shared" si="29"/>
        <v>1.1055714285714278</v>
      </c>
      <c r="C445" s="58">
        <f t="shared" si="30"/>
        <v>0</v>
      </c>
      <c r="D445" s="58">
        <f t="shared" si="31"/>
        <v>1.8796666666666673</v>
      </c>
      <c r="E445" s="58">
        <f t="shared" si="32"/>
        <v>30</v>
      </c>
    </row>
    <row r="446" spans="1:8" x14ac:dyDescent="0.2">
      <c r="A446" s="15" t="s">
        <v>239</v>
      </c>
      <c r="B446" s="58">
        <f t="shared" si="29"/>
        <v>1.1312857142857138</v>
      </c>
      <c r="C446" s="58">
        <f t="shared" si="30"/>
        <v>0</v>
      </c>
      <c r="D446" s="58">
        <f t="shared" si="31"/>
        <v>1.9396666666666671</v>
      </c>
      <c r="E446" s="58">
        <f t="shared" si="32"/>
        <v>30</v>
      </c>
    </row>
    <row r="447" spans="1:8" x14ac:dyDescent="0.2">
      <c r="A447" s="15" t="s">
        <v>240</v>
      </c>
      <c r="B447" s="58">
        <f t="shared" si="29"/>
        <v>1.1055714285714278</v>
      </c>
      <c r="C447" s="58">
        <f t="shared" si="30"/>
        <v>0</v>
      </c>
      <c r="D447" s="58">
        <f t="shared" si="31"/>
        <v>1.8796666666666673</v>
      </c>
      <c r="E447" s="58">
        <f t="shared" si="32"/>
        <v>30</v>
      </c>
    </row>
    <row r="448" spans="1:8" x14ac:dyDescent="0.2">
      <c r="A448" s="15" t="s">
        <v>241</v>
      </c>
      <c r="B448" s="58">
        <f t="shared" si="29"/>
        <v>0.87457142857142844</v>
      </c>
      <c r="C448" s="58">
        <f t="shared" si="30"/>
        <v>0</v>
      </c>
      <c r="D448" s="58">
        <f t="shared" si="31"/>
        <v>1.3406666666666667</v>
      </c>
      <c r="E448" s="58">
        <f t="shared" si="32"/>
        <v>30</v>
      </c>
    </row>
    <row r="449" spans="1:5" x14ac:dyDescent="0.2">
      <c r="A449" s="15" t="s">
        <v>242</v>
      </c>
      <c r="B449" s="58">
        <f t="shared" si="29"/>
        <v>0.95685714285714185</v>
      </c>
      <c r="C449" s="58">
        <f t="shared" si="30"/>
        <v>0</v>
      </c>
      <c r="D449" s="58">
        <f t="shared" si="31"/>
        <v>1.5326666666666675</v>
      </c>
      <c r="E449" s="58">
        <f t="shared" si="32"/>
        <v>30</v>
      </c>
    </row>
    <row r="450" spans="1:5" x14ac:dyDescent="0.2">
      <c r="A450" s="15" t="s">
        <v>243</v>
      </c>
      <c r="B450" s="58">
        <f t="shared" si="29"/>
        <v>0.87457142857142844</v>
      </c>
      <c r="C450" s="58">
        <f t="shared" si="30"/>
        <v>0</v>
      </c>
      <c r="D450" s="58">
        <f t="shared" si="31"/>
        <v>1.3406666666666667</v>
      </c>
      <c r="E450" s="58">
        <f t="shared" si="32"/>
        <v>30</v>
      </c>
    </row>
    <row r="451" spans="1:5" x14ac:dyDescent="0.2">
      <c r="A451" s="15" t="s">
        <v>245</v>
      </c>
      <c r="B451" s="58">
        <f t="shared" si="29"/>
        <v>0.12433333333333285</v>
      </c>
      <c r="C451" s="58">
        <f t="shared" si="30"/>
        <v>0</v>
      </c>
      <c r="D451" s="58">
        <f t="shared" si="31"/>
        <v>1.7409047619047624</v>
      </c>
      <c r="E451" s="58">
        <f t="shared" si="32"/>
        <v>30</v>
      </c>
    </row>
    <row r="452" spans="1:5" x14ac:dyDescent="0.2">
      <c r="A452" s="15" t="s">
        <v>246</v>
      </c>
      <c r="B452" s="58">
        <f t="shared" si="29"/>
        <v>0.20661904761904779</v>
      </c>
      <c r="C452" s="58">
        <f t="shared" si="30"/>
        <v>0</v>
      </c>
      <c r="D452" s="58">
        <f t="shared" si="31"/>
        <v>1.9329047619047617</v>
      </c>
      <c r="E452" s="58">
        <f t="shared" si="32"/>
        <v>30</v>
      </c>
    </row>
    <row r="453" spans="1:5" x14ac:dyDescent="0.2">
      <c r="A453" s="15" t="s">
        <v>247</v>
      </c>
      <c r="B453" s="58">
        <f t="shared" si="29"/>
        <v>0.12433333333333285</v>
      </c>
      <c r="C453" s="58">
        <f t="shared" si="30"/>
        <v>0</v>
      </c>
      <c r="D453" s="58">
        <f t="shared" si="31"/>
        <v>1.7409047619047624</v>
      </c>
      <c r="E453" s="58">
        <f t="shared" si="32"/>
        <v>30</v>
      </c>
    </row>
    <row r="454" spans="1:5" x14ac:dyDescent="0.2">
      <c r="A454" s="15" t="s">
        <v>248</v>
      </c>
      <c r="B454" s="58">
        <f t="shared" si="29"/>
        <v>1.414809523809524</v>
      </c>
      <c r="C454" s="58">
        <f t="shared" si="30"/>
        <v>0</v>
      </c>
      <c r="D454" s="58">
        <f t="shared" si="31"/>
        <v>0.45042857142857146</v>
      </c>
      <c r="E454" s="58">
        <f t="shared" si="32"/>
        <v>30</v>
      </c>
    </row>
    <row r="455" spans="1:5" x14ac:dyDescent="0.2">
      <c r="A455" s="15" t="s">
        <v>249</v>
      </c>
      <c r="B455" s="58">
        <f t="shared" si="29"/>
        <v>1.4970952380952378</v>
      </c>
      <c r="C455" s="58">
        <f t="shared" si="30"/>
        <v>0</v>
      </c>
      <c r="D455" s="58">
        <f t="shared" si="31"/>
        <v>0.64242857142857168</v>
      </c>
      <c r="E455" s="58">
        <f t="shared" si="32"/>
        <v>30</v>
      </c>
    </row>
    <row r="456" spans="1:5" x14ac:dyDescent="0.2">
      <c r="A456" s="15" t="s">
        <v>250</v>
      </c>
      <c r="B456" s="58">
        <f t="shared" si="29"/>
        <v>1.414809523809524</v>
      </c>
      <c r="C456" s="58">
        <f t="shared" si="30"/>
        <v>0</v>
      </c>
      <c r="D456" s="58">
        <f t="shared" si="31"/>
        <v>0.45042857142857146</v>
      </c>
      <c r="E456" s="58">
        <f t="shared" si="32"/>
        <v>30</v>
      </c>
    </row>
    <row r="457" spans="1:5" x14ac:dyDescent="0.2">
      <c r="A457" s="15" t="s">
        <v>251</v>
      </c>
      <c r="B457" s="58">
        <f t="shared" si="29"/>
        <v>0</v>
      </c>
      <c r="C457" s="58">
        <f t="shared" si="30"/>
        <v>5.6324161650902909</v>
      </c>
      <c r="D457" s="58">
        <f t="shared" si="31"/>
        <v>2.7272766683553757</v>
      </c>
      <c r="E457" s="58">
        <f t="shared" si="32"/>
        <v>30</v>
      </c>
    </row>
    <row r="458" spans="1:5" x14ac:dyDescent="0.2">
      <c r="A458" s="15" t="s">
        <v>252</v>
      </c>
      <c r="B458" s="58">
        <f t="shared" si="29"/>
        <v>0</v>
      </c>
      <c r="C458" s="58">
        <f t="shared" si="30"/>
        <v>5.0873344370860991</v>
      </c>
      <c r="D458" s="58">
        <f t="shared" si="31"/>
        <v>2.7708223856755989</v>
      </c>
      <c r="E458" s="58">
        <f t="shared" si="32"/>
        <v>30</v>
      </c>
    </row>
    <row r="459" spans="1:5" x14ac:dyDescent="0.2">
      <c r="A459" s="15" t="s">
        <v>253</v>
      </c>
      <c r="B459" s="58">
        <f t="shared" si="29"/>
        <v>0</v>
      </c>
      <c r="C459" s="58">
        <f t="shared" si="30"/>
        <v>5.6324161650902909</v>
      </c>
      <c r="D459" s="58">
        <f t="shared" si="31"/>
        <v>2.7272766683553757</v>
      </c>
      <c r="E459" s="58">
        <f t="shared" si="32"/>
        <v>30</v>
      </c>
    </row>
    <row r="460" spans="1:5" x14ac:dyDescent="0.2">
      <c r="A460" s="15" t="s">
        <v>254</v>
      </c>
      <c r="B460" s="58">
        <f t="shared" si="29"/>
        <v>2.1650476190476193</v>
      </c>
      <c r="C460" s="58">
        <f t="shared" si="30"/>
        <v>0</v>
      </c>
      <c r="D460" s="58">
        <f t="shared" si="31"/>
        <v>5.0190476190476001E-2</v>
      </c>
      <c r="E460" s="58">
        <f t="shared" si="32"/>
        <v>30</v>
      </c>
    </row>
    <row r="461" spans="1:5" x14ac:dyDescent="0.2">
      <c r="A461" s="15" t="s">
        <v>255</v>
      </c>
      <c r="B461" s="58">
        <f t="shared" si="29"/>
        <v>2.1907619047619051</v>
      </c>
      <c r="C461" s="58">
        <f t="shared" si="30"/>
        <v>0</v>
      </c>
      <c r="D461" s="58">
        <f t="shared" si="31"/>
        <v>0.11019047619047594</v>
      </c>
      <c r="E461" s="58">
        <f t="shared" si="32"/>
        <v>30</v>
      </c>
    </row>
    <row r="462" spans="1:5" x14ac:dyDescent="0.2">
      <c r="A462" s="15" t="s">
        <v>256</v>
      </c>
      <c r="B462" s="58">
        <f t="shared" si="29"/>
        <v>2.1650476190476193</v>
      </c>
      <c r="C462" s="58">
        <f t="shared" si="30"/>
        <v>0</v>
      </c>
      <c r="D462" s="58">
        <f t="shared" si="31"/>
        <v>5.0190476190476001E-2</v>
      </c>
      <c r="E462" s="58">
        <f t="shared" si="32"/>
        <v>30</v>
      </c>
    </row>
    <row r="463" spans="1:5" x14ac:dyDescent="0.2">
      <c r="A463" s="15" t="s">
        <v>257</v>
      </c>
      <c r="B463" s="58">
        <f t="shared" si="29"/>
        <v>0</v>
      </c>
      <c r="C463" s="58">
        <f t="shared" si="30"/>
        <v>0.7359298531810694</v>
      </c>
      <c r="D463" s="58">
        <f t="shared" si="31"/>
        <v>2.3939644248275638</v>
      </c>
      <c r="E463" s="58">
        <f t="shared" si="32"/>
        <v>30</v>
      </c>
    </row>
    <row r="464" spans="1:5" x14ac:dyDescent="0.2">
      <c r="A464" s="15" t="s">
        <v>258</v>
      </c>
      <c r="B464" s="58">
        <f t="shared" si="29"/>
        <v>1.8784285714285713</v>
      </c>
      <c r="C464" s="58">
        <f t="shared" si="30"/>
        <v>0</v>
      </c>
      <c r="D464" s="58">
        <f t="shared" si="31"/>
        <v>0.45680952380952372</v>
      </c>
      <c r="E464" s="58">
        <f t="shared" si="32"/>
        <v>30</v>
      </c>
    </row>
    <row r="465" spans="1:8" x14ac:dyDescent="0.2">
      <c r="A465" s="15" t="s">
        <v>259</v>
      </c>
      <c r="B465" s="58">
        <f t="shared" si="29"/>
        <v>0</v>
      </c>
      <c r="C465" s="58">
        <f t="shared" si="30"/>
        <v>15.296655603778403</v>
      </c>
      <c r="D465" s="58">
        <f t="shared" si="31"/>
        <v>2.8543068850133082</v>
      </c>
      <c r="E465" s="58">
        <f t="shared" si="32"/>
        <v>30</v>
      </c>
    </row>
    <row r="466" spans="1:8" x14ac:dyDescent="0.2">
      <c r="A466" s="15" t="s">
        <v>260</v>
      </c>
      <c r="B466" s="58">
        <f t="shared" si="29"/>
        <v>2.103844483773007</v>
      </c>
      <c r="C466" s="58">
        <f t="shared" si="30"/>
        <v>0</v>
      </c>
      <c r="D466" s="58">
        <f t="shared" si="31"/>
        <v>0</v>
      </c>
      <c r="E466" s="58">
        <f t="shared" si="32"/>
        <v>19.948174623436302</v>
      </c>
    </row>
    <row r="467" spans="1:8" x14ac:dyDescent="0.2">
      <c r="A467" s="15" t="s">
        <v>261</v>
      </c>
      <c r="B467" s="58">
        <f t="shared" si="29"/>
        <v>0</v>
      </c>
      <c r="C467" s="58">
        <f t="shared" si="30"/>
        <v>8.3780954812356434</v>
      </c>
      <c r="D467" s="58">
        <f t="shared" si="31"/>
        <v>1.9409879969840655</v>
      </c>
      <c r="E467" s="58">
        <f t="shared" si="32"/>
        <v>30</v>
      </c>
    </row>
    <row r="468" spans="1:8" x14ac:dyDescent="0.2">
      <c r="A468" s="15" t="s">
        <v>262</v>
      </c>
      <c r="B468" s="58">
        <f t="shared" si="29"/>
        <v>1.5620750917317245</v>
      </c>
      <c r="C468" s="58">
        <f t="shared" si="30"/>
        <v>0</v>
      </c>
      <c r="D468" s="58">
        <f t="shared" si="31"/>
        <v>0</v>
      </c>
      <c r="E468" s="58">
        <f t="shared" si="32"/>
        <v>26.866734745979059</v>
      </c>
    </row>
    <row r="470" spans="1:8" x14ac:dyDescent="0.2">
      <c r="A470" s="31" t="s">
        <v>309</v>
      </c>
    </row>
    <row r="472" spans="1:8" x14ac:dyDescent="0.2">
      <c r="A472" s="6" t="s">
        <v>311</v>
      </c>
    </row>
    <row r="473" spans="1:8" x14ac:dyDescent="0.2">
      <c r="A473" s="43" t="s">
        <v>312</v>
      </c>
      <c r="B473" s="77">
        <v>0.6</v>
      </c>
      <c r="C473" s="6" t="s">
        <v>310</v>
      </c>
    </row>
    <row r="474" spans="1:8" x14ac:dyDescent="0.2">
      <c r="A474" s="43" t="s">
        <v>313</v>
      </c>
      <c r="B474" s="77">
        <v>0.6</v>
      </c>
      <c r="C474" s="6" t="s">
        <v>310</v>
      </c>
      <c r="F474" s="15"/>
      <c r="G474" s="51"/>
    </row>
    <row r="475" spans="1:8" x14ac:dyDescent="0.2">
      <c r="F475" s="15"/>
      <c r="G475" s="51"/>
    </row>
    <row r="476" spans="1:8" x14ac:dyDescent="0.2">
      <c r="A476" s="6" t="s">
        <v>315</v>
      </c>
      <c r="E476" s="19"/>
    </row>
    <row r="477" spans="1:8" x14ac:dyDescent="0.2">
      <c r="A477" s="15" t="s">
        <v>316</v>
      </c>
      <c r="B477" s="77">
        <v>0.9</v>
      </c>
      <c r="C477" s="6" t="s">
        <v>333</v>
      </c>
      <c r="E477" s="21"/>
      <c r="F477" s="79"/>
      <c r="G477" s="19"/>
      <c r="H477" s="35"/>
    </row>
    <row r="478" spans="1:8" x14ac:dyDescent="0.2">
      <c r="A478" s="15" t="s">
        <v>317</v>
      </c>
      <c r="B478" s="77">
        <v>0.75</v>
      </c>
      <c r="C478" s="6" t="s">
        <v>310</v>
      </c>
      <c r="E478" s="21"/>
    </row>
    <row r="479" spans="1:8" x14ac:dyDescent="0.2">
      <c r="A479" s="43"/>
      <c r="B479" s="51"/>
      <c r="E479" s="21"/>
      <c r="F479" s="21"/>
      <c r="G479" s="51"/>
      <c r="H479" s="21"/>
    </row>
    <row r="480" spans="1:8" x14ac:dyDescent="0.2">
      <c r="A480" s="43" t="s">
        <v>318</v>
      </c>
      <c r="E480" s="21"/>
      <c r="F480" s="21"/>
      <c r="G480" s="51"/>
      <c r="H480" s="21"/>
    </row>
    <row r="481" spans="1:8" x14ac:dyDescent="0.2">
      <c r="A481" s="43" t="s">
        <v>319</v>
      </c>
      <c r="B481" s="77">
        <v>3</v>
      </c>
      <c r="C481" s="6" t="s">
        <v>2</v>
      </c>
      <c r="D481" s="6" t="s">
        <v>321</v>
      </c>
      <c r="E481" s="21"/>
      <c r="F481" s="21"/>
      <c r="G481" s="21"/>
      <c r="H481" s="21"/>
    </row>
    <row r="482" spans="1:8" x14ac:dyDescent="0.2">
      <c r="A482" s="43" t="s">
        <v>320</v>
      </c>
      <c r="B482" s="77">
        <v>2</v>
      </c>
      <c r="C482" s="6" t="s">
        <v>2</v>
      </c>
      <c r="D482" s="6" t="s">
        <v>321</v>
      </c>
      <c r="E482" s="21"/>
      <c r="F482" s="80"/>
      <c r="G482" s="51"/>
      <c r="H482" s="21"/>
    </row>
    <row r="483" spans="1:8" x14ac:dyDescent="0.2">
      <c r="E483" s="21"/>
      <c r="F483" s="80"/>
      <c r="G483" s="51"/>
      <c r="H483" s="21"/>
    </row>
    <row r="484" spans="1:8" x14ac:dyDescent="0.2">
      <c r="A484" s="43" t="s">
        <v>322</v>
      </c>
      <c r="B484" s="77">
        <f>MIN(3*tf_in,18)</f>
        <v>18</v>
      </c>
      <c r="C484" s="6" t="s">
        <v>2</v>
      </c>
      <c r="E484" s="21"/>
      <c r="F484" s="80"/>
      <c r="G484" s="51"/>
      <c r="H484" s="21"/>
    </row>
    <row r="485" spans="1:8" x14ac:dyDescent="0.2">
      <c r="A485" s="43" t="s">
        <v>331</v>
      </c>
      <c r="B485" s="22">
        <f>ROUNDUP(((Bf_ft*12)-(2*bottom_cover))/B484,0)+1</f>
        <v>3</v>
      </c>
      <c r="E485" s="21"/>
      <c r="F485" s="80"/>
      <c r="G485" s="51"/>
      <c r="H485" s="21"/>
    </row>
    <row r="486" spans="1:8" x14ac:dyDescent="0.2">
      <c r="A486" s="43" t="s">
        <v>332</v>
      </c>
      <c r="B486" s="22">
        <f>ROUNDUP(((Lf_ft*12)-(2*bottom_cover))/B484,0)+1</f>
        <v>21</v>
      </c>
      <c r="E486" s="21"/>
      <c r="F486" s="80"/>
      <c r="G486" s="51"/>
      <c r="H486" s="21"/>
    </row>
    <row r="487" spans="1:8" x14ac:dyDescent="0.2">
      <c r="E487" s="21"/>
      <c r="F487" s="43"/>
    </row>
    <row r="488" spans="1:8" x14ac:dyDescent="0.2">
      <c r="A488" s="77" t="s">
        <v>323</v>
      </c>
      <c r="B488" s="77" t="s">
        <v>324</v>
      </c>
      <c r="C488" s="85" t="s">
        <v>325</v>
      </c>
      <c r="D488" s="77" t="s">
        <v>326</v>
      </c>
      <c r="E488" s="21"/>
      <c r="F488" s="78"/>
      <c r="G488" s="21"/>
      <c r="H488" s="21"/>
    </row>
    <row r="489" spans="1:8" x14ac:dyDescent="0.2">
      <c r="A489" s="77">
        <v>3</v>
      </c>
      <c r="B489" s="85">
        <v>0.375</v>
      </c>
      <c r="C489" s="85">
        <v>0.11</v>
      </c>
      <c r="D489" s="85">
        <v>0.376</v>
      </c>
      <c r="E489" s="21"/>
      <c r="F489" s="43"/>
      <c r="G489" s="51"/>
    </row>
    <row r="490" spans="1:8" x14ac:dyDescent="0.2">
      <c r="A490" s="77">
        <v>4</v>
      </c>
      <c r="B490" s="85">
        <v>0.5</v>
      </c>
      <c r="C490" s="85">
        <v>0.2</v>
      </c>
      <c r="D490" s="85">
        <v>0.66800000000000004</v>
      </c>
      <c r="E490" s="21"/>
      <c r="F490" s="43"/>
      <c r="G490" s="51"/>
    </row>
    <row r="491" spans="1:8" x14ac:dyDescent="0.2">
      <c r="A491" s="77">
        <v>5</v>
      </c>
      <c r="B491" s="85">
        <v>0.625</v>
      </c>
      <c r="C491" s="85">
        <v>0.31</v>
      </c>
      <c r="D491" s="85">
        <v>1.0429999999999999</v>
      </c>
      <c r="E491" s="21"/>
      <c r="F491" s="43"/>
      <c r="G491" s="51"/>
    </row>
    <row r="492" spans="1:8" x14ac:dyDescent="0.2">
      <c r="A492" s="77">
        <v>6</v>
      </c>
      <c r="B492" s="85">
        <v>0.75</v>
      </c>
      <c r="C492" s="85">
        <v>0.44</v>
      </c>
      <c r="D492" s="85">
        <v>1.502</v>
      </c>
      <c r="E492" s="21"/>
      <c r="F492" s="80"/>
      <c r="G492" s="51"/>
      <c r="H492" s="78"/>
    </row>
    <row r="493" spans="1:8" x14ac:dyDescent="0.2">
      <c r="A493" s="77">
        <v>7</v>
      </c>
      <c r="B493" s="85">
        <v>0.875</v>
      </c>
      <c r="C493" s="85">
        <v>0.6</v>
      </c>
      <c r="D493" s="85">
        <v>2.044</v>
      </c>
      <c r="E493" s="21"/>
      <c r="F493" s="80"/>
      <c r="G493" s="51"/>
      <c r="H493" s="78"/>
    </row>
    <row r="494" spans="1:8" x14ac:dyDescent="0.2">
      <c r="A494" s="77">
        <v>8</v>
      </c>
      <c r="B494" s="85">
        <v>1</v>
      </c>
      <c r="C494" s="85">
        <v>0.79</v>
      </c>
      <c r="D494" s="85">
        <v>2.67</v>
      </c>
      <c r="E494" s="21"/>
      <c r="F494" s="21"/>
      <c r="G494" s="51"/>
      <c r="H494" s="21"/>
    </row>
    <row r="495" spans="1:8" x14ac:dyDescent="0.2">
      <c r="A495" s="77">
        <v>9</v>
      </c>
      <c r="B495" s="85">
        <v>1.1279999999999999</v>
      </c>
      <c r="C495" s="85">
        <v>1</v>
      </c>
      <c r="D495" s="85">
        <v>3.4</v>
      </c>
      <c r="E495" s="21"/>
      <c r="F495" s="21"/>
      <c r="G495" s="21"/>
      <c r="H495" s="21"/>
    </row>
    <row r="496" spans="1:8" x14ac:dyDescent="0.2">
      <c r="A496" s="77">
        <v>10</v>
      </c>
      <c r="B496" s="85">
        <v>1.27</v>
      </c>
      <c r="C496" s="85">
        <v>1.27</v>
      </c>
      <c r="D496" s="85">
        <v>4.3029999999999999</v>
      </c>
      <c r="E496" s="21"/>
      <c r="F496" s="21"/>
      <c r="G496" s="21"/>
      <c r="H496" s="21"/>
    </row>
    <row r="497" spans="1:8" x14ac:dyDescent="0.2">
      <c r="A497" s="77">
        <v>11</v>
      </c>
      <c r="B497" s="85">
        <v>1.41</v>
      </c>
      <c r="C497" s="85">
        <v>1.56</v>
      </c>
      <c r="D497" s="85">
        <v>5.3129999999999997</v>
      </c>
      <c r="E497" s="21"/>
      <c r="F497" s="21"/>
      <c r="G497" s="21"/>
      <c r="H497" s="21"/>
    </row>
    <row r="498" spans="1:8" x14ac:dyDescent="0.2">
      <c r="A498" s="77">
        <v>14</v>
      </c>
      <c r="B498" s="85">
        <v>1.6930000000000001</v>
      </c>
      <c r="C498" s="85">
        <v>2.25</v>
      </c>
      <c r="D498" s="85">
        <v>7.65</v>
      </c>
      <c r="E498" s="21"/>
      <c r="F498" s="21"/>
      <c r="G498" s="21"/>
      <c r="H498" s="21"/>
    </row>
    <row r="499" spans="1:8" x14ac:dyDescent="0.2">
      <c r="A499" s="77">
        <v>18</v>
      </c>
      <c r="B499" s="85">
        <v>2.2570000000000001</v>
      </c>
      <c r="C499" s="85">
        <v>4</v>
      </c>
      <c r="D499" s="85">
        <v>13.6</v>
      </c>
      <c r="E499" s="21"/>
      <c r="F499" s="21"/>
      <c r="G499" s="21"/>
      <c r="H499" s="21"/>
    </row>
    <row r="500" spans="1:8" x14ac:dyDescent="0.2">
      <c r="E500" s="21"/>
      <c r="F500" s="21"/>
      <c r="G500" s="21"/>
      <c r="H500" s="21"/>
    </row>
    <row r="501" spans="1:8" x14ac:dyDescent="0.2">
      <c r="A501" s="86" t="s">
        <v>327</v>
      </c>
      <c r="B501" s="77">
        <v>60000</v>
      </c>
      <c r="C501" s="87" t="s">
        <v>86</v>
      </c>
      <c r="E501" s="21"/>
      <c r="F501" s="21"/>
      <c r="G501" s="21"/>
      <c r="H501" s="21"/>
    </row>
    <row r="502" spans="1:8" x14ac:dyDescent="0.2">
      <c r="A502" s="15" t="s">
        <v>328</v>
      </c>
      <c r="B502" s="22">
        <f>IF(fc_fnd_psi&lt;=4000,0.85,IF(fc_fnd_psi&gt;8000,0.65,0.85-((fc_fnd_psi-4000)/20000)))</f>
        <v>0.85</v>
      </c>
    </row>
    <row r="503" spans="1:8" x14ac:dyDescent="0.2">
      <c r="A503" s="15" t="s">
        <v>329</v>
      </c>
      <c r="B503" s="88">
        <f>0.319*B502*(fc_fnd_psi/Fy_psi)</f>
        <v>1.35575E-2</v>
      </c>
    </row>
    <row r="504" spans="1:8" x14ac:dyDescent="0.2">
      <c r="A504" s="15" t="s">
        <v>330</v>
      </c>
      <c r="B504" s="22">
        <f>0.364*B502*(fc_fnd_psi/Fy_psi)</f>
        <v>1.5470000000000001E-2</v>
      </c>
    </row>
    <row r="505" spans="1:8" x14ac:dyDescent="0.2">
      <c r="A505" s="15" t="s">
        <v>393</v>
      </c>
      <c r="B505" s="19">
        <v>3.0000000000000001E-3</v>
      </c>
      <c r="E505" s="19"/>
      <c r="G505" s="19"/>
      <c r="H505" s="35"/>
    </row>
    <row r="506" spans="1:8" x14ac:dyDescent="0.2">
      <c r="E506" s="21"/>
      <c r="G506" s="21"/>
      <c r="H506" s="21"/>
    </row>
    <row r="507" spans="1:8" x14ac:dyDescent="0.2">
      <c r="E507" s="21"/>
      <c r="G507" s="21"/>
      <c r="H507" s="21"/>
    </row>
    <row r="508" spans="1:8" x14ac:dyDescent="0.2">
      <c r="E508" s="21"/>
      <c r="G508" s="21"/>
      <c r="H508" s="21"/>
    </row>
    <row r="509" spans="1:8" x14ac:dyDescent="0.2">
      <c r="E509" s="21"/>
      <c r="G509" s="21"/>
      <c r="H509" s="21"/>
    </row>
    <row r="510" spans="1:8" x14ac:dyDescent="0.2">
      <c r="E510" s="21"/>
      <c r="G510" s="21"/>
      <c r="H510" s="21"/>
    </row>
    <row r="511" spans="1:8" x14ac:dyDescent="0.2">
      <c r="E511" s="21"/>
      <c r="G511" s="21"/>
      <c r="H511" s="21"/>
    </row>
    <row r="512" spans="1:8" x14ac:dyDescent="0.2">
      <c r="E512" s="21"/>
      <c r="G512" s="21"/>
      <c r="H512" s="21"/>
    </row>
    <row r="513" spans="1:8" x14ac:dyDescent="0.2">
      <c r="E513" s="21"/>
      <c r="G513" s="21"/>
      <c r="H513" s="21"/>
    </row>
    <row r="514" spans="1:8" x14ac:dyDescent="0.2">
      <c r="E514" s="21"/>
      <c r="F514" s="19"/>
    </row>
    <row r="515" spans="1:8" x14ac:dyDescent="0.2">
      <c r="E515" s="21"/>
      <c r="F515" s="19"/>
      <c r="G515" s="19"/>
      <c r="H515" s="19"/>
    </row>
    <row r="516" spans="1:8" x14ac:dyDescent="0.2">
      <c r="E516" s="82"/>
      <c r="F516" s="19"/>
      <c r="G516" s="21"/>
      <c r="H516" s="21"/>
    </row>
    <row r="517" spans="1:8" x14ac:dyDescent="0.2">
      <c r="E517" s="82"/>
      <c r="F517" s="19"/>
      <c r="G517" s="21"/>
      <c r="H517" s="21"/>
    </row>
    <row r="518" spans="1:8" x14ac:dyDescent="0.2">
      <c r="E518" s="82"/>
      <c r="F518" s="19"/>
      <c r="G518" s="21"/>
      <c r="H518" s="21"/>
    </row>
    <row r="519" spans="1:8" x14ac:dyDescent="0.2">
      <c r="E519" s="82"/>
      <c r="F519" s="19"/>
      <c r="G519" s="21"/>
      <c r="H519" s="21"/>
    </row>
    <row r="520" spans="1:8" x14ac:dyDescent="0.2">
      <c r="A520" s="19"/>
      <c r="B520" s="21"/>
      <c r="C520" s="21"/>
      <c r="D520" s="81"/>
      <c r="E520" s="82"/>
      <c r="F520" s="19"/>
      <c r="G520" s="21"/>
      <c r="H520" s="21"/>
    </row>
    <row r="521" spans="1:8" x14ac:dyDescent="0.2">
      <c r="A521" s="19"/>
      <c r="B521" s="21"/>
      <c r="C521" s="21"/>
      <c r="D521" s="81"/>
      <c r="E521" s="82"/>
      <c r="F521" s="19"/>
      <c r="G521" s="21"/>
      <c r="H521" s="21"/>
    </row>
    <row r="522" spans="1:8" x14ac:dyDescent="0.2">
      <c r="A522" s="19"/>
      <c r="B522" s="21"/>
      <c r="C522" s="21"/>
      <c r="D522" s="81"/>
      <c r="E522" s="82"/>
      <c r="F522" s="19"/>
      <c r="G522" s="21"/>
      <c r="H522" s="21"/>
    </row>
    <row r="523" spans="1:8" x14ac:dyDescent="0.2">
      <c r="A523" s="19"/>
      <c r="B523" s="21"/>
      <c r="C523" s="21"/>
      <c r="D523" s="81"/>
      <c r="E523" s="82"/>
      <c r="F523" s="19"/>
      <c r="G523" s="21"/>
      <c r="H523" s="21"/>
    </row>
    <row r="524" spans="1:8" x14ac:dyDescent="0.2">
      <c r="A524" s="19"/>
      <c r="B524" s="21"/>
      <c r="C524" s="21"/>
      <c r="D524" s="81"/>
      <c r="E524" s="82"/>
      <c r="F524" s="19"/>
      <c r="G524" s="21"/>
      <c r="H524" s="21"/>
    </row>
    <row r="525" spans="1:8" x14ac:dyDescent="0.2">
      <c r="A525" s="19"/>
      <c r="B525" s="21"/>
      <c r="C525" s="21"/>
      <c r="D525" s="81"/>
      <c r="E525" s="82"/>
      <c r="F525" s="19"/>
      <c r="G525" s="21"/>
      <c r="H525" s="21"/>
    </row>
    <row r="526" spans="1:8" x14ac:dyDescent="0.2">
      <c r="A526" s="19"/>
      <c r="B526" s="21"/>
      <c r="C526" s="21"/>
      <c r="D526" s="81"/>
      <c r="E526" s="82"/>
      <c r="F526" s="19"/>
      <c r="G526" s="21"/>
      <c r="H526" s="21"/>
    </row>
    <row r="527" spans="1:8" x14ac:dyDescent="0.2">
      <c r="A527" s="19"/>
      <c r="C527" s="21"/>
      <c r="D527" s="21"/>
      <c r="E527" s="21"/>
      <c r="G527" s="21"/>
      <c r="H527" s="21"/>
    </row>
    <row r="528" spans="1:8" x14ac:dyDescent="0.2">
      <c r="A528" s="19"/>
      <c r="C528" s="21"/>
      <c r="D528" s="21"/>
      <c r="E528" s="21"/>
      <c r="G528" s="21"/>
      <c r="H528" s="21"/>
    </row>
    <row r="529" spans="1:8" x14ac:dyDescent="0.2">
      <c r="A529" s="31" t="s">
        <v>334</v>
      </c>
      <c r="C529" s="21"/>
      <c r="D529" s="21"/>
      <c r="E529" s="21"/>
      <c r="G529" s="21"/>
      <c r="H529" s="21"/>
    </row>
    <row r="530" spans="1:8" x14ac:dyDescent="0.2">
      <c r="A530" s="19"/>
      <c r="C530" s="21"/>
      <c r="D530" s="21"/>
      <c r="E530" s="21"/>
      <c r="G530" s="21"/>
      <c r="H530" s="21"/>
    </row>
    <row r="531" spans="1:8" x14ac:dyDescent="0.2">
      <c r="B531" s="19"/>
      <c r="C531" s="19"/>
      <c r="D531" s="19"/>
      <c r="E531" s="19"/>
      <c r="G531" s="19"/>
    </row>
    <row r="532" spans="1:8" x14ac:dyDescent="0.2">
      <c r="A532" s="19"/>
      <c r="B532" s="21"/>
      <c r="C532" s="19"/>
      <c r="D532" s="19"/>
      <c r="E532" s="82"/>
      <c r="F532" s="82"/>
      <c r="G532" s="19"/>
    </row>
    <row r="533" spans="1:8" x14ac:dyDescent="0.2">
      <c r="A533" s="19"/>
      <c r="B533" s="21"/>
      <c r="C533" s="19"/>
      <c r="D533" s="19"/>
      <c r="E533" s="82"/>
      <c r="F533" s="82"/>
      <c r="G533" s="19"/>
    </row>
    <row r="534" spans="1:8" x14ac:dyDescent="0.2">
      <c r="A534" s="19"/>
      <c r="B534" s="21"/>
      <c r="C534" s="19"/>
      <c r="D534" s="19"/>
      <c r="E534" s="82"/>
      <c r="F534" s="82"/>
      <c r="G534" s="19"/>
    </row>
    <row r="535" spans="1:8" x14ac:dyDescent="0.2">
      <c r="A535" s="19"/>
      <c r="B535" s="21"/>
      <c r="C535" s="19"/>
      <c r="D535" s="19"/>
      <c r="E535" s="82"/>
      <c r="F535" s="82"/>
      <c r="G535" s="19"/>
    </row>
    <row r="536" spans="1:8" x14ac:dyDescent="0.2">
      <c r="A536" s="19"/>
      <c r="B536" s="21"/>
      <c r="C536" s="19"/>
      <c r="D536" s="19"/>
      <c r="E536" s="82"/>
      <c r="F536" s="82"/>
      <c r="G536" s="19"/>
    </row>
    <row r="537" spans="1:8" x14ac:dyDescent="0.2">
      <c r="A537" s="19"/>
      <c r="B537" s="21"/>
      <c r="C537" s="19"/>
      <c r="D537" s="19"/>
      <c r="E537" s="82"/>
      <c r="F537" s="82"/>
      <c r="G537" s="19"/>
    </row>
    <row r="538" spans="1:8" x14ac:dyDescent="0.2">
      <c r="A538" s="19"/>
      <c r="B538" s="21"/>
      <c r="C538" s="19"/>
      <c r="D538" s="19"/>
      <c r="E538" s="82"/>
      <c r="F538" s="82"/>
      <c r="G538" s="19"/>
    </row>
    <row r="539" spans="1:8" x14ac:dyDescent="0.2">
      <c r="A539" s="19"/>
      <c r="B539" s="21"/>
      <c r="C539" s="19"/>
      <c r="D539" s="19"/>
      <c r="E539" s="82"/>
      <c r="F539" s="82"/>
      <c r="G539" s="19"/>
    </row>
    <row r="540" spans="1:8" x14ac:dyDescent="0.2">
      <c r="A540" s="19"/>
      <c r="B540" s="21"/>
      <c r="C540" s="19"/>
      <c r="D540" s="19"/>
      <c r="E540" s="82"/>
      <c r="F540" s="82"/>
      <c r="G540" s="19"/>
    </row>
    <row r="541" spans="1:8" x14ac:dyDescent="0.2">
      <c r="A541" s="19"/>
      <c r="B541" s="21"/>
      <c r="C541" s="19"/>
      <c r="D541" s="19"/>
      <c r="E541" s="82"/>
      <c r="F541" s="82"/>
      <c r="G541" s="19"/>
    </row>
    <row r="542" spans="1:8" x14ac:dyDescent="0.2">
      <c r="A542" s="19"/>
      <c r="B542" s="21"/>
      <c r="C542" s="19"/>
      <c r="D542" s="19"/>
      <c r="E542" s="82"/>
      <c r="F542" s="82"/>
      <c r="G542" s="19"/>
    </row>
    <row r="545" spans="1:8" x14ac:dyDescent="0.2">
      <c r="A545" s="19"/>
      <c r="B545" s="21"/>
    </row>
    <row r="546" spans="1:8" x14ac:dyDescent="0.2">
      <c r="A546" s="19"/>
      <c r="B546" s="21"/>
      <c r="C546" s="19"/>
      <c r="D546" s="19"/>
      <c r="E546" s="19"/>
      <c r="F546" s="19"/>
      <c r="G546" s="19"/>
      <c r="H546" s="19"/>
    </row>
    <row r="547" spans="1:8" x14ac:dyDescent="0.2">
      <c r="A547" s="19"/>
      <c r="B547" s="21"/>
      <c r="C547" s="19"/>
      <c r="D547" s="83"/>
      <c r="E547" s="83"/>
      <c r="F547" s="83"/>
      <c r="G547" s="83"/>
      <c r="H547" s="82"/>
    </row>
    <row r="548" spans="1:8" x14ac:dyDescent="0.2">
      <c r="A548" s="19"/>
      <c r="B548" s="21"/>
      <c r="C548" s="19"/>
      <c r="D548" s="83"/>
      <c r="E548" s="83"/>
      <c r="F548" s="83"/>
      <c r="G548" s="83"/>
      <c r="H548" s="82"/>
    </row>
    <row r="549" spans="1:8" x14ac:dyDescent="0.2">
      <c r="A549" s="19"/>
      <c r="B549" s="21"/>
      <c r="C549" s="19"/>
      <c r="D549" s="83"/>
      <c r="E549" s="83"/>
      <c r="F549" s="83"/>
      <c r="G549" s="83"/>
      <c r="H549" s="82"/>
    </row>
    <row r="550" spans="1:8" x14ac:dyDescent="0.2">
      <c r="A550" s="19"/>
      <c r="B550" s="21"/>
      <c r="C550" s="19"/>
      <c r="D550" s="83"/>
      <c r="E550" s="83"/>
      <c r="F550" s="83"/>
      <c r="G550" s="83"/>
      <c r="H550" s="82"/>
    </row>
    <row r="551" spans="1:8" x14ac:dyDescent="0.2">
      <c r="A551" s="19"/>
      <c r="B551" s="21"/>
      <c r="C551" s="19"/>
      <c r="D551" s="83"/>
      <c r="E551" s="83"/>
      <c r="F551" s="83"/>
      <c r="G551" s="83"/>
      <c r="H551" s="82"/>
    </row>
    <row r="552" spans="1:8" x14ac:dyDescent="0.2">
      <c r="A552" s="19"/>
      <c r="B552" s="21"/>
      <c r="C552" s="19"/>
      <c r="D552" s="83"/>
      <c r="E552" s="83"/>
      <c r="F552" s="83"/>
      <c r="G552" s="83"/>
      <c r="H552" s="82"/>
    </row>
    <row r="553" spans="1:8" x14ac:dyDescent="0.2">
      <c r="A553" s="19"/>
      <c r="B553" s="21"/>
      <c r="C553" s="19"/>
      <c r="D553" s="83"/>
      <c r="E553" s="83"/>
      <c r="F553" s="83"/>
      <c r="G553" s="83"/>
      <c r="H553" s="82"/>
    </row>
    <row r="554" spans="1:8" x14ac:dyDescent="0.2">
      <c r="A554" s="19"/>
      <c r="B554" s="21"/>
      <c r="C554" s="19"/>
      <c r="D554" s="83"/>
      <c r="E554" s="83"/>
      <c r="F554" s="83"/>
      <c r="G554" s="83"/>
      <c r="H554" s="82"/>
    </row>
    <row r="555" spans="1:8" x14ac:dyDescent="0.2">
      <c r="A555" s="19"/>
      <c r="B555" s="21"/>
      <c r="C555" s="19"/>
      <c r="D555" s="83"/>
      <c r="E555" s="83"/>
      <c r="F555" s="83"/>
      <c r="G555" s="83"/>
      <c r="H555" s="82"/>
    </row>
    <row r="556" spans="1:8" x14ac:dyDescent="0.2">
      <c r="A556" s="19"/>
      <c r="B556" s="21"/>
      <c r="C556" s="19"/>
      <c r="D556" s="83"/>
      <c r="E556" s="83"/>
      <c r="F556" s="83"/>
      <c r="G556" s="83"/>
      <c r="H556" s="82"/>
    </row>
    <row r="557" spans="1:8" x14ac:dyDescent="0.2">
      <c r="A557" s="43" t="s">
        <v>341</v>
      </c>
      <c r="B557" s="51">
        <f>IF(B12="CIP",s_left_offset_ft,s_left_offset_ft+((ts_in/12)/4))</f>
        <v>7</v>
      </c>
      <c r="C557" s="19" t="s">
        <v>1</v>
      </c>
      <c r="D557" s="83"/>
      <c r="E557" s="83"/>
      <c r="F557" s="83"/>
      <c r="G557" s="83"/>
      <c r="H557" s="82"/>
    </row>
    <row r="558" spans="1:8" x14ac:dyDescent="0.2">
      <c r="A558" s="43" t="s">
        <v>342</v>
      </c>
      <c r="B558" s="51">
        <f>IF(B12="CIP",s_left_offset_ft+Ls_ft,(s_left_offset_ft+Ls_ft-((ts_in/12)/4)))</f>
        <v>27</v>
      </c>
      <c r="C558" s="19" t="s">
        <v>1</v>
      </c>
    </row>
    <row r="559" spans="1:8" x14ac:dyDescent="0.2">
      <c r="A559" s="19"/>
      <c r="B559" s="21"/>
      <c r="C559" s="19"/>
    </row>
    <row r="560" spans="1:8" x14ac:dyDescent="0.2">
      <c r="A560" s="43" t="s">
        <v>344</v>
      </c>
      <c r="B560" s="51">
        <f>Long_VandM!CJ42</f>
        <v>128.96282777777782</v>
      </c>
      <c r="C560" s="19" t="s">
        <v>335</v>
      </c>
      <c r="D560" s="84"/>
    </row>
    <row r="561" spans="1:7" x14ac:dyDescent="0.2">
      <c r="A561" s="43" t="s">
        <v>345</v>
      </c>
      <c r="B561" s="51">
        <f>Long_VandM!CK42</f>
        <v>-44.851758102959401</v>
      </c>
      <c r="C561" s="19" t="s">
        <v>335</v>
      </c>
      <c r="D561" s="84"/>
    </row>
    <row r="562" spans="1:7" x14ac:dyDescent="0.2">
      <c r="A562" s="43" t="s">
        <v>346</v>
      </c>
      <c r="B562" s="51">
        <f>Long_VandM!CJ44</f>
        <v>35.696280600196275</v>
      </c>
      <c r="C562" s="19" t="s">
        <v>335</v>
      </c>
      <c r="D562" s="84"/>
    </row>
    <row r="563" spans="1:7" x14ac:dyDescent="0.2">
      <c r="A563" s="43" t="s">
        <v>347</v>
      </c>
      <c r="B563" s="51">
        <f>Long_VandM!CK44</f>
        <v>-6.3679500000002918</v>
      </c>
      <c r="C563" s="19" t="s">
        <v>335</v>
      </c>
      <c r="D563" s="84"/>
    </row>
    <row r="564" spans="1:7" x14ac:dyDescent="0.2">
      <c r="A564" s="19"/>
      <c r="B564" s="21"/>
      <c r="C564" s="19"/>
      <c r="D564" s="84"/>
    </row>
    <row r="565" spans="1:7" x14ac:dyDescent="0.2">
      <c r="A565" s="6" t="s">
        <v>350</v>
      </c>
      <c r="C565" s="19"/>
      <c r="D565" s="84"/>
      <c r="E565" s="6" t="s">
        <v>351</v>
      </c>
    </row>
    <row r="566" spans="1:7" x14ac:dyDescent="0.2">
      <c r="A566" s="43" t="s">
        <v>348</v>
      </c>
      <c r="B566" s="51">
        <f>IF(MAX(B560:B561)&lt;0,0,MAX(B560:B561))</f>
        <v>128.96282777777782</v>
      </c>
      <c r="C566" s="19" t="s">
        <v>335</v>
      </c>
      <c r="D566" s="84"/>
      <c r="E566" s="43" t="s">
        <v>348</v>
      </c>
      <c r="F566" s="51">
        <f>IF(MAX(B562:B563)&lt;0,0,MAX(B562:B563))</f>
        <v>35.696280600196275</v>
      </c>
      <c r="G566" s="19" t="s">
        <v>335</v>
      </c>
    </row>
    <row r="567" spans="1:7" x14ac:dyDescent="0.2">
      <c r="A567" s="43" t="s">
        <v>349</v>
      </c>
      <c r="B567" s="51">
        <f>IF(MIN(B560:B561)&gt;0,0,MIN(B560:B561))</f>
        <v>-44.851758102959401</v>
      </c>
      <c r="C567" s="19" t="s">
        <v>335</v>
      </c>
      <c r="D567" s="84"/>
      <c r="E567" s="43" t="s">
        <v>349</v>
      </c>
      <c r="F567" s="51">
        <f>IF(MIN(B562:B563)&gt;0,0,MIN(B562:B563))</f>
        <v>-6.3679500000002918</v>
      </c>
      <c r="G567" s="19" t="s">
        <v>335</v>
      </c>
    </row>
    <row r="568" spans="1:7" x14ac:dyDescent="0.2">
      <c r="A568" s="19"/>
      <c r="B568" s="21"/>
      <c r="C568" s="19"/>
      <c r="D568" s="84"/>
    </row>
    <row r="569" spans="1:7" x14ac:dyDescent="0.2">
      <c r="A569" s="23" t="s">
        <v>352</v>
      </c>
      <c r="B569" s="21"/>
      <c r="C569" s="19"/>
      <c r="D569" s="84"/>
    </row>
    <row r="570" spans="1:7" x14ac:dyDescent="0.2">
      <c r="A570" s="33" t="s">
        <v>353</v>
      </c>
      <c r="B570" s="21"/>
      <c r="C570" s="19"/>
      <c r="D570" s="84"/>
    </row>
    <row r="571" spans="1:7" x14ac:dyDescent="0.2">
      <c r="A571" s="89" t="s">
        <v>354</v>
      </c>
      <c r="B571" s="19"/>
    </row>
    <row r="572" spans="1:7" x14ac:dyDescent="0.2">
      <c r="A572" s="90" t="s">
        <v>336</v>
      </c>
      <c r="B572" s="22">
        <f>(Bf_ft*12*POWER(tf_in,2))/6</f>
        <v>2268</v>
      </c>
      <c r="C572" s="6" t="s">
        <v>337</v>
      </c>
      <c r="D572" s="6" t="s">
        <v>355</v>
      </c>
    </row>
    <row r="573" spans="1:7" x14ac:dyDescent="0.2">
      <c r="A573" s="90" t="s">
        <v>338</v>
      </c>
      <c r="B573" s="51">
        <f>5*B572*SQRT(fc_fnd_psi)*(1/(12*1000))</f>
        <v>51.759781684238199</v>
      </c>
      <c r="C573" s="6" t="s">
        <v>335</v>
      </c>
      <c r="D573" s="6" t="s">
        <v>372</v>
      </c>
    </row>
    <row r="574" spans="1:7" x14ac:dyDescent="0.2">
      <c r="A574" s="90"/>
      <c r="B574" s="22">
        <f>0.85*B572*fc_fnd_psi*(1/(12*1000))</f>
        <v>481.95</v>
      </c>
      <c r="C574" s="6" t="s">
        <v>335</v>
      </c>
      <c r="D574" s="6" t="s">
        <v>373</v>
      </c>
    </row>
    <row r="575" spans="1:7" x14ac:dyDescent="0.2">
      <c r="A575" s="90" t="s">
        <v>356</v>
      </c>
      <c r="B575" s="51">
        <f>MIN(B573:B574)</f>
        <v>51.759781684238199</v>
      </c>
      <c r="C575" s="6" t="s">
        <v>335</v>
      </c>
      <c r="D575" s="19"/>
      <c r="E575" s="19"/>
      <c r="F575" s="19"/>
      <c r="G575" s="19"/>
    </row>
    <row r="576" spans="1:7" x14ac:dyDescent="0.2">
      <c r="A576" s="90" t="s">
        <v>357</v>
      </c>
      <c r="B576" s="63">
        <f>B575*phi_M_pc</f>
        <v>31.055869010542917</v>
      </c>
      <c r="C576" s="33" t="s">
        <v>335</v>
      </c>
      <c r="D576" s="19"/>
      <c r="E576" s="19"/>
      <c r="F576" s="21"/>
      <c r="G576" s="21"/>
    </row>
    <row r="577" spans="1:7" x14ac:dyDescent="0.2">
      <c r="A577" s="89" t="s">
        <v>359</v>
      </c>
      <c r="B577" s="82"/>
      <c r="C577" s="19"/>
      <c r="D577" s="19"/>
      <c r="E577" s="19"/>
      <c r="F577" s="21"/>
      <c r="G577" s="21"/>
    </row>
    <row r="578" spans="1:7" x14ac:dyDescent="0.2">
      <c r="A578" s="43" t="s">
        <v>365</v>
      </c>
      <c r="B578" s="51">
        <f>(4/3)*SQRT(fc_fnd_psi)*(Bf_ft*12)*tf_in*(1/1000)</f>
        <v>55.210433796520739</v>
      </c>
      <c r="C578" s="6" t="s">
        <v>367</v>
      </c>
      <c r="D578" s="6" t="s">
        <v>371</v>
      </c>
    </row>
    <row r="579" spans="1:7" x14ac:dyDescent="0.2">
      <c r="A579" s="43" t="s">
        <v>366</v>
      </c>
      <c r="B579" s="51">
        <f>B578*phi_V_pc</f>
        <v>33.126260277912444</v>
      </c>
      <c r="C579" s="6" t="s">
        <v>362</v>
      </c>
    </row>
    <row r="580" spans="1:7" x14ac:dyDescent="0.2">
      <c r="A580" s="90" t="s">
        <v>360</v>
      </c>
      <c r="B580" s="51">
        <f>MAX(B557-(tf_in/12),0)</f>
        <v>5.5</v>
      </c>
      <c r="C580" s="33" t="s">
        <v>1</v>
      </c>
      <c r="D580" s="19"/>
      <c r="E580" s="43" t="s">
        <v>361</v>
      </c>
      <c r="F580" s="51">
        <f>MIN(B558+(tf_in/12),Lf_ft)</f>
        <v>28.5</v>
      </c>
      <c r="G580" s="78" t="s">
        <v>1</v>
      </c>
    </row>
    <row r="581" spans="1:7" x14ac:dyDescent="0.2">
      <c r="A581" s="90" t="s">
        <v>363</v>
      </c>
      <c r="B581" s="51">
        <f>MAX(Long_VandM!CH133,ABS(Long_VandM!CI133))</f>
        <v>28.394575000000007</v>
      </c>
      <c r="C581" s="33" t="s">
        <v>362</v>
      </c>
      <c r="D581" s="19"/>
      <c r="E581" s="43" t="s">
        <v>369</v>
      </c>
      <c r="F581" s="51">
        <f>MAX(Long_VandM!CH134,ABS(Long_VandM!CI134))</f>
        <v>12.153551061628995</v>
      </c>
      <c r="G581" s="78" t="s">
        <v>362</v>
      </c>
    </row>
    <row r="583" spans="1:7" x14ac:dyDescent="0.2">
      <c r="A583" s="90" t="s">
        <v>358</v>
      </c>
      <c r="B583" s="82"/>
      <c r="C583" s="19"/>
      <c r="D583" s="19"/>
      <c r="E583" s="90" t="s">
        <v>368</v>
      </c>
      <c r="F583" s="21"/>
    </row>
    <row r="584" spans="1:7" x14ac:dyDescent="0.2">
      <c r="A584" s="90" t="s">
        <v>348</v>
      </c>
      <c r="B584" s="63" t="str">
        <f>IF(B576&gt;=ABS(B566),"OK","REINF")</f>
        <v>REINF</v>
      </c>
      <c r="C584" s="19"/>
      <c r="D584" s="19"/>
      <c r="E584" s="90" t="s">
        <v>348</v>
      </c>
      <c r="F584" s="51" t="str">
        <f>IF(B576&gt;=F566,"OK","REINF")</f>
        <v>REINF</v>
      </c>
    </row>
    <row r="585" spans="1:7" x14ac:dyDescent="0.2">
      <c r="A585" s="90" t="s">
        <v>349</v>
      </c>
      <c r="B585" s="63" t="str">
        <f>IF(B576&gt;=B567,"OK","REINF")</f>
        <v>OK</v>
      </c>
      <c r="C585" s="19"/>
      <c r="D585" s="19"/>
      <c r="E585" s="90" t="s">
        <v>349</v>
      </c>
      <c r="F585" s="51" t="str">
        <f>IF(B576&gt;=F567,"OK","REINF")</f>
        <v>OK</v>
      </c>
    </row>
    <row r="586" spans="1:7" x14ac:dyDescent="0.2">
      <c r="A586" s="43" t="s">
        <v>370</v>
      </c>
      <c r="B586" s="22" t="str">
        <f>IF(B581&lt;=B579,"OK","REINF")</f>
        <v>OK</v>
      </c>
      <c r="E586" s="43" t="s">
        <v>370</v>
      </c>
      <c r="F586" s="22" t="str">
        <f>IF(F581&lt;=B579,"OK","REINF")</f>
        <v>OK</v>
      </c>
    </row>
    <row r="588" spans="1:7" x14ac:dyDescent="0.2">
      <c r="A588" s="6" t="s">
        <v>374</v>
      </c>
      <c r="C588" s="6" t="str">
        <f>"M+: "&amp;ROUND(Mup_left_ftkips,2)&amp;" ft-kips, M-: "&amp;ROUND(Mum_left_ftkips,2)&amp;" ft-kips"</f>
        <v>M+: 128.96 ft-kips, M-: -44.85 ft-kips</v>
      </c>
    </row>
    <row r="589" spans="1:7" x14ac:dyDescent="0.2">
      <c r="A589" s="6" t="s">
        <v>375</v>
      </c>
    </row>
    <row r="590" spans="1:7" x14ac:dyDescent="0.2">
      <c r="A590" s="6" t="s">
        <v>376</v>
      </c>
    </row>
    <row r="591" spans="1:7" x14ac:dyDescent="0.2">
      <c r="A591" s="77" t="s">
        <v>323</v>
      </c>
      <c r="B591" s="19" t="s">
        <v>377</v>
      </c>
      <c r="C591" s="19" t="s">
        <v>378</v>
      </c>
      <c r="D591" s="92" t="s">
        <v>185</v>
      </c>
      <c r="E591" s="6" t="s">
        <v>379</v>
      </c>
    </row>
    <row r="592" spans="1:7" x14ac:dyDescent="0.2">
      <c r="A592" s="77">
        <v>3</v>
      </c>
      <c r="B592" s="21">
        <f t="shared" ref="B592:B602" ca="1" si="33">tf_in-bottom_cover-(OFFSET(barsize_heading,MATCH(A592,reinf_bars,0),1)/2)</f>
        <v>14.8125</v>
      </c>
      <c r="C592" s="21">
        <f t="shared" ref="C592:C602" ca="1" si="34">(1000*12*Mup_left_ftkips)/(0.9*Bf_ft*12*POWER(B592,2))</f>
        <v>186.59382476472575</v>
      </c>
      <c r="D592" s="19">
        <f t="shared" ref="D592:D602" ca="1" si="35">((0.85*fc_fnd_psi)*(1-SQRT(1-((2*C592)/(0.85*fc_fnd_psi)))))/Fy_psi</f>
        <v>3.2328540857630992E-3</v>
      </c>
      <c r="E592" s="84">
        <f t="shared" ref="E592:E602" ca="1" si="36">D592*B592*12*Bf_ft</f>
        <v>2.0112393481053683</v>
      </c>
    </row>
    <row r="593" spans="1:7" x14ac:dyDescent="0.2">
      <c r="A593" s="77">
        <v>4</v>
      </c>
      <c r="B593" s="21">
        <f t="shared" ca="1" si="33"/>
        <v>14.75</v>
      </c>
      <c r="C593" s="21">
        <f t="shared" ca="1" si="34"/>
        <v>188.17847858391772</v>
      </c>
      <c r="D593" s="19">
        <f t="shared" ca="1" si="35"/>
        <v>3.2614497973470396E-3</v>
      </c>
      <c r="E593" s="84">
        <f t="shared" ca="1" si="36"/>
        <v>2.0204681494564909</v>
      </c>
    </row>
    <row r="594" spans="1:7" x14ac:dyDescent="0.2">
      <c r="A594" s="77">
        <v>5</v>
      </c>
      <c r="B594" s="21">
        <f t="shared" ca="1" si="33"/>
        <v>14.6875</v>
      </c>
      <c r="C594" s="21">
        <f t="shared" ca="1" si="34"/>
        <v>189.78340503775249</v>
      </c>
      <c r="D594" s="19">
        <f t="shared" ca="1" si="35"/>
        <v>3.2904325936064754E-3</v>
      </c>
      <c r="E594" s="84">
        <f t="shared" ca="1" si="36"/>
        <v>2.0297856061809947</v>
      </c>
    </row>
    <row r="595" spans="1:7" x14ac:dyDescent="0.2">
      <c r="A595" s="77">
        <v>6</v>
      </c>
      <c r="B595" s="21">
        <f t="shared" ca="1" si="33"/>
        <v>14.625</v>
      </c>
      <c r="C595" s="21">
        <f t="shared" ca="1" si="34"/>
        <v>191.40895140641905</v>
      </c>
      <c r="D595" s="19">
        <f t="shared" ca="1" si="35"/>
        <v>3.3198096119875097E-3</v>
      </c>
      <c r="E595" s="84">
        <f t="shared" ca="1" si="36"/>
        <v>2.0391930541633281</v>
      </c>
    </row>
    <row r="596" spans="1:7" x14ac:dyDescent="0.2">
      <c r="A596" s="77">
        <v>7</v>
      </c>
      <c r="B596" s="21">
        <f t="shared" ca="1" si="33"/>
        <v>14.5625</v>
      </c>
      <c r="C596" s="21">
        <f t="shared" ca="1" si="34"/>
        <v>193.05547243842915</v>
      </c>
      <c r="D596" s="19">
        <f t="shared" ca="1" si="35"/>
        <v>3.3495881582467626E-3</v>
      </c>
      <c r="E596" s="84">
        <f t="shared" ca="1" si="36"/>
        <v>2.0486918572876762</v>
      </c>
    </row>
    <row r="597" spans="1:7" x14ac:dyDescent="0.2">
      <c r="A597" s="77">
        <v>8</v>
      </c>
      <c r="B597" s="21">
        <f t="shared" ca="1" si="33"/>
        <v>14.5</v>
      </c>
      <c r="C597" s="21">
        <f t="shared" ca="1" si="34"/>
        <v>194.72333054417879</v>
      </c>
      <c r="D597" s="19">
        <f t="shared" ca="1" si="35"/>
        <v>3.379775711331271E-3</v>
      </c>
      <c r="E597" s="84">
        <f t="shared" ca="1" si="36"/>
        <v>2.0582834082007442</v>
      </c>
    </row>
    <row r="598" spans="1:7" x14ac:dyDescent="0.2">
      <c r="A598" s="77">
        <v>9</v>
      </c>
      <c r="B598" s="21">
        <f t="shared" ca="1" si="33"/>
        <v>14.436</v>
      </c>
      <c r="C598" s="21">
        <f t="shared" ca="1" si="34"/>
        <v>196.45371542604494</v>
      </c>
      <c r="D598" s="19">
        <f t="shared" ca="1" si="35"/>
        <v>3.4111196142291265E-3</v>
      </c>
      <c r="E598" s="84">
        <f t="shared" ca="1" si="36"/>
        <v>2.0682027555424902</v>
      </c>
    </row>
    <row r="599" spans="1:7" x14ac:dyDescent="0.2">
      <c r="A599" s="77">
        <v>10</v>
      </c>
      <c r="B599" s="21">
        <f t="shared" ca="1" si="33"/>
        <v>14.365</v>
      </c>
      <c r="C599" s="21">
        <f t="shared" ca="1" si="34"/>
        <v>198.4004865778744</v>
      </c>
      <c r="D599" s="19">
        <f t="shared" ca="1" si="35"/>
        <v>3.446413173503797E-3</v>
      </c>
      <c r="E599" s="84">
        <f t="shared" ca="1" si="36"/>
        <v>2.0793244599700458</v>
      </c>
    </row>
    <row r="600" spans="1:7" x14ac:dyDescent="0.2">
      <c r="A600" s="77">
        <v>11</v>
      </c>
      <c r="B600" s="21">
        <f t="shared" ca="1" si="33"/>
        <v>14.295</v>
      </c>
      <c r="C600" s="21">
        <f t="shared" ca="1" si="34"/>
        <v>200.34830576522262</v>
      </c>
      <c r="D600" s="19">
        <f t="shared" ca="1" si="35"/>
        <v>3.4817576831135543E-3</v>
      </c>
      <c r="E600" s="84">
        <f t="shared" ca="1" si="36"/>
        <v>2.0904124953645464</v>
      </c>
    </row>
    <row r="601" spans="1:7" x14ac:dyDescent="0.2">
      <c r="A601" s="77">
        <v>14</v>
      </c>
      <c r="B601" s="21">
        <f t="shared" ca="1" si="33"/>
        <v>14.153499999999999</v>
      </c>
      <c r="C601" s="21">
        <f t="shared" ca="1" si="34"/>
        <v>204.3743059262888</v>
      </c>
      <c r="D601" s="19">
        <f t="shared" ca="1" si="35"/>
        <v>3.5549138751614657E-3</v>
      </c>
      <c r="E601" s="84">
        <f t="shared" ca="1" si="36"/>
        <v>2.1132078883481076</v>
      </c>
    </row>
    <row r="602" spans="1:7" x14ac:dyDescent="0.2">
      <c r="A602" s="77">
        <v>18</v>
      </c>
      <c r="B602" s="21">
        <f t="shared" ca="1" si="33"/>
        <v>13.871499999999999</v>
      </c>
      <c r="C602" s="21">
        <f t="shared" ca="1" si="34"/>
        <v>212.76840657473485</v>
      </c>
      <c r="D602" s="19">
        <f t="shared" ca="1" si="35"/>
        <v>3.707886230758288E-3</v>
      </c>
      <c r="E602" s="84">
        <f t="shared" ca="1" si="36"/>
        <v>2.1602256416984709</v>
      </c>
    </row>
    <row r="604" spans="1:7" x14ac:dyDescent="0.2">
      <c r="A604" s="6" t="s">
        <v>380</v>
      </c>
    </row>
    <row r="605" spans="1:7" x14ac:dyDescent="0.2">
      <c r="A605" s="77" t="s">
        <v>323</v>
      </c>
      <c r="B605" s="19" t="s">
        <v>381</v>
      </c>
      <c r="C605" s="19" t="s">
        <v>382</v>
      </c>
      <c r="D605" s="19" t="s">
        <v>383</v>
      </c>
      <c r="E605" s="19" t="s">
        <v>384</v>
      </c>
      <c r="F605" s="19" t="s">
        <v>385</v>
      </c>
      <c r="G605" s="19" t="s">
        <v>388</v>
      </c>
    </row>
    <row r="606" spans="1:7" x14ac:dyDescent="0.2">
      <c r="A606" s="77">
        <v>3</v>
      </c>
      <c r="B606" s="21">
        <f ca="1">1.33*E592</f>
        <v>2.67494833298014</v>
      </c>
      <c r="C606" s="21">
        <f>0.0018*tf_in*12*Bf_ft</f>
        <v>1.3608</v>
      </c>
      <c r="D606" s="21">
        <f t="shared" ref="D606:D616" ca="1" si="37">((3*SQRT(fc_fnd_psi))/Fy_psi)*12*Bf_ft*B592</f>
        <v>1.7037594804395073</v>
      </c>
      <c r="E606" s="21">
        <f t="shared" ref="E606:E616" ca="1" si="38">(200/Fy_psi)*12*Bf_ft*B592</f>
        <v>2.07375</v>
      </c>
      <c r="F606" s="21">
        <f ca="1">IF(C606&gt;=B606,C606,MAX(D606:E606))</f>
        <v>2.07375</v>
      </c>
      <c r="G606" s="84">
        <f ca="1">MAX(F606,E592)</f>
        <v>2.07375</v>
      </c>
    </row>
    <row r="607" spans="1:7" x14ac:dyDescent="0.2">
      <c r="A607" s="77">
        <v>4</v>
      </c>
      <c r="B607" s="21">
        <f t="shared" ref="B607:B616" ca="1" si="39">1.33*E593</f>
        <v>2.6872226387771332</v>
      </c>
      <c r="C607" s="21">
        <f>$C$606</f>
        <v>1.3608</v>
      </c>
      <c r="D607" s="21">
        <f t="shared" ca="1" si="37"/>
        <v>1.696570621872252</v>
      </c>
      <c r="E607" s="21">
        <f t="shared" ca="1" si="38"/>
        <v>2.0650000000000004</v>
      </c>
      <c r="F607" s="21">
        <f t="shared" ref="F607:F616" ca="1" si="40">IF(C607&gt;=B607,C607,MAX(D607:E607))</f>
        <v>2.0650000000000004</v>
      </c>
      <c r="G607" s="84">
        <f t="shared" ref="G607:G616" ca="1" si="41">MAX(F607,E593)</f>
        <v>2.0650000000000004</v>
      </c>
    </row>
    <row r="608" spans="1:7" x14ac:dyDescent="0.2">
      <c r="A608" s="77">
        <v>5</v>
      </c>
      <c r="B608" s="21">
        <f t="shared" ca="1" si="39"/>
        <v>2.6996148562207232</v>
      </c>
      <c r="C608" s="21">
        <f t="shared" ref="C608:C616" si="42">$C$606</f>
        <v>1.3608</v>
      </c>
      <c r="D608" s="21">
        <f t="shared" ca="1" si="37"/>
        <v>1.6893817633049968</v>
      </c>
      <c r="E608" s="21">
        <f t="shared" ca="1" si="38"/>
        <v>2.0562500000000004</v>
      </c>
      <c r="F608" s="21">
        <f t="shared" ca="1" si="40"/>
        <v>2.0562500000000004</v>
      </c>
      <c r="G608" s="84">
        <f t="shared" ca="1" si="41"/>
        <v>2.0562500000000004</v>
      </c>
    </row>
    <row r="609" spans="1:7" x14ac:dyDescent="0.2">
      <c r="A609" s="77">
        <v>6</v>
      </c>
      <c r="B609" s="21">
        <f t="shared" ca="1" si="39"/>
        <v>2.7121267620372267</v>
      </c>
      <c r="C609" s="21">
        <f t="shared" si="42"/>
        <v>1.3608</v>
      </c>
      <c r="D609" s="21">
        <f t="shared" ca="1" si="37"/>
        <v>1.6821929047377415</v>
      </c>
      <c r="E609" s="21">
        <f t="shared" ca="1" si="38"/>
        <v>2.0475000000000003</v>
      </c>
      <c r="F609" s="21">
        <f t="shared" ca="1" si="40"/>
        <v>2.0475000000000003</v>
      </c>
      <c r="G609" s="84">
        <f t="shared" ca="1" si="41"/>
        <v>2.0475000000000003</v>
      </c>
    </row>
    <row r="610" spans="1:7" x14ac:dyDescent="0.2">
      <c r="A610" s="77">
        <v>7</v>
      </c>
      <c r="B610" s="21">
        <f t="shared" ca="1" si="39"/>
        <v>2.7247601701926096</v>
      </c>
      <c r="C610" s="21">
        <f t="shared" si="42"/>
        <v>1.3608</v>
      </c>
      <c r="D610" s="21">
        <f t="shared" ca="1" si="37"/>
        <v>1.6750040461704863</v>
      </c>
      <c r="E610" s="21">
        <f t="shared" ca="1" si="38"/>
        <v>2.0387500000000003</v>
      </c>
      <c r="F610" s="21">
        <f t="shared" ca="1" si="40"/>
        <v>2.0387500000000003</v>
      </c>
      <c r="G610" s="84">
        <f t="shared" ca="1" si="41"/>
        <v>2.0486918572876762</v>
      </c>
    </row>
    <row r="611" spans="1:7" x14ac:dyDescent="0.2">
      <c r="A611" s="77">
        <v>8</v>
      </c>
      <c r="B611" s="21">
        <f t="shared" ca="1" si="39"/>
        <v>2.7375169329069897</v>
      </c>
      <c r="C611" s="21">
        <f t="shared" si="42"/>
        <v>1.3608</v>
      </c>
      <c r="D611" s="21">
        <f t="shared" ca="1" si="37"/>
        <v>1.6678151876032308</v>
      </c>
      <c r="E611" s="21">
        <f t="shared" ca="1" si="38"/>
        <v>2.0300000000000002</v>
      </c>
      <c r="F611" s="21">
        <f t="shared" ca="1" si="40"/>
        <v>2.0300000000000002</v>
      </c>
      <c r="G611" s="84">
        <f t="shared" ca="1" si="41"/>
        <v>2.0582834082007442</v>
      </c>
    </row>
    <row r="612" spans="1:7" x14ac:dyDescent="0.2">
      <c r="A612" s="77">
        <v>9</v>
      </c>
      <c r="B612" s="21">
        <f t="shared" ca="1" si="39"/>
        <v>2.7507096648715121</v>
      </c>
      <c r="C612" s="21">
        <f t="shared" si="42"/>
        <v>1.3608</v>
      </c>
      <c r="D612" s="21">
        <f t="shared" ca="1" si="37"/>
        <v>1.6604537964303614</v>
      </c>
      <c r="E612" s="21">
        <f t="shared" ca="1" si="38"/>
        <v>2.0210400000000002</v>
      </c>
      <c r="F612" s="21">
        <f t="shared" ca="1" si="40"/>
        <v>2.0210400000000002</v>
      </c>
      <c r="G612" s="84">
        <f t="shared" ca="1" si="41"/>
        <v>2.0682027555424902</v>
      </c>
    </row>
    <row r="613" spans="1:7" x14ac:dyDescent="0.2">
      <c r="A613" s="77">
        <v>10</v>
      </c>
      <c r="B613" s="21">
        <f t="shared" ca="1" si="39"/>
        <v>2.7655015317601612</v>
      </c>
      <c r="C613" s="21">
        <f t="shared" si="42"/>
        <v>1.3608</v>
      </c>
      <c r="D613" s="21">
        <f t="shared" ca="1" si="37"/>
        <v>1.6522872530979595</v>
      </c>
      <c r="E613" s="21">
        <f t="shared" ca="1" si="38"/>
        <v>2.0111000000000003</v>
      </c>
      <c r="F613" s="21">
        <f t="shared" ca="1" si="40"/>
        <v>2.0111000000000003</v>
      </c>
      <c r="G613" s="84">
        <f t="shared" ca="1" si="41"/>
        <v>2.0793244599700458</v>
      </c>
    </row>
    <row r="614" spans="1:7" x14ac:dyDescent="0.2">
      <c r="A614" s="77">
        <v>11</v>
      </c>
      <c r="B614" s="21">
        <f t="shared" ca="1" si="39"/>
        <v>2.7802486188348468</v>
      </c>
      <c r="C614" s="21">
        <f t="shared" si="42"/>
        <v>1.3608</v>
      </c>
      <c r="D614" s="21">
        <f t="shared" ca="1" si="37"/>
        <v>1.6442357315026335</v>
      </c>
      <c r="E614" s="21">
        <f t="shared" ca="1" si="38"/>
        <v>2.0013000000000001</v>
      </c>
      <c r="F614" s="21">
        <f t="shared" ca="1" si="40"/>
        <v>2.0013000000000001</v>
      </c>
      <c r="G614" s="84">
        <f t="shared" ca="1" si="41"/>
        <v>2.0904124953645464</v>
      </c>
    </row>
    <row r="615" spans="1:7" x14ac:dyDescent="0.2">
      <c r="A615" s="77">
        <v>14</v>
      </c>
      <c r="B615" s="21">
        <f t="shared" ca="1" si="39"/>
        <v>2.8105664915029833</v>
      </c>
      <c r="C615" s="21">
        <f t="shared" si="42"/>
        <v>1.3608</v>
      </c>
      <c r="D615" s="21">
        <f t="shared" ca="1" si="37"/>
        <v>1.6279601557063674</v>
      </c>
      <c r="E615" s="21">
        <f t="shared" ca="1" si="38"/>
        <v>1.9814900000000002</v>
      </c>
      <c r="F615" s="21">
        <f t="shared" ca="1" si="40"/>
        <v>1.9814900000000002</v>
      </c>
      <c r="G615" s="84">
        <f t="shared" ca="1" si="41"/>
        <v>2.1132078883481076</v>
      </c>
    </row>
    <row r="616" spans="1:7" x14ac:dyDescent="0.2">
      <c r="A616" s="77">
        <v>18</v>
      </c>
      <c r="B616" s="21">
        <f t="shared" ca="1" si="39"/>
        <v>2.8731001034589663</v>
      </c>
      <c r="C616" s="21">
        <f t="shared" si="42"/>
        <v>1.3608</v>
      </c>
      <c r="D616" s="21">
        <f t="shared" ca="1" si="37"/>
        <v>1.5955240258509114</v>
      </c>
      <c r="E616" s="21">
        <f t="shared" ca="1" si="38"/>
        <v>1.94201</v>
      </c>
      <c r="F616" s="21">
        <f t="shared" ca="1" si="40"/>
        <v>1.94201</v>
      </c>
      <c r="G616" s="84">
        <f t="shared" ca="1" si="41"/>
        <v>2.1602256416984709</v>
      </c>
    </row>
    <row r="618" spans="1:7" x14ac:dyDescent="0.2">
      <c r="A618" s="6" t="s">
        <v>387</v>
      </c>
    </row>
    <row r="619" spans="1:7" x14ac:dyDescent="0.2">
      <c r="A619" s="77" t="s">
        <v>323</v>
      </c>
      <c r="B619" s="19" t="s">
        <v>389</v>
      </c>
      <c r="C619" s="19" t="s">
        <v>386</v>
      </c>
      <c r="D619" s="19" t="s">
        <v>428</v>
      </c>
      <c r="E619" s="6" t="s">
        <v>391</v>
      </c>
      <c r="F619" s="19" t="s">
        <v>402</v>
      </c>
    </row>
    <row r="620" spans="1:7" x14ac:dyDescent="0.2">
      <c r="A620" s="77">
        <v>3</v>
      </c>
      <c r="B620" s="21">
        <f t="shared" ref="B620:B630" ca="1" si="43">G606/OFFSET(barsize_heading,MATCH(A620,reinf_bars,0),2)</f>
        <v>18.852272727272727</v>
      </c>
      <c r="C620" s="19">
        <f>$B$485</f>
        <v>3</v>
      </c>
      <c r="D620" s="93">
        <f ca="1">ROUNDUP(MAX(B620:C620),0)</f>
        <v>19</v>
      </c>
      <c r="E620" s="21">
        <f t="shared" ref="E620:E630" ca="1" si="44">D620*OFFSET(barsize_heading,MATCH(A620,reinf_bars,0),2)</f>
        <v>2.09</v>
      </c>
      <c r="F620" s="21">
        <f t="shared" ref="F620:F630" ca="1" si="45">((Bf_ft*12)-(2*bottom_cover)-OFFSET(barsize_heading,MATCH(A620,reinf_bars,0),1))/(D620-1)</f>
        <v>1.9791666666666667</v>
      </c>
    </row>
    <row r="621" spans="1:7" x14ac:dyDescent="0.2">
      <c r="A621" s="77">
        <v>4</v>
      </c>
      <c r="B621" s="21">
        <f t="shared" ca="1" si="43"/>
        <v>10.325000000000001</v>
      </c>
      <c r="C621" s="19">
        <f t="shared" ref="C621:C630" si="46">$B$485</f>
        <v>3</v>
      </c>
      <c r="D621" s="93">
        <f t="shared" ref="D621:D630" ca="1" si="47">ROUNDUP(MAX(B621:C621),0)</f>
        <v>11</v>
      </c>
      <c r="E621" s="21">
        <f t="shared" ca="1" si="44"/>
        <v>2.2000000000000002</v>
      </c>
      <c r="F621" s="21">
        <f t="shared" ca="1" si="45"/>
        <v>3.55</v>
      </c>
    </row>
    <row r="622" spans="1:7" x14ac:dyDescent="0.2">
      <c r="A622" s="77">
        <v>5</v>
      </c>
      <c r="B622" s="21">
        <f t="shared" ca="1" si="43"/>
        <v>6.6330645161290338</v>
      </c>
      <c r="C622" s="19">
        <f t="shared" si="46"/>
        <v>3</v>
      </c>
      <c r="D622" s="93">
        <f t="shared" ca="1" si="47"/>
        <v>7</v>
      </c>
      <c r="E622" s="21">
        <f t="shared" ca="1" si="44"/>
        <v>2.17</v>
      </c>
      <c r="F622" s="21">
        <f t="shared" ca="1" si="45"/>
        <v>5.895833333333333</v>
      </c>
    </row>
    <row r="623" spans="1:7" x14ac:dyDescent="0.2">
      <c r="A623" s="77">
        <v>6</v>
      </c>
      <c r="B623" s="21">
        <f t="shared" ca="1" si="43"/>
        <v>4.6534090909090917</v>
      </c>
      <c r="C623" s="19">
        <f t="shared" si="46"/>
        <v>3</v>
      </c>
      <c r="D623" s="93">
        <f t="shared" ca="1" si="47"/>
        <v>5</v>
      </c>
      <c r="E623" s="21">
        <f t="shared" ca="1" si="44"/>
        <v>2.2000000000000002</v>
      </c>
      <c r="F623" s="21">
        <f t="shared" ca="1" si="45"/>
        <v>8.8125</v>
      </c>
    </row>
    <row r="624" spans="1:7" x14ac:dyDescent="0.2">
      <c r="A624" s="77">
        <v>7</v>
      </c>
      <c r="B624" s="21">
        <f t="shared" ca="1" si="43"/>
        <v>3.4144864288127939</v>
      </c>
      <c r="C624" s="19">
        <f t="shared" si="46"/>
        <v>3</v>
      </c>
      <c r="D624" s="93">
        <f t="shared" ca="1" si="47"/>
        <v>4</v>
      </c>
      <c r="E624" s="21">
        <f t="shared" ca="1" si="44"/>
        <v>2.4</v>
      </c>
      <c r="F624" s="21">
        <f t="shared" ca="1" si="45"/>
        <v>11.708333333333334</v>
      </c>
    </row>
    <row r="625" spans="1:8" x14ac:dyDescent="0.2">
      <c r="A625" s="77">
        <v>8</v>
      </c>
      <c r="B625" s="21">
        <f t="shared" ca="1" si="43"/>
        <v>2.6054220356971443</v>
      </c>
      <c r="C625" s="19">
        <f t="shared" si="46"/>
        <v>3</v>
      </c>
      <c r="D625" s="93">
        <f t="shared" ca="1" si="47"/>
        <v>3</v>
      </c>
      <c r="E625" s="21">
        <f t="shared" ca="1" si="44"/>
        <v>2.37</v>
      </c>
      <c r="F625" s="21">
        <f t="shared" ca="1" si="45"/>
        <v>17.5</v>
      </c>
    </row>
    <row r="626" spans="1:8" x14ac:dyDescent="0.2">
      <c r="A626" s="77">
        <v>9</v>
      </c>
      <c r="B626" s="21">
        <f t="shared" ca="1" si="43"/>
        <v>2.0682027555424902</v>
      </c>
      <c r="C626" s="19">
        <f t="shared" si="46"/>
        <v>3</v>
      </c>
      <c r="D626" s="93">
        <f t="shared" ca="1" si="47"/>
        <v>3</v>
      </c>
      <c r="E626" s="21">
        <f t="shared" ca="1" si="44"/>
        <v>3</v>
      </c>
      <c r="F626" s="21">
        <f t="shared" ca="1" si="45"/>
        <v>17.436</v>
      </c>
    </row>
    <row r="627" spans="1:8" x14ac:dyDescent="0.2">
      <c r="A627" s="77">
        <v>10</v>
      </c>
      <c r="B627" s="21">
        <f t="shared" ca="1" si="43"/>
        <v>1.6372633543071227</v>
      </c>
      <c r="C627" s="19">
        <f t="shared" si="46"/>
        <v>3</v>
      </c>
      <c r="D627" s="93">
        <f t="shared" ca="1" si="47"/>
        <v>3</v>
      </c>
      <c r="E627" s="21">
        <f t="shared" ca="1" si="44"/>
        <v>3.81</v>
      </c>
      <c r="F627" s="21">
        <f t="shared" ca="1" si="45"/>
        <v>17.364999999999998</v>
      </c>
    </row>
    <row r="628" spans="1:8" x14ac:dyDescent="0.2">
      <c r="A628" s="77">
        <v>11</v>
      </c>
      <c r="B628" s="21">
        <f t="shared" ca="1" si="43"/>
        <v>1.3400080098490681</v>
      </c>
      <c r="C628" s="19">
        <f t="shared" si="46"/>
        <v>3</v>
      </c>
      <c r="D628" s="93">
        <f t="shared" ca="1" si="47"/>
        <v>3</v>
      </c>
      <c r="E628" s="21">
        <f t="shared" ca="1" si="44"/>
        <v>4.68</v>
      </c>
      <c r="F628" s="21">
        <f t="shared" ca="1" si="45"/>
        <v>17.295000000000002</v>
      </c>
    </row>
    <row r="629" spans="1:8" x14ac:dyDescent="0.2">
      <c r="A629" s="77">
        <v>14</v>
      </c>
      <c r="B629" s="21">
        <f t="shared" ca="1" si="43"/>
        <v>0.93920350593249224</v>
      </c>
      <c r="C629" s="19">
        <f t="shared" si="46"/>
        <v>3</v>
      </c>
      <c r="D629" s="93">
        <f t="shared" ca="1" si="47"/>
        <v>3</v>
      </c>
      <c r="E629" s="21">
        <f t="shared" ca="1" si="44"/>
        <v>6.75</v>
      </c>
      <c r="F629" s="21">
        <f t="shared" ca="1" si="45"/>
        <v>17.153500000000001</v>
      </c>
    </row>
    <row r="630" spans="1:8" x14ac:dyDescent="0.2">
      <c r="A630" s="77">
        <v>18</v>
      </c>
      <c r="B630" s="21">
        <f t="shared" ca="1" si="43"/>
        <v>0.54005641042461772</v>
      </c>
      <c r="C630" s="19">
        <f t="shared" si="46"/>
        <v>3</v>
      </c>
      <c r="D630" s="93">
        <f t="shared" ca="1" si="47"/>
        <v>3</v>
      </c>
      <c r="E630" s="21">
        <f t="shared" ca="1" si="44"/>
        <v>12</v>
      </c>
      <c r="F630" s="21">
        <f t="shared" ca="1" si="45"/>
        <v>16.871500000000001</v>
      </c>
    </row>
    <row r="632" spans="1:8" x14ac:dyDescent="0.2">
      <c r="A632" s="6" t="s">
        <v>390</v>
      </c>
    </row>
    <row r="633" spans="1:8" ht="24" x14ac:dyDescent="0.2">
      <c r="A633" s="77" t="s">
        <v>323</v>
      </c>
      <c r="B633" s="19" t="s">
        <v>94</v>
      </c>
      <c r="C633" s="19" t="s">
        <v>394</v>
      </c>
      <c r="D633" s="19" t="s">
        <v>392</v>
      </c>
      <c r="E633" s="19" t="s">
        <v>395</v>
      </c>
      <c r="F633" s="19" t="s">
        <v>396</v>
      </c>
      <c r="G633" s="35" t="s">
        <v>397</v>
      </c>
    </row>
    <row r="634" spans="1:8" x14ac:dyDescent="0.2">
      <c r="A634" s="77">
        <v>3</v>
      </c>
      <c r="B634" s="84">
        <f t="shared" ref="B634:B644" ca="1" si="48">(E620*Fy_psi)/(0.85*fc_fnd_psi*12*Bf_ft)</f>
        <v>1.1708683473389354</v>
      </c>
      <c r="C634" s="21">
        <f t="shared" ref="C634:C644" ca="1" si="49">B634/beta1</f>
        <v>1.3774921733399241</v>
      </c>
      <c r="D634" s="83">
        <f t="shared" ref="D634:D644" ca="1" si="50">((B592/C634)*ec)-ec</f>
        <v>2.9259711423444978E-2</v>
      </c>
      <c r="E634" s="19">
        <f ca="1">IF(D634&gt;=0.005,0.9,IF(D634&gt;=0.004,0.65+(0.25*((D634-0.002)/(0.005-0.002))),0))</f>
        <v>0.9</v>
      </c>
      <c r="F634" s="82">
        <f t="shared" ref="F634:F644" ca="1" si="51">E620*Fy_psi*(B592-(B634/2))*(1/(12*1000))</f>
        <v>148.67283788515402</v>
      </c>
      <c r="G634" s="82">
        <f ca="1">E634*F634</f>
        <v>133.80555409663862</v>
      </c>
      <c r="H634" s="6" t="str">
        <f t="shared" ref="H634:H644" ca="1" si="52">IF(AND(G634&gt;=Mup_left_ftkips,J31="USE"),"USE","N/A")</f>
        <v>N/A</v>
      </c>
    </row>
    <row r="635" spans="1:8" x14ac:dyDescent="0.2">
      <c r="A635" s="77">
        <v>4</v>
      </c>
      <c r="B635" s="84">
        <f t="shared" ca="1" si="48"/>
        <v>1.2324929971988796</v>
      </c>
      <c r="C635" s="21">
        <f t="shared" ca="1" si="49"/>
        <v>1.4499917614104467</v>
      </c>
      <c r="D635" s="83">
        <f t="shared" ca="1" si="50"/>
        <v>2.7517414772727272E-2</v>
      </c>
      <c r="E635" s="19">
        <f t="shared" ref="E635:E644" ca="1" si="53">IF(D635&gt;=0.005,0.9,IF(D635&gt;=0.004,0.65+(0.25*((D635-0.002)/(0.005-0.002))),0))</f>
        <v>0.9</v>
      </c>
      <c r="F635" s="82">
        <f t="shared" ca="1" si="51"/>
        <v>155.47128851540617</v>
      </c>
      <c r="G635" s="82">
        <f t="shared" ref="G635:G644" ca="1" si="54">E635*F635</f>
        <v>139.92415966386557</v>
      </c>
      <c r="H635" s="6" t="str">
        <f t="shared" ca="1" si="52"/>
        <v>N/A</v>
      </c>
    </row>
    <row r="636" spans="1:8" x14ac:dyDescent="0.2">
      <c r="A636" s="77">
        <v>5</v>
      </c>
      <c r="B636" s="84">
        <f t="shared" ca="1" si="48"/>
        <v>1.2156862745098038</v>
      </c>
      <c r="C636" s="21">
        <f t="shared" ca="1" si="49"/>
        <v>1.4302191464821221</v>
      </c>
      <c r="D636" s="83">
        <f t="shared" ca="1" si="50"/>
        <v>2.7808215725806457E-2</v>
      </c>
      <c r="E636" s="19">
        <f t="shared" ca="1" si="53"/>
        <v>0.9</v>
      </c>
      <c r="F636" s="82">
        <f t="shared" ca="1" si="51"/>
        <v>152.76427696078431</v>
      </c>
      <c r="G636" s="82">
        <f t="shared" ca="1" si="54"/>
        <v>137.48784926470589</v>
      </c>
      <c r="H636" s="6" t="str">
        <f t="shared" ca="1" si="52"/>
        <v>USE</v>
      </c>
    </row>
    <row r="637" spans="1:8" x14ac:dyDescent="0.2">
      <c r="A637" s="77">
        <v>6</v>
      </c>
      <c r="B637" s="84">
        <f t="shared" ca="1" si="48"/>
        <v>1.2324929971988796</v>
      </c>
      <c r="C637" s="21">
        <f t="shared" ca="1" si="49"/>
        <v>1.4499917614104467</v>
      </c>
      <c r="D637" s="83">
        <f t="shared" ca="1" si="50"/>
        <v>2.7258792613636357E-2</v>
      </c>
      <c r="E637" s="19">
        <f t="shared" ca="1" si="53"/>
        <v>0.9</v>
      </c>
      <c r="F637" s="82">
        <f t="shared" ca="1" si="51"/>
        <v>154.09628851540617</v>
      </c>
      <c r="G637" s="82">
        <f t="shared" ca="1" si="54"/>
        <v>138.68665966386556</v>
      </c>
      <c r="H637" s="6" t="str">
        <f t="shared" ca="1" si="52"/>
        <v>USE</v>
      </c>
    </row>
    <row r="638" spans="1:8" x14ac:dyDescent="0.2">
      <c r="A638" s="77">
        <v>7</v>
      </c>
      <c r="B638" s="84">
        <f t="shared" ca="1" si="48"/>
        <v>1.3445378151260505</v>
      </c>
      <c r="C638" s="21">
        <f t="shared" ca="1" si="49"/>
        <v>1.5818091942659418</v>
      </c>
      <c r="D638" s="83">
        <f t="shared" ca="1" si="50"/>
        <v>2.4618691406249997E-2</v>
      </c>
      <c r="E638" s="19">
        <f t="shared" ca="1" si="53"/>
        <v>0.9</v>
      </c>
      <c r="F638" s="82">
        <f t="shared" ca="1" si="51"/>
        <v>166.6827731092437</v>
      </c>
      <c r="G638" s="82">
        <f t="shared" ca="1" si="54"/>
        <v>150.01449579831933</v>
      </c>
      <c r="H638" s="6" t="str">
        <f t="shared" ca="1" si="52"/>
        <v>N/A</v>
      </c>
    </row>
    <row r="639" spans="1:8" x14ac:dyDescent="0.2">
      <c r="A639" s="77">
        <v>8</v>
      </c>
      <c r="B639" s="84">
        <f t="shared" ca="1" si="48"/>
        <v>1.3277310924369747</v>
      </c>
      <c r="C639" s="21">
        <f t="shared" ca="1" si="49"/>
        <v>1.5620365793376174</v>
      </c>
      <c r="D639" s="83">
        <f t="shared" ca="1" si="50"/>
        <v>2.4848259493670886E-2</v>
      </c>
      <c r="E639" s="19">
        <f t="shared" ca="1" si="53"/>
        <v>0.9</v>
      </c>
      <c r="F639" s="82">
        <f t="shared" ca="1" si="51"/>
        <v>163.95819327731093</v>
      </c>
      <c r="G639" s="82">
        <f t="shared" ca="1" si="54"/>
        <v>147.56237394957984</v>
      </c>
      <c r="H639" s="6" t="str">
        <f t="shared" ca="1" si="52"/>
        <v>N/A</v>
      </c>
    </row>
    <row r="640" spans="1:8" x14ac:dyDescent="0.2">
      <c r="A640" s="77">
        <v>9</v>
      </c>
      <c r="B640" s="84">
        <f t="shared" ca="1" si="48"/>
        <v>1.680672268907563</v>
      </c>
      <c r="C640" s="21">
        <f t="shared" ca="1" si="49"/>
        <v>1.9772614928324272</v>
      </c>
      <c r="D640" s="83">
        <f t="shared" ca="1" si="50"/>
        <v>1.8903020999999999E-2</v>
      </c>
      <c r="E640" s="19">
        <f t="shared" ca="1" si="53"/>
        <v>0.9</v>
      </c>
      <c r="F640" s="82">
        <f t="shared" ca="1" si="51"/>
        <v>203.93495798319324</v>
      </c>
      <c r="G640" s="82">
        <f t="shared" ca="1" si="54"/>
        <v>183.54146218487392</v>
      </c>
      <c r="H640" s="6" t="str">
        <f t="shared" ca="1" si="52"/>
        <v>N/A</v>
      </c>
    </row>
    <row r="641" spans="1:8" x14ac:dyDescent="0.2">
      <c r="A641" s="77">
        <v>10</v>
      </c>
      <c r="B641" s="84">
        <f t="shared" ca="1" si="48"/>
        <v>2.134453781512605</v>
      </c>
      <c r="C641" s="21">
        <f t="shared" ca="1" si="49"/>
        <v>2.5111220958971825</v>
      </c>
      <c r="D641" s="83">
        <f t="shared" ca="1" si="50"/>
        <v>1.4161650590551182E-2</v>
      </c>
      <c r="E641" s="19">
        <f t="shared" ca="1" si="53"/>
        <v>0.9</v>
      </c>
      <c r="F641" s="82">
        <f t="shared" ca="1" si="51"/>
        <v>253.32257773109245</v>
      </c>
      <c r="G641" s="82">
        <f t="shared" ca="1" si="54"/>
        <v>227.99031995798322</v>
      </c>
      <c r="H641" s="6" t="str">
        <f t="shared" ca="1" si="52"/>
        <v>N/A</v>
      </c>
    </row>
    <row r="642" spans="1:8" x14ac:dyDescent="0.2">
      <c r="A642" s="77">
        <v>11</v>
      </c>
      <c r="B642" s="84">
        <f t="shared" ca="1" si="48"/>
        <v>2.6218487394957983</v>
      </c>
      <c r="C642" s="21">
        <f t="shared" ca="1" si="49"/>
        <v>3.0845279288185865</v>
      </c>
      <c r="D642" s="83">
        <f t="shared" ca="1" si="50"/>
        <v>1.0903262019230767E-2</v>
      </c>
      <c r="E642" s="19">
        <f t="shared" ca="1" si="53"/>
        <v>0.9</v>
      </c>
      <c r="F642" s="82">
        <f t="shared" ca="1" si="51"/>
        <v>303.82736974789913</v>
      </c>
      <c r="G642" s="82">
        <f t="shared" ca="1" si="54"/>
        <v>273.44463277310922</v>
      </c>
      <c r="H642" s="6" t="str">
        <f t="shared" ca="1" si="52"/>
        <v>N/A</v>
      </c>
    </row>
    <row r="643" spans="1:8" x14ac:dyDescent="0.2">
      <c r="A643" s="77">
        <v>14</v>
      </c>
      <c r="B643" s="84">
        <f t="shared" ca="1" si="48"/>
        <v>3.7815126050420167</v>
      </c>
      <c r="C643" s="21">
        <f t="shared" ca="1" si="49"/>
        <v>4.448838358872961</v>
      </c>
      <c r="D643" s="83">
        <f t="shared" ca="1" si="50"/>
        <v>6.5441768333333325E-3</v>
      </c>
      <c r="E643" s="19">
        <f t="shared" ca="1" si="53"/>
        <v>0.9</v>
      </c>
      <c r="F643" s="82">
        <f t="shared" ca="1" si="51"/>
        <v>413.86759978991591</v>
      </c>
      <c r="G643" s="82">
        <f t="shared" ca="1" si="54"/>
        <v>372.48083981092435</v>
      </c>
      <c r="H643" s="6" t="str">
        <f t="shared" ca="1" si="52"/>
        <v>N/A</v>
      </c>
    </row>
    <row r="644" spans="1:8" x14ac:dyDescent="0.2">
      <c r="A644" s="77">
        <v>18</v>
      </c>
      <c r="B644" s="84">
        <f t="shared" ca="1" si="48"/>
        <v>6.7226890756302522</v>
      </c>
      <c r="C644" s="21">
        <f t="shared" ca="1" si="49"/>
        <v>7.909045971329709</v>
      </c>
      <c r="D644" s="83">
        <f t="shared" ca="1" si="50"/>
        <v>2.2616333437499988E-3</v>
      </c>
      <c r="E644" s="19">
        <f t="shared" ca="1" si="53"/>
        <v>0</v>
      </c>
      <c r="F644" s="82">
        <f t="shared" ca="1" si="51"/>
        <v>630.60932773109232</v>
      </c>
      <c r="G644" s="82">
        <f t="shared" ca="1" si="54"/>
        <v>0</v>
      </c>
      <c r="H644" s="6" t="str">
        <f t="shared" ca="1" si="52"/>
        <v>N/A</v>
      </c>
    </row>
    <row r="646" spans="1:8" x14ac:dyDescent="0.2">
      <c r="A646" s="6" t="s">
        <v>398</v>
      </c>
    </row>
    <row r="648" spans="1:8" x14ac:dyDescent="0.2">
      <c r="A648" s="43" t="s">
        <v>399</v>
      </c>
      <c r="B648" s="21">
        <f>x_m_left-(bottom_cover/12)</f>
        <v>6.75</v>
      </c>
      <c r="C648" s="6" t="s">
        <v>1</v>
      </c>
    </row>
    <row r="649" spans="1:8" x14ac:dyDescent="0.2">
      <c r="A649" s="43" t="s">
        <v>400</v>
      </c>
      <c r="B649" s="21">
        <f>Lf_ft-x_m_left-(bottom_cover/12)</f>
        <v>22.75</v>
      </c>
      <c r="C649" s="6" t="s">
        <v>1</v>
      </c>
    </row>
    <row r="651" spans="1:8" x14ac:dyDescent="0.2">
      <c r="A651" s="77" t="s">
        <v>323</v>
      </c>
      <c r="B651" s="19" t="s">
        <v>401</v>
      </c>
      <c r="C651" s="19" t="s">
        <v>403</v>
      </c>
      <c r="D651" s="19" t="s">
        <v>404</v>
      </c>
      <c r="E651" s="19" t="s">
        <v>405</v>
      </c>
      <c r="F651" s="19" t="s">
        <v>406</v>
      </c>
      <c r="G651" s="19" t="s">
        <v>407</v>
      </c>
      <c r="H651" s="19" t="s">
        <v>408</v>
      </c>
    </row>
    <row r="652" spans="1:8" x14ac:dyDescent="0.2">
      <c r="A652" s="77">
        <v>3</v>
      </c>
      <c r="B652" s="84">
        <f ca="1">MAX(E592,C606)/E620</f>
        <v>0.96231547756237723</v>
      </c>
      <c r="C652" s="21">
        <f t="shared" ref="C652:C662" ca="1" si="55">MIN(F620,bottom_cover+(OFFSET(barsize_heading,MATCH(A652,reinf_bars,0),1)/2))</f>
        <v>1.9791666666666667</v>
      </c>
      <c r="D652" s="84">
        <f t="shared" ref="D652:D662" ca="1" si="56">MIN(C652/OFFSET(barsize_heading,MATCH(A652,reinf_bars,0),1),2.5)</f>
        <v>2.5</v>
      </c>
      <c r="E652" s="19">
        <v>1</v>
      </c>
      <c r="F652" s="19">
        <v>1</v>
      </c>
      <c r="G652" s="19">
        <v>1</v>
      </c>
      <c r="H652" s="19">
        <f>IF(A652&lt;7,0.8,1)</f>
        <v>0.8</v>
      </c>
    </row>
    <row r="653" spans="1:8" x14ac:dyDescent="0.2">
      <c r="A653" s="77">
        <v>4</v>
      </c>
      <c r="B653" s="84">
        <f t="shared" ref="B653:B662" ca="1" si="57">MAX(E593,C607)/E621</f>
        <v>0.91839461338931394</v>
      </c>
      <c r="C653" s="21">
        <f t="shared" ca="1" si="55"/>
        <v>3.25</v>
      </c>
      <c r="D653" s="84">
        <f t="shared" ca="1" si="56"/>
        <v>2.5</v>
      </c>
      <c r="E653" s="19">
        <v>1</v>
      </c>
      <c r="F653" s="19">
        <v>1</v>
      </c>
      <c r="G653" s="19">
        <v>1</v>
      </c>
      <c r="H653" s="19">
        <f t="shared" ref="H653:H662" si="58">IF(A653&lt;7,0.8,1)</f>
        <v>0.8</v>
      </c>
    </row>
    <row r="654" spans="1:8" x14ac:dyDescent="0.2">
      <c r="A654" s="77">
        <v>5</v>
      </c>
      <c r="B654" s="84">
        <f t="shared" ca="1" si="57"/>
        <v>0.93538507197280862</v>
      </c>
      <c r="C654" s="21">
        <f t="shared" ca="1" si="55"/>
        <v>3.3125</v>
      </c>
      <c r="D654" s="84">
        <f t="shared" ca="1" si="56"/>
        <v>2.5</v>
      </c>
      <c r="E654" s="19">
        <v>1</v>
      </c>
      <c r="F654" s="19">
        <v>1</v>
      </c>
      <c r="G654" s="19">
        <v>1</v>
      </c>
      <c r="H654" s="19">
        <f t="shared" si="58"/>
        <v>0.8</v>
      </c>
    </row>
    <row r="655" spans="1:8" x14ac:dyDescent="0.2">
      <c r="A655" s="77">
        <v>6</v>
      </c>
      <c r="B655" s="84">
        <f t="shared" ca="1" si="57"/>
        <v>0.92690593371060359</v>
      </c>
      <c r="C655" s="21">
        <f t="shared" ca="1" si="55"/>
        <v>3.375</v>
      </c>
      <c r="D655" s="84">
        <f t="shared" ca="1" si="56"/>
        <v>2.5</v>
      </c>
      <c r="E655" s="19">
        <v>1</v>
      </c>
      <c r="F655" s="19">
        <v>1</v>
      </c>
      <c r="G655" s="19">
        <v>1</v>
      </c>
      <c r="H655" s="19">
        <f t="shared" si="58"/>
        <v>0.8</v>
      </c>
    </row>
    <row r="656" spans="1:8" x14ac:dyDescent="0.2">
      <c r="A656" s="77">
        <v>7</v>
      </c>
      <c r="B656" s="84">
        <f t="shared" ca="1" si="57"/>
        <v>0.85362160720319846</v>
      </c>
      <c r="C656" s="21">
        <f t="shared" ca="1" si="55"/>
        <v>3.4375</v>
      </c>
      <c r="D656" s="84">
        <f t="shared" ca="1" si="56"/>
        <v>2.5</v>
      </c>
      <c r="E656" s="19">
        <v>1</v>
      </c>
      <c r="F656" s="19">
        <v>1</v>
      </c>
      <c r="G656" s="19">
        <v>1</v>
      </c>
      <c r="H656" s="19">
        <f t="shared" si="58"/>
        <v>1</v>
      </c>
    </row>
    <row r="657" spans="1:8" x14ac:dyDescent="0.2">
      <c r="A657" s="77">
        <v>8</v>
      </c>
      <c r="B657" s="84">
        <f t="shared" ca="1" si="57"/>
        <v>0.86847401189904816</v>
      </c>
      <c r="C657" s="21">
        <f t="shared" ca="1" si="55"/>
        <v>3.5</v>
      </c>
      <c r="D657" s="84">
        <f t="shared" ca="1" si="56"/>
        <v>2.5</v>
      </c>
      <c r="E657" s="19">
        <v>1</v>
      </c>
      <c r="F657" s="19">
        <v>1</v>
      </c>
      <c r="G657" s="19">
        <v>1</v>
      </c>
      <c r="H657" s="19">
        <f t="shared" si="58"/>
        <v>1</v>
      </c>
    </row>
    <row r="658" spans="1:8" x14ac:dyDescent="0.2">
      <c r="A658" s="77">
        <v>9</v>
      </c>
      <c r="B658" s="84">
        <f t="shared" ca="1" si="57"/>
        <v>0.68940091851416341</v>
      </c>
      <c r="C658" s="21">
        <f t="shared" ca="1" si="55"/>
        <v>3.5640000000000001</v>
      </c>
      <c r="D658" s="84">
        <f t="shared" ca="1" si="56"/>
        <v>2.5</v>
      </c>
      <c r="E658" s="19">
        <v>1</v>
      </c>
      <c r="F658" s="19">
        <v>1</v>
      </c>
      <c r="G658" s="19">
        <v>1</v>
      </c>
      <c r="H658" s="19">
        <f t="shared" si="58"/>
        <v>1</v>
      </c>
    </row>
    <row r="659" spans="1:8" x14ac:dyDescent="0.2">
      <c r="A659" s="77">
        <v>10</v>
      </c>
      <c r="B659" s="84">
        <f t="shared" ca="1" si="57"/>
        <v>0.54575445143570755</v>
      </c>
      <c r="C659" s="21">
        <f t="shared" ca="1" si="55"/>
        <v>3.6349999999999998</v>
      </c>
      <c r="D659" s="84">
        <f t="shared" ca="1" si="56"/>
        <v>2.5</v>
      </c>
      <c r="E659" s="19">
        <v>1</v>
      </c>
      <c r="F659" s="19">
        <v>1</v>
      </c>
      <c r="G659" s="19">
        <v>1</v>
      </c>
      <c r="H659" s="19">
        <f t="shared" si="58"/>
        <v>1</v>
      </c>
    </row>
    <row r="660" spans="1:8" x14ac:dyDescent="0.2">
      <c r="A660" s="77">
        <v>11</v>
      </c>
      <c r="B660" s="84">
        <f t="shared" ca="1" si="57"/>
        <v>0.44666933661635611</v>
      </c>
      <c r="C660" s="21">
        <f t="shared" ca="1" si="55"/>
        <v>3.7050000000000001</v>
      </c>
      <c r="D660" s="84">
        <f t="shared" ca="1" si="56"/>
        <v>2.5</v>
      </c>
      <c r="E660" s="19">
        <v>1</v>
      </c>
      <c r="F660" s="19">
        <v>1</v>
      </c>
      <c r="G660" s="19">
        <v>1</v>
      </c>
      <c r="H660" s="19">
        <f t="shared" si="58"/>
        <v>1</v>
      </c>
    </row>
    <row r="661" spans="1:8" x14ac:dyDescent="0.2">
      <c r="A661" s="77">
        <v>14</v>
      </c>
      <c r="B661" s="84">
        <f t="shared" ca="1" si="57"/>
        <v>0.31306783531083077</v>
      </c>
      <c r="C661" s="21">
        <f t="shared" ca="1" si="55"/>
        <v>3.8464999999999998</v>
      </c>
      <c r="D661" s="84">
        <f t="shared" ca="1" si="56"/>
        <v>2.2720023626698165</v>
      </c>
      <c r="E661" s="19">
        <v>1</v>
      </c>
      <c r="F661" s="19">
        <v>1</v>
      </c>
      <c r="G661" s="19">
        <v>1</v>
      </c>
      <c r="H661" s="19">
        <f t="shared" si="58"/>
        <v>1</v>
      </c>
    </row>
    <row r="662" spans="1:8" x14ac:dyDescent="0.2">
      <c r="A662" s="77">
        <v>18</v>
      </c>
      <c r="B662" s="84">
        <f t="shared" ca="1" si="57"/>
        <v>0.18001880347487256</v>
      </c>
      <c r="C662" s="21">
        <f t="shared" ca="1" si="55"/>
        <v>4.1284999999999998</v>
      </c>
      <c r="D662" s="84">
        <f t="shared" ca="1" si="56"/>
        <v>1.8291980505095258</v>
      </c>
      <c r="E662" s="19">
        <v>1</v>
      </c>
      <c r="F662" s="19">
        <v>1</v>
      </c>
      <c r="G662" s="19">
        <v>1</v>
      </c>
      <c r="H662" s="19">
        <f t="shared" si="58"/>
        <v>1</v>
      </c>
    </row>
    <row r="664" spans="1:8" x14ac:dyDescent="0.2">
      <c r="A664" s="77" t="s">
        <v>323</v>
      </c>
      <c r="B664" s="19" t="s">
        <v>409</v>
      </c>
      <c r="C664" s="19" t="s">
        <v>410</v>
      </c>
      <c r="D664" s="6" t="s">
        <v>411</v>
      </c>
    </row>
    <row r="665" spans="1:8" x14ac:dyDescent="0.2">
      <c r="A665" s="77">
        <v>3</v>
      </c>
      <c r="B665" s="21">
        <f t="shared" ref="B665:B675" ca="1" si="59">MAX(((3/40)*(Fy_psi/(SQRT(fc_fnd_psi)*E652))*((F652*G652*H652)/D652))*(1/12)*OFFSET(barsize_heading,MATCH(A665,reinf_bars,0),1)*B652,1)</f>
        <v>1</v>
      </c>
      <c r="C665" s="19" t="str">
        <f ca="1">IF(B665&gt;$B$648,"Y","N")</f>
        <v>N</v>
      </c>
      <c r="D665" s="19" t="str">
        <f ca="1">IF(B665&gt;$B$649,"Y","N")</f>
        <v>N</v>
      </c>
    </row>
    <row r="666" spans="1:8" x14ac:dyDescent="0.2">
      <c r="A666" s="77">
        <v>4</v>
      </c>
      <c r="B666" s="21">
        <f t="shared" ca="1" si="59"/>
        <v>1.0060508928891263</v>
      </c>
      <c r="C666" s="19" t="str">
        <f t="shared" ref="C666:C675" ca="1" si="60">IF(B666&gt;$B$648,"Y","N")</f>
        <v>N</v>
      </c>
      <c r="D666" s="19" t="str">
        <f t="shared" ref="D666:D675" ca="1" si="61">IF(B666&gt;$B$649,"Y","N")</f>
        <v>N</v>
      </c>
    </row>
    <row r="667" spans="1:8" x14ac:dyDescent="0.2">
      <c r="A667" s="77">
        <v>5</v>
      </c>
      <c r="B667" s="21">
        <f t="shared" ca="1" si="59"/>
        <v>1.2808287596827512</v>
      </c>
      <c r="C667" s="19" t="str">
        <f t="shared" ca="1" si="60"/>
        <v>N</v>
      </c>
      <c r="D667" s="19" t="str">
        <f t="shared" ca="1" si="61"/>
        <v>N</v>
      </c>
    </row>
    <row r="668" spans="1:8" x14ac:dyDescent="0.2">
      <c r="A668" s="77">
        <v>6</v>
      </c>
      <c r="B668" s="21">
        <f t="shared" ca="1" si="59"/>
        <v>1.5230618657360571</v>
      </c>
      <c r="C668" s="19" t="str">
        <f t="shared" ca="1" si="60"/>
        <v>N</v>
      </c>
      <c r="D668" s="19" t="str">
        <f t="shared" ca="1" si="61"/>
        <v>N</v>
      </c>
    </row>
    <row r="669" spans="1:8" x14ac:dyDescent="0.2">
      <c r="A669" s="77">
        <v>7</v>
      </c>
      <c r="B669" s="21">
        <f t="shared" ca="1" si="59"/>
        <v>2.0455216680456516</v>
      </c>
      <c r="C669" s="19" t="str">
        <f t="shared" ca="1" si="60"/>
        <v>N</v>
      </c>
      <c r="D669" s="19" t="str">
        <f t="shared" ca="1" si="61"/>
        <v>N</v>
      </c>
    </row>
    <row r="670" spans="1:8" x14ac:dyDescent="0.2">
      <c r="A670" s="77">
        <v>8</v>
      </c>
      <c r="B670" s="21">
        <f t="shared" ca="1" si="59"/>
        <v>2.3784140346205933</v>
      </c>
      <c r="C670" s="19" t="str">
        <f t="shared" ca="1" si="60"/>
        <v>N</v>
      </c>
      <c r="D670" s="19" t="str">
        <f t="shared" ca="1" si="61"/>
        <v>N</v>
      </c>
    </row>
    <row r="671" spans="1:8" x14ac:dyDescent="0.2">
      <c r="A671" s="77">
        <v>9</v>
      </c>
      <c r="B671" s="21">
        <f t="shared" ca="1" si="59"/>
        <v>2.1296664490853328</v>
      </c>
      <c r="C671" s="19" t="str">
        <f t="shared" ca="1" si="60"/>
        <v>N</v>
      </c>
      <c r="D671" s="19" t="str">
        <f t="shared" ca="1" si="61"/>
        <v>N</v>
      </c>
    </row>
    <row r="672" spans="1:8" x14ac:dyDescent="0.2">
      <c r="A672" s="77">
        <v>10</v>
      </c>
      <c r="B672" s="21">
        <f t="shared" ca="1" si="59"/>
        <v>1.8981548518297362</v>
      </c>
      <c r="C672" s="19" t="str">
        <f t="shared" ca="1" si="60"/>
        <v>N</v>
      </c>
      <c r="D672" s="19" t="str">
        <f t="shared" ca="1" si="61"/>
        <v>N</v>
      </c>
    </row>
    <row r="673" spans="1:8" x14ac:dyDescent="0.2">
      <c r="A673" s="77">
        <v>11</v>
      </c>
      <c r="B673" s="21">
        <f t="shared" ca="1" si="59"/>
        <v>1.7247886434450574</v>
      </c>
      <c r="C673" s="19" t="str">
        <f t="shared" ca="1" si="60"/>
        <v>N</v>
      </c>
      <c r="D673" s="19" t="str">
        <f t="shared" ca="1" si="61"/>
        <v>N</v>
      </c>
    </row>
    <row r="674" spans="1:8" x14ac:dyDescent="0.2">
      <c r="A674" s="77">
        <v>14</v>
      </c>
      <c r="B674" s="21">
        <f t="shared" ca="1" si="59"/>
        <v>1.5971925293260487</v>
      </c>
      <c r="C674" s="19" t="str">
        <f t="shared" ca="1" si="60"/>
        <v>N</v>
      </c>
      <c r="D674" s="19" t="str">
        <f t="shared" ca="1" si="61"/>
        <v>N</v>
      </c>
    </row>
    <row r="675" spans="1:8" x14ac:dyDescent="0.2">
      <c r="A675" s="77">
        <v>18</v>
      </c>
      <c r="B675" s="21">
        <f t="shared" ca="1" si="59"/>
        <v>1.5207553057896204</v>
      </c>
      <c r="C675" s="19" t="str">
        <f t="shared" ca="1" si="60"/>
        <v>N</v>
      </c>
      <c r="D675" s="19" t="str">
        <f t="shared" ca="1" si="61"/>
        <v>N</v>
      </c>
    </row>
    <row r="677" spans="1:8" x14ac:dyDescent="0.2">
      <c r="A677" s="77" t="s">
        <v>323</v>
      </c>
      <c r="B677" s="19" t="s">
        <v>412</v>
      </c>
      <c r="C677" s="19" t="s">
        <v>413</v>
      </c>
      <c r="D677" s="19" t="s">
        <v>414</v>
      </c>
      <c r="E677" s="19" t="s">
        <v>415</v>
      </c>
      <c r="F677" s="19" t="s">
        <v>422</v>
      </c>
      <c r="G677" s="19" t="s">
        <v>423</v>
      </c>
      <c r="H677" s="19"/>
    </row>
    <row r="678" spans="1:8" x14ac:dyDescent="0.2">
      <c r="A678" s="77">
        <v>3</v>
      </c>
      <c r="B678" s="19">
        <f t="shared" ref="B678:B688" ca="1" si="62">MAX(6,8*OFFSET(barsize_heading,MATCH(A678,reinf_bars,0),1),OFFSET(barsize_heading,MATCH(A678,reinf_bars,0),1)*(Fy_psi/(50*SQRT(fc_fnd_psi)))*B652)</f>
        <v>7.906228417459058</v>
      </c>
      <c r="C678" s="21">
        <f ca="1">B678/12</f>
        <v>0.65885236812158821</v>
      </c>
      <c r="D678" s="82">
        <f>(12*B489)+IF(A678&lt;9,3*B489,IF(A678&gt;11,5*B489,4*B489))</f>
        <v>5.625</v>
      </c>
      <c r="E678" s="19">
        <f>IF(A678&lt;9,6*B489,IF(A678&gt;11,10*B489,8*B489))</f>
        <v>2.25</v>
      </c>
      <c r="F678" s="21">
        <f ca="1">((12*B489)+((C678*12)-IF(A678&lt;9,3*B489,IF(A678&gt;11,5*B489,4*B489)))+((IF(A678&lt;9,3*B489,IF(A678&gt;11,5*B489,4*B489))*2*PI()*90)/360))/12</f>
        <v>1.0873645237586096</v>
      </c>
      <c r="G678" s="21">
        <f ca="1">(MAX(2.5,4*B489)+((C678*12)-IF(A678&lt;9,3*B489,IF(A678&gt;11,5*B489,4*B489)))+((IF(A678&lt;9,3*B489,IF(A678&gt;11,5*B489,4*B489))*2*PI()*180)/360))/12</f>
        <v>1.0679600127289646</v>
      </c>
    </row>
    <row r="679" spans="1:8" x14ac:dyDescent="0.2">
      <c r="A679" s="77">
        <v>4</v>
      </c>
      <c r="B679" s="19">
        <f t="shared" ca="1" si="62"/>
        <v>10.060508928891267</v>
      </c>
      <c r="C679" s="21">
        <f t="shared" ref="C679:C688" ca="1" si="63">B679/12</f>
        <v>0.83837574407427218</v>
      </c>
      <c r="D679" s="82">
        <f t="shared" ref="D679:D688" si="64">(12*B490)+IF(A679&lt;9,3*B490,IF(A679&gt;11,5*B490,4*B490))</f>
        <v>7.5</v>
      </c>
      <c r="E679" s="19">
        <f t="shared" ref="E679:E688" si="65">IF(A679&lt;9,6*B490,IF(A679&gt;11,10*B490,8*B490))</f>
        <v>3</v>
      </c>
      <c r="F679" s="21">
        <f t="shared" ref="F679:F688" ca="1" si="66">((12*B490)+((C679*12)-IF(A679&lt;9,3*B490,IF(A679&gt;11,5*B490,4*B490)))+((IF(A679&lt;9,3*B490,IF(A679&gt;11,5*B490,4*B490))*2*PI()*90)/360))/12</f>
        <v>1.4097252849236341</v>
      </c>
      <c r="G679" s="21">
        <f t="shared" ref="G679:G688" ca="1" si="67">(MAX(2.5,4*B490)+((C679*12)-IF(A679&lt;9,3*B490,IF(A679&gt;11,5*B490,4*B490)))+((IF(A679&lt;9,3*B490,IF(A679&gt;11,5*B490,4*B490))*2*PI()*180)/360))/12</f>
        <v>1.3144081591063297</v>
      </c>
    </row>
    <row r="680" spans="1:8" x14ac:dyDescent="0.2">
      <c r="A680" s="77">
        <v>5</v>
      </c>
      <c r="B680" s="19">
        <f t="shared" ca="1" si="62"/>
        <v>12.808287596827515</v>
      </c>
      <c r="C680" s="21">
        <f t="shared" ca="1" si="63"/>
        <v>1.0673572997356262</v>
      </c>
      <c r="D680" s="82">
        <f t="shared" si="64"/>
        <v>9.375</v>
      </c>
      <c r="E680" s="19">
        <f t="shared" si="65"/>
        <v>3.75</v>
      </c>
      <c r="F680" s="21">
        <f t="shared" ca="1" si="66"/>
        <v>1.7815442257973289</v>
      </c>
      <c r="G680" s="21">
        <f t="shared" ca="1" si="67"/>
        <v>1.6103144851923645</v>
      </c>
    </row>
    <row r="681" spans="1:8" x14ac:dyDescent="0.2">
      <c r="A681" s="77">
        <v>6</v>
      </c>
      <c r="B681" s="19">
        <f t="shared" ca="1" si="62"/>
        <v>15.230618657360573</v>
      </c>
      <c r="C681" s="21">
        <f t="shared" ca="1" si="63"/>
        <v>1.2692182214467145</v>
      </c>
      <c r="D681" s="82">
        <f t="shared" si="64"/>
        <v>11.25</v>
      </c>
      <c r="E681" s="19">
        <f t="shared" si="65"/>
        <v>4.5</v>
      </c>
      <c r="F681" s="21">
        <f t="shared" ca="1" si="66"/>
        <v>2.1262425327207573</v>
      </c>
      <c r="G681" s="21">
        <f t="shared" ca="1" si="67"/>
        <v>1.9207668439948005</v>
      </c>
    </row>
    <row r="682" spans="1:8" x14ac:dyDescent="0.2">
      <c r="A682" s="77">
        <v>7</v>
      </c>
      <c r="B682" s="19">
        <f t="shared" ca="1" si="62"/>
        <v>16.364173344365216</v>
      </c>
      <c r="C682" s="21">
        <f t="shared" ca="1" si="63"/>
        <v>1.3636811120304346</v>
      </c>
      <c r="D682" s="82">
        <f t="shared" si="64"/>
        <v>13.125</v>
      </c>
      <c r="E682" s="19">
        <f t="shared" si="65"/>
        <v>5.25</v>
      </c>
      <c r="F682" s="21">
        <f t="shared" ca="1" si="66"/>
        <v>2.3635428085168182</v>
      </c>
      <c r="G682" s="21">
        <f t="shared" ca="1" si="67"/>
        <v>2.1238211716698685</v>
      </c>
    </row>
    <row r="683" spans="1:8" x14ac:dyDescent="0.2">
      <c r="A683" s="77">
        <v>8</v>
      </c>
      <c r="B683" s="19">
        <f t="shared" ca="1" si="62"/>
        <v>19.02731227696475</v>
      </c>
      <c r="C683" s="21">
        <f t="shared" ca="1" si="63"/>
        <v>1.5856093564137292</v>
      </c>
      <c r="D683" s="82">
        <f t="shared" si="64"/>
        <v>15</v>
      </c>
      <c r="E683" s="19">
        <f t="shared" si="65"/>
        <v>6</v>
      </c>
      <c r="F683" s="21">
        <f t="shared" ca="1" si="66"/>
        <v>2.7283084381124532</v>
      </c>
      <c r="G683" s="21">
        <f t="shared" ca="1" si="67"/>
        <v>2.4543408531445108</v>
      </c>
    </row>
    <row r="684" spans="1:8" x14ac:dyDescent="0.2">
      <c r="A684" s="77">
        <v>9</v>
      </c>
      <c r="B684" s="19">
        <f t="shared" ca="1" si="62"/>
        <v>17.037331592682666</v>
      </c>
      <c r="C684" s="21">
        <f t="shared" ca="1" si="63"/>
        <v>1.4197776327235554</v>
      </c>
      <c r="D684" s="82">
        <f t="shared" si="64"/>
        <v>18.047999999999998</v>
      </c>
      <c r="E684" s="19">
        <f t="shared" si="65"/>
        <v>9.0239999999999991</v>
      </c>
      <c r="F684" s="21">
        <f t="shared" ca="1" si="66"/>
        <v>2.7623970515984362</v>
      </c>
      <c r="G684" s="21">
        <f t="shared" ca="1" si="67"/>
        <v>2.6010164704733176</v>
      </c>
    </row>
    <row r="685" spans="1:8" x14ac:dyDescent="0.2">
      <c r="A685" s="77">
        <v>10</v>
      </c>
      <c r="B685" s="19">
        <f t="shared" ca="1" si="62"/>
        <v>15.185238814637891</v>
      </c>
      <c r="C685" s="21">
        <f t="shared" ca="1" si="63"/>
        <v>1.2654365678864909</v>
      </c>
      <c r="D685" s="82">
        <f t="shared" si="64"/>
        <v>20.32</v>
      </c>
      <c r="E685" s="19">
        <f t="shared" si="65"/>
        <v>10.16</v>
      </c>
      <c r="F685" s="21">
        <f t="shared" ca="1" si="66"/>
        <v>2.7770736795629971</v>
      </c>
      <c r="G685" s="21">
        <f t="shared" ca="1" si="67"/>
        <v>2.5953774579061704</v>
      </c>
    </row>
    <row r="686" spans="1:8" x14ac:dyDescent="0.2">
      <c r="A686" s="77">
        <v>11</v>
      </c>
      <c r="B686" s="19">
        <f t="shared" ca="1" si="62"/>
        <v>13.798309147560463</v>
      </c>
      <c r="C686" s="21">
        <f t="shared" ca="1" si="63"/>
        <v>1.1498590956300385</v>
      </c>
      <c r="D686" s="82">
        <f t="shared" si="64"/>
        <v>22.56</v>
      </c>
      <c r="E686" s="19">
        <f t="shared" si="65"/>
        <v>11.28</v>
      </c>
      <c r="F686" s="21">
        <f t="shared" ca="1" si="66"/>
        <v>2.8281333692236394</v>
      </c>
      <c r="G686" s="21">
        <f t="shared" ca="1" si="67"/>
        <v>2.6264076428172412</v>
      </c>
    </row>
    <row r="687" spans="1:8" x14ac:dyDescent="0.2">
      <c r="A687" s="77">
        <v>14</v>
      </c>
      <c r="B687" s="19">
        <f t="shared" ca="1" si="62"/>
        <v>13.544</v>
      </c>
      <c r="C687" s="21">
        <f t="shared" ca="1" si="63"/>
        <v>1.1286666666666667</v>
      </c>
      <c r="D687" s="82">
        <f t="shared" si="64"/>
        <v>28.781000000000002</v>
      </c>
      <c r="E687" s="19">
        <f t="shared" si="65"/>
        <v>16.93</v>
      </c>
      <c r="F687" s="21">
        <f t="shared" ca="1" si="66"/>
        <v>3.2243159088599</v>
      </c>
      <c r="G687" s="21">
        <f t="shared" ca="1" si="67"/>
        <v>3.2037151510531334</v>
      </c>
    </row>
    <row r="688" spans="1:8" x14ac:dyDescent="0.2">
      <c r="A688" s="77">
        <v>18</v>
      </c>
      <c r="B688" s="19">
        <f t="shared" ca="1" si="62"/>
        <v>18.056000000000001</v>
      </c>
      <c r="C688" s="21">
        <f t="shared" ca="1" si="63"/>
        <v>1.5046666666666668</v>
      </c>
      <c r="D688" s="82">
        <f t="shared" si="64"/>
        <v>38.369</v>
      </c>
      <c r="E688" s="19">
        <f t="shared" si="65"/>
        <v>22.57</v>
      </c>
      <c r="F688" s="21">
        <f t="shared" ca="1" si="66"/>
        <v>4.2984530456567009</v>
      </c>
      <c r="G688" s="21">
        <f t="shared" ca="1" si="67"/>
        <v>4.2709894246467348</v>
      </c>
    </row>
    <row r="690" spans="1:5" x14ac:dyDescent="0.2">
      <c r="A690" s="6" t="s">
        <v>418</v>
      </c>
    </row>
    <row r="691" spans="1:5" x14ac:dyDescent="0.2">
      <c r="A691" s="77" t="s">
        <v>323</v>
      </c>
      <c r="B691" s="19" t="s">
        <v>419</v>
      </c>
      <c r="C691" s="19" t="s">
        <v>420</v>
      </c>
      <c r="D691" s="19" t="s">
        <v>416</v>
      </c>
      <c r="E691" s="19" t="s">
        <v>417</v>
      </c>
    </row>
    <row r="692" spans="1:5" x14ac:dyDescent="0.2">
      <c r="A692" s="77">
        <v>3</v>
      </c>
      <c r="B692" s="19" t="str">
        <f t="shared" ref="B692:B702" ca="1" si="68">IF(C678&lt;=$B$648,"Y","N")</f>
        <v>Y</v>
      </c>
      <c r="C692" s="19" t="str">
        <f t="shared" ref="C692:C702" ca="1" si="69">IF(C678&lt;=$B$649,"Y","N")</f>
        <v>Y</v>
      </c>
      <c r="D692" s="19" t="str">
        <f t="shared" ref="D692:E702" si="70">IF(D678&lt;=(tf_in-top_cover-bottom_cover),"Y","N")</f>
        <v>Y</v>
      </c>
      <c r="E692" s="19" t="str">
        <f t="shared" si="70"/>
        <v>Y</v>
      </c>
    </row>
    <row r="693" spans="1:5" x14ac:dyDescent="0.2">
      <c r="A693" s="77">
        <v>4</v>
      </c>
      <c r="B693" s="19" t="str">
        <f t="shared" ca="1" si="68"/>
        <v>Y</v>
      </c>
      <c r="C693" s="19" t="str">
        <f t="shared" ca="1" si="69"/>
        <v>Y</v>
      </c>
      <c r="D693" s="19" t="str">
        <f t="shared" si="70"/>
        <v>Y</v>
      </c>
      <c r="E693" s="19" t="str">
        <f t="shared" si="70"/>
        <v>Y</v>
      </c>
    </row>
    <row r="694" spans="1:5" x14ac:dyDescent="0.2">
      <c r="A694" s="77">
        <v>5</v>
      </c>
      <c r="B694" s="19" t="str">
        <f t="shared" ca="1" si="68"/>
        <v>Y</v>
      </c>
      <c r="C694" s="19" t="str">
        <f t="shared" ca="1" si="69"/>
        <v>Y</v>
      </c>
      <c r="D694" s="19" t="str">
        <f t="shared" si="70"/>
        <v>Y</v>
      </c>
      <c r="E694" s="19" t="str">
        <f t="shared" si="70"/>
        <v>Y</v>
      </c>
    </row>
    <row r="695" spans="1:5" x14ac:dyDescent="0.2">
      <c r="A695" s="77">
        <v>6</v>
      </c>
      <c r="B695" s="19" t="str">
        <f t="shared" ca="1" si="68"/>
        <v>Y</v>
      </c>
      <c r="C695" s="19" t="str">
        <f t="shared" ca="1" si="69"/>
        <v>Y</v>
      </c>
      <c r="D695" s="19" t="str">
        <f t="shared" si="70"/>
        <v>Y</v>
      </c>
      <c r="E695" s="19" t="str">
        <f t="shared" si="70"/>
        <v>Y</v>
      </c>
    </row>
    <row r="696" spans="1:5" x14ac:dyDescent="0.2">
      <c r="A696" s="77">
        <v>7</v>
      </c>
      <c r="B696" s="19" t="str">
        <f t="shared" ca="1" si="68"/>
        <v>Y</v>
      </c>
      <c r="C696" s="19" t="str">
        <f t="shared" ca="1" si="69"/>
        <v>Y</v>
      </c>
      <c r="D696" s="19" t="str">
        <f t="shared" si="70"/>
        <v>N</v>
      </c>
      <c r="E696" s="19" t="str">
        <f t="shared" si="70"/>
        <v>Y</v>
      </c>
    </row>
    <row r="697" spans="1:5" x14ac:dyDescent="0.2">
      <c r="A697" s="77">
        <v>8</v>
      </c>
      <c r="B697" s="19" t="str">
        <f t="shared" ca="1" si="68"/>
        <v>Y</v>
      </c>
      <c r="C697" s="19" t="str">
        <f t="shared" ca="1" si="69"/>
        <v>Y</v>
      </c>
      <c r="D697" s="19" t="str">
        <f t="shared" si="70"/>
        <v>N</v>
      </c>
      <c r="E697" s="19" t="str">
        <f t="shared" si="70"/>
        <v>Y</v>
      </c>
    </row>
    <row r="698" spans="1:5" x14ac:dyDescent="0.2">
      <c r="A698" s="77">
        <v>9</v>
      </c>
      <c r="B698" s="19" t="str">
        <f t="shared" ca="1" si="68"/>
        <v>Y</v>
      </c>
      <c r="C698" s="19" t="str">
        <f t="shared" ca="1" si="69"/>
        <v>Y</v>
      </c>
      <c r="D698" s="19" t="str">
        <f t="shared" si="70"/>
        <v>N</v>
      </c>
      <c r="E698" s="19" t="str">
        <f t="shared" si="70"/>
        <v>Y</v>
      </c>
    </row>
    <row r="699" spans="1:5" x14ac:dyDescent="0.2">
      <c r="A699" s="77">
        <v>10</v>
      </c>
      <c r="B699" s="19" t="str">
        <f t="shared" ca="1" si="68"/>
        <v>Y</v>
      </c>
      <c r="C699" s="19" t="str">
        <f t="shared" ca="1" si="69"/>
        <v>Y</v>
      </c>
      <c r="D699" s="19" t="str">
        <f t="shared" si="70"/>
        <v>N</v>
      </c>
      <c r="E699" s="19" t="str">
        <f t="shared" si="70"/>
        <v>Y</v>
      </c>
    </row>
    <row r="700" spans="1:5" x14ac:dyDescent="0.2">
      <c r="A700" s="77">
        <v>11</v>
      </c>
      <c r="B700" s="19" t="str">
        <f t="shared" ca="1" si="68"/>
        <v>Y</v>
      </c>
      <c r="C700" s="19" t="str">
        <f t="shared" ca="1" si="69"/>
        <v>Y</v>
      </c>
      <c r="D700" s="19" t="str">
        <f t="shared" si="70"/>
        <v>N</v>
      </c>
      <c r="E700" s="19" t="str">
        <f t="shared" si="70"/>
        <v>Y</v>
      </c>
    </row>
    <row r="701" spans="1:5" x14ac:dyDescent="0.2">
      <c r="A701" s="77">
        <v>14</v>
      </c>
      <c r="B701" s="19" t="str">
        <f t="shared" ca="1" si="68"/>
        <v>Y</v>
      </c>
      <c r="C701" s="19" t="str">
        <f t="shared" ca="1" si="69"/>
        <v>Y</v>
      </c>
      <c r="D701" s="19" t="str">
        <f t="shared" si="70"/>
        <v>N</v>
      </c>
      <c r="E701" s="19" t="str">
        <f t="shared" si="70"/>
        <v>N</v>
      </c>
    </row>
    <row r="702" spans="1:5" x14ac:dyDescent="0.2">
      <c r="A702" s="77">
        <v>18</v>
      </c>
      <c r="B702" s="19" t="str">
        <f t="shared" ca="1" si="68"/>
        <v>Y</v>
      </c>
      <c r="C702" s="19" t="str">
        <f t="shared" ca="1" si="69"/>
        <v>Y</v>
      </c>
      <c r="D702" s="19" t="str">
        <f t="shared" si="70"/>
        <v>N</v>
      </c>
      <c r="E702" s="19" t="str">
        <f t="shared" si="70"/>
        <v>N</v>
      </c>
    </row>
    <row r="705" spans="1:7" x14ac:dyDescent="0.2">
      <c r="A705" s="6" t="s">
        <v>421</v>
      </c>
    </row>
    <row r="706" spans="1:7" x14ac:dyDescent="0.2">
      <c r="A706" s="77" t="s">
        <v>323</v>
      </c>
      <c r="B706" s="19" t="s">
        <v>424</v>
      </c>
      <c r="C706" s="19" t="s">
        <v>425</v>
      </c>
      <c r="D706" s="19" t="s">
        <v>426</v>
      </c>
      <c r="E706" s="19" t="s">
        <v>427</v>
      </c>
    </row>
    <row r="707" spans="1:7" x14ac:dyDescent="0.2">
      <c r="A707" s="77">
        <v>3</v>
      </c>
      <c r="B707" s="21">
        <f ca="1">IF(C665="N",$B$648,IF(AND(B692="Y",D692="Y"),F678+($B$648-C678),IF(AND(B692="y",E692="Y"),G678+($B$648-C678),0)))</f>
        <v>6.75</v>
      </c>
      <c r="C707" s="21">
        <f ca="1">IF(C665="N",B665+0.5,IF(AND(B692="Y",D692="Y"),F678+($B$649-C678),IF(AND(B692="y",E692="Y"),G678+($B$649-C678),0)))</f>
        <v>1.5</v>
      </c>
      <c r="D707" s="21">
        <f ca="1">(B707+C707)*D620</f>
        <v>156.75</v>
      </c>
      <c r="E707" s="21">
        <f ca="1">D707*D489*(1/1000)</f>
        <v>5.8938000000000004E-2</v>
      </c>
    </row>
    <row r="708" spans="1:7" x14ac:dyDescent="0.2">
      <c r="A708" s="77">
        <v>4</v>
      </c>
      <c r="B708" s="21">
        <f t="shared" ref="B708:B717" ca="1" si="71">IF(C666="N",$B$648,IF(AND(B693="Y",D693="Y"),F679+($B$648-C679),IF(AND(B693="y",E693="Y"),G679+($B$648-C679),0)))</f>
        <v>6.75</v>
      </c>
      <c r="C708" s="21">
        <f t="shared" ref="C708:C717" ca="1" si="72">IF(C666="N",B666+0.5,IF(AND(B693="Y",D693="Y"),F679+($B$649-C679),IF(AND(B693="y",E693="Y"),G679+($B$649-C679),0)))</f>
        <v>1.5060508928891263</v>
      </c>
      <c r="D708" s="21">
        <f t="shared" ref="D708:D717" ca="1" si="73">(B708+C708)*D621</f>
        <v>90.816559821780388</v>
      </c>
      <c r="E708" s="21">
        <f t="shared" ref="E708:E717" ca="1" si="74">D708*D490*(1/1000)</f>
        <v>6.0665461960949303E-2</v>
      </c>
    </row>
    <row r="709" spans="1:7" x14ac:dyDescent="0.2">
      <c r="A709" s="77">
        <v>5</v>
      </c>
      <c r="B709" s="21">
        <f t="shared" ca="1" si="71"/>
        <v>6.75</v>
      </c>
      <c r="C709" s="21">
        <f t="shared" ca="1" si="72"/>
        <v>1.7808287596827512</v>
      </c>
      <c r="D709" s="21">
        <f t="shared" ca="1" si="73"/>
        <v>59.715801317779267</v>
      </c>
      <c r="E709" s="21">
        <f t="shared" ca="1" si="74"/>
        <v>6.2283580774443771E-2</v>
      </c>
    </row>
    <row r="710" spans="1:7" x14ac:dyDescent="0.2">
      <c r="A710" s="77">
        <v>6</v>
      </c>
      <c r="B710" s="21">
        <f t="shared" ca="1" si="71"/>
        <v>6.75</v>
      </c>
      <c r="C710" s="21">
        <f t="shared" ca="1" si="72"/>
        <v>2.0230618657360573</v>
      </c>
      <c r="D710" s="21">
        <f t="shared" ca="1" si="73"/>
        <v>43.865309328680283</v>
      </c>
      <c r="E710" s="21">
        <f t="shared" ca="1" si="74"/>
        <v>6.5885694611677786E-2</v>
      </c>
    </row>
    <row r="711" spans="1:7" x14ac:dyDescent="0.2">
      <c r="A711" s="77">
        <v>7</v>
      </c>
      <c r="B711" s="21">
        <f t="shared" ca="1" si="71"/>
        <v>6.75</v>
      </c>
      <c r="C711" s="21">
        <f t="shared" ca="1" si="72"/>
        <v>2.5455216680456516</v>
      </c>
      <c r="D711" s="21">
        <f t="shared" ca="1" si="73"/>
        <v>37.182086672182606</v>
      </c>
      <c r="E711" s="21">
        <f t="shared" ca="1" si="74"/>
        <v>7.6000185157941241E-2</v>
      </c>
    </row>
    <row r="712" spans="1:7" x14ac:dyDescent="0.2">
      <c r="A712" s="77">
        <v>8</v>
      </c>
      <c r="B712" s="21">
        <f t="shared" ca="1" si="71"/>
        <v>6.75</v>
      </c>
      <c r="C712" s="21">
        <f t="shared" ca="1" si="72"/>
        <v>2.8784140346205933</v>
      </c>
      <c r="D712" s="21">
        <f t="shared" ca="1" si="73"/>
        <v>28.885242103861781</v>
      </c>
      <c r="E712" s="21">
        <f t="shared" ca="1" si="74"/>
        <v>7.7123596417310952E-2</v>
      </c>
    </row>
    <row r="713" spans="1:7" x14ac:dyDescent="0.2">
      <c r="A713" s="77">
        <v>9</v>
      </c>
      <c r="B713" s="21">
        <f t="shared" ca="1" si="71"/>
        <v>6.75</v>
      </c>
      <c r="C713" s="21">
        <f t="shared" ca="1" si="72"/>
        <v>2.6296664490853328</v>
      </c>
      <c r="D713" s="21">
        <f t="shared" ca="1" si="73"/>
        <v>28.138999347255996</v>
      </c>
      <c r="E713" s="21">
        <f t="shared" ca="1" si="74"/>
        <v>9.5672597780670388E-2</v>
      </c>
    </row>
    <row r="714" spans="1:7" x14ac:dyDescent="0.2">
      <c r="A714" s="77">
        <v>10</v>
      </c>
      <c r="B714" s="21">
        <f t="shared" ca="1" si="71"/>
        <v>6.75</v>
      </c>
      <c r="C714" s="21">
        <f t="shared" ca="1" si="72"/>
        <v>2.3981548518297364</v>
      </c>
      <c r="D714" s="21">
        <f t="shared" ca="1" si="73"/>
        <v>27.444464555489212</v>
      </c>
      <c r="E714" s="21">
        <f t="shared" ca="1" si="74"/>
        <v>0.11809353098227009</v>
      </c>
    </row>
    <row r="715" spans="1:7" x14ac:dyDescent="0.2">
      <c r="A715" s="77">
        <v>11</v>
      </c>
      <c r="B715" s="21">
        <f t="shared" ca="1" si="71"/>
        <v>6.75</v>
      </c>
      <c r="C715" s="21">
        <f t="shared" ca="1" si="72"/>
        <v>2.2247886434450574</v>
      </c>
      <c r="D715" s="21">
        <f t="shared" ca="1" si="73"/>
        <v>26.924365930335171</v>
      </c>
      <c r="E715" s="21">
        <f t="shared" ca="1" si="74"/>
        <v>0.14304915618787076</v>
      </c>
    </row>
    <row r="716" spans="1:7" x14ac:dyDescent="0.2">
      <c r="A716" s="77">
        <v>14</v>
      </c>
      <c r="B716" s="21">
        <f t="shared" ca="1" si="71"/>
        <v>6.75</v>
      </c>
      <c r="C716" s="21">
        <f t="shared" ca="1" si="72"/>
        <v>2.0971925293260485</v>
      </c>
      <c r="D716" s="21">
        <f t="shared" ca="1" si="73"/>
        <v>26.541577587978143</v>
      </c>
      <c r="E716" s="21">
        <f t="shared" ca="1" si="74"/>
        <v>0.20304306854803281</v>
      </c>
    </row>
    <row r="717" spans="1:7" x14ac:dyDescent="0.2">
      <c r="A717" s="77">
        <v>18</v>
      </c>
      <c r="B717" s="21">
        <f t="shared" ca="1" si="71"/>
        <v>6.75</v>
      </c>
      <c r="C717" s="21">
        <f t="shared" ca="1" si="72"/>
        <v>2.0207553057896206</v>
      </c>
      <c r="D717" s="21">
        <f t="shared" ca="1" si="73"/>
        <v>26.312265917368862</v>
      </c>
      <c r="E717" s="21">
        <f t="shared" ca="1" si="74"/>
        <v>0.35784681647621652</v>
      </c>
    </row>
    <row r="719" spans="1:7" x14ac:dyDescent="0.2">
      <c r="A719" s="6" t="s">
        <v>429</v>
      </c>
    </row>
    <row r="720" spans="1:7" x14ac:dyDescent="0.2">
      <c r="A720" s="77" t="s">
        <v>323</v>
      </c>
      <c r="B720" s="19" t="s">
        <v>430</v>
      </c>
      <c r="C720" s="6" t="s">
        <v>431</v>
      </c>
      <c r="D720" s="19" t="s">
        <v>426</v>
      </c>
      <c r="E720" s="6" t="s">
        <v>427</v>
      </c>
      <c r="F720" s="19" t="s">
        <v>439</v>
      </c>
      <c r="G720" s="19" t="s">
        <v>440</v>
      </c>
    </row>
    <row r="721" spans="1:7" x14ac:dyDescent="0.2">
      <c r="A721" s="77">
        <v>3</v>
      </c>
      <c r="B721" s="19">
        <f ca="1">IF(AND(G634&gt;0,H634="USE",E692="Y",B692="Y",C692="Y"),D620,0)</f>
        <v>0</v>
      </c>
      <c r="C721" s="21">
        <f ca="1">IF(B721&lt;&gt;0,F620,0)</f>
        <v>0</v>
      </c>
      <c r="D721" s="21">
        <f t="shared" ref="D721:D731" ca="1" si="75">IF(B721&lt;&gt;0,D707,0)</f>
        <v>0</v>
      </c>
      <c r="E721" s="21">
        <f t="shared" ref="E721:E731" ca="1" si="76">IF(B721&lt;&gt;0,E707,0)</f>
        <v>0</v>
      </c>
      <c r="F721" s="19">
        <f ca="1">IF(B721&lt;&gt;0,IF(AND(D665="N",C665="N"),0,IF(D692="Y",1,0)),0)</f>
        <v>0</v>
      </c>
      <c r="G721" s="19">
        <f ca="1">IF(B721&lt;&gt;0,IF(AND(C665="N",D665="N"),0,IF(AND(D692="N",E692="Y"),1,0)),0)</f>
        <v>0</v>
      </c>
    </row>
    <row r="722" spans="1:7" x14ac:dyDescent="0.2">
      <c r="A722" s="77">
        <v>4</v>
      </c>
      <c r="B722" s="19">
        <f t="shared" ref="B722:B731" ca="1" si="77">IF(AND(G635&gt;0,H635="USE",E693="Y",B693="Y",C693="Y"),D621,0)</f>
        <v>0</v>
      </c>
      <c r="C722" s="21">
        <f t="shared" ref="C722:C731" ca="1" si="78">IF(B722&lt;&gt;0,F621,0)</f>
        <v>0</v>
      </c>
      <c r="D722" s="21">
        <f t="shared" ca="1" si="75"/>
        <v>0</v>
      </c>
      <c r="E722" s="21">
        <f t="shared" ca="1" si="76"/>
        <v>0</v>
      </c>
      <c r="F722" s="19">
        <f t="shared" ref="F722:F732" ca="1" si="79">IF(B722&lt;&gt;0,IF(AND(D666="N",C666="N"),0,IF(D693="Y",1,0)),0)</f>
        <v>0</v>
      </c>
      <c r="G722" s="19">
        <f t="shared" ref="G722:G732" ca="1" si="80">IF(B722&lt;&gt;0,IF(AND(C666="N",D666="N"),0,IF(AND(D693="N",E693="Y"),1,0)),0)</f>
        <v>0</v>
      </c>
    </row>
    <row r="723" spans="1:7" x14ac:dyDescent="0.2">
      <c r="A723" s="77">
        <v>5</v>
      </c>
      <c r="B723" s="19">
        <f t="shared" ca="1" si="77"/>
        <v>7</v>
      </c>
      <c r="C723" s="21">
        <f t="shared" ca="1" si="78"/>
        <v>5.895833333333333</v>
      </c>
      <c r="D723" s="21">
        <f t="shared" ca="1" si="75"/>
        <v>59.715801317779267</v>
      </c>
      <c r="E723" s="21">
        <f t="shared" ca="1" si="76"/>
        <v>6.2283580774443771E-2</v>
      </c>
      <c r="F723" s="19">
        <f t="shared" ca="1" si="79"/>
        <v>0</v>
      </c>
      <c r="G723" s="19">
        <f t="shared" ca="1" si="80"/>
        <v>0</v>
      </c>
    </row>
    <row r="724" spans="1:7" x14ac:dyDescent="0.2">
      <c r="A724" s="77">
        <v>6</v>
      </c>
      <c r="B724" s="19">
        <f t="shared" ca="1" si="77"/>
        <v>5</v>
      </c>
      <c r="C724" s="21">
        <f t="shared" ca="1" si="78"/>
        <v>8.8125</v>
      </c>
      <c r="D724" s="21">
        <f t="shared" ca="1" si="75"/>
        <v>43.865309328680283</v>
      </c>
      <c r="E724" s="21">
        <f t="shared" ca="1" si="76"/>
        <v>6.5885694611677786E-2</v>
      </c>
      <c r="F724" s="19">
        <f t="shared" ca="1" si="79"/>
        <v>0</v>
      </c>
      <c r="G724" s="19">
        <f t="shared" ca="1" si="80"/>
        <v>0</v>
      </c>
    </row>
    <row r="725" spans="1:7" x14ac:dyDescent="0.2">
      <c r="A725" s="77">
        <v>7</v>
      </c>
      <c r="B725" s="19">
        <f t="shared" ca="1" si="77"/>
        <v>0</v>
      </c>
      <c r="C725" s="21">
        <f t="shared" ca="1" si="78"/>
        <v>0</v>
      </c>
      <c r="D725" s="21">
        <f t="shared" ca="1" si="75"/>
        <v>0</v>
      </c>
      <c r="E725" s="21">
        <f t="shared" ca="1" si="76"/>
        <v>0</v>
      </c>
      <c r="F725" s="19">
        <f t="shared" ca="1" si="79"/>
        <v>0</v>
      </c>
      <c r="G725" s="19">
        <f t="shared" ca="1" si="80"/>
        <v>0</v>
      </c>
    </row>
    <row r="726" spans="1:7" x14ac:dyDescent="0.2">
      <c r="A726" s="77">
        <v>8</v>
      </c>
      <c r="B726" s="19">
        <f t="shared" ca="1" si="77"/>
        <v>0</v>
      </c>
      <c r="C726" s="21">
        <f t="shared" ca="1" si="78"/>
        <v>0</v>
      </c>
      <c r="D726" s="21">
        <f t="shared" ca="1" si="75"/>
        <v>0</v>
      </c>
      <c r="E726" s="21">
        <f t="shared" ca="1" si="76"/>
        <v>0</v>
      </c>
      <c r="F726" s="19">
        <f t="shared" ca="1" si="79"/>
        <v>0</v>
      </c>
      <c r="G726" s="19">
        <f t="shared" ca="1" si="80"/>
        <v>0</v>
      </c>
    </row>
    <row r="727" spans="1:7" x14ac:dyDescent="0.2">
      <c r="A727" s="77">
        <v>9</v>
      </c>
      <c r="B727" s="19">
        <f t="shared" ca="1" si="77"/>
        <v>0</v>
      </c>
      <c r="C727" s="21">
        <f t="shared" ca="1" si="78"/>
        <v>0</v>
      </c>
      <c r="D727" s="21">
        <f t="shared" ca="1" si="75"/>
        <v>0</v>
      </c>
      <c r="E727" s="21">
        <f t="shared" ca="1" si="76"/>
        <v>0</v>
      </c>
      <c r="F727" s="19">
        <f t="shared" ca="1" si="79"/>
        <v>0</v>
      </c>
      <c r="G727" s="19">
        <f t="shared" ca="1" si="80"/>
        <v>0</v>
      </c>
    </row>
    <row r="728" spans="1:7" x14ac:dyDescent="0.2">
      <c r="A728" s="77">
        <v>10</v>
      </c>
      <c r="B728" s="19">
        <f t="shared" ca="1" si="77"/>
        <v>0</v>
      </c>
      <c r="C728" s="21">
        <f t="shared" ca="1" si="78"/>
        <v>0</v>
      </c>
      <c r="D728" s="21">
        <f t="shared" ca="1" si="75"/>
        <v>0</v>
      </c>
      <c r="E728" s="21">
        <f t="shared" ca="1" si="76"/>
        <v>0</v>
      </c>
      <c r="F728" s="19">
        <f t="shared" ca="1" si="79"/>
        <v>0</v>
      </c>
      <c r="G728" s="19">
        <f t="shared" ca="1" si="80"/>
        <v>0</v>
      </c>
    </row>
    <row r="729" spans="1:7" x14ac:dyDescent="0.2">
      <c r="A729" s="77">
        <v>11</v>
      </c>
      <c r="B729" s="19">
        <f t="shared" ca="1" si="77"/>
        <v>0</v>
      </c>
      <c r="C729" s="21">
        <f t="shared" ca="1" si="78"/>
        <v>0</v>
      </c>
      <c r="D729" s="21">
        <f t="shared" ca="1" si="75"/>
        <v>0</v>
      </c>
      <c r="E729" s="21">
        <f t="shared" ca="1" si="76"/>
        <v>0</v>
      </c>
      <c r="F729" s="19">
        <f t="shared" ca="1" si="79"/>
        <v>0</v>
      </c>
      <c r="G729" s="19">
        <f t="shared" ca="1" si="80"/>
        <v>0</v>
      </c>
    </row>
    <row r="730" spans="1:7" x14ac:dyDescent="0.2">
      <c r="A730" s="77">
        <v>14</v>
      </c>
      <c r="B730" s="19">
        <f t="shared" ca="1" si="77"/>
        <v>0</v>
      </c>
      <c r="C730" s="21">
        <f t="shared" ca="1" si="78"/>
        <v>0</v>
      </c>
      <c r="D730" s="21">
        <f t="shared" ca="1" si="75"/>
        <v>0</v>
      </c>
      <c r="E730" s="21">
        <f t="shared" ca="1" si="76"/>
        <v>0</v>
      </c>
      <c r="F730" s="19">
        <f t="shared" ca="1" si="79"/>
        <v>0</v>
      </c>
      <c r="G730" s="19">
        <f t="shared" ca="1" si="80"/>
        <v>0</v>
      </c>
    </row>
    <row r="731" spans="1:7" x14ac:dyDescent="0.2">
      <c r="A731" s="77">
        <v>18</v>
      </c>
      <c r="B731" s="19">
        <f t="shared" ca="1" si="77"/>
        <v>0</v>
      </c>
      <c r="C731" s="21">
        <f t="shared" ca="1" si="78"/>
        <v>0</v>
      </c>
      <c r="D731" s="21">
        <f t="shared" ca="1" si="75"/>
        <v>0</v>
      </c>
      <c r="E731" s="21">
        <f t="shared" ca="1" si="76"/>
        <v>0</v>
      </c>
      <c r="F731" s="19">
        <f t="shared" ca="1" si="79"/>
        <v>0</v>
      </c>
      <c r="G731" s="19">
        <f t="shared" ca="1" si="80"/>
        <v>0</v>
      </c>
    </row>
    <row r="732" spans="1:7" x14ac:dyDescent="0.2">
      <c r="B732" s="82">
        <f ca="1">MAX(B721:B731)</f>
        <v>7</v>
      </c>
      <c r="C732" s="82">
        <f ca="1">_xlfn.MINIFS(C721:C731,C721:C731,"&lt;&gt;0")</f>
        <v>5.895833333333333</v>
      </c>
      <c r="D732" s="82">
        <f ca="1">MAX(D721:D731)</f>
        <v>59.715801317779267</v>
      </c>
      <c r="E732" s="82">
        <f ca="1">MAX(E721:E731)</f>
        <v>6.5885694611677786E-2</v>
      </c>
      <c r="F732" s="19">
        <f t="shared" ca="1" si="79"/>
        <v>0</v>
      </c>
      <c r="G732" s="19">
        <f t="shared" ca="1" si="80"/>
        <v>0</v>
      </c>
    </row>
    <row r="733" spans="1:7" x14ac:dyDescent="0.2">
      <c r="A733" s="6" t="s">
        <v>432</v>
      </c>
    </row>
    <row r="735" spans="1:7" x14ac:dyDescent="0.2">
      <c r="A735" s="15" t="s">
        <v>433</v>
      </c>
      <c r="B735" s="77">
        <f>$I$47</f>
        <v>1</v>
      </c>
      <c r="C735" s="77">
        <f>$J$47</f>
        <v>1</v>
      </c>
      <c r="D735" s="77">
        <f>$K$47</f>
        <v>1</v>
      </c>
      <c r="E735" s="77">
        <f>$L$47</f>
        <v>1</v>
      </c>
      <c r="F735" s="77">
        <f>$M$47</f>
        <v>0.5</v>
      </c>
      <c r="G735" s="77">
        <f>$N$47</f>
        <v>0.75</v>
      </c>
    </row>
    <row r="737" spans="1:7" x14ac:dyDescent="0.2">
      <c r="A737" s="77" t="s">
        <v>323</v>
      </c>
      <c r="B737" s="19" t="s">
        <v>434</v>
      </c>
      <c r="C737" s="6" t="s">
        <v>435</v>
      </c>
    </row>
    <row r="738" spans="1:7" x14ac:dyDescent="0.2">
      <c r="A738" s="77">
        <v>3</v>
      </c>
      <c r="B738" s="21">
        <f t="shared" ref="B738:B748" ca="1" si="81">IF(B721=0,1000,(bar_count_cost*(B721/$B$732))+(bar_spacing_cost*($C$732/C721))+(bar_length_cost*(D721/$D$732))+(bar_weight_cost*(E721/$E$732))+(bar_90hook_cost*F721)+(bar_180hook_cost*G721))</f>
        <v>1000</v>
      </c>
      <c r="C738" s="6" t="s">
        <v>441</v>
      </c>
    </row>
    <row r="739" spans="1:7" x14ac:dyDescent="0.2">
      <c r="A739" s="77">
        <v>4</v>
      </c>
      <c r="B739" s="21">
        <f t="shared" ca="1" si="81"/>
        <v>1000</v>
      </c>
      <c r="C739" s="6" t="s">
        <v>442</v>
      </c>
    </row>
    <row r="740" spans="1:7" x14ac:dyDescent="0.2">
      <c r="A740" s="77">
        <v>5</v>
      </c>
      <c r="B740" s="21">
        <f t="shared" ca="1" si="81"/>
        <v>3.9453278308976714</v>
      </c>
      <c r="C740" s="6" t="s">
        <v>436</v>
      </c>
    </row>
    <row r="741" spans="1:7" x14ac:dyDescent="0.2">
      <c r="A741" s="77">
        <v>6</v>
      </c>
      <c r="B741" s="21">
        <f t="shared" ca="1" si="81"/>
        <v>3.1178843229962099</v>
      </c>
      <c r="C741" s="6" t="s">
        <v>437</v>
      </c>
    </row>
    <row r="742" spans="1:7" x14ac:dyDescent="0.2">
      <c r="A742" s="77">
        <v>7</v>
      </c>
      <c r="B742" s="21">
        <f t="shared" ca="1" si="81"/>
        <v>1000</v>
      </c>
      <c r="C742" s="6" t="s">
        <v>438</v>
      </c>
    </row>
    <row r="743" spans="1:7" x14ac:dyDescent="0.2">
      <c r="A743" s="77">
        <v>8</v>
      </c>
      <c r="B743" s="21">
        <f t="shared" ca="1" si="81"/>
        <v>1000</v>
      </c>
    </row>
    <row r="744" spans="1:7" x14ac:dyDescent="0.2">
      <c r="A744" s="77">
        <v>9</v>
      </c>
      <c r="B744" s="21">
        <f t="shared" ca="1" si="81"/>
        <v>1000</v>
      </c>
    </row>
    <row r="745" spans="1:7" x14ac:dyDescent="0.2">
      <c r="A745" s="77">
        <v>10</v>
      </c>
      <c r="B745" s="21">
        <f t="shared" ca="1" si="81"/>
        <v>1000</v>
      </c>
    </row>
    <row r="746" spans="1:7" x14ac:dyDescent="0.2">
      <c r="A746" s="77">
        <v>11</v>
      </c>
      <c r="B746" s="21">
        <f t="shared" ca="1" si="81"/>
        <v>1000</v>
      </c>
    </row>
    <row r="747" spans="1:7" x14ac:dyDescent="0.2">
      <c r="A747" s="77">
        <v>14</v>
      </c>
      <c r="B747" s="21">
        <f t="shared" ca="1" si="81"/>
        <v>1000</v>
      </c>
    </row>
    <row r="748" spans="1:7" x14ac:dyDescent="0.2">
      <c r="A748" s="77">
        <v>18</v>
      </c>
      <c r="B748" s="21">
        <f t="shared" ca="1" si="81"/>
        <v>1000</v>
      </c>
    </row>
    <row r="749" spans="1:7" x14ac:dyDescent="0.2">
      <c r="B749" s="21">
        <f ca="1">MIN(B738:B748)</f>
        <v>3.1178843229962099</v>
      </c>
    </row>
    <row r="750" spans="1:7" x14ac:dyDescent="0.2">
      <c r="A750" s="6" t="s">
        <v>443</v>
      </c>
    </row>
    <row r="752" spans="1:7" x14ac:dyDescent="0.2">
      <c r="A752" s="19">
        <f ca="1">OFFSET(A720,MATCH($B$749,$B$738:$B$748,0),0)</f>
        <v>6</v>
      </c>
      <c r="B752" s="19">
        <f ca="1">OFFSET(B720,MATCH($B$749,$B$738:$B$748,0),0)</f>
        <v>5</v>
      </c>
      <c r="C752" s="19">
        <f ca="1">OFFSET(C720,MATCH($B$749,$B$738:$B$748,0),0)</f>
        <v>8.8125</v>
      </c>
      <c r="D752" s="19">
        <f ca="1">OFFSET(D720,MATCH($B$749,$B$738:$B$748,0),0)/B752</f>
        <v>8.7730618657360573</v>
      </c>
      <c r="E752" s="19">
        <f ca="1">OFFSET(E720,MATCH($B$749,$B$738:$B$748,0),0)</f>
        <v>6.5885694611677786E-2</v>
      </c>
      <c r="F752" s="19">
        <f ca="1">OFFSET(F720,MATCH($B$749,$B$738:$B$748,0),0)</f>
        <v>0</v>
      </c>
      <c r="G752" s="19">
        <f ca="1">OFFSET(G720,MATCH($B$749,$B$738:$B$748,0),0)</f>
        <v>0</v>
      </c>
    </row>
    <row r="753" spans="1:7" x14ac:dyDescent="0.2">
      <c r="F753" s="19" t="str">
        <f ca="1">OFFSET(C664,MATCH($B$749,$B$738:$B$748,0),0)</f>
        <v>N</v>
      </c>
      <c r="G753" s="19" t="str">
        <f ca="1">OFFSET(D664,MATCH($B$749,$B$738:$B$748,0),0)</f>
        <v>N</v>
      </c>
    </row>
    <row r="754" spans="1:7" x14ac:dyDescent="0.2">
      <c r="F754" s="19" t="str">
        <f ca="1">OFFSET(D691,MATCH($B$749,$B$738:$B$748,0),0)</f>
        <v>Y</v>
      </c>
      <c r="G754" s="19" t="str">
        <f ca="1">OFFSET(E691,MATCH($B$749,$B$738:$B$748,0),0)</f>
        <v>Y</v>
      </c>
    </row>
    <row r="755" spans="1:7" x14ac:dyDescent="0.2">
      <c r="F755" s="6" t="str">
        <f ca="1">IF(AND(F753="Y",F754="Y"),"Left End: 90 Hook",IF(AND(F753="Y",F754="N",G754="Y"),"Left End: 180 Hook","Left End: Straight"))</f>
        <v>Left End: Straight</v>
      </c>
      <c r="G755" s="6" t="str">
        <f ca="1">IF(AND(G753="Y",F754="Y"),"Right End: 90 Hook",IF(AND(G753="Y",F754="N",G754="Y"),"Right End: 180 Hook","Right End: Straight"))</f>
        <v>Right End: Straight</v>
      </c>
    </row>
    <row r="756" spans="1:7" x14ac:dyDescent="0.2">
      <c r="A756" s="19" t="s">
        <v>444</v>
      </c>
      <c r="B756" s="6" t="str">
        <f ca="1">IF(B749=1000,"**FAILURE** - NO BAR SETS WORK",IF(AND(B584="OK",J28="Y"),"PLAIN CONCRETE OK","( "&amp;B752&amp;" ) #"&amp;A752&amp;" @ "&amp;ROUND(C752,3)&amp;" in o.c. w/ "&amp;F755&amp;" - "&amp;G755))</f>
        <v>( 5 ) #6 @ 8.813 in o.c. w/ Left End: Straight - Right End: Straight</v>
      </c>
    </row>
    <row r="757" spans="1:7" x14ac:dyDescent="0.2">
      <c r="A757" s="6" t="s">
        <v>461</v>
      </c>
      <c r="B757" s="19">
        <f ca="1">IF(B749=1000,0,1)</f>
        <v>1</v>
      </c>
    </row>
    <row r="759" spans="1:7" x14ac:dyDescent="0.2">
      <c r="A759" s="6" t="s">
        <v>468</v>
      </c>
    </row>
    <row r="760" spans="1:7" x14ac:dyDescent="0.2">
      <c r="A760" s="43" t="s">
        <v>463</v>
      </c>
      <c r="B760" s="51">
        <f ca="1">OFFSET(B591,MATCH(A752,A592:A602,0),0)</f>
        <v>14.625</v>
      </c>
      <c r="C760" s="6" t="s">
        <v>2</v>
      </c>
    </row>
    <row r="761" spans="1:7" x14ac:dyDescent="0.2">
      <c r="A761" s="43" t="s">
        <v>464</v>
      </c>
      <c r="B761" s="51">
        <f ca="1">x_m_left-(B760/12)</f>
        <v>5.78125</v>
      </c>
      <c r="C761" s="6" t="s">
        <v>1</v>
      </c>
    </row>
    <row r="762" spans="1:7" x14ac:dyDescent="0.2">
      <c r="A762" s="43" t="s">
        <v>466</v>
      </c>
      <c r="B762" s="51" cm="1">
        <f t="array" aca="1" ref="B762" ca="1">MAX(ABS(Long_VandM!CH138:CI138))</f>
        <v>29.649230957031257</v>
      </c>
      <c r="C762" s="6" t="s">
        <v>362</v>
      </c>
    </row>
    <row r="763" spans="1:7" x14ac:dyDescent="0.2">
      <c r="A763" s="43" t="s">
        <v>467</v>
      </c>
      <c r="B763" s="51">
        <f ca="1">phi_V_pc*2*SQRT(fc_fnd_psi)*(Bf_ft*12)*B760*(1/1000)</f>
        <v>40.372629713705791</v>
      </c>
      <c r="C763" s="6" t="s">
        <v>362</v>
      </c>
      <c r="D763" s="6">
        <f ca="1">IF(B763&gt;B762,1,0)</f>
        <v>1</v>
      </c>
    </row>
    <row r="764" spans="1:7" x14ac:dyDescent="0.2">
      <c r="A764" s="6" t="s">
        <v>462</v>
      </c>
    </row>
    <row r="765" spans="1:7" x14ac:dyDescent="0.2">
      <c r="A765" s="6" t="s">
        <v>376</v>
      </c>
    </row>
    <row r="766" spans="1:7" x14ac:dyDescent="0.2">
      <c r="A766" s="77" t="s">
        <v>323</v>
      </c>
      <c r="B766" s="19" t="s">
        <v>377</v>
      </c>
      <c r="C766" s="19" t="s">
        <v>378</v>
      </c>
      <c r="D766" s="92" t="s">
        <v>185</v>
      </c>
      <c r="E766" s="6" t="s">
        <v>379</v>
      </c>
    </row>
    <row r="767" spans="1:7" x14ac:dyDescent="0.2">
      <c r="A767" s="77">
        <v>3</v>
      </c>
      <c r="B767" s="21">
        <f t="shared" ref="B767:B777" ca="1" si="82">tf_in-top_cover-(OFFSET(barsize_heading,MATCH(A767,reinf_bars,0),1)/2)</f>
        <v>15.8125</v>
      </c>
      <c r="C767" s="21">
        <f t="shared" ref="C767:C777" ca="1" si="83">(1000*12*ABS(Mum_left_ftkips))/(0.9*Bf_ft*12*POWER(B767,2))</f>
        <v>56.946605347698416</v>
      </c>
      <c r="D767" s="19">
        <f t="shared" ref="D767:D777" ca="1" si="84">((0.85*fc_fnd_psi)*(1-SQRT(1-((2*C767)/(0.85*fc_fnd_psi)))))/Fy_psi</f>
        <v>9.599513430220705E-4</v>
      </c>
      <c r="E767" s="84">
        <f t="shared" ref="E767:E777" ca="1" si="85">D767*B767*12*Bf_ft</f>
        <v>0.63752768568453255</v>
      </c>
    </row>
    <row r="768" spans="1:7" x14ac:dyDescent="0.2">
      <c r="A768" s="77">
        <v>4</v>
      </c>
      <c r="B768" s="21">
        <f t="shared" ca="1" si="82"/>
        <v>15.75</v>
      </c>
      <c r="C768" s="21">
        <f t="shared" ca="1" si="83"/>
        <v>57.399459273444634</v>
      </c>
      <c r="D768" s="19">
        <f t="shared" ca="1" si="84"/>
        <v>9.6767404343190322E-4</v>
      </c>
      <c r="E768" s="84">
        <f t="shared" ca="1" si="85"/>
        <v>0.64011637973020397</v>
      </c>
    </row>
    <row r="769" spans="1:7" x14ac:dyDescent="0.2">
      <c r="A769" s="77">
        <v>5</v>
      </c>
      <c r="B769" s="21">
        <f t="shared" ca="1" si="82"/>
        <v>15.6875</v>
      </c>
      <c r="C769" s="21">
        <f t="shared" ca="1" si="83"/>
        <v>57.857736570861221</v>
      </c>
      <c r="D769" s="19">
        <f t="shared" ca="1" si="84"/>
        <v>9.7549069295002698E-4</v>
      </c>
      <c r="E769" s="84">
        <f t="shared" ca="1" si="85"/>
        <v>0.64272643031744914</v>
      </c>
    </row>
    <row r="770" spans="1:7" x14ac:dyDescent="0.2">
      <c r="A770" s="77">
        <v>6</v>
      </c>
      <c r="B770" s="21">
        <f t="shared" ca="1" si="82"/>
        <v>15.625</v>
      </c>
      <c r="C770" s="21">
        <f t="shared" ca="1" si="83"/>
        <v>58.321524187213242</v>
      </c>
      <c r="D770" s="19">
        <f t="shared" ca="1" si="84"/>
        <v>9.8340282808836673E-4</v>
      </c>
      <c r="E770" s="84">
        <f t="shared" ca="1" si="85"/>
        <v>0.6453581059329907</v>
      </c>
    </row>
    <row r="771" spans="1:7" x14ac:dyDescent="0.2">
      <c r="A771" s="77">
        <v>7</v>
      </c>
      <c r="B771" s="21">
        <f t="shared" ca="1" si="82"/>
        <v>15.5625</v>
      </c>
      <c r="C771" s="21">
        <f t="shared" ca="1" si="83"/>
        <v>58.790910819193684</v>
      </c>
      <c r="D771" s="19">
        <f t="shared" ca="1" si="84"/>
        <v>9.9141201703585352E-4</v>
      </c>
      <c r="E771" s="84">
        <f t="shared" ca="1" si="85"/>
        <v>0.64801167963505979</v>
      </c>
    </row>
    <row r="772" spans="1:7" x14ac:dyDescent="0.2">
      <c r="A772" s="77">
        <v>8</v>
      </c>
      <c r="B772" s="21">
        <f t="shared" ca="1" si="82"/>
        <v>15.5</v>
      </c>
      <c r="C772" s="21">
        <f t="shared" ca="1" si="83"/>
        <v>59.265986955333439</v>
      </c>
      <c r="D772" s="19">
        <f t="shared" ca="1" si="84"/>
        <v>9.9951986044887441E-4</v>
      </c>
      <c r="E772" s="84">
        <f t="shared" ca="1" si="85"/>
        <v>0.65068742915221722</v>
      </c>
    </row>
    <row r="773" spans="1:7" x14ac:dyDescent="0.2">
      <c r="A773" s="77">
        <v>9</v>
      </c>
      <c r="B773" s="21">
        <f t="shared" ca="1" si="82"/>
        <v>15.436</v>
      </c>
      <c r="C773" s="21">
        <f t="shared" ca="1" si="83"/>
        <v>59.75845733498533</v>
      </c>
      <c r="D773" s="19">
        <f t="shared" ca="1" si="84"/>
        <v>1.0079262335310083E-3</v>
      </c>
      <c r="E773" s="84">
        <f t="shared" ca="1" si="85"/>
        <v>0.65345067231295495</v>
      </c>
    </row>
    <row r="774" spans="1:7" x14ac:dyDescent="0.2">
      <c r="A774" s="77">
        <v>10</v>
      </c>
      <c r="B774" s="21">
        <f t="shared" ca="1" si="82"/>
        <v>15.365</v>
      </c>
      <c r="C774" s="21">
        <f t="shared" ca="1" si="83"/>
        <v>60.312008047242067</v>
      </c>
      <c r="D774" s="19">
        <f t="shared" ca="1" si="84"/>
        <v>1.0173772695151264E-3</v>
      </c>
      <c r="E774" s="84">
        <f t="shared" ca="1" si="85"/>
        <v>0.65654407333619658</v>
      </c>
    </row>
    <row r="775" spans="1:7" x14ac:dyDescent="0.2">
      <c r="A775" s="77">
        <v>11</v>
      </c>
      <c r="B775" s="21">
        <f t="shared" ca="1" si="82"/>
        <v>15.295</v>
      </c>
      <c r="C775" s="21">
        <f t="shared" ca="1" si="83"/>
        <v>60.865326324547631</v>
      </c>
      <c r="D775" s="19">
        <f t="shared" ca="1" si="84"/>
        <v>1.0268264894013172E-3</v>
      </c>
      <c r="E775" s="84">
        <f t="shared" ca="1" si="85"/>
        <v>0.6596230685265122</v>
      </c>
    </row>
    <row r="776" spans="1:7" x14ac:dyDescent="0.2">
      <c r="A776" s="77">
        <v>14</v>
      </c>
      <c r="B776" s="21">
        <f t="shared" ca="1" si="82"/>
        <v>15.153499999999999</v>
      </c>
      <c r="C776" s="21">
        <f t="shared" ca="1" si="83"/>
        <v>62.007327078575827</v>
      </c>
      <c r="D776" s="19">
        <f t="shared" ca="1" si="84"/>
        <v>1.0463356669318782E-3</v>
      </c>
      <c r="E776" s="84">
        <f t="shared" ca="1" si="85"/>
        <v>0.66593719621179315</v>
      </c>
    </row>
    <row r="777" spans="1:7" x14ac:dyDescent="0.2">
      <c r="A777" s="77">
        <v>18</v>
      </c>
      <c r="B777" s="21">
        <f t="shared" ca="1" si="82"/>
        <v>14.871499999999999</v>
      </c>
      <c r="C777" s="21">
        <f t="shared" ca="1" si="83"/>
        <v>64.381244372771107</v>
      </c>
      <c r="D777" s="19">
        <f t="shared" ca="1" si="84"/>
        <v>1.0869194922839087E-3</v>
      </c>
      <c r="E777" s="84">
        <f t="shared" ca="1" si="85"/>
        <v>0.6788931756390062</v>
      </c>
    </row>
    <row r="779" spans="1:7" x14ac:dyDescent="0.2">
      <c r="A779" s="6" t="s">
        <v>380</v>
      </c>
    </row>
    <row r="780" spans="1:7" x14ac:dyDescent="0.2">
      <c r="A780" s="77" t="s">
        <v>323</v>
      </c>
      <c r="B780" s="19" t="s">
        <v>381</v>
      </c>
      <c r="C780" s="19" t="s">
        <v>382</v>
      </c>
      <c r="D780" s="19" t="s">
        <v>383</v>
      </c>
      <c r="E780" s="19" t="s">
        <v>384</v>
      </c>
      <c r="F780" s="19" t="s">
        <v>385</v>
      </c>
      <c r="G780" s="19" t="s">
        <v>388</v>
      </c>
    </row>
    <row r="781" spans="1:7" x14ac:dyDescent="0.2">
      <c r="A781" s="77">
        <v>3</v>
      </c>
      <c r="B781" s="21">
        <f ca="1">1.33*E767</f>
        <v>0.84791182196042836</v>
      </c>
      <c r="C781" s="21">
        <f>0.0018*tf_in*12*Bf_ft</f>
        <v>1.3608</v>
      </c>
      <c r="D781" s="21">
        <f t="shared" ref="D781:D791" ca="1" si="86">((3*SQRT(fc_fnd_psi))/Fy_psi)*12*Bf_ft*B767</f>
        <v>1.8187812175155922</v>
      </c>
      <c r="E781" s="21">
        <f t="shared" ref="E781:E791" ca="1" si="87">(200/Fy_psi)*12*Bf_ft*B767</f>
        <v>2.2137500000000001</v>
      </c>
      <c r="F781" s="21">
        <f ca="1">IF(C781&gt;=B781,C781,MAX(D781:E781))</f>
        <v>1.3608</v>
      </c>
      <c r="G781" s="84">
        <f ca="1">MAX(F781,E767)</f>
        <v>1.3608</v>
      </c>
    </row>
    <row r="782" spans="1:7" x14ac:dyDescent="0.2">
      <c r="A782" s="77">
        <v>4</v>
      </c>
      <c r="B782" s="21">
        <f t="shared" ref="B782:B791" ca="1" si="88">1.33*E768</f>
        <v>0.85135478504117135</v>
      </c>
      <c r="C782" s="21">
        <f>$C$606</f>
        <v>1.3608</v>
      </c>
      <c r="D782" s="21">
        <f t="shared" ca="1" si="86"/>
        <v>1.8115923589483369</v>
      </c>
      <c r="E782" s="21">
        <f t="shared" ca="1" si="87"/>
        <v>2.2050000000000001</v>
      </c>
      <c r="F782" s="21">
        <f t="shared" ref="F782:F791" ca="1" si="89">IF(C782&gt;=B782,C782,MAX(D782:E782))</f>
        <v>1.3608</v>
      </c>
      <c r="G782" s="84">
        <f t="shared" ref="G782:G791" ca="1" si="90">MAX(F782,E768)</f>
        <v>1.3608</v>
      </c>
    </row>
    <row r="783" spans="1:7" x14ac:dyDescent="0.2">
      <c r="A783" s="77">
        <v>5</v>
      </c>
      <c r="B783" s="21">
        <f t="shared" ca="1" si="88"/>
        <v>0.85482615232220738</v>
      </c>
      <c r="C783" s="21">
        <f t="shared" ref="C783:C791" si="91">$C$606</f>
        <v>1.3608</v>
      </c>
      <c r="D783" s="21">
        <f t="shared" ca="1" si="86"/>
        <v>1.8044035003810817</v>
      </c>
      <c r="E783" s="21">
        <f t="shared" ca="1" si="87"/>
        <v>2.19625</v>
      </c>
      <c r="F783" s="21">
        <f t="shared" ca="1" si="89"/>
        <v>1.3608</v>
      </c>
      <c r="G783" s="84">
        <f t="shared" ca="1" si="90"/>
        <v>1.3608</v>
      </c>
    </row>
    <row r="784" spans="1:7" x14ac:dyDescent="0.2">
      <c r="A784" s="77">
        <v>6</v>
      </c>
      <c r="B784" s="21">
        <f t="shared" ca="1" si="88"/>
        <v>0.8583262808908777</v>
      </c>
      <c r="C784" s="21">
        <f t="shared" si="91"/>
        <v>1.3608</v>
      </c>
      <c r="D784" s="21">
        <f t="shared" ca="1" si="86"/>
        <v>1.7972146418138264</v>
      </c>
      <c r="E784" s="21">
        <f t="shared" ca="1" si="87"/>
        <v>2.1875</v>
      </c>
      <c r="F784" s="21">
        <f t="shared" ca="1" si="89"/>
        <v>1.3608</v>
      </c>
      <c r="G784" s="84">
        <f t="shared" ca="1" si="90"/>
        <v>1.3608</v>
      </c>
    </row>
    <row r="785" spans="1:7" x14ac:dyDescent="0.2">
      <c r="A785" s="77">
        <v>7</v>
      </c>
      <c r="B785" s="21">
        <f t="shared" ca="1" si="88"/>
        <v>0.86185553391462955</v>
      </c>
      <c r="C785" s="21">
        <f t="shared" si="91"/>
        <v>1.3608</v>
      </c>
      <c r="D785" s="21">
        <f t="shared" ca="1" si="86"/>
        <v>1.7900257832465711</v>
      </c>
      <c r="E785" s="21">
        <f t="shared" ca="1" si="87"/>
        <v>2.1787500000000004</v>
      </c>
      <c r="F785" s="21">
        <f t="shared" ca="1" si="89"/>
        <v>1.3608</v>
      </c>
      <c r="G785" s="84">
        <f t="shared" ca="1" si="90"/>
        <v>1.3608</v>
      </c>
    </row>
    <row r="786" spans="1:7" x14ac:dyDescent="0.2">
      <c r="A786" s="77">
        <v>8</v>
      </c>
      <c r="B786" s="21">
        <f t="shared" ca="1" si="88"/>
        <v>0.86541428077244897</v>
      </c>
      <c r="C786" s="21">
        <f t="shared" si="91"/>
        <v>1.3608</v>
      </c>
      <c r="D786" s="21">
        <f t="shared" ca="1" si="86"/>
        <v>1.7828369246793156</v>
      </c>
      <c r="E786" s="21">
        <f t="shared" ca="1" si="87"/>
        <v>2.1700000000000004</v>
      </c>
      <c r="F786" s="21">
        <f t="shared" ca="1" si="89"/>
        <v>1.3608</v>
      </c>
      <c r="G786" s="84">
        <f t="shared" ca="1" si="90"/>
        <v>1.3608</v>
      </c>
    </row>
    <row r="787" spans="1:7" x14ac:dyDescent="0.2">
      <c r="A787" s="77">
        <v>9</v>
      </c>
      <c r="B787" s="21">
        <f t="shared" ca="1" si="88"/>
        <v>0.8690893941762301</v>
      </c>
      <c r="C787" s="21">
        <f t="shared" si="91"/>
        <v>1.3608</v>
      </c>
      <c r="D787" s="21">
        <f t="shared" ca="1" si="86"/>
        <v>1.7754755335064463</v>
      </c>
      <c r="E787" s="21">
        <f t="shared" ca="1" si="87"/>
        <v>2.1610400000000003</v>
      </c>
      <c r="F787" s="21">
        <f t="shared" ca="1" si="89"/>
        <v>1.3608</v>
      </c>
      <c r="G787" s="84">
        <f t="shared" ca="1" si="90"/>
        <v>1.3608</v>
      </c>
    </row>
    <row r="788" spans="1:7" x14ac:dyDescent="0.2">
      <c r="A788" s="77">
        <v>10</v>
      </c>
      <c r="B788" s="21">
        <f t="shared" ca="1" si="88"/>
        <v>0.87320361753714149</v>
      </c>
      <c r="C788" s="21">
        <f t="shared" si="91"/>
        <v>1.3608</v>
      </c>
      <c r="D788" s="21">
        <f t="shared" ca="1" si="86"/>
        <v>1.7673089901740444</v>
      </c>
      <c r="E788" s="21">
        <f t="shared" ca="1" si="87"/>
        <v>2.1511000000000005</v>
      </c>
      <c r="F788" s="21">
        <f t="shared" ca="1" si="89"/>
        <v>1.3608</v>
      </c>
      <c r="G788" s="84">
        <f t="shared" ca="1" si="90"/>
        <v>1.3608</v>
      </c>
    </row>
    <row r="789" spans="1:7" x14ac:dyDescent="0.2">
      <c r="A789" s="77">
        <v>11</v>
      </c>
      <c r="B789" s="21">
        <f t="shared" ca="1" si="88"/>
        <v>0.87729868114026133</v>
      </c>
      <c r="C789" s="21">
        <f t="shared" si="91"/>
        <v>1.3608</v>
      </c>
      <c r="D789" s="21">
        <f t="shared" ca="1" si="86"/>
        <v>1.7592574685787183</v>
      </c>
      <c r="E789" s="21">
        <f t="shared" ca="1" si="87"/>
        <v>2.1413000000000002</v>
      </c>
      <c r="F789" s="21">
        <f t="shared" ca="1" si="89"/>
        <v>1.3608</v>
      </c>
      <c r="G789" s="84">
        <f t="shared" ca="1" si="90"/>
        <v>1.3608</v>
      </c>
    </row>
    <row r="790" spans="1:7" x14ac:dyDescent="0.2">
      <c r="A790" s="77">
        <v>14</v>
      </c>
      <c r="B790" s="21">
        <f t="shared" ca="1" si="88"/>
        <v>0.88569647096168491</v>
      </c>
      <c r="C790" s="21">
        <f t="shared" si="91"/>
        <v>1.3608</v>
      </c>
      <c r="D790" s="21">
        <f t="shared" ca="1" si="86"/>
        <v>1.7429818927824523</v>
      </c>
      <c r="E790" s="21">
        <f t="shared" ca="1" si="87"/>
        <v>2.1214900000000001</v>
      </c>
      <c r="F790" s="21">
        <f t="shared" ca="1" si="89"/>
        <v>1.3608</v>
      </c>
      <c r="G790" s="84">
        <f t="shared" ca="1" si="90"/>
        <v>1.3608</v>
      </c>
    </row>
    <row r="791" spans="1:7" x14ac:dyDescent="0.2">
      <c r="A791" s="77">
        <v>18</v>
      </c>
      <c r="B791" s="21">
        <f t="shared" ca="1" si="88"/>
        <v>0.90292792359987828</v>
      </c>
      <c r="C791" s="21">
        <f t="shared" si="91"/>
        <v>1.3608</v>
      </c>
      <c r="D791" s="21">
        <f t="shared" ca="1" si="86"/>
        <v>1.7105457629269962</v>
      </c>
      <c r="E791" s="21">
        <f t="shared" ca="1" si="87"/>
        <v>2.0820099999999999</v>
      </c>
      <c r="F791" s="21">
        <f t="shared" ca="1" si="89"/>
        <v>1.3608</v>
      </c>
      <c r="G791" s="84">
        <f t="shared" ca="1" si="90"/>
        <v>1.3608</v>
      </c>
    </row>
    <row r="793" spans="1:7" x14ac:dyDescent="0.2">
      <c r="A793" s="6" t="s">
        <v>387</v>
      </c>
    </row>
    <row r="794" spans="1:7" x14ac:dyDescent="0.2">
      <c r="A794" s="77" t="s">
        <v>323</v>
      </c>
      <c r="B794" s="19" t="s">
        <v>389</v>
      </c>
      <c r="C794" s="19" t="s">
        <v>386</v>
      </c>
      <c r="D794" s="19" t="s">
        <v>428</v>
      </c>
      <c r="E794" s="6" t="s">
        <v>391</v>
      </c>
      <c r="F794" s="19" t="s">
        <v>402</v>
      </c>
    </row>
    <row r="795" spans="1:7" x14ac:dyDescent="0.2">
      <c r="A795" s="77">
        <v>3</v>
      </c>
      <c r="B795" s="21">
        <f t="shared" ref="B795:B805" ca="1" si="92">G781/OFFSET(barsize_heading,MATCH(A795,reinf_bars,0),2)</f>
        <v>12.370909090909091</v>
      </c>
      <c r="C795" s="19">
        <f>$B$485</f>
        <v>3</v>
      </c>
      <c r="D795" s="93">
        <f ca="1">ROUNDUP(MAX(B795:C795),0)</f>
        <v>13</v>
      </c>
      <c r="E795" s="21">
        <f t="shared" ref="E795:E805" ca="1" si="93">D795*OFFSET(barsize_heading,MATCH(A795,reinf_bars,0),2)</f>
        <v>1.43</v>
      </c>
      <c r="F795" s="21">
        <f t="shared" ref="F795:F805" ca="1" si="94">((Bf_ft*12)-(2*bottom_cover)-OFFSET(barsize_heading,MATCH(A795,reinf_bars,0),1))/(D795-1)</f>
        <v>2.96875</v>
      </c>
    </row>
    <row r="796" spans="1:7" x14ac:dyDescent="0.2">
      <c r="A796" s="77">
        <v>4</v>
      </c>
      <c r="B796" s="21">
        <f t="shared" ca="1" si="92"/>
        <v>6.8039999999999994</v>
      </c>
      <c r="C796" s="19">
        <f t="shared" ref="C796:C805" si="95">$B$485</f>
        <v>3</v>
      </c>
      <c r="D796" s="93">
        <f t="shared" ref="D796:D805" ca="1" si="96">ROUNDUP(MAX(B796:C796),0)</f>
        <v>7</v>
      </c>
      <c r="E796" s="21">
        <f t="shared" ca="1" si="93"/>
        <v>1.4000000000000001</v>
      </c>
      <c r="F796" s="21">
        <f t="shared" ca="1" si="94"/>
        <v>5.916666666666667</v>
      </c>
    </row>
    <row r="797" spans="1:7" x14ac:dyDescent="0.2">
      <c r="A797" s="77">
        <v>5</v>
      </c>
      <c r="B797" s="21">
        <f t="shared" ca="1" si="92"/>
        <v>4.3896774193548387</v>
      </c>
      <c r="C797" s="19">
        <f t="shared" si="95"/>
        <v>3</v>
      </c>
      <c r="D797" s="93">
        <f t="shared" ca="1" si="96"/>
        <v>5</v>
      </c>
      <c r="E797" s="21">
        <f t="shared" ca="1" si="93"/>
        <v>1.55</v>
      </c>
      <c r="F797" s="21">
        <f t="shared" ca="1" si="94"/>
        <v>8.84375</v>
      </c>
    </row>
    <row r="798" spans="1:7" x14ac:dyDescent="0.2">
      <c r="A798" s="77">
        <v>6</v>
      </c>
      <c r="B798" s="21">
        <f t="shared" ca="1" si="92"/>
        <v>3.0927272727272728</v>
      </c>
      <c r="C798" s="19">
        <f t="shared" si="95"/>
        <v>3</v>
      </c>
      <c r="D798" s="93">
        <f t="shared" ca="1" si="96"/>
        <v>4</v>
      </c>
      <c r="E798" s="21">
        <f t="shared" ca="1" si="93"/>
        <v>1.76</v>
      </c>
      <c r="F798" s="21">
        <f t="shared" ca="1" si="94"/>
        <v>11.75</v>
      </c>
    </row>
    <row r="799" spans="1:7" x14ac:dyDescent="0.2">
      <c r="A799" s="77">
        <v>7</v>
      </c>
      <c r="B799" s="21">
        <f t="shared" ca="1" si="92"/>
        <v>2.2680000000000002</v>
      </c>
      <c r="C799" s="19">
        <f t="shared" si="95"/>
        <v>3</v>
      </c>
      <c r="D799" s="93">
        <f t="shared" ca="1" si="96"/>
        <v>3</v>
      </c>
      <c r="E799" s="21">
        <f t="shared" ca="1" si="93"/>
        <v>1.7999999999999998</v>
      </c>
      <c r="F799" s="21">
        <f t="shared" ca="1" si="94"/>
        <v>17.5625</v>
      </c>
    </row>
    <row r="800" spans="1:7" x14ac:dyDescent="0.2">
      <c r="A800" s="77">
        <v>8</v>
      </c>
      <c r="B800" s="21">
        <f t="shared" ca="1" si="92"/>
        <v>1.7225316455696202</v>
      </c>
      <c r="C800" s="19">
        <f t="shared" si="95"/>
        <v>3</v>
      </c>
      <c r="D800" s="93">
        <f t="shared" ca="1" si="96"/>
        <v>3</v>
      </c>
      <c r="E800" s="21">
        <f t="shared" ca="1" si="93"/>
        <v>2.37</v>
      </c>
      <c r="F800" s="21">
        <f t="shared" ca="1" si="94"/>
        <v>17.5</v>
      </c>
    </row>
    <row r="801" spans="1:8" x14ac:dyDescent="0.2">
      <c r="A801" s="77">
        <v>9</v>
      </c>
      <c r="B801" s="21">
        <f t="shared" ca="1" si="92"/>
        <v>1.3608</v>
      </c>
      <c r="C801" s="19">
        <f t="shared" si="95"/>
        <v>3</v>
      </c>
      <c r="D801" s="93">
        <f t="shared" ca="1" si="96"/>
        <v>3</v>
      </c>
      <c r="E801" s="21">
        <f t="shared" ca="1" si="93"/>
        <v>3</v>
      </c>
      <c r="F801" s="21">
        <f t="shared" ca="1" si="94"/>
        <v>17.436</v>
      </c>
    </row>
    <row r="802" spans="1:8" x14ac:dyDescent="0.2">
      <c r="A802" s="77">
        <v>10</v>
      </c>
      <c r="B802" s="21">
        <f t="shared" ca="1" si="92"/>
        <v>1.071496062992126</v>
      </c>
      <c r="C802" s="19">
        <f t="shared" si="95"/>
        <v>3</v>
      </c>
      <c r="D802" s="93">
        <f t="shared" ca="1" si="96"/>
        <v>3</v>
      </c>
      <c r="E802" s="21">
        <f t="shared" ca="1" si="93"/>
        <v>3.81</v>
      </c>
      <c r="F802" s="21">
        <f t="shared" ca="1" si="94"/>
        <v>17.364999999999998</v>
      </c>
    </row>
    <row r="803" spans="1:8" x14ac:dyDescent="0.2">
      <c r="A803" s="77">
        <v>11</v>
      </c>
      <c r="B803" s="21">
        <f t="shared" ca="1" si="92"/>
        <v>0.87230769230769234</v>
      </c>
      <c r="C803" s="19">
        <f t="shared" si="95"/>
        <v>3</v>
      </c>
      <c r="D803" s="93">
        <f t="shared" ca="1" si="96"/>
        <v>3</v>
      </c>
      <c r="E803" s="21">
        <f t="shared" ca="1" si="93"/>
        <v>4.68</v>
      </c>
      <c r="F803" s="21">
        <f t="shared" ca="1" si="94"/>
        <v>17.295000000000002</v>
      </c>
    </row>
    <row r="804" spans="1:8" x14ac:dyDescent="0.2">
      <c r="A804" s="77">
        <v>14</v>
      </c>
      <c r="B804" s="21">
        <f t="shared" ca="1" si="92"/>
        <v>0.6048</v>
      </c>
      <c r="C804" s="19">
        <f t="shared" si="95"/>
        <v>3</v>
      </c>
      <c r="D804" s="93">
        <f t="shared" ca="1" si="96"/>
        <v>3</v>
      </c>
      <c r="E804" s="21">
        <f t="shared" ca="1" si="93"/>
        <v>6.75</v>
      </c>
      <c r="F804" s="21">
        <f t="shared" ca="1" si="94"/>
        <v>17.153500000000001</v>
      </c>
    </row>
    <row r="805" spans="1:8" x14ac:dyDescent="0.2">
      <c r="A805" s="77">
        <v>18</v>
      </c>
      <c r="B805" s="21">
        <f t="shared" ca="1" si="92"/>
        <v>0.3402</v>
      </c>
      <c r="C805" s="19">
        <f t="shared" si="95"/>
        <v>3</v>
      </c>
      <c r="D805" s="93">
        <f t="shared" ca="1" si="96"/>
        <v>3</v>
      </c>
      <c r="E805" s="21">
        <f t="shared" ca="1" si="93"/>
        <v>12</v>
      </c>
      <c r="F805" s="21">
        <f t="shared" ca="1" si="94"/>
        <v>16.871500000000001</v>
      </c>
    </row>
    <row r="807" spans="1:8" x14ac:dyDescent="0.2">
      <c r="A807" s="6" t="s">
        <v>390</v>
      </c>
    </row>
    <row r="808" spans="1:8" ht="24" x14ac:dyDescent="0.2">
      <c r="A808" s="77" t="s">
        <v>323</v>
      </c>
      <c r="B808" s="19" t="s">
        <v>94</v>
      </c>
      <c r="C808" s="19" t="s">
        <v>394</v>
      </c>
      <c r="D808" s="19" t="s">
        <v>392</v>
      </c>
      <c r="E808" s="19" t="s">
        <v>395</v>
      </c>
      <c r="F808" s="19" t="s">
        <v>396</v>
      </c>
      <c r="G808" s="35" t="s">
        <v>397</v>
      </c>
    </row>
    <row r="809" spans="1:8" x14ac:dyDescent="0.2">
      <c r="A809" s="77">
        <v>3</v>
      </c>
      <c r="B809" s="84">
        <f t="shared" ref="B809:B819" ca="1" si="97">(E795*Fy_psi)/(0.85*fc_fnd_psi*12*Bf_ft)</f>
        <v>0.80112044817927175</v>
      </c>
      <c r="C809" s="21">
        <f t="shared" ref="C809:C819" ca="1" si="98">B809/beta1</f>
        <v>0.94249464491679036</v>
      </c>
      <c r="D809" s="83">
        <f t="shared" ref="D809:D819" ca="1" si="99">((B767/C809)*ec)-ec</f>
        <v>4.7331850961538455E-2</v>
      </c>
      <c r="E809" s="19">
        <f ca="1">IF(D809&gt;=0.005,0.9,IF(D809&gt;=0.004,0.65+(0.25*((D809-0.002)/(0.005-0.002))),0))</f>
        <v>0.9</v>
      </c>
      <c r="F809" s="82">
        <f t="shared" ref="F809:F819" ca="1" si="100">E795*Fy_psi*(B767-(B809/2))*(1/(12*1000))</f>
        <v>110.19536939775911</v>
      </c>
      <c r="G809" s="82">
        <f ca="1">E809*F809</f>
        <v>99.175832457983205</v>
      </c>
      <c r="H809" s="6" t="str">
        <f t="shared" ref="H809:H819" ca="1" si="101">IF(AND(G809&gt;=ABS(Mum_left_ftkips),J31="USE"),"USE","N/A")</f>
        <v>N/A</v>
      </c>
    </row>
    <row r="810" spans="1:8" x14ac:dyDescent="0.2">
      <c r="A810" s="77">
        <v>4</v>
      </c>
      <c r="B810" s="84">
        <f t="shared" ca="1" si="97"/>
        <v>0.78431372549019618</v>
      </c>
      <c r="C810" s="21">
        <f t="shared" ca="1" si="98"/>
        <v>0.92272202998846609</v>
      </c>
      <c r="D810" s="83">
        <f t="shared" ca="1" si="99"/>
        <v>4.8207187499999991E-2</v>
      </c>
      <c r="E810" s="19">
        <f t="shared" ref="E810:E819" ca="1" si="102">IF(D810&gt;=0.005,0.9,IF(D810&gt;=0.004,0.65+(0.25*((D810-0.002)/(0.005-0.002))),0))</f>
        <v>0.9</v>
      </c>
      <c r="F810" s="82">
        <f t="shared" ca="1" si="100"/>
        <v>107.50490196078434</v>
      </c>
      <c r="G810" s="82">
        <f t="shared" ref="G810:G819" ca="1" si="103">E810*F810</f>
        <v>96.754411764705907</v>
      </c>
      <c r="H810" s="6" t="str">
        <f t="shared" ca="1" si="101"/>
        <v>N/A</v>
      </c>
    </row>
    <row r="811" spans="1:8" x14ac:dyDescent="0.2">
      <c r="A811" s="77">
        <v>5</v>
      </c>
      <c r="B811" s="84">
        <f t="shared" ca="1" si="97"/>
        <v>0.86834733893557425</v>
      </c>
      <c r="C811" s="21">
        <f t="shared" ca="1" si="98"/>
        <v>1.0215851046300874</v>
      </c>
      <c r="D811" s="83">
        <f t="shared" ca="1" si="99"/>
        <v>4.3068114919354833E-2</v>
      </c>
      <c r="E811" s="19">
        <f t="shared" ca="1" si="102"/>
        <v>0.9</v>
      </c>
      <c r="F811" s="82">
        <f t="shared" ca="1" si="100"/>
        <v>118.21327906162465</v>
      </c>
      <c r="G811" s="82">
        <f t="shared" ca="1" si="103"/>
        <v>106.39195115546218</v>
      </c>
      <c r="H811" s="6" t="str">
        <f t="shared" ca="1" si="101"/>
        <v>USE</v>
      </c>
    </row>
    <row r="812" spans="1:8" x14ac:dyDescent="0.2">
      <c r="A812" s="77">
        <v>6</v>
      </c>
      <c r="B812" s="84">
        <f t="shared" ca="1" si="97"/>
        <v>0.98599439775910369</v>
      </c>
      <c r="C812" s="21">
        <f t="shared" ca="1" si="98"/>
        <v>1.1599934091283572</v>
      </c>
      <c r="D812" s="83">
        <f t="shared" ca="1" si="99"/>
        <v>3.7409712357954546E-2</v>
      </c>
      <c r="E812" s="19">
        <f t="shared" ca="1" si="102"/>
        <v>0.9</v>
      </c>
      <c r="F812" s="82">
        <f t="shared" ca="1" si="100"/>
        <v>133.16162464985993</v>
      </c>
      <c r="G812" s="82">
        <f t="shared" ca="1" si="103"/>
        <v>119.84546218487394</v>
      </c>
      <c r="H812" s="6" t="str">
        <f t="shared" ca="1" si="101"/>
        <v>USE</v>
      </c>
    </row>
    <row r="813" spans="1:8" x14ac:dyDescent="0.2">
      <c r="A813" s="77">
        <v>7</v>
      </c>
      <c r="B813" s="84">
        <f t="shared" ca="1" si="97"/>
        <v>1.0084033613445378</v>
      </c>
      <c r="C813" s="21">
        <f t="shared" ca="1" si="98"/>
        <v>1.1863568956994563</v>
      </c>
      <c r="D813" s="83">
        <f t="shared" ca="1" si="99"/>
        <v>3.6353671874999993E-2</v>
      </c>
      <c r="E813" s="19">
        <f t="shared" ca="1" si="102"/>
        <v>0.9</v>
      </c>
      <c r="F813" s="82">
        <f t="shared" ca="1" si="100"/>
        <v>135.52468487394955</v>
      </c>
      <c r="G813" s="82">
        <f t="shared" ca="1" si="103"/>
        <v>121.97221638655461</v>
      </c>
      <c r="H813" s="6" t="str">
        <f t="shared" ca="1" si="101"/>
        <v>N/A</v>
      </c>
    </row>
    <row r="814" spans="1:8" x14ac:dyDescent="0.2">
      <c r="A814" s="77">
        <v>8</v>
      </c>
      <c r="B814" s="84">
        <f t="shared" ca="1" si="97"/>
        <v>1.3277310924369747</v>
      </c>
      <c r="C814" s="21">
        <f t="shared" ca="1" si="98"/>
        <v>1.5620365793376174</v>
      </c>
      <c r="D814" s="83">
        <f t="shared" ca="1" si="99"/>
        <v>2.6768829113924052E-2</v>
      </c>
      <c r="E814" s="19">
        <f t="shared" ca="1" si="102"/>
        <v>0.9</v>
      </c>
      <c r="F814" s="82">
        <f t="shared" ca="1" si="100"/>
        <v>175.80819327731092</v>
      </c>
      <c r="G814" s="82">
        <f t="shared" ca="1" si="103"/>
        <v>158.22737394957983</v>
      </c>
      <c r="H814" s="6" t="str">
        <f t="shared" ca="1" si="101"/>
        <v>N/A</v>
      </c>
    </row>
    <row r="815" spans="1:8" x14ac:dyDescent="0.2">
      <c r="A815" s="77">
        <v>9</v>
      </c>
      <c r="B815" s="84">
        <f t="shared" ca="1" si="97"/>
        <v>1.680672268907563</v>
      </c>
      <c r="C815" s="21">
        <f t="shared" ca="1" si="98"/>
        <v>1.9772614928324272</v>
      </c>
      <c r="D815" s="83">
        <f t="shared" ca="1" si="99"/>
        <v>2.0420271E-2</v>
      </c>
      <c r="E815" s="19">
        <f t="shared" ca="1" si="102"/>
        <v>0.9</v>
      </c>
      <c r="F815" s="82">
        <f t="shared" ca="1" si="100"/>
        <v>218.93495798319324</v>
      </c>
      <c r="G815" s="82">
        <f t="shared" ca="1" si="103"/>
        <v>197.04146218487392</v>
      </c>
      <c r="H815" s="6" t="str">
        <f t="shared" ca="1" si="101"/>
        <v>N/A</v>
      </c>
    </row>
    <row r="816" spans="1:8" x14ac:dyDescent="0.2">
      <c r="A816" s="77">
        <v>10</v>
      </c>
      <c r="B816" s="84">
        <f t="shared" ca="1" si="97"/>
        <v>2.134453781512605</v>
      </c>
      <c r="C816" s="21">
        <f t="shared" ca="1" si="98"/>
        <v>2.5111220958971825</v>
      </c>
      <c r="D816" s="83">
        <f t="shared" ca="1" si="99"/>
        <v>1.535633562992126E-2</v>
      </c>
      <c r="E816" s="19">
        <f t="shared" ca="1" si="102"/>
        <v>0.9</v>
      </c>
      <c r="F816" s="82">
        <f t="shared" ca="1" si="100"/>
        <v>272.37257773109246</v>
      </c>
      <c r="G816" s="82">
        <f t="shared" ca="1" si="103"/>
        <v>245.13531995798323</v>
      </c>
      <c r="H816" s="6" t="str">
        <f t="shared" ca="1" si="101"/>
        <v>N/A</v>
      </c>
    </row>
    <row r="817" spans="1:8" x14ac:dyDescent="0.2">
      <c r="A817" s="77">
        <v>11</v>
      </c>
      <c r="B817" s="84">
        <f t="shared" ca="1" si="97"/>
        <v>2.6218487394957983</v>
      </c>
      <c r="C817" s="21">
        <f t="shared" ca="1" si="98"/>
        <v>3.0845279288185865</v>
      </c>
      <c r="D817" s="83">
        <f t="shared" ca="1" si="99"/>
        <v>1.1875858173076924E-2</v>
      </c>
      <c r="E817" s="19">
        <f t="shared" ca="1" si="102"/>
        <v>0.9</v>
      </c>
      <c r="F817" s="82">
        <f t="shared" ca="1" si="100"/>
        <v>327.2273697478991</v>
      </c>
      <c r="G817" s="82">
        <f t="shared" ca="1" si="103"/>
        <v>294.50463277310922</v>
      </c>
      <c r="H817" s="6" t="str">
        <f t="shared" ca="1" si="101"/>
        <v>N/A</v>
      </c>
    </row>
    <row r="818" spans="1:8" x14ac:dyDescent="0.2">
      <c r="A818" s="77">
        <v>14</v>
      </c>
      <c r="B818" s="84">
        <f t="shared" ca="1" si="97"/>
        <v>3.7815126050420167</v>
      </c>
      <c r="C818" s="21">
        <f t="shared" ca="1" si="98"/>
        <v>4.448838358872961</v>
      </c>
      <c r="D818" s="83">
        <f t="shared" ca="1" si="99"/>
        <v>7.2185101666666649E-3</v>
      </c>
      <c r="E818" s="19">
        <f t="shared" ca="1" si="102"/>
        <v>0.9</v>
      </c>
      <c r="F818" s="82">
        <f t="shared" ca="1" si="100"/>
        <v>447.61759978991591</v>
      </c>
      <c r="G818" s="82">
        <f t="shared" ca="1" si="103"/>
        <v>402.85583981092435</v>
      </c>
      <c r="H818" s="6" t="str">
        <f t="shared" ca="1" si="101"/>
        <v>N/A</v>
      </c>
    </row>
    <row r="819" spans="1:8" x14ac:dyDescent="0.2">
      <c r="A819" s="77">
        <v>18</v>
      </c>
      <c r="B819" s="84">
        <f t="shared" ca="1" si="97"/>
        <v>6.7226890756302522</v>
      </c>
      <c r="C819" s="21">
        <f t="shared" ca="1" si="98"/>
        <v>7.909045971329709</v>
      </c>
      <c r="D819" s="83">
        <f t="shared" ca="1" si="99"/>
        <v>2.6409458437499991E-3</v>
      </c>
      <c r="E819" s="19">
        <f t="shared" ca="1" si="102"/>
        <v>0</v>
      </c>
      <c r="F819" s="82">
        <f t="shared" ca="1" si="100"/>
        <v>690.60932773109232</v>
      </c>
      <c r="G819" s="82">
        <f t="shared" ca="1" si="103"/>
        <v>0</v>
      </c>
      <c r="H819" s="6" t="str">
        <f t="shared" ca="1" si="101"/>
        <v>N/A</v>
      </c>
    </row>
    <row r="821" spans="1:8" x14ac:dyDescent="0.2">
      <c r="A821" s="6" t="s">
        <v>398</v>
      </c>
    </row>
    <row r="823" spans="1:8" x14ac:dyDescent="0.2">
      <c r="A823" s="43" t="s">
        <v>399</v>
      </c>
      <c r="B823" s="21">
        <f>x_m_left-(bottom_cover/12)</f>
        <v>6.75</v>
      </c>
      <c r="C823" s="6" t="s">
        <v>1</v>
      </c>
    </row>
    <row r="824" spans="1:8" x14ac:dyDescent="0.2">
      <c r="A824" s="43" t="s">
        <v>400</v>
      </c>
      <c r="B824" s="21">
        <f>Lf_ft-x_m_left-(bottom_cover/12)</f>
        <v>22.75</v>
      </c>
      <c r="C824" s="6" t="s">
        <v>1</v>
      </c>
    </row>
    <row r="826" spans="1:8" x14ac:dyDescent="0.2">
      <c r="A826" s="77" t="s">
        <v>323</v>
      </c>
      <c r="B826" s="19" t="s">
        <v>401</v>
      </c>
      <c r="C826" s="19" t="s">
        <v>403</v>
      </c>
      <c r="D826" s="19" t="s">
        <v>404</v>
      </c>
      <c r="E826" s="19" t="s">
        <v>405</v>
      </c>
      <c r="F826" s="19" t="s">
        <v>406</v>
      </c>
      <c r="G826" s="19" t="s">
        <v>407</v>
      </c>
      <c r="H826" s="19" t="s">
        <v>408</v>
      </c>
    </row>
    <row r="827" spans="1:8" x14ac:dyDescent="0.2">
      <c r="A827" s="77">
        <v>3</v>
      </c>
      <c r="B827" s="84">
        <f ca="1">MAX(E767,C781)/E795</f>
        <v>0.95160839160839161</v>
      </c>
      <c r="C827" s="21">
        <f t="shared" ref="C827:C837" ca="1" si="104">MIN(F795,bottom_cover+(OFFSET(barsize_heading,MATCH(A827,reinf_bars,0),1)/2))</f>
        <v>2.96875</v>
      </c>
      <c r="D827" s="84">
        <f t="shared" ref="D827:D837" ca="1" si="105">MIN(C827/OFFSET(barsize_heading,MATCH(A827,reinf_bars,0),1),2.5)</f>
        <v>2.5</v>
      </c>
      <c r="E827" s="19">
        <v>1</v>
      </c>
      <c r="F827" s="19">
        <v>1</v>
      </c>
      <c r="G827" s="19">
        <v>1</v>
      </c>
      <c r="H827" s="19">
        <f>IF(A827&lt;7,0.8,1)</f>
        <v>0.8</v>
      </c>
    </row>
    <row r="828" spans="1:8" x14ac:dyDescent="0.2">
      <c r="A828" s="77">
        <v>4</v>
      </c>
      <c r="B828" s="84">
        <f t="shared" ref="B828:B837" ca="1" si="106">MAX(E768,C782)/E796</f>
        <v>0.97199999999999986</v>
      </c>
      <c r="C828" s="21">
        <f t="shared" ca="1" si="104"/>
        <v>3.25</v>
      </c>
      <c r="D828" s="84">
        <f t="shared" ca="1" si="105"/>
        <v>2.5</v>
      </c>
      <c r="E828" s="19">
        <v>1</v>
      </c>
      <c r="F828" s="19">
        <v>1</v>
      </c>
      <c r="G828" s="19">
        <v>1</v>
      </c>
      <c r="H828" s="19">
        <f t="shared" ref="H828:H837" si="107">IF(A828&lt;7,0.8,1)</f>
        <v>0.8</v>
      </c>
    </row>
    <row r="829" spans="1:8" x14ac:dyDescent="0.2">
      <c r="A829" s="77">
        <v>5</v>
      </c>
      <c r="B829" s="84">
        <f t="shared" ca="1" si="106"/>
        <v>0.87793548387096776</v>
      </c>
      <c r="C829" s="21">
        <f t="shared" ca="1" si="104"/>
        <v>3.3125</v>
      </c>
      <c r="D829" s="84">
        <f t="shared" ca="1" si="105"/>
        <v>2.5</v>
      </c>
      <c r="E829" s="19">
        <v>1</v>
      </c>
      <c r="F829" s="19">
        <v>1</v>
      </c>
      <c r="G829" s="19">
        <v>1</v>
      </c>
      <c r="H829" s="19">
        <f t="shared" si="107"/>
        <v>0.8</v>
      </c>
    </row>
    <row r="830" spans="1:8" x14ac:dyDescent="0.2">
      <c r="A830" s="77">
        <v>6</v>
      </c>
      <c r="B830" s="84">
        <f t="shared" ca="1" si="106"/>
        <v>0.77318181818181819</v>
      </c>
      <c r="C830" s="21">
        <f t="shared" ca="1" si="104"/>
        <v>3.375</v>
      </c>
      <c r="D830" s="84">
        <f t="shared" ca="1" si="105"/>
        <v>2.5</v>
      </c>
      <c r="E830" s="19">
        <v>1</v>
      </c>
      <c r="F830" s="19">
        <v>1</v>
      </c>
      <c r="G830" s="19">
        <v>1</v>
      </c>
      <c r="H830" s="19">
        <f t="shared" si="107"/>
        <v>0.8</v>
      </c>
    </row>
    <row r="831" spans="1:8" x14ac:dyDescent="0.2">
      <c r="A831" s="77">
        <v>7</v>
      </c>
      <c r="B831" s="84">
        <f t="shared" ca="1" si="106"/>
        <v>0.75600000000000012</v>
      </c>
      <c r="C831" s="21">
        <f t="shared" ca="1" si="104"/>
        <v>3.4375</v>
      </c>
      <c r="D831" s="84">
        <f t="shared" ca="1" si="105"/>
        <v>2.5</v>
      </c>
      <c r="E831" s="19">
        <v>1</v>
      </c>
      <c r="F831" s="19">
        <v>1</v>
      </c>
      <c r="G831" s="19">
        <v>1</v>
      </c>
      <c r="H831" s="19">
        <f t="shared" si="107"/>
        <v>1</v>
      </c>
    </row>
    <row r="832" spans="1:8" x14ac:dyDescent="0.2">
      <c r="A832" s="77">
        <v>8</v>
      </c>
      <c r="B832" s="84">
        <f t="shared" ca="1" si="106"/>
        <v>0.57417721518987341</v>
      </c>
      <c r="C832" s="21">
        <f t="shared" ca="1" si="104"/>
        <v>3.5</v>
      </c>
      <c r="D832" s="84">
        <f t="shared" ca="1" si="105"/>
        <v>2.5</v>
      </c>
      <c r="E832" s="19">
        <v>1</v>
      </c>
      <c r="F832" s="19">
        <v>1</v>
      </c>
      <c r="G832" s="19">
        <v>1</v>
      </c>
      <c r="H832" s="19">
        <f t="shared" si="107"/>
        <v>1</v>
      </c>
    </row>
    <row r="833" spans="1:8" x14ac:dyDescent="0.2">
      <c r="A833" s="77">
        <v>9</v>
      </c>
      <c r="B833" s="84">
        <f t="shared" ca="1" si="106"/>
        <v>0.4536</v>
      </c>
      <c r="C833" s="21">
        <f t="shared" ca="1" si="104"/>
        <v>3.5640000000000001</v>
      </c>
      <c r="D833" s="84">
        <f t="shared" ca="1" si="105"/>
        <v>2.5</v>
      </c>
      <c r="E833" s="19">
        <v>1</v>
      </c>
      <c r="F833" s="19">
        <v>1</v>
      </c>
      <c r="G833" s="19">
        <v>1</v>
      </c>
      <c r="H833" s="19">
        <f t="shared" si="107"/>
        <v>1</v>
      </c>
    </row>
    <row r="834" spans="1:8" x14ac:dyDescent="0.2">
      <c r="A834" s="77">
        <v>10</v>
      </c>
      <c r="B834" s="84">
        <f t="shared" ca="1" si="106"/>
        <v>0.35716535433070867</v>
      </c>
      <c r="C834" s="21">
        <f t="shared" ca="1" si="104"/>
        <v>3.6349999999999998</v>
      </c>
      <c r="D834" s="84">
        <f t="shared" ca="1" si="105"/>
        <v>2.5</v>
      </c>
      <c r="E834" s="19">
        <v>1</v>
      </c>
      <c r="F834" s="19">
        <v>1</v>
      </c>
      <c r="G834" s="19">
        <v>1</v>
      </c>
      <c r="H834" s="19">
        <f t="shared" si="107"/>
        <v>1</v>
      </c>
    </row>
    <row r="835" spans="1:8" x14ac:dyDescent="0.2">
      <c r="A835" s="77">
        <v>11</v>
      </c>
      <c r="B835" s="84">
        <f t="shared" ca="1" si="106"/>
        <v>0.29076923076923078</v>
      </c>
      <c r="C835" s="21">
        <f t="shared" ca="1" si="104"/>
        <v>3.7050000000000001</v>
      </c>
      <c r="D835" s="84">
        <f t="shared" ca="1" si="105"/>
        <v>2.5</v>
      </c>
      <c r="E835" s="19">
        <v>1</v>
      </c>
      <c r="F835" s="19">
        <v>1</v>
      </c>
      <c r="G835" s="19">
        <v>1</v>
      </c>
      <c r="H835" s="19">
        <f t="shared" si="107"/>
        <v>1</v>
      </c>
    </row>
    <row r="836" spans="1:8" x14ac:dyDescent="0.2">
      <c r="A836" s="77">
        <v>14</v>
      </c>
      <c r="B836" s="84">
        <f t="shared" ca="1" si="106"/>
        <v>0.2016</v>
      </c>
      <c r="C836" s="21">
        <f t="shared" ca="1" si="104"/>
        <v>3.8464999999999998</v>
      </c>
      <c r="D836" s="84">
        <f t="shared" ca="1" si="105"/>
        <v>2.2720023626698165</v>
      </c>
      <c r="E836" s="19">
        <v>1</v>
      </c>
      <c r="F836" s="19">
        <v>1</v>
      </c>
      <c r="G836" s="19">
        <v>1</v>
      </c>
      <c r="H836" s="19">
        <f t="shared" si="107"/>
        <v>1</v>
      </c>
    </row>
    <row r="837" spans="1:8" x14ac:dyDescent="0.2">
      <c r="A837" s="77">
        <v>18</v>
      </c>
      <c r="B837" s="84">
        <f t="shared" ca="1" si="106"/>
        <v>0.1134</v>
      </c>
      <c r="C837" s="21">
        <f t="shared" ca="1" si="104"/>
        <v>4.1284999999999998</v>
      </c>
      <c r="D837" s="84">
        <f t="shared" ca="1" si="105"/>
        <v>1.8291980505095258</v>
      </c>
      <c r="E837" s="19">
        <v>1</v>
      </c>
      <c r="F837" s="19">
        <v>1</v>
      </c>
      <c r="G837" s="19">
        <v>1</v>
      </c>
      <c r="H837" s="19">
        <f t="shared" si="107"/>
        <v>1</v>
      </c>
    </row>
    <row r="839" spans="1:8" x14ac:dyDescent="0.2">
      <c r="A839" s="77" t="s">
        <v>323</v>
      </c>
      <c r="B839" s="19" t="s">
        <v>409</v>
      </c>
      <c r="C839" s="19" t="s">
        <v>410</v>
      </c>
      <c r="D839" s="6" t="s">
        <v>411</v>
      </c>
    </row>
    <row r="840" spans="1:8" x14ac:dyDescent="0.2">
      <c r="A840" s="77">
        <v>3</v>
      </c>
      <c r="B840" s="21">
        <f t="shared" ref="B840:B850" ca="1" si="108">MAX(((3/40)*(Fy_psi/(SQRT(fc_fnd_psi)*E827))*((F827*G827*H827)/D827))*(1/12)*OFFSET(barsize_heading,MATCH(A840,reinf_bars,0),1)*B827,1)</f>
        <v>1</v>
      </c>
      <c r="C840" s="19" t="str">
        <f ca="1">IF(B840&gt;$B$823,"Y","N")</f>
        <v>N</v>
      </c>
      <c r="D840" s="19" t="str">
        <f ca="1">IF(B840&gt;$B$823,"Y","N")</f>
        <v>N</v>
      </c>
    </row>
    <row r="841" spans="1:8" x14ac:dyDescent="0.2">
      <c r="A841" s="77">
        <v>4</v>
      </c>
      <c r="B841" s="21">
        <f t="shared" ca="1" si="108"/>
        <v>1.0647726517900424</v>
      </c>
      <c r="C841" s="19" t="str">
        <f t="shared" ref="C841:C850" ca="1" si="109">IF(B841&gt;$B$823,"Y","N")</f>
        <v>N</v>
      </c>
      <c r="D841" s="19" t="str">
        <f t="shared" ref="D841:D850" ca="1" si="110">IF(B841&gt;$B$823,"Y","N")</f>
        <v>N</v>
      </c>
    </row>
    <row r="842" spans="1:8" x14ac:dyDescent="0.2">
      <c r="A842" s="77">
        <v>5</v>
      </c>
      <c r="B842" s="21">
        <f t="shared" ca="1" si="108"/>
        <v>1.2021626713758546</v>
      </c>
      <c r="C842" s="19" t="str">
        <f t="shared" ca="1" si="109"/>
        <v>N</v>
      </c>
      <c r="D842" s="19" t="str">
        <f t="shared" ca="1" si="110"/>
        <v>N</v>
      </c>
    </row>
    <row r="843" spans="1:8" x14ac:dyDescent="0.2">
      <c r="A843" s="77">
        <v>6</v>
      </c>
      <c r="B843" s="21">
        <f t="shared" ca="1" si="108"/>
        <v>1.2704673686131192</v>
      </c>
      <c r="C843" s="19" t="str">
        <f t="shared" ca="1" si="109"/>
        <v>N</v>
      </c>
      <c r="D843" s="19" t="str">
        <f t="shared" ca="1" si="110"/>
        <v>N</v>
      </c>
    </row>
    <row r="844" spans="1:8" x14ac:dyDescent="0.2">
      <c r="A844" s="77">
        <v>7</v>
      </c>
      <c r="B844" s="21">
        <f t="shared" ca="1" si="108"/>
        <v>1.8115923589483369</v>
      </c>
      <c r="C844" s="19" t="str">
        <f t="shared" ca="1" si="109"/>
        <v>N</v>
      </c>
      <c r="D844" s="19" t="str">
        <f t="shared" ca="1" si="110"/>
        <v>N</v>
      </c>
    </row>
    <row r="845" spans="1:8" x14ac:dyDescent="0.2">
      <c r="A845" s="77">
        <v>8</v>
      </c>
      <c r="B845" s="21">
        <f t="shared" ca="1" si="108"/>
        <v>1.5724490638249577</v>
      </c>
      <c r="C845" s="19" t="str">
        <f t="shared" ca="1" si="109"/>
        <v>N</v>
      </c>
      <c r="D845" s="19" t="str">
        <f t="shared" ca="1" si="110"/>
        <v>N</v>
      </c>
    </row>
    <row r="846" spans="1:8" x14ac:dyDescent="0.2">
      <c r="A846" s="77">
        <v>9</v>
      </c>
      <c r="B846" s="21">
        <f t="shared" ca="1" si="108"/>
        <v>1.4012408097556961</v>
      </c>
      <c r="C846" s="19" t="str">
        <f t="shared" ca="1" si="109"/>
        <v>N</v>
      </c>
      <c r="D846" s="19" t="str">
        <f t="shared" ca="1" si="110"/>
        <v>N</v>
      </c>
    </row>
    <row r="847" spans="1:8" x14ac:dyDescent="0.2">
      <c r="A847" s="77">
        <v>10</v>
      </c>
      <c r="B847" s="21">
        <f t="shared" ca="1" si="108"/>
        <v>1.2422347604217168</v>
      </c>
      <c r="C847" s="19" t="str">
        <f t="shared" ca="1" si="109"/>
        <v>N</v>
      </c>
      <c r="D847" s="19" t="str">
        <f t="shared" ca="1" si="110"/>
        <v>N</v>
      </c>
    </row>
    <row r="848" spans="1:8" x14ac:dyDescent="0.2">
      <c r="A848" s="77">
        <v>11</v>
      </c>
      <c r="B848" s="21">
        <f t="shared" ca="1" si="108"/>
        <v>1.1227891103811669</v>
      </c>
      <c r="C848" s="19" t="str">
        <f t="shared" ca="1" si="109"/>
        <v>N</v>
      </c>
      <c r="D848" s="19" t="str">
        <f t="shared" ca="1" si="110"/>
        <v>N</v>
      </c>
    </row>
    <row r="849" spans="1:8" x14ac:dyDescent="0.2">
      <c r="A849" s="77">
        <v>14</v>
      </c>
      <c r="B849" s="21">
        <f t="shared" ca="1" si="108"/>
        <v>1.0285119632057962</v>
      </c>
      <c r="C849" s="19" t="str">
        <f t="shared" ca="1" si="109"/>
        <v>N</v>
      </c>
      <c r="D849" s="19" t="str">
        <f t="shared" ca="1" si="110"/>
        <v>N</v>
      </c>
    </row>
    <row r="850" spans="1:8" x14ac:dyDescent="0.2">
      <c r="A850" s="77">
        <v>18</v>
      </c>
      <c r="B850" s="21">
        <f t="shared" ca="1" si="108"/>
        <v>1</v>
      </c>
      <c r="C850" s="19" t="str">
        <f t="shared" ca="1" si="109"/>
        <v>N</v>
      </c>
      <c r="D850" s="19" t="str">
        <f t="shared" ca="1" si="110"/>
        <v>N</v>
      </c>
    </row>
    <row r="852" spans="1:8" x14ac:dyDescent="0.2">
      <c r="A852" s="77" t="s">
        <v>323</v>
      </c>
      <c r="B852" s="19" t="s">
        <v>412</v>
      </c>
      <c r="C852" s="19" t="s">
        <v>413</v>
      </c>
      <c r="D852" s="19" t="s">
        <v>414</v>
      </c>
      <c r="E852" s="19" t="s">
        <v>415</v>
      </c>
      <c r="F852" s="19" t="s">
        <v>422</v>
      </c>
      <c r="G852" s="19" t="s">
        <v>423</v>
      </c>
      <c r="H852" s="19"/>
    </row>
    <row r="853" spans="1:8" x14ac:dyDescent="0.2">
      <c r="A853" s="77">
        <v>3</v>
      </c>
      <c r="B853" s="19">
        <f t="shared" ref="B853:B863" ca="1" si="111">MAX(6,8*OFFSET(barsize_heading,MATCH(A853,reinf_bars,0),1),OFFSET(barsize_heading,MATCH(A853,reinf_bars,0),1)*(Fy_psi/(50*SQRT(fc_fnd_psi)))*B827)</f>
        <v>7.8182607299268883</v>
      </c>
      <c r="C853" s="21">
        <f ca="1">B853/12</f>
        <v>0.65152172749390735</v>
      </c>
      <c r="D853" s="82">
        <f t="shared" ref="D853:D863" ca="1" si="112">(12*OFFSET(barsize_heading,MATCH(A853,reinf_bars,0),1))+IF(A853&lt;9,3*OFFSET(barsize_heading,MATCH(A853,reinf_bars,0),1),IF(A853&gt;11,5*OFFSET(barsize_heading,MATCH(A853,reinf_bars,0),1),4*OFFSET(barsize_heading,MATCH(A853,reinf_bars,0),1)))</f>
        <v>5.625</v>
      </c>
      <c r="E853" s="19">
        <f t="shared" ref="E853:E863" ca="1" si="113">IF(A853&lt;9,6*OFFSET(barsize_heading,MATCH(A853,reinf_bars,0),1),IF(A853&gt;11,10*OFFSET(barsize_heading,MATCH(A853,reinf_bars,0),1),8*OFFSET(barsize_heading,MATCH(A853,reinf_bars,0),1)))</f>
        <v>2.25</v>
      </c>
      <c r="F853" s="21">
        <f t="shared" ref="F853:F863" ca="1" si="114">((12*OFFSET(barsize_heading,MATCH(A853,reinf_bars,0),1))+((C853*12)-IF(A853&lt;9,3*OFFSET(barsize_heading,MATCH(A853,reinf_bars,0),1),IF(A853&gt;11,5*OFFSET(barsize_heading,MATCH(A853,reinf_bars,0),1),4*OFFSET(barsize_heading,MATCH(A853,reinf_bars,0),1))))+((IF(A853&lt;9,3*OFFSET(barsize_heading,MATCH(A853,reinf_bars,0),1),IF(A853&gt;11,5*OFFSET(barsize_heading,MATCH(A853,reinf_bars,0),1),4*OFFSET(barsize_heading,MATCH(A853,reinf_bars,0),1)))*2*PI()*90)/360))/12</f>
        <v>1.0800338831309289</v>
      </c>
      <c r="G853" s="21">
        <f t="shared" ref="G853:G863" ca="1" si="115">(MAX(2.5,4*OFFSET(barsize_heading,MATCH(A853,reinf_bars,0),1))+((C853*12)-IF(A853&lt;9,3*OFFSET(barsize_heading,MATCH(A853,reinf_bars,0),1),IF(A853&gt;11,5*OFFSET(barsize_heading,MATCH(A853,reinf_bars,0),1),4*OFFSET(barsize_heading,MATCH(A853,reinf_bars,0),1))))+((IF(A853&lt;9,3*OFFSET(barsize_heading,MATCH(A853,reinf_bars,0),1),IF(A853&gt;11,5*OFFSET(barsize_heading,MATCH(A853,reinf_bars,0),1),4*OFFSET(barsize_heading,MATCH(A853,reinf_bars,0),1)))*2*PI()*180)/360))/12</f>
        <v>1.0606293721012836</v>
      </c>
    </row>
    <row r="854" spans="1:8" x14ac:dyDescent="0.2">
      <c r="A854" s="77">
        <v>4</v>
      </c>
      <c r="B854" s="19">
        <f t="shared" ca="1" si="111"/>
        <v>10.647726517900427</v>
      </c>
      <c r="C854" s="21">
        <f t="shared" ref="C854:C863" ca="1" si="116">B854/12</f>
        <v>0.88731054315836888</v>
      </c>
      <c r="D854" s="82">
        <f t="shared" ca="1" si="112"/>
        <v>7.5</v>
      </c>
      <c r="E854" s="19">
        <f t="shared" ca="1" si="113"/>
        <v>3</v>
      </c>
      <c r="F854" s="21">
        <f t="shared" ca="1" si="114"/>
        <v>1.4586600840077308</v>
      </c>
      <c r="G854" s="21">
        <f t="shared" ca="1" si="115"/>
        <v>1.3633429581904266</v>
      </c>
    </row>
    <row r="855" spans="1:8" x14ac:dyDescent="0.2">
      <c r="A855" s="77">
        <v>5</v>
      </c>
      <c r="B855" s="19">
        <f t="shared" ca="1" si="111"/>
        <v>12.02162671375855</v>
      </c>
      <c r="C855" s="21">
        <f t="shared" ca="1" si="116"/>
        <v>1.0018022261465458</v>
      </c>
      <c r="D855" s="82">
        <f t="shared" ca="1" si="112"/>
        <v>9.375</v>
      </c>
      <c r="E855" s="19">
        <f t="shared" ca="1" si="113"/>
        <v>3.75</v>
      </c>
      <c r="F855" s="21">
        <f t="shared" ca="1" si="114"/>
        <v>1.7159891522082484</v>
      </c>
      <c r="G855" s="21">
        <f t="shared" ca="1" si="115"/>
        <v>1.5447594116032846</v>
      </c>
    </row>
    <row r="856" spans="1:8" x14ac:dyDescent="0.2">
      <c r="A856" s="77">
        <v>6</v>
      </c>
      <c r="B856" s="19">
        <f t="shared" ca="1" si="111"/>
        <v>12.704673686131194</v>
      </c>
      <c r="C856" s="21">
        <f t="shared" ca="1" si="116"/>
        <v>1.0587228071775996</v>
      </c>
      <c r="D856" s="82">
        <f t="shared" ca="1" si="112"/>
        <v>11.25</v>
      </c>
      <c r="E856" s="19">
        <f t="shared" ca="1" si="113"/>
        <v>4.5</v>
      </c>
      <c r="F856" s="21">
        <f t="shared" ca="1" si="114"/>
        <v>1.9157471184516426</v>
      </c>
      <c r="G856" s="21">
        <f t="shared" ca="1" si="115"/>
        <v>1.7102714297256856</v>
      </c>
    </row>
    <row r="857" spans="1:8" x14ac:dyDescent="0.2">
      <c r="A857" s="77">
        <v>7</v>
      </c>
      <c r="B857" s="19">
        <f t="shared" ca="1" si="111"/>
        <v>14.492738871586697</v>
      </c>
      <c r="C857" s="21">
        <f t="shared" ca="1" si="116"/>
        <v>1.2077282392988915</v>
      </c>
      <c r="D857" s="82">
        <f t="shared" ca="1" si="112"/>
        <v>13.125</v>
      </c>
      <c r="E857" s="19">
        <f t="shared" ca="1" si="113"/>
        <v>5.25</v>
      </c>
      <c r="F857" s="21">
        <f t="shared" ca="1" si="114"/>
        <v>2.2075899357852751</v>
      </c>
      <c r="G857" s="21">
        <f t="shared" ca="1" si="115"/>
        <v>1.9678682989383256</v>
      </c>
    </row>
    <row r="858" spans="1:8" x14ac:dyDescent="0.2">
      <c r="A858" s="77">
        <v>8</v>
      </c>
      <c r="B858" s="19">
        <f t="shared" ca="1" si="111"/>
        <v>12.579592510599664</v>
      </c>
      <c r="C858" s="21">
        <f t="shared" ca="1" si="116"/>
        <v>1.0482993758833052</v>
      </c>
      <c r="D858" s="82">
        <f t="shared" ca="1" si="112"/>
        <v>15</v>
      </c>
      <c r="E858" s="19">
        <f t="shared" ca="1" si="113"/>
        <v>6</v>
      </c>
      <c r="F858" s="21">
        <f t="shared" ca="1" si="114"/>
        <v>2.1909984575820296</v>
      </c>
      <c r="G858" s="21">
        <f t="shared" ca="1" si="115"/>
        <v>1.917030872614087</v>
      </c>
    </row>
    <row r="859" spans="1:8" x14ac:dyDescent="0.2">
      <c r="A859" s="77">
        <v>9</v>
      </c>
      <c r="B859" s="19">
        <f t="shared" ca="1" si="111"/>
        <v>11.209926478045571</v>
      </c>
      <c r="C859" s="21">
        <f t="shared" ca="1" si="116"/>
        <v>0.93416053983713088</v>
      </c>
      <c r="D859" s="82">
        <f t="shared" ca="1" si="112"/>
        <v>18.047999999999998</v>
      </c>
      <c r="E859" s="19">
        <f t="shared" ca="1" si="113"/>
        <v>9.0239999999999991</v>
      </c>
      <c r="F859" s="21">
        <f t="shared" ca="1" si="114"/>
        <v>2.2767799587120119</v>
      </c>
      <c r="G859" s="21">
        <f t="shared" ca="1" si="115"/>
        <v>2.1153993775868929</v>
      </c>
    </row>
    <row r="860" spans="1:8" x14ac:dyDescent="0.2">
      <c r="A860" s="77">
        <v>10</v>
      </c>
      <c r="B860" s="19">
        <f t="shared" ca="1" si="111"/>
        <v>10.16</v>
      </c>
      <c r="C860" s="21">
        <f t="shared" ca="1" si="116"/>
        <v>0.84666666666666668</v>
      </c>
      <c r="D860" s="82">
        <f t="shared" ca="1" si="112"/>
        <v>20.32</v>
      </c>
      <c r="E860" s="19">
        <f t="shared" ca="1" si="113"/>
        <v>10.16</v>
      </c>
      <c r="F860" s="21">
        <f t="shared" ca="1" si="114"/>
        <v>2.3583037783431728</v>
      </c>
      <c r="G860" s="21">
        <f t="shared" ca="1" si="115"/>
        <v>2.1766075566863456</v>
      </c>
    </row>
    <row r="861" spans="1:8" x14ac:dyDescent="0.2">
      <c r="A861" s="77">
        <v>11</v>
      </c>
      <c r="B861" s="19">
        <f t="shared" ca="1" si="111"/>
        <v>11.28</v>
      </c>
      <c r="C861" s="21">
        <f t="shared" ca="1" si="116"/>
        <v>0.94</v>
      </c>
      <c r="D861" s="82">
        <f t="shared" ca="1" si="112"/>
        <v>22.56</v>
      </c>
      <c r="E861" s="19">
        <f t="shared" ca="1" si="113"/>
        <v>11.28</v>
      </c>
      <c r="F861" s="21">
        <f t="shared" ca="1" si="114"/>
        <v>2.6182742735936011</v>
      </c>
      <c r="G861" s="21">
        <f t="shared" ca="1" si="115"/>
        <v>2.4165485471872028</v>
      </c>
    </row>
    <row r="862" spans="1:8" x14ac:dyDescent="0.2">
      <c r="A862" s="77">
        <v>14</v>
      </c>
      <c r="B862" s="19">
        <f t="shared" ca="1" si="111"/>
        <v>13.544</v>
      </c>
      <c r="C862" s="21">
        <f t="shared" ca="1" si="116"/>
        <v>1.1286666666666667</v>
      </c>
      <c r="D862" s="82">
        <f t="shared" ca="1" si="112"/>
        <v>28.781000000000002</v>
      </c>
      <c r="E862" s="19">
        <f t="shared" ca="1" si="113"/>
        <v>16.93</v>
      </c>
      <c r="F862" s="21">
        <f t="shared" ca="1" si="114"/>
        <v>3.2243159088599</v>
      </c>
      <c r="G862" s="21">
        <f t="shared" ca="1" si="115"/>
        <v>3.2037151510531334</v>
      </c>
    </row>
    <row r="863" spans="1:8" x14ac:dyDescent="0.2">
      <c r="A863" s="77">
        <v>18</v>
      </c>
      <c r="B863" s="19">
        <f t="shared" ca="1" si="111"/>
        <v>18.056000000000001</v>
      </c>
      <c r="C863" s="21">
        <f t="shared" ca="1" si="116"/>
        <v>1.5046666666666668</v>
      </c>
      <c r="D863" s="82">
        <f t="shared" ca="1" si="112"/>
        <v>38.369</v>
      </c>
      <c r="E863" s="19">
        <f t="shared" ca="1" si="113"/>
        <v>22.57</v>
      </c>
      <c r="F863" s="21">
        <f t="shared" ca="1" si="114"/>
        <v>4.2984530456567009</v>
      </c>
      <c r="G863" s="21">
        <f t="shared" ca="1" si="115"/>
        <v>4.2709894246467348</v>
      </c>
    </row>
    <row r="865" spans="1:5" x14ac:dyDescent="0.2">
      <c r="A865" s="6" t="s">
        <v>418</v>
      </c>
    </row>
    <row r="866" spans="1:5" x14ac:dyDescent="0.2">
      <c r="A866" s="77" t="s">
        <v>323</v>
      </c>
      <c r="B866" s="19" t="s">
        <v>419</v>
      </c>
      <c r="C866" s="19" t="s">
        <v>420</v>
      </c>
      <c r="D866" s="19" t="s">
        <v>416</v>
      </c>
      <c r="E866" s="19" t="s">
        <v>417</v>
      </c>
    </row>
    <row r="867" spans="1:5" x14ac:dyDescent="0.2">
      <c r="A867" s="77">
        <v>3</v>
      </c>
      <c r="B867" s="19" t="str">
        <f ca="1">IF(C853&lt;=$B$823,"Y","N")</f>
        <v>Y</v>
      </c>
      <c r="C867" s="19" t="str">
        <f ca="1">IF(C853&lt;=$B$824,"Y","N")</f>
        <v>Y</v>
      </c>
      <c r="D867" s="19" t="str">
        <f t="shared" ref="D867:E877" ca="1" si="117">IF(D853&lt;=(tf_in-top_cover-bottom_cover),"Y","N")</f>
        <v>Y</v>
      </c>
      <c r="E867" s="19" t="str">
        <f t="shared" ca="1" si="117"/>
        <v>Y</v>
      </c>
    </row>
    <row r="868" spans="1:5" x14ac:dyDescent="0.2">
      <c r="A868" s="77">
        <v>4</v>
      </c>
      <c r="B868" s="19" t="str">
        <f t="shared" ref="B868:B877" ca="1" si="118">IF(C854&lt;=$B$823,"Y","N")</f>
        <v>Y</v>
      </c>
      <c r="C868" s="19" t="str">
        <f t="shared" ref="C868:C877" ca="1" si="119">IF(C854&lt;=$B$649,"Y","N")</f>
        <v>Y</v>
      </c>
      <c r="D868" s="19" t="str">
        <f t="shared" ca="1" si="117"/>
        <v>Y</v>
      </c>
      <c r="E868" s="19" t="str">
        <f t="shared" ca="1" si="117"/>
        <v>Y</v>
      </c>
    </row>
    <row r="869" spans="1:5" x14ac:dyDescent="0.2">
      <c r="A869" s="77">
        <v>5</v>
      </c>
      <c r="B869" s="19" t="str">
        <f t="shared" ca="1" si="118"/>
        <v>Y</v>
      </c>
      <c r="C869" s="19" t="str">
        <f t="shared" ca="1" si="119"/>
        <v>Y</v>
      </c>
      <c r="D869" s="19" t="str">
        <f t="shared" ca="1" si="117"/>
        <v>Y</v>
      </c>
      <c r="E869" s="19" t="str">
        <f t="shared" ca="1" si="117"/>
        <v>Y</v>
      </c>
    </row>
    <row r="870" spans="1:5" x14ac:dyDescent="0.2">
      <c r="A870" s="77">
        <v>6</v>
      </c>
      <c r="B870" s="19" t="str">
        <f t="shared" ca="1" si="118"/>
        <v>Y</v>
      </c>
      <c r="C870" s="19" t="str">
        <f t="shared" ca="1" si="119"/>
        <v>Y</v>
      </c>
      <c r="D870" s="19" t="str">
        <f t="shared" ca="1" si="117"/>
        <v>Y</v>
      </c>
      <c r="E870" s="19" t="str">
        <f t="shared" ca="1" si="117"/>
        <v>Y</v>
      </c>
    </row>
    <row r="871" spans="1:5" x14ac:dyDescent="0.2">
      <c r="A871" s="77">
        <v>7</v>
      </c>
      <c r="B871" s="19" t="str">
        <f t="shared" ca="1" si="118"/>
        <v>Y</v>
      </c>
      <c r="C871" s="19" t="str">
        <f t="shared" ca="1" si="119"/>
        <v>Y</v>
      </c>
      <c r="D871" s="19" t="str">
        <f t="shared" ca="1" si="117"/>
        <v>N</v>
      </c>
      <c r="E871" s="19" t="str">
        <f t="shared" ca="1" si="117"/>
        <v>Y</v>
      </c>
    </row>
    <row r="872" spans="1:5" x14ac:dyDescent="0.2">
      <c r="A872" s="77">
        <v>8</v>
      </c>
      <c r="B872" s="19" t="str">
        <f t="shared" ca="1" si="118"/>
        <v>Y</v>
      </c>
      <c r="C872" s="19" t="str">
        <f t="shared" ca="1" si="119"/>
        <v>Y</v>
      </c>
      <c r="D872" s="19" t="str">
        <f t="shared" ca="1" si="117"/>
        <v>N</v>
      </c>
      <c r="E872" s="19" t="str">
        <f t="shared" ca="1" si="117"/>
        <v>Y</v>
      </c>
    </row>
    <row r="873" spans="1:5" x14ac:dyDescent="0.2">
      <c r="A873" s="77">
        <v>9</v>
      </c>
      <c r="B873" s="19" t="str">
        <f t="shared" ca="1" si="118"/>
        <v>Y</v>
      </c>
      <c r="C873" s="19" t="str">
        <f t="shared" ca="1" si="119"/>
        <v>Y</v>
      </c>
      <c r="D873" s="19" t="str">
        <f t="shared" ca="1" si="117"/>
        <v>N</v>
      </c>
      <c r="E873" s="19" t="str">
        <f t="shared" ca="1" si="117"/>
        <v>Y</v>
      </c>
    </row>
    <row r="874" spans="1:5" x14ac:dyDescent="0.2">
      <c r="A874" s="77">
        <v>10</v>
      </c>
      <c r="B874" s="19" t="str">
        <f t="shared" ca="1" si="118"/>
        <v>Y</v>
      </c>
      <c r="C874" s="19" t="str">
        <f t="shared" ca="1" si="119"/>
        <v>Y</v>
      </c>
      <c r="D874" s="19" t="str">
        <f t="shared" ca="1" si="117"/>
        <v>N</v>
      </c>
      <c r="E874" s="19" t="str">
        <f t="shared" ca="1" si="117"/>
        <v>Y</v>
      </c>
    </row>
    <row r="875" spans="1:5" x14ac:dyDescent="0.2">
      <c r="A875" s="77">
        <v>11</v>
      </c>
      <c r="B875" s="19" t="str">
        <f t="shared" ca="1" si="118"/>
        <v>Y</v>
      </c>
      <c r="C875" s="19" t="str">
        <f t="shared" ca="1" si="119"/>
        <v>Y</v>
      </c>
      <c r="D875" s="19" t="str">
        <f t="shared" ca="1" si="117"/>
        <v>N</v>
      </c>
      <c r="E875" s="19" t="str">
        <f t="shared" ca="1" si="117"/>
        <v>Y</v>
      </c>
    </row>
    <row r="876" spans="1:5" x14ac:dyDescent="0.2">
      <c r="A876" s="77">
        <v>14</v>
      </c>
      <c r="B876" s="19" t="str">
        <f t="shared" ca="1" si="118"/>
        <v>Y</v>
      </c>
      <c r="C876" s="19" t="str">
        <f t="shared" ca="1" si="119"/>
        <v>Y</v>
      </c>
      <c r="D876" s="19" t="str">
        <f t="shared" ca="1" si="117"/>
        <v>N</v>
      </c>
      <c r="E876" s="19" t="str">
        <f t="shared" ca="1" si="117"/>
        <v>N</v>
      </c>
    </row>
    <row r="877" spans="1:5" x14ac:dyDescent="0.2">
      <c r="A877" s="77">
        <v>18</v>
      </c>
      <c r="B877" s="19" t="str">
        <f t="shared" ca="1" si="118"/>
        <v>Y</v>
      </c>
      <c r="C877" s="19" t="str">
        <f t="shared" ca="1" si="119"/>
        <v>Y</v>
      </c>
      <c r="D877" s="19" t="str">
        <f t="shared" ca="1" si="117"/>
        <v>N</v>
      </c>
      <c r="E877" s="19" t="str">
        <f t="shared" ca="1" si="117"/>
        <v>N</v>
      </c>
    </row>
    <row r="880" spans="1:5" x14ac:dyDescent="0.2">
      <c r="A880" s="6" t="s">
        <v>421</v>
      </c>
    </row>
    <row r="881" spans="1:7" x14ac:dyDescent="0.2">
      <c r="A881" s="77" t="s">
        <v>323</v>
      </c>
      <c r="B881" s="19" t="s">
        <v>424</v>
      </c>
      <c r="C881" s="19" t="s">
        <v>425</v>
      </c>
      <c r="D881" s="19" t="s">
        <v>426</v>
      </c>
      <c r="E881" s="19" t="s">
        <v>427</v>
      </c>
    </row>
    <row r="882" spans="1:7" x14ac:dyDescent="0.2">
      <c r="A882" s="77">
        <v>3</v>
      </c>
      <c r="B882" s="21">
        <f ca="1">IF(C840="N",$B$823,IF(AND(B867="Y",D867="Y"),F853+($B$823-C853),IF(AND(B867="y",E867="Y"),G853+($B$823-C853),0)))</f>
        <v>6.75</v>
      </c>
      <c r="C882" s="21">
        <f ca="1">IF(C840="N",B840+0.5,IF(AND(B867="Y",D867="Y"),F853+($B$824-C853),IF(AND(B867="y",E867="Y"),G853+($B$824-C853),0)))</f>
        <v>1.5</v>
      </c>
      <c r="D882" s="21">
        <f ca="1">(B882+C882)*D795</f>
        <v>107.25</v>
      </c>
      <c r="E882" s="21">
        <f t="shared" ref="E882:E892" ca="1" si="120">D882*OFFSET(barsize_heading,MATCH(A853,reinf_bars,0),3)*(1/1000)</f>
        <v>4.0326000000000001E-2</v>
      </c>
    </row>
    <row r="883" spans="1:7" x14ac:dyDescent="0.2">
      <c r="A883" s="77">
        <v>4</v>
      </c>
      <c r="B883" s="21">
        <f t="shared" ref="B883:B892" ca="1" si="121">IF(C841="N",$B$823,IF(AND(B868="Y",D868="Y"),F854+($B$823-C854),IF(AND(B868="y",E868="Y"),G854+($B$823-C854),0)))</f>
        <v>6.75</v>
      </c>
      <c r="C883" s="21">
        <f t="shared" ref="C883:C892" ca="1" si="122">IF(C841="N",B841+0.5,IF(AND(B868="Y",D868="Y"),F854+($B$824-C854),IF(AND(B868="y",E868="Y"),G854+($B$824-C854),0)))</f>
        <v>1.5647726517900424</v>
      </c>
      <c r="D883" s="21">
        <f t="shared" ref="D883:D892" ca="1" si="123">(B883+C883)*D796</f>
        <v>58.203408562530292</v>
      </c>
      <c r="E883" s="21">
        <f t="shared" ca="1" si="120"/>
        <v>3.887987691977024E-2</v>
      </c>
    </row>
    <row r="884" spans="1:7" x14ac:dyDescent="0.2">
      <c r="A884" s="77">
        <v>5</v>
      </c>
      <c r="B884" s="21">
        <f t="shared" ca="1" si="121"/>
        <v>6.75</v>
      </c>
      <c r="C884" s="21">
        <f t="shared" ca="1" si="122"/>
        <v>1.7021626713758546</v>
      </c>
      <c r="D884" s="21">
        <f t="shared" ca="1" si="123"/>
        <v>42.260813356879268</v>
      </c>
      <c r="E884" s="21">
        <f t="shared" ca="1" si="120"/>
        <v>4.4078028331225073E-2</v>
      </c>
    </row>
    <row r="885" spans="1:7" x14ac:dyDescent="0.2">
      <c r="A885" s="77">
        <v>6</v>
      </c>
      <c r="B885" s="21">
        <f t="shared" ca="1" si="121"/>
        <v>6.75</v>
      </c>
      <c r="C885" s="21">
        <f t="shared" ca="1" si="122"/>
        <v>1.7704673686131192</v>
      </c>
      <c r="D885" s="21">
        <f t="shared" ca="1" si="123"/>
        <v>34.081869474452475</v>
      </c>
      <c r="E885" s="21">
        <f t="shared" ca="1" si="120"/>
        <v>5.1190967950627615E-2</v>
      </c>
    </row>
    <row r="886" spans="1:7" x14ac:dyDescent="0.2">
      <c r="A886" s="77">
        <v>7</v>
      </c>
      <c r="B886" s="21">
        <f t="shared" ca="1" si="121"/>
        <v>6.75</v>
      </c>
      <c r="C886" s="21">
        <f t="shared" ca="1" si="122"/>
        <v>2.3115923589483369</v>
      </c>
      <c r="D886" s="21">
        <f t="shared" ca="1" si="123"/>
        <v>27.184777076845009</v>
      </c>
      <c r="E886" s="21">
        <f t="shared" ca="1" si="120"/>
        <v>5.5565684345071198E-2</v>
      </c>
    </row>
    <row r="887" spans="1:7" x14ac:dyDescent="0.2">
      <c r="A887" s="77">
        <v>8</v>
      </c>
      <c r="B887" s="21">
        <f t="shared" ca="1" si="121"/>
        <v>6.75</v>
      </c>
      <c r="C887" s="21">
        <f t="shared" ca="1" si="122"/>
        <v>2.0724490638249575</v>
      </c>
      <c r="D887" s="21">
        <f t="shared" ca="1" si="123"/>
        <v>26.467347191474875</v>
      </c>
      <c r="E887" s="21">
        <f t="shared" ca="1" si="120"/>
        <v>7.066781700123792E-2</v>
      </c>
    </row>
    <row r="888" spans="1:7" x14ac:dyDescent="0.2">
      <c r="A888" s="77">
        <v>9</v>
      </c>
      <c r="B888" s="21">
        <f t="shared" ca="1" si="121"/>
        <v>6.75</v>
      </c>
      <c r="C888" s="21">
        <f t="shared" ca="1" si="122"/>
        <v>1.9012408097556961</v>
      </c>
      <c r="D888" s="21">
        <f t="shared" ca="1" si="123"/>
        <v>25.953722429267089</v>
      </c>
      <c r="E888" s="21">
        <f t="shared" ca="1" si="120"/>
        <v>8.8242656259508098E-2</v>
      </c>
    </row>
    <row r="889" spans="1:7" x14ac:dyDescent="0.2">
      <c r="A889" s="77">
        <v>10</v>
      </c>
      <c r="B889" s="21">
        <f t="shared" ca="1" si="121"/>
        <v>6.75</v>
      </c>
      <c r="C889" s="21">
        <f t="shared" ca="1" si="122"/>
        <v>1.7422347604217168</v>
      </c>
      <c r="D889" s="21">
        <f t="shared" ca="1" si="123"/>
        <v>25.47670428126515</v>
      </c>
      <c r="E889" s="21">
        <f t="shared" ca="1" si="120"/>
        <v>0.10962625852228394</v>
      </c>
    </row>
    <row r="890" spans="1:7" x14ac:dyDescent="0.2">
      <c r="A890" s="77">
        <v>11</v>
      </c>
      <c r="B890" s="21">
        <f t="shared" ca="1" si="121"/>
        <v>6.75</v>
      </c>
      <c r="C890" s="21">
        <f t="shared" ca="1" si="122"/>
        <v>1.6227891103811669</v>
      </c>
      <c r="D890" s="21">
        <f t="shared" ca="1" si="123"/>
        <v>25.118367331143499</v>
      </c>
      <c r="E890" s="21">
        <f t="shared" ca="1" si="120"/>
        <v>0.13345388563036539</v>
      </c>
    </row>
    <row r="891" spans="1:7" x14ac:dyDescent="0.2">
      <c r="A891" s="77">
        <v>14</v>
      </c>
      <c r="B891" s="21">
        <f t="shared" ca="1" si="121"/>
        <v>6.75</v>
      </c>
      <c r="C891" s="21">
        <f t="shared" ca="1" si="122"/>
        <v>1.5285119632057962</v>
      </c>
      <c r="D891" s="21">
        <f t="shared" ca="1" si="123"/>
        <v>24.83553588961739</v>
      </c>
      <c r="E891" s="21">
        <f t="shared" ca="1" si="120"/>
        <v>0.18999184955557302</v>
      </c>
    </row>
    <row r="892" spans="1:7" x14ac:dyDescent="0.2">
      <c r="A892" s="77">
        <v>18</v>
      </c>
      <c r="B892" s="21">
        <f t="shared" ca="1" si="121"/>
        <v>6.75</v>
      </c>
      <c r="C892" s="21">
        <f t="shared" ca="1" si="122"/>
        <v>1.5</v>
      </c>
      <c r="D892" s="21">
        <f t="shared" ca="1" si="123"/>
        <v>24.75</v>
      </c>
      <c r="E892" s="21">
        <f t="shared" ca="1" si="120"/>
        <v>0.33659999999999995</v>
      </c>
    </row>
    <row r="894" spans="1:7" x14ac:dyDescent="0.2">
      <c r="A894" s="6" t="s">
        <v>429</v>
      </c>
    </row>
    <row r="895" spans="1:7" x14ac:dyDescent="0.2">
      <c r="A895" s="77" t="s">
        <v>323</v>
      </c>
      <c r="B895" s="19" t="s">
        <v>430</v>
      </c>
      <c r="C895" s="6" t="s">
        <v>431</v>
      </c>
      <c r="D895" s="19" t="s">
        <v>426</v>
      </c>
      <c r="E895" s="6" t="s">
        <v>427</v>
      </c>
      <c r="F895" s="19" t="s">
        <v>439</v>
      </c>
      <c r="G895" s="19" t="s">
        <v>440</v>
      </c>
    </row>
    <row r="896" spans="1:7" x14ac:dyDescent="0.2">
      <c r="A896" s="77">
        <v>3</v>
      </c>
      <c r="B896" s="19">
        <f ca="1">IF(AND(G809&gt;0,H809="USE",E867="Y",B867="Y",C867="Y"),D795,0)</f>
        <v>0</v>
      </c>
      <c r="C896" s="21">
        <f ca="1">IF(B896&lt;&gt;0,F795,0)</f>
        <v>0</v>
      </c>
      <c r="D896" s="21">
        <f t="shared" ref="D896:D906" ca="1" si="124">IF(B896&lt;&gt;0,D882,0)</f>
        <v>0</v>
      </c>
      <c r="E896" s="21">
        <f t="shared" ref="E896:E906" ca="1" si="125">IF(B896&lt;&gt;0,E882,0)</f>
        <v>0</v>
      </c>
      <c r="F896" s="19">
        <f ca="1">IF(B896&lt;&gt;0,IF(AND(D840="N",C840="N"),0,IF(D867="Y",1,0)),0)</f>
        <v>0</v>
      </c>
      <c r="G896" s="19">
        <f ca="1">IF(B896&lt;&gt;0,IF(AND(C840="N",D840="N"),0,IF(AND(D867="N",E867="Y"),1,0)),0)</f>
        <v>0</v>
      </c>
    </row>
    <row r="897" spans="1:7" x14ac:dyDescent="0.2">
      <c r="A897" s="77">
        <v>4</v>
      </c>
      <c r="B897" s="19">
        <f t="shared" ref="B897:B906" ca="1" si="126">IF(AND(G810&gt;0,H810="USE",E868="Y",B868="Y",C868="Y"),D796,0)</f>
        <v>0</v>
      </c>
      <c r="C897" s="21">
        <f t="shared" ref="C897:C906" ca="1" si="127">IF(B897&lt;&gt;0,F796,0)</f>
        <v>0</v>
      </c>
      <c r="D897" s="21">
        <f t="shared" ca="1" si="124"/>
        <v>0</v>
      </c>
      <c r="E897" s="21">
        <f t="shared" ca="1" si="125"/>
        <v>0</v>
      </c>
      <c r="F897" s="19">
        <f t="shared" ref="F897:F907" ca="1" si="128">IF(B897&lt;&gt;0,IF(AND(D841="N",C841="N"),0,IF(D868="Y",1,0)),0)</f>
        <v>0</v>
      </c>
      <c r="G897" s="19">
        <f t="shared" ref="G897:G907" ca="1" si="129">IF(B897&lt;&gt;0,IF(AND(C841="N",D841="N"),0,IF(AND(D868="N",E868="Y"),1,0)),0)</f>
        <v>0</v>
      </c>
    </row>
    <row r="898" spans="1:7" x14ac:dyDescent="0.2">
      <c r="A898" s="77">
        <v>5</v>
      </c>
      <c r="B898" s="19">
        <f t="shared" ca="1" si="126"/>
        <v>5</v>
      </c>
      <c r="C898" s="21">
        <f t="shared" ca="1" si="127"/>
        <v>8.84375</v>
      </c>
      <c r="D898" s="21">
        <f t="shared" ca="1" si="124"/>
        <v>42.260813356879268</v>
      </c>
      <c r="E898" s="21">
        <f t="shared" ca="1" si="125"/>
        <v>4.4078028331225073E-2</v>
      </c>
      <c r="F898" s="19">
        <f t="shared" ca="1" si="128"/>
        <v>0</v>
      </c>
      <c r="G898" s="19">
        <f t="shared" ca="1" si="129"/>
        <v>0</v>
      </c>
    </row>
    <row r="899" spans="1:7" x14ac:dyDescent="0.2">
      <c r="A899" s="77">
        <v>6</v>
      </c>
      <c r="B899" s="19">
        <f t="shared" ca="1" si="126"/>
        <v>4</v>
      </c>
      <c r="C899" s="21">
        <f t="shared" ca="1" si="127"/>
        <v>11.75</v>
      </c>
      <c r="D899" s="21">
        <f t="shared" ca="1" si="124"/>
        <v>34.081869474452475</v>
      </c>
      <c r="E899" s="21">
        <f t="shared" ca="1" si="125"/>
        <v>5.1190967950627615E-2</v>
      </c>
      <c r="F899" s="19">
        <f t="shared" ca="1" si="128"/>
        <v>0</v>
      </c>
      <c r="G899" s="19">
        <f t="shared" ca="1" si="129"/>
        <v>0</v>
      </c>
    </row>
    <row r="900" spans="1:7" x14ac:dyDescent="0.2">
      <c r="A900" s="77">
        <v>7</v>
      </c>
      <c r="B900" s="19">
        <f t="shared" ca="1" si="126"/>
        <v>0</v>
      </c>
      <c r="C900" s="21">
        <f t="shared" ca="1" si="127"/>
        <v>0</v>
      </c>
      <c r="D900" s="21">
        <f t="shared" ca="1" si="124"/>
        <v>0</v>
      </c>
      <c r="E900" s="21">
        <f t="shared" ca="1" si="125"/>
        <v>0</v>
      </c>
      <c r="F900" s="19">
        <f t="shared" ca="1" si="128"/>
        <v>0</v>
      </c>
      <c r="G900" s="19">
        <f t="shared" ca="1" si="129"/>
        <v>0</v>
      </c>
    </row>
    <row r="901" spans="1:7" x14ac:dyDescent="0.2">
      <c r="A901" s="77">
        <v>8</v>
      </c>
      <c r="B901" s="19">
        <f t="shared" ca="1" si="126"/>
        <v>0</v>
      </c>
      <c r="C901" s="21">
        <f t="shared" ca="1" si="127"/>
        <v>0</v>
      </c>
      <c r="D901" s="21">
        <f t="shared" ca="1" si="124"/>
        <v>0</v>
      </c>
      <c r="E901" s="21">
        <f t="shared" ca="1" si="125"/>
        <v>0</v>
      </c>
      <c r="F901" s="19">
        <f t="shared" ca="1" si="128"/>
        <v>0</v>
      </c>
      <c r="G901" s="19">
        <f t="shared" ca="1" si="129"/>
        <v>0</v>
      </c>
    </row>
    <row r="902" spans="1:7" x14ac:dyDescent="0.2">
      <c r="A902" s="77">
        <v>9</v>
      </c>
      <c r="B902" s="19">
        <f t="shared" ca="1" si="126"/>
        <v>0</v>
      </c>
      <c r="C902" s="21">
        <f t="shared" ca="1" si="127"/>
        <v>0</v>
      </c>
      <c r="D902" s="21">
        <f t="shared" ca="1" si="124"/>
        <v>0</v>
      </c>
      <c r="E902" s="21">
        <f t="shared" ca="1" si="125"/>
        <v>0</v>
      </c>
      <c r="F902" s="19">
        <f t="shared" ca="1" si="128"/>
        <v>0</v>
      </c>
      <c r="G902" s="19">
        <f t="shared" ca="1" si="129"/>
        <v>0</v>
      </c>
    </row>
    <row r="903" spans="1:7" x14ac:dyDescent="0.2">
      <c r="A903" s="77">
        <v>10</v>
      </c>
      <c r="B903" s="19">
        <f t="shared" ca="1" si="126"/>
        <v>0</v>
      </c>
      <c r="C903" s="21">
        <f t="shared" ca="1" si="127"/>
        <v>0</v>
      </c>
      <c r="D903" s="21">
        <f t="shared" ca="1" si="124"/>
        <v>0</v>
      </c>
      <c r="E903" s="21">
        <f t="shared" ca="1" si="125"/>
        <v>0</v>
      </c>
      <c r="F903" s="19">
        <f t="shared" ca="1" si="128"/>
        <v>0</v>
      </c>
      <c r="G903" s="19">
        <f t="shared" ca="1" si="129"/>
        <v>0</v>
      </c>
    </row>
    <row r="904" spans="1:7" x14ac:dyDescent="0.2">
      <c r="A904" s="77">
        <v>11</v>
      </c>
      <c r="B904" s="19">
        <f t="shared" ca="1" si="126"/>
        <v>0</v>
      </c>
      <c r="C904" s="21">
        <f t="shared" ca="1" si="127"/>
        <v>0</v>
      </c>
      <c r="D904" s="21">
        <f t="shared" ca="1" si="124"/>
        <v>0</v>
      </c>
      <c r="E904" s="21">
        <f t="shared" ca="1" si="125"/>
        <v>0</v>
      </c>
      <c r="F904" s="19">
        <f t="shared" ca="1" si="128"/>
        <v>0</v>
      </c>
      <c r="G904" s="19">
        <f t="shared" ca="1" si="129"/>
        <v>0</v>
      </c>
    </row>
    <row r="905" spans="1:7" x14ac:dyDescent="0.2">
      <c r="A905" s="77">
        <v>14</v>
      </c>
      <c r="B905" s="19">
        <f t="shared" ca="1" si="126"/>
        <v>0</v>
      </c>
      <c r="C905" s="21">
        <f t="shared" ca="1" si="127"/>
        <v>0</v>
      </c>
      <c r="D905" s="21">
        <f t="shared" ca="1" si="124"/>
        <v>0</v>
      </c>
      <c r="E905" s="21">
        <f t="shared" ca="1" si="125"/>
        <v>0</v>
      </c>
      <c r="F905" s="19">
        <f t="shared" ca="1" si="128"/>
        <v>0</v>
      </c>
      <c r="G905" s="19">
        <f t="shared" ca="1" si="129"/>
        <v>0</v>
      </c>
    </row>
    <row r="906" spans="1:7" x14ac:dyDescent="0.2">
      <c r="A906" s="77">
        <v>18</v>
      </c>
      <c r="B906" s="19">
        <f t="shared" ca="1" si="126"/>
        <v>0</v>
      </c>
      <c r="C906" s="21">
        <f t="shared" ca="1" si="127"/>
        <v>0</v>
      </c>
      <c r="D906" s="21">
        <f t="shared" ca="1" si="124"/>
        <v>0</v>
      </c>
      <c r="E906" s="21">
        <f t="shared" ca="1" si="125"/>
        <v>0</v>
      </c>
      <c r="F906" s="19">
        <f t="shared" ca="1" si="128"/>
        <v>0</v>
      </c>
      <c r="G906" s="19">
        <f t="shared" ca="1" si="129"/>
        <v>0</v>
      </c>
    </row>
    <row r="907" spans="1:7" x14ac:dyDescent="0.2">
      <c r="B907" s="82">
        <f ca="1">MAX(B896:B906)</f>
        <v>5</v>
      </c>
      <c r="C907" s="82">
        <f ca="1">_xlfn.MINIFS(C896:C906,C896:C906,"&lt;&gt;0")</f>
        <v>8.84375</v>
      </c>
      <c r="D907" s="82">
        <f ca="1">MAX(D896:D906)</f>
        <v>42.260813356879268</v>
      </c>
      <c r="E907" s="82">
        <f ca="1">MAX(E896:E906)</f>
        <v>5.1190967950627615E-2</v>
      </c>
      <c r="F907" s="19">
        <f t="shared" ca="1" si="128"/>
        <v>0</v>
      </c>
      <c r="G907" s="19">
        <f t="shared" ca="1" si="129"/>
        <v>0</v>
      </c>
    </row>
    <row r="908" spans="1:7" x14ac:dyDescent="0.2">
      <c r="A908" s="6" t="s">
        <v>432</v>
      </c>
    </row>
    <row r="910" spans="1:7" x14ac:dyDescent="0.2">
      <c r="A910" s="15" t="s">
        <v>433</v>
      </c>
      <c r="B910" s="77">
        <f>$I$47</f>
        <v>1</v>
      </c>
      <c r="C910" s="77">
        <f>$J$47</f>
        <v>1</v>
      </c>
      <c r="D910" s="77">
        <f>$K$47</f>
        <v>1</v>
      </c>
      <c r="E910" s="77">
        <f>$L$47</f>
        <v>1</v>
      </c>
      <c r="F910" s="77">
        <f>$M$47</f>
        <v>0.5</v>
      </c>
      <c r="G910" s="77">
        <f>$N$47</f>
        <v>0.75</v>
      </c>
    </row>
    <row r="912" spans="1:7" x14ac:dyDescent="0.2">
      <c r="A912" s="77" t="s">
        <v>323</v>
      </c>
      <c r="B912" s="19" t="s">
        <v>434</v>
      </c>
      <c r="C912" s="6" t="s">
        <v>435</v>
      </c>
    </row>
    <row r="913" spans="1:7" x14ac:dyDescent="0.2">
      <c r="A913" s="77">
        <v>3</v>
      </c>
      <c r="B913" s="21">
        <f t="shared" ref="B913:B923" ca="1" si="130">IF(B896=0,1000,(bar_count_cost*(B896/$B$732))+(bar_spacing_cost*($C$732/C896))+(bar_length_cost*(D896/$D$732))+(bar_weight_cost*(E896/$E$732))+(bar_90hook_cost*F896)+(bar_180hook_cost*G896))</f>
        <v>1000</v>
      </c>
      <c r="C913" s="6" t="s">
        <v>441</v>
      </c>
    </row>
    <row r="914" spans="1:7" x14ac:dyDescent="0.2">
      <c r="A914" s="77">
        <v>4</v>
      </c>
      <c r="B914" s="21">
        <f t="shared" ca="1" si="130"/>
        <v>1000</v>
      </c>
      <c r="C914" s="6" t="s">
        <v>442</v>
      </c>
    </row>
    <row r="915" spans="1:7" x14ac:dyDescent="0.2">
      <c r="A915" s="77">
        <v>5</v>
      </c>
      <c r="B915" s="21">
        <f t="shared" ca="1" si="130"/>
        <v>2.7576589571903938</v>
      </c>
      <c r="C915" s="6" t="s">
        <v>436</v>
      </c>
    </row>
    <row r="916" spans="1:7" x14ac:dyDescent="0.2">
      <c r="A916" s="77">
        <v>6</v>
      </c>
      <c r="B916" s="21">
        <f t="shared" ca="1" si="130"/>
        <v>2.4209025000609179</v>
      </c>
      <c r="C916" s="6" t="s">
        <v>437</v>
      </c>
    </row>
    <row r="917" spans="1:7" x14ac:dyDescent="0.2">
      <c r="A917" s="77">
        <v>7</v>
      </c>
      <c r="B917" s="21">
        <f t="shared" ca="1" si="130"/>
        <v>1000</v>
      </c>
      <c r="C917" s="6" t="s">
        <v>438</v>
      </c>
    </row>
    <row r="918" spans="1:7" x14ac:dyDescent="0.2">
      <c r="A918" s="77">
        <v>8</v>
      </c>
      <c r="B918" s="21">
        <f t="shared" ca="1" si="130"/>
        <v>1000</v>
      </c>
    </row>
    <row r="919" spans="1:7" x14ac:dyDescent="0.2">
      <c r="A919" s="77">
        <v>9</v>
      </c>
      <c r="B919" s="21">
        <f t="shared" ca="1" si="130"/>
        <v>1000</v>
      </c>
    </row>
    <row r="920" spans="1:7" x14ac:dyDescent="0.2">
      <c r="A920" s="77">
        <v>10</v>
      </c>
      <c r="B920" s="21">
        <f t="shared" ca="1" si="130"/>
        <v>1000</v>
      </c>
    </row>
    <row r="921" spans="1:7" x14ac:dyDescent="0.2">
      <c r="A921" s="77">
        <v>11</v>
      </c>
      <c r="B921" s="21">
        <f t="shared" ca="1" si="130"/>
        <v>1000</v>
      </c>
    </row>
    <row r="922" spans="1:7" x14ac:dyDescent="0.2">
      <c r="A922" s="77">
        <v>14</v>
      </c>
      <c r="B922" s="21">
        <f t="shared" ca="1" si="130"/>
        <v>1000</v>
      </c>
    </row>
    <row r="923" spans="1:7" x14ac:dyDescent="0.2">
      <c r="A923" s="77">
        <v>18</v>
      </c>
      <c r="B923" s="21">
        <f t="shared" ca="1" si="130"/>
        <v>1000</v>
      </c>
    </row>
    <row r="924" spans="1:7" x14ac:dyDescent="0.2">
      <c r="B924" s="21">
        <f ca="1">MIN(B913:B923)</f>
        <v>2.4209025000609179</v>
      </c>
    </row>
    <row r="925" spans="1:7" x14ac:dyDescent="0.2">
      <c r="A925" s="6" t="s">
        <v>443</v>
      </c>
    </row>
    <row r="927" spans="1:7" x14ac:dyDescent="0.2">
      <c r="A927" s="19">
        <f ca="1">OFFSET(A895,MATCH($B$749,$B$738:$B$748,0),0)</f>
        <v>6</v>
      </c>
      <c r="B927" s="19">
        <f ca="1">OFFSET(B895,MATCH($B$749,$B$738:$B$748,0),0)</f>
        <v>4</v>
      </c>
      <c r="C927" s="19">
        <f ca="1">OFFSET(C895,MATCH($B$749,$B$738:$B$748,0),0)</f>
        <v>11.75</v>
      </c>
      <c r="D927" s="19">
        <f ca="1">OFFSET(D895,MATCH($B$749,$B$738:$B$748,0),0)/B927</f>
        <v>8.5204673686131187</v>
      </c>
      <c r="E927" s="19">
        <f ca="1">OFFSET(E895,MATCH($B$749,$B$738:$B$748,0),0)</f>
        <v>5.1190967950627615E-2</v>
      </c>
      <c r="F927" s="19">
        <f ca="1">OFFSET(F895,MATCH($B$749,$B$738:$B$748,0),0)</f>
        <v>0</v>
      </c>
      <c r="G927" s="19">
        <f ca="1">OFFSET(G895,MATCH($B$749,$B$738:$B$748,0),0)</f>
        <v>0</v>
      </c>
    </row>
    <row r="928" spans="1:7" x14ac:dyDescent="0.2">
      <c r="F928" s="19" t="str">
        <f ca="1">OFFSET(C839,MATCH($B$749,$B$738:$B$748,0),0)</f>
        <v>N</v>
      </c>
      <c r="G928" s="19" t="str">
        <f ca="1">OFFSET(D839,MATCH($B$749,$B$738:$B$748,0),0)</f>
        <v>N</v>
      </c>
    </row>
    <row r="929" spans="1:7" x14ac:dyDescent="0.2">
      <c r="F929" s="19" t="str">
        <f ca="1">OFFSET(D866,MATCH($B$749,$B$738:$B$748,0),0)</f>
        <v>Y</v>
      </c>
      <c r="G929" s="19" t="str">
        <f ca="1">OFFSET(E866,MATCH($B$749,$B$738:$B$748,0),0)</f>
        <v>Y</v>
      </c>
    </row>
    <row r="930" spans="1:7" x14ac:dyDescent="0.2">
      <c r="F930" s="6" t="str">
        <f ca="1">IF(AND(F928="Y",F929="Y"),"Left End: 90 Hook",IF(AND(F928="Y",F929="N",G929="Y"),"Left End: 180 Hook","Left End: Straight"))</f>
        <v>Left End: Straight</v>
      </c>
      <c r="G930" s="6" t="str">
        <f ca="1">IF(AND(G928="Y",F929="Y"),"Right End: 90 Hook",IF(AND(G928="Y",F929="N",G929="Y"),"Right End: 180 Hook","Right End: Straight"))</f>
        <v>Right End: Straight</v>
      </c>
    </row>
    <row r="931" spans="1:7" x14ac:dyDescent="0.2">
      <c r="A931" s="19" t="s">
        <v>444</v>
      </c>
      <c r="B931" s="6" t="str">
        <f ca="1">IF(B924=1000,"**FAILURE** - NO BAR SETS WORK",IF(AND(B585="OK",J28="Y"),"PLAIN CONCRETE OK","( "&amp;B927&amp;" ) #"&amp;A927&amp;" @ "&amp;ROUND(C927,3)&amp;" in o.c. w/ "&amp;F930&amp;" - "&amp;G930))</f>
        <v>( 4 ) #6 @ 11.75 in o.c. w/ Left End: Straight - Right End: Straight</v>
      </c>
    </row>
    <row r="932" spans="1:7" x14ac:dyDescent="0.2">
      <c r="A932" s="6" t="s">
        <v>461</v>
      </c>
      <c r="B932" s="19">
        <f ca="1">IF(B924=1000,0,1)</f>
        <v>1</v>
      </c>
    </row>
    <row r="934" spans="1:7" x14ac:dyDescent="0.2">
      <c r="A934" s="6" t="s">
        <v>473</v>
      </c>
    </row>
    <row r="935" spans="1:7" x14ac:dyDescent="0.2">
      <c r="A935" s="43" t="s">
        <v>474</v>
      </c>
      <c r="B935" s="51">
        <f ca="1">OFFSET(B766,MATCH(A927,A767:A777,0),0)</f>
        <v>15.625</v>
      </c>
      <c r="C935" s="6" t="s">
        <v>2</v>
      </c>
    </row>
    <row r="936" spans="1:7" x14ac:dyDescent="0.2">
      <c r="A936" s="43" t="s">
        <v>475</v>
      </c>
      <c r="B936" s="51">
        <f ca="1">x_m_left-(B935/12)</f>
        <v>5.697916666666667</v>
      </c>
      <c r="C936" s="6" t="s">
        <v>1</v>
      </c>
    </row>
    <row r="937" spans="1:7" x14ac:dyDescent="0.2">
      <c r="A937" s="43" t="s">
        <v>466</v>
      </c>
      <c r="B937" s="51" cm="1">
        <f t="array" aca="1" ref="B937" ca="1">MAX(ABS(Long_VandM!CH141:CI141))</f>
        <v>29.279482751012747</v>
      </c>
      <c r="C937" s="6" t="s">
        <v>362</v>
      </c>
    </row>
    <row r="938" spans="1:7" x14ac:dyDescent="0.2">
      <c r="A938" s="43" t="s">
        <v>467</v>
      </c>
      <c r="B938" s="51">
        <f ca="1">phi_V_pc*2*SQRT(fc_fnd_psi)*(Bf_ft*12)*B935*(1/1000)</f>
        <v>43.133151403531826</v>
      </c>
      <c r="C938" s="6" t="s">
        <v>362</v>
      </c>
      <c r="D938" s="6">
        <f ca="1">IF(B938&gt;B937,1,0)</f>
        <v>1</v>
      </c>
    </row>
    <row r="940" spans="1:7" x14ac:dyDescent="0.2">
      <c r="A940" s="6" t="s">
        <v>470</v>
      </c>
    </row>
    <row r="941" spans="1:7" x14ac:dyDescent="0.2">
      <c r="A941" s="6" t="s">
        <v>375</v>
      </c>
    </row>
    <row r="942" spans="1:7" x14ac:dyDescent="0.2">
      <c r="A942" s="6" t="s">
        <v>376</v>
      </c>
    </row>
    <row r="943" spans="1:7" x14ac:dyDescent="0.2">
      <c r="A943" s="77" t="s">
        <v>323</v>
      </c>
      <c r="B943" s="19" t="s">
        <v>377</v>
      </c>
      <c r="C943" s="19" t="s">
        <v>378</v>
      </c>
      <c r="D943" s="92" t="s">
        <v>185</v>
      </c>
      <c r="E943" s="6" t="s">
        <v>379</v>
      </c>
    </row>
    <row r="944" spans="1:7" x14ac:dyDescent="0.2">
      <c r="A944" s="77">
        <v>3</v>
      </c>
      <c r="B944" s="21">
        <f t="shared" ref="B944:B954" ca="1" si="131">tf_in-bottom_cover-(OFFSET(barsize_heading,MATCH(A944,reinf_bars,0),1)/2)</f>
        <v>14.8125</v>
      </c>
      <c r="C944" s="21">
        <f t="shared" ref="C944:C954" ca="1" si="132">(1000*12*ABS(Mup_right_ftkips))/(0.9*Bf_ft*12*POWER(B944,2))</f>
        <v>51.648258973840832</v>
      </c>
      <c r="D944" s="19">
        <f t="shared" ref="D944:D954" ca="1" si="133">((0.85*fc_fnd_psi)*(1-SQRT(1-((2*C944)/(0.85*fc_fnd_psi)))))/Fy_psi</f>
        <v>8.6970294220335589E-4</v>
      </c>
      <c r="E944" s="84">
        <f t="shared" ref="E944:E954" ca="1" si="134">D944*B944*12*Bf_ft</f>
        <v>0.54106394291826276</v>
      </c>
    </row>
    <row r="945" spans="1:7" x14ac:dyDescent="0.2">
      <c r="A945" s="77">
        <v>4</v>
      </c>
      <c r="B945" s="21">
        <f t="shared" ca="1" si="131"/>
        <v>14.75</v>
      </c>
      <c r="C945" s="21">
        <f t="shared" ca="1" si="132"/>
        <v>52.086883408174117</v>
      </c>
      <c r="D945" s="19">
        <f t="shared" ca="1" si="133"/>
        <v>8.771667410171776E-4</v>
      </c>
      <c r="E945" s="84">
        <f t="shared" ca="1" si="134"/>
        <v>0.54340479606014147</v>
      </c>
    </row>
    <row r="946" spans="1:7" x14ac:dyDescent="0.2">
      <c r="A946" s="77">
        <v>5</v>
      </c>
      <c r="B946" s="21">
        <f t="shared" ca="1" si="131"/>
        <v>14.6875</v>
      </c>
      <c r="C946" s="21">
        <f t="shared" ca="1" si="132"/>
        <v>52.531119208721883</v>
      </c>
      <c r="D946" s="19">
        <f t="shared" ca="1" si="133"/>
        <v>8.8472738940292871E-4</v>
      </c>
      <c r="E946" s="84">
        <f t="shared" ca="1" si="134"/>
        <v>0.54576620833793166</v>
      </c>
    </row>
    <row r="947" spans="1:7" x14ac:dyDescent="0.2">
      <c r="A947" s="77">
        <v>6</v>
      </c>
      <c r="B947" s="21">
        <f t="shared" ca="1" si="131"/>
        <v>14.625</v>
      </c>
      <c r="C947" s="21">
        <f t="shared" ca="1" si="132"/>
        <v>52.981062500943565</v>
      </c>
      <c r="D947" s="19">
        <f t="shared" ca="1" si="133"/>
        <v>8.9238657660920461E-4</v>
      </c>
      <c r="E947" s="84">
        <f t="shared" ca="1" si="134"/>
        <v>0.54814845468220397</v>
      </c>
    </row>
    <row r="948" spans="1:7" x14ac:dyDescent="0.2">
      <c r="A948" s="77">
        <v>7</v>
      </c>
      <c r="B948" s="21">
        <f t="shared" ca="1" si="131"/>
        <v>14.5625</v>
      </c>
      <c r="C948" s="21">
        <f t="shared" ca="1" si="132"/>
        <v>53.436811477493883</v>
      </c>
      <c r="D948" s="19">
        <f t="shared" ca="1" si="133"/>
        <v>9.0014602901972E-4</v>
      </c>
      <c r="E948" s="84">
        <f t="shared" ca="1" si="134"/>
        <v>0.55055181499918626</v>
      </c>
    </row>
    <row r="949" spans="1:7" x14ac:dyDescent="0.2">
      <c r="A949" s="77">
        <v>8</v>
      </c>
      <c r="B949" s="21">
        <f t="shared" ca="1" si="131"/>
        <v>14.5</v>
      </c>
      <c r="C949" s="21">
        <f t="shared" ca="1" si="132"/>
        <v>53.898466451799671</v>
      </c>
      <c r="D949" s="19">
        <f t="shared" ca="1" si="133"/>
        <v>9.0800751114123801E-4</v>
      </c>
      <c r="E949" s="84">
        <f t="shared" ca="1" si="134"/>
        <v>0.5529765742850139</v>
      </c>
    </row>
    <row r="950" spans="1:7" x14ac:dyDescent="0.2">
      <c r="A950" s="77">
        <v>9</v>
      </c>
      <c r="B950" s="21">
        <f t="shared" ca="1" si="131"/>
        <v>14.436</v>
      </c>
      <c r="C950" s="21">
        <f t="shared" ca="1" si="132"/>
        <v>54.377428532220762</v>
      </c>
      <c r="D950" s="19">
        <f t="shared" ca="1" si="133"/>
        <v>9.161652853016208E-4</v>
      </c>
      <c r="E950" s="84">
        <f t="shared" ca="1" si="134"/>
        <v>0.55548200646179624</v>
      </c>
    </row>
    <row r="951" spans="1:7" x14ac:dyDescent="0.2">
      <c r="A951" s="77">
        <v>10</v>
      </c>
      <c r="B951" s="21">
        <f t="shared" ca="1" si="131"/>
        <v>14.365</v>
      </c>
      <c r="C951" s="21">
        <f t="shared" ca="1" si="132"/>
        <v>54.916285274877005</v>
      </c>
      <c r="D951" s="19">
        <f t="shared" ca="1" si="133"/>
        <v>9.2534511034488172E-4</v>
      </c>
      <c r="E951" s="84">
        <f t="shared" ca="1" si="134"/>
        <v>0.55828846542437749</v>
      </c>
    </row>
    <row r="952" spans="1:7" x14ac:dyDescent="0.2">
      <c r="A952" s="77">
        <v>11</v>
      </c>
      <c r="B952" s="21">
        <f t="shared" ca="1" si="131"/>
        <v>14.295</v>
      </c>
      <c r="C952" s="21">
        <f t="shared" ca="1" si="132"/>
        <v>55.455432108644011</v>
      </c>
      <c r="D952" s="19">
        <f t="shared" ca="1" si="133"/>
        <v>9.3453190632772831E-4</v>
      </c>
      <c r="E952" s="84">
        <f t="shared" ca="1" si="134"/>
        <v>0.56108361124010475</v>
      </c>
    </row>
    <row r="953" spans="1:7" x14ac:dyDescent="0.2">
      <c r="A953" s="77">
        <v>14</v>
      </c>
      <c r="B953" s="21">
        <f t="shared" ca="1" si="131"/>
        <v>14.153499999999999</v>
      </c>
      <c r="C953" s="21">
        <f t="shared" ca="1" si="132"/>
        <v>56.569809281680975</v>
      </c>
      <c r="D953" s="19">
        <f t="shared" ca="1" si="133"/>
        <v>9.5352678203657862E-4</v>
      </c>
      <c r="E953" s="84">
        <f t="shared" ca="1" si="134"/>
        <v>0.56682113500129805</v>
      </c>
    </row>
    <row r="954" spans="1:7" x14ac:dyDescent="0.2">
      <c r="A954" s="77">
        <v>18</v>
      </c>
      <c r="B954" s="21">
        <f t="shared" ca="1" si="131"/>
        <v>13.871499999999999</v>
      </c>
      <c r="C954" s="21">
        <f t="shared" ca="1" si="132"/>
        <v>58.893255326533072</v>
      </c>
      <c r="D954" s="19">
        <f t="shared" ca="1" si="133"/>
        <v>9.9315853636401316E-4</v>
      </c>
      <c r="E954" s="84">
        <f t="shared" ca="1" si="134"/>
        <v>0.57861714276128318</v>
      </c>
    </row>
    <row r="956" spans="1:7" x14ac:dyDescent="0.2">
      <c r="A956" s="6" t="s">
        <v>380</v>
      </c>
    </row>
    <row r="957" spans="1:7" x14ac:dyDescent="0.2">
      <c r="A957" s="77" t="s">
        <v>323</v>
      </c>
      <c r="B957" s="19" t="s">
        <v>381</v>
      </c>
      <c r="C957" s="19" t="s">
        <v>382</v>
      </c>
      <c r="D957" s="19" t="s">
        <v>383</v>
      </c>
      <c r="E957" s="19" t="s">
        <v>384</v>
      </c>
      <c r="F957" s="19" t="s">
        <v>385</v>
      </c>
      <c r="G957" s="19" t="s">
        <v>388</v>
      </c>
    </row>
    <row r="958" spans="1:7" x14ac:dyDescent="0.2">
      <c r="A958" s="77">
        <v>3</v>
      </c>
      <c r="B958" s="21">
        <f ca="1">1.33*E944</f>
        <v>0.71961504408128951</v>
      </c>
      <c r="C958" s="21">
        <f>0.0018*tf_in*12*Bf_ft</f>
        <v>1.3608</v>
      </c>
      <c r="D958" s="21">
        <f t="shared" ref="D958:D968" ca="1" si="135">((3*SQRT(fc_fnd_psi))/Fy_psi)*12*Bf_ft*B944</f>
        <v>1.7037594804395073</v>
      </c>
      <c r="E958" s="21">
        <f t="shared" ref="E958:E968" ca="1" si="136">(200/Fy_psi)*12*Bf_ft*B944</f>
        <v>2.07375</v>
      </c>
      <c r="F958" s="21">
        <f ca="1">IF(C958&gt;=B958,C958,MAX(D958:E958))</f>
        <v>1.3608</v>
      </c>
      <c r="G958" s="84">
        <f ca="1">MAX(F958,E944)</f>
        <v>1.3608</v>
      </c>
    </row>
    <row r="959" spans="1:7" x14ac:dyDescent="0.2">
      <c r="A959" s="77">
        <v>4</v>
      </c>
      <c r="B959" s="21">
        <f t="shared" ref="B959:B968" ca="1" si="137">1.33*E945</f>
        <v>0.72272837875998819</v>
      </c>
      <c r="C959" s="21">
        <f>$C$606</f>
        <v>1.3608</v>
      </c>
      <c r="D959" s="21">
        <f t="shared" ca="1" si="135"/>
        <v>1.696570621872252</v>
      </c>
      <c r="E959" s="21">
        <f t="shared" ca="1" si="136"/>
        <v>2.0650000000000004</v>
      </c>
      <c r="F959" s="21">
        <f t="shared" ref="F959:F968" ca="1" si="138">IF(C959&gt;=B959,C959,MAX(D959:E959))</f>
        <v>1.3608</v>
      </c>
      <c r="G959" s="84">
        <f t="shared" ref="G959:G968" ca="1" si="139">MAX(F959,E945)</f>
        <v>1.3608</v>
      </c>
    </row>
    <row r="960" spans="1:7" x14ac:dyDescent="0.2">
      <c r="A960" s="77">
        <v>5</v>
      </c>
      <c r="B960" s="21">
        <f t="shared" ca="1" si="137"/>
        <v>0.72586905708944915</v>
      </c>
      <c r="C960" s="21">
        <f t="shared" ref="C960:C968" si="140">$C$606</f>
        <v>1.3608</v>
      </c>
      <c r="D960" s="21">
        <f t="shared" ca="1" si="135"/>
        <v>1.6893817633049968</v>
      </c>
      <c r="E960" s="21">
        <f t="shared" ca="1" si="136"/>
        <v>2.0562500000000004</v>
      </c>
      <c r="F960" s="21">
        <f t="shared" ca="1" si="138"/>
        <v>1.3608</v>
      </c>
      <c r="G960" s="84">
        <f t="shared" ca="1" si="139"/>
        <v>1.3608</v>
      </c>
    </row>
    <row r="961" spans="1:7" x14ac:dyDescent="0.2">
      <c r="A961" s="77">
        <v>6</v>
      </c>
      <c r="B961" s="21">
        <f t="shared" ca="1" si="137"/>
        <v>0.72903744472733134</v>
      </c>
      <c r="C961" s="21">
        <f t="shared" si="140"/>
        <v>1.3608</v>
      </c>
      <c r="D961" s="21">
        <f t="shared" ca="1" si="135"/>
        <v>1.6821929047377415</v>
      </c>
      <c r="E961" s="21">
        <f t="shared" ca="1" si="136"/>
        <v>2.0475000000000003</v>
      </c>
      <c r="F961" s="21">
        <f t="shared" ca="1" si="138"/>
        <v>1.3608</v>
      </c>
      <c r="G961" s="84">
        <f t="shared" ca="1" si="139"/>
        <v>1.3608</v>
      </c>
    </row>
    <row r="962" spans="1:7" x14ac:dyDescent="0.2">
      <c r="A962" s="77">
        <v>7</v>
      </c>
      <c r="B962" s="21">
        <f t="shared" ca="1" si="137"/>
        <v>0.73223391394891779</v>
      </c>
      <c r="C962" s="21">
        <f t="shared" si="140"/>
        <v>1.3608</v>
      </c>
      <c r="D962" s="21">
        <f t="shared" ca="1" si="135"/>
        <v>1.6750040461704863</v>
      </c>
      <c r="E962" s="21">
        <f t="shared" ca="1" si="136"/>
        <v>2.0387500000000003</v>
      </c>
      <c r="F962" s="21">
        <f t="shared" ca="1" si="138"/>
        <v>1.3608</v>
      </c>
      <c r="G962" s="84">
        <f t="shared" ca="1" si="139"/>
        <v>1.3608</v>
      </c>
    </row>
    <row r="963" spans="1:7" x14ac:dyDescent="0.2">
      <c r="A963" s="77">
        <v>8</v>
      </c>
      <c r="B963" s="21">
        <f t="shared" ca="1" si="137"/>
        <v>0.73545884379906856</v>
      </c>
      <c r="C963" s="21">
        <f t="shared" si="140"/>
        <v>1.3608</v>
      </c>
      <c r="D963" s="21">
        <f t="shared" ca="1" si="135"/>
        <v>1.6678151876032308</v>
      </c>
      <c r="E963" s="21">
        <f t="shared" ca="1" si="136"/>
        <v>2.0300000000000002</v>
      </c>
      <c r="F963" s="21">
        <f t="shared" ca="1" si="138"/>
        <v>1.3608</v>
      </c>
      <c r="G963" s="84">
        <f t="shared" ca="1" si="139"/>
        <v>1.3608</v>
      </c>
    </row>
    <row r="964" spans="1:7" x14ac:dyDescent="0.2">
      <c r="A964" s="77">
        <v>9</v>
      </c>
      <c r="B964" s="21">
        <f t="shared" ca="1" si="137"/>
        <v>0.73879106859418908</v>
      </c>
      <c r="C964" s="21">
        <f t="shared" si="140"/>
        <v>1.3608</v>
      </c>
      <c r="D964" s="21">
        <f t="shared" ca="1" si="135"/>
        <v>1.6604537964303614</v>
      </c>
      <c r="E964" s="21">
        <f t="shared" ca="1" si="136"/>
        <v>2.0210400000000002</v>
      </c>
      <c r="F964" s="21">
        <f t="shared" ca="1" si="138"/>
        <v>1.3608</v>
      </c>
      <c r="G964" s="84">
        <f t="shared" ca="1" si="139"/>
        <v>1.3608</v>
      </c>
    </row>
    <row r="965" spans="1:7" x14ac:dyDescent="0.2">
      <c r="A965" s="77">
        <v>10</v>
      </c>
      <c r="B965" s="21">
        <f t="shared" ca="1" si="137"/>
        <v>0.74252365901442208</v>
      </c>
      <c r="C965" s="21">
        <f t="shared" si="140"/>
        <v>1.3608</v>
      </c>
      <c r="D965" s="21">
        <f t="shared" ca="1" si="135"/>
        <v>1.6522872530979595</v>
      </c>
      <c r="E965" s="21">
        <f t="shared" ca="1" si="136"/>
        <v>2.0111000000000003</v>
      </c>
      <c r="F965" s="21">
        <f t="shared" ca="1" si="138"/>
        <v>1.3608</v>
      </c>
      <c r="G965" s="84">
        <f t="shared" ca="1" si="139"/>
        <v>1.3608</v>
      </c>
    </row>
    <row r="966" spans="1:7" x14ac:dyDescent="0.2">
      <c r="A966" s="77">
        <v>11</v>
      </c>
      <c r="B966" s="21">
        <f t="shared" ca="1" si="137"/>
        <v>0.74624120294933938</v>
      </c>
      <c r="C966" s="21">
        <f t="shared" si="140"/>
        <v>1.3608</v>
      </c>
      <c r="D966" s="21">
        <f t="shared" ca="1" si="135"/>
        <v>1.6442357315026335</v>
      </c>
      <c r="E966" s="21">
        <f t="shared" ca="1" si="136"/>
        <v>2.0013000000000001</v>
      </c>
      <c r="F966" s="21">
        <f t="shared" ca="1" si="138"/>
        <v>1.3608</v>
      </c>
      <c r="G966" s="84">
        <f t="shared" ca="1" si="139"/>
        <v>1.3608</v>
      </c>
    </row>
    <row r="967" spans="1:7" x14ac:dyDescent="0.2">
      <c r="A967" s="77">
        <v>14</v>
      </c>
      <c r="B967" s="21">
        <f t="shared" ca="1" si="137"/>
        <v>0.75387210955172645</v>
      </c>
      <c r="C967" s="21">
        <f t="shared" si="140"/>
        <v>1.3608</v>
      </c>
      <c r="D967" s="21">
        <f t="shared" ca="1" si="135"/>
        <v>1.6279601557063674</v>
      </c>
      <c r="E967" s="21">
        <f t="shared" ca="1" si="136"/>
        <v>1.9814900000000002</v>
      </c>
      <c r="F967" s="21">
        <f t="shared" ca="1" si="138"/>
        <v>1.3608</v>
      </c>
      <c r="G967" s="84">
        <f t="shared" ca="1" si="139"/>
        <v>1.3608</v>
      </c>
    </row>
    <row r="968" spans="1:7" x14ac:dyDescent="0.2">
      <c r="A968" s="77">
        <v>18</v>
      </c>
      <c r="B968" s="21">
        <f t="shared" ca="1" si="137"/>
        <v>0.7695607998725067</v>
      </c>
      <c r="C968" s="21">
        <f t="shared" si="140"/>
        <v>1.3608</v>
      </c>
      <c r="D968" s="21">
        <f t="shared" ca="1" si="135"/>
        <v>1.5955240258509114</v>
      </c>
      <c r="E968" s="21">
        <f t="shared" ca="1" si="136"/>
        <v>1.94201</v>
      </c>
      <c r="F968" s="21">
        <f t="shared" ca="1" si="138"/>
        <v>1.3608</v>
      </c>
      <c r="G968" s="84">
        <f t="shared" ca="1" si="139"/>
        <v>1.3608</v>
      </c>
    </row>
    <row r="970" spans="1:7" x14ac:dyDescent="0.2">
      <c r="A970" s="6" t="s">
        <v>387</v>
      </c>
    </row>
    <row r="971" spans="1:7" x14ac:dyDescent="0.2">
      <c r="A971" s="77" t="s">
        <v>323</v>
      </c>
      <c r="B971" s="19" t="s">
        <v>389</v>
      </c>
      <c r="C971" s="19" t="s">
        <v>386</v>
      </c>
      <c r="D971" s="19" t="s">
        <v>428</v>
      </c>
      <c r="E971" s="6" t="s">
        <v>391</v>
      </c>
      <c r="F971" s="19" t="s">
        <v>402</v>
      </c>
    </row>
    <row r="972" spans="1:7" x14ac:dyDescent="0.2">
      <c r="A972" s="77">
        <v>3</v>
      </c>
      <c r="B972" s="21">
        <f t="shared" ref="B972:B982" ca="1" si="141">G958/OFFSET(barsize_heading,MATCH(A972,reinf_bars,0),2)</f>
        <v>12.370909090909091</v>
      </c>
      <c r="C972" s="19">
        <f>$B$485</f>
        <v>3</v>
      </c>
      <c r="D972" s="93">
        <f ca="1">ROUNDUP(MAX(B972:C972),0)</f>
        <v>13</v>
      </c>
      <c r="E972" s="21">
        <f t="shared" ref="E972:E982" ca="1" si="142">D972*OFFSET(barsize_heading,MATCH(A972,reinf_bars,0),2)</f>
        <v>1.43</v>
      </c>
      <c r="F972" s="21">
        <f t="shared" ref="F972:F982" ca="1" si="143">((Bf_ft*12)-(2*bottom_cover)-OFFSET(barsize_heading,MATCH(A972,reinf_bars,0),1))/(D972-1)</f>
        <v>2.96875</v>
      </c>
    </row>
    <row r="973" spans="1:7" x14ac:dyDescent="0.2">
      <c r="A973" s="77">
        <v>4</v>
      </c>
      <c r="B973" s="21">
        <f t="shared" ca="1" si="141"/>
        <v>6.8039999999999994</v>
      </c>
      <c r="C973" s="19">
        <f t="shared" ref="C973:C982" si="144">$B$485</f>
        <v>3</v>
      </c>
      <c r="D973" s="93">
        <f t="shared" ref="D973:D982" ca="1" si="145">ROUNDUP(MAX(B973:C973),0)</f>
        <v>7</v>
      </c>
      <c r="E973" s="21">
        <f t="shared" ca="1" si="142"/>
        <v>1.4000000000000001</v>
      </c>
      <c r="F973" s="21">
        <f t="shared" ca="1" si="143"/>
        <v>5.916666666666667</v>
      </c>
    </row>
    <row r="974" spans="1:7" x14ac:dyDescent="0.2">
      <c r="A974" s="77">
        <v>5</v>
      </c>
      <c r="B974" s="21">
        <f t="shared" ca="1" si="141"/>
        <v>4.3896774193548387</v>
      </c>
      <c r="C974" s="19">
        <f t="shared" si="144"/>
        <v>3</v>
      </c>
      <c r="D974" s="93">
        <f t="shared" ca="1" si="145"/>
        <v>5</v>
      </c>
      <c r="E974" s="21">
        <f t="shared" ca="1" si="142"/>
        <v>1.55</v>
      </c>
      <c r="F974" s="21">
        <f t="shared" ca="1" si="143"/>
        <v>8.84375</v>
      </c>
    </row>
    <row r="975" spans="1:7" x14ac:dyDescent="0.2">
      <c r="A975" s="77">
        <v>6</v>
      </c>
      <c r="B975" s="21">
        <f t="shared" ca="1" si="141"/>
        <v>3.0927272727272728</v>
      </c>
      <c r="C975" s="19">
        <f t="shared" si="144"/>
        <v>3</v>
      </c>
      <c r="D975" s="93">
        <f t="shared" ca="1" si="145"/>
        <v>4</v>
      </c>
      <c r="E975" s="21">
        <f t="shared" ca="1" si="142"/>
        <v>1.76</v>
      </c>
      <c r="F975" s="21">
        <f t="shared" ca="1" si="143"/>
        <v>11.75</v>
      </c>
    </row>
    <row r="976" spans="1:7" x14ac:dyDescent="0.2">
      <c r="A976" s="77">
        <v>7</v>
      </c>
      <c r="B976" s="21">
        <f t="shared" ca="1" si="141"/>
        <v>2.2680000000000002</v>
      </c>
      <c r="C976" s="19">
        <f t="shared" si="144"/>
        <v>3</v>
      </c>
      <c r="D976" s="93">
        <f t="shared" ca="1" si="145"/>
        <v>3</v>
      </c>
      <c r="E976" s="21">
        <f t="shared" ca="1" si="142"/>
        <v>1.7999999999999998</v>
      </c>
      <c r="F976" s="21">
        <f t="shared" ca="1" si="143"/>
        <v>17.5625</v>
      </c>
    </row>
    <row r="977" spans="1:8" x14ac:dyDescent="0.2">
      <c r="A977" s="77">
        <v>8</v>
      </c>
      <c r="B977" s="21">
        <f t="shared" ca="1" si="141"/>
        <v>1.7225316455696202</v>
      </c>
      <c r="C977" s="19">
        <f t="shared" si="144"/>
        <v>3</v>
      </c>
      <c r="D977" s="93">
        <f t="shared" ca="1" si="145"/>
        <v>3</v>
      </c>
      <c r="E977" s="21">
        <f t="shared" ca="1" si="142"/>
        <v>2.37</v>
      </c>
      <c r="F977" s="21">
        <f t="shared" ca="1" si="143"/>
        <v>17.5</v>
      </c>
    </row>
    <row r="978" spans="1:8" x14ac:dyDescent="0.2">
      <c r="A978" s="77">
        <v>9</v>
      </c>
      <c r="B978" s="21">
        <f t="shared" ca="1" si="141"/>
        <v>1.3608</v>
      </c>
      <c r="C978" s="19">
        <f t="shared" si="144"/>
        <v>3</v>
      </c>
      <c r="D978" s="93">
        <f t="shared" ca="1" si="145"/>
        <v>3</v>
      </c>
      <c r="E978" s="21">
        <f t="shared" ca="1" si="142"/>
        <v>3</v>
      </c>
      <c r="F978" s="21">
        <f t="shared" ca="1" si="143"/>
        <v>17.436</v>
      </c>
    </row>
    <row r="979" spans="1:8" x14ac:dyDescent="0.2">
      <c r="A979" s="77">
        <v>10</v>
      </c>
      <c r="B979" s="21">
        <f t="shared" ca="1" si="141"/>
        <v>1.071496062992126</v>
      </c>
      <c r="C979" s="19">
        <f t="shared" si="144"/>
        <v>3</v>
      </c>
      <c r="D979" s="93">
        <f t="shared" ca="1" si="145"/>
        <v>3</v>
      </c>
      <c r="E979" s="21">
        <f t="shared" ca="1" si="142"/>
        <v>3.81</v>
      </c>
      <c r="F979" s="21">
        <f t="shared" ca="1" si="143"/>
        <v>17.364999999999998</v>
      </c>
    </row>
    <row r="980" spans="1:8" x14ac:dyDescent="0.2">
      <c r="A980" s="77">
        <v>11</v>
      </c>
      <c r="B980" s="21">
        <f t="shared" ca="1" si="141"/>
        <v>0.87230769230769234</v>
      </c>
      <c r="C980" s="19">
        <f t="shared" si="144"/>
        <v>3</v>
      </c>
      <c r="D980" s="93">
        <f t="shared" ca="1" si="145"/>
        <v>3</v>
      </c>
      <c r="E980" s="21">
        <f t="shared" ca="1" si="142"/>
        <v>4.68</v>
      </c>
      <c r="F980" s="21">
        <f t="shared" ca="1" si="143"/>
        <v>17.295000000000002</v>
      </c>
    </row>
    <row r="981" spans="1:8" x14ac:dyDescent="0.2">
      <c r="A981" s="77">
        <v>14</v>
      </c>
      <c r="B981" s="21">
        <f t="shared" ca="1" si="141"/>
        <v>0.6048</v>
      </c>
      <c r="C981" s="19">
        <f t="shared" si="144"/>
        <v>3</v>
      </c>
      <c r="D981" s="93">
        <f t="shared" ca="1" si="145"/>
        <v>3</v>
      </c>
      <c r="E981" s="21">
        <f t="shared" ca="1" si="142"/>
        <v>6.75</v>
      </c>
      <c r="F981" s="21">
        <f t="shared" ca="1" si="143"/>
        <v>17.153500000000001</v>
      </c>
    </row>
    <row r="982" spans="1:8" x14ac:dyDescent="0.2">
      <c r="A982" s="77">
        <v>18</v>
      </c>
      <c r="B982" s="21">
        <f t="shared" ca="1" si="141"/>
        <v>0.3402</v>
      </c>
      <c r="C982" s="19">
        <f t="shared" si="144"/>
        <v>3</v>
      </c>
      <c r="D982" s="93">
        <f t="shared" ca="1" si="145"/>
        <v>3</v>
      </c>
      <c r="E982" s="21">
        <f t="shared" ca="1" si="142"/>
        <v>12</v>
      </c>
      <c r="F982" s="21">
        <f t="shared" ca="1" si="143"/>
        <v>16.871500000000001</v>
      </c>
    </row>
    <row r="984" spans="1:8" x14ac:dyDescent="0.2">
      <c r="A984" s="6" t="s">
        <v>390</v>
      </c>
    </row>
    <row r="985" spans="1:8" ht="24" x14ac:dyDescent="0.2">
      <c r="A985" s="77" t="s">
        <v>323</v>
      </c>
      <c r="B985" s="19" t="s">
        <v>94</v>
      </c>
      <c r="C985" s="19" t="s">
        <v>394</v>
      </c>
      <c r="D985" s="19" t="s">
        <v>392</v>
      </c>
      <c r="E985" s="19" t="s">
        <v>395</v>
      </c>
      <c r="F985" s="19" t="s">
        <v>396</v>
      </c>
      <c r="G985" s="35" t="s">
        <v>397</v>
      </c>
    </row>
    <row r="986" spans="1:8" x14ac:dyDescent="0.2">
      <c r="A986" s="77">
        <v>3</v>
      </c>
      <c r="B986" s="84">
        <f t="shared" ref="B986:B996" ca="1" si="146">(E972*Fy_psi)/(0.85*fc_fnd_psi*12*Bf_ft)</f>
        <v>0.80112044817927175</v>
      </c>
      <c r="C986" s="21">
        <f t="shared" ref="C986:C996" ca="1" si="147">B986/beta1</f>
        <v>0.94249464491679036</v>
      </c>
      <c r="D986" s="83">
        <f t="shared" ref="D986:D996" ca="1" si="148">((B944/C986)*ec)-ec</f>
        <v>4.4148809003496492E-2</v>
      </c>
      <c r="E986" s="19">
        <f ca="1">IF(D986&gt;=0.005,0.9,IF(D986&gt;=0.004,0.65+(0.25*((D986-0.002)/(0.005-0.002))),0))</f>
        <v>0.9</v>
      </c>
      <c r="F986" s="82">
        <f t="shared" ref="F986:F996" ca="1" si="149">E972*Fy_psi*(B944-(B986/2))*(1/(12*1000))</f>
        <v>103.0453693977591</v>
      </c>
      <c r="G986" s="82">
        <f ca="1">E986*F986</f>
        <v>92.740832457983188</v>
      </c>
      <c r="H986" s="6" t="str">
        <f t="shared" ref="H986:H996" ca="1" si="150">IF(AND(G986&gt;=ABS(Mup_right_ftkips),J31="USE"),"USE","N/A")</f>
        <v>N/A</v>
      </c>
    </row>
    <row r="987" spans="1:8" x14ac:dyDescent="0.2">
      <c r="A987" s="77">
        <v>4</v>
      </c>
      <c r="B987" s="84">
        <f t="shared" ca="1" si="146"/>
        <v>0.78431372549019618</v>
      </c>
      <c r="C987" s="21">
        <f t="shared" ca="1" si="147"/>
        <v>0.92272202998846609</v>
      </c>
      <c r="D987" s="83">
        <f t="shared" ca="1" si="148"/>
        <v>4.4955937499999987E-2</v>
      </c>
      <c r="E987" s="19">
        <f t="shared" ref="E987:E996" ca="1" si="151">IF(D987&gt;=0.005,0.9,IF(D987&gt;=0.004,0.65+(0.25*((D987-0.002)/(0.005-0.002))),0))</f>
        <v>0.9</v>
      </c>
      <c r="F987" s="82">
        <f t="shared" ca="1" si="149"/>
        <v>100.50490196078434</v>
      </c>
      <c r="G987" s="82">
        <f t="shared" ref="G987:G996" ca="1" si="152">E987*F987</f>
        <v>90.45441176470591</v>
      </c>
      <c r="H987" s="6" t="str">
        <f t="shared" ca="1" si="150"/>
        <v>N/A</v>
      </c>
    </row>
    <row r="988" spans="1:8" x14ac:dyDescent="0.2">
      <c r="A988" s="77">
        <v>5</v>
      </c>
      <c r="B988" s="84">
        <f t="shared" ca="1" si="146"/>
        <v>0.86834733893557425</v>
      </c>
      <c r="C988" s="21">
        <f t="shared" ca="1" si="147"/>
        <v>1.0215851046300874</v>
      </c>
      <c r="D988" s="83">
        <f t="shared" ca="1" si="148"/>
        <v>4.0131502016129021E-2</v>
      </c>
      <c r="E988" s="19">
        <f t="shared" ca="1" si="151"/>
        <v>0.9</v>
      </c>
      <c r="F988" s="82">
        <f t="shared" ca="1" si="149"/>
        <v>110.46327906162465</v>
      </c>
      <c r="G988" s="82">
        <f t="shared" ca="1" si="152"/>
        <v>99.416951155462186</v>
      </c>
      <c r="H988" s="6" t="str">
        <f t="shared" ca="1" si="150"/>
        <v>USE</v>
      </c>
    </row>
    <row r="989" spans="1:8" x14ac:dyDescent="0.2">
      <c r="A989" s="77">
        <v>6</v>
      </c>
      <c r="B989" s="84">
        <f t="shared" ca="1" si="146"/>
        <v>0.98599439775910369</v>
      </c>
      <c r="C989" s="21">
        <f t="shared" ca="1" si="147"/>
        <v>1.1599934091283572</v>
      </c>
      <c r="D989" s="83">
        <f t="shared" ca="1" si="148"/>
        <v>3.4823490767045454E-2</v>
      </c>
      <c r="E989" s="19">
        <f t="shared" ca="1" si="151"/>
        <v>0.9</v>
      </c>
      <c r="F989" s="82">
        <f t="shared" ca="1" si="149"/>
        <v>124.36162464985995</v>
      </c>
      <c r="G989" s="82">
        <f t="shared" ca="1" si="152"/>
        <v>111.92546218487395</v>
      </c>
      <c r="H989" s="6" t="str">
        <f t="shared" ca="1" si="150"/>
        <v>USE</v>
      </c>
    </row>
    <row r="990" spans="1:8" x14ac:dyDescent="0.2">
      <c r="A990" s="77">
        <v>7</v>
      </c>
      <c r="B990" s="84">
        <f t="shared" ca="1" si="146"/>
        <v>1.0084033613445378</v>
      </c>
      <c r="C990" s="21">
        <f t="shared" ca="1" si="147"/>
        <v>1.1863568956994563</v>
      </c>
      <c r="D990" s="83">
        <f t="shared" ca="1" si="148"/>
        <v>3.3824921874999997E-2</v>
      </c>
      <c r="E990" s="19">
        <f t="shared" ca="1" si="151"/>
        <v>0.9</v>
      </c>
      <c r="F990" s="82">
        <f t="shared" ca="1" si="149"/>
        <v>126.52468487394955</v>
      </c>
      <c r="G990" s="82">
        <f t="shared" ca="1" si="152"/>
        <v>113.8722163865546</v>
      </c>
      <c r="H990" s="6" t="str">
        <f t="shared" ca="1" si="150"/>
        <v>N/A</v>
      </c>
    </row>
    <row r="991" spans="1:8" x14ac:dyDescent="0.2">
      <c r="A991" s="77">
        <v>8</v>
      </c>
      <c r="B991" s="84">
        <f t="shared" ca="1" si="146"/>
        <v>1.3277310924369747</v>
      </c>
      <c r="C991" s="21">
        <f t="shared" ca="1" si="147"/>
        <v>1.5620365793376174</v>
      </c>
      <c r="D991" s="83">
        <f t="shared" ca="1" si="148"/>
        <v>2.4848259493670886E-2</v>
      </c>
      <c r="E991" s="19">
        <f t="shared" ca="1" si="151"/>
        <v>0.9</v>
      </c>
      <c r="F991" s="82">
        <f t="shared" ca="1" si="149"/>
        <v>163.95819327731093</v>
      </c>
      <c r="G991" s="82">
        <f t="shared" ca="1" si="152"/>
        <v>147.56237394957984</v>
      </c>
      <c r="H991" s="6" t="str">
        <f t="shared" ca="1" si="150"/>
        <v>N/A</v>
      </c>
    </row>
    <row r="992" spans="1:8" x14ac:dyDescent="0.2">
      <c r="A992" s="77">
        <v>9</v>
      </c>
      <c r="B992" s="84">
        <f t="shared" ca="1" si="146"/>
        <v>1.680672268907563</v>
      </c>
      <c r="C992" s="21">
        <f t="shared" ca="1" si="147"/>
        <v>1.9772614928324272</v>
      </c>
      <c r="D992" s="83">
        <f t="shared" ca="1" si="148"/>
        <v>1.8903020999999999E-2</v>
      </c>
      <c r="E992" s="19">
        <f t="shared" ca="1" si="151"/>
        <v>0.9</v>
      </c>
      <c r="F992" s="82">
        <f t="shared" ca="1" si="149"/>
        <v>203.93495798319324</v>
      </c>
      <c r="G992" s="82">
        <f t="shared" ca="1" si="152"/>
        <v>183.54146218487392</v>
      </c>
      <c r="H992" s="6" t="str">
        <f t="shared" ca="1" si="150"/>
        <v>N/A</v>
      </c>
    </row>
    <row r="993" spans="1:8" x14ac:dyDescent="0.2">
      <c r="A993" s="77">
        <v>10</v>
      </c>
      <c r="B993" s="84">
        <f t="shared" ca="1" si="146"/>
        <v>2.134453781512605</v>
      </c>
      <c r="C993" s="21">
        <f t="shared" ca="1" si="147"/>
        <v>2.5111220958971825</v>
      </c>
      <c r="D993" s="83">
        <f t="shared" ca="1" si="148"/>
        <v>1.4161650590551182E-2</v>
      </c>
      <c r="E993" s="19">
        <f t="shared" ca="1" si="151"/>
        <v>0.9</v>
      </c>
      <c r="F993" s="82">
        <f t="shared" ca="1" si="149"/>
        <v>253.32257773109245</v>
      </c>
      <c r="G993" s="82">
        <f t="shared" ca="1" si="152"/>
        <v>227.99031995798322</v>
      </c>
      <c r="H993" s="6" t="str">
        <f t="shared" ca="1" si="150"/>
        <v>N/A</v>
      </c>
    </row>
    <row r="994" spans="1:8" x14ac:dyDescent="0.2">
      <c r="A994" s="77">
        <v>11</v>
      </c>
      <c r="B994" s="84">
        <f t="shared" ca="1" si="146"/>
        <v>2.6218487394957983</v>
      </c>
      <c r="C994" s="21">
        <f t="shared" ca="1" si="147"/>
        <v>3.0845279288185865</v>
      </c>
      <c r="D994" s="83">
        <f t="shared" ca="1" si="148"/>
        <v>1.0903262019230767E-2</v>
      </c>
      <c r="E994" s="19">
        <f t="shared" ca="1" si="151"/>
        <v>0.9</v>
      </c>
      <c r="F994" s="82">
        <f t="shared" ca="1" si="149"/>
        <v>303.82736974789913</v>
      </c>
      <c r="G994" s="82">
        <f t="shared" ca="1" si="152"/>
        <v>273.44463277310922</v>
      </c>
      <c r="H994" s="6" t="str">
        <f t="shared" ca="1" si="150"/>
        <v>N/A</v>
      </c>
    </row>
    <row r="995" spans="1:8" x14ac:dyDescent="0.2">
      <c r="A995" s="77">
        <v>14</v>
      </c>
      <c r="B995" s="84">
        <f t="shared" ca="1" si="146"/>
        <v>3.7815126050420167</v>
      </c>
      <c r="C995" s="21">
        <f t="shared" ca="1" si="147"/>
        <v>4.448838358872961</v>
      </c>
      <c r="D995" s="83">
        <f t="shared" ca="1" si="148"/>
        <v>6.5441768333333325E-3</v>
      </c>
      <c r="E995" s="19">
        <f t="shared" ca="1" si="151"/>
        <v>0.9</v>
      </c>
      <c r="F995" s="82">
        <f t="shared" ca="1" si="149"/>
        <v>413.86759978991591</v>
      </c>
      <c r="G995" s="82">
        <f t="shared" ca="1" si="152"/>
        <v>372.48083981092435</v>
      </c>
      <c r="H995" s="6" t="str">
        <f t="shared" ca="1" si="150"/>
        <v>N/A</v>
      </c>
    </row>
    <row r="996" spans="1:8" x14ac:dyDescent="0.2">
      <c r="A996" s="77">
        <v>18</v>
      </c>
      <c r="B996" s="84">
        <f t="shared" ca="1" si="146"/>
        <v>6.7226890756302522</v>
      </c>
      <c r="C996" s="21">
        <f t="shared" ca="1" si="147"/>
        <v>7.909045971329709</v>
      </c>
      <c r="D996" s="83">
        <f t="shared" ca="1" si="148"/>
        <v>2.2616333437499988E-3</v>
      </c>
      <c r="E996" s="19">
        <f t="shared" ca="1" si="151"/>
        <v>0</v>
      </c>
      <c r="F996" s="82">
        <f t="shared" ca="1" si="149"/>
        <v>630.60932773109232</v>
      </c>
      <c r="G996" s="82">
        <f t="shared" ca="1" si="152"/>
        <v>0</v>
      </c>
      <c r="H996" s="6" t="str">
        <f t="shared" ca="1" si="150"/>
        <v>N/A</v>
      </c>
    </row>
    <row r="998" spans="1:8" x14ac:dyDescent="0.2">
      <c r="A998" s="6" t="s">
        <v>398</v>
      </c>
    </row>
    <row r="1000" spans="1:8" x14ac:dyDescent="0.2">
      <c r="A1000" s="43" t="s">
        <v>399</v>
      </c>
      <c r="B1000" s="21">
        <f>x_m_right-(bottom_cover/12)</f>
        <v>26.75</v>
      </c>
      <c r="C1000" s="6" t="s">
        <v>1</v>
      </c>
    </row>
    <row r="1001" spans="1:8" x14ac:dyDescent="0.2">
      <c r="A1001" s="43" t="s">
        <v>400</v>
      </c>
      <c r="B1001" s="21">
        <f>Lf_ft-x_m_right-(bottom_cover/12)</f>
        <v>2.75</v>
      </c>
      <c r="C1001" s="6" t="s">
        <v>1</v>
      </c>
    </row>
    <row r="1003" spans="1:8" x14ac:dyDescent="0.2">
      <c r="A1003" s="77" t="s">
        <v>323</v>
      </c>
      <c r="B1003" s="19" t="s">
        <v>401</v>
      </c>
      <c r="C1003" s="19" t="s">
        <v>403</v>
      </c>
      <c r="D1003" s="19" t="s">
        <v>404</v>
      </c>
      <c r="E1003" s="19" t="s">
        <v>405</v>
      </c>
      <c r="F1003" s="19" t="s">
        <v>406</v>
      </c>
      <c r="G1003" s="19" t="s">
        <v>407</v>
      </c>
      <c r="H1003" s="19" t="s">
        <v>408</v>
      </c>
    </row>
    <row r="1004" spans="1:8" x14ac:dyDescent="0.2">
      <c r="A1004" s="77">
        <v>3</v>
      </c>
      <c r="B1004" s="84">
        <f ca="1">MAX(E944,C958)/E972</f>
        <v>0.95160839160839161</v>
      </c>
      <c r="C1004" s="21">
        <f t="shared" ref="C1004:C1014" ca="1" si="153">MIN(F972,bottom_cover+(OFFSET(barsize_heading,MATCH(A1004,reinf_bars,0),1)/2))</f>
        <v>2.96875</v>
      </c>
      <c r="D1004" s="84">
        <f t="shared" ref="D1004:D1014" ca="1" si="154">MIN(C1004/OFFSET(barsize_heading,MATCH(A1004,reinf_bars,0),1),2.5)</f>
        <v>2.5</v>
      </c>
      <c r="E1004" s="19">
        <v>1</v>
      </c>
      <c r="F1004" s="19">
        <v>1</v>
      </c>
      <c r="G1004" s="19">
        <v>1</v>
      </c>
      <c r="H1004" s="19">
        <f>IF(A1004&lt;7,0.8,1)</f>
        <v>0.8</v>
      </c>
    </row>
    <row r="1005" spans="1:8" x14ac:dyDescent="0.2">
      <c r="A1005" s="77">
        <v>4</v>
      </c>
      <c r="B1005" s="84">
        <f t="shared" ref="B1005:B1014" ca="1" si="155">MAX(E945,C959)/E973</f>
        <v>0.97199999999999986</v>
      </c>
      <c r="C1005" s="21">
        <f t="shared" ca="1" si="153"/>
        <v>3.25</v>
      </c>
      <c r="D1005" s="84">
        <f t="shared" ca="1" si="154"/>
        <v>2.5</v>
      </c>
      <c r="E1005" s="19">
        <v>1</v>
      </c>
      <c r="F1005" s="19">
        <v>1</v>
      </c>
      <c r="G1005" s="19">
        <v>1</v>
      </c>
      <c r="H1005" s="19">
        <f t="shared" ref="H1005:H1014" si="156">IF(A1005&lt;7,0.8,1)</f>
        <v>0.8</v>
      </c>
    </row>
    <row r="1006" spans="1:8" x14ac:dyDescent="0.2">
      <c r="A1006" s="77">
        <v>5</v>
      </c>
      <c r="B1006" s="84">
        <f t="shared" ca="1" si="155"/>
        <v>0.87793548387096776</v>
      </c>
      <c r="C1006" s="21">
        <f t="shared" ca="1" si="153"/>
        <v>3.3125</v>
      </c>
      <c r="D1006" s="84">
        <f t="shared" ca="1" si="154"/>
        <v>2.5</v>
      </c>
      <c r="E1006" s="19">
        <v>1</v>
      </c>
      <c r="F1006" s="19">
        <v>1</v>
      </c>
      <c r="G1006" s="19">
        <v>1</v>
      </c>
      <c r="H1006" s="19">
        <f t="shared" si="156"/>
        <v>0.8</v>
      </c>
    </row>
    <row r="1007" spans="1:8" x14ac:dyDescent="0.2">
      <c r="A1007" s="77">
        <v>6</v>
      </c>
      <c r="B1007" s="84">
        <f t="shared" ca="1" si="155"/>
        <v>0.77318181818181819</v>
      </c>
      <c r="C1007" s="21">
        <f t="shared" ca="1" si="153"/>
        <v>3.375</v>
      </c>
      <c r="D1007" s="84">
        <f t="shared" ca="1" si="154"/>
        <v>2.5</v>
      </c>
      <c r="E1007" s="19">
        <v>1</v>
      </c>
      <c r="F1007" s="19">
        <v>1</v>
      </c>
      <c r="G1007" s="19">
        <v>1</v>
      </c>
      <c r="H1007" s="19">
        <f t="shared" si="156"/>
        <v>0.8</v>
      </c>
    </row>
    <row r="1008" spans="1:8" x14ac:dyDescent="0.2">
      <c r="A1008" s="77">
        <v>7</v>
      </c>
      <c r="B1008" s="84">
        <f t="shared" ca="1" si="155"/>
        <v>0.75600000000000012</v>
      </c>
      <c r="C1008" s="21">
        <f t="shared" ca="1" si="153"/>
        <v>3.4375</v>
      </c>
      <c r="D1008" s="84">
        <f t="shared" ca="1" si="154"/>
        <v>2.5</v>
      </c>
      <c r="E1008" s="19">
        <v>1</v>
      </c>
      <c r="F1008" s="19">
        <v>1</v>
      </c>
      <c r="G1008" s="19">
        <v>1</v>
      </c>
      <c r="H1008" s="19">
        <f t="shared" si="156"/>
        <v>1</v>
      </c>
    </row>
    <row r="1009" spans="1:8" x14ac:dyDescent="0.2">
      <c r="A1009" s="77">
        <v>8</v>
      </c>
      <c r="B1009" s="84">
        <f t="shared" ca="1" si="155"/>
        <v>0.57417721518987341</v>
      </c>
      <c r="C1009" s="21">
        <f t="shared" ca="1" si="153"/>
        <v>3.5</v>
      </c>
      <c r="D1009" s="84">
        <f t="shared" ca="1" si="154"/>
        <v>2.5</v>
      </c>
      <c r="E1009" s="19">
        <v>1</v>
      </c>
      <c r="F1009" s="19">
        <v>1</v>
      </c>
      <c r="G1009" s="19">
        <v>1</v>
      </c>
      <c r="H1009" s="19">
        <f t="shared" si="156"/>
        <v>1</v>
      </c>
    </row>
    <row r="1010" spans="1:8" x14ac:dyDescent="0.2">
      <c r="A1010" s="77">
        <v>9</v>
      </c>
      <c r="B1010" s="84">
        <f t="shared" ca="1" si="155"/>
        <v>0.4536</v>
      </c>
      <c r="C1010" s="21">
        <f t="shared" ca="1" si="153"/>
        <v>3.5640000000000001</v>
      </c>
      <c r="D1010" s="84">
        <f t="shared" ca="1" si="154"/>
        <v>2.5</v>
      </c>
      <c r="E1010" s="19">
        <v>1</v>
      </c>
      <c r="F1010" s="19">
        <v>1</v>
      </c>
      <c r="G1010" s="19">
        <v>1</v>
      </c>
      <c r="H1010" s="19">
        <f t="shared" si="156"/>
        <v>1</v>
      </c>
    </row>
    <row r="1011" spans="1:8" x14ac:dyDescent="0.2">
      <c r="A1011" s="77">
        <v>10</v>
      </c>
      <c r="B1011" s="84">
        <f t="shared" ca="1" si="155"/>
        <v>0.35716535433070867</v>
      </c>
      <c r="C1011" s="21">
        <f t="shared" ca="1" si="153"/>
        <v>3.6349999999999998</v>
      </c>
      <c r="D1011" s="84">
        <f t="shared" ca="1" si="154"/>
        <v>2.5</v>
      </c>
      <c r="E1011" s="19">
        <v>1</v>
      </c>
      <c r="F1011" s="19">
        <v>1</v>
      </c>
      <c r="G1011" s="19">
        <v>1</v>
      </c>
      <c r="H1011" s="19">
        <f t="shared" si="156"/>
        <v>1</v>
      </c>
    </row>
    <row r="1012" spans="1:8" x14ac:dyDescent="0.2">
      <c r="A1012" s="77">
        <v>11</v>
      </c>
      <c r="B1012" s="84">
        <f t="shared" ca="1" si="155"/>
        <v>0.29076923076923078</v>
      </c>
      <c r="C1012" s="21">
        <f t="shared" ca="1" si="153"/>
        <v>3.7050000000000001</v>
      </c>
      <c r="D1012" s="84">
        <f t="shared" ca="1" si="154"/>
        <v>2.5</v>
      </c>
      <c r="E1012" s="19">
        <v>1</v>
      </c>
      <c r="F1012" s="19">
        <v>1</v>
      </c>
      <c r="G1012" s="19">
        <v>1</v>
      </c>
      <c r="H1012" s="19">
        <f t="shared" si="156"/>
        <v>1</v>
      </c>
    </row>
    <row r="1013" spans="1:8" x14ac:dyDescent="0.2">
      <c r="A1013" s="77">
        <v>14</v>
      </c>
      <c r="B1013" s="84">
        <f t="shared" ca="1" si="155"/>
        <v>0.2016</v>
      </c>
      <c r="C1013" s="21">
        <f t="shared" ca="1" si="153"/>
        <v>3.8464999999999998</v>
      </c>
      <c r="D1013" s="84">
        <f t="shared" ca="1" si="154"/>
        <v>2.2720023626698165</v>
      </c>
      <c r="E1013" s="19">
        <v>1</v>
      </c>
      <c r="F1013" s="19">
        <v>1</v>
      </c>
      <c r="G1013" s="19">
        <v>1</v>
      </c>
      <c r="H1013" s="19">
        <f t="shared" si="156"/>
        <v>1</v>
      </c>
    </row>
    <row r="1014" spans="1:8" x14ac:dyDescent="0.2">
      <c r="A1014" s="77">
        <v>18</v>
      </c>
      <c r="B1014" s="84">
        <f t="shared" ca="1" si="155"/>
        <v>0.1134</v>
      </c>
      <c r="C1014" s="21">
        <f t="shared" ca="1" si="153"/>
        <v>4.1284999999999998</v>
      </c>
      <c r="D1014" s="84">
        <f t="shared" ca="1" si="154"/>
        <v>1.8291980505095258</v>
      </c>
      <c r="E1014" s="19">
        <v>1</v>
      </c>
      <c r="F1014" s="19">
        <v>1</v>
      </c>
      <c r="G1014" s="19">
        <v>1</v>
      </c>
      <c r="H1014" s="19">
        <f t="shared" si="156"/>
        <v>1</v>
      </c>
    </row>
    <row r="1016" spans="1:8" x14ac:dyDescent="0.2">
      <c r="A1016" s="77" t="s">
        <v>323</v>
      </c>
      <c r="B1016" s="19" t="s">
        <v>409</v>
      </c>
      <c r="C1016" s="19" t="s">
        <v>410</v>
      </c>
      <c r="D1016" s="6" t="s">
        <v>411</v>
      </c>
    </row>
    <row r="1017" spans="1:8" x14ac:dyDescent="0.2">
      <c r="A1017" s="77">
        <v>3</v>
      </c>
      <c r="B1017" s="21">
        <f t="shared" ref="B1017:B1027" ca="1" si="157">MAX(((3/40)*(Fy_psi/(SQRT(fc_fnd_psi)*E1004))*((F1004*G1004*H1004)/D1004))*(1/12)*OFFSET(barsize_heading,MATCH(A1017,reinf_bars,0),1)*B1004,1)</f>
        <v>1</v>
      </c>
      <c r="C1017" s="19" t="str">
        <f ca="1">IF(B1017&gt;$B$1000,"Y","N")</f>
        <v>N</v>
      </c>
      <c r="D1017" s="19" t="str">
        <f ca="1">IF(B1017&gt;$B$1001,"Y","N")</f>
        <v>N</v>
      </c>
    </row>
    <row r="1018" spans="1:8" x14ac:dyDescent="0.2">
      <c r="A1018" s="77">
        <v>4</v>
      </c>
      <c r="B1018" s="21">
        <f t="shared" ca="1" si="157"/>
        <v>1.0647726517900424</v>
      </c>
      <c r="C1018" s="19" t="str">
        <f t="shared" ref="C1018:C1027" ca="1" si="158">IF(B1018&gt;$B$1000,"Y","N")</f>
        <v>N</v>
      </c>
      <c r="D1018" s="19" t="str">
        <f t="shared" ref="D1018:D1027" ca="1" si="159">IF(B1018&gt;$B$1001,"Y","N")</f>
        <v>N</v>
      </c>
    </row>
    <row r="1019" spans="1:8" x14ac:dyDescent="0.2">
      <c r="A1019" s="77">
        <v>5</v>
      </c>
      <c r="B1019" s="21">
        <f t="shared" ca="1" si="157"/>
        <v>1.2021626713758546</v>
      </c>
      <c r="C1019" s="19" t="str">
        <f t="shared" ca="1" si="158"/>
        <v>N</v>
      </c>
      <c r="D1019" s="19" t="str">
        <f t="shared" ca="1" si="159"/>
        <v>N</v>
      </c>
    </row>
    <row r="1020" spans="1:8" x14ac:dyDescent="0.2">
      <c r="A1020" s="77">
        <v>6</v>
      </c>
      <c r="B1020" s="21">
        <f t="shared" ca="1" si="157"/>
        <v>1.2704673686131192</v>
      </c>
      <c r="C1020" s="19" t="str">
        <f t="shared" ca="1" si="158"/>
        <v>N</v>
      </c>
      <c r="D1020" s="19" t="str">
        <f t="shared" ca="1" si="159"/>
        <v>N</v>
      </c>
    </row>
    <row r="1021" spans="1:8" x14ac:dyDescent="0.2">
      <c r="A1021" s="77">
        <v>7</v>
      </c>
      <c r="B1021" s="21">
        <f t="shared" ca="1" si="157"/>
        <v>1.8115923589483369</v>
      </c>
      <c r="C1021" s="19" t="str">
        <f t="shared" ca="1" si="158"/>
        <v>N</v>
      </c>
      <c r="D1021" s="19" t="str">
        <f t="shared" ca="1" si="159"/>
        <v>N</v>
      </c>
    </row>
    <row r="1022" spans="1:8" x14ac:dyDescent="0.2">
      <c r="A1022" s="77">
        <v>8</v>
      </c>
      <c r="B1022" s="21">
        <f t="shared" ca="1" si="157"/>
        <v>1.5724490638249577</v>
      </c>
      <c r="C1022" s="19" t="str">
        <f t="shared" ca="1" si="158"/>
        <v>N</v>
      </c>
      <c r="D1022" s="19" t="str">
        <f t="shared" ca="1" si="159"/>
        <v>N</v>
      </c>
    </row>
    <row r="1023" spans="1:8" x14ac:dyDescent="0.2">
      <c r="A1023" s="77">
        <v>9</v>
      </c>
      <c r="B1023" s="21">
        <f t="shared" ca="1" si="157"/>
        <v>1.4012408097556961</v>
      </c>
      <c r="C1023" s="19" t="str">
        <f t="shared" ca="1" si="158"/>
        <v>N</v>
      </c>
      <c r="D1023" s="19" t="str">
        <f t="shared" ca="1" si="159"/>
        <v>N</v>
      </c>
    </row>
    <row r="1024" spans="1:8" x14ac:dyDescent="0.2">
      <c r="A1024" s="77">
        <v>10</v>
      </c>
      <c r="B1024" s="21">
        <f t="shared" ca="1" si="157"/>
        <v>1.2422347604217168</v>
      </c>
      <c r="C1024" s="19" t="str">
        <f t="shared" ca="1" si="158"/>
        <v>N</v>
      </c>
      <c r="D1024" s="19" t="str">
        <f t="shared" ca="1" si="159"/>
        <v>N</v>
      </c>
    </row>
    <row r="1025" spans="1:8" x14ac:dyDescent="0.2">
      <c r="A1025" s="77">
        <v>11</v>
      </c>
      <c r="B1025" s="21">
        <f t="shared" ca="1" si="157"/>
        <v>1.1227891103811669</v>
      </c>
      <c r="C1025" s="19" t="str">
        <f t="shared" ca="1" si="158"/>
        <v>N</v>
      </c>
      <c r="D1025" s="19" t="str">
        <f t="shared" ca="1" si="159"/>
        <v>N</v>
      </c>
    </row>
    <row r="1026" spans="1:8" x14ac:dyDescent="0.2">
      <c r="A1026" s="77">
        <v>14</v>
      </c>
      <c r="B1026" s="21">
        <f t="shared" ca="1" si="157"/>
        <v>1.0285119632057962</v>
      </c>
      <c r="C1026" s="19" t="str">
        <f t="shared" ca="1" si="158"/>
        <v>N</v>
      </c>
      <c r="D1026" s="19" t="str">
        <f t="shared" ca="1" si="159"/>
        <v>N</v>
      </c>
    </row>
    <row r="1027" spans="1:8" x14ac:dyDescent="0.2">
      <c r="A1027" s="77">
        <v>18</v>
      </c>
      <c r="B1027" s="21">
        <f t="shared" ca="1" si="157"/>
        <v>1</v>
      </c>
      <c r="C1027" s="19" t="str">
        <f t="shared" ca="1" si="158"/>
        <v>N</v>
      </c>
      <c r="D1027" s="19" t="str">
        <f t="shared" ca="1" si="159"/>
        <v>N</v>
      </c>
    </row>
    <row r="1029" spans="1:8" x14ac:dyDescent="0.2">
      <c r="A1029" s="77" t="s">
        <v>323</v>
      </c>
      <c r="B1029" s="19" t="s">
        <v>412</v>
      </c>
      <c r="C1029" s="19" t="s">
        <v>413</v>
      </c>
      <c r="D1029" s="19" t="s">
        <v>414</v>
      </c>
      <c r="E1029" s="19" t="s">
        <v>415</v>
      </c>
      <c r="F1029" s="19" t="s">
        <v>422</v>
      </c>
      <c r="G1029" s="19" t="s">
        <v>423</v>
      </c>
      <c r="H1029" s="19"/>
    </row>
    <row r="1030" spans="1:8" x14ac:dyDescent="0.2">
      <c r="A1030" s="77">
        <v>3</v>
      </c>
      <c r="B1030" s="19">
        <f t="shared" ref="B1030:B1040" ca="1" si="160">MAX(6,8*OFFSET(barsize_heading,MATCH(A1030,reinf_bars,0),1),OFFSET(barsize_heading,MATCH(A1030,reinf_bars,0),1)*(Fy_psi/(50*SQRT(fc_fnd_psi)))*B1004)</f>
        <v>7.8182607299268883</v>
      </c>
      <c r="C1030" s="21">
        <f ca="1">B1030/12</f>
        <v>0.65152172749390735</v>
      </c>
      <c r="D1030" s="82">
        <f t="shared" ref="D1030:D1040" ca="1" si="161">(12*OFFSET(barsize_heading,MATCH(A1030,reinf_bars,0),1))+IF(A1030&lt;9,3*OFFSET(barsize_heading,MATCH(A1030,reinf_bars,0),1),IF(A1030&gt;11,5*OFFSET(barsize_heading,MATCH(A1030,reinf_bars,0),1),4*OFFSET(barsize_heading,MATCH(A1030,reinf_bars,0),1)))</f>
        <v>5.625</v>
      </c>
      <c r="E1030" s="19">
        <f t="shared" ref="E1030:E1040" ca="1" si="162">IF(A1030&lt;9,6*OFFSET(barsize_heading,MATCH(A1030,reinf_bars,0),1),IF(A1030&gt;11,10*OFFSET(barsize_heading,MATCH(A1030,reinf_bars,0),1),8*OFFSET(barsize_heading,MATCH(A1030,reinf_bars,0),1)))</f>
        <v>2.25</v>
      </c>
      <c r="F1030" s="21">
        <f t="shared" ref="F1030:F1040" ca="1" si="163">((12*OFFSET(barsize_heading,MATCH(A1030,reinf_bars,0),1))+((C1030*12)-IF(A1030&lt;9,3*OFFSET(barsize_heading,MATCH(A1030,reinf_bars,0),1),IF(A1030&gt;11,5*OFFSET(barsize_heading,MATCH(A1030,reinf_bars,0),1),4*OFFSET(barsize_heading,MATCH(A1030,reinf_bars,0),1))))+((IF(A1030&lt;9,3*OFFSET(barsize_heading,MATCH(A1030,reinf_bars,0),1),IF(A1030&gt;11,5*OFFSET(barsize_heading,MATCH(A1030,reinf_bars,0),1),4*OFFSET(barsize_heading,MATCH(A1030,reinf_bars,0),1)))*2*PI()*90)/360))/12</f>
        <v>1.0800338831309289</v>
      </c>
      <c r="G1030" s="21">
        <f t="shared" ref="G1030:G1040" ca="1" si="164">(MAX(2.5,4*OFFSET(barsize_heading,MATCH(A1030,reinf_bars,0),1))+((C1030*12)-IF(A1030&lt;9,3*OFFSET(barsize_heading,MATCH(A1030,reinf_bars,0),1),IF(A1030&gt;11,5*OFFSET(barsize_heading,MATCH(A1030,reinf_bars,0),1),4*OFFSET(barsize_heading,MATCH(A1030,reinf_bars,0),1))))+((IF(A1030&lt;9,3*OFFSET(barsize_heading,MATCH(A1030,reinf_bars,0),1),IF(A1030&gt;11,5*OFFSET(barsize_heading,MATCH(A1030,reinf_bars,0),1),4*OFFSET(barsize_heading,MATCH(A1030,reinf_bars,0),1)))*2*PI()*180)/360))/12</f>
        <v>1.0606293721012836</v>
      </c>
    </row>
    <row r="1031" spans="1:8" x14ac:dyDescent="0.2">
      <c r="A1031" s="77">
        <v>4</v>
      </c>
      <c r="B1031" s="19">
        <f t="shared" ca="1" si="160"/>
        <v>10.647726517900427</v>
      </c>
      <c r="C1031" s="21">
        <f t="shared" ref="C1031:C1040" ca="1" si="165">B1031/12</f>
        <v>0.88731054315836888</v>
      </c>
      <c r="D1031" s="82">
        <f t="shared" ca="1" si="161"/>
        <v>7.5</v>
      </c>
      <c r="E1031" s="19">
        <f t="shared" ca="1" si="162"/>
        <v>3</v>
      </c>
      <c r="F1031" s="21">
        <f t="shared" ca="1" si="163"/>
        <v>1.4586600840077308</v>
      </c>
      <c r="G1031" s="21">
        <f t="shared" ca="1" si="164"/>
        <v>1.3633429581904266</v>
      </c>
    </row>
    <row r="1032" spans="1:8" x14ac:dyDescent="0.2">
      <c r="A1032" s="77">
        <v>5</v>
      </c>
      <c r="B1032" s="19">
        <f t="shared" ca="1" si="160"/>
        <v>12.02162671375855</v>
      </c>
      <c r="C1032" s="21">
        <f t="shared" ca="1" si="165"/>
        <v>1.0018022261465458</v>
      </c>
      <c r="D1032" s="82">
        <f t="shared" ca="1" si="161"/>
        <v>9.375</v>
      </c>
      <c r="E1032" s="19">
        <f t="shared" ca="1" si="162"/>
        <v>3.75</v>
      </c>
      <c r="F1032" s="21">
        <f t="shared" ca="1" si="163"/>
        <v>1.7159891522082484</v>
      </c>
      <c r="G1032" s="21">
        <f t="shared" ca="1" si="164"/>
        <v>1.5447594116032846</v>
      </c>
    </row>
    <row r="1033" spans="1:8" x14ac:dyDescent="0.2">
      <c r="A1033" s="77">
        <v>6</v>
      </c>
      <c r="B1033" s="19">
        <f t="shared" ca="1" si="160"/>
        <v>12.704673686131194</v>
      </c>
      <c r="C1033" s="21">
        <f t="shared" ca="1" si="165"/>
        <v>1.0587228071775996</v>
      </c>
      <c r="D1033" s="82">
        <f t="shared" ca="1" si="161"/>
        <v>11.25</v>
      </c>
      <c r="E1033" s="19">
        <f t="shared" ca="1" si="162"/>
        <v>4.5</v>
      </c>
      <c r="F1033" s="21">
        <f t="shared" ca="1" si="163"/>
        <v>1.9157471184516426</v>
      </c>
      <c r="G1033" s="21">
        <f t="shared" ca="1" si="164"/>
        <v>1.7102714297256856</v>
      </c>
    </row>
    <row r="1034" spans="1:8" x14ac:dyDescent="0.2">
      <c r="A1034" s="77">
        <v>7</v>
      </c>
      <c r="B1034" s="19">
        <f t="shared" ca="1" si="160"/>
        <v>14.492738871586697</v>
      </c>
      <c r="C1034" s="21">
        <f t="shared" ca="1" si="165"/>
        <v>1.2077282392988915</v>
      </c>
      <c r="D1034" s="82">
        <f t="shared" ca="1" si="161"/>
        <v>13.125</v>
      </c>
      <c r="E1034" s="19">
        <f t="shared" ca="1" si="162"/>
        <v>5.25</v>
      </c>
      <c r="F1034" s="21">
        <f t="shared" ca="1" si="163"/>
        <v>2.2075899357852751</v>
      </c>
      <c r="G1034" s="21">
        <f t="shared" ca="1" si="164"/>
        <v>1.9678682989383256</v>
      </c>
    </row>
    <row r="1035" spans="1:8" x14ac:dyDescent="0.2">
      <c r="A1035" s="77">
        <v>8</v>
      </c>
      <c r="B1035" s="19">
        <f t="shared" ca="1" si="160"/>
        <v>12.579592510599664</v>
      </c>
      <c r="C1035" s="21">
        <f t="shared" ca="1" si="165"/>
        <v>1.0482993758833052</v>
      </c>
      <c r="D1035" s="82">
        <f t="shared" ca="1" si="161"/>
        <v>15</v>
      </c>
      <c r="E1035" s="19">
        <f t="shared" ca="1" si="162"/>
        <v>6</v>
      </c>
      <c r="F1035" s="21">
        <f t="shared" ca="1" si="163"/>
        <v>2.1909984575820296</v>
      </c>
      <c r="G1035" s="21">
        <f t="shared" ca="1" si="164"/>
        <v>1.917030872614087</v>
      </c>
    </row>
    <row r="1036" spans="1:8" x14ac:dyDescent="0.2">
      <c r="A1036" s="77">
        <v>9</v>
      </c>
      <c r="B1036" s="19">
        <f t="shared" ca="1" si="160"/>
        <v>11.209926478045571</v>
      </c>
      <c r="C1036" s="21">
        <f t="shared" ca="1" si="165"/>
        <v>0.93416053983713088</v>
      </c>
      <c r="D1036" s="82">
        <f t="shared" ca="1" si="161"/>
        <v>18.047999999999998</v>
      </c>
      <c r="E1036" s="19">
        <f t="shared" ca="1" si="162"/>
        <v>9.0239999999999991</v>
      </c>
      <c r="F1036" s="21">
        <f t="shared" ca="1" si="163"/>
        <v>2.2767799587120119</v>
      </c>
      <c r="G1036" s="21">
        <f t="shared" ca="1" si="164"/>
        <v>2.1153993775868929</v>
      </c>
    </row>
    <row r="1037" spans="1:8" x14ac:dyDescent="0.2">
      <c r="A1037" s="77">
        <v>10</v>
      </c>
      <c r="B1037" s="19">
        <f t="shared" ca="1" si="160"/>
        <v>10.16</v>
      </c>
      <c r="C1037" s="21">
        <f t="shared" ca="1" si="165"/>
        <v>0.84666666666666668</v>
      </c>
      <c r="D1037" s="82">
        <f t="shared" ca="1" si="161"/>
        <v>20.32</v>
      </c>
      <c r="E1037" s="19">
        <f t="shared" ca="1" si="162"/>
        <v>10.16</v>
      </c>
      <c r="F1037" s="21">
        <f t="shared" ca="1" si="163"/>
        <v>2.3583037783431728</v>
      </c>
      <c r="G1037" s="21">
        <f t="shared" ca="1" si="164"/>
        <v>2.1766075566863456</v>
      </c>
    </row>
    <row r="1038" spans="1:8" x14ac:dyDescent="0.2">
      <c r="A1038" s="77">
        <v>11</v>
      </c>
      <c r="B1038" s="19">
        <f t="shared" ca="1" si="160"/>
        <v>11.28</v>
      </c>
      <c r="C1038" s="21">
        <f t="shared" ca="1" si="165"/>
        <v>0.94</v>
      </c>
      <c r="D1038" s="82">
        <f t="shared" ca="1" si="161"/>
        <v>22.56</v>
      </c>
      <c r="E1038" s="19">
        <f t="shared" ca="1" si="162"/>
        <v>11.28</v>
      </c>
      <c r="F1038" s="21">
        <f t="shared" ca="1" si="163"/>
        <v>2.6182742735936011</v>
      </c>
      <c r="G1038" s="21">
        <f t="shared" ca="1" si="164"/>
        <v>2.4165485471872028</v>
      </c>
    </row>
    <row r="1039" spans="1:8" x14ac:dyDescent="0.2">
      <c r="A1039" s="77">
        <v>14</v>
      </c>
      <c r="B1039" s="19">
        <f t="shared" ca="1" si="160"/>
        <v>13.544</v>
      </c>
      <c r="C1039" s="21">
        <f t="shared" ca="1" si="165"/>
        <v>1.1286666666666667</v>
      </c>
      <c r="D1039" s="82">
        <f t="shared" ca="1" si="161"/>
        <v>28.781000000000002</v>
      </c>
      <c r="E1039" s="19">
        <f t="shared" ca="1" si="162"/>
        <v>16.93</v>
      </c>
      <c r="F1039" s="21">
        <f t="shared" ca="1" si="163"/>
        <v>3.2243159088599</v>
      </c>
      <c r="G1039" s="21">
        <f t="shared" ca="1" si="164"/>
        <v>3.2037151510531334</v>
      </c>
    </row>
    <row r="1040" spans="1:8" x14ac:dyDescent="0.2">
      <c r="A1040" s="77">
        <v>18</v>
      </c>
      <c r="B1040" s="19">
        <f t="shared" ca="1" si="160"/>
        <v>18.056000000000001</v>
      </c>
      <c r="C1040" s="21">
        <f t="shared" ca="1" si="165"/>
        <v>1.5046666666666668</v>
      </c>
      <c r="D1040" s="82">
        <f t="shared" ca="1" si="161"/>
        <v>38.369</v>
      </c>
      <c r="E1040" s="19">
        <f t="shared" ca="1" si="162"/>
        <v>22.57</v>
      </c>
      <c r="F1040" s="21">
        <f t="shared" ca="1" si="163"/>
        <v>4.2984530456567009</v>
      </c>
      <c r="G1040" s="21">
        <f t="shared" ca="1" si="164"/>
        <v>4.2709894246467348</v>
      </c>
    </row>
    <row r="1042" spans="1:5" x14ac:dyDescent="0.2">
      <c r="A1042" s="6" t="s">
        <v>418</v>
      </c>
    </row>
    <row r="1043" spans="1:5" x14ac:dyDescent="0.2">
      <c r="A1043" s="77" t="s">
        <v>323</v>
      </c>
      <c r="B1043" s="19" t="s">
        <v>419</v>
      </c>
      <c r="C1043" s="19" t="s">
        <v>420</v>
      </c>
      <c r="D1043" s="19" t="s">
        <v>416</v>
      </c>
      <c r="E1043" s="19" t="s">
        <v>417</v>
      </c>
    </row>
    <row r="1044" spans="1:5" x14ac:dyDescent="0.2">
      <c r="A1044" s="77">
        <v>3</v>
      </c>
      <c r="B1044" s="19" t="str">
        <f ca="1">IF(C1030&lt;=$B$1000,"Y","N")</f>
        <v>Y</v>
      </c>
      <c r="C1044" s="19" t="str">
        <f ca="1">IF(C1030&lt;=$B$1001,"Y","N")</f>
        <v>Y</v>
      </c>
      <c r="D1044" s="19" t="str">
        <f t="shared" ref="D1044:E1044" ca="1" si="166">IF(D1030&lt;=(tf_in-top_cover-bottom_cover),"Y","N")</f>
        <v>Y</v>
      </c>
      <c r="E1044" s="19" t="str">
        <f t="shared" ca="1" si="166"/>
        <v>Y</v>
      </c>
    </row>
    <row r="1045" spans="1:5" x14ac:dyDescent="0.2">
      <c r="A1045" s="77">
        <v>4</v>
      </c>
      <c r="B1045" s="19" t="str">
        <f t="shared" ref="B1045:B1054" ca="1" si="167">IF(C1031&lt;=$B$1000,"Y","N")</f>
        <v>Y</v>
      </c>
      <c r="C1045" s="19" t="str">
        <f t="shared" ref="C1045:C1054" ca="1" si="168">IF(C1031&lt;=$B$1001,"Y","N")</f>
        <v>Y</v>
      </c>
      <c r="D1045" s="19" t="str">
        <f t="shared" ref="D1045:E1045" ca="1" si="169">IF(D1031&lt;=(tf_in-top_cover-bottom_cover),"Y","N")</f>
        <v>Y</v>
      </c>
      <c r="E1045" s="19" t="str">
        <f t="shared" ca="1" si="169"/>
        <v>Y</v>
      </c>
    </row>
    <row r="1046" spans="1:5" x14ac:dyDescent="0.2">
      <c r="A1046" s="77">
        <v>5</v>
      </c>
      <c r="B1046" s="19" t="str">
        <f t="shared" ca="1" si="167"/>
        <v>Y</v>
      </c>
      <c r="C1046" s="19" t="str">
        <f t="shared" ca="1" si="168"/>
        <v>Y</v>
      </c>
      <c r="D1046" s="19" t="str">
        <f t="shared" ref="D1046:E1046" ca="1" si="170">IF(D1032&lt;=(tf_in-top_cover-bottom_cover),"Y","N")</f>
        <v>Y</v>
      </c>
      <c r="E1046" s="19" t="str">
        <f t="shared" ca="1" si="170"/>
        <v>Y</v>
      </c>
    </row>
    <row r="1047" spans="1:5" x14ac:dyDescent="0.2">
      <c r="A1047" s="77">
        <v>6</v>
      </c>
      <c r="B1047" s="19" t="str">
        <f t="shared" ca="1" si="167"/>
        <v>Y</v>
      </c>
      <c r="C1047" s="19" t="str">
        <f t="shared" ca="1" si="168"/>
        <v>Y</v>
      </c>
      <c r="D1047" s="19" t="str">
        <f t="shared" ref="D1047:E1047" ca="1" si="171">IF(D1033&lt;=(tf_in-top_cover-bottom_cover),"Y","N")</f>
        <v>Y</v>
      </c>
      <c r="E1047" s="19" t="str">
        <f t="shared" ca="1" si="171"/>
        <v>Y</v>
      </c>
    </row>
    <row r="1048" spans="1:5" x14ac:dyDescent="0.2">
      <c r="A1048" s="77">
        <v>7</v>
      </c>
      <c r="B1048" s="19" t="str">
        <f t="shared" ca="1" si="167"/>
        <v>Y</v>
      </c>
      <c r="C1048" s="19" t="str">
        <f t="shared" ca="1" si="168"/>
        <v>Y</v>
      </c>
      <c r="D1048" s="19" t="str">
        <f t="shared" ref="D1048:E1048" ca="1" si="172">IF(D1034&lt;=(tf_in-top_cover-bottom_cover),"Y","N")</f>
        <v>N</v>
      </c>
      <c r="E1048" s="19" t="str">
        <f t="shared" ca="1" si="172"/>
        <v>Y</v>
      </c>
    </row>
    <row r="1049" spans="1:5" x14ac:dyDescent="0.2">
      <c r="A1049" s="77">
        <v>8</v>
      </c>
      <c r="B1049" s="19" t="str">
        <f t="shared" ca="1" si="167"/>
        <v>Y</v>
      </c>
      <c r="C1049" s="19" t="str">
        <f t="shared" ca="1" si="168"/>
        <v>Y</v>
      </c>
      <c r="D1049" s="19" t="str">
        <f t="shared" ref="D1049:E1049" ca="1" si="173">IF(D1035&lt;=(tf_in-top_cover-bottom_cover),"Y","N")</f>
        <v>N</v>
      </c>
      <c r="E1049" s="19" t="str">
        <f t="shared" ca="1" si="173"/>
        <v>Y</v>
      </c>
    </row>
    <row r="1050" spans="1:5" x14ac:dyDescent="0.2">
      <c r="A1050" s="77">
        <v>9</v>
      </c>
      <c r="B1050" s="19" t="str">
        <f t="shared" ca="1" si="167"/>
        <v>Y</v>
      </c>
      <c r="C1050" s="19" t="str">
        <f t="shared" ca="1" si="168"/>
        <v>Y</v>
      </c>
      <c r="D1050" s="19" t="str">
        <f t="shared" ref="D1050:E1050" ca="1" si="174">IF(D1036&lt;=(tf_in-top_cover-bottom_cover),"Y","N")</f>
        <v>N</v>
      </c>
      <c r="E1050" s="19" t="str">
        <f t="shared" ca="1" si="174"/>
        <v>Y</v>
      </c>
    </row>
    <row r="1051" spans="1:5" x14ac:dyDescent="0.2">
      <c r="A1051" s="77">
        <v>10</v>
      </c>
      <c r="B1051" s="19" t="str">
        <f t="shared" ca="1" si="167"/>
        <v>Y</v>
      </c>
      <c r="C1051" s="19" t="str">
        <f t="shared" ca="1" si="168"/>
        <v>Y</v>
      </c>
      <c r="D1051" s="19" t="str">
        <f t="shared" ref="D1051:E1051" ca="1" si="175">IF(D1037&lt;=(tf_in-top_cover-bottom_cover),"Y","N")</f>
        <v>N</v>
      </c>
      <c r="E1051" s="19" t="str">
        <f t="shared" ca="1" si="175"/>
        <v>Y</v>
      </c>
    </row>
    <row r="1052" spans="1:5" x14ac:dyDescent="0.2">
      <c r="A1052" s="77">
        <v>11</v>
      </c>
      <c r="B1052" s="19" t="str">
        <f t="shared" ca="1" si="167"/>
        <v>Y</v>
      </c>
      <c r="C1052" s="19" t="str">
        <f t="shared" ca="1" si="168"/>
        <v>Y</v>
      </c>
      <c r="D1052" s="19" t="str">
        <f t="shared" ref="D1052:E1052" ca="1" si="176">IF(D1038&lt;=(tf_in-top_cover-bottom_cover),"Y","N")</f>
        <v>N</v>
      </c>
      <c r="E1052" s="19" t="str">
        <f t="shared" ca="1" si="176"/>
        <v>Y</v>
      </c>
    </row>
    <row r="1053" spans="1:5" x14ac:dyDescent="0.2">
      <c r="A1053" s="77">
        <v>14</v>
      </c>
      <c r="B1053" s="19" t="str">
        <f t="shared" ca="1" si="167"/>
        <v>Y</v>
      </c>
      <c r="C1053" s="19" t="str">
        <f t="shared" ca="1" si="168"/>
        <v>Y</v>
      </c>
      <c r="D1053" s="19" t="str">
        <f t="shared" ref="D1053:E1053" ca="1" si="177">IF(D1039&lt;=(tf_in-top_cover-bottom_cover),"Y","N")</f>
        <v>N</v>
      </c>
      <c r="E1053" s="19" t="str">
        <f t="shared" ca="1" si="177"/>
        <v>N</v>
      </c>
    </row>
    <row r="1054" spans="1:5" x14ac:dyDescent="0.2">
      <c r="A1054" s="77">
        <v>18</v>
      </c>
      <c r="B1054" s="19" t="str">
        <f t="shared" ca="1" si="167"/>
        <v>Y</v>
      </c>
      <c r="C1054" s="19" t="str">
        <f t="shared" ca="1" si="168"/>
        <v>Y</v>
      </c>
      <c r="D1054" s="19" t="str">
        <f t="shared" ref="D1054:E1054" ca="1" si="178">IF(D1040&lt;=(tf_in-top_cover-bottom_cover),"Y","N")</f>
        <v>N</v>
      </c>
      <c r="E1054" s="19" t="str">
        <f t="shared" ca="1" si="178"/>
        <v>N</v>
      </c>
    </row>
    <row r="1057" spans="1:7" x14ac:dyDescent="0.2">
      <c r="A1057" s="6" t="s">
        <v>421</v>
      </c>
    </row>
    <row r="1058" spans="1:7" x14ac:dyDescent="0.2">
      <c r="A1058" s="77" t="s">
        <v>323</v>
      </c>
      <c r="B1058" s="19" t="s">
        <v>424</v>
      </c>
      <c r="C1058" s="19" t="s">
        <v>425</v>
      </c>
      <c r="D1058" s="19" t="s">
        <v>426</v>
      </c>
      <c r="E1058" s="19" t="s">
        <v>427</v>
      </c>
    </row>
    <row r="1059" spans="1:7" x14ac:dyDescent="0.2">
      <c r="A1059" s="77">
        <v>3</v>
      </c>
      <c r="B1059" s="21">
        <f ca="1">IF(C1017="N",B1017+0.5,IF(AND(B1044="Y",D1044="Y"),F1030+(C1030+0.5),IF(AND(B1044="y",E1044="Y"),G1030+($B$648-C1030),0)))</f>
        <v>1.5</v>
      </c>
      <c r="C1059" s="21">
        <f ca="1">IF(C1017="N",B1017+0.5,IF(AND(B1044="Y",D1044="Y"),F1030+($B$649-C1030),IF(AND(B1044="y",E1044="Y"),G1030+($B$649-C1030),0)))</f>
        <v>1.5</v>
      </c>
      <c r="D1059" s="21">
        <f ca="1">(B1059+C1059)*D972</f>
        <v>39</v>
      </c>
      <c r="E1059" s="21">
        <f t="shared" ref="E1059:E1069" ca="1" si="179">D1059*OFFSET(barsize_heading,MATCH(A1030,reinf_bars,0),3)*(1/1000)</f>
        <v>1.4664E-2</v>
      </c>
    </row>
    <row r="1060" spans="1:7" x14ac:dyDescent="0.2">
      <c r="A1060" s="77">
        <v>4</v>
      </c>
      <c r="B1060" s="21">
        <f t="shared" ref="B1060:B1069" ca="1" si="180">IF(C1018="N",$B$648,IF(AND(B1045="Y",D1045="Y"),F1031+($B$648-C1031),IF(AND(B1045="y",E1045="Y"),G1031+($B$648-C1031),0)))</f>
        <v>6.75</v>
      </c>
      <c r="C1060" s="21">
        <f t="shared" ref="C1060:C1069" ca="1" si="181">IF(C1018="N",B1018+0.5,IF(AND(B1045="Y",D1045="Y"),F1031+($B$649-C1031),IF(AND(B1045="y",E1045="Y"),G1031+($B$649-C1031),0)))</f>
        <v>1.5647726517900424</v>
      </c>
      <c r="D1060" s="21">
        <f t="shared" ref="D1060:D1069" ca="1" si="182">(B1060+C1060)*D973</f>
        <v>58.203408562530292</v>
      </c>
      <c r="E1060" s="21">
        <f t="shared" ca="1" si="179"/>
        <v>3.887987691977024E-2</v>
      </c>
    </row>
    <row r="1061" spans="1:7" x14ac:dyDescent="0.2">
      <c r="A1061" s="77">
        <v>5</v>
      </c>
      <c r="B1061" s="21">
        <f t="shared" ca="1" si="180"/>
        <v>6.75</v>
      </c>
      <c r="C1061" s="21">
        <f t="shared" ca="1" si="181"/>
        <v>1.7021626713758546</v>
      </c>
      <c r="D1061" s="21">
        <f t="shared" ca="1" si="182"/>
        <v>42.260813356879268</v>
      </c>
      <c r="E1061" s="21">
        <f t="shared" ca="1" si="179"/>
        <v>4.4078028331225073E-2</v>
      </c>
    </row>
    <row r="1062" spans="1:7" x14ac:dyDescent="0.2">
      <c r="A1062" s="77">
        <v>6</v>
      </c>
      <c r="B1062" s="21">
        <f t="shared" ca="1" si="180"/>
        <v>6.75</v>
      </c>
      <c r="C1062" s="21">
        <f t="shared" ca="1" si="181"/>
        <v>1.7704673686131192</v>
      </c>
      <c r="D1062" s="21">
        <f t="shared" ca="1" si="182"/>
        <v>34.081869474452475</v>
      </c>
      <c r="E1062" s="21">
        <f t="shared" ca="1" si="179"/>
        <v>5.1190967950627615E-2</v>
      </c>
    </row>
    <row r="1063" spans="1:7" x14ac:dyDescent="0.2">
      <c r="A1063" s="77">
        <v>7</v>
      </c>
      <c r="B1063" s="21">
        <f t="shared" ca="1" si="180"/>
        <v>6.75</v>
      </c>
      <c r="C1063" s="21">
        <f t="shared" ca="1" si="181"/>
        <v>2.3115923589483369</v>
      </c>
      <c r="D1063" s="21">
        <f t="shared" ca="1" si="182"/>
        <v>27.184777076845009</v>
      </c>
      <c r="E1063" s="21">
        <f t="shared" ca="1" si="179"/>
        <v>5.5565684345071198E-2</v>
      </c>
    </row>
    <row r="1064" spans="1:7" x14ac:dyDescent="0.2">
      <c r="A1064" s="77">
        <v>8</v>
      </c>
      <c r="B1064" s="21">
        <f t="shared" ca="1" si="180"/>
        <v>6.75</v>
      </c>
      <c r="C1064" s="21">
        <f t="shared" ca="1" si="181"/>
        <v>2.0724490638249575</v>
      </c>
      <c r="D1064" s="21">
        <f t="shared" ca="1" si="182"/>
        <v>26.467347191474875</v>
      </c>
      <c r="E1064" s="21">
        <f t="shared" ca="1" si="179"/>
        <v>7.066781700123792E-2</v>
      </c>
    </row>
    <row r="1065" spans="1:7" x14ac:dyDescent="0.2">
      <c r="A1065" s="77">
        <v>9</v>
      </c>
      <c r="B1065" s="21">
        <f t="shared" ca="1" si="180"/>
        <v>6.75</v>
      </c>
      <c r="C1065" s="21">
        <f t="shared" ca="1" si="181"/>
        <v>1.9012408097556961</v>
      </c>
      <c r="D1065" s="21">
        <f t="shared" ca="1" si="182"/>
        <v>25.953722429267089</v>
      </c>
      <c r="E1065" s="21">
        <f t="shared" ca="1" si="179"/>
        <v>8.8242656259508098E-2</v>
      </c>
    </row>
    <row r="1066" spans="1:7" x14ac:dyDescent="0.2">
      <c r="A1066" s="77">
        <v>10</v>
      </c>
      <c r="B1066" s="21">
        <f t="shared" ca="1" si="180"/>
        <v>6.75</v>
      </c>
      <c r="C1066" s="21">
        <f t="shared" ca="1" si="181"/>
        <v>1.7422347604217168</v>
      </c>
      <c r="D1066" s="21">
        <f t="shared" ca="1" si="182"/>
        <v>25.47670428126515</v>
      </c>
      <c r="E1066" s="21">
        <f t="shared" ca="1" si="179"/>
        <v>0.10962625852228394</v>
      </c>
    </row>
    <row r="1067" spans="1:7" x14ac:dyDescent="0.2">
      <c r="A1067" s="77">
        <v>11</v>
      </c>
      <c r="B1067" s="21">
        <f t="shared" ca="1" si="180"/>
        <v>6.75</v>
      </c>
      <c r="C1067" s="21">
        <f t="shared" ca="1" si="181"/>
        <v>1.6227891103811669</v>
      </c>
      <c r="D1067" s="21">
        <f t="shared" ca="1" si="182"/>
        <v>25.118367331143499</v>
      </c>
      <c r="E1067" s="21">
        <f t="shared" ca="1" si="179"/>
        <v>0.13345388563036539</v>
      </c>
    </row>
    <row r="1068" spans="1:7" x14ac:dyDescent="0.2">
      <c r="A1068" s="77">
        <v>14</v>
      </c>
      <c r="B1068" s="21">
        <f t="shared" ca="1" si="180"/>
        <v>6.75</v>
      </c>
      <c r="C1068" s="21">
        <f t="shared" ca="1" si="181"/>
        <v>1.5285119632057962</v>
      </c>
      <c r="D1068" s="21">
        <f t="shared" ca="1" si="182"/>
        <v>24.83553588961739</v>
      </c>
      <c r="E1068" s="21">
        <f t="shared" ca="1" si="179"/>
        <v>0.18999184955557302</v>
      </c>
    </row>
    <row r="1069" spans="1:7" x14ac:dyDescent="0.2">
      <c r="A1069" s="77">
        <v>18</v>
      </c>
      <c r="B1069" s="21">
        <f t="shared" ca="1" si="180"/>
        <v>6.75</v>
      </c>
      <c r="C1069" s="21">
        <f t="shared" ca="1" si="181"/>
        <v>1.5</v>
      </c>
      <c r="D1069" s="21">
        <f t="shared" ca="1" si="182"/>
        <v>24.75</v>
      </c>
      <c r="E1069" s="21">
        <f t="shared" ca="1" si="179"/>
        <v>0.33659999999999995</v>
      </c>
    </row>
    <row r="1071" spans="1:7" x14ac:dyDescent="0.2">
      <c r="A1071" s="6" t="s">
        <v>429</v>
      </c>
    </row>
    <row r="1072" spans="1:7" x14ac:dyDescent="0.2">
      <c r="A1072" s="77" t="s">
        <v>323</v>
      </c>
      <c r="B1072" s="19" t="s">
        <v>430</v>
      </c>
      <c r="C1072" s="6" t="s">
        <v>431</v>
      </c>
      <c r="D1072" s="19" t="s">
        <v>426</v>
      </c>
      <c r="E1072" s="6" t="s">
        <v>427</v>
      </c>
      <c r="F1072" s="19" t="s">
        <v>439</v>
      </c>
      <c r="G1072" s="19" t="s">
        <v>440</v>
      </c>
    </row>
    <row r="1073" spans="1:7" x14ac:dyDescent="0.2">
      <c r="A1073" s="77">
        <v>3</v>
      </c>
      <c r="B1073" s="19">
        <f ca="1">IF(AND(G986&gt;0,H986="USE",E1044="Y",B1044="Y",C1044="Y"),D972,0)</f>
        <v>0</v>
      </c>
      <c r="C1073" s="21">
        <f ca="1">IF(B1073&lt;&gt;0,F972,0)</f>
        <v>0</v>
      </c>
      <c r="D1073" s="21">
        <f t="shared" ref="D1073:D1083" ca="1" si="183">IF(B1073&lt;&gt;0,D1059,0)</f>
        <v>0</v>
      </c>
      <c r="E1073" s="21">
        <f t="shared" ref="E1073:E1083" ca="1" si="184">IF(B1073&lt;&gt;0,E1059,0)</f>
        <v>0</v>
      </c>
      <c r="F1073" s="19">
        <f ca="1">IF(B1073&lt;&gt;0,IF(AND(D1017="N",C1017="N"),0,IF(D1044="Y",1,0)),0)</f>
        <v>0</v>
      </c>
      <c r="G1073" s="19">
        <f ca="1">IF(B1073&lt;&gt;0,IF(AND(C1017="N",D1017="N"),0,IF(AND(D1044="N",E1044="Y"),1,0)),0)</f>
        <v>0</v>
      </c>
    </row>
    <row r="1074" spans="1:7" x14ac:dyDescent="0.2">
      <c r="A1074" s="77">
        <v>4</v>
      </c>
      <c r="B1074" s="19">
        <f t="shared" ref="B1074:B1083" ca="1" si="185">IF(AND(G987&gt;0,H987="USE",E1045="Y",B1045="Y",C1045="Y"),D973,0)</f>
        <v>0</v>
      </c>
      <c r="C1074" s="21">
        <f t="shared" ref="C1074:C1083" ca="1" si="186">IF(B1074&lt;&gt;0,F973,0)</f>
        <v>0</v>
      </c>
      <c r="D1074" s="21">
        <f t="shared" ca="1" si="183"/>
        <v>0</v>
      </c>
      <c r="E1074" s="21">
        <f t="shared" ca="1" si="184"/>
        <v>0</v>
      </c>
      <c r="F1074" s="19">
        <f t="shared" ref="F1074:F1084" ca="1" si="187">IF(B1074&lt;&gt;0,IF(AND(D1018="N",C1018="N"),0,IF(D1045="Y",1,0)),0)</f>
        <v>0</v>
      </c>
      <c r="G1074" s="19">
        <f t="shared" ref="G1074:G1084" ca="1" si="188">IF(B1074&lt;&gt;0,IF(AND(C1018="N",D1018="N"),0,IF(AND(D1045="N",E1045="Y"),1,0)),0)</f>
        <v>0</v>
      </c>
    </row>
    <row r="1075" spans="1:7" x14ac:dyDescent="0.2">
      <c r="A1075" s="77">
        <v>5</v>
      </c>
      <c r="B1075" s="19">
        <f t="shared" ca="1" si="185"/>
        <v>5</v>
      </c>
      <c r="C1075" s="21">
        <f t="shared" ca="1" si="186"/>
        <v>8.84375</v>
      </c>
      <c r="D1075" s="21">
        <f t="shared" ca="1" si="183"/>
        <v>42.260813356879268</v>
      </c>
      <c r="E1075" s="21">
        <f t="shared" ca="1" si="184"/>
        <v>4.4078028331225073E-2</v>
      </c>
      <c r="F1075" s="19">
        <f t="shared" ca="1" si="187"/>
        <v>0</v>
      </c>
      <c r="G1075" s="19">
        <f t="shared" ca="1" si="188"/>
        <v>0</v>
      </c>
    </row>
    <row r="1076" spans="1:7" x14ac:dyDescent="0.2">
      <c r="A1076" s="77">
        <v>6</v>
      </c>
      <c r="B1076" s="19">
        <f t="shared" ca="1" si="185"/>
        <v>4</v>
      </c>
      <c r="C1076" s="21">
        <f t="shared" ca="1" si="186"/>
        <v>11.75</v>
      </c>
      <c r="D1076" s="21">
        <f t="shared" ca="1" si="183"/>
        <v>34.081869474452475</v>
      </c>
      <c r="E1076" s="21">
        <f t="shared" ca="1" si="184"/>
        <v>5.1190967950627615E-2</v>
      </c>
      <c r="F1076" s="19">
        <f t="shared" ca="1" si="187"/>
        <v>0</v>
      </c>
      <c r="G1076" s="19">
        <f t="shared" ca="1" si="188"/>
        <v>0</v>
      </c>
    </row>
    <row r="1077" spans="1:7" x14ac:dyDescent="0.2">
      <c r="A1077" s="77">
        <v>7</v>
      </c>
      <c r="B1077" s="19">
        <f t="shared" ca="1" si="185"/>
        <v>0</v>
      </c>
      <c r="C1077" s="21">
        <f t="shared" ca="1" si="186"/>
        <v>0</v>
      </c>
      <c r="D1077" s="21">
        <f t="shared" ca="1" si="183"/>
        <v>0</v>
      </c>
      <c r="E1077" s="21">
        <f t="shared" ca="1" si="184"/>
        <v>0</v>
      </c>
      <c r="F1077" s="19">
        <f t="shared" ca="1" si="187"/>
        <v>0</v>
      </c>
      <c r="G1077" s="19">
        <f t="shared" ca="1" si="188"/>
        <v>0</v>
      </c>
    </row>
    <row r="1078" spans="1:7" x14ac:dyDescent="0.2">
      <c r="A1078" s="77">
        <v>8</v>
      </c>
      <c r="B1078" s="19">
        <f t="shared" ca="1" si="185"/>
        <v>0</v>
      </c>
      <c r="C1078" s="21">
        <f t="shared" ca="1" si="186"/>
        <v>0</v>
      </c>
      <c r="D1078" s="21">
        <f t="shared" ca="1" si="183"/>
        <v>0</v>
      </c>
      <c r="E1078" s="21">
        <f t="shared" ca="1" si="184"/>
        <v>0</v>
      </c>
      <c r="F1078" s="19">
        <f t="shared" ca="1" si="187"/>
        <v>0</v>
      </c>
      <c r="G1078" s="19">
        <f t="shared" ca="1" si="188"/>
        <v>0</v>
      </c>
    </row>
    <row r="1079" spans="1:7" x14ac:dyDescent="0.2">
      <c r="A1079" s="77">
        <v>9</v>
      </c>
      <c r="B1079" s="19">
        <f t="shared" ca="1" si="185"/>
        <v>0</v>
      </c>
      <c r="C1079" s="21">
        <f t="shared" ca="1" si="186"/>
        <v>0</v>
      </c>
      <c r="D1079" s="21">
        <f t="shared" ca="1" si="183"/>
        <v>0</v>
      </c>
      <c r="E1079" s="21">
        <f t="shared" ca="1" si="184"/>
        <v>0</v>
      </c>
      <c r="F1079" s="19">
        <f t="shared" ca="1" si="187"/>
        <v>0</v>
      </c>
      <c r="G1079" s="19">
        <f t="shared" ca="1" si="188"/>
        <v>0</v>
      </c>
    </row>
    <row r="1080" spans="1:7" x14ac:dyDescent="0.2">
      <c r="A1080" s="77">
        <v>10</v>
      </c>
      <c r="B1080" s="19">
        <f t="shared" ca="1" si="185"/>
        <v>0</v>
      </c>
      <c r="C1080" s="21">
        <f t="shared" ca="1" si="186"/>
        <v>0</v>
      </c>
      <c r="D1080" s="21">
        <f t="shared" ca="1" si="183"/>
        <v>0</v>
      </c>
      <c r="E1080" s="21">
        <f t="shared" ca="1" si="184"/>
        <v>0</v>
      </c>
      <c r="F1080" s="19">
        <f t="shared" ca="1" si="187"/>
        <v>0</v>
      </c>
      <c r="G1080" s="19">
        <f t="shared" ca="1" si="188"/>
        <v>0</v>
      </c>
    </row>
    <row r="1081" spans="1:7" x14ac:dyDescent="0.2">
      <c r="A1081" s="77">
        <v>11</v>
      </c>
      <c r="B1081" s="19">
        <f t="shared" ca="1" si="185"/>
        <v>0</v>
      </c>
      <c r="C1081" s="21">
        <f t="shared" ca="1" si="186"/>
        <v>0</v>
      </c>
      <c r="D1081" s="21">
        <f t="shared" ca="1" si="183"/>
        <v>0</v>
      </c>
      <c r="E1081" s="21">
        <f t="shared" ca="1" si="184"/>
        <v>0</v>
      </c>
      <c r="F1081" s="19">
        <f t="shared" ca="1" si="187"/>
        <v>0</v>
      </c>
      <c r="G1081" s="19">
        <f t="shared" ca="1" si="188"/>
        <v>0</v>
      </c>
    </row>
    <row r="1082" spans="1:7" x14ac:dyDescent="0.2">
      <c r="A1082" s="77">
        <v>14</v>
      </c>
      <c r="B1082" s="19">
        <f t="shared" ca="1" si="185"/>
        <v>0</v>
      </c>
      <c r="C1082" s="21">
        <f t="shared" ca="1" si="186"/>
        <v>0</v>
      </c>
      <c r="D1082" s="21">
        <f t="shared" ca="1" si="183"/>
        <v>0</v>
      </c>
      <c r="E1082" s="21">
        <f t="shared" ca="1" si="184"/>
        <v>0</v>
      </c>
      <c r="F1082" s="19">
        <f t="shared" ca="1" si="187"/>
        <v>0</v>
      </c>
      <c r="G1082" s="19">
        <f t="shared" ca="1" si="188"/>
        <v>0</v>
      </c>
    </row>
    <row r="1083" spans="1:7" x14ac:dyDescent="0.2">
      <c r="A1083" s="77">
        <v>18</v>
      </c>
      <c r="B1083" s="19">
        <f t="shared" ca="1" si="185"/>
        <v>0</v>
      </c>
      <c r="C1083" s="21">
        <f t="shared" ca="1" si="186"/>
        <v>0</v>
      </c>
      <c r="D1083" s="21">
        <f t="shared" ca="1" si="183"/>
        <v>0</v>
      </c>
      <c r="E1083" s="21">
        <f t="shared" ca="1" si="184"/>
        <v>0</v>
      </c>
      <c r="F1083" s="19">
        <f t="shared" ca="1" si="187"/>
        <v>0</v>
      </c>
      <c r="G1083" s="19">
        <f t="shared" ca="1" si="188"/>
        <v>0</v>
      </c>
    </row>
    <row r="1084" spans="1:7" x14ac:dyDescent="0.2">
      <c r="B1084" s="82">
        <f ca="1">MAX(B1073:B1083)</f>
        <v>5</v>
      </c>
      <c r="C1084" s="82">
        <f ca="1">_xlfn.MINIFS(C1073:C1083,C1073:C1083,"&lt;&gt;0")</f>
        <v>8.84375</v>
      </c>
      <c r="D1084" s="82">
        <f ca="1">MAX(D1073:D1083)</f>
        <v>42.260813356879268</v>
      </c>
      <c r="E1084" s="82">
        <f ca="1">MAX(E1073:E1083)</f>
        <v>5.1190967950627615E-2</v>
      </c>
      <c r="F1084" s="19">
        <f t="shared" ca="1" si="187"/>
        <v>0</v>
      </c>
      <c r="G1084" s="19">
        <f t="shared" ca="1" si="188"/>
        <v>0</v>
      </c>
    </row>
    <row r="1085" spans="1:7" x14ac:dyDescent="0.2">
      <c r="A1085" s="6" t="s">
        <v>432</v>
      </c>
    </row>
    <row r="1087" spans="1:7" x14ac:dyDescent="0.2">
      <c r="A1087" s="15" t="s">
        <v>433</v>
      </c>
      <c r="B1087" s="77">
        <f>$I$47</f>
        <v>1</v>
      </c>
      <c r="C1087" s="77">
        <f>$J$47</f>
        <v>1</v>
      </c>
      <c r="D1087" s="77">
        <f>$K$47</f>
        <v>1</v>
      </c>
      <c r="E1087" s="77">
        <f>$L$47</f>
        <v>1</v>
      </c>
      <c r="F1087" s="77">
        <f>$M$47</f>
        <v>0.5</v>
      </c>
      <c r="G1087" s="77">
        <f>$N$47</f>
        <v>0.75</v>
      </c>
    </row>
    <row r="1089" spans="1:7" x14ac:dyDescent="0.2">
      <c r="A1089" s="77" t="s">
        <v>323</v>
      </c>
      <c r="B1089" s="19" t="s">
        <v>434</v>
      </c>
      <c r="C1089" s="6" t="s">
        <v>435</v>
      </c>
    </row>
    <row r="1090" spans="1:7" x14ac:dyDescent="0.2">
      <c r="A1090" s="77">
        <v>3</v>
      </c>
      <c r="B1090" s="21">
        <f t="shared" ref="B1090:B1100" ca="1" si="189">IF(B1073=0,1000,(bar_count_cost*(B1073/$B$732))+(bar_spacing_cost*($C$732/C1073))+(bar_length_cost*(D1073/$D$732))+(bar_weight_cost*(E1073/$E$732))+(bar_90hook_cost*F1073)+(bar_180hook_cost*G1073))</f>
        <v>1000</v>
      </c>
      <c r="C1090" s="6" t="s">
        <v>441</v>
      </c>
    </row>
    <row r="1091" spans="1:7" x14ac:dyDescent="0.2">
      <c r="A1091" s="77">
        <v>4</v>
      </c>
      <c r="B1091" s="21">
        <f t="shared" ca="1" si="189"/>
        <v>1000</v>
      </c>
      <c r="C1091" s="6" t="s">
        <v>442</v>
      </c>
    </row>
    <row r="1092" spans="1:7" x14ac:dyDescent="0.2">
      <c r="A1092" s="77">
        <v>5</v>
      </c>
      <c r="B1092" s="21">
        <f t="shared" ca="1" si="189"/>
        <v>2.7576589571903938</v>
      </c>
      <c r="C1092" s="6" t="s">
        <v>436</v>
      </c>
    </row>
    <row r="1093" spans="1:7" x14ac:dyDescent="0.2">
      <c r="A1093" s="77">
        <v>6</v>
      </c>
      <c r="B1093" s="21">
        <f t="shared" ca="1" si="189"/>
        <v>2.4209025000609179</v>
      </c>
      <c r="C1093" s="6" t="s">
        <v>437</v>
      </c>
    </row>
    <row r="1094" spans="1:7" x14ac:dyDescent="0.2">
      <c r="A1094" s="77">
        <v>7</v>
      </c>
      <c r="B1094" s="21">
        <f t="shared" ca="1" si="189"/>
        <v>1000</v>
      </c>
      <c r="C1094" s="6" t="s">
        <v>438</v>
      </c>
    </row>
    <row r="1095" spans="1:7" x14ac:dyDescent="0.2">
      <c r="A1095" s="77">
        <v>8</v>
      </c>
      <c r="B1095" s="21">
        <f t="shared" ca="1" si="189"/>
        <v>1000</v>
      </c>
    </row>
    <row r="1096" spans="1:7" x14ac:dyDescent="0.2">
      <c r="A1096" s="77">
        <v>9</v>
      </c>
      <c r="B1096" s="21">
        <f t="shared" ca="1" si="189"/>
        <v>1000</v>
      </c>
    </row>
    <row r="1097" spans="1:7" x14ac:dyDescent="0.2">
      <c r="A1097" s="77">
        <v>10</v>
      </c>
      <c r="B1097" s="21">
        <f t="shared" ca="1" si="189"/>
        <v>1000</v>
      </c>
    </row>
    <row r="1098" spans="1:7" x14ac:dyDescent="0.2">
      <c r="A1098" s="77">
        <v>11</v>
      </c>
      <c r="B1098" s="21">
        <f t="shared" ca="1" si="189"/>
        <v>1000</v>
      </c>
    </row>
    <row r="1099" spans="1:7" x14ac:dyDescent="0.2">
      <c r="A1099" s="77">
        <v>14</v>
      </c>
      <c r="B1099" s="21">
        <f t="shared" ca="1" si="189"/>
        <v>1000</v>
      </c>
    </row>
    <row r="1100" spans="1:7" x14ac:dyDescent="0.2">
      <c r="A1100" s="77">
        <v>18</v>
      </c>
      <c r="B1100" s="21">
        <f t="shared" ca="1" si="189"/>
        <v>1000</v>
      </c>
    </row>
    <row r="1101" spans="1:7" x14ac:dyDescent="0.2">
      <c r="B1101" s="21">
        <f ca="1">MIN(B1090:B1100)</f>
        <v>2.4209025000609179</v>
      </c>
    </row>
    <row r="1102" spans="1:7" x14ac:dyDescent="0.2">
      <c r="A1102" s="6" t="s">
        <v>443</v>
      </c>
    </row>
    <row r="1104" spans="1:7" x14ac:dyDescent="0.2">
      <c r="A1104" s="19">
        <f ca="1">OFFSET(A1072,MATCH($B$749,$B$738:$B$748,0),0)</f>
        <v>6</v>
      </c>
      <c r="B1104" s="19">
        <f ca="1">OFFSET(B1072,MATCH($B$749,$B$738:$B$748,0),0)</f>
        <v>4</v>
      </c>
      <c r="C1104" s="19">
        <f ca="1">OFFSET(C1072,MATCH($B$749,$B$738:$B$748,0),0)</f>
        <v>11.75</v>
      </c>
      <c r="D1104" s="19">
        <f ca="1">OFFSET(D1072,MATCH($B$749,$B$738:$B$748,0),0)/B1104</f>
        <v>8.5204673686131187</v>
      </c>
      <c r="E1104" s="19">
        <f ca="1">OFFSET(E1072,MATCH($B$749,$B$738:$B$748,0),0)</f>
        <v>5.1190967950627615E-2</v>
      </c>
      <c r="F1104" s="19">
        <f ca="1">OFFSET(F1072,MATCH($B$749,$B$738:$B$748,0),0)</f>
        <v>0</v>
      </c>
      <c r="G1104" s="19">
        <f ca="1">OFFSET(G1072,MATCH($B$749,$B$738:$B$748,0),0)</f>
        <v>0</v>
      </c>
    </row>
    <row r="1105" spans="1:7" x14ac:dyDescent="0.2">
      <c r="F1105" s="19" t="str">
        <f ca="1">OFFSET(C1016,MATCH($B$749,$B$738:$B$748,0),0)</f>
        <v>N</v>
      </c>
      <c r="G1105" s="19" t="str">
        <f ca="1">OFFSET(D1016,MATCH($B$749,$B$738:$B$748,0),0)</f>
        <v>N</v>
      </c>
    </row>
    <row r="1106" spans="1:7" x14ac:dyDescent="0.2">
      <c r="F1106" s="19" t="str">
        <f ca="1">OFFSET(D1043,MATCH($B$749,$B$738:$B$748,0),0)</f>
        <v>Y</v>
      </c>
      <c r="G1106" s="19" t="str">
        <f ca="1">OFFSET(E1043,MATCH($B$749,$B$738:$B$748,0),0)</f>
        <v>Y</v>
      </c>
    </row>
    <row r="1107" spans="1:7" x14ac:dyDescent="0.2">
      <c r="F1107" s="6" t="str">
        <f ca="1">IF(AND(F1105="Y",F1106="Y"),"Left End: 90 Hook",IF(AND(F1105="Y",F1106="N",G1106="Y"),"Left End: 180 Hook","Left End: Straight"))</f>
        <v>Left End: Straight</v>
      </c>
      <c r="G1107" s="6" t="str">
        <f ca="1">IF(AND(G1105="Y",F1106="Y"),"Right End: 90 Hook",IF(AND(G1105="Y",F1106="N",G1106="Y"),"Right End: 180 Hook","Right End: Straight"))</f>
        <v>Right End: Straight</v>
      </c>
    </row>
    <row r="1108" spans="1:7" x14ac:dyDescent="0.2">
      <c r="A1108" s="19" t="s">
        <v>444</v>
      </c>
      <c r="B1108" s="6" t="str">
        <f ca="1">IF(B1101=1000,"**FAILURE** - NO BAR SETS WORK",IF(AND(B762="OK",J205="Y"),"PLAIN CONCRETE OK","( "&amp;B1104&amp;" ) #"&amp;A1104&amp;" @ "&amp;ROUND(C1104,3)&amp;" in o.c. w/ "&amp;F1107&amp;" - "&amp;G1107))</f>
        <v>( 4 ) #6 @ 11.75 in o.c. w/ Left End: Straight - Right End: Straight</v>
      </c>
    </row>
    <row r="1109" spans="1:7" x14ac:dyDescent="0.2">
      <c r="A1109" s="6" t="s">
        <v>461</v>
      </c>
      <c r="B1109" s="19">
        <f ca="1">IF(B1101=1000,0,1)</f>
        <v>1</v>
      </c>
    </row>
    <row r="1111" spans="1:7" x14ac:dyDescent="0.2">
      <c r="A1111" s="6" t="s">
        <v>468</v>
      </c>
    </row>
    <row r="1112" spans="1:7" x14ac:dyDescent="0.2">
      <c r="A1112" s="43" t="s">
        <v>463</v>
      </c>
      <c r="B1112" s="51">
        <f ca="1">OFFSET(B943,MATCH(A1104,A944:A954,0),0)</f>
        <v>14.625</v>
      </c>
      <c r="C1112" s="6" t="s">
        <v>2</v>
      </c>
    </row>
    <row r="1113" spans="1:7" x14ac:dyDescent="0.2">
      <c r="A1113" s="43" t="s">
        <v>464</v>
      </c>
      <c r="B1113" s="51">
        <f ca="1">x_m_right+(B1112/12)</f>
        <v>28.21875</v>
      </c>
      <c r="C1113" s="6" t="s">
        <v>1</v>
      </c>
    </row>
    <row r="1114" spans="1:7" x14ac:dyDescent="0.2">
      <c r="A1114" s="43" t="s">
        <v>466</v>
      </c>
      <c r="B1114" s="51" cm="1">
        <f t="array" aca="1" ref="B1114" ca="1">MAX(ABS(Long_VandM!CH144:CI144))</f>
        <v>14.262149552374368</v>
      </c>
      <c r="C1114" s="6" t="s">
        <v>362</v>
      </c>
    </row>
    <row r="1115" spans="1:7" x14ac:dyDescent="0.2">
      <c r="A1115" s="43" t="s">
        <v>467</v>
      </c>
      <c r="B1115" s="51">
        <f ca="1">phi_V_pc*2*SQRT(fc_fnd_psi)*(Bf_ft*12)*B1112*(1/1000)</f>
        <v>40.372629713705791</v>
      </c>
      <c r="C1115" s="6" t="s">
        <v>362</v>
      </c>
      <c r="D1115" s="6">
        <f ca="1">IF(B1115&gt;B1114,1,0)</f>
        <v>1</v>
      </c>
    </row>
  </sheetData>
  <conditionalFormatting sqref="G321">
    <cfRule type="cellIs" dxfId="16" priority="19" operator="greaterThan">
      <formula>0</formula>
    </cfRule>
  </conditionalFormatting>
  <conditionalFormatting sqref="G289">
    <cfRule type="cellIs" dxfId="15" priority="18" operator="greaterThan">
      <formula>0</formula>
    </cfRule>
  </conditionalFormatting>
  <conditionalFormatting sqref="A265:G288">
    <cfRule type="expression" dxfId="14" priority="17">
      <formula>$G265&gt;0</formula>
    </cfRule>
  </conditionalFormatting>
  <conditionalFormatting sqref="A297:G320">
    <cfRule type="expression" dxfId="13" priority="16">
      <formula>$G297&gt;0</formula>
    </cfRule>
  </conditionalFormatting>
  <conditionalFormatting sqref="E350">
    <cfRule type="cellIs" dxfId="12" priority="15" operator="greaterThan">
      <formula>0</formula>
    </cfRule>
  </conditionalFormatting>
  <conditionalFormatting sqref="A326:E349">
    <cfRule type="expression" dxfId="11" priority="14">
      <formula>$E326&lt;1</formula>
    </cfRule>
  </conditionalFormatting>
  <conditionalFormatting sqref="B415:H439">
    <cfRule type="expression" dxfId="10" priority="6">
      <formula>$H415&gt;0</formula>
    </cfRule>
    <cfRule type="expression" dxfId="9" priority="13">
      <formula>$G415&gt;0</formula>
    </cfRule>
  </conditionalFormatting>
  <conditionalFormatting sqref="G440">
    <cfRule type="cellIs" dxfId="8" priority="12" operator="greaterThan">
      <formula>0</formula>
    </cfRule>
  </conditionalFormatting>
  <conditionalFormatting sqref="B444:E468">
    <cfRule type="expression" dxfId="7" priority="11">
      <formula>$G444&gt;0</formula>
    </cfRule>
  </conditionalFormatting>
  <conditionalFormatting sqref="H289">
    <cfRule type="cellIs" dxfId="6" priority="10" operator="greaterThan">
      <formula>0</formula>
    </cfRule>
  </conditionalFormatting>
  <conditionalFormatting sqref="H265:H288">
    <cfRule type="expression" dxfId="5" priority="9">
      <formula>$G265&gt;0</formula>
    </cfRule>
  </conditionalFormatting>
  <conditionalFormatting sqref="A265:H288">
    <cfRule type="expression" dxfId="4" priority="8">
      <formula>$H265&gt;0</formula>
    </cfRule>
  </conditionalFormatting>
  <conditionalFormatting sqref="H440">
    <cfRule type="cellIs" dxfId="3" priority="5" operator="greaterThan">
      <formula>0</formula>
    </cfRule>
  </conditionalFormatting>
  <conditionalFormatting sqref="I24:Q24">
    <cfRule type="expression" dxfId="2" priority="3">
      <formula>$Q$24="WARNING"</formula>
    </cfRule>
  </conditionalFormatting>
  <conditionalFormatting sqref="Q9">
    <cfRule type="expression" dxfId="1" priority="2">
      <formula>$Q$9="NG"</formula>
    </cfRule>
  </conditionalFormatting>
  <conditionalFormatting sqref="I9:P9">
    <cfRule type="expression" dxfId="0" priority="1">
      <formula>$Q$9="NG"</formula>
    </cfRule>
  </conditionalFormatting>
  <dataValidations disablePrompts="1" count="11">
    <dataValidation type="list" allowBlank="1" showInputMessage="1" showErrorMessage="1" sqref="B12" xr:uid="{1439E298-5F49-484A-BE5D-C5561614F7CD}">
      <formula1>"CIP,Masonry"</formula1>
    </dataValidation>
    <dataValidation type="list" allowBlank="1" showInputMessage="1" showErrorMessage="1" sqref="G69:G107" xr:uid="{6E2147E9-2FCF-4EDC-BF59-D951FA85D582}">
      <formula1>"D,L,Lr,R,S,H,Wp,Wn,Ep,En"</formula1>
    </dataValidation>
    <dataValidation type="list" allowBlank="1" showInputMessage="1" showErrorMessage="1" sqref="F69:F107" xr:uid="{0CE3BC88-4FED-4479-A2A7-AAB39AA070A0}">
      <formula1>"POINT,MOMENT,UDL,TRAP"</formula1>
    </dataValidation>
    <dataValidation type="list" allowBlank="1" showInputMessage="1" showErrorMessage="1" sqref="F68" xr:uid="{9B412DAA-A366-4432-9C95-A1DD8215E0E6}">
      <formula1>"POINT,MOMENT,UDL,TRAP,N/A"</formula1>
    </dataValidation>
    <dataValidation type="list" allowBlank="1" showInputMessage="1" showErrorMessage="1" sqref="G68" xr:uid="{AE5F573B-376E-4C55-B626-8309EE91BE32}">
      <formula1>"D,F,L,H,Lr,S,R,Wp,Wn,Ep,En"</formula1>
    </dataValidation>
    <dataValidation type="list" allowBlank="1" showInputMessage="1" showErrorMessage="1" sqref="B56" xr:uid="{98279426-FA5E-48DE-8BBE-638F6C5FC834}">
      <formula1>"0.7,0.2"</formula1>
    </dataValidation>
    <dataValidation type="list" allowBlank="1" showInputMessage="1" showErrorMessage="1" sqref="B55" xr:uid="{B81C6563-9CE0-4B29-865F-8A34E9503468}">
      <formula1>"1,0.5"</formula1>
    </dataValidation>
    <dataValidation type="list" allowBlank="1" showInputMessage="1" showErrorMessage="1" sqref="B57" xr:uid="{49ED1B8B-8D1B-4864-BE88-BE11CE174B21}">
      <formula1>"1.0,1.3"</formula1>
    </dataValidation>
    <dataValidation type="list" allowBlank="1" showInputMessage="1" showErrorMessage="1" sqref="B58" xr:uid="{7048CC61-4216-4AB0-BA88-22E559366A40}">
      <formula1>"0.25,0.1,0"</formula1>
    </dataValidation>
    <dataValidation type="list" allowBlank="1" showInputMessage="1" showErrorMessage="1" sqref="G8 J28" xr:uid="{294F7F13-3808-44B9-BD9E-D54B7F09D443}">
      <formula1>"Y,N"</formula1>
    </dataValidation>
    <dataValidation type="list" allowBlank="1" showInputMessage="1" showErrorMessage="1" sqref="J31:J41" xr:uid="{362F0EB6-A092-42E0-9F91-533799557692}">
      <formula1>"USE,N/A"</formula1>
    </dataValidation>
  </dataValidation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601FB-0D1C-4E45-8ED1-F95FC018B8EC}">
  <sheetPr codeName="Sheet2"/>
  <dimension ref="A1:CN144"/>
  <sheetViews>
    <sheetView topLeftCell="BM124" workbookViewId="0">
      <selection activeCell="CG150" sqref="CG150"/>
    </sheetView>
  </sheetViews>
  <sheetFormatPr defaultRowHeight="15" x14ac:dyDescent="0.25"/>
  <cols>
    <col min="1" max="1" width="22.7109375" customWidth="1"/>
    <col min="2" max="2" width="14" customWidth="1"/>
    <col min="3" max="3" width="13.7109375" customWidth="1"/>
    <col min="7" max="7" width="10.28515625" bestFit="1" customWidth="1"/>
    <col min="9" max="9" width="10.5703125" bestFit="1" customWidth="1"/>
    <col min="10" max="10" width="10.28515625" bestFit="1" customWidth="1"/>
  </cols>
  <sheetData>
    <row r="1" spans="1:21" x14ac:dyDescent="0.25">
      <c r="A1" t="s">
        <v>294</v>
      </c>
    </row>
    <row r="3" spans="1:21" ht="36" x14ac:dyDescent="0.25">
      <c r="A3" t="s">
        <v>113</v>
      </c>
      <c r="B3" s="3" t="s">
        <v>106</v>
      </c>
      <c r="C3" s="3" t="s">
        <v>298</v>
      </c>
      <c r="D3" s="4" t="s">
        <v>100</v>
      </c>
      <c r="E3" s="4" t="s">
        <v>101</v>
      </c>
      <c r="F3" s="4" t="s">
        <v>102</v>
      </c>
      <c r="G3" s="4" t="s">
        <v>103</v>
      </c>
      <c r="J3" t="str">
        <f>Shear_Wall_Foundation!A354</f>
        <v>IBC Eq.</v>
      </c>
      <c r="K3" s="1" t="str">
        <f>Shear_Wall_Foundation!B354</f>
        <v>D</v>
      </c>
      <c r="L3" s="1" t="str">
        <f>Shear_Wall_Foundation!C354</f>
        <v>F</v>
      </c>
      <c r="M3" s="1" t="str">
        <f>Shear_Wall_Foundation!D354</f>
        <v>L</v>
      </c>
      <c r="N3" s="1" t="str">
        <f>Shear_Wall_Foundation!E354</f>
        <v>H</v>
      </c>
      <c r="O3" s="1" t="str">
        <f>Shear_Wall_Foundation!F354</f>
        <v>Lr</v>
      </c>
      <c r="P3" s="1" t="str">
        <f>Shear_Wall_Foundation!G354</f>
        <v>S</v>
      </c>
      <c r="Q3" s="1" t="str">
        <f>Shear_Wall_Foundation!H354</f>
        <v>R</v>
      </c>
      <c r="R3" s="1" t="str">
        <f>Shear_Wall_Foundation!B381</f>
        <v>Wp</v>
      </c>
      <c r="S3" s="1" t="str">
        <f>Shear_Wall_Foundation!C381</f>
        <v>Wn</v>
      </c>
      <c r="T3" s="1" t="str">
        <f>Shear_Wall_Foundation!D381</f>
        <v>Ep</v>
      </c>
      <c r="U3" s="1" t="str">
        <f>Shear_Wall_Foundation!E381</f>
        <v>En</v>
      </c>
    </row>
    <row r="4" spans="1:21" x14ac:dyDescent="0.25">
      <c r="A4" t="s">
        <v>295</v>
      </c>
      <c r="B4" s="76">
        <f>(Bf_ft*(tf_in/12)*fnd_density_pcf*(1/1000))</f>
        <v>0.76124999999999998</v>
      </c>
      <c r="C4" s="76">
        <f>B4</f>
        <v>0.76124999999999998</v>
      </c>
      <c r="D4" s="76">
        <v>0</v>
      </c>
      <c r="E4" s="76">
        <f>Lf_ft</f>
        <v>30</v>
      </c>
      <c r="F4" s="76" t="s">
        <v>177</v>
      </c>
      <c r="G4" s="76" t="s">
        <v>104</v>
      </c>
      <c r="J4" s="1" t="str">
        <f>Shear_Wall_Foundation!A355</f>
        <v>16-1</v>
      </c>
      <c r="K4" s="1">
        <f>Shear_Wall_Foundation!B355</f>
        <v>1.4</v>
      </c>
      <c r="L4" s="1">
        <f>Shear_Wall_Foundation!C355</f>
        <v>1.4</v>
      </c>
      <c r="M4" s="1">
        <f>Shear_Wall_Foundation!D355</f>
        <v>0</v>
      </c>
      <c r="N4" s="1">
        <f>Shear_Wall_Foundation!E355</f>
        <v>0</v>
      </c>
      <c r="O4" s="1">
        <f>Shear_Wall_Foundation!F355</f>
        <v>0</v>
      </c>
      <c r="P4" s="1">
        <f>Shear_Wall_Foundation!G355</f>
        <v>0</v>
      </c>
      <c r="Q4" s="1">
        <f>Shear_Wall_Foundation!H355</f>
        <v>0</v>
      </c>
      <c r="R4" s="1">
        <f>Shear_Wall_Foundation!B382</f>
        <v>0</v>
      </c>
      <c r="S4" s="1">
        <f>Shear_Wall_Foundation!C382</f>
        <v>0</v>
      </c>
      <c r="T4" s="1">
        <f>Shear_Wall_Foundation!D382</f>
        <v>0</v>
      </c>
      <c r="U4" s="1">
        <f>Shear_Wall_Foundation!E382</f>
        <v>0</v>
      </c>
    </row>
    <row r="5" spans="1:21" x14ac:dyDescent="0.25">
      <c r="A5" t="s">
        <v>296</v>
      </c>
      <c r="B5" s="76">
        <f>Hs_ft*(ts_in/12)*stem_density_pcf*(1/1000)</f>
        <v>0.2416666666666667</v>
      </c>
      <c r="C5" s="76">
        <f>B5</f>
        <v>0.2416666666666667</v>
      </c>
      <c r="D5" s="76">
        <f>s_left_offset_ft</f>
        <v>7</v>
      </c>
      <c r="E5" s="76">
        <f>s_left_offset_ft+Ls_ft</f>
        <v>27</v>
      </c>
      <c r="F5" s="76" t="s">
        <v>177</v>
      </c>
      <c r="G5" s="76" t="s">
        <v>104</v>
      </c>
      <c r="J5" s="1" t="str">
        <f>Shear_Wall_Foundation!A356</f>
        <v>16-2Lr</v>
      </c>
      <c r="K5" s="1">
        <f>Shear_Wall_Foundation!B356</f>
        <v>1.2</v>
      </c>
      <c r="L5" s="1">
        <f>Shear_Wall_Foundation!C356</f>
        <v>1.2</v>
      </c>
      <c r="M5" s="1">
        <f>Shear_Wall_Foundation!D356</f>
        <v>1.6</v>
      </c>
      <c r="N5" s="1">
        <f>Shear_Wall_Foundation!E356</f>
        <v>1.6</v>
      </c>
      <c r="O5" s="1">
        <f>Shear_Wall_Foundation!F356</f>
        <v>0.5</v>
      </c>
      <c r="P5" s="1">
        <f>Shear_Wall_Foundation!G356</f>
        <v>0</v>
      </c>
      <c r="Q5" s="1">
        <f>Shear_Wall_Foundation!H356</f>
        <v>0</v>
      </c>
      <c r="R5" s="1">
        <f>Shear_Wall_Foundation!B383</f>
        <v>0</v>
      </c>
      <c r="S5" s="1">
        <f>Shear_Wall_Foundation!C383</f>
        <v>0</v>
      </c>
      <c r="T5" s="1">
        <f>Shear_Wall_Foundation!D383</f>
        <v>0</v>
      </c>
      <c r="U5" s="1">
        <f>Shear_Wall_Foundation!E383</f>
        <v>0</v>
      </c>
    </row>
    <row r="6" spans="1:21" x14ac:dyDescent="0.25">
      <c r="A6" t="s">
        <v>163</v>
      </c>
      <c r="B6" s="76">
        <f>Hoverburden_ft*soil_density_pcf*Bf_ft*(1/1000)</f>
        <v>0.77</v>
      </c>
      <c r="C6" s="76">
        <f>B6</f>
        <v>0.77</v>
      </c>
      <c r="D6" s="76">
        <v>0</v>
      </c>
      <c r="E6" s="76">
        <f>Lf_ft</f>
        <v>30</v>
      </c>
      <c r="F6" s="76" t="s">
        <v>177</v>
      </c>
      <c r="G6" s="76" t="s">
        <v>104</v>
      </c>
      <c r="J6" s="1" t="str">
        <f>Shear_Wall_Foundation!A357</f>
        <v>16-2S</v>
      </c>
      <c r="K6" s="1">
        <f>Shear_Wall_Foundation!B357</f>
        <v>1.2</v>
      </c>
      <c r="L6" s="1">
        <f>Shear_Wall_Foundation!C357</f>
        <v>1.2</v>
      </c>
      <c r="M6" s="1">
        <f>Shear_Wall_Foundation!D357</f>
        <v>1.6</v>
      </c>
      <c r="N6" s="1">
        <f>Shear_Wall_Foundation!E357</f>
        <v>1.6</v>
      </c>
      <c r="O6" s="1">
        <f>Shear_Wall_Foundation!F357</f>
        <v>0</v>
      </c>
      <c r="P6" s="1">
        <f>Shear_Wall_Foundation!G357</f>
        <v>0.5</v>
      </c>
      <c r="Q6" s="1">
        <f>Shear_Wall_Foundation!H357</f>
        <v>0</v>
      </c>
      <c r="R6" s="1">
        <f>Shear_Wall_Foundation!B384</f>
        <v>0</v>
      </c>
      <c r="S6" s="1">
        <f>Shear_Wall_Foundation!C384</f>
        <v>0</v>
      </c>
      <c r="T6" s="1">
        <f>Shear_Wall_Foundation!D384</f>
        <v>0</v>
      </c>
      <c r="U6" s="1">
        <f>Shear_Wall_Foundation!E384</f>
        <v>0</v>
      </c>
    </row>
    <row r="7" spans="1:21" x14ac:dyDescent="0.25">
      <c r="A7" t="s">
        <v>297</v>
      </c>
      <c r="B7" s="76">
        <f>(ts_in/12)*Hoverburden_ft*soil_density_pcf*(1/1000)*-1</f>
        <v>-0.18333333333333335</v>
      </c>
      <c r="C7" s="76">
        <f>B7</f>
        <v>-0.18333333333333335</v>
      </c>
      <c r="D7" s="76">
        <f>s_left_offset_ft</f>
        <v>7</v>
      </c>
      <c r="E7" s="76">
        <f>s_left_offset_ft+Ls_ft</f>
        <v>27</v>
      </c>
      <c r="F7" s="76" t="s">
        <v>177</v>
      </c>
      <c r="G7" s="76" t="s">
        <v>104</v>
      </c>
      <c r="J7" s="1" t="str">
        <f>Shear_Wall_Foundation!A358</f>
        <v>16-2R</v>
      </c>
      <c r="K7" s="1">
        <f>Shear_Wall_Foundation!B358</f>
        <v>1.2</v>
      </c>
      <c r="L7" s="1">
        <f>Shear_Wall_Foundation!C358</f>
        <v>1.2</v>
      </c>
      <c r="M7" s="1">
        <f>Shear_Wall_Foundation!D358</f>
        <v>1.6</v>
      </c>
      <c r="N7" s="1">
        <f>Shear_Wall_Foundation!E358</f>
        <v>1.6</v>
      </c>
      <c r="O7" s="1">
        <f>Shear_Wall_Foundation!F358</f>
        <v>0</v>
      </c>
      <c r="P7" s="1">
        <f>Shear_Wall_Foundation!G358</f>
        <v>0</v>
      </c>
      <c r="Q7" s="1">
        <f>Shear_Wall_Foundation!H358</f>
        <v>0.5</v>
      </c>
      <c r="R7" s="1">
        <f>Shear_Wall_Foundation!B385</f>
        <v>0</v>
      </c>
      <c r="S7" s="1">
        <f>Shear_Wall_Foundation!C385</f>
        <v>0</v>
      </c>
      <c r="T7" s="1">
        <f>Shear_Wall_Foundation!D385</f>
        <v>0</v>
      </c>
      <c r="U7" s="1">
        <f>Shear_Wall_Foundation!E385</f>
        <v>0</v>
      </c>
    </row>
    <row r="8" spans="1:21" x14ac:dyDescent="0.25">
      <c r="A8" t="str">
        <f>Shear_Wall_Foundation!A122</f>
        <v>Wind +x - Hold Down</v>
      </c>
      <c r="B8" s="76">
        <f>Shear_Wall_Foundation!B122</f>
        <v>-45.214770158251696</v>
      </c>
      <c r="C8" s="76">
        <v>0</v>
      </c>
      <c r="D8" s="76">
        <f>Shear_Wall_Foundation!C122</f>
        <v>10.177083333333334</v>
      </c>
      <c r="E8" s="76">
        <v>0</v>
      </c>
      <c r="F8" s="76" t="s">
        <v>182</v>
      </c>
      <c r="G8" s="76" t="s">
        <v>147</v>
      </c>
      <c r="J8" s="1" t="str">
        <f>Shear_Wall_Foundation!A359</f>
        <v>16-3Lr_L</v>
      </c>
      <c r="K8" s="1">
        <f>Shear_Wall_Foundation!B359</f>
        <v>1.2</v>
      </c>
      <c r="L8" s="1">
        <f>Shear_Wall_Foundation!C359</f>
        <v>1.2</v>
      </c>
      <c r="M8" s="1">
        <f>Shear_Wall_Foundation!D359</f>
        <v>0.5</v>
      </c>
      <c r="N8" s="1">
        <f>Shear_Wall_Foundation!E359</f>
        <v>1.6</v>
      </c>
      <c r="O8" s="1">
        <f>Shear_Wall_Foundation!F359</f>
        <v>1.6</v>
      </c>
      <c r="P8" s="1">
        <f>Shear_Wall_Foundation!G359</f>
        <v>0</v>
      </c>
      <c r="Q8" s="1">
        <f>Shear_Wall_Foundation!H359</f>
        <v>0</v>
      </c>
      <c r="R8" s="1">
        <f>Shear_Wall_Foundation!B386</f>
        <v>0</v>
      </c>
      <c r="S8" s="1">
        <f>Shear_Wall_Foundation!C386</f>
        <v>0</v>
      </c>
      <c r="T8" s="1">
        <f>Shear_Wall_Foundation!D386</f>
        <v>0</v>
      </c>
      <c r="U8" s="1">
        <f>Shear_Wall_Foundation!E386</f>
        <v>0</v>
      </c>
    </row>
    <row r="9" spans="1:21" x14ac:dyDescent="0.25">
      <c r="A9" t="str">
        <f>Shear_Wall_Foundation!A123</f>
        <v>Wind +x - Chord</v>
      </c>
      <c r="B9" s="76">
        <f>Shear_Wall_Foundation!B123</f>
        <v>45.214770158251696</v>
      </c>
      <c r="C9" s="76">
        <v>0</v>
      </c>
      <c r="D9" s="76">
        <f>Shear_Wall_Foundation!C123</f>
        <v>24</v>
      </c>
      <c r="E9" s="76">
        <v>0</v>
      </c>
      <c r="F9" s="76" t="s">
        <v>182</v>
      </c>
      <c r="G9" s="76" t="s">
        <v>147</v>
      </c>
      <c r="J9" s="1" t="str">
        <f>Shear_Wall_Foundation!A360</f>
        <v>16-3S_L</v>
      </c>
      <c r="K9" s="1">
        <f>Shear_Wall_Foundation!B360</f>
        <v>1.2</v>
      </c>
      <c r="L9" s="1">
        <f>Shear_Wall_Foundation!C360</f>
        <v>1.2</v>
      </c>
      <c r="M9" s="1">
        <f>Shear_Wall_Foundation!D360</f>
        <v>0.5</v>
      </c>
      <c r="N9" s="1">
        <f>Shear_Wall_Foundation!E360</f>
        <v>1.6</v>
      </c>
      <c r="O9" s="1">
        <f>Shear_Wall_Foundation!F360</f>
        <v>0</v>
      </c>
      <c r="P9" s="1">
        <f>Shear_Wall_Foundation!G360</f>
        <v>1.6</v>
      </c>
      <c r="Q9" s="1">
        <f>Shear_Wall_Foundation!H360</f>
        <v>0</v>
      </c>
      <c r="R9" s="1">
        <f>Shear_Wall_Foundation!B387</f>
        <v>0</v>
      </c>
      <c r="S9" s="1">
        <f>Shear_Wall_Foundation!C387</f>
        <v>0</v>
      </c>
      <c r="T9" s="1">
        <f>Shear_Wall_Foundation!D387</f>
        <v>0</v>
      </c>
      <c r="U9" s="1">
        <f>Shear_Wall_Foundation!E387</f>
        <v>0</v>
      </c>
    </row>
    <row r="10" spans="1:21" x14ac:dyDescent="0.25">
      <c r="A10" t="str">
        <f>Shear_Wall_Foundation!A124</f>
        <v>Wind +x - Base Shear</v>
      </c>
      <c r="B10" s="76">
        <f>V_W_base_kips/Lw_ft</f>
        <v>1</v>
      </c>
      <c r="C10" s="76">
        <f>Hs_ft+(tf_in/12)</f>
        <v>3.5</v>
      </c>
      <c r="D10" s="76">
        <f>w_left_offset_ft</f>
        <v>9.5</v>
      </c>
      <c r="E10" s="76">
        <f>D10+Lw_ft</f>
        <v>24.5</v>
      </c>
      <c r="F10" s="76" t="s">
        <v>299</v>
      </c>
      <c r="G10" s="76" t="s">
        <v>147</v>
      </c>
      <c r="J10" s="1" t="str">
        <f>Shear_Wall_Foundation!A361</f>
        <v>16-3R_L</v>
      </c>
      <c r="K10" s="1">
        <f>Shear_Wall_Foundation!B361</f>
        <v>1.2</v>
      </c>
      <c r="L10" s="1">
        <f>Shear_Wall_Foundation!C361</f>
        <v>1.2</v>
      </c>
      <c r="M10" s="1">
        <f>Shear_Wall_Foundation!D361</f>
        <v>0.5</v>
      </c>
      <c r="N10" s="1">
        <f>Shear_Wall_Foundation!E361</f>
        <v>1.6</v>
      </c>
      <c r="O10" s="1">
        <f>Shear_Wall_Foundation!F361</f>
        <v>0</v>
      </c>
      <c r="P10" s="1">
        <f>Shear_Wall_Foundation!G361</f>
        <v>0</v>
      </c>
      <c r="Q10" s="1">
        <f>Shear_Wall_Foundation!H361</f>
        <v>1.6</v>
      </c>
      <c r="R10" s="1">
        <f>Shear_Wall_Foundation!B388</f>
        <v>0</v>
      </c>
      <c r="S10" s="1">
        <f>Shear_Wall_Foundation!C388</f>
        <v>0</v>
      </c>
      <c r="T10" s="1">
        <f>Shear_Wall_Foundation!D388</f>
        <v>0</v>
      </c>
      <c r="U10" s="1">
        <f>Shear_Wall_Foundation!E388</f>
        <v>0</v>
      </c>
    </row>
    <row r="11" spans="1:21" x14ac:dyDescent="0.25">
      <c r="A11" t="str">
        <f>Shear_Wall_Foundation!A125</f>
        <v>Wind -x - Hold Down</v>
      </c>
      <c r="B11" s="76">
        <f>Shear_Wall_Foundation!B125</f>
        <v>-45.214770158251696</v>
      </c>
      <c r="C11" s="76">
        <v>0</v>
      </c>
      <c r="D11" s="76">
        <f>Shear_Wall_Foundation!C125</f>
        <v>23.822916666666668</v>
      </c>
      <c r="E11" s="76">
        <v>0</v>
      </c>
      <c r="F11" s="76" t="s">
        <v>182</v>
      </c>
      <c r="G11" s="76" t="s">
        <v>152</v>
      </c>
      <c r="J11" s="1" t="str">
        <f>Shear_Wall_Foundation!A362</f>
        <v>16-3Lr_Wp</v>
      </c>
      <c r="K11" s="1">
        <f>Shear_Wall_Foundation!B362</f>
        <v>1.2</v>
      </c>
      <c r="L11" s="1">
        <f>Shear_Wall_Foundation!C362</f>
        <v>1.2</v>
      </c>
      <c r="M11" s="1">
        <f>Shear_Wall_Foundation!D362</f>
        <v>0</v>
      </c>
      <c r="N11" s="1">
        <f>Shear_Wall_Foundation!E362</f>
        <v>1.6</v>
      </c>
      <c r="O11" s="1">
        <f>Shear_Wall_Foundation!F362</f>
        <v>1.6</v>
      </c>
      <c r="P11" s="1">
        <f>Shear_Wall_Foundation!G362</f>
        <v>0</v>
      </c>
      <c r="Q11" s="1">
        <f>Shear_Wall_Foundation!H362</f>
        <v>0</v>
      </c>
      <c r="R11" s="1">
        <f>Shear_Wall_Foundation!B389</f>
        <v>0.5</v>
      </c>
      <c r="S11" s="1">
        <f>Shear_Wall_Foundation!C389</f>
        <v>0</v>
      </c>
      <c r="T11" s="1">
        <f>Shear_Wall_Foundation!D389</f>
        <v>0</v>
      </c>
      <c r="U11" s="1">
        <f>Shear_Wall_Foundation!E389</f>
        <v>0</v>
      </c>
    </row>
    <row r="12" spans="1:21" x14ac:dyDescent="0.25">
      <c r="A12" t="str">
        <f>Shear_Wall_Foundation!A126</f>
        <v>Wind -x - Chord</v>
      </c>
      <c r="B12" s="76">
        <f>Shear_Wall_Foundation!B126</f>
        <v>45.214770158251696</v>
      </c>
      <c r="C12" s="76">
        <v>0</v>
      </c>
      <c r="D12" s="76">
        <f>Shear_Wall_Foundation!C126</f>
        <v>10</v>
      </c>
      <c r="E12" s="76">
        <v>0</v>
      </c>
      <c r="F12" s="76" t="s">
        <v>182</v>
      </c>
      <c r="G12" s="76" t="s">
        <v>152</v>
      </c>
      <c r="J12" s="1" t="str">
        <f>Shear_Wall_Foundation!A363</f>
        <v>16-3S_Wp</v>
      </c>
      <c r="K12" s="1">
        <f>Shear_Wall_Foundation!B363</f>
        <v>1.2</v>
      </c>
      <c r="L12" s="1">
        <f>Shear_Wall_Foundation!C363</f>
        <v>1.2</v>
      </c>
      <c r="M12" s="1">
        <f>Shear_Wall_Foundation!D363</f>
        <v>0</v>
      </c>
      <c r="N12" s="1">
        <f>Shear_Wall_Foundation!E363</f>
        <v>1.6</v>
      </c>
      <c r="O12" s="1">
        <f>Shear_Wall_Foundation!F363</f>
        <v>0</v>
      </c>
      <c r="P12" s="1">
        <f>Shear_Wall_Foundation!G363</f>
        <v>1.6</v>
      </c>
      <c r="Q12" s="1">
        <f>Shear_Wall_Foundation!H363</f>
        <v>0</v>
      </c>
      <c r="R12" s="1">
        <f>Shear_Wall_Foundation!B390</f>
        <v>0.5</v>
      </c>
      <c r="S12" s="1">
        <f>Shear_Wall_Foundation!C390</f>
        <v>0</v>
      </c>
      <c r="T12" s="1">
        <f>Shear_Wall_Foundation!D390</f>
        <v>0</v>
      </c>
      <c r="U12" s="1">
        <f>Shear_Wall_Foundation!E390</f>
        <v>0</v>
      </c>
    </row>
    <row r="13" spans="1:21" x14ac:dyDescent="0.25">
      <c r="A13" t="str">
        <f>Shear_Wall_Foundation!A127</f>
        <v>Wind -x - Base Shear</v>
      </c>
      <c r="B13" s="76">
        <f>-1*B10</f>
        <v>-1</v>
      </c>
      <c r="C13" s="76">
        <f>C10</f>
        <v>3.5</v>
      </c>
      <c r="D13" s="76">
        <f>D10</f>
        <v>9.5</v>
      </c>
      <c r="E13" s="76">
        <f>E10</f>
        <v>24.5</v>
      </c>
      <c r="F13" s="76" t="s">
        <v>299</v>
      </c>
      <c r="G13" s="76" t="s">
        <v>152</v>
      </c>
      <c r="J13" s="1" t="str">
        <f>Shear_Wall_Foundation!A364</f>
        <v>16-3R_Wp</v>
      </c>
      <c r="K13" s="1">
        <f>Shear_Wall_Foundation!B364</f>
        <v>1.2</v>
      </c>
      <c r="L13" s="1">
        <f>Shear_Wall_Foundation!C364</f>
        <v>1.2</v>
      </c>
      <c r="M13" s="1">
        <f>Shear_Wall_Foundation!D364</f>
        <v>0</v>
      </c>
      <c r="N13" s="1">
        <f>Shear_Wall_Foundation!E364</f>
        <v>1.6</v>
      </c>
      <c r="O13" s="1">
        <f>Shear_Wall_Foundation!F364</f>
        <v>0</v>
      </c>
      <c r="P13" s="1">
        <f>Shear_Wall_Foundation!G364</f>
        <v>0</v>
      </c>
      <c r="Q13" s="1">
        <f>Shear_Wall_Foundation!H364</f>
        <v>1.6</v>
      </c>
      <c r="R13" s="1">
        <f>Shear_Wall_Foundation!B391</f>
        <v>0.5</v>
      </c>
      <c r="S13" s="1">
        <f>Shear_Wall_Foundation!C391</f>
        <v>0</v>
      </c>
      <c r="T13" s="1">
        <f>Shear_Wall_Foundation!D391</f>
        <v>0</v>
      </c>
      <c r="U13" s="1">
        <f>Shear_Wall_Foundation!E391</f>
        <v>0</v>
      </c>
    </row>
    <row r="14" spans="1:21" x14ac:dyDescent="0.25">
      <c r="A14" t="str">
        <f>Shear_Wall_Foundation!A128</f>
        <v>EQ +x - Hold Down</v>
      </c>
      <c r="B14" s="76">
        <f>Shear_Wall_Foundation!B128*(1-EQ_Overturning_Reduction)*EQ_rho</f>
        <v>-33.911077618688772</v>
      </c>
      <c r="C14" s="76">
        <v>0</v>
      </c>
      <c r="D14" s="76">
        <f>Shear_Wall_Foundation!C128</f>
        <v>10.177083333333334</v>
      </c>
      <c r="E14" s="76">
        <v>0</v>
      </c>
      <c r="F14" s="76" t="s">
        <v>182</v>
      </c>
      <c r="G14" s="76" t="s">
        <v>161</v>
      </c>
      <c r="J14" s="1" t="str">
        <f>Shear_Wall_Foundation!A365</f>
        <v>16-3Lr_Wn</v>
      </c>
      <c r="K14" s="1">
        <f>Shear_Wall_Foundation!B365</f>
        <v>1.2</v>
      </c>
      <c r="L14" s="1">
        <f>Shear_Wall_Foundation!C365</f>
        <v>1.2</v>
      </c>
      <c r="M14" s="1">
        <f>Shear_Wall_Foundation!D365</f>
        <v>0</v>
      </c>
      <c r="N14" s="1">
        <f>Shear_Wall_Foundation!E365</f>
        <v>1.6</v>
      </c>
      <c r="O14" s="1">
        <f>Shear_Wall_Foundation!F365</f>
        <v>1.6</v>
      </c>
      <c r="P14" s="1">
        <f>Shear_Wall_Foundation!G365</f>
        <v>0</v>
      </c>
      <c r="Q14" s="1">
        <f>Shear_Wall_Foundation!H365</f>
        <v>0</v>
      </c>
      <c r="R14" s="1">
        <f>Shear_Wall_Foundation!B392</f>
        <v>0</v>
      </c>
      <c r="S14" s="1">
        <f>Shear_Wall_Foundation!C392</f>
        <v>0.5</v>
      </c>
      <c r="T14" s="1">
        <f>Shear_Wall_Foundation!D392</f>
        <v>0</v>
      </c>
      <c r="U14" s="1">
        <f>Shear_Wall_Foundation!E392</f>
        <v>0</v>
      </c>
    </row>
    <row r="15" spans="1:21" x14ac:dyDescent="0.25">
      <c r="A15" t="str">
        <f>Shear_Wall_Foundation!A129</f>
        <v>EQ +x - Chord</v>
      </c>
      <c r="B15" s="76">
        <f>Shear_Wall_Foundation!B129*(1-EQ_Overturning_Reduction)*EQ_rho</f>
        <v>33.911077618688772</v>
      </c>
      <c r="C15" s="76">
        <v>0</v>
      </c>
      <c r="D15" s="76">
        <f>Shear_Wall_Foundation!C129</f>
        <v>24</v>
      </c>
      <c r="E15" s="76">
        <v>0</v>
      </c>
      <c r="F15" s="76" t="s">
        <v>182</v>
      </c>
      <c r="G15" s="76" t="s">
        <v>161</v>
      </c>
      <c r="J15" s="1" t="str">
        <f>Shear_Wall_Foundation!A366</f>
        <v>16-3S_Wn</v>
      </c>
      <c r="K15" s="1">
        <f>Shear_Wall_Foundation!B366</f>
        <v>1.2</v>
      </c>
      <c r="L15" s="1">
        <f>Shear_Wall_Foundation!C366</f>
        <v>1.2</v>
      </c>
      <c r="M15" s="1">
        <f>Shear_Wall_Foundation!D366</f>
        <v>0</v>
      </c>
      <c r="N15" s="1">
        <f>Shear_Wall_Foundation!E366</f>
        <v>1.6</v>
      </c>
      <c r="O15" s="1">
        <f>Shear_Wall_Foundation!F366</f>
        <v>0</v>
      </c>
      <c r="P15" s="1">
        <f>Shear_Wall_Foundation!G366</f>
        <v>1.6</v>
      </c>
      <c r="Q15" s="1">
        <f>Shear_Wall_Foundation!H366</f>
        <v>0</v>
      </c>
      <c r="R15" s="1">
        <f>Shear_Wall_Foundation!B393</f>
        <v>0</v>
      </c>
      <c r="S15" s="1">
        <f>Shear_Wall_Foundation!C393</f>
        <v>0.5</v>
      </c>
      <c r="T15" s="1">
        <f>Shear_Wall_Foundation!D393</f>
        <v>0</v>
      </c>
      <c r="U15" s="1">
        <f>Shear_Wall_Foundation!E393</f>
        <v>0</v>
      </c>
    </row>
    <row r="16" spans="1:21" x14ac:dyDescent="0.25">
      <c r="A16" t="str">
        <f>Shear_Wall_Foundation!A130</f>
        <v>EQ +x - Base Shear</v>
      </c>
      <c r="B16" s="76">
        <f>(V_EQ_base_kips/Lw_ft)*(1-EQ_Overturning_Reduction)*EQ_rho</f>
        <v>0.75</v>
      </c>
      <c r="C16" s="76">
        <f>C13</f>
        <v>3.5</v>
      </c>
      <c r="D16" s="76">
        <f>D13</f>
        <v>9.5</v>
      </c>
      <c r="E16" s="76">
        <f>E13</f>
        <v>24.5</v>
      </c>
      <c r="F16" s="76" t="s">
        <v>299</v>
      </c>
      <c r="G16" s="76" t="s">
        <v>161</v>
      </c>
      <c r="J16" s="1" t="str">
        <f>Shear_Wall_Foundation!A367</f>
        <v>16-3R_Wn</v>
      </c>
      <c r="K16" s="1">
        <f>Shear_Wall_Foundation!B367</f>
        <v>1.2</v>
      </c>
      <c r="L16" s="1">
        <f>Shear_Wall_Foundation!C367</f>
        <v>1.2</v>
      </c>
      <c r="M16" s="1">
        <f>Shear_Wall_Foundation!D367</f>
        <v>0</v>
      </c>
      <c r="N16" s="1">
        <f>Shear_Wall_Foundation!E367</f>
        <v>1.6</v>
      </c>
      <c r="O16" s="1">
        <f>Shear_Wall_Foundation!F367</f>
        <v>0</v>
      </c>
      <c r="P16" s="1">
        <f>Shear_Wall_Foundation!G367</f>
        <v>0</v>
      </c>
      <c r="Q16" s="1">
        <f>Shear_Wall_Foundation!H367</f>
        <v>1.6</v>
      </c>
      <c r="R16" s="1">
        <f>Shear_Wall_Foundation!B394</f>
        <v>0</v>
      </c>
      <c r="S16" s="1">
        <f>Shear_Wall_Foundation!C394</f>
        <v>0.5</v>
      </c>
      <c r="T16" s="1">
        <f>Shear_Wall_Foundation!D394</f>
        <v>0</v>
      </c>
      <c r="U16" s="1">
        <f>Shear_Wall_Foundation!E394</f>
        <v>0</v>
      </c>
    </row>
    <row r="17" spans="1:92" x14ac:dyDescent="0.25">
      <c r="A17" t="str">
        <f>Shear_Wall_Foundation!A131</f>
        <v>EQ -x - Hold Down</v>
      </c>
      <c r="B17" s="76">
        <f>Shear_Wall_Foundation!B131*(1-EQ_Overturning_Reduction)*EQ_rho</f>
        <v>-33.911077618688772</v>
      </c>
      <c r="C17" s="76">
        <v>0</v>
      </c>
      <c r="D17" s="76">
        <f>Shear_Wall_Foundation!C131</f>
        <v>23.822916666666668</v>
      </c>
      <c r="E17" s="76">
        <v>0</v>
      </c>
      <c r="F17" s="76" t="s">
        <v>182</v>
      </c>
      <c r="G17" s="76" t="s">
        <v>162</v>
      </c>
      <c r="J17" s="1" t="str">
        <f>Shear_Wall_Foundation!A368</f>
        <v>16-4Wp_Lr</v>
      </c>
      <c r="K17" s="1">
        <f>Shear_Wall_Foundation!B368</f>
        <v>1.2</v>
      </c>
      <c r="L17" s="1">
        <f>Shear_Wall_Foundation!C368</f>
        <v>1.2</v>
      </c>
      <c r="M17" s="1">
        <f>Shear_Wall_Foundation!D368</f>
        <v>0.5</v>
      </c>
      <c r="N17" s="1">
        <f>Shear_Wall_Foundation!E368</f>
        <v>1.6</v>
      </c>
      <c r="O17" s="1">
        <f>Shear_Wall_Foundation!F368</f>
        <v>0.5</v>
      </c>
      <c r="P17" s="1">
        <f>Shear_Wall_Foundation!G368</f>
        <v>0</v>
      </c>
      <c r="Q17" s="1">
        <f>Shear_Wall_Foundation!H368</f>
        <v>0</v>
      </c>
      <c r="R17" s="1">
        <f>Shear_Wall_Foundation!B395</f>
        <v>1</v>
      </c>
      <c r="S17" s="1">
        <f>Shear_Wall_Foundation!C395</f>
        <v>0</v>
      </c>
      <c r="T17" s="1">
        <f>Shear_Wall_Foundation!D395</f>
        <v>0</v>
      </c>
      <c r="U17" s="1">
        <f>Shear_Wall_Foundation!E395</f>
        <v>0</v>
      </c>
    </row>
    <row r="18" spans="1:92" x14ac:dyDescent="0.25">
      <c r="A18" t="str">
        <f>Shear_Wall_Foundation!A132</f>
        <v>EQ -x - Chord</v>
      </c>
      <c r="B18" s="76">
        <f>Shear_Wall_Foundation!B132*(1-EQ_Overturning_Reduction)*EQ_rho</f>
        <v>33.911077618688772</v>
      </c>
      <c r="C18" s="76">
        <v>0</v>
      </c>
      <c r="D18" s="76">
        <f>Shear_Wall_Foundation!C132</f>
        <v>10</v>
      </c>
      <c r="E18" s="76">
        <v>0</v>
      </c>
      <c r="F18" s="76" t="s">
        <v>182</v>
      </c>
      <c r="G18" s="76" t="s">
        <v>162</v>
      </c>
      <c r="J18" s="1" t="str">
        <f>Shear_Wall_Foundation!A369</f>
        <v>16-4Wp_S</v>
      </c>
      <c r="K18" s="1">
        <f>Shear_Wall_Foundation!B369</f>
        <v>1.2</v>
      </c>
      <c r="L18" s="1">
        <f>Shear_Wall_Foundation!C369</f>
        <v>1.2</v>
      </c>
      <c r="M18" s="1">
        <f>Shear_Wall_Foundation!D369</f>
        <v>0.5</v>
      </c>
      <c r="N18" s="1">
        <f>Shear_Wall_Foundation!E369</f>
        <v>1.6</v>
      </c>
      <c r="O18" s="1">
        <f>Shear_Wall_Foundation!F369</f>
        <v>0</v>
      </c>
      <c r="P18" s="1">
        <f>Shear_Wall_Foundation!G369</f>
        <v>0.5</v>
      </c>
      <c r="Q18" s="1">
        <f>Shear_Wall_Foundation!H369</f>
        <v>0</v>
      </c>
      <c r="R18" s="1">
        <f>Shear_Wall_Foundation!B396</f>
        <v>1</v>
      </c>
      <c r="S18" s="1">
        <f>Shear_Wall_Foundation!C396</f>
        <v>0</v>
      </c>
      <c r="T18" s="1">
        <f>Shear_Wall_Foundation!D396</f>
        <v>0</v>
      </c>
      <c r="U18" s="1">
        <f>Shear_Wall_Foundation!E396</f>
        <v>0</v>
      </c>
    </row>
    <row r="19" spans="1:92" x14ac:dyDescent="0.25">
      <c r="A19" t="str">
        <f>Shear_Wall_Foundation!A133</f>
        <v>EQ -x - Base Shear</v>
      </c>
      <c r="B19" s="76">
        <f>-1*B16</f>
        <v>-0.75</v>
      </c>
      <c r="C19" s="76">
        <f>C16</f>
        <v>3.5</v>
      </c>
      <c r="D19" s="76">
        <f>D16</f>
        <v>9.5</v>
      </c>
      <c r="E19" s="76">
        <f>E16</f>
        <v>24.5</v>
      </c>
      <c r="F19" s="76" t="s">
        <v>299</v>
      </c>
      <c r="G19" s="76" t="s">
        <v>162</v>
      </c>
      <c r="J19" s="1" t="str">
        <f>Shear_Wall_Foundation!A370</f>
        <v>16-4Wp_R</v>
      </c>
      <c r="K19" s="1">
        <f>Shear_Wall_Foundation!B370</f>
        <v>1.2</v>
      </c>
      <c r="L19" s="1">
        <f>Shear_Wall_Foundation!C370</f>
        <v>1.2</v>
      </c>
      <c r="M19" s="1">
        <f>Shear_Wall_Foundation!D370</f>
        <v>0.5</v>
      </c>
      <c r="N19" s="1">
        <f>Shear_Wall_Foundation!E370</f>
        <v>1.6</v>
      </c>
      <c r="O19" s="1">
        <f>Shear_Wall_Foundation!F370</f>
        <v>0</v>
      </c>
      <c r="P19" s="1">
        <f>Shear_Wall_Foundation!G370</f>
        <v>0</v>
      </c>
      <c r="Q19" s="1">
        <f>Shear_Wall_Foundation!H370</f>
        <v>0.5</v>
      </c>
      <c r="R19" s="1">
        <f>Shear_Wall_Foundation!B397</f>
        <v>1</v>
      </c>
      <c r="S19" s="1">
        <f>Shear_Wall_Foundation!C397</f>
        <v>0</v>
      </c>
      <c r="T19" s="1">
        <f>Shear_Wall_Foundation!D397</f>
        <v>0</v>
      </c>
      <c r="U19" s="1">
        <f>Shear_Wall_Foundation!E397</f>
        <v>0</v>
      </c>
    </row>
    <row r="20" spans="1:92" x14ac:dyDescent="0.25">
      <c r="A20" s="1">
        <f>Shear_Wall_Foundation!A68</f>
        <v>1</v>
      </c>
      <c r="B20" s="76">
        <f>Shear_Wall_Foundation!B68</f>
        <v>2.2999999999999998</v>
      </c>
      <c r="C20" s="76">
        <f>Shear_Wall_Foundation!C68</f>
        <v>0</v>
      </c>
      <c r="D20" s="76">
        <f>Shear_Wall_Foundation!D68</f>
        <v>9.5</v>
      </c>
      <c r="E20" s="76">
        <f>Shear_Wall_Foundation!E68</f>
        <v>24.5</v>
      </c>
      <c r="F20" s="1" t="str">
        <f>Shear_Wall_Foundation!F68</f>
        <v>UDL</v>
      </c>
      <c r="G20" s="1" t="str">
        <f>Shear_Wall_Foundation!G68</f>
        <v>D</v>
      </c>
      <c r="J20" s="1" t="str">
        <f>Shear_Wall_Foundation!A371</f>
        <v>16-4Wn_Lr</v>
      </c>
      <c r="K20" s="1">
        <f>Shear_Wall_Foundation!B371</f>
        <v>1.2</v>
      </c>
      <c r="L20" s="1">
        <f>Shear_Wall_Foundation!C371</f>
        <v>1.2</v>
      </c>
      <c r="M20" s="1">
        <f>Shear_Wall_Foundation!D371</f>
        <v>0.5</v>
      </c>
      <c r="N20" s="1">
        <f>Shear_Wall_Foundation!E371</f>
        <v>1.6</v>
      </c>
      <c r="O20" s="1">
        <f>Shear_Wall_Foundation!F371</f>
        <v>0.5</v>
      </c>
      <c r="P20" s="1">
        <f>Shear_Wall_Foundation!G371</f>
        <v>0</v>
      </c>
      <c r="Q20" s="1">
        <f>Shear_Wall_Foundation!H371</f>
        <v>0</v>
      </c>
      <c r="R20" s="1">
        <f>Shear_Wall_Foundation!B398</f>
        <v>0</v>
      </c>
      <c r="S20" s="1">
        <f>Shear_Wall_Foundation!C398</f>
        <v>1</v>
      </c>
      <c r="T20" s="1">
        <f>Shear_Wall_Foundation!D398</f>
        <v>0</v>
      </c>
      <c r="U20" s="1">
        <f>Shear_Wall_Foundation!E398</f>
        <v>0</v>
      </c>
    </row>
    <row r="21" spans="1:92" x14ac:dyDescent="0.25">
      <c r="A21" s="1">
        <f>Shear_Wall_Foundation!A69</f>
        <v>2</v>
      </c>
      <c r="B21" s="76">
        <f>Shear_Wall_Foundation!B69</f>
        <v>2.4500000000000002</v>
      </c>
      <c r="C21" s="76">
        <f>Shear_Wall_Foundation!C69</f>
        <v>0</v>
      </c>
      <c r="D21" s="76">
        <f>Shear_Wall_Foundation!D69</f>
        <v>9.5</v>
      </c>
      <c r="E21" s="76">
        <f>Shear_Wall_Foundation!E69</f>
        <v>24.5</v>
      </c>
      <c r="F21" s="1" t="str">
        <f>Shear_Wall_Foundation!F69</f>
        <v>UDL</v>
      </c>
      <c r="G21" s="1" t="str">
        <f>Shear_Wall_Foundation!G69</f>
        <v>L</v>
      </c>
      <c r="J21" s="1" t="str">
        <f>Shear_Wall_Foundation!A372</f>
        <v>16-4Wn_S</v>
      </c>
      <c r="K21" s="1">
        <f>Shear_Wall_Foundation!B372</f>
        <v>1.2</v>
      </c>
      <c r="L21" s="1">
        <f>Shear_Wall_Foundation!C372</f>
        <v>1.2</v>
      </c>
      <c r="M21" s="1">
        <f>Shear_Wall_Foundation!D372</f>
        <v>0.5</v>
      </c>
      <c r="N21" s="1">
        <f>Shear_Wall_Foundation!E372</f>
        <v>1.6</v>
      </c>
      <c r="O21" s="1">
        <f>Shear_Wall_Foundation!F372</f>
        <v>0</v>
      </c>
      <c r="P21" s="1">
        <f>Shear_Wall_Foundation!G372</f>
        <v>0.5</v>
      </c>
      <c r="Q21" s="1">
        <f>Shear_Wall_Foundation!H372</f>
        <v>0</v>
      </c>
      <c r="R21" s="1">
        <f>Shear_Wall_Foundation!B399</f>
        <v>0</v>
      </c>
      <c r="S21" s="1">
        <f>Shear_Wall_Foundation!C399</f>
        <v>1</v>
      </c>
      <c r="T21" s="1">
        <f>Shear_Wall_Foundation!D399</f>
        <v>0</v>
      </c>
      <c r="U21" s="1">
        <f>Shear_Wall_Foundation!E399</f>
        <v>0</v>
      </c>
    </row>
    <row r="22" spans="1:92" x14ac:dyDescent="0.25">
      <c r="A22" s="1">
        <f>Shear_Wall_Foundation!A70</f>
        <v>3</v>
      </c>
      <c r="B22" s="76">
        <f>Shear_Wall_Foundation!B70</f>
        <v>0.6</v>
      </c>
      <c r="C22" s="76">
        <f>Shear_Wall_Foundation!C70</f>
        <v>0</v>
      </c>
      <c r="D22" s="76">
        <f>Shear_Wall_Foundation!D70</f>
        <v>9.5</v>
      </c>
      <c r="E22" s="76">
        <f>Shear_Wall_Foundation!E70</f>
        <v>24.5</v>
      </c>
      <c r="F22" s="1" t="str">
        <f>Shear_Wall_Foundation!F70</f>
        <v>UDL</v>
      </c>
      <c r="G22" s="1" t="str">
        <f>Shear_Wall_Foundation!G70</f>
        <v>S</v>
      </c>
      <c r="J22" s="1" t="str">
        <f>Shear_Wall_Foundation!A373</f>
        <v>16-4Wn_R</v>
      </c>
      <c r="K22" s="1">
        <f>Shear_Wall_Foundation!B373</f>
        <v>1.2</v>
      </c>
      <c r="L22" s="1">
        <f>Shear_Wall_Foundation!C373</f>
        <v>1.2</v>
      </c>
      <c r="M22" s="1">
        <f>Shear_Wall_Foundation!D373</f>
        <v>0.5</v>
      </c>
      <c r="N22" s="1">
        <f>Shear_Wall_Foundation!E373</f>
        <v>1.6</v>
      </c>
      <c r="O22" s="1">
        <f>Shear_Wall_Foundation!F373</f>
        <v>0</v>
      </c>
      <c r="P22" s="1">
        <f>Shear_Wall_Foundation!G373</f>
        <v>0</v>
      </c>
      <c r="Q22" s="1">
        <f>Shear_Wall_Foundation!H373</f>
        <v>0.5</v>
      </c>
      <c r="R22" s="1">
        <f>Shear_Wall_Foundation!B400</f>
        <v>0</v>
      </c>
      <c r="S22" s="1">
        <f>Shear_Wall_Foundation!C400</f>
        <v>1</v>
      </c>
      <c r="T22" s="1">
        <f>Shear_Wall_Foundation!D400</f>
        <v>0</v>
      </c>
      <c r="U22" s="1">
        <f>Shear_Wall_Foundation!E400</f>
        <v>0</v>
      </c>
    </row>
    <row r="23" spans="1:92" x14ac:dyDescent="0.25">
      <c r="A23" s="1">
        <f>Shear_Wall_Foundation!A71</f>
        <v>4</v>
      </c>
      <c r="B23" s="76">
        <f>Shear_Wall_Foundation!B71</f>
        <v>0</v>
      </c>
      <c r="C23" s="76">
        <f>Shear_Wall_Foundation!C71</f>
        <v>0</v>
      </c>
      <c r="D23" s="76">
        <f>Shear_Wall_Foundation!D71</f>
        <v>0</v>
      </c>
      <c r="E23" s="76">
        <f>Shear_Wall_Foundation!E71</f>
        <v>0</v>
      </c>
      <c r="F23" s="1" t="str">
        <f>Shear_Wall_Foundation!F71</f>
        <v>N/A</v>
      </c>
      <c r="G23" s="1" t="str">
        <f>Shear_Wall_Foundation!G71</f>
        <v>D</v>
      </c>
      <c r="J23" s="1" t="str">
        <f>Shear_Wall_Foundation!A374</f>
        <v>16-5Ep</v>
      </c>
      <c r="K23" s="1">
        <f>Shear_Wall_Foundation!B374</f>
        <v>1.2</v>
      </c>
      <c r="L23" s="1">
        <f>Shear_Wall_Foundation!C374</f>
        <v>1.2</v>
      </c>
      <c r="M23" s="1">
        <f>Shear_Wall_Foundation!D374</f>
        <v>0.5</v>
      </c>
      <c r="N23" s="1">
        <f>Shear_Wall_Foundation!E374</f>
        <v>1.6</v>
      </c>
      <c r="O23" s="1">
        <f>Shear_Wall_Foundation!F374</f>
        <v>0</v>
      </c>
      <c r="P23" s="1">
        <f>Shear_Wall_Foundation!G374</f>
        <v>0.7</v>
      </c>
      <c r="Q23" s="1">
        <f>Shear_Wall_Foundation!H374</f>
        <v>0</v>
      </c>
      <c r="R23" s="1">
        <f>Shear_Wall_Foundation!B401</f>
        <v>0</v>
      </c>
      <c r="S23" s="1">
        <f>Shear_Wall_Foundation!C401</f>
        <v>0</v>
      </c>
      <c r="T23" s="1">
        <f>Shear_Wall_Foundation!D401</f>
        <v>1</v>
      </c>
      <c r="U23" s="1">
        <f>Shear_Wall_Foundation!E401</f>
        <v>0</v>
      </c>
    </row>
    <row r="24" spans="1:92" x14ac:dyDescent="0.25">
      <c r="A24" s="1">
        <f>Shear_Wall_Foundation!A72</f>
        <v>5</v>
      </c>
      <c r="B24" s="76">
        <f>Shear_Wall_Foundation!B72</f>
        <v>0</v>
      </c>
      <c r="C24" s="76">
        <f>Shear_Wall_Foundation!C72</f>
        <v>0</v>
      </c>
      <c r="D24" s="76">
        <f>Shear_Wall_Foundation!D72</f>
        <v>0</v>
      </c>
      <c r="E24" s="76">
        <f>Shear_Wall_Foundation!E72</f>
        <v>0</v>
      </c>
      <c r="F24" s="1" t="str">
        <f>Shear_Wall_Foundation!F72</f>
        <v>N/A</v>
      </c>
      <c r="G24" s="1" t="str">
        <f>Shear_Wall_Foundation!G72</f>
        <v>D</v>
      </c>
      <c r="J24" s="1" t="str">
        <f>Shear_Wall_Foundation!A375</f>
        <v>16-5En</v>
      </c>
      <c r="K24" s="1">
        <f>Shear_Wall_Foundation!B375</f>
        <v>1.2</v>
      </c>
      <c r="L24" s="1">
        <f>Shear_Wall_Foundation!C375</f>
        <v>1.2</v>
      </c>
      <c r="M24" s="1">
        <f>Shear_Wall_Foundation!D375</f>
        <v>0.5</v>
      </c>
      <c r="N24" s="1">
        <f>Shear_Wall_Foundation!E375</f>
        <v>1.6</v>
      </c>
      <c r="O24" s="1">
        <f>Shear_Wall_Foundation!F375</f>
        <v>0</v>
      </c>
      <c r="P24" s="1">
        <f>Shear_Wall_Foundation!G375</f>
        <v>0.7</v>
      </c>
      <c r="Q24" s="1">
        <f>Shear_Wall_Foundation!H375</f>
        <v>0</v>
      </c>
      <c r="R24" s="1">
        <f>Shear_Wall_Foundation!B402</f>
        <v>0</v>
      </c>
      <c r="S24" s="1">
        <f>Shear_Wall_Foundation!C402</f>
        <v>0</v>
      </c>
      <c r="T24" s="1">
        <f>Shear_Wall_Foundation!D402</f>
        <v>0</v>
      </c>
      <c r="U24" s="1">
        <f>Shear_Wall_Foundation!E402</f>
        <v>1</v>
      </c>
    </row>
    <row r="25" spans="1:92" x14ac:dyDescent="0.25">
      <c r="A25" s="1">
        <f>Shear_Wall_Foundation!A73</f>
        <v>6</v>
      </c>
      <c r="B25" s="76">
        <f>Shear_Wall_Foundation!B73</f>
        <v>0</v>
      </c>
      <c r="C25" s="76">
        <f>Shear_Wall_Foundation!C73</f>
        <v>0</v>
      </c>
      <c r="D25" s="76">
        <f>Shear_Wall_Foundation!D73</f>
        <v>0</v>
      </c>
      <c r="E25" s="76">
        <f>Shear_Wall_Foundation!E73</f>
        <v>0</v>
      </c>
      <c r="F25" s="1" t="str">
        <f>Shear_Wall_Foundation!F73</f>
        <v>N/A</v>
      </c>
      <c r="G25" s="1" t="str">
        <f>Shear_Wall_Foundation!G73</f>
        <v>D</v>
      </c>
      <c r="J25" s="1" t="str">
        <f>Shear_Wall_Foundation!A376</f>
        <v>16-6Wp</v>
      </c>
      <c r="K25" s="1">
        <f>Shear_Wall_Foundation!B376</f>
        <v>0.9</v>
      </c>
      <c r="L25" s="1">
        <f>Shear_Wall_Foundation!C376</f>
        <v>0</v>
      </c>
      <c r="M25" s="1">
        <f>Shear_Wall_Foundation!D376</f>
        <v>0</v>
      </c>
      <c r="N25" s="1">
        <f>Shear_Wall_Foundation!E376</f>
        <v>0.9</v>
      </c>
      <c r="O25" s="1">
        <f>Shear_Wall_Foundation!F376</f>
        <v>0</v>
      </c>
      <c r="P25" s="1">
        <f>Shear_Wall_Foundation!G376</f>
        <v>0</v>
      </c>
      <c r="Q25" s="1">
        <f>Shear_Wall_Foundation!H376</f>
        <v>0</v>
      </c>
      <c r="R25" s="1">
        <f>Shear_Wall_Foundation!B403</f>
        <v>1</v>
      </c>
      <c r="S25" s="1">
        <f>Shear_Wall_Foundation!C403</f>
        <v>0</v>
      </c>
      <c r="T25" s="1">
        <f>Shear_Wall_Foundation!D403</f>
        <v>0</v>
      </c>
      <c r="U25" s="1">
        <f>Shear_Wall_Foundation!E403</f>
        <v>0</v>
      </c>
    </row>
    <row r="26" spans="1:92" x14ac:dyDescent="0.25">
      <c r="A26" s="1">
        <f>Shear_Wall_Foundation!A74</f>
        <v>7</v>
      </c>
      <c r="B26" s="76">
        <f>Shear_Wall_Foundation!B74</f>
        <v>0</v>
      </c>
      <c r="C26" s="76">
        <f>Shear_Wall_Foundation!C74</f>
        <v>0</v>
      </c>
      <c r="D26" s="76">
        <f>Shear_Wall_Foundation!D74</f>
        <v>0</v>
      </c>
      <c r="E26" s="76">
        <f>Shear_Wall_Foundation!E74</f>
        <v>0</v>
      </c>
      <c r="F26" s="1" t="str">
        <f>Shear_Wall_Foundation!F74</f>
        <v>N/A</v>
      </c>
      <c r="G26" s="1" t="str">
        <f>Shear_Wall_Foundation!G74</f>
        <v>D</v>
      </c>
      <c r="J26" s="1" t="str">
        <f>Shear_Wall_Foundation!A377</f>
        <v>16-6Wn</v>
      </c>
      <c r="K26" s="1">
        <f>Shear_Wall_Foundation!B377</f>
        <v>0.9</v>
      </c>
      <c r="L26" s="1">
        <f>Shear_Wall_Foundation!C377</f>
        <v>0</v>
      </c>
      <c r="M26" s="1">
        <f>Shear_Wall_Foundation!D377</f>
        <v>0</v>
      </c>
      <c r="N26" s="1">
        <f>Shear_Wall_Foundation!E377</f>
        <v>0.9</v>
      </c>
      <c r="O26" s="1">
        <f>Shear_Wall_Foundation!F377</f>
        <v>0</v>
      </c>
      <c r="P26" s="1">
        <f>Shear_Wall_Foundation!G377</f>
        <v>0</v>
      </c>
      <c r="Q26" s="1">
        <f>Shear_Wall_Foundation!H377</f>
        <v>0</v>
      </c>
      <c r="R26" s="1">
        <f>Shear_Wall_Foundation!B404</f>
        <v>0</v>
      </c>
      <c r="S26" s="1">
        <f>Shear_Wall_Foundation!C404</f>
        <v>1</v>
      </c>
      <c r="T26" s="1">
        <f>Shear_Wall_Foundation!D404</f>
        <v>0</v>
      </c>
      <c r="U26" s="1">
        <f>Shear_Wall_Foundation!E404</f>
        <v>0</v>
      </c>
    </row>
    <row r="27" spans="1:92" x14ac:dyDescent="0.25">
      <c r="A27" s="1">
        <f>Shear_Wall_Foundation!A75</f>
        <v>8</v>
      </c>
      <c r="B27" s="76">
        <f>Shear_Wall_Foundation!B75</f>
        <v>0</v>
      </c>
      <c r="C27" s="76">
        <f>Shear_Wall_Foundation!C75</f>
        <v>0</v>
      </c>
      <c r="D27" s="76">
        <f>Shear_Wall_Foundation!D75</f>
        <v>0</v>
      </c>
      <c r="E27" s="76">
        <f>Shear_Wall_Foundation!E75</f>
        <v>0</v>
      </c>
      <c r="F27" s="1" t="str">
        <f>Shear_Wall_Foundation!F75</f>
        <v>N/A</v>
      </c>
      <c r="G27" s="1" t="str">
        <f>Shear_Wall_Foundation!G75</f>
        <v>D</v>
      </c>
      <c r="J27" s="1" t="str">
        <f>Shear_Wall_Foundation!A378</f>
        <v>16-7Ep</v>
      </c>
      <c r="K27" s="1">
        <f>Shear_Wall_Foundation!B378</f>
        <v>0.9</v>
      </c>
      <c r="L27" s="1">
        <f>Shear_Wall_Foundation!C378</f>
        <v>0.9</v>
      </c>
      <c r="M27" s="1">
        <f>Shear_Wall_Foundation!D378</f>
        <v>0</v>
      </c>
      <c r="N27" s="1">
        <f>Shear_Wall_Foundation!E378</f>
        <v>0.9</v>
      </c>
      <c r="O27" s="1">
        <f>Shear_Wall_Foundation!F378</f>
        <v>0</v>
      </c>
      <c r="P27" s="1">
        <f>Shear_Wall_Foundation!G378</f>
        <v>0</v>
      </c>
      <c r="Q27" s="1">
        <f>Shear_Wall_Foundation!H378</f>
        <v>0</v>
      </c>
      <c r="R27" s="1">
        <f>Shear_Wall_Foundation!B405</f>
        <v>0</v>
      </c>
      <c r="S27" s="1">
        <f>Shear_Wall_Foundation!C405</f>
        <v>0</v>
      </c>
      <c r="T27" s="1">
        <f>Shear_Wall_Foundation!D405</f>
        <v>1</v>
      </c>
      <c r="U27" s="1">
        <f>Shear_Wall_Foundation!E405</f>
        <v>0</v>
      </c>
    </row>
    <row r="28" spans="1:92" x14ac:dyDescent="0.25">
      <c r="A28" s="1">
        <f>Shear_Wall_Foundation!A76</f>
        <v>9</v>
      </c>
      <c r="B28" s="76">
        <f>Shear_Wall_Foundation!B76</f>
        <v>0</v>
      </c>
      <c r="C28" s="76">
        <f>Shear_Wall_Foundation!C76</f>
        <v>0</v>
      </c>
      <c r="D28" s="76">
        <f>Shear_Wall_Foundation!D76</f>
        <v>0</v>
      </c>
      <c r="E28" s="76">
        <f>Shear_Wall_Foundation!E76</f>
        <v>0</v>
      </c>
      <c r="F28" s="1" t="str">
        <f>Shear_Wall_Foundation!F76</f>
        <v>N/A</v>
      </c>
      <c r="G28" s="1" t="str">
        <f>Shear_Wall_Foundation!G76</f>
        <v>D</v>
      </c>
      <c r="J28" s="1" t="str">
        <f>Shear_Wall_Foundation!A379</f>
        <v>16-7En</v>
      </c>
      <c r="K28" s="1">
        <f>Shear_Wall_Foundation!B379</f>
        <v>0.9</v>
      </c>
      <c r="L28" s="1">
        <f>Shear_Wall_Foundation!C379</f>
        <v>0.9</v>
      </c>
      <c r="M28" s="1">
        <f>Shear_Wall_Foundation!D379</f>
        <v>0</v>
      </c>
      <c r="N28" s="1">
        <f>Shear_Wall_Foundation!E379</f>
        <v>0.9</v>
      </c>
      <c r="O28" s="1">
        <f>Shear_Wall_Foundation!F379</f>
        <v>0</v>
      </c>
      <c r="P28" s="1">
        <f>Shear_Wall_Foundation!G379</f>
        <v>0</v>
      </c>
      <c r="Q28" s="1">
        <f>Shear_Wall_Foundation!H379</f>
        <v>0</v>
      </c>
      <c r="R28" s="1">
        <f>Shear_Wall_Foundation!B406</f>
        <v>0</v>
      </c>
      <c r="S28" s="1">
        <f>Shear_Wall_Foundation!C406</f>
        <v>0</v>
      </c>
      <c r="T28" s="1">
        <f>Shear_Wall_Foundation!D406</f>
        <v>0</v>
      </c>
      <c r="U28" s="1">
        <f>Shear_Wall_Foundation!E406</f>
        <v>1</v>
      </c>
    </row>
    <row r="29" spans="1:92" x14ac:dyDescent="0.25">
      <c r="A29" s="1">
        <f>Shear_Wall_Foundation!A77</f>
        <v>10</v>
      </c>
      <c r="B29" s="76">
        <f>Shear_Wall_Foundation!B77</f>
        <v>0</v>
      </c>
      <c r="C29" s="76">
        <f>Shear_Wall_Foundation!C77</f>
        <v>0</v>
      </c>
      <c r="D29" s="76">
        <f>Shear_Wall_Foundation!D77</f>
        <v>0</v>
      </c>
      <c r="E29" s="76">
        <f>Shear_Wall_Foundation!E77</f>
        <v>0</v>
      </c>
      <c r="F29" s="1" t="str">
        <f>Shear_Wall_Foundation!F77</f>
        <v>N/A</v>
      </c>
      <c r="G29" s="1" t="str">
        <f>Shear_Wall_Foundation!G77</f>
        <v>D</v>
      </c>
    </row>
    <row r="30" spans="1:92" x14ac:dyDescent="0.25">
      <c r="A30" s="1">
        <f>Shear_Wall_Foundation!A78</f>
        <v>11</v>
      </c>
      <c r="B30" s="76">
        <f>Shear_Wall_Foundation!B78</f>
        <v>0</v>
      </c>
      <c r="C30" s="76">
        <f>Shear_Wall_Foundation!C78</f>
        <v>0</v>
      </c>
      <c r="D30" s="76">
        <f>Shear_Wall_Foundation!D78</f>
        <v>0</v>
      </c>
      <c r="E30" s="76">
        <f>Shear_Wall_Foundation!E78</f>
        <v>0</v>
      </c>
      <c r="F30" s="1" t="str">
        <f>Shear_Wall_Foundation!F78</f>
        <v>N/A</v>
      </c>
      <c r="G30" s="1" t="str">
        <f>Shear_Wall_Foundation!G78</f>
        <v>D</v>
      </c>
      <c r="I30" t="s">
        <v>301</v>
      </c>
      <c r="J30">
        <f>J42/10</f>
        <v>0.7</v>
      </c>
    </row>
    <row r="31" spans="1:92" x14ac:dyDescent="0.25">
      <c r="A31" s="1">
        <f>Shear_Wall_Foundation!A79</f>
        <v>12</v>
      </c>
      <c r="B31" s="76">
        <f>Shear_Wall_Foundation!B79</f>
        <v>0</v>
      </c>
      <c r="C31" s="76">
        <f>Shear_Wall_Foundation!C79</f>
        <v>0</v>
      </c>
      <c r="D31" s="76">
        <f>Shear_Wall_Foundation!D79</f>
        <v>0</v>
      </c>
      <c r="E31" s="76">
        <f>Shear_Wall_Foundation!E79</f>
        <v>0</v>
      </c>
      <c r="F31" s="1" t="str">
        <f>Shear_Wall_Foundation!F79</f>
        <v>N/A</v>
      </c>
      <c r="G31" s="1" t="str">
        <f>Shear_Wall_Foundation!G79</f>
        <v>D</v>
      </c>
      <c r="J31" t="s">
        <v>3</v>
      </c>
      <c r="K31" t="s">
        <v>302</v>
      </c>
      <c r="L31" t="s">
        <v>303</v>
      </c>
      <c r="M31" t="s">
        <v>304</v>
      </c>
      <c r="N31" t="s">
        <v>302</v>
      </c>
      <c r="O31" t="s">
        <v>303</v>
      </c>
      <c r="P31" t="s">
        <v>304</v>
      </c>
      <c r="Q31" t="s">
        <v>302</v>
      </c>
      <c r="R31" t="s">
        <v>303</v>
      </c>
      <c r="S31" t="s">
        <v>304</v>
      </c>
      <c r="T31" t="s">
        <v>302</v>
      </c>
      <c r="U31" t="s">
        <v>303</v>
      </c>
      <c r="V31" t="s">
        <v>304</v>
      </c>
      <c r="W31" t="s">
        <v>302</v>
      </c>
      <c r="X31" t="s">
        <v>303</v>
      </c>
      <c r="Y31" t="s">
        <v>304</v>
      </c>
      <c r="Z31" t="s">
        <v>302</v>
      </c>
      <c r="AA31" t="s">
        <v>303</v>
      </c>
      <c r="AB31" t="s">
        <v>304</v>
      </c>
      <c r="AC31" t="s">
        <v>302</v>
      </c>
      <c r="AD31" t="s">
        <v>303</v>
      </c>
      <c r="AE31" t="s">
        <v>304</v>
      </c>
      <c r="AF31" t="s">
        <v>302</v>
      </c>
      <c r="AG31" t="s">
        <v>303</v>
      </c>
      <c r="AH31" t="s">
        <v>304</v>
      </c>
      <c r="AI31" t="s">
        <v>302</v>
      </c>
      <c r="AJ31" t="s">
        <v>303</v>
      </c>
      <c r="AK31" t="s">
        <v>304</v>
      </c>
      <c r="AL31" t="s">
        <v>302</v>
      </c>
      <c r="AM31" t="s">
        <v>303</v>
      </c>
      <c r="AN31" t="s">
        <v>304</v>
      </c>
      <c r="AO31" t="s">
        <v>302</v>
      </c>
      <c r="AP31" t="s">
        <v>303</v>
      </c>
      <c r="AQ31" t="s">
        <v>304</v>
      </c>
      <c r="AR31" t="s">
        <v>302</v>
      </c>
      <c r="AS31" t="s">
        <v>303</v>
      </c>
      <c r="AT31" t="s">
        <v>304</v>
      </c>
      <c r="AU31" t="s">
        <v>302</v>
      </c>
      <c r="AV31" t="s">
        <v>303</v>
      </c>
      <c r="AW31" t="s">
        <v>304</v>
      </c>
      <c r="AX31" t="s">
        <v>302</v>
      </c>
      <c r="AY31" t="s">
        <v>303</v>
      </c>
      <c r="AZ31" t="s">
        <v>304</v>
      </c>
      <c r="BA31" t="s">
        <v>302</v>
      </c>
      <c r="BB31" t="s">
        <v>303</v>
      </c>
      <c r="BC31" t="s">
        <v>304</v>
      </c>
      <c r="BD31" t="s">
        <v>302</v>
      </c>
      <c r="BE31" t="s">
        <v>303</v>
      </c>
      <c r="BF31" t="s">
        <v>304</v>
      </c>
      <c r="BG31" t="s">
        <v>302</v>
      </c>
      <c r="BH31" t="s">
        <v>303</v>
      </c>
      <c r="BI31" t="s">
        <v>304</v>
      </c>
      <c r="BJ31" t="s">
        <v>302</v>
      </c>
      <c r="BK31" t="s">
        <v>303</v>
      </c>
      <c r="BL31" t="s">
        <v>304</v>
      </c>
      <c r="BM31" t="s">
        <v>302</v>
      </c>
      <c r="BN31" t="s">
        <v>303</v>
      </c>
      <c r="BO31" t="s">
        <v>304</v>
      </c>
      <c r="BP31" t="s">
        <v>302</v>
      </c>
      <c r="BQ31" t="s">
        <v>303</v>
      </c>
      <c r="BR31" t="s">
        <v>304</v>
      </c>
      <c r="BS31" t="s">
        <v>302</v>
      </c>
      <c r="BT31" t="s">
        <v>303</v>
      </c>
      <c r="BU31" t="s">
        <v>304</v>
      </c>
      <c r="BV31" t="s">
        <v>302</v>
      </c>
      <c r="BW31" t="s">
        <v>303</v>
      </c>
      <c r="BX31" t="s">
        <v>304</v>
      </c>
      <c r="BY31" t="s">
        <v>302</v>
      </c>
      <c r="BZ31" t="s">
        <v>303</v>
      </c>
      <c r="CA31" t="s">
        <v>304</v>
      </c>
      <c r="CB31" t="s">
        <v>302</v>
      </c>
      <c r="CC31" t="s">
        <v>303</v>
      </c>
      <c r="CD31" t="s">
        <v>304</v>
      </c>
      <c r="CE31" t="s">
        <v>302</v>
      </c>
      <c r="CF31" t="s">
        <v>303</v>
      </c>
      <c r="CG31" t="s">
        <v>304</v>
      </c>
      <c r="CH31" t="s">
        <v>305</v>
      </c>
      <c r="CI31" t="s">
        <v>306</v>
      </c>
      <c r="CJ31" t="s">
        <v>307</v>
      </c>
      <c r="CK31" t="s">
        <v>308</v>
      </c>
    </row>
    <row r="32" spans="1:92" x14ac:dyDescent="0.25">
      <c r="A32" s="1">
        <f>Shear_Wall_Foundation!A80</f>
        <v>13</v>
      </c>
      <c r="B32" s="76">
        <f>Shear_Wall_Foundation!B80</f>
        <v>0</v>
      </c>
      <c r="C32" s="76">
        <f>Shear_Wall_Foundation!C80</f>
        <v>0</v>
      </c>
      <c r="D32" s="76">
        <f>Shear_Wall_Foundation!D80</f>
        <v>0</v>
      </c>
      <c r="E32" s="76">
        <f>Shear_Wall_Foundation!E80</f>
        <v>0</v>
      </c>
      <c r="F32" s="1" t="str">
        <f>Shear_Wall_Foundation!F80</f>
        <v>N/A</v>
      </c>
      <c r="G32" s="1" t="str">
        <f>Shear_Wall_Foundation!G80</f>
        <v>D</v>
      </c>
      <c r="J32">
        <v>0</v>
      </c>
      <c r="K32" cm="1">
        <f t="array" ref="K32:CG32">LRFD_Analysis(Lf_ft,J32,$B$4:$G$84,$J$4:$U$28)</f>
        <v>-2.8421709430404007E-14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1.4210854715202004E-14</v>
      </c>
      <c r="X32">
        <v>0</v>
      </c>
      <c r="Y32">
        <v>0</v>
      </c>
      <c r="Z32">
        <v>0</v>
      </c>
      <c r="AA32">
        <v>0</v>
      </c>
      <c r="AB32">
        <v>0</v>
      </c>
      <c r="AC32">
        <v>1.4210854715202004E-14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1.4210854715202004E-14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-1.4210854715202004E-14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-1.4210854715202004E-14</v>
      </c>
      <c r="AV32">
        <v>0</v>
      </c>
      <c r="AW32">
        <v>0</v>
      </c>
      <c r="AX32">
        <v>-1.4210854715202004E-14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-1.4210854715202004E-14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-1.4210854715202004E-14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f>MAX(CF32,CC32,BZ32,BW32,BT32,BQ32,BN32,BK32,BH32,BE32,BB32,AY32,AV32,AS32,AP32,AM32,AJ32,AG32,AD32,AA32,X32,U32,R32,O32,L32)</f>
        <v>0</v>
      </c>
      <c r="CI32">
        <f>MIN(CF32,CC32,BZ32,BW32,BT32,BQ32,BN32,BK32,BH32,BE32,BB32,AY32,AV32,AS32,AP32,AM32,AJ32,AG32,AD32,AA32,X32,U32,R32,O32,L32)</f>
        <v>0</v>
      </c>
      <c r="CJ32">
        <f>MAX(CG32,CD32,CA32,BX32,BU32,BR32,BO32,BL32,BI32,BF32,BC32,AZ32,AW32,AT32,AQ32,AN32,AK32,AH32,AE32,AB32,Y32,V32,S32,P32,M32)</f>
        <v>0</v>
      </c>
      <c r="CK32">
        <f>MIN(CG32,CD32,CA32,BX32,BU32,BR32,BO32,BL32,BI32,BF32,BC32,AZ32,AW32,AT32,AQ32,AN32,AK32,AH32,AE32,AB32,Y32,V32,S32,P32,M32)</f>
        <v>0</v>
      </c>
      <c r="CM32">
        <f>J42</f>
        <v>7</v>
      </c>
      <c r="CN32">
        <f>CJ42</f>
        <v>128.96282777777782</v>
      </c>
    </row>
    <row r="33" spans="1:92" x14ac:dyDescent="0.25">
      <c r="A33" s="1">
        <f>Shear_Wall_Foundation!A81</f>
        <v>14</v>
      </c>
      <c r="B33" s="76">
        <f>Shear_Wall_Foundation!B81</f>
        <v>0</v>
      </c>
      <c r="C33" s="76">
        <f>Shear_Wall_Foundation!C81</f>
        <v>0</v>
      </c>
      <c r="D33" s="76">
        <f>Shear_Wall_Foundation!D81</f>
        <v>0</v>
      </c>
      <c r="E33" s="76">
        <f>Shear_Wall_Foundation!E81</f>
        <v>0</v>
      </c>
      <c r="F33" s="1" t="str">
        <f>Shear_Wall_Foundation!F81</f>
        <v>N/A</v>
      </c>
      <c r="G33" s="1" t="str">
        <f>Shear_Wall_Foundation!G81</f>
        <v>D</v>
      </c>
      <c r="J33">
        <f>J32+$J$30</f>
        <v>0.7</v>
      </c>
      <c r="K33" cm="1">
        <f t="array" ref="K33:CG33">LRFD_Analysis(Lf_ft,J33,$B$4:$G$84,$J$4:$U$28)</f>
        <v>-2.8421709430404007E-14</v>
      </c>
      <c r="L33">
        <v>-0.7099410370370367</v>
      </c>
      <c r="M33">
        <v>0.24721068641975308</v>
      </c>
      <c r="N33">
        <v>0</v>
      </c>
      <c r="O33">
        <v>-1.4445262222222204</v>
      </c>
      <c r="P33">
        <v>0.50300278518518471</v>
      </c>
      <c r="Q33">
        <v>0</v>
      </c>
      <c r="R33">
        <v>-1.5085062222222212</v>
      </c>
      <c r="S33">
        <v>0.52528145185185138</v>
      </c>
      <c r="T33">
        <v>0</v>
      </c>
      <c r="U33">
        <v>-1.4445262222222204</v>
      </c>
      <c r="V33">
        <v>0.50300278518518471</v>
      </c>
      <c r="W33">
        <v>1.4210854715202004E-14</v>
      </c>
      <c r="X33">
        <v>-0.8697725555555551</v>
      </c>
      <c r="Y33">
        <v>0.30286609629629624</v>
      </c>
      <c r="Z33">
        <v>0</v>
      </c>
      <c r="AA33">
        <v>-1.0745085555555529</v>
      </c>
      <c r="AB33">
        <v>0.37415782962962862</v>
      </c>
      <c r="AC33">
        <v>1.4210854715202004E-14</v>
      </c>
      <c r="AD33">
        <v>-0.8697725555555551</v>
      </c>
      <c r="AE33">
        <v>0.30286609629629624</v>
      </c>
      <c r="AF33">
        <v>0</v>
      </c>
      <c r="AG33">
        <v>0.93542633333333436</v>
      </c>
      <c r="AH33">
        <v>-0.33279003333333357</v>
      </c>
      <c r="AI33">
        <v>1.4210854715202004E-14</v>
      </c>
      <c r="AJ33">
        <v>0.73069033333333278</v>
      </c>
      <c r="AK33">
        <v>-0.26149829999999968</v>
      </c>
      <c r="AL33">
        <v>0</v>
      </c>
      <c r="AM33">
        <v>0.93542633333333436</v>
      </c>
      <c r="AN33">
        <v>-0.33279003333333357</v>
      </c>
      <c r="AO33">
        <v>-1.4210854715202004E-14</v>
      </c>
      <c r="AP33">
        <v>-2.1524681111111117</v>
      </c>
      <c r="AQ33">
        <v>0.75657978148148175</v>
      </c>
      <c r="AR33">
        <v>0</v>
      </c>
      <c r="AS33">
        <v>-2.3572041111111104</v>
      </c>
      <c r="AT33">
        <v>0.82787151481481469</v>
      </c>
      <c r="AU33">
        <v>-1.4210854715202004E-14</v>
      </c>
      <c r="AV33">
        <v>-2.1524681111111117</v>
      </c>
      <c r="AW33">
        <v>0.75657978148148175</v>
      </c>
      <c r="AX33">
        <v>-1.4210854715202004E-14</v>
      </c>
      <c r="AY33">
        <v>1.2862499999999999</v>
      </c>
      <c r="AZ33">
        <v>-0.45018749999999985</v>
      </c>
      <c r="BA33">
        <v>0</v>
      </c>
      <c r="BB33">
        <v>1.2862499999999999</v>
      </c>
      <c r="BC33">
        <v>-0.45018749999999985</v>
      </c>
      <c r="BD33">
        <v>-1.4210854715202004E-14</v>
      </c>
      <c r="BE33">
        <v>1.2862499999999999</v>
      </c>
      <c r="BF33">
        <v>-0.45018749999999985</v>
      </c>
      <c r="BG33">
        <v>0</v>
      </c>
      <c r="BH33">
        <v>-3.9576669999999998</v>
      </c>
      <c r="BI33">
        <v>1.3922359111111109</v>
      </c>
      <c r="BJ33">
        <v>-1.4210854715202004E-14</v>
      </c>
      <c r="BK33">
        <v>-4.0216470000000006</v>
      </c>
      <c r="BL33">
        <v>1.4145145777777781</v>
      </c>
      <c r="BM33">
        <v>0</v>
      </c>
      <c r="BN33">
        <v>-3.9576669999999998</v>
      </c>
      <c r="BO33">
        <v>1.3922359111111109</v>
      </c>
      <c r="BP33">
        <v>0</v>
      </c>
      <c r="BQ33">
        <v>1.2862499999999999</v>
      </c>
      <c r="BR33">
        <v>-0.45018749999999985</v>
      </c>
      <c r="BS33">
        <v>0</v>
      </c>
      <c r="BT33">
        <v>-3.2752653888888883</v>
      </c>
      <c r="BU33">
        <v>1.1510835907407411</v>
      </c>
      <c r="BV33">
        <v>0</v>
      </c>
      <c r="BW33">
        <v>0.96468749999999992</v>
      </c>
      <c r="BX33">
        <v>-0.33764062499999992</v>
      </c>
      <c r="BY33">
        <v>0</v>
      </c>
      <c r="BZ33">
        <v>-4.0992948072575093</v>
      </c>
      <c r="CA33">
        <v>1.4453041283052037</v>
      </c>
      <c r="CB33">
        <v>0</v>
      </c>
      <c r="CC33">
        <v>0.96468749999999992</v>
      </c>
      <c r="CD33">
        <v>-0.33764062499999992</v>
      </c>
      <c r="CE33">
        <v>0</v>
      </c>
      <c r="CF33">
        <v>-2.8125400480565448</v>
      </c>
      <c r="CG33">
        <v>0.99020559993317869</v>
      </c>
      <c r="CH33">
        <f t="shared" ref="CH33:CH40" si="0">MAX(CF33,CC33,BZ33,BW33,BT33,BQ33,BN33,BK33,BH33,BE33,BB33,AY33,AV33,AS33,AP33,AM33,AJ33,AG33,AD33,AA33,X33,U33,R33,O33,L33)</f>
        <v>1.2862499999999999</v>
      </c>
      <c r="CI33">
        <f t="shared" ref="CI33:CI40" si="1">MIN(CF33,CC33,BZ33,BW33,BT33,BQ33,BN33,BK33,BH33,BE33,BB33,AY33,AV33,AS33,AP33,AM33,AJ33,AG33,AD33,AA33,X33,U33,R33,O33,L33)</f>
        <v>-4.0992948072575093</v>
      </c>
      <c r="CJ33">
        <f t="shared" ref="CJ33:CJ40" si="2">MAX(CG33,CD33,CA33,BX33,BU33,BR33,BO33,BL33,BI33,BF33,BC33,AZ33,AW33,AT33,AQ33,AN33,AK33,AH33,AE33,AB33,Y33,V33,S33,P33,M33)</f>
        <v>1.4453041283052037</v>
      </c>
      <c r="CK33">
        <f t="shared" ref="CK33:CK40" si="3">MIN(CG33,CD33,CA33,BX33,BU33,BR33,BO33,BL33,BI33,BF33,BC33,AZ33,AW33,AT33,AQ33,AN33,AK33,AH33,AE33,AB33,Y33,V33,S33,P33,M33)</f>
        <v>-0.45018749999999985</v>
      </c>
      <c r="CM33">
        <f>CM32</f>
        <v>7</v>
      </c>
      <c r="CN33">
        <f>CK42</f>
        <v>-44.851758102959401</v>
      </c>
    </row>
    <row r="34" spans="1:92" x14ac:dyDescent="0.25">
      <c r="A34" s="1">
        <f>Shear_Wall_Foundation!A82</f>
        <v>15</v>
      </c>
      <c r="B34" s="76">
        <f>Shear_Wall_Foundation!B82</f>
        <v>0</v>
      </c>
      <c r="C34" s="76">
        <f>Shear_Wall_Foundation!C82</f>
        <v>0</v>
      </c>
      <c r="D34" s="76">
        <f>Shear_Wall_Foundation!D82</f>
        <v>0</v>
      </c>
      <c r="E34" s="76">
        <f>Shear_Wall_Foundation!E82</f>
        <v>0</v>
      </c>
      <c r="F34" s="1" t="str">
        <f>Shear_Wall_Foundation!F82</f>
        <v>N/A</v>
      </c>
      <c r="G34" s="1" t="str">
        <f>Shear_Wall_Foundation!G82</f>
        <v>D</v>
      </c>
      <c r="J34">
        <f t="shared" ref="J34:J41" si="4">J33+$J$30</f>
        <v>1.4</v>
      </c>
      <c r="K34" cm="1">
        <f t="array" ref="K34:CG34">LRFD_Analysis(Lf_ft,J34,$B$4:$G$84,$J$4:$U$28)</f>
        <v>-2.8421709430404007E-14</v>
      </c>
      <c r="L34">
        <v>-1.4416308148148138</v>
      </c>
      <c r="M34">
        <v>0.99899215802469143</v>
      </c>
      <c r="N34">
        <v>0</v>
      </c>
      <c r="O34">
        <v>-2.9333048888888849</v>
      </c>
      <c r="P34">
        <v>2.0326622814814788</v>
      </c>
      <c r="Q34">
        <v>0</v>
      </c>
      <c r="R34">
        <v>-3.0632248888888869</v>
      </c>
      <c r="S34">
        <v>2.1226916148148129</v>
      </c>
      <c r="T34">
        <v>0</v>
      </c>
      <c r="U34">
        <v>-2.9333048888888849</v>
      </c>
      <c r="V34">
        <v>2.0326622814814788</v>
      </c>
      <c r="W34">
        <v>1.4210854715202004E-14</v>
      </c>
      <c r="X34">
        <v>-1.7661902222222219</v>
      </c>
      <c r="Y34">
        <v>1.2238987703703712</v>
      </c>
      <c r="Z34">
        <v>0</v>
      </c>
      <c r="AA34">
        <v>-2.1819342222222176</v>
      </c>
      <c r="AB34">
        <v>1.5119926370370345</v>
      </c>
      <c r="AC34">
        <v>1.4210854715202004E-14</v>
      </c>
      <c r="AD34">
        <v>-1.7661902222222219</v>
      </c>
      <c r="AE34">
        <v>1.2238987703703712</v>
      </c>
      <c r="AF34">
        <v>0</v>
      </c>
      <c r="AG34">
        <v>1.7784386666666687</v>
      </c>
      <c r="AH34">
        <v>-1.2880336000000012</v>
      </c>
      <c r="AI34">
        <v>1.4210854715202004E-14</v>
      </c>
      <c r="AJ34">
        <v>1.3626946666666657</v>
      </c>
      <c r="AK34">
        <v>-0.99993973333333219</v>
      </c>
      <c r="AL34">
        <v>0</v>
      </c>
      <c r="AM34">
        <v>1.7784386666666687</v>
      </c>
      <c r="AN34">
        <v>-1.2880336000000012</v>
      </c>
      <c r="AO34">
        <v>-1.4210854715202004E-14</v>
      </c>
      <c r="AP34">
        <v>-4.2498057777777785</v>
      </c>
      <c r="AQ34">
        <v>3.0005915851851861</v>
      </c>
      <c r="AR34">
        <v>0</v>
      </c>
      <c r="AS34">
        <v>-4.6655497777777768</v>
      </c>
      <c r="AT34">
        <v>3.2886854518518516</v>
      </c>
      <c r="AU34">
        <v>-1.4210854715202004E-14</v>
      </c>
      <c r="AV34">
        <v>-4.2498057777777785</v>
      </c>
      <c r="AW34">
        <v>3.0005915851851861</v>
      </c>
      <c r="AX34">
        <v>-1.4210854715202004E-14</v>
      </c>
      <c r="AY34">
        <v>2.5724999999999998</v>
      </c>
      <c r="AZ34">
        <v>-1.8007499999999994</v>
      </c>
      <c r="BA34">
        <v>0</v>
      </c>
      <c r="BB34">
        <v>2.5724999999999998</v>
      </c>
      <c r="BC34">
        <v>-1.8007499999999994</v>
      </c>
      <c r="BD34">
        <v>-1.4210854715202004E-14</v>
      </c>
      <c r="BE34">
        <v>2.5724999999999998</v>
      </c>
      <c r="BF34">
        <v>-1.8007499999999994</v>
      </c>
      <c r="BG34">
        <v>0</v>
      </c>
      <c r="BH34">
        <v>-7.7944346666666675</v>
      </c>
      <c r="BI34">
        <v>5.5125239555555563</v>
      </c>
      <c r="BJ34">
        <v>-1.4210854715202004E-14</v>
      </c>
      <c r="BK34">
        <v>-7.9243546666666678</v>
      </c>
      <c r="BL34">
        <v>5.60255328888889</v>
      </c>
      <c r="BM34">
        <v>0</v>
      </c>
      <c r="BN34">
        <v>-7.7944346666666675</v>
      </c>
      <c r="BO34">
        <v>5.5125239555555563</v>
      </c>
      <c r="BP34">
        <v>0</v>
      </c>
      <c r="BQ34">
        <v>2.5093680904039881</v>
      </c>
      <c r="BR34">
        <v>-1.7867753278418719</v>
      </c>
      <c r="BS34">
        <v>0</v>
      </c>
      <c r="BT34">
        <v>-6.4692615555555548</v>
      </c>
      <c r="BU34">
        <v>4.5664087259259247</v>
      </c>
      <c r="BV34">
        <v>0</v>
      </c>
      <c r="BW34">
        <v>1.9293749999999998</v>
      </c>
      <c r="BX34">
        <v>-1.3505624999999997</v>
      </c>
      <c r="BY34">
        <v>0</v>
      </c>
      <c r="BZ34">
        <v>-8.0177162585423005</v>
      </c>
      <c r="CA34">
        <v>5.6968089471002132</v>
      </c>
      <c r="CB34">
        <v>0</v>
      </c>
      <c r="CC34">
        <v>1.9293749999999998</v>
      </c>
      <c r="CD34">
        <v>-1.3505624999999997</v>
      </c>
      <c r="CE34">
        <v>0</v>
      </c>
      <c r="CF34">
        <v>-5.5253672427407281</v>
      </c>
      <c r="CG34">
        <v>3.914289734825612</v>
      </c>
      <c r="CH34">
        <f t="shared" si="0"/>
        <v>2.5724999999999998</v>
      </c>
      <c r="CI34">
        <f t="shared" si="1"/>
        <v>-8.0177162585423005</v>
      </c>
      <c r="CJ34">
        <f t="shared" si="2"/>
        <v>5.6968089471002132</v>
      </c>
      <c r="CK34">
        <f t="shared" si="3"/>
        <v>-1.8007499999999994</v>
      </c>
    </row>
    <row r="35" spans="1:92" x14ac:dyDescent="0.25">
      <c r="A35" s="1">
        <f>Shear_Wall_Foundation!A83</f>
        <v>16</v>
      </c>
      <c r="B35" s="76">
        <f>Shear_Wall_Foundation!B83</f>
        <v>0</v>
      </c>
      <c r="C35" s="76">
        <f>Shear_Wall_Foundation!C83</f>
        <v>0</v>
      </c>
      <c r="D35" s="76">
        <f>Shear_Wall_Foundation!D83</f>
        <v>0</v>
      </c>
      <c r="E35" s="76">
        <f>Shear_Wall_Foundation!E83</f>
        <v>0</v>
      </c>
      <c r="F35" s="1" t="str">
        <f>Shear_Wall_Foundation!F83</f>
        <v>N/A</v>
      </c>
      <c r="G35" s="1" t="str">
        <f>Shear_Wall_Foundation!G83</f>
        <v>D</v>
      </c>
      <c r="J35">
        <f t="shared" si="4"/>
        <v>2.0999999999999996</v>
      </c>
      <c r="K35" cm="1">
        <f t="array" ref="K35:CG35">LRFD_Analysis(Lf_ft,J35,$B$4:$G$84,$J$4:$U$28)</f>
        <v>-2.8421709430404007E-14</v>
      </c>
      <c r="L35">
        <v>-2.1950693333333335</v>
      </c>
      <c r="M35">
        <v>2.2705685333333339</v>
      </c>
      <c r="N35">
        <v>0</v>
      </c>
      <c r="O35">
        <v>-4.4663359999999948</v>
      </c>
      <c r="P35">
        <v>4.6199551999999944</v>
      </c>
      <c r="Q35">
        <v>0</v>
      </c>
      <c r="R35">
        <v>-4.6641559999999966</v>
      </c>
      <c r="S35">
        <v>4.824579199999997</v>
      </c>
      <c r="T35">
        <v>0</v>
      </c>
      <c r="U35">
        <v>-4.4663359999999948</v>
      </c>
      <c r="V35">
        <v>4.6199551999999944</v>
      </c>
      <c r="W35">
        <v>1.4210854715202004E-14</v>
      </c>
      <c r="X35">
        <v>-2.6892529999999986</v>
      </c>
      <c r="Y35">
        <v>2.7817495999999995</v>
      </c>
      <c r="Z35">
        <v>0</v>
      </c>
      <c r="AA35">
        <v>-3.322276999999993</v>
      </c>
      <c r="AB35">
        <v>3.4365463999999939</v>
      </c>
      <c r="AC35">
        <v>1.4210854715202004E-14</v>
      </c>
      <c r="AD35">
        <v>-2.6892529999999986</v>
      </c>
      <c r="AE35">
        <v>2.7817495999999995</v>
      </c>
      <c r="AF35">
        <v>0</v>
      </c>
      <c r="AG35">
        <v>2.5290370000000029</v>
      </c>
      <c r="AH35">
        <v>-2.8010409000000021</v>
      </c>
      <c r="AI35">
        <v>1.4210854715202004E-14</v>
      </c>
      <c r="AJ35">
        <v>1.8960129999999984</v>
      </c>
      <c r="AK35">
        <v>-2.146244099999997</v>
      </c>
      <c r="AL35">
        <v>0</v>
      </c>
      <c r="AM35">
        <v>2.5290370000000029</v>
      </c>
      <c r="AN35">
        <v>-2.8010409000000021</v>
      </c>
      <c r="AO35">
        <v>-1.4210854715202004E-14</v>
      </c>
      <c r="AP35">
        <v>-6.2920130000000007</v>
      </c>
      <c r="AQ35">
        <v>6.6934440999999989</v>
      </c>
      <c r="AR35">
        <v>0</v>
      </c>
      <c r="AS35">
        <v>-6.9250369999999979</v>
      </c>
      <c r="AT35">
        <v>7.3482408999999969</v>
      </c>
      <c r="AU35">
        <v>-1.4210854715202004E-14</v>
      </c>
      <c r="AV35">
        <v>-6.2920130000000007</v>
      </c>
      <c r="AW35">
        <v>6.6934440999999989</v>
      </c>
      <c r="AX35">
        <v>-1.4210854715202004E-14</v>
      </c>
      <c r="AY35">
        <v>3.8587499999999992</v>
      </c>
      <c r="AZ35">
        <v>-4.0516874999999981</v>
      </c>
      <c r="BA35">
        <v>0</v>
      </c>
      <c r="BB35">
        <v>3.8587499999999992</v>
      </c>
      <c r="BC35">
        <v>-4.0516874999999981</v>
      </c>
      <c r="BD35">
        <v>-1.4210854715202004E-14</v>
      </c>
      <c r="BE35">
        <v>3.8587499999999992</v>
      </c>
      <c r="BF35">
        <v>-4.0516874999999981</v>
      </c>
      <c r="BG35">
        <v>0</v>
      </c>
      <c r="BH35">
        <v>-11.510303000000002</v>
      </c>
      <c r="BI35">
        <v>12.276234600000004</v>
      </c>
      <c r="BJ35">
        <v>-1.4210854715202004E-14</v>
      </c>
      <c r="BK35">
        <v>-11.708123000000002</v>
      </c>
      <c r="BL35">
        <v>12.480858599999999</v>
      </c>
      <c r="BM35">
        <v>0</v>
      </c>
      <c r="BN35">
        <v>-11.510303000000002</v>
      </c>
      <c r="BO35">
        <v>12.276234600000004</v>
      </c>
      <c r="BP35">
        <v>0</v>
      </c>
      <c r="BQ35">
        <v>3.5923744125156341</v>
      </c>
      <c r="BR35">
        <v>-3.930569171090406</v>
      </c>
      <c r="BS35">
        <v>0</v>
      </c>
      <c r="BT35">
        <v>-9.5819884999999978</v>
      </c>
      <c r="BU35">
        <v>10.189086949999995</v>
      </c>
      <c r="BV35">
        <v>0</v>
      </c>
      <c r="BW35">
        <v>2.8940624999999995</v>
      </c>
      <c r="BX35">
        <v>-3.0387656249999995</v>
      </c>
      <c r="BY35">
        <v>0</v>
      </c>
      <c r="BZ35">
        <v>-11.755264353854376</v>
      </c>
      <c r="CA35">
        <v>12.627903107204117</v>
      </c>
      <c r="CB35">
        <v>0</v>
      </c>
      <c r="CC35">
        <v>2.8940624999999995</v>
      </c>
      <c r="CD35">
        <v>-3.0387656249999995</v>
      </c>
      <c r="CE35">
        <v>0</v>
      </c>
      <c r="CF35">
        <v>-8.1384815840525526</v>
      </c>
      <c r="CG35">
        <v>8.70245340731665</v>
      </c>
      <c r="CH35">
        <f t="shared" si="0"/>
        <v>3.8587499999999992</v>
      </c>
      <c r="CI35">
        <f t="shared" si="1"/>
        <v>-11.755264353854376</v>
      </c>
      <c r="CJ35">
        <f t="shared" si="2"/>
        <v>12.627903107204117</v>
      </c>
      <c r="CK35">
        <f t="shared" si="3"/>
        <v>-4.0516874999999981</v>
      </c>
    </row>
    <row r="36" spans="1:92" x14ac:dyDescent="0.25">
      <c r="A36" s="1">
        <f>Shear_Wall_Foundation!A84</f>
        <v>17</v>
      </c>
      <c r="B36" s="76">
        <f>Shear_Wall_Foundation!B84</f>
        <v>0</v>
      </c>
      <c r="C36" s="76">
        <f>Shear_Wall_Foundation!C84</f>
        <v>0</v>
      </c>
      <c r="D36" s="76">
        <f>Shear_Wall_Foundation!D84</f>
        <v>0</v>
      </c>
      <c r="E36" s="76">
        <f>Shear_Wall_Foundation!E84</f>
        <v>0</v>
      </c>
      <c r="F36" s="1" t="str">
        <f>Shear_Wall_Foundation!F84</f>
        <v>N/A</v>
      </c>
      <c r="G36" s="1" t="str">
        <f>Shear_Wall_Foundation!G84</f>
        <v>D</v>
      </c>
      <c r="J36">
        <f t="shared" si="4"/>
        <v>2.8</v>
      </c>
      <c r="K36" cm="1">
        <f t="array" ref="K36:CG36">LRFD_Analysis(Lf_ft,J36,$B$4:$G$84,$J$4:$U$28)</f>
        <v>-2.8421709430404007E-14</v>
      </c>
      <c r="L36">
        <v>-2.970256592592591</v>
      </c>
      <c r="M36">
        <v>4.0771639308641952</v>
      </c>
      <c r="N36">
        <v>0</v>
      </c>
      <c r="O36">
        <v>-6.0436195555555479</v>
      </c>
      <c r="P36">
        <v>8.2958582518518416</v>
      </c>
      <c r="Q36">
        <v>0</v>
      </c>
      <c r="R36">
        <v>-6.31129955555555</v>
      </c>
      <c r="S36">
        <v>8.6632929185185166</v>
      </c>
      <c r="T36">
        <v>0</v>
      </c>
      <c r="U36">
        <v>-6.0436195555555479</v>
      </c>
      <c r="V36">
        <v>8.2958582518518416</v>
      </c>
      <c r="W36">
        <v>1.4210854715202004E-14</v>
      </c>
      <c r="X36">
        <v>-3.6389608888888869</v>
      </c>
      <c r="Y36">
        <v>4.9950701629629659</v>
      </c>
      <c r="Z36">
        <v>0</v>
      </c>
      <c r="AA36">
        <v>-4.4955368888888803</v>
      </c>
      <c r="AB36">
        <v>6.1708610962962869</v>
      </c>
      <c r="AC36">
        <v>1.4210854715202004E-14</v>
      </c>
      <c r="AD36">
        <v>-3.6389608888888869</v>
      </c>
      <c r="AE36">
        <v>4.9950701629629659</v>
      </c>
      <c r="AF36">
        <v>0</v>
      </c>
      <c r="AG36">
        <v>3.1872213333333375</v>
      </c>
      <c r="AH36">
        <v>-4.8071221333333369</v>
      </c>
      <c r="AI36">
        <v>1.4210854715202004E-14</v>
      </c>
      <c r="AJ36">
        <v>2.3306453333333317</v>
      </c>
      <c r="AK36">
        <v>-3.6313311999999955</v>
      </c>
      <c r="AL36">
        <v>0</v>
      </c>
      <c r="AM36">
        <v>3.1872213333333375</v>
      </c>
      <c r="AN36">
        <v>-4.8071221333333369</v>
      </c>
      <c r="AO36">
        <v>-1.4210854715202004E-14</v>
      </c>
      <c r="AP36">
        <v>-8.279089777777779</v>
      </c>
      <c r="AQ36">
        <v>11.796546014814814</v>
      </c>
      <c r="AR36">
        <v>0</v>
      </c>
      <c r="AS36">
        <v>-9.1356657777777723</v>
      </c>
      <c r="AT36">
        <v>12.972336948148135</v>
      </c>
      <c r="AU36">
        <v>-1.4210854715202004E-14</v>
      </c>
      <c r="AV36">
        <v>-8.279089777777779</v>
      </c>
      <c r="AW36">
        <v>11.796546014814814</v>
      </c>
      <c r="AX36">
        <v>-1.4210854715202004E-14</v>
      </c>
      <c r="AY36">
        <v>5.1449999999999996</v>
      </c>
      <c r="AZ36">
        <v>-7.2029999999999976</v>
      </c>
      <c r="BA36">
        <v>0</v>
      </c>
      <c r="BB36">
        <v>5.1449999999999996</v>
      </c>
      <c r="BC36">
        <v>-7.2029999999999976</v>
      </c>
      <c r="BD36">
        <v>-1.4210854715202004E-14</v>
      </c>
      <c r="BE36">
        <v>5.1449999999999996</v>
      </c>
      <c r="BF36">
        <v>-7.2029999999999976</v>
      </c>
      <c r="BG36">
        <v>0</v>
      </c>
      <c r="BH36">
        <v>-15.105272000000003</v>
      </c>
      <c r="BI36">
        <v>21.598738311111106</v>
      </c>
      <c r="BJ36">
        <v>-1.4210854715202004E-14</v>
      </c>
      <c r="BK36">
        <v>-15.372952000000005</v>
      </c>
      <c r="BL36">
        <v>21.966172977777788</v>
      </c>
      <c r="BM36">
        <v>0</v>
      </c>
      <c r="BN36">
        <v>-15.105272000000003</v>
      </c>
      <c r="BO36">
        <v>21.598738311111106</v>
      </c>
      <c r="BP36">
        <v>0</v>
      </c>
      <c r="BQ36">
        <v>4.5350841535986994</v>
      </c>
      <c r="BR36">
        <v>-6.7833636364570893</v>
      </c>
      <c r="BS36">
        <v>0</v>
      </c>
      <c r="BT36">
        <v>-12.613446222222219</v>
      </c>
      <c r="BU36">
        <v>17.962229807407404</v>
      </c>
      <c r="BV36">
        <v>0</v>
      </c>
      <c r="BW36">
        <v>3.8587499999999997</v>
      </c>
      <c r="BX36">
        <v>-5.4022499999999987</v>
      </c>
      <c r="BY36">
        <v>0</v>
      </c>
      <c r="BZ36">
        <v>-15.311939093193736</v>
      </c>
      <c r="CA36">
        <v>22.111975259436043</v>
      </c>
      <c r="CB36">
        <v>0</v>
      </c>
      <c r="CC36">
        <v>3.8587499999999997</v>
      </c>
      <c r="CD36">
        <v>-5.4022499999999987</v>
      </c>
      <c r="CE36">
        <v>0</v>
      </c>
      <c r="CF36">
        <v>-10.651883071992017</v>
      </c>
      <c r="CG36">
        <v>15.284897620045641</v>
      </c>
      <c r="CH36">
        <f t="shared" si="0"/>
        <v>5.1449999999999996</v>
      </c>
      <c r="CI36">
        <f t="shared" si="1"/>
        <v>-15.372952000000005</v>
      </c>
      <c r="CJ36">
        <f t="shared" si="2"/>
        <v>22.111975259436043</v>
      </c>
      <c r="CK36">
        <f t="shared" si="3"/>
        <v>-7.2029999999999976</v>
      </c>
    </row>
    <row r="37" spans="1:92" x14ac:dyDescent="0.25">
      <c r="A37" s="1">
        <f>Shear_Wall_Foundation!A85</f>
        <v>18</v>
      </c>
      <c r="B37" s="76">
        <f>Shear_Wall_Foundation!B85</f>
        <v>0</v>
      </c>
      <c r="C37" s="76">
        <f>Shear_Wall_Foundation!C85</f>
        <v>0</v>
      </c>
      <c r="D37" s="76">
        <f>Shear_Wall_Foundation!D85</f>
        <v>0</v>
      </c>
      <c r="E37" s="76">
        <f>Shear_Wall_Foundation!E85</f>
        <v>0</v>
      </c>
      <c r="F37" s="1" t="str">
        <f>Shear_Wall_Foundation!F85</f>
        <v>N/A</v>
      </c>
      <c r="G37" s="1" t="str">
        <f>Shear_Wall_Foundation!G85</f>
        <v>D</v>
      </c>
      <c r="J37">
        <f t="shared" si="4"/>
        <v>3.5</v>
      </c>
      <c r="K37" cm="1">
        <f t="array" ref="K37:CG37">LRFD_Analysis(Lf_ft,J37,$B$4:$G$84,$J$4:$U$28)</f>
        <v>-2.8421709430404007E-14</v>
      </c>
      <c r="L37">
        <v>-3.7671925925925933</v>
      </c>
      <c r="M37">
        <v>6.4340024691358053</v>
      </c>
      <c r="N37">
        <v>0</v>
      </c>
      <c r="O37">
        <v>-7.6651555555555468</v>
      </c>
      <c r="P37">
        <v>13.091348148148132</v>
      </c>
      <c r="Q37">
        <v>0</v>
      </c>
      <c r="R37">
        <v>-8.0046555555555514</v>
      </c>
      <c r="S37">
        <v>13.671181481481476</v>
      </c>
      <c r="T37">
        <v>0</v>
      </c>
      <c r="U37">
        <v>-7.6651555555555468</v>
      </c>
      <c r="V37">
        <v>13.091348148148132</v>
      </c>
      <c r="W37">
        <v>1.4210854715202004E-14</v>
      </c>
      <c r="X37">
        <v>-4.6153138888888865</v>
      </c>
      <c r="Y37">
        <v>7.882512037037035</v>
      </c>
      <c r="Z37">
        <v>0</v>
      </c>
      <c r="AA37">
        <v>-5.7017138888888788</v>
      </c>
      <c r="AB37">
        <v>9.737978703703682</v>
      </c>
      <c r="AC37">
        <v>1.4210854715202004E-14</v>
      </c>
      <c r="AD37">
        <v>-4.6153138888888865</v>
      </c>
      <c r="AE37">
        <v>7.882512037037035</v>
      </c>
      <c r="AF37">
        <v>0</v>
      </c>
      <c r="AG37">
        <v>3.7529916666666723</v>
      </c>
      <c r="AH37">
        <v>-7.2415875000000103</v>
      </c>
      <c r="AI37">
        <v>1.4210854715202004E-14</v>
      </c>
      <c r="AJ37">
        <v>2.6665916666666654</v>
      </c>
      <c r="AK37">
        <v>-5.3861208333333312</v>
      </c>
      <c r="AL37">
        <v>0</v>
      </c>
      <c r="AM37">
        <v>3.7529916666666723</v>
      </c>
      <c r="AN37">
        <v>-7.2415875000000103</v>
      </c>
      <c r="AO37">
        <v>-1.4210854715202004E-14</v>
      </c>
      <c r="AP37">
        <v>-10.211036111111111</v>
      </c>
      <c r="AQ37">
        <v>18.271306018518523</v>
      </c>
      <c r="AR37">
        <v>0</v>
      </c>
      <c r="AS37">
        <v>-11.297436111111109</v>
      </c>
      <c r="AT37">
        <v>20.126772685185188</v>
      </c>
      <c r="AU37">
        <v>-1.4210854715202004E-14</v>
      </c>
      <c r="AV37">
        <v>-10.211036111111111</v>
      </c>
      <c r="AW37">
        <v>18.271306018518523</v>
      </c>
      <c r="AX37">
        <v>-1.4210854715202004E-14</v>
      </c>
      <c r="AY37">
        <v>6.4312500000000004</v>
      </c>
      <c r="AZ37">
        <v>-11.254687499999999</v>
      </c>
      <c r="BA37">
        <v>0</v>
      </c>
      <c r="BB37">
        <v>6.4312500000000004</v>
      </c>
      <c r="BC37">
        <v>-11.254687499999999</v>
      </c>
      <c r="BD37">
        <v>-1.4210854715202004E-14</v>
      </c>
      <c r="BE37">
        <v>6.4312500000000004</v>
      </c>
      <c r="BF37">
        <v>-11.254687499999999</v>
      </c>
      <c r="BG37">
        <v>0</v>
      </c>
      <c r="BH37">
        <v>-18.579341666666672</v>
      </c>
      <c r="BI37">
        <v>33.395405555555556</v>
      </c>
      <c r="BJ37">
        <v>-1.4210854715202004E-14</v>
      </c>
      <c r="BK37">
        <v>-18.918841666666673</v>
      </c>
      <c r="BL37">
        <v>33.975238888888882</v>
      </c>
      <c r="BM37">
        <v>0</v>
      </c>
      <c r="BN37">
        <v>-18.579341666666672</v>
      </c>
      <c r="BO37">
        <v>33.395405555555556</v>
      </c>
      <c r="BP37">
        <v>0</v>
      </c>
      <c r="BQ37">
        <v>5.3374973136531834</v>
      </c>
      <c r="BR37">
        <v>-10.246951117221917</v>
      </c>
      <c r="BS37">
        <v>0</v>
      </c>
      <c r="BT37">
        <v>-15.563634722222217</v>
      </c>
      <c r="BU37">
        <v>27.82894884259257</v>
      </c>
      <c r="BV37">
        <v>0</v>
      </c>
      <c r="BW37">
        <v>4.8234375000000007</v>
      </c>
      <c r="BX37">
        <v>-8.4410156250000004</v>
      </c>
      <c r="BY37">
        <v>0</v>
      </c>
      <c r="BZ37">
        <v>-18.687740476560379</v>
      </c>
      <c r="CA37">
        <v>34.022414054615041</v>
      </c>
      <c r="CB37">
        <v>0</v>
      </c>
      <c r="CC37">
        <v>4.8234375000000007</v>
      </c>
      <c r="CD37">
        <v>-8.4410156250000004</v>
      </c>
      <c r="CE37">
        <v>0</v>
      </c>
      <c r="CF37">
        <v>-13.065571706559123</v>
      </c>
      <c r="CG37">
        <v>23.591823375651927</v>
      </c>
      <c r="CH37">
        <f t="shared" si="0"/>
        <v>6.4312500000000004</v>
      </c>
      <c r="CI37">
        <f t="shared" si="1"/>
        <v>-18.918841666666673</v>
      </c>
      <c r="CJ37">
        <f t="shared" si="2"/>
        <v>34.022414054615041</v>
      </c>
      <c r="CK37">
        <f t="shared" si="3"/>
        <v>-11.254687499999999</v>
      </c>
    </row>
    <row r="38" spans="1:92" x14ac:dyDescent="0.25">
      <c r="A38" s="1">
        <f>Shear_Wall_Foundation!A86</f>
        <v>19</v>
      </c>
      <c r="B38" s="76">
        <f>Shear_Wall_Foundation!B86</f>
        <v>0</v>
      </c>
      <c r="C38" s="76">
        <f>Shear_Wall_Foundation!C86</f>
        <v>0</v>
      </c>
      <c r="D38" s="76">
        <f>Shear_Wall_Foundation!D86</f>
        <v>0</v>
      </c>
      <c r="E38" s="76">
        <f>Shear_Wall_Foundation!E86</f>
        <v>0</v>
      </c>
      <c r="F38" s="1" t="str">
        <f>Shear_Wall_Foundation!F86</f>
        <v>N/A</v>
      </c>
      <c r="G38" s="1" t="str">
        <f>Shear_Wall_Foundation!G86</f>
        <v>D</v>
      </c>
      <c r="J38">
        <f t="shared" si="4"/>
        <v>4.2</v>
      </c>
      <c r="K38" cm="1">
        <f t="array" ref="K38:CG38">LRFD_Analysis(Lf_ft,J38,$B$4:$G$84,$J$4:$U$28)</f>
        <v>-2.8421709430404007E-14</v>
      </c>
      <c r="L38">
        <v>-4.5858773333333325</v>
      </c>
      <c r="M38">
        <v>9.3563082666666588</v>
      </c>
      <c r="N38">
        <v>0</v>
      </c>
      <c r="O38">
        <v>-9.3309439999999899</v>
      </c>
      <c r="P38">
        <v>19.037401599999974</v>
      </c>
      <c r="Q38">
        <v>0</v>
      </c>
      <c r="R38">
        <v>-9.7442239999999973</v>
      </c>
      <c r="S38">
        <v>19.880593599999997</v>
      </c>
      <c r="T38">
        <v>0</v>
      </c>
      <c r="U38">
        <v>-9.3309439999999899</v>
      </c>
      <c r="V38">
        <v>19.037401599999974</v>
      </c>
      <c r="W38">
        <v>1.4210854715202004E-14</v>
      </c>
      <c r="X38">
        <v>-5.6183119999999978</v>
      </c>
      <c r="Y38">
        <v>11.462726799999992</v>
      </c>
      <c r="Z38">
        <v>0</v>
      </c>
      <c r="AA38">
        <v>-6.9408079999999899</v>
      </c>
      <c r="AB38">
        <v>14.160941199999975</v>
      </c>
      <c r="AC38">
        <v>1.4210854715202004E-14</v>
      </c>
      <c r="AD38">
        <v>-5.6183119999999978</v>
      </c>
      <c r="AE38">
        <v>11.462726799999992</v>
      </c>
      <c r="AF38">
        <v>0</v>
      </c>
      <c r="AG38">
        <v>4.2263480000000051</v>
      </c>
      <c r="AH38">
        <v>-10.039747200000013</v>
      </c>
      <c r="AI38">
        <v>1.4210854715202004E-14</v>
      </c>
      <c r="AJ38">
        <v>2.903851999999997</v>
      </c>
      <c r="AK38">
        <v>-7.3415327999999924</v>
      </c>
      <c r="AL38">
        <v>0</v>
      </c>
      <c r="AM38">
        <v>4.2263480000000051</v>
      </c>
      <c r="AN38">
        <v>-10.039747200000013</v>
      </c>
      <c r="AO38">
        <v>-1.4210854715202004E-14</v>
      </c>
      <c r="AP38">
        <v>-12.087852</v>
      </c>
      <c r="AQ38">
        <v>26.079132799999996</v>
      </c>
      <c r="AR38">
        <v>0</v>
      </c>
      <c r="AS38">
        <v>-13.410347999999997</v>
      </c>
      <c r="AT38">
        <v>28.77734719999998</v>
      </c>
      <c r="AU38">
        <v>-1.4210854715202004E-14</v>
      </c>
      <c r="AV38">
        <v>-12.087852</v>
      </c>
      <c r="AW38">
        <v>26.079132799999996</v>
      </c>
      <c r="AX38">
        <v>-1.4210854715202004E-14</v>
      </c>
      <c r="AY38">
        <v>7.7174999999999994</v>
      </c>
      <c r="AZ38">
        <v>-16.20675</v>
      </c>
      <c r="BA38">
        <v>0</v>
      </c>
      <c r="BB38">
        <v>7.7174999999999994</v>
      </c>
      <c r="BC38">
        <v>-16.20675</v>
      </c>
      <c r="BD38">
        <v>-1.4210854715202004E-14</v>
      </c>
      <c r="BE38">
        <v>7.7174999999999994</v>
      </c>
      <c r="BF38">
        <v>-16.20675</v>
      </c>
      <c r="BG38">
        <v>0</v>
      </c>
      <c r="BH38">
        <v>-21.932512000000003</v>
      </c>
      <c r="BI38">
        <v>47.581606799999996</v>
      </c>
      <c r="BJ38">
        <v>-1.4210854715202004E-14</v>
      </c>
      <c r="BK38">
        <v>-22.34579200000001</v>
      </c>
      <c r="BL38">
        <v>48.424798800000019</v>
      </c>
      <c r="BM38">
        <v>0</v>
      </c>
      <c r="BN38">
        <v>-21.932512000000003</v>
      </c>
      <c r="BO38">
        <v>47.581606799999996</v>
      </c>
      <c r="BP38">
        <v>0</v>
      </c>
      <c r="BQ38">
        <v>5.9996138926790845</v>
      </c>
      <c r="BR38">
        <v>-14.223124006664879</v>
      </c>
      <c r="BS38">
        <v>0</v>
      </c>
      <c r="BT38">
        <v>-18.432553999999996</v>
      </c>
      <c r="BU38">
        <v>39.732355599999977</v>
      </c>
      <c r="BV38">
        <v>0</v>
      </c>
      <c r="BW38">
        <v>5.7881250000000009</v>
      </c>
      <c r="BX38">
        <v>-12.155062500000001</v>
      </c>
      <c r="BY38">
        <v>0</v>
      </c>
      <c r="BZ38">
        <v>-21.882668503954307</v>
      </c>
      <c r="CA38">
        <v>48.232608143560284</v>
      </c>
      <c r="CB38">
        <v>0</v>
      </c>
      <c r="CC38">
        <v>5.7881250000000009</v>
      </c>
      <c r="CD38">
        <v>-12.155062500000001</v>
      </c>
      <c r="CE38">
        <v>0</v>
      </c>
      <c r="CF38">
        <v>-15.379547487753868</v>
      </c>
      <c r="CG38">
        <v>33.553431676774871</v>
      </c>
      <c r="CH38">
        <f t="shared" si="0"/>
        <v>7.7174999999999994</v>
      </c>
      <c r="CI38">
        <f t="shared" si="1"/>
        <v>-22.34579200000001</v>
      </c>
      <c r="CJ38">
        <f t="shared" si="2"/>
        <v>48.424798800000019</v>
      </c>
      <c r="CK38">
        <f t="shared" si="3"/>
        <v>-16.20675</v>
      </c>
    </row>
    <row r="39" spans="1:92" x14ac:dyDescent="0.25">
      <c r="A39" s="1">
        <f>Shear_Wall_Foundation!A87</f>
        <v>20</v>
      </c>
      <c r="B39" s="76">
        <f>Shear_Wall_Foundation!B87</f>
        <v>0</v>
      </c>
      <c r="C39" s="76">
        <f>Shear_Wall_Foundation!C87</f>
        <v>0</v>
      </c>
      <c r="D39" s="76">
        <f>Shear_Wall_Foundation!D87</f>
        <v>0</v>
      </c>
      <c r="E39" s="76">
        <f>Shear_Wall_Foundation!E87</f>
        <v>0</v>
      </c>
      <c r="F39" s="1" t="str">
        <f>Shear_Wall_Foundation!F87</f>
        <v>N/A</v>
      </c>
      <c r="G39" s="1" t="str">
        <f>Shear_Wall_Foundation!G87</f>
        <v>D</v>
      </c>
      <c r="J39">
        <f t="shared" si="4"/>
        <v>4.9000000000000004</v>
      </c>
      <c r="K39" cm="1">
        <f t="array" ref="K39:CG39">LRFD_Analysis(Lf_ft,J39,$B$4:$G$84,$J$4:$U$28)</f>
        <v>-2.8421709430404007E-14</v>
      </c>
      <c r="L39">
        <v>-5.4263108148148138</v>
      </c>
      <c r="M39">
        <v>12.859305441975302</v>
      </c>
      <c r="N39">
        <v>0</v>
      </c>
      <c r="O39">
        <v>-11.040984888888879</v>
      </c>
      <c r="P39">
        <v>26.164995318518489</v>
      </c>
      <c r="Q39">
        <v>0</v>
      </c>
      <c r="R39">
        <v>-11.530004888888882</v>
      </c>
      <c r="S39">
        <v>27.323877985185174</v>
      </c>
      <c r="T39">
        <v>0</v>
      </c>
      <c r="U39">
        <v>-11.040984888888879</v>
      </c>
      <c r="V39">
        <v>26.164995318518489</v>
      </c>
      <c r="W39">
        <v>1.4210854715202004E-14</v>
      </c>
      <c r="X39">
        <v>-6.6479552222222189</v>
      </c>
      <c r="Y39">
        <v>15.754366029629612</v>
      </c>
      <c r="Z39">
        <v>0</v>
      </c>
      <c r="AA39">
        <v>-8.2128192222222083</v>
      </c>
      <c r="AB39">
        <v>19.462790562962926</v>
      </c>
      <c r="AC39">
        <v>1.4210854715202004E-14</v>
      </c>
      <c r="AD39">
        <v>-6.6479552222222189</v>
      </c>
      <c r="AE39">
        <v>15.754366029629612</v>
      </c>
      <c r="AF39">
        <v>0</v>
      </c>
      <c r="AG39">
        <v>4.6072903333333395</v>
      </c>
      <c r="AH39">
        <v>-13.136911433333353</v>
      </c>
      <c r="AI39">
        <v>1.4210854715202004E-14</v>
      </c>
      <c r="AJ39">
        <v>3.0424263333333306</v>
      </c>
      <c r="AK39">
        <v>-9.4284868999999958</v>
      </c>
      <c r="AL39">
        <v>0</v>
      </c>
      <c r="AM39">
        <v>4.6072903333333395</v>
      </c>
      <c r="AN39">
        <v>-13.136911433333353</v>
      </c>
      <c r="AO39">
        <v>-1.4210854715202004E-14</v>
      </c>
      <c r="AP39">
        <v>-13.909537444444446</v>
      </c>
      <c r="AQ39">
        <v>35.181435048148145</v>
      </c>
      <c r="AR39">
        <v>0</v>
      </c>
      <c r="AS39">
        <v>-15.474401444444446</v>
      </c>
      <c r="AT39">
        <v>38.889859581481488</v>
      </c>
      <c r="AU39">
        <v>-1.4210854715202004E-14</v>
      </c>
      <c r="AV39">
        <v>-13.909537444444446</v>
      </c>
      <c r="AW39">
        <v>35.181435048148145</v>
      </c>
      <c r="AX39">
        <v>-1.4210854715202004E-14</v>
      </c>
      <c r="AY39">
        <v>9.0037500000000001</v>
      </c>
      <c r="AZ39">
        <v>-22.059187500000004</v>
      </c>
      <c r="BA39">
        <v>0</v>
      </c>
      <c r="BB39">
        <v>9.0037500000000001</v>
      </c>
      <c r="BC39">
        <v>-22.059187500000004</v>
      </c>
      <c r="BD39">
        <v>-1.4210854715202004E-14</v>
      </c>
      <c r="BE39">
        <v>9.0037500000000001</v>
      </c>
      <c r="BF39">
        <v>-22.059187500000004</v>
      </c>
      <c r="BG39">
        <v>0</v>
      </c>
      <c r="BH39">
        <v>-25.164783000000003</v>
      </c>
      <c r="BI39">
        <v>64.072712511111121</v>
      </c>
      <c r="BJ39">
        <v>-1.4210854715202004E-14</v>
      </c>
      <c r="BK39">
        <v>-25.653803000000007</v>
      </c>
      <c r="BL39">
        <v>65.231595177777791</v>
      </c>
      <c r="BM39">
        <v>0</v>
      </c>
      <c r="BN39">
        <v>-25.164783000000003</v>
      </c>
      <c r="BO39">
        <v>64.072712511111121</v>
      </c>
      <c r="BP39">
        <v>0</v>
      </c>
      <c r="BQ39">
        <v>6.5214338906764064</v>
      </c>
      <c r="BR39">
        <v>-18.613674698065971</v>
      </c>
      <c r="BS39">
        <v>0</v>
      </c>
      <c r="BT39">
        <v>-21.220204055555552</v>
      </c>
      <c r="BU39">
        <v>53.615561624074061</v>
      </c>
      <c r="BV39">
        <v>0</v>
      </c>
      <c r="BW39">
        <v>6.752812500000001</v>
      </c>
      <c r="BX39">
        <v>-16.544390625000005</v>
      </c>
      <c r="BY39">
        <v>0</v>
      </c>
      <c r="BZ39">
        <v>-24.896723175375516</v>
      </c>
      <c r="CA39">
        <v>64.615946177090791</v>
      </c>
      <c r="CB39">
        <v>0</v>
      </c>
      <c r="CC39">
        <v>6.752812500000001</v>
      </c>
      <c r="CD39">
        <v>-16.544390625000005</v>
      </c>
      <c r="CE39">
        <v>0</v>
      </c>
      <c r="CF39">
        <v>-17.593810415576247</v>
      </c>
      <c r="CG39">
        <v>45.099923526053772</v>
      </c>
      <c r="CH39">
        <f t="shared" si="0"/>
        <v>9.0037500000000001</v>
      </c>
      <c r="CI39">
        <f t="shared" si="1"/>
        <v>-25.653803000000007</v>
      </c>
      <c r="CJ39">
        <f t="shared" si="2"/>
        <v>65.231595177777791</v>
      </c>
      <c r="CK39">
        <f t="shared" si="3"/>
        <v>-22.059187500000004</v>
      </c>
    </row>
    <row r="40" spans="1:92" x14ac:dyDescent="0.25">
      <c r="A40" s="1">
        <f>Shear_Wall_Foundation!A88</f>
        <v>21</v>
      </c>
      <c r="B40" s="76">
        <f>Shear_Wall_Foundation!B88</f>
        <v>0</v>
      </c>
      <c r="C40" s="76">
        <f>Shear_Wall_Foundation!C88</f>
        <v>0</v>
      </c>
      <c r="D40" s="76">
        <f>Shear_Wall_Foundation!D88</f>
        <v>0</v>
      </c>
      <c r="E40" s="76">
        <f>Shear_Wall_Foundation!E88</f>
        <v>0</v>
      </c>
      <c r="F40" s="1" t="str">
        <f>Shear_Wall_Foundation!F88</f>
        <v>N/A</v>
      </c>
      <c r="G40" s="1" t="str">
        <f>Shear_Wall_Foundation!G88</f>
        <v>D</v>
      </c>
      <c r="J40">
        <f t="shared" si="4"/>
        <v>5.6000000000000005</v>
      </c>
      <c r="K40" cm="1">
        <f t="array" ref="K40:CG40">LRFD_Analysis(Lf_ft,J40,$B$4:$G$84,$J$4:$U$28)</f>
        <v>-2.8421709430404007E-14</v>
      </c>
      <c r="L40">
        <v>-6.2884930370370391</v>
      </c>
      <c r="M40">
        <v>16.958218113580251</v>
      </c>
      <c r="N40">
        <v>0</v>
      </c>
      <c r="O40">
        <v>-12.795278222222212</v>
      </c>
      <c r="P40">
        <v>34.505106014814785</v>
      </c>
      <c r="Q40">
        <v>0</v>
      </c>
      <c r="R40">
        <v>-13.361998222222216</v>
      </c>
      <c r="S40">
        <v>36.033383348148121</v>
      </c>
      <c r="T40">
        <v>0</v>
      </c>
      <c r="U40">
        <v>-12.795278222222212</v>
      </c>
      <c r="V40">
        <v>34.505106014814785</v>
      </c>
      <c r="W40">
        <v>1.4210854715202004E-14</v>
      </c>
      <c r="X40">
        <v>-7.7042435555555571</v>
      </c>
      <c r="Y40">
        <v>20.776081303703705</v>
      </c>
      <c r="Z40">
        <v>0</v>
      </c>
      <c r="AA40">
        <v>-9.5177475555555411</v>
      </c>
      <c r="AB40">
        <v>25.666568770370326</v>
      </c>
      <c r="AC40">
        <v>1.4210854715202004E-14</v>
      </c>
      <c r="AD40">
        <v>-7.7042435555555571</v>
      </c>
      <c r="AE40">
        <v>20.776081303703705</v>
      </c>
      <c r="AF40">
        <v>0</v>
      </c>
      <c r="AG40">
        <v>4.8958186666666723</v>
      </c>
      <c r="AH40">
        <v>-16.468390400000022</v>
      </c>
      <c r="AI40">
        <v>1.4210854715202004E-14</v>
      </c>
      <c r="AJ40">
        <v>3.0823146666666625</v>
      </c>
      <c r="AK40">
        <v>-11.577902933333323</v>
      </c>
      <c r="AL40">
        <v>0</v>
      </c>
      <c r="AM40">
        <v>4.8958186666666723</v>
      </c>
      <c r="AN40">
        <v>-16.468390400000022</v>
      </c>
      <c r="AO40">
        <v>-1.4210854715202004E-14</v>
      </c>
      <c r="AP40">
        <v>-15.676092444444446</v>
      </c>
      <c r="AQ40">
        <v>45.539621451851858</v>
      </c>
      <c r="AR40">
        <v>0</v>
      </c>
      <c r="AS40">
        <v>-17.489596444444441</v>
      </c>
      <c r="AT40">
        <v>50.430108918518499</v>
      </c>
      <c r="AU40">
        <v>-1.4210854715202004E-14</v>
      </c>
      <c r="AV40">
        <v>-15.676092444444446</v>
      </c>
      <c r="AW40">
        <v>45.539621451851858</v>
      </c>
      <c r="AX40">
        <v>-1.4210854715202004E-14</v>
      </c>
      <c r="AY40">
        <v>10.29</v>
      </c>
      <c r="AZ40">
        <v>-28.811999999999998</v>
      </c>
      <c r="BA40">
        <v>0</v>
      </c>
      <c r="BB40">
        <v>10.238844205993386</v>
      </c>
      <c r="BC40">
        <v>-28.803258062023094</v>
      </c>
      <c r="BD40">
        <v>-1.4210854715202004E-14</v>
      </c>
      <c r="BE40">
        <v>10.29</v>
      </c>
      <c r="BF40">
        <v>-28.811999999999998</v>
      </c>
      <c r="BG40">
        <v>0</v>
      </c>
      <c r="BH40">
        <v>-28.276154666666677</v>
      </c>
      <c r="BI40">
        <v>82.78409315555561</v>
      </c>
      <c r="BJ40">
        <v>-1.4210854715202004E-14</v>
      </c>
      <c r="BK40">
        <v>-28.842874666666681</v>
      </c>
      <c r="BL40">
        <v>84.312370488888959</v>
      </c>
      <c r="BM40">
        <v>0</v>
      </c>
      <c r="BN40">
        <v>-28.276154666666677</v>
      </c>
      <c r="BO40">
        <v>82.78409315555561</v>
      </c>
      <c r="BP40">
        <v>0</v>
      </c>
      <c r="BQ40">
        <v>6.9029573076451447</v>
      </c>
      <c r="BR40">
        <v>-23.320395584705174</v>
      </c>
      <c r="BS40">
        <v>0</v>
      </c>
      <c r="BT40">
        <v>-23.92658488888889</v>
      </c>
      <c r="BU40">
        <v>69.42167845925924</v>
      </c>
      <c r="BV40">
        <v>0</v>
      </c>
      <c r="BW40">
        <v>7.7175000000000002</v>
      </c>
      <c r="BX40">
        <v>-21.609000000000002</v>
      </c>
      <c r="BY40">
        <v>0</v>
      </c>
      <c r="BZ40">
        <v>-27.729904490824005</v>
      </c>
      <c r="CA40">
        <v>83.045816806025698</v>
      </c>
      <c r="CB40">
        <v>0</v>
      </c>
      <c r="CC40">
        <v>7.7175000000000002</v>
      </c>
      <c r="CD40">
        <v>-21.609000000000002</v>
      </c>
      <c r="CE40">
        <v>0</v>
      </c>
      <c r="CF40">
        <v>-19.708360490026273</v>
      </c>
      <c r="CG40">
        <v>58.161499926128066</v>
      </c>
      <c r="CH40">
        <f t="shared" si="0"/>
        <v>10.29</v>
      </c>
      <c r="CI40">
        <f t="shared" si="1"/>
        <v>-28.842874666666681</v>
      </c>
      <c r="CJ40">
        <f t="shared" si="2"/>
        <v>84.312370488888959</v>
      </c>
      <c r="CK40">
        <f t="shared" si="3"/>
        <v>-28.811999999999998</v>
      </c>
    </row>
    <row r="41" spans="1:92" x14ac:dyDescent="0.25">
      <c r="A41" s="1">
        <f>Shear_Wall_Foundation!A89</f>
        <v>22</v>
      </c>
      <c r="B41" s="76">
        <f>Shear_Wall_Foundation!B89</f>
        <v>0</v>
      </c>
      <c r="C41" s="76">
        <f>Shear_Wall_Foundation!C89</f>
        <v>0</v>
      </c>
      <c r="D41" s="76">
        <f>Shear_Wall_Foundation!D89</f>
        <v>0</v>
      </c>
      <c r="E41" s="76">
        <f>Shear_Wall_Foundation!E89</f>
        <v>0</v>
      </c>
      <c r="F41" s="1" t="str">
        <f>Shear_Wall_Foundation!F89</f>
        <v>N/A</v>
      </c>
      <c r="G41" s="1" t="str">
        <f>Shear_Wall_Foundation!G89</f>
        <v>D</v>
      </c>
      <c r="J41">
        <f t="shared" si="4"/>
        <v>6.3000000000000007</v>
      </c>
      <c r="K41" cm="1">
        <f t="array" ref="K41:CG41">LRFD_Analysis(Lf_ft,J41,$B$4:$G$84,$J$4:$U$28)</f>
        <v>-2.8421709430404007E-14</v>
      </c>
      <c r="L41">
        <v>-7.1724239999999995</v>
      </c>
      <c r="M41">
        <v>21.668270400000026</v>
      </c>
      <c r="N41">
        <v>0</v>
      </c>
      <c r="O41">
        <v>-14.593823999999987</v>
      </c>
      <c r="P41">
        <v>44.088710399999982</v>
      </c>
      <c r="Q41">
        <v>0</v>
      </c>
      <c r="R41">
        <v>-15.240203999999991</v>
      </c>
      <c r="S41">
        <v>46.041458399999982</v>
      </c>
      <c r="T41">
        <v>0</v>
      </c>
      <c r="U41">
        <v>-14.593823999999987</v>
      </c>
      <c r="V41">
        <v>44.088710399999982</v>
      </c>
      <c r="W41">
        <v>1.4210854715202004E-14</v>
      </c>
      <c r="X41">
        <v>-8.7871769999999962</v>
      </c>
      <c r="Y41">
        <v>26.546524199999993</v>
      </c>
      <c r="Z41">
        <v>0</v>
      </c>
      <c r="AA41">
        <v>-10.855592999999985</v>
      </c>
      <c r="AB41">
        <v>32.795317799999964</v>
      </c>
      <c r="AC41">
        <v>1.4210854715202004E-14</v>
      </c>
      <c r="AD41">
        <v>-8.7871769999999962</v>
      </c>
      <c r="AE41">
        <v>26.546524199999993</v>
      </c>
      <c r="AF41">
        <v>0</v>
      </c>
      <c r="AG41">
        <v>5.0919330000000089</v>
      </c>
      <c r="AH41">
        <v>-19.96949430000004</v>
      </c>
      <c r="AI41">
        <v>1.4210854715202004E-14</v>
      </c>
      <c r="AJ41">
        <v>3.0235169999999982</v>
      </c>
      <c r="AK41">
        <v>-13.720700699999998</v>
      </c>
      <c r="AL41">
        <v>0</v>
      </c>
      <c r="AM41">
        <v>5.0919330000000089</v>
      </c>
      <c r="AN41">
        <v>-19.96949430000004</v>
      </c>
      <c r="AO41">
        <v>-1.4210854715202004E-14</v>
      </c>
      <c r="AP41">
        <v>-17.387517000000003</v>
      </c>
      <c r="AQ41">
        <v>57.115100700000028</v>
      </c>
      <c r="AR41">
        <v>0</v>
      </c>
      <c r="AS41">
        <v>-19.455933000000002</v>
      </c>
      <c r="AT41">
        <v>63.363894300000027</v>
      </c>
      <c r="AU41">
        <v>-1.4210854715202004E-14</v>
      </c>
      <c r="AV41">
        <v>-17.387517000000003</v>
      </c>
      <c r="AW41">
        <v>57.115100700000028</v>
      </c>
      <c r="AX41">
        <v>-1.4210854715202004E-14</v>
      </c>
      <c r="AY41">
        <v>11.488959616622683</v>
      </c>
      <c r="AZ41">
        <v>-36.445762950371424</v>
      </c>
      <c r="BA41">
        <v>0</v>
      </c>
      <c r="BB41">
        <v>11.290024298871632</v>
      </c>
      <c r="BC41">
        <v>-36.349488816340262</v>
      </c>
      <c r="BD41">
        <v>-1.4210854715202004E-14</v>
      </c>
      <c r="BE41">
        <v>11.488959616622683</v>
      </c>
      <c r="BF41">
        <v>-36.445762950371424</v>
      </c>
      <c r="BG41">
        <v>0</v>
      </c>
      <c r="BH41">
        <v>-31.266627000000007</v>
      </c>
      <c r="BI41">
        <v>103.63111920000003</v>
      </c>
      <c r="BJ41">
        <v>-1.4210854715202004E-14</v>
      </c>
      <c r="BK41">
        <v>-31.913007000000015</v>
      </c>
      <c r="BL41">
        <v>105.58386720000007</v>
      </c>
      <c r="BM41">
        <v>0</v>
      </c>
      <c r="BN41">
        <v>-31.266627000000007</v>
      </c>
      <c r="BO41">
        <v>103.63111920000003</v>
      </c>
      <c r="BP41">
        <v>0</v>
      </c>
      <c r="BQ41">
        <v>7.1441841435853046</v>
      </c>
      <c r="BR41">
        <v>-28.245079059862519</v>
      </c>
      <c r="BS41">
        <v>0</v>
      </c>
      <c r="BT41">
        <v>-26.551696499999998</v>
      </c>
      <c r="BU41">
        <v>87.093817649999991</v>
      </c>
      <c r="BV41">
        <v>0</v>
      </c>
      <c r="BW41">
        <v>8.6821875000000013</v>
      </c>
      <c r="BX41">
        <v>-27.34889062500001</v>
      </c>
      <c r="BY41">
        <v>0</v>
      </c>
      <c r="BZ41">
        <v>-30.382212450299786</v>
      </c>
      <c r="CA41">
        <v>103.39560868118413</v>
      </c>
      <c r="CB41">
        <v>0</v>
      </c>
      <c r="CC41">
        <v>8.6821875000000013</v>
      </c>
      <c r="CD41">
        <v>-27.34889062500001</v>
      </c>
      <c r="CE41">
        <v>0</v>
      </c>
      <c r="CF41">
        <v>-21.723197711103936</v>
      </c>
      <c r="CG41">
        <v>72.668361879637047</v>
      </c>
      <c r="CH41">
        <f t="shared" ref="CH41" si="5">MAX(CF41,CC41,BZ41,BW41,BT41,BQ41,BN41,BK41,BH41,BE41,BB41,AY41,AV41,AS41,AP41,AM41,AJ41,AG41,AD41,AA41,X41,U41,R41,O41,L41)</f>
        <v>11.488959616622683</v>
      </c>
      <c r="CI41">
        <f t="shared" ref="CI41" si="6">MIN(CF41,CC41,BZ41,BW41,BT41,BQ41,BN41,BK41,BH41,BE41,BB41,AY41,AV41,AS41,AP41,AM41,AJ41,AG41,AD41,AA41,X41,U41,R41,O41,L41)</f>
        <v>-31.913007000000015</v>
      </c>
      <c r="CJ41">
        <f t="shared" ref="CJ41" si="7">MAX(CG41,CD41,CA41,BX41,BU41,BR41,BO41,BL41,BI41,BF41,BC41,AZ41,AW41,AT41,AQ41,AN41,AK41,AH41,AE41,AB41,Y41,V41,S41,P41,M41)</f>
        <v>105.58386720000007</v>
      </c>
      <c r="CK41">
        <f t="shared" ref="CK41" si="8">MIN(CG41,CD41,CA41,BX41,BU41,BR41,BO41,BL41,BI41,BF41,BC41,AZ41,AW41,AT41,AQ41,AN41,AK41,AH41,AE41,AB41,Y41,V41,S41,P41,M41)</f>
        <v>-36.445762950371424</v>
      </c>
    </row>
    <row r="42" spans="1:92" x14ac:dyDescent="0.25">
      <c r="A42" s="1">
        <f>Shear_Wall_Foundation!A90</f>
        <v>23</v>
      </c>
      <c r="B42" s="76">
        <f>Shear_Wall_Foundation!B90</f>
        <v>0</v>
      </c>
      <c r="C42" s="76">
        <f>Shear_Wall_Foundation!C90</f>
        <v>0</v>
      </c>
      <c r="D42" s="76">
        <f>Shear_Wall_Foundation!D90</f>
        <v>0</v>
      </c>
      <c r="E42" s="76">
        <f>Shear_Wall_Foundation!E90</f>
        <v>0</v>
      </c>
      <c r="F42" s="1" t="str">
        <f>Shear_Wall_Foundation!F90</f>
        <v>N/A</v>
      </c>
      <c r="G42" s="1" t="str">
        <f>Shear_Wall_Foundation!G90</f>
        <v>D</v>
      </c>
      <c r="I42" t="s">
        <v>339</v>
      </c>
      <c r="J42">
        <f>Shear_Wall_Foundation!B557</f>
        <v>7</v>
      </c>
      <c r="K42" cm="1">
        <f t="array" ref="K42:CG42">LRFD_Analysis(Lf_ft,J42,$B$4:$G$84,$J$4:$U$28)</f>
        <v>-2.8421709430404007E-14</v>
      </c>
      <c r="L42">
        <v>-8.0781037037037038</v>
      </c>
      <c r="M42">
        <v>27.004686419753085</v>
      </c>
      <c r="N42">
        <v>0</v>
      </c>
      <c r="O42">
        <v>-16.436622222222208</v>
      </c>
      <c r="P42">
        <v>54.946785185185149</v>
      </c>
      <c r="Q42">
        <v>0</v>
      </c>
      <c r="R42">
        <v>-17.164622222222217</v>
      </c>
      <c r="S42">
        <v>57.380451851851845</v>
      </c>
      <c r="T42">
        <v>0</v>
      </c>
      <c r="U42">
        <v>-16.436622222222208</v>
      </c>
      <c r="V42">
        <v>54.946785185185149</v>
      </c>
      <c r="W42">
        <v>1.4210854715202004E-14</v>
      </c>
      <c r="X42">
        <v>-9.8967555555555542</v>
      </c>
      <c r="Y42">
        <v>33.084346296296289</v>
      </c>
      <c r="Z42">
        <v>0</v>
      </c>
      <c r="AA42">
        <v>-12.226355555555536</v>
      </c>
      <c r="AB42">
        <v>40.872079629629539</v>
      </c>
      <c r="AC42">
        <v>1.4210854715202004E-14</v>
      </c>
      <c r="AD42">
        <v>-9.8967555555555542</v>
      </c>
      <c r="AE42">
        <v>33.084346296296289</v>
      </c>
      <c r="AF42">
        <v>0</v>
      </c>
      <c r="AG42">
        <v>5.1956333333333422</v>
      </c>
      <c r="AH42">
        <v>-23.575533333333368</v>
      </c>
      <c r="AI42">
        <v>1.4210854715202004E-14</v>
      </c>
      <c r="AJ42">
        <v>2.8660333333333305</v>
      </c>
      <c r="AK42">
        <v>-15.787799999999983</v>
      </c>
      <c r="AL42">
        <v>0</v>
      </c>
      <c r="AM42">
        <v>5.1956333333333422</v>
      </c>
      <c r="AN42">
        <v>-23.575533333333368</v>
      </c>
      <c r="AO42">
        <v>-1.4210854715202004E-14</v>
      </c>
      <c r="AP42">
        <v>-19.043811111111111</v>
      </c>
      <c r="AQ42">
        <v>69.86928148148148</v>
      </c>
      <c r="AR42">
        <v>0</v>
      </c>
      <c r="AS42">
        <v>-21.373411111111107</v>
      </c>
      <c r="AT42">
        <v>77.657014814814787</v>
      </c>
      <c r="AU42">
        <v>-1.4210854715202004E-14</v>
      </c>
      <c r="AV42">
        <v>-19.043811111111111</v>
      </c>
      <c r="AW42">
        <v>69.86928148148148</v>
      </c>
      <c r="AX42">
        <v>-1.4210854715202004E-14</v>
      </c>
      <c r="AY42">
        <v>12.496178259179727</v>
      </c>
      <c r="AZ42">
        <v>-44.851758102959401</v>
      </c>
      <c r="BA42">
        <v>0</v>
      </c>
      <c r="BB42">
        <v>12.150459632645992</v>
      </c>
      <c r="BC42">
        <v>-44.564784969985809</v>
      </c>
      <c r="BD42">
        <v>-1.4210854715202004E-14</v>
      </c>
      <c r="BE42">
        <v>12.496178259179727</v>
      </c>
      <c r="BF42">
        <v>-44.851758102959401</v>
      </c>
      <c r="BG42">
        <v>0</v>
      </c>
      <c r="BH42">
        <v>-34.136200000000002</v>
      </c>
      <c r="BI42">
        <v>126.52916111111109</v>
      </c>
      <c r="BJ42">
        <v>-1.4210854715202004E-14</v>
      </c>
      <c r="BK42">
        <v>-34.864200000000011</v>
      </c>
      <c r="BL42">
        <v>128.96282777777782</v>
      </c>
      <c r="BM42">
        <v>0</v>
      </c>
      <c r="BN42">
        <v>-34.136200000000002</v>
      </c>
      <c r="BO42">
        <v>126.52916111111109</v>
      </c>
      <c r="BP42">
        <v>0</v>
      </c>
      <c r="BQ42">
        <v>7.2451143984968827</v>
      </c>
      <c r="BR42">
        <v>-33.289517516817938</v>
      </c>
      <c r="BS42">
        <v>0</v>
      </c>
      <c r="BT42">
        <v>-29.095538888888886</v>
      </c>
      <c r="BU42">
        <v>106.57509074074069</v>
      </c>
      <c r="BV42">
        <v>0</v>
      </c>
      <c r="BW42">
        <v>9.6468750000000014</v>
      </c>
      <c r="BX42">
        <v>-33.764062500000001</v>
      </c>
      <c r="BY42">
        <v>0</v>
      </c>
      <c r="BZ42">
        <v>-32.853647053802838</v>
      </c>
      <c r="CA42">
        <v>125.53871045338505</v>
      </c>
      <c r="CB42">
        <v>0</v>
      </c>
      <c r="CC42">
        <v>9.6468750000000014</v>
      </c>
      <c r="CD42">
        <v>-33.764062500000001</v>
      </c>
      <c r="CE42">
        <v>0</v>
      </c>
      <c r="CF42">
        <v>-23.638322078809232</v>
      </c>
      <c r="CG42">
        <v>88.550710389220001</v>
      </c>
      <c r="CH42">
        <f>MAX(CF42,CC42,BZ42,BW42,BT42,BQ42,BN42,BK42,BH42,BE42,BB42,AY42,AV42,AS42,AP42,AM42,AJ42,AG42,AD42,AA42,X42,U42,R42,O42,L42)</f>
        <v>12.496178259179727</v>
      </c>
      <c r="CI42">
        <f>MIN(CF42,CC42,BZ42,BW42,BT42,BQ42,BN42,BK42,BH42,BE42,BB42,AY42,AV42,AS42,AP42,AM42,AJ42,AG42,AD42,AA42,X42,U42,R42,O42,L42)</f>
        <v>-34.864200000000011</v>
      </c>
      <c r="CJ42">
        <f>MAX(CG42,CD42,CA42,BX42,BU42,BR42,BO42,BL42,BI42,BF42,BC42,AZ42,AW42,AT42,AQ42,AN42,AK42,AH42,AE42,AB42,Y42,V42,S42,P42,M42)</f>
        <v>128.96282777777782</v>
      </c>
      <c r="CK42">
        <f>MIN(CG42,CD42,CA42,BX42,BU42,BR42,BO42,BL42,BI42,BF42,BC42,AZ42,AW42,AT42,AQ42,AN42,AK42,AH42,AE42,AB42,Y42,V42,S42,P42,M42)</f>
        <v>-44.851758102959401</v>
      </c>
    </row>
    <row r="43" spans="1:92" x14ac:dyDescent="0.25">
      <c r="A43" s="1">
        <f>Shear_Wall_Foundation!A91</f>
        <v>24</v>
      </c>
      <c r="B43" s="76">
        <f>Shear_Wall_Foundation!B91</f>
        <v>0</v>
      </c>
      <c r="C43" s="76">
        <f>Shear_Wall_Foundation!C91</f>
        <v>0</v>
      </c>
      <c r="D43" s="76">
        <f>Shear_Wall_Foundation!D91</f>
        <v>0</v>
      </c>
      <c r="E43" s="76">
        <f>Shear_Wall_Foundation!E91</f>
        <v>0</v>
      </c>
      <c r="F43" s="1" t="str">
        <f>Shear_Wall_Foundation!F91</f>
        <v>N/A</v>
      </c>
      <c r="G43" s="1" t="str">
        <f>Shear_Wall_Foundation!G91</f>
        <v>D</v>
      </c>
      <c r="I43" t="s">
        <v>301</v>
      </c>
      <c r="J43">
        <f>(Lf_ft-Long_VandM!J44)/10</f>
        <v>0.3</v>
      </c>
    </row>
    <row r="44" spans="1:92" x14ac:dyDescent="0.25">
      <c r="A44" s="1">
        <f>Shear_Wall_Foundation!A92</f>
        <v>25</v>
      </c>
      <c r="B44" s="76">
        <f>Shear_Wall_Foundation!B92</f>
        <v>0</v>
      </c>
      <c r="C44" s="76">
        <f>Shear_Wall_Foundation!C92</f>
        <v>0</v>
      </c>
      <c r="D44" s="76">
        <f>Shear_Wall_Foundation!D92</f>
        <v>0</v>
      </c>
      <c r="E44" s="76">
        <f>Shear_Wall_Foundation!E92</f>
        <v>0</v>
      </c>
      <c r="F44" s="1" t="str">
        <f>Shear_Wall_Foundation!F92</f>
        <v>N/A</v>
      </c>
      <c r="G44" s="1" t="str">
        <f>Shear_Wall_Foundation!G92</f>
        <v>D</v>
      </c>
      <c r="I44" t="s">
        <v>340</v>
      </c>
      <c r="J44">
        <f>Shear_Wall_Foundation!B558</f>
        <v>27</v>
      </c>
      <c r="K44" cm="1">
        <f t="array" ref="K44:CG44">LRFD_Analysis(Lf_ft,J44,$B$4:$G$84,$J$4:$U$28)</f>
        <v>-2.8421709430404007E-14</v>
      </c>
      <c r="L44">
        <v>6.7909333333333137</v>
      </c>
      <c r="M44">
        <v>10.286266666667188</v>
      </c>
      <c r="N44">
        <v>0</v>
      </c>
      <c r="O44">
        <v>13.817600000000027</v>
      </c>
      <c r="P44">
        <v>20.929599999999027</v>
      </c>
      <c r="Q44">
        <v>0</v>
      </c>
      <c r="R44">
        <v>14.429600000000022</v>
      </c>
      <c r="S44">
        <v>21.856599999999617</v>
      </c>
      <c r="T44">
        <v>0</v>
      </c>
      <c r="U44">
        <v>13.817600000000027</v>
      </c>
      <c r="V44">
        <v>20.929599999999027</v>
      </c>
      <c r="W44">
        <v>1.4210854715202004E-14</v>
      </c>
      <c r="X44">
        <v>8.3198000000000008</v>
      </c>
      <c r="Y44">
        <v>12.602049999999736</v>
      </c>
      <c r="Z44">
        <v>0</v>
      </c>
      <c r="AA44">
        <v>10.278200000000012</v>
      </c>
      <c r="AB44">
        <v>15.568449999999302</v>
      </c>
      <c r="AC44">
        <v>1.4210854715202004E-14</v>
      </c>
      <c r="AD44">
        <v>8.3198000000000008</v>
      </c>
      <c r="AE44">
        <v>12.602049999999736</v>
      </c>
      <c r="AF44">
        <v>0</v>
      </c>
      <c r="AG44">
        <v>11.918300000000002</v>
      </c>
      <c r="AH44">
        <v>18.301799999999389</v>
      </c>
      <c r="AI44">
        <v>1.4210854715202004E-14</v>
      </c>
      <c r="AJ44">
        <v>13.8767</v>
      </c>
      <c r="AK44">
        <v>21.268200000000093</v>
      </c>
      <c r="AL44">
        <v>0</v>
      </c>
      <c r="AM44">
        <v>11.918300000000002</v>
      </c>
      <c r="AN44">
        <v>18.301799999999389</v>
      </c>
      <c r="AO44">
        <v>-1.4210854715202004E-14</v>
      </c>
      <c r="AP44">
        <v>-0.27670000000001949</v>
      </c>
      <c r="AQ44">
        <v>-0.66820000000006985</v>
      </c>
      <c r="AR44">
        <v>0</v>
      </c>
      <c r="AS44">
        <v>1.6816999999999922</v>
      </c>
      <c r="AT44">
        <v>2.2981999999999516</v>
      </c>
      <c r="AU44">
        <v>-1.4210854715202004E-14</v>
      </c>
      <c r="AV44">
        <v>-0.27670000000001949</v>
      </c>
      <c r="AW44">
        <v>-0.66820000000006985</v>
      </c>
      <c r="AX44">
        <v>-1.4210854715202004E-14</v>
      </c>
      <c r="AY44">
        <v>21.361128378996355</v>
      </c>
      <c r="AZ44">
        <v>32.923080887861829</v>
      </c>
      <c r="BA44">
        <v>0</v>
      </c>
      <c r="BB44">
        <v>21.829397465986688</v>
      </c>
      <c r="BC44">
        <v>33.619964990783387</v>
      </c>
      <c r="BD44">
        <v>-1.4210854715202004E-14</v>
      </c>
      <c r="BE44">
        <v>21.361128378996355</v>
      </c>
      <c r="BF44">
        <v>32.923080887861829</v>
      </c>
      <c r="BG44">
        <v>0</v>
      </c>
      <c r="BH44">
        <v>-3.8752000000000066</v>
      </c>
      <c r="BI44">
        <v>-6.3679500000002918</v>
      </c>
      <c r="BJ44">
        <v>-1.4210854715202004E-14</v>
      </c>
      <c r="BK44">
        <v>-3.2632000000000119</v>
      </c>
      <c r="BL44">
        <v>-5.440949999999475</v>
      </c>
      <c r="BM44">
        <v>0</v>
      </c>
      <c r="BN44">
        <v>-3.8752000000000066</v>
      </c>
      <c r="BO44">
        <v>-6.3679500000002918</v>
      </c>
      <c r="BP44">
        <v>0</v>
      </c>
      <c r="BQ44">
        <v>18.335688471651423</v>
      </c>
      <c r="BR44">
        <v>28.147751701996185</v>
      </c>
      <c r="BS44">
        <v>0</v>
      </c>
      <c r="BT44">
        <v>3.0349999999998545E-2</v>
      </c>
      <c r="BU44">
        <v>-0.32765000000040345</v>
      </c>
      <c r="BV44">
        <v>0</v>
      </c>
      <c r="BW44">
        <v>22.778356953876255</v>
      </c>
      <c r="BX44">
        <v>35.696280600196275</v>
      </c>
      <c r="BY44">
        <v>0</v>
      </c>
      <c r="BZ44">
        <v>-4.1343750000000057</v>
      </c>
      <c r="CA44">
        <v>-6.2015624999996817</v>
      </c>
      <c r="CB44">
        <v>0</v>
      </c>
      <c r="CC44">
        <v>14.832129023343853</v>
      </c>
      <c r="CD44">
        <v>22.95512850751021</v>
      </c>
      <c r="CE44">
        <v>0</v>
      </c>
      <c r="CF44">
        <v>-4.1343750000000057</v>
      </c>
      <c r="CG44">
        <v>-6.2015624999994543</v>
      </c>
      <c r="CH44">
        <f>MAX(CF44,CC44,BZ44,BW44,BT44,BQ44,BN44,BK44,BH44,BE44,BB44,AY44,AV44,AS44,AP44,AM44,AJ44,AG44,AD44,AA44,X44,U44,R44,O44,L44)</f>
        <v>22.778356953876255</v>
      </c>
      <c r="CI44">
        <f>MIN(CF44,CC44,BZ44,BW44,BT44,BQ44,BN44,BK44,BH44,BE44,BB44,AY44,AV44,AS44,AP44,AM44,AJ44,AG44,AD44,AA44,X44,U44,R44,O44,L44)</f>
        <v>-4.1343750000000057</v>
      </c>
      <c r="CJ44">
        <f>MAX(CG44,CD44,CA44,BX44,BU44,BR44,BO44,BL44,BI44,BF44,BC44,AZ44,AW44,AT44,AQ44,AN44,AK44,AH44,AE44,AB44,Y44,V44,S44,P44,M44)</f>
        <v>35.696280600196275</v>
      </c>
      <c r="CK44">
        <f>MIN(CG44,CD44,CA44,BX44,BU44,BR44,BO44,BL44,BI44,BF44,BC44,AZ44,AW44,AT44,AQ44,AN44,AK44,AH44,AE44,AB44,Y44,V44,S44,P44,M44)</f>
        <v>-6.3679500000002918</v>
      </c>
      <c r="CM44">
        <f>J44</f>
        <v>27</v>
      </c>
      <c r="CN44">
        <f>CJ44</f>
        <v>35.696280600196275</v>
      </c>
    </row>
    <row r="45" spans="1:92" x14ac:dyDescent="0.25">
      <c r="A45" s="1">
        <f>Shear_Wall_Foundation!A93</f>
        <v>26</v>
      </c>
      <c r="B45" s="76">
        <f>Shear_Wall_Foundation!B93</f>
        <v>0</v>
      </c>
      <c r="C45" s="76">
        <f>Shear_Wall_Foundation!C93</f>
        <v>0</v>
      </c>
      <c r="D45" s="76">
        <f>Shear_Wall_Foundation!D93</f>
        <v>0</v>
      </c>
      <c r="E45" s="76">
        <f>Shear_Wall_Foundation!E93</f>
        <v>0</v>
      </c>
      <c r="F45" s="1" t="str">
        <f>Shear_Wall_Foundation!F93</f>
        <v>N/A</v>
      </c>
      <c r="G45" s="1" t="str">
        <f>Shear_Wall_Foundation!G93</f>
        <v>D</v>
      </c>
      <c r="J45">
        <f>J44+$J$43</f>
        <v>27.3</v>
      </c>
      <c r="K45" cm="1">
        <f t="array" ref="K45:CG45">LRFD_Analysis(Lf_ft,J45,$B$4:$G$84,$J$4:$U$28)</f>
        <v>-2.8421709430404007E-14</v>
      </c>
      <c r="L45">
        <v>6.1298159999999768</v>
      </c>
      <c r="M45">
        <v>8.3480544000001373</v>
      </c>
      <c r="N45">
        <v>0</v>
      </c>
      <c r="O45">
        <v>12.472416000000038</v>
      </c>
      <c r="P45">
        <v>16.985894399999324</v>
      </c>
      <c r="Q45">
        <v>0</v>
      </c>
      <c r="R45">
        <v>13.024836000000022</v>
      </c>
      <c r="S45">
        <v>17.738222399999813</v>
      </c>
      <c r="T45">
        <v>0</v>
      </c>
      <c r="U45">
        <v>12.472416000000038</v>
      </c>
      <c r="V45">
        <v>16.985894399999324</v>
      </c>
      <c r="W45">
        <v>1.4210854715202004E-14</v>
      </c>
      <c r="X45">
        <v>7.5098430000000178</v>
      </c>
      <c r="Y45">
        <v>10.227481199999602</v>
      </c>
      <c r="Z45">
        <v>0</v>
      </c>
      <c r="AA45">
        <v>9.2775870000000253</v>
      </c>
      <c r="AB45">
        <v>12.634930799999438</v>
      </c>
      <c r="AC45">
        <v>1.4210854715202004E-14</v>
      </c>
      <c r="AD45">
        <v>7.5098430000000178</v>
      </c>
      <c r="AE45">
        <v>10.227481199999602</v>
      </c>
      <c r="AF45">
        <v>0</v>
      </c>
      <c r="AG45">
        <v>10.802852999999999</v>
      </c>
      <c r="AH45">
        <v>14.893202699999847</v>
      </c>
      <c r="AI45">
        <v>1.4210854715202004E-14</v>
      </c>
      <c r="AJ45">
        <v>12.570597000000006</v>
      </c>
      <c r="AK45">
        <v>17.300652300000479</v>
      </c>
      <c r="AL45">
        <v>0</v>
      </c>
      <c r="AM45">
        <v>10.802852999999999</v>
      </c>
      <c r="AN45">
        <v>14.893202699999847</v>
      </c>
      <c r="AO45">
        <v>-1.4210854715202004E-14</v>
      </c>
      <c r="AP45">
        <v>-0.29459700000001021</v>
      </c>
      <c r="AQ45">
        <v>-0.58225229999993644</v>
      </c>
      <c r="AR45">
        <v>0</v>
      </c>
      <c r="AS45">
        <v>1.4731470000000115</v>
      </c>
      <c r="AT45">
        <v>1.8251973000001271</v>
      </c>
      <c r="AU45">
        <v>-1.4210854715202004E-14</v>
      </c>
      <c r="AV45">
        <v>-0.29459700000001021</v>
      </c>
      <c r="AW45">
        <v>-0.58225229999993644</v>
      </c>
      <c r="AX45">
        <v>-1.4210854715202004E-14</v>
      </c>
      <c r="AY45">
        <v>19.383665438582895</v>
      </c>
      <c r="AZ45">
        <v>26.810480426905428</v>
      </c>
      <c r="BA45">
        <v>0</v>
      </c>
      <c r="BB45">
        <v>19.80411410191266</v>
      </c>
      <c r="BC45">
        <v>27.3740623868066</v>
      </c>
      <c r="BD45">
        <v>-1.4210854715202004E-14</v>
      </c>
      <c r="BE45">
        <v>19.383665438582895</v>
      </c>
      <c r="BF45">
        <v>26.810480426905428</v>
      </c>
      <c r="BG45">
        <v>0</v>
      </c>
      <c r="BH45">
        <v>-3.5876070000000198</v>
      </c>
      <c r="BI45">
        <v>-5.2479737999994995</v>
      </c>
      <c r="BJ45">
        <v>-1.4210854715202004E-14</v>
      </c>
      <c r="BK45">
        <v>-3.0351870000000076</v>
      </c>
      <c r="BL45">
        <v>-4.4956457999994655</v>
      </c>
      <c r="BM45">
        <v>0</v>
      </c>
      <c r="BN45">
        <v>-3.5876070000000198</v>
      </c>
      <c r="BO45">
        <v>-5.2479737999994995</v>
      </c>
      <c r="BP45">
        <v>0</v>
      </c>
      <c r="BQ45">
        <v>16.618079043499705</v>
      </c>
      <c r="BR45">
        <v>22.904042355729302</v>
      </c>
      <c r="BS45">
        <v>0</v>
      </c>
      <c r="BT45">
        <v>-3.9856499999984862E-2</v>
      </c>
      <c r="BU45">
        <v>-0.32585085000027902</v>
      </c>
      <c r="BV45">
        <v>0</v>
      </c>
      <c r="BW45">
        <v>20.775695388977333</v>
      </c>
      <c r="BX45">
        <v>29.161644003598667</v>
      </c>
      <c r="BY45">
        <v>0</v>
      </c>
      <c r="BZ45">
        <v>-3.7209375000000051</v>
      </c>
      <c r="CA45">
        <v>-5.0232656250000218</v>
      </c>
      <c r="CB45">
        <v>0</v>
      </c>
      <c r="CC45">
        <v>13.476164416058459</v>
      </c>
      <c r="CD45">
        <v>18.708177556627049</v>
      </c>
      <c r="CE45">
        <v>0</v>
      </c>
      <c r="CF45">
        <v>-3.7209375000000051</v>
      </c>
      <c r="CG45">
        <v>-5.0232656249997945</v>
      </c>
      <c r="CH45">
        <f t="shared" ref="CH45:CH54" si="9">MAX(CF45,CC45,BZ45,BW45,BT45,BQ45,BN45,BK45,BH45,BE45,BB45,AY45,AV45,AS45,AP45,AM45,AJ45,AG45,AD45,AA45,X45,U45,R45,O45,L45)</f>
        <v>20.775695388977333</v>
      </c>
      <c r="CI45">
        <f t="shared" ref="CI45:CI54" si="10">MIN(CF45,CC45,BZ45,BW45,BT45,BQ45,BN45,BK45,BH45,BE45,BB45,AY45,AV45,AS45,AP45,AM45,AJ45,AG45,AD45,AA45,X45,U45,R45,O45,L45)</f>
        <v>-3.7209375000000051</v>
      </c>
      <c r="CJ45">
        <f t="shared" ref="CJ45:CJ54" si="11">MAX(CG45,CD45,CA45,BX45,BU45,BR45,BO45,BL45,BI45,BF45,BC45,AZ45,AW45,AT45,AQ45,AN45,AK45,AH45,AE45,AB45,Y45,V45,S45,P45,M45)</f>
        <v>29.161644003598667</v>
      </c>
      <c r="CK45">
        <f t="shared" ref="CK45:CK54" si="12">MIN(CG45,CD45,CA45,BX45,BU45,BR45,BO45,BL45,BI45,BF45,BC45,AZ45,AW45,AT45,AQ45,AN45,AK45,AH45,AE45,AB45,Y45,V45,S45,P45,M45)</f>
        <v>-5.2479737999994995</v>
      </c>
      <c r="CM45">
        <f>CM44</f>
        <v>27</v>
      </c>
      <c r="CN45">
        <f>CK44</f>
        <v>-6.3679500000002918</v>
      </c>
    </row>
    <row r="46" spans="1:92" x14ac:dyDescent="0.25">
      <c r="A46" s="1">
        <f>Shear_Wall_Foundation!A94</f>
        <v>27</v>
      </c>
      <c r="B46" s="76">
        <f>Shear_Wall_Foundation!B94</f>
        <v>0</v>
      </c>
      <c r="C46" s="76">
        <f>Shear_Wall_Foundation!C94</f>
        <v>0</v>
      </c>
      <c r="D46" s="76">
        <f>Shear_Wall_Foundation!D94</f>
        <v>0</v>
      </c>
      <c r="E46" s="76">
        <f>Shear_Wall_Foundation!E94</f>
        <v>0</v>
      </c>
      <c r="F46" s="1" t="str">
        <f>Shear_Wall_Foundation!F94</f>
        <v>N/A</v>
      </c>
      <c r="G46" s="1" t="str">
        <f>Shear_Wall_Foundation!G94</f>
        <v>D</v>
      </c>
      <c r="J46">
        <f t="shared" ref="J46:J53" si="13">J45+$J$43</f>
        <v>27.6</v>
      </c>
      <c r="K46" cm="1">
        <f t="array" ref="K46:CG46">LRFD_Analysis(Lf_ft,J46,$B$4:$G$84,$J$4:$U$28)</f>
        <v>-2.8421709430404007E-14</v>
      </c>
      <c r="L46">
        <v>5.4647039999999976</v>
      </c>
      <c r="M46">
        <v>6.6087765333327297</v>
      </c>
      <c r="N46">
        <v>0</v>
      </c>
      <c r="O46">
        <v>11.119104000000021</v>
      </c>
      <c r="P46">
        <v>13.446963199999118</v>
      </c>
      <c r="Q46">
        <v>0</v>
      </c>
      <c r="R46">
        <v>11.611583999999993</v>
      </c>
      <c r="S46">
        <v>14.042547199999035</v>
      </c>
      <c r="T46">
        <v>0</v>
      </c>
      <c r="U46">
        <v>11.119104000000021</v>
      </c>
      <c r="V46">
        <v>13.446963199999118</v>
      </c>
      <c r="W46">
        <v>1.4210854715202004E-14</v>
      </c>
      <c r="X46">
        <v>6.6949919999999992</v>
      </c>
      <c r="Y46">
        <v>8.0966335999996772</v>
      </c>
      <c r="Z46">
        <v>0</v>
      </c>
      <c r="AA46">
        <v>8.2709279999999978</v>
      </c>
      <c r="AB46">
        <v>10.002502399999457</v>
      </c>
      <c r="AC46">
        <v>1.4210854715202004E-14</v>
      </c>
      <c r="AD46">
        <v>6.6949919999999992</v>
      </c>
      <c r="AE46">
        <v>8.0966335999996772</v>
      </c>
      <c r="AF46">
        <v>0</v>
      </c>
      <c r="AG46">
        <v>9.670431999999991</v>
      </c>
      <c r="AH46">
        <v>11.821785599999544</v>
      </c>
      <c r="AI46">
        <v>1.4210854715202004E-14</v>
      </c>
      <c r="AJ46">
        <v>11.24636799999999</v>
      </c>
      <c r="AK46">
        <v>13.727654399999892</v>
      </c>
      <c r="AL46">
        <v>0</v>
      </c>
      <c r="AM46">
        <v>9.670431999999991</v>
      </c>
      <c r="AN46">
        <v>11.821785599999544</v>
      </c>
      <c r="AO46">
        <v>-1.4210854715202004E-14</v>
      </c>
      <c r="AP46">
        <v>-0.30236800000001551</v>
      </c>
      <c r="AQ46">
        <v>-0.492454399999815</v>
      </c>
      <c r="AR46">
        <v>0</v>
      </c>
      <c r="AS46">
        <v>1.2735680000000116</v>
      </c>
      <c r="AT46">
        <v>1.4134143999997377</v>
      </c>
      <c r="AU46">
        <v>-1.4210854715202004E-14</v>
      </c>
      <c r="AV46">
        <v>-0.30236800000001551</v>
      </c>
      <c r="AW46">
        <v>-0.492454399999815</v>
      </c>
      <c r="AX46">
        <v>-1.4210854715202004E-14</v>
      </c>
      <c r="AY46">
        <v>17.370946965394694</v>
      </c>
      <c r="AZ46">
        <v>21.296407177989977</v>
      </c>
      <c r="BA46">
        <v>0</v>
      </c>
      <c r="BB46">
        <v>17.743795986166475</v>
      </c>
      <c r="BC46">
        <v>21.7410000048028</v>
      </c>
      <c r="BD46">
        <v>-1.4210854715202004E-14</v>
      </c>
      <c r="BE46">
        <v>17.370946965394694</v>
      </c>
      <c r="BF46">
        <v>21.296407177989977</v>
      </c>
      <c r="BG46">
        <v>0</v>
      </c>
      <c r="BH46">
        <v>-3.2778080000000074</v>
      </c>
      <c r="BI46">
        <v>-4.2176064000000224</v>
      </c>
      <c r="BJ46">
        <v>-1.4210854715202004E-14</v>
      </c>
      <c r="BK46">
        <v>-2.7853280000000069</v>
      </c>
      <c r="BL46">
        <v>-3.6220223999994232</v>
      </c>
      <c r="BM46">
        <v>0</v>
      </c>
      <c r="BN46">
        <v>-3.2778080000000074</v>
      </c>
      <c r="BO46">
        <v>-4.2176064000000224</v>
      </c>
      <c r="BP46">
        <v>0</v>
      </c>
      <c r="BQ46">
        <v>14.874700855567212</v>
      </c>
      <c r="BR46">
        <v>18.17948115187437</v>
      </c>
      <c r="BS46">
        <v>0</v>
      </c>
      <c r="BT46">
        <v>-9.5135999999996557E-2</v>
      </c>
      <c r="BU46">
        <v>-0.30522880000103214</v>
      </c>
      <c r="BV46">
        <v>0</v>
      </c>
      <c r="BW46">
        <v>18.711884017303149</v>
      </c>
      <c r="BX46">
        <v>23.236978347487195</v>
      </c>
      <c r="BY46">
        <v>0</v>
      </c>
      <c r="BZ46">
        <v>-3.3075000000000045</v>
      </c>
      <c r="CA46">
        <v>-3.9690000000000509</v>
      </c>
      <c r="CB46">
        <v>0</v>
      </c>
      <c r="CC46">
        <v>12.091922409873284</v>
      </c>
      <c r="CD46">
        <v>14.872257597765156</v>
      </c>
      <c r="CE46">
        <v>0</v>
      </c>
      <c r="CF46">
        <v>-3.3075000000000045</v>
      </c>
      <c r="CG46">
        <v>-3.9689999999995962</v>
      </c>
      <c r="CH46">
        <f t="shared" si="9"/>
        <v>18.711884017303149</v>
      </c>
      <c r="CI46">
        <f t="shared" si="10"/>
        <v>-3.3075000000000045</v>
      </c>
      <c r="CJ46">
        <f t="shared" si="11"/>
        <v>23.236978347487195</v>
      </c>
      <c r="CK46">
        <f t="shared" si="12"/>
        <v>-4.2176064000000224</v>
      </c>
    </row>
    <row r="47" spans="1:92" x14ac:dyDescent="0.25">
      <c r="A47" s="1">
        <f>Shear_Wall_Foundation!A95</f>
        <v>28</v>
      </c>
      <c r="B47" s="76">
        <f>Shear_Wall_Foundation!B95</f>
        <v>0</v>
      </c>
      <c r="C47" s="76">
        <f>Shear_Wall_Foundation!C95</f>
        <v>0</v>
      </c>
      <c r="D47" s="76">
        <f>Shear_Wall_Foundation!D95</f>
        <v>0</v>
      </c>
      <c r="E47" s="76">
        <f>Shear_Wall_Foundation!E95</f>
        <v>0</v>
      </c>
      <c r="F47" s="1" t="str">
        <f>Shear_Wall_Foundation!F95</f>
        <v>N/A</v>
      </c>
      <c r="G47" s="1" t="str">
        <f>Shear_Wall_Foundation!G95</f>
        <v>D</v>
      </c>
      <c r="J47">
        <f t="shared" si="13"/>
        <v>27.900000000000002</v>
      </c>
      <c r="K47" cm="1">
        <f t="array" ref="K47:CG47">LRFD_Analysis(Lf_ft,J47,$B$4:$G$84,$J$4:$U$28)</f>
        <v>-2.8421709430404007E-14</v>
      </c>
      <c r="L47">
        <v>4.7955973333333191</v>
      </c>
      <c r="M47">
        <v>5.0696314666668059</v>
      </c>
      <c r="N47">
        <v>0</v>
      </c>
      <c r="O47">
        <v>9.7576640000000339</v>
      </c>
      <c r="P47">
        <v>10.315244799999164</v>
      </c>
      <c r="Q47">
        <v>0</v>
      </c>
      <c r="R47">
        <v>10.189843999999994</v>
      </c>
      <c r="S47">
        <v>10.772120799999584</v>
      </c>
      <c r="T47">
        <v>0</v>
      </c>
      <c r="U47">
        <v>9.7576640000000339</v>
      </c>
      <c r="V47">
        <v>10.315244799999164</v>
      </c>
      <c r="W47">
        <v>1.4210854715202004E-14</v>
      </c>
      <c r="X47">
        <v>5.8752470000000017</v>
      </c>
      <c r="Y47">
        <v>6.2109754000000521</v>
      </c>
      <c r="Z47">
        <v>0</v>
      </c>
      <c r="AA47">
        <v>7.2582229999999868</v>
      </c>
      <c r="AB47">
        <v>7.6729785999998512</v>
      </c>
      <c r="AC47">
        <v>1.4210854715202004E-14</v>
      </c>
      <c r="AD47">
        <v>5.8752470000000017</v>
      </c>
      <c r="AE47">
        <v>6.2109754000000521</v>
      </c>
      <c r="AF47">
        <v>0</v>
      </c>
      <c r="AG47">
        <v>8.5210369999999926</v>
      </c>
      <c r="AH47">
        <v>9.0926408999994237</v>
      </c>
      <c r="AI47">
        <v>1.4210854715202004E-14</v>
      </c>
      <c r="AJ47">
        <v>9.904012999999992</v>
      </c>
      <c r="AK47">
        <v>10.554644099999905</v>
      </c>
      <c r="AL47">
        <v>0</v>
      </c>
      <c r="AM47">
        <v>8.5210369999999926</v>
      </c>
      <c r="AN47">
        <v>9.0926408999994237</v>
      </c>
      <c r="AO47">
        <v>-1.4210854715202004E-14</v>
      </c>
      <c r="AP47">
        <v>-0.30001300000002118</v>
      </c>
      <c r="AQ47">
        <v>-0.40184409999960735</v>
      </c>
      <c r="AR47">
        <v>0</v>
      </c>
      <c r="AS47">
        <v>1.0829630000000066</v>
      </c>
      <c r="AT47">
        <v>1.0601590999999644</v>
      </c>
      <c r="AU47">
        <v>-1.4210854715202004E-14</v>
      </c>
      <c r="AV47">
        <v>-0.30001300000002118</v>
      </c>
      <c r="AW47">
        <v>-0.40184409999960735</v>
      </c>
      <c r="AX47">
        <v>-1.4210854715202004E-14</v>
      </c>
      <c r="AY47">
        <v>15.322972959431809</v>
      </c>
      <c r="AZ47">
        <v>16.391437800946278</v>
      </c>
      <c r="BA47">
        <v>0</v>
      </c>
      <c r="BB47">
        <v>15.648443118748148</v>
      </c>
      <c r="BC47">
        <v>16.73128827027449</v>
      </c>
      <c r="BD47">
        <v>-1.4210854715202004E-14</v>
      </c>
      <c r="BE47">
        <v>15.322972959431809</v>
      </c>
      <c r="BF47">
        <v>16.391437800946278</v>
      </c>
      <c r="BG47">
        <v>0</v>
      </c>
      <c r="BH47">
        <v>-2.945802999999998</v>
      </c>
      <c r="BI47">
        <v>-3.2835096000003432</v>
      </c>
      <c r="BJ47">
        <v>-1.4210854715202004E-14</v>
      </c>
      <c r="BK47">
        <v>-2.5136230000000097</v>
      </c>
      <c r="BL47">
        <v>-2.8266335999996954</v>
      </c>
      <c r="BM47">
        <v>0</v>
      </c>
      <c r="BN47">
        <v>-2.945802999999998</v>
      </c>
      <c r="BO47">
        <v>-3.2835096000003432</v>
      </c>
      <c r="BP47">
        <v>0</v>
      </c>
      <c r="BQ47">
        <v>13.10555390785396</v>
      </c>
      <c r="BR47">
        <v>13.981798718367372</v>
      </c>
      <c r="BS47">
        <v>0</v>
      </c>
      <c r="BT47">
        <v>-0.13548849999999391</v>
      </c>
      <c r="BU47">
        <v>-0.27026195000053121</v>
      </c>
      <c r="BV47">
        <v>0</v>
      </c>
      <c r="BW47">
        <v>16.586922838853688</v>
      </c>
      <c r="BX47">
        <v>17.940628573894259</v>
      </c>
      <c r="BY47">
        <v>0</v>
      </c>
      <c r="BZ47">
        <v>-2.894062500000004</v>
      </c>
      <c r="CA47">
        <v>-3.038765624999769</v>
      </c>
      <c r="CB47">
        <v>0</v>
      </c>
      <c r="CC47">
        <v>10.679403004788341</v>
      </c>
      <c r="CD47">
        <v>11.455851850593376</v>
      </c>
      <c r="CE47">
        <v>0</v>
      </c>
      <c r="CF47">
        <v>-2.894062500000004</v>
      </c>
      <c r="CG47">
        <v>-3.0387656249995416</v>
      </c>
      <c r="CH47">
        <f t="shared" si="9"/>
        <v>16.586922838853688</v>
      </c>
      <c r="CI47">
        <f t="shared" si="10"/>
        <v>-2.945802999999998</v>
      </c>
      <c r="CJ47">
        <f t="shared" si="11"/>
        <v>17.940628573894259</v>
      </c>
      <c r="CK47">
        <f t="shared" si="12"/>
        <v>-3.2835096000003432</v>
      </c>
    </row>
    <row r="48" spans="1:92" x14ac:dyDescent="0.25">
      <c r="A48" s="1">
        <f>Shear_Wall_Foundation!A96</f>
        <v>29</v>
      </c>
      <c r="B48" s="76">
        <f>Shear_Wall_Foundation!B96</f>
        <v>0</v>
      </c>
      <c r="C48" s="76">
        <f>Shear_Wall_Foundation!C96</f>
        <v>0</v>
      </c>
      <c r="D48" s="76">
        <f>Shear_Wall_Foundation!D96</f>
        <v>0</v>
      </c>
      <c r="E48" s="76">
        <f>Shear_Wall_Foundation!E96</f>
        <v>0</v>
      </c>
      <c r="F48" s="1" t="str">
        <f>Shear_Wall_Foundation!F96</f>
        <v>N/A</v>
      </c>
      <c r="G48" s="1" t="str">
        <f>Shear_Wall_Foundation!G96</f>
        <v>D</v>
      </c>
      <c r="J48">
        <f t="shared" si="13"/>
        <v>28.200000000000003</v>
      </c>
      <c r="K48" cm="1">
        <f t="array" ref="K48:CG48">LRFD_Analysis(Lf_ft,J48,$B$4:$G$84,$J$4:$U$28)</f>
        <v>-2.8421709430404007E-14</v>
      </c>
      <c r="L48">
        <v>4.1224959999999697</v>
      </c>
      <c r="M48">
        <v>3.7318176000003405</v>
      </c>
      <c r="N48">
        <v>0</v>
      </c>
      <c r="O48">
        <v>8.3880960000000186</v>
      </c>
      <c r="P48">
        <v>7.5931775999997626</v>
      </c>
      <c r="Q48">
        <v>0</v>
      </c>
      <c r="R48">
        <v>8.7596160000000225</v>
      </c>
      <c r="S48">
        <v>7.9294895999996697</v>
      </c>
      <c r="T48">
        <v>0</v>
      </c>
      <c r="U48">
        <v>8.3880960000000186</v>
      </c>
      <c r="V48">
        <v>7.5931775999997626</v>
      </c>
      <c r="W48">
        <v>1.4210854715202004E-14</v>
      </c>
      <c r="X48">
        <v>5.0506080000000111</v>
      </c>
      <c r="Y48">
        <v>4.5719747999999072</v>
      </c>
      <c r="Z48">
        <v>0</v>
      </c>
      <c r="AA48">
        <v>6.2394720000000063</v>
      </c>
      <c r="AB48">
        <v>5.6481731999997464</v>
      </c>
      <c r="AC48">
        <v>1.4210854715202004E-14</v>
      </c>
      <c r="AD48">
        <v>5.0506080000000111</v>
      </c>
      <c r="AE48">
        <v>4.5719747999999072</v>
      </c>
      <c r="AF48">
        <v>0</v>
      </c>
      <c r="AG48">
        <v>7.3546680000000038</v>
      </c>
      <c r="AH48">
        <v>6.7108607999996366</v>
      </c>
      <c r="AI48">
        <v>1.4210854715202004E-14</v>
      </c>
      <c r="AJ48">
        <v>8.543531999999999</v>
      </c>
      <c r="AK48">
        <v>7.7870592000003853</v>
      </c>
      <c r="AL48">
        <v>0</v>
      </c>
      <c r="AM48">
        <v>7.3546680000000038</v>
      </c>
      <c r="AN48">
        <v>6.7108607999996366</v>
      </c>
      <c r="AO48">
        <v>-1.4210854715202004E-14</v>
      </c>
      <c r="AP48">
        <v>-0.287532000000013</v>
      </c>
      <c r="AQ48">
        <v>-0.31345919999967009</v>
      </c>
      <c r="AR48">
        <v>0</v>
      </c>
      <c r="AS48">
        <v>0.90133200000001068</v>
      </c>
      <c r="AT48">
        <v>0.76273920000016915</v>
      </c>
      <c r="AU48">
        <v>-1.4210854715202004E-14</v>
      </c>
      <c r="AV48">
        <v>-0.287532000000013</v>
      </c>
      <c r="AW48">
        <v>-0.31345919999967009</v>
      </c>
      <c r="AX48">
        <v>-1.4210854715202004E-14</v>
      </c>
      <c r="AY48">
        <v>13.239743420694211</v>
      </c>
      <c r="AZ48">
        <v>12.106148955607637</v>
      </c>
      <c r="BA48">
        <v>0</v>
      </c>
      <c r="BB48">
        <v>13.518055499657706</v>
      </c>
      <c r="BC48">
        <v>12.355437608720877</v>
      </c>
      <c r="BD48">
        <v>-1.4210854715202004E-14</v>
      </c>
      <c r="BE48">
        <v>13.239743420694211</v>
      </c>
      <c r="BF48">
        <v>12.106148955607637</v>
      </c>
      <c r="BG48">
        <v>0</v>
      </c>
      <c r="BH48">
        <v>-2.5915920000000057</v>
      </c>
      <c r="BI48">
        <v>-2.4523451999998542</v>
      </c>
      <c r="BJ48">
        <v>-1.4210854715202004E-14</v>
      </c>
      <c r="BK48">
        <v>-2.2200720000000018</v>
      </c>
      <c r="BL48">
        <v>-2.1160331999994924</v>
      </c>
      <c r="BM48">
        <v>0</v>
      </c>
      <c r="BN48">
        <v>-2.5915920000000057</v>
      </c>
      <c r="BO48">
        <v>-2.4523451999998542</v>
      </c>
      <c r="BP48">
        <v>0</v>
      </c>
      <c r="BQ48">
        <v>11.310638200359961</v>
      </c>
      <c r="BR48">
        <v>10.318725683139974</v>
      </c>
      <c r="BS48">
        <v>0</v>
      </c>
      <c r="BT48">
        <v>-0.16091400000000533</v>
      </c>
      <c r="BU48">
        <v>-0.22542840000005526</v>
      </c>
      <c r="BV48">
        <v>0</v>
      </c>
      <c r="BW48">
        <v>14.400811853628966</v>
      </c>
      <c r="BX48">
        <v>13.290939624852456</v>
      </c>
      <c r="BY48">
        <v>0</v>
      </c>
      <c r="BZ48">
        <v>-2.4806250000000034</v>
      </c>
      <c r="CA48">
        <v>-2.2325625000000855</v>
      </c>
      <c r="CB48">
        <v>0</v>
      </c>
      <c r="CC48">
        <v>9.2386062008036234</v>
      </c>
      <c r="CD48">
        <v>8.4674435347818644</v>
      </c>
      <c r="CE48">
        <v>0</v>
      </c>
      <c r="CF48">
        <v>-2.4806250000000034</v>
      </c>
      <c r="CG48">
        <v>-2.2325624999998581</v>
      </c>
      <c r="CH48">
        <f t="shared" si="9"/>
        <v>14.400811853628966</v>
      </c>
      <c r="CI48">
        <f t="shared" si="10"/>
        <v>-2.5915920000000057</v>
      </c>
      <c r="CJ48">
        <f t="shared" si="11"/>
        <v>13.290939624852456</v>
      </c>
      <c r="CK48">
        <f t="shared" si="12"/>
        <v>-2.4523451999998542</v>
      </c>
    </row>
    <row r="49" spans="1:89" x14ac:dyDescent="0.25">
      <c r="A49" s="1">
        <f>Shear_Wall_Foundation!A97</f>
        <v>30</v>
      </c>
      <c r="B49" s="76">
        <f>Shear_Wall_Foundation!B97</f>
        <v>0</v>
      </c>
      <c r="C49" s="76">
        <f>Shear_Wall_Foundation!C97</f>
        <v>0</v>
      </c>
      <c r="D49" s="76">
        <f>Shear_Wall_Foundation!D97</f>
        <v>0</v>
      </c>
      <c r="E49" s="76">
        <f>Shear_Wall_Foundation!E97</f>
        <v>0</v>
      </c>
      <c r="F49" s="1" t="str">
        <f>Shear_Wall_Foundation!F97</f>
        <v>N/A</v>
      </c>
      <c r="G49" s="1" t="str">
        <f>Shear_Wall_Foundation!G97</f>
        <v>D</v>
      </c>
      <c r="J49">
        <f t="shared" si="13"/>
        <v>28.500000000000004</v>
      </c>
      <c r="K49" cm="1">
        <f t="array" ref="K49:CG49">LRFD_Analysis(Lf_ft,J49,$B$4:$G$84,$J$4:$U$28)</f>
        <v>-2.8421709430404007E-14</v>
      </c>
      <c r="L49">
        <v>3.4453999999999922</v>
      </c>
      <c r="M49">
        <v>2.5965333333331273</v>
      </c>
      <c r="N49">
        <v>0</v>
      </c>
      <c r="O49">
        <v>7.0103999999999758</v>
      </c>
      <c r="P49">
        <v>5.2831999999998516</v>
      </c>
      <c r="Q49">
        <v>0</v>
      </c>
      <c r="R49">
        <v>7.3208999999999662</v>
      </c>
      <c r="S49">
        <v>5.5171999999993204</v>
      </c>
      <c r="T49">
        <v>0</v>
      </c>
      <c r="U49">
        <v>7.0103999999999758</v>
      </c>
      <c r="V49">
        <v>5.2831999999998516</v>
      </c>
      <c r="W49">
        <v>1.4210854715202004E-14</v>
      </c>
      <c r="X49">
        <v>4.2210749999999848</v>
      </c>
      <c r="Y49">
        <v>3.1810999999995602</v>
      </c>
      <c r="Z49">
        <v>0</v>
      </c>
      <c r="AA49">
        <v>5.2146749999999997</v>
      </c>
      <c r="AB49">
        <v>3.9298999999989519</v>
      </c>
      <c r="AC49">
        <v>1.4210854715202004E-14</v>
      </c>
      <c r="AD49">
        <v>4.2210749999999848</v>
      </c>
      <c r="AE49">
        <v>3.1810999999995602</v>
      </c>
      <c r="AF49">
        <v>0</v>
      </c>
      <c r="AG49">
        <v>6.1713249999999817</v>
      </c>
      <c r="AH49">
        <v>4.6815374999991946</v>
      </c>
      <c r="AI49">
        <v>1.4210854715202004E-14</v>
      </c>
      <c r="AJ49">
        <v>7.1649249999999824</v>
      </c>
      <c r="AK49">
        <v>5.4303374999999505</v>
      </c>
      <c r="AL49">
        <v>0</v>
      </c>
      <c r="AM49">
        <v>6.1713249999999817</v>
      </c>
      <c r="AN49">
        <v>4.6815374999991946</v>
      </c>
      <c r="AO49">
        <v>-1.4210854715202004E-14</v>
      </c>
      <c r="AP49">
        <v>-0.26492500000001939</v>
      </c>
      <c r="AQ49">
        <v>-0.2303375000003598</v>
      </c>
      <c r="AR49">
        <v>0</v>
      </c>
      <c r="AS49">
        <v>0.72867499999999552</v>
      </c>
      <c r="AT49">
        <v>0.51846249999948668</v>
      </c>
      <c r="AU49">
        <v>-1.4210854715202004E-14</v>
      </c>
      <c r="AV49">
        <v>-0.26492500000001939</v>
      </c>
      <c r="AW49">
        <v>-0.2303375000003598</v>
      </c>
      <c r="AX49">
        <v>-1.4210854715202004E-14</v>
      </c>
      <c r="AY49">
        <v>11.121258349181929</v>
      </c>
      <c r="AZ49">
        <v>8.4511173018071304</v>
      </c>
      <c r="BA49">
        <v>0</v>
      </c>
      <c r="BB49">
        <v>11.352633128895079</v>
      </c>
      <c r="BC49">
        <v>8.6239584456460534</v>
      </c>
      <c r="BD49">
        <v>-1.4210854715202004E-14</v>
      </c>
      <c r="BE49">
        <v>11.121258349181929</v>
      </c>
      <c r="BF49">
        <v>8.4511173018071304</v>
      </c>
      <c r="BG49">
        <v>0</v>
      </c>
      <c r="BH49">
        <v>-2.2151750000000305</v>
      </c>
      <c r="BI49">
        <v>-1.7307749999995394</v>
      </c>
      <c r="BJ49">
        <v>-1.4210854715202004E-14</v>
      </c>
      <c r="BK49">
        <v>-1.9046750000000117</v>
      </c>
      <c r="BL49">
        <v>-1.4967749999996158</v>
      </c>
      <c r="BM49">
        <v>0</v>
      </c>
      <c r="BN49">
        <v>-2.2151750000000305</v>
      </c>
      <c r="BO49">
        <v>-1.7307749999995394</v>
      </c>
      <c r="BP49">
        <v>0</v>
      </c>
      <c r="BQ49">
        <v>9.4899537330851871</v>
      </c>
      <c r="BR49">
        <v>7.1979926741288409</v>
      </c>
      <c r="BS49">
        <v>0</v>
      </c>
      <c r="BT49">
        <v>-0.17141250000000241</v>
      </c>
      <c r="BU49">
        <v>-0.17520625000065593</v>
      </c>
      <c r="BV49">
        <v>0</v>
      </c>
      <c r="BW49">
        <v>12.153551061628974</v>
      </c>
      <c r="BX49">
        <v>9.3062564423941012</v>
      </c>
      <c r="BY49">
        <v>0</v>
      </c>
      <c r="BZ49">
        <v>-2.0671875000000028</v>
      </c>
      <c r="CA49">
        <v>-1.5503906250000909</v>
      </c>
      <c r="CB49">
        <v>0</v>
      </c>
      <c r="CC49">
        <v>7.7695319979191169</v>
      </c>
      <c r="CD49">
        <v>5.9155158700008883</v>
      </c>
      <c r="CE49">
        <v>0</v>
      </c>
      <c r="CF49">
        <v>-2.0671875000000028</v>
      </c>
      <c r="CG49">
        <v>-1.5503906249998636</v>
      </c>
      <c r="CH49">
        <f t="shared" si="9"/>
        <v>12.153551061628974</v>
      </c>
      <c r="CI49">
        <f t="shared" si="10"/>
        <v>-2.2151750000000305</v>
      </c>
      <c r="CJ49">
        <f t="shared" si="11"/>
        <v>9.3062564423941012</v>
      </c>
      <c r="CK49">
        <f t="shared" si="12"/>
        <v>-1.7307749999995394</v>
      </c>
    </row>
    <row r="50" spans="1:89" x14ac:dyDescent="0.25">
      <c r="A50" s="1">
        <f>Shear_Wall_Foundation!A98</f>
        <v>31</v>
      </c>
      <c r="B50" s="76">
        <f>Shear_Wall_Foundation!B98</f>
        <v>0</v>
      </c>
      <c r="C50" s="76">
        <f>Shear_Wall_Foundation!C98</f>
        <v>0</v>
      </c>
      <c r="D50" s="76">
        <f>Shear_Wall_Foundation!D98</f>
        <v>0</v>
      </c>
      <c r="E50" s="76">
        <f>Shear_Wall_Foundation!E98</f>
        <v>0</v>
      </c>
      <c r="F50" s="1" t="str">
        <f>Shear_Wall_Foundation!F98</f>
        <v>N/A</v>
      </c>
      <c r="G50" s="1" t="str">
        <f>Shear_Wall_Foundation!G98</f>
        <v>D</v>
      </c>
      <c r="J50">
        <f t="shared" si="13"/>
        <v>28.800000000000004</v>
      </c>
      <c r="K50" cm="1">
        <f t="array" ref="K50:CG50">LRFD_Analysis(Lf_ft,J50,$B$4:$G$84,$J$4:$U$28)</f>
        <v>-2.8421709430404007E-14</v>
      </c>
      <c r="L50">
        <v>2.7643093333333155</v>
      </c>
      <c r="M50">
        <v>1.6649770666667791</v>
      </c>
      <c r="N50">
        <v>0</v>
      </c>
      <c r="O50">
        <v>5.6245759999999905</v>
      </c>
      <c r="P50">
        <v>3.3877503999995042</v>
      </c>
      <c r="Q50">
        <v>0</v>
      </c>
      <c r="R50">
        <v>5.8736959999999954</v>
      </c>
      <c r="S50">
        <v>3.5377984000001561</v>
      </c>
      <c r="T50">
        <v>0</v>
      </c>
      <c r="U50">
        <v>5.6245759999999905</v>
      </c>
      <c r="V50">
        <v>3.3877503999995042</v>
      </c>
      <c r="W50">
        <v>1.4210854715202004E-14</v>
      </c>
      <c r="X50">
        <v>3.3866480000000081</v>
      </c>
      <c r="Y50">
        <v>2.0398191999995561</v>
      </c>
      <c r="Z50">
        <v>0</v>
      </c>
      <c r="AA50">
        <v>4.1838319999999953</v>
      </c>
      <c r="AB50">
        <v>2.5199727999993229</v>
      </c>
      <c r="AC50">
        <v>1.4210854715202004E-14</v>
      </c>
      <c r="AD50">
        <v>3.3866480000000081</v>
      </c>
      <c r="AE50">
        <v>2.0398191999995561</v>
      </c>
      <c r="AF50">
        <v>0</v>
      </c>
      <c r="AG50">
        <v>4.9710079999999977</v>
      </c>
      <c r="AH50">
        <v>3.0097631999991563</v>
      </c>
      <c r="AI50">
        <v>1.4210854715202004E-14</v>
      </c>
      <c r="AJ50">
        <v>5.7681919999999849</v>
      </c>
      <c r="AK50">
        <v>3.4899168000001737</v>
      </c>
      <c r="AL50">
        <v>0</v>
      </c>
      <c r="AM50">
        <v>4.9710079999999977</v>
      </c>
      <c r="AN50">
        <v>3.0097631999991563</v>
      </c>
      <c r="AO50">
        <v>-1.4210854715202004E-14</v>
      </c>
      <c r="AP50">
        <v>-0.23219200000001194</v>
      </c>
      <c r="AQ50">
        <v>-0.15551679999998669</v>
      </c>
      <c r="AR50">
        <v>0</v>
      </c>
      <c r="AS50">
        <v>0.56499200000001792</v>
      </c>
      <c r="AT50">
        <v>0.32463679999955275</v>
      </c>
      <c r="AU50">
        <v>-1.4210854715202004E-14</v>
      </c>
      <c r="AV50">
        <v>-0.23219200000001194</v>
      </c>
      <c r="AW50">
        <v>-0.15551679999998669</v>
      </c>
      <c r="AX50">
        <v>-1.4210854715202004E-14</v>
      </c>
      <c r="AY50">
        <v>8.9675177448949341</v>
      </c>
      <c r="AZ50">
        <v>5.4369194993763585</v>
      </c>
      <c r="BA50">
        <v>0</v>
      </c>
      <c r="BB50">
        <v>9.1521760064603654</v>
      </c>
      <c r="BC50">
        <v>5.5473612065513862</v>
      </c>
      <c r="BD50">
        <v>-1.4210854715202004E-14</v>
      </c>
      <c r="BE50">
        <v>8.9675177448949341</v>
      </c>
      <c r="BF50">
        <v>5.4369194993763585</v>
      </c>
      <c r="BG50">
        <v>0</v>
      </c>
      <c r="BH50">
        <v>-1.8165520000000157</v>
      </c>
      <c r="BI50">
        <v>-1.1254607999990185</v>
      </c>
      <c r="BJ50">
        <v>-1.4210854715202004E-14</v>
      </c>
      <c r="BK50">
        <v>-1.5674319999999824</v>
      </c>
      <c r="BL50">
        <v>-0.97541279999995822</v>
      </c>
      <c r="BM50">
        <v>0</v>
      </c>
      <c r="BN50">
        <v>-1.8165520000000157</v>
      </c>
      <c r="BO50">
        <v>-1.1254607999990185</v>
      </c>
      <c r="BP50">
        <v>0</v>
      </c>
      <c r="BQ50">
        <v>7.6435005060296817</v>
      </c>
      <c r="BR50">
        <v>4.6273303192670028</v>
      </c>
      <c r="BS50">
        <v>0</v>
      </c>
      <c r="BT50">
        <v>-0.16698399999998514</v>
      </c>
      <c r="BU50">
        <v>-0.12407359999997425</v>
      </c>
      <c r="BV50">
        <v>0</v>
      </c>
      <c r="BW50">
        <v>9.845140462853692</v>
      </c>
      <c r="BX50">
        <v>6.0049239685524753</v>
      </c>
      <c r="BY50">
        <v>0</v>
      </c>
      <c r="BZ50">
        <v>-1.6537500000000023</v>
      </c>
      <c r="CA50">
        <v>-0.99224999999978536</v>
      </c>
      <c r="CB50">
        <v>0</v>
      </c>
      <c r="CC50">
        <v>6.2721803961348428</v>
      </c>
      <c r="CD50">
        <v>3.8085520759203746</v>
      </c>
      <c r="CE50">
        <v>0</v>
      </c>
      <c r="CF50">
        <v>-1.6537500000000023</v>
      </c>
      <c r="CG50">
        <v>-0.99224999999955799</v>
      </c>
      <c r="CH50">
        <f t="shared" si="9"/>
        <v>9.845140462853692</v>
      </c>
      <c r="CI50">
        <f t="shared" si="10"/>
        <v>-1.8165520000000157</v>
      </c>
      <c r="CJ50">
        <f t="shared" si="11"/>
        <v>6.0049239685524753</v>
      </c>
      <c r="CK50">
        <f t="shared" si="12"/>
        <v>-1.1254607999990185</v>
      </c>
    </row>
    <row r="51" spans="1:89" x14ac:dyDescent="0.25">
      <c r="A51" s="1">
        <f>Shear_Wall_Foundation!A99</f>
        <v>32</v>
      </c>
      <c r="B51" s="76">
        <f>Shear_Wall_Foundation!B99</f>
        <v>0</v>
      </c>
      <c r="C51" s="76">
        <f>Shear_Wall_Foundation!C99</f>
        <v>0</v>
      </c>
      <c r="D51" s="76">
        <f>Shear_Wall_Foundation!D99</f>
        <v>0</v>
      </c>
      <c r="E51" s="76">
        <f>Shear_Wall_Foundation!E99</f>
        <v>0</v>
      </c>
      <c r="F51" s="1" t="str">
        <f>Shear_Wall_Foundation!F99</f>
        <v>N/A</v>
      </c>
      <c r="G51" s="1" t="str">
        <f>Shear_Wall_Foundation!G99</f>
        <v>D</v>
      </c>
      <c r="J51">
        <f t="shared" si="13"/>
        <v>29.100000000000005</v>
      </c>
      <c r="K51" cm="1">
        <f t="array" ref="K51:CG51">LRFD_Analysis(Lf_ft,J51,$B$4:$G$84,$J$4:$U$28)</f>
        <v>-2.8421709430404007E-14</v>
      </c>
      <c r="L51">
        <v>2.079223999999968</v>
      </c>
      <c r="M51">
        <v>0.93834719999995286</v>
      </c>
      <c r="N51">
        <v>0</v>
      </c>
      <c r="O51">
        <v>4.2306240000000059</v>
      </c>
      <c r="P51">
        <v>1.9092671999987942</v>
      </c>
      <c r="Q51">
        <v>0</v>
      </c>
      <c r="R51">
        <v>4.4180039999999963</v>
      </c>
      <c r="S51">
        <v>1.9938311999994767</v>
      </c>
      <c r="T51">
        <v>0</v>
      </c>
      <c r="U51">
        <v>4.2306240000000059</v>
      </c>
      <c r="V51">
        <v>1.9092671999987942</v>
      </c>
      <c r="W51">
        <v>1.4210854715202004E-14</v>
      </c>
      <c r="X51">
        <v>2.5473270000000099</v>
      </c>
      <c r="Y51">
        <v>1.1496005999999852</v>
      </c>
      <c r="Z51">
        <v>0</v>
      </c>
      <c r="AA51">
        <v>3.1469430000000074</v>
      </c>
      <c r="AB51">
        <v>1.4202053999995314</v>
      </c>
      <c r="AC51">
        <v>1.4210854715202004E-14</v>
      </c>
      <c r="AD51">
        <v>2.5473270000000099</v>
      </c>
      <c r="AE51">
        <v>1.1496005999999852</v>
      </c>
      <c r="AF51">
        <v>0</v>
      </c>
      <c r="AG51">
        <v>3.7537169999999804</v>
      </c>
      <c r="AH51">
        <v>1.7006300999998984</v>
      </c>
      <c r="AI51">
        <v>1.4210854715202004E-14</v>
      </c>
      <c r="AJ51">
        <v>4.3533329999999779</v>
      </c>
      <c r="AK51">
        <v>1.9712349000008089</v>
      </c>
      <c r="AL51">
        <v>0</v>
      </c>
      <c r="AM51">
        <v>3.7537169999999804</v>
      </c>
      <c r="AN51">
        <v>1.7006300999998984</v>
      </c>
      <c r="AO51">
        <v>-1.4210854715202004E-14</v>
      </c>
      <c r="AP51">
        <v>-0.18933300000001907</v>
      </c>
      <c r="AQ51">
        <v>-9.2034899999134723E-2</v>
      </c>
      <c r="AR51">
        <v>0</v>
      </c>
      <c r="AS51">
        <v>0.41028300000000684</v>
      </c>
      <c r="AT51">
        <v>0.17856989999995676</v>
      </c>
      <c r="AU51">
        <v>-1.4210854715202004E-14</v>
      </c>
      <c r="AV51">
        <v>-0.18933300000001907</v>
      </c>
      <c r="AW51">
        <v>-9.2034899999134723E-2</v>
      </c>
      <c r="AX51">
        <v>-1.4210854715202004E-14</v>
      </c>
      <c r="AY51">
        <v>6.7785216078332411</v>
      </c>
      <c r="AZ51">
        <v>3.0741322081476028</v>
      </c>
      <c r="BA51">
        <v>0</v>
      </c>
      <c r="BB51">
        <v>6.9166841323534669</v>
      </c>
      <c r="BC51">
        <v>3.1361563169373312</v>
      </c>
      <c r="BD51">
        <v>-1.4210854715202004E-14</v>
      </c>
      <c r="BE51">
        <v>6.7785216078332411</v>
      </c>
      <c r="BF51">
        <v>3.0741322081476028</v>
      </c>
      <c r="BG51">
        <v>0</v>
      </c>
      <c r="BH51">
        <v>-1.3957229999999896</v>
      </c>
      <c r="BI51">
        <v>-0.64306439999973009</v>
      </c>
      <c r="BJ51">
        <v>-1.4210854715202004E-14</v>
      </c>
      <c r="BK51">
        <v>-1.2083429999999851</v>
      </c>
      <c r="BL51">
        <v>-0.55850039999995715</v>
      </c>
      <c r="BM51">
        <v>0</v>
      </c>
      <c r="BN51">
        <v>-1.3957229999999896</v>
      </c>
      <c r="BO51">
        <v>-0.64306439999973009</v>
      </c>
      <c r="BP51">
        <v>0</v>
      </c>
      <c r="BQ51">
        <v>5.7712785191933875</v>
      </c>
      <c r="BR51">
        <v>2.6144692464895343</v>
      </c>
      <c r="BS51">
        <v>0</v>
      </c>
      <c r="BT51">
        <v>-0.14762849999998195</v>
      </c>
      <c r="BU51">
        <v>-7.6508549999743991E-2</v>
      </c>
      <c r="BV51">
        <v>0</v>
      </c>
      <c r="BW51">
        <v>7.4755800573031621</v>
      </c>
      <c r="BX51">
        <v>3.4052871453600346</v>
      </c>
      <c r="BY51">
        <v>0</v>
      </c>
      <c r="BZ51">
        <v>-1.2403125000000017</v>
      </c>
      <c r="CA51">
        <v>-0.55814062499962347</v>
      </c>
      <c r="CB51">
        <v>0</v>
      </c>
      <c r="CC51">
        <v>4.7465513954507799</v>
      </c>
      <c r="CD51">
        <v>2.1550353722101363</v>
      </c>
      <c r="CE51">
        <v>0</v>
      </c>
      <c r="CF51">
        <v>-1.2403125000000017</v>
      </c>
      <c r="CG51">
        <v>-0.5581406249993961</v>
      </c>
      <c r="CH51">
        <f t="shared" si="9"/>
        <v>7.4755800573031621</v>
      </c>
      <c r="CI51">
        <f t="shared" si="10"/>
        <v>-1.3957229999999896</v>
      </c>
      <c r="CJ51">
        <f t="shared" si="11"/>
        <v>3.4052871453600346</v>
      </c>
      <c r="CK51">
        <f t="shared" si="12"/>
        <v>-0.64306439999973009</v>
      </c>
    </row>
    <row r="52" spans="1:89" x14ac:dyDescent="0.25">
      <c r="A52" s="1">
        <f>Shear_Wall_Foundation!A100</f>
        <v>33</v>
      </c>
      <c r="B52" s="76">
        <f>Shear_Wall_Foundation!B100</f>
        <v>0</v>
      </c>
      <c r="C52" s="76">
        <f>Shear_Wall_Foundation!C100</f>
        <v>0</v>
      </c>
      <c r="D52" s="76">
        <f>Shear_Wall_Foundation!D100</f>
        <v>0</v>
      </c>
      <c r="E52" s="76">
        <f>Shear_Wall_Foundation!E100</f>
        <v>0</v>
      </c>
      <c r="F52" s="1" t="str">
        <f>Shear_Wall_Foundation!F100</f>
        <v>N/A</v>
      </c>
      <c r="G52" s="1" t="str">
        <f>Shear_Wall_Foundation!G100</f>
        <v>D</v>
      </c>
      <c r="J52">
        <f t="shared" si="13"/>
        <v>29.400000000000006</v>
      </c>
      <c r="K52" cm="1">
        <f t="array" ref="K52:CG52">LRFD_Analysis(Lf_ft,J52,$B$4:$G$84,$J$4:$U$28)</f>
        <v>-2.8421709430404007E-14</v>
      </c>
      <c r="L52">
        <v>1.3901439999999639</v>
      </c>
      <c r="M52">
        <v>0.41784213333312437</v>
      </c>
      <c r="N52">
        <v>0</v>
      </c>
      <c r="O52">
        <v>2.8285440000000222</v>
      </c>
      <c r="P52">
        <v>0.85018879999870478</v>
      </c>
      <c r="Q52">
        <v>0</v>
      </c>
      <c r="R52">
        <v>2.9538239999999973</v>
      </c>
      <c r="S52">
        <v>0.88784479999912946</v>
      </c>
      <c r="T52">
        <v>0</v>
      </c>
      <c r="U52">
        <v>2.8285440000000222</v>
      </c>
      <c r="V52">
        <v>0.85018879999870478</v>
      </c>
      <c r="W52">
        <v>1.4210854715202004E-14</v>
      </c>
      <c r="X52">
        <v>1.7031120000000044</v>
      </c>
      <c r="Y52">
        <v>0.51191239999980098</v>
      </c>
      <c r="Z52">
        <v>0</v>
      </c>
      <c r="AA52">
        <v>2.1040079999999932</v>
      </c>
      <c r="AB52">
        <v>0.63241159999938645</v>
      </c>
      <c r="AC52">
        <v>1.4210854715202004E-14</v>
      </c>
      <c r="AD52">
        <v>1.7031120000000044</v>
      </c>
      <c r="AE52">
        <v>0.51191239999980098</v>
      </c>
      <c r="AF52">
        <v>0</v>
      </c>
      <c r="AG52">
        <v>2.5194519999999869</v>
      </c>
      <c r="AH52">
        <v>0.75923039999929642</v>
      </c>
      <c r="AI52">
        <v>1.4210854715202004E-14</v>
      </c>
      <c r="AJ52">
        <v>2.9203479999999757</v>
      </c>
      <c r="AK52">
        <v>0.87972960000001876</v>
      </c>
      <c r="AL52">
        <v>0</v>
      </c>
      <c r="AM52">
        <v>2.5194519999999869</v>
      </c>
      <c r="AN52">
        <v>0.75923039999929642</v>
      </c>
      <c r="AO52">
        <v>-1.4210854715202004E-14</v>
      </c>
      <c r="AP52">
        <v>-0.13634800000001235</v>
      </c>
      <c r="AQ52">
        <v>-4.2929599999752099E-2</v>
      </c>
      <c r="AR52">
        <v>0</v>
      </c>
      <c r="AS52">
        <v>0.2645480000000191</v>
      </c>
      <c r="AT52">
        <v>7.7569599999833372E-2</v>
      </c>
      <c r="AU52">
        <v>-1.4210854715202004E-14</v>
      </c>
      <c r="AV52">
        <v>-0.13634800000001235</v>
      </c>
      <c r="AW52">
        <v>-4.2929599999752099E-2</v>
      </c>
      <c r="AX52">
        <v>-1.4210854715202004E-14</v>
      </c>
      <c r="AY52">
        <v>4.5542699379968354</v>
      </c>
      <c r="AZ52">
        <v>1.3733320879539406</v>
      </c>
      <c r="BA52">
        <v>0</v>
      </c>
      <c r="BB52">
        <v>4.6461575065744398</v>
      </c>
      <c r="BC52">
        <v>1.4008542023066184</v>
      </c>
      <c r="BD52">
        <v>-1.4210854715202004E-14</v>
      </c>
      <c r="BE52">
        <v>4.5542699379968354</v>
      </c>
      <c r="BF52">
        <v>1.3733320879539406</v>
      </c>
      <c r="BG52">
        <v>0</v>
      </c>
      <c r="BH52">
        <v>-0.95268799999998066</v>
      </c>
      <c r="BI52">
        <v>-0.29024759999992966</v>
      </c>
      <c r="BJ52">
        <v>-1.4210854715202004E-14</v>
      </c>
      <c r="BK52">
        <v>-0.82740799999997705</v>
      </c>
      <c r="BL52">
        <v>-0.25259160000041447</v>
      </c>
      <c r="BM52">
        <v>0</v>
      </c>
      <c r="BN52">
        <v>-0.95268799999998066</v>
      </c>
      <c r="BO52">
        <v>-0.29024759999992966</v>
      </c>
      <c r="BP52">
        <v>0</v>
      </c>
      <c r="BQ52">
        <v>3.8732877725763331</v>
      </c>
      <c r="BR52">
        <v>1.1671400837290093</v>
      </c>
      <c r="BS52">
        <v>0</v>
      </c>
      <c r="BT52">
        <v>-0.11334600000000705</v>
      </c>
      <c r="BU52">
        <v>-3.6989199999879929E-2</v>
      </c>
      <c r="BV52">
        <v>0</v>
      </c>
      <c r="BW52">
        <v>5.0448698449773559</v>
      </c>
      <c r="BX52">
        <v>1.5256909148484397</v>
      </c>
      <c r="BY52">
        <v>0</v>
      </c>
      <c r="BZ52">
        <v>-0.82687500000000114</v>
      </c>
      <c r="CA52">
        <v>-0.24806249999983265</v>
      </c>
      <c r="CB52">
        <v>0</v>
      </c>
      <c r="CC52">
        <v>3.1926449958669565</v>
      </c>
      <c r="CD52">
        <v>0.96344897853987277</v>
      </c>
      <c r="CE52">
        <v>0</v>
      </c>
      <c r="CF52">
        <v>-0.82687500000000114</v>
      </c>
      <c r="CG52">
        <v>-0.24806249999960528</v>
      </c>
      <c r="CH52">
        <f t="shared" si="9"/>
        <v>5.0448698449773559</v>
      </c>
      <c r="CI52">
        <f t="shared" si="10"/>
        <v>-0.95268799999998066</v>
      </c>
      <c r="CJ52">
        <f t="shared" si="11"/>
        <v>1.5256909148484397</v>
      </c>
      <c r="CK52">
        <f t="shared" si="12"/>
        <v>-0.29024759999992966</v>
      </c>
    </row>
    <row r="53" spans="1:89" x14ac:dyDescent="0.25">
      <c r="A53" s="1">
        <f>Shear_Wall_Foundation!A101</f>
        <v>34</v>
      </c>
      <c r="B53" s="76">
        <f>Shear_Wall_Foundation!B101</f>
        <v>0</v>
      </c>
      <c r="C53" s="76">
        <f>Shear_Wall_Foundation!C101</f>
        <v>0</v>
      </c>
      <c r="D53" s="76">
        <f>Shear_Wall_Foundation!D101</f>
        <v>0</v>
      </c>
      <c r="E53" s="76">
        <f>Shear_Wall_Foundation!E101</f>
        <v>0</v>
      </c>
      <c r="F53" s="1" t="str">
        <f>Shear_Wall_Foundation!F101</f>
        <v>N/A</v>
      </c>
      <c r="G53" s="1" t="str">
        <f>Shear_Wall_Foundation!G101</f>
        <v>D</v>
      </c>
      <c r="J53">
        <f t="shared" si="13"/>
        <v>29.700000000000006</v>
      </c>
      <c r="K53" cm="1">
        <f t="array" ref="K53:CG53">LRFD_Analysis(Lf_ft,J53,$B$4:$G$84,$J$4:$U$28)</f>
        <v>-2.8421709430404007E-14</v>
      </c>
      <c r="L53">
        <v>0.69706933333330312</v>
      </c>
      <c r="M53">
        <v>0.10466026666654216</v>
      </c>
      <c r="N53">
        <v>0</v>
      </c>
      <c r="O53">
        <v>1.4183359999999823</v>
      </c>
      <c r="P53">
        <v>0.21295359999930952</v>
      </c>
      <c r="Q53">
        <v>0</v>
      </c>
      <c r="R53">
        <v>1.4811559999999702</v>
      </c>
      <c r="S53">
        <v>0.22238559999914287</v>
      </c>
      <c r="T53">
        <v>0</v>
      </c>
      <c r="U53">
        <v>1.4183359999999823</v>
      </c>
      <c r="V53">
        <v>0.21295359999930952</v>
      </c>
      <c r="W53">
        <v>1.4210854715202004E-14</v>
      </c>
      <c r="X53">
        <v>0.85400300000000584</v>
      </c>
      <c r="Y53">
        <v>0.12822279999954844</v>
      </c>
      <c r="Z53">
        <v>0</v>
      </c>
      <c r="AA53">
        <v>1.0550269999999671</v>
      </c>
      <c r="AB53">
        <v>0.15840519999937897</v>
      </c>
      <c r="AC53">
        <v>1.4210854715202004E-14</v>
      </c>
      <c r="AD53">
        <v>0.85400300000000584</v>
      </c>
      <c r="AE53">
        <v>0.12822279999954844</v>
      </c>
      <c r="AF53">
        <v>0</v>
      </c>
      <c r="AG53">
        <v>1.2682129999999745</v>
      </c>
      <c r="AH53">
        <v>0.19065629999931843</v>
      </c>
      <c r="AI53">
        <v>1.4210854715202004E-14</v>
      </c>
      <c r="AJ53">
        <v>1.4692369999999784</v>
      </c>
      <c r="AK53">
        <v>0.22083870000005845</v>
      </c>
      <c r="AL53">
        <v>0</v>
      </c>
      <c r="AM53">
        <v>1.2682129999999745</v>
      </c>
      <c r="AN53">
        <v>0.19065629999931843</v>
      </c>
      <c r="AO53">
        <v>-1.4210854715202004E-14</v>
      </c>
      <c r="AP53">
        <v>-7.3237000000005992E-2</v>
      </c>
      <c r="AQ53">
        <v>-1.1238699999921664E-2</v>
      </c>
      <c r="AR53">
        <v>0</v>
      </c>
      <c r="AS53">
        <v>0.12778699999999787</v>
      </c>
      <c r="AT53">
        <v>1.8943700000136232E-2</v>
      </c>
      <c r="AU53">
        <v>-1.4210854715202004E-14</v>
      </c>
      <c r="AV53">
        <v>-7.3237000000005992E-2</v>
      </c>
      <c r="AW53">
        <v>-1.1238699999921664E-2</v>
      </c>
      <c r="AX53">
        <v>-1.4210854715202004E-14</v>
      </c>
      <c r="AY53">
        <v>2.2947627353857456</v>
      </c>
      <c r="AZ53">
        <v>0.34509579862708506</v>
      </c>
      <c r="BA53">
        <v>0</v>
      </c>
      <c r="BB53">
        <v>2.3405961291232842</v>
      </c>
      <c r="BC53">
        <v>0.35196528815981765</v>
      </c>
      <c r="BD53">
        <v>-1.4210854715202004E-14</v>
      </c>
      <c r="BE53">
        <v>2.2947627353857456</v>
      </c>
      <c r="BF53">
        <v>0.34509579862708506</v>
      </c>
      <c r="BG53">
        <v>0</v>
      </c>
      <c r="BH53">
        <v>-0.48744699999998886</v>
      </c>
      <c r="BI53">
        <v>-7.3672200000146404E-2</v>
      </c>
      <c r="BJ53">
        <v>-1.4210854715202004E-14</v>
      </c>
      <c r="BK53">
        <v>-0.42462699999997255</v>
      </c>
      <c r="BL53">
        <v>-6.4240200000313052E-2</v>
      </c>
      <c r="BM53">
        <v>0</v>
      </c>
      <c r="BN53">
        <v>-0.48744699999998886</v>
      </c>
      <c r="BO53">
        <v>-7.3672200000146404E-2</v>
      </c>
      <c r="BP53">
        <v>0</v>
      </c>
      <c r="BQ53">
        <v>1.9495282661785325</v>
      </c>
      <c r="BR53">
        <v>0.29307345892152625</v>
      </c>
      <c r="BS53">
        <v>0</v>
      </c>
      <c r="BT53">
        <v>-6.4136500000003593E-2</v>
      </c>
      <c r="BU53">
        <v>-9.9936500005242124E-3</v>
      </c>
      <c r="BV53">
        <v>0</v>
      </c>
      <c r="BW53">
        <v>2.5530098258763019</v>
      </c>
      <c r="BX53">
        <v>0.38448021905054475</v>
      </c>
      <c r="BY53">
        <v>0</v>
      </c>
      <c r="BZ53">
        <v>-0.41343749999998636</v>
      </c>
      <c r="CA53">
        <v>-6.2015625000185537E-2</v>
      </c>
      <c r="CB53">
        <v>0</v>
      </c>
      <c r="CC53">
        <v>1.6104611973833585</v>
      </c>
      <c r="CD53">
        <v>0.24227611457956755</v>
      </c>
      <c r="CE53">
        <v>0</v>
      </c>
      <c r="CF53">
        <v>-0.41343749999998636</v>
      </c>
      <c r="CG53">
        <v>-6.2015624999958163E-2</v>
      </c>
      <c r="CH53">
        <f t="shared" si="9"/>
        <v>2.5530098258763019</v>
      </c>
      <c r="CI53">
        <f t="shared" si="10"/>
        <v>-0.48744699999998886</v>
      </c>
      <c r="CJ53">
        <f t="shared" si="11"/>
        <v>0.38448021905054475</v>
      </c>
      <c r="CK53">
        <f t="shared" si="12"/>
        <v>-7.3672200000146404E-2</v>
      </c>
    </row>
    <row r="54" spans="1:89" x14ac:dyDescent="0.25">
      <c r="A54" s="1">
        <f>Shear_Wall_Foundation!A102</f>
        <v>35</v>
      </c>
      <c r="B54" s="76">
        <f>Shear_Wall_Foundation!B102</f>
        <v>0</v>
      </c>
      <c r="C54" s="76">
        <f>Shear_Wall_Foundation!C102</f>
        <v>0</v>
      </c>
      <c r="D54" s="76">
        <f>Shear_Wall_Foundation!D102</f>
        <v>0</v>
      </c>
      <c r="E54" s="76">
        <f>Shear_Wall_Foundation!E102</f>
        <v>0</v>
      </c>
      <c r="F54" s="1" t="str">
        <f>Shear_Wall_Foundation!F102</f>
        <v>N/A</v>
      </c>
      <c r="G54" s="1" t="str">
        <f>Shear_Wall_Foundation!G102</f>
        <v>D</v>
      </c>
      <c r="J54">
        <f>Lf_ft</f>
        <v>30</v>
      </c>
      <c r="K54" cm="1">
        <f t="array" ref="K54:CG54">LRFD_Analysis(Lf_ft,J54,$B$4:$G$84,$J$4:$U$28)</f>
        <v>-2.8421709430404007E-14</v>
      </c>
      <c r="L54">
        <v>-2.8421709430404007E-14</v>
      </c>
      <c r="M54">
        <v>2.2737367544323206E-13</v>
      </c>
      <c r="N54">
        <v>0</v>
      </c>
      <c r="O54">
        <v>0</v>
      </c>
      <c r="P54">
        <v>-9.0949470177292824E-13</v>
      </c>
      <c r="Q54">
        <v>0</v>
      </c>
      <c r="R54">
        <v>0</v>
      </c>
      <c r="S54">
        <v>-4.5474735088646412E-13</v>
      </c>
      <c r="T54">
        <v>0</v>
      </c>
      <c r="U54">
        <v>0</v>
      </c>
      <c r="V54">
        <v>-9.0949470177292824E-13</v>
      </c>
      <c r="W54">
        <v>1.4210854715202004E-14</v>
      </c>
      <c r="X54">
        <v>1.4210854715202004E-14</v>
      </c>
      <c r="Y54">
        <v>-4.5474735088646412E-13</v>
      </c>
      <c r="Z54">
        <v>0</v>
      </c>
      <c r="AA54">
        <v>0</v>
      </c>
      <c r="AB54">
        <v>-6.8212102632969618E-13</v>
      </c>
      <c r="AC54">
        <v>1.4210854715202004E-14</v>
      </c>
      <c r="AD54">
        <v>1.4210854715202004E-14</v>
      </c>
      <c r="AE54">
        <v>-4.5474735088646412E-13</v>
      </c>
      <c r="AF54">
        <v>0</v>
      </c>
      <c r="AG54">
        <v>0</v>
      </c>
      <c r="AH54">
        <v>-6.8212102632969618E-13</v>
      </c>
      <c r="AI54">
        <v>1.4210854715202004E-14</v>
      </c>
      <c r="AJ54">
        <v>0</v>
      </c>
      <c r="AK54">
        <v>-2.2737367544323206E-13</v>
      </c>
      <c r="AL54">
        <v>0</v>
      </c>
      <c r="AM54">
        <v>0</v>
      </c>
      <c r="AN54">
        <v>-6.8212102632969618E-13</v>
      </c>
      <c r="AO54">
        <v>-1.4210854715202004E-14</v>
      </c>
      <c r="AP54">
        <v>-1.4210854715202004E-14</v>
      </c>
      <c r="AQ54">
        <v>0</v>
      </c>
      <c r="AR54">
        <v>0</v>
      </c>
      <c r="AS54">
        <v>0</v>
      </c>
      <c r="AT54">
        <v>0</v>
      </c>
      <c r="AU54">
        <v>-1.4210854715202004E-14</v>
      </c>
      <c r="AV54">
        <v>-1.4210854715202004E-14</v>
      </c>
      <c r="AW54">
        <v>0</v>
      </c>
      <c r="AX54">
        <v>-1.4210854715202004E-14</v>
      </c>
      <c r="AY54">
        <v>-1.4210854715202004E-14</v>
      </c>
      <c r="AZ54">
        <v>0</v>
      </c>
      <c r="BA54">
        <v>0</v>
      </c>
      <c r="BB54">
        <v>0</v>
      </c>
      <c r="BC54">
        <v>-4.5474735088646412E-13</v>
      </c>
      <c r="BD54">
        <v>-1.4210854715202004E-14</v>
      </c>
      <c r="BE54">
        <v>-1.4210854715202004E-14</v>
      </c>
      <c r="BF54">
        <v>0</v>
      </c>
      <c r="BG54">
        <v>0</v>
      </c>
      <c r="BH54">
        <v>-1.4210854715202004E-14</v>
      </c>
      <c r="BI54">
        <v>4.5474735088646412E-13</v>
      </c>
      <c r="BJ54">
        <v>-1.4210854715202004E-14</v>
      </c>
      <c r="BK54">
        <v>-1.4210854715202004E-14</v>
      </c>
      <c r="BL54">
        <v>4.5474735088646412E-13</v>
      </c>
      <c r="BM54">
        <v>0</v>
      </c>
      <c r="BN54">
        <v>-1.4210854715202004E-14</v>
      </c>
      <c r="BO54">
        <v>4.5474735088646412E-13</v>
      </c>
      <c r="BP54">
        <v>0</v>
      </c>
      <c r="BQ54">
        <v>0</v>
      </c>
      <c r="BR54">
        <v>4.5474735088646412E-13</v>
      </c>
      <c r="BS54">
        <v>0</v>
      </c>
      <c r="BT54">
        <v>1.4210854715202004E-14</v>
      </c>
      <c r="BU54">
        <v>-9.0949470177292824E-13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2.2737367544323206E-13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4.5474735088646412E-13</v>
      </c>
      <c r="CH54">
        <f t="shared" si="9"/>
        <v>1.4210854715202004E-14</v>
      </c>
      <c r="CI54">
        <f t="shared" si="10"/>
        <v>-2.8421709430404007E-14</v>
      </c>
      <c r="CJ54">
        <f t="shared" si="11"/>
        <v>4.5474735088646412E-13</v>
      </c>
      <c r="CK54">
        <f t="shared" si="12"/>
        <v>-9.0949470177292824E-13</v>
      </c>
    </row>
    <row r="55" spans="1:89" x14ac:dyDescent="0.25">
      <c r="A55" s="1">
        <f>Shear_Wall_Foundation!A103</f>
        <v>36</v>
      </c>
      <c r="B55" s="76">
        <f>Shear_Wall_Foundation!B103</f>
        <v>0</v>
      </c>
      <c r="C55" s="76">
        <f>Shear_Wall_Foundation!C103</f>
        <v>0</v>
      </c>
      <c r="D55" s="76">
        <f>Shear_Wall_Foundation!D103</f>
        <v>0</v>
      </c>
      <c r="E55" s="76">
        <f>Shear_Wall_Foundation!E103</f>
        <v>0</v>
      </c>
      <c r="F55" s="1" t="str">
        <f>Shear_Wall_Foundation!F103</f>
        <v>N/A</v>
      </c>
      <c r="G55" s="1" t="str">
        <f>Shear_Wall_Foundation!G103</f>
        <v>D</v>
      </c>
      <c r="I55" t="s">
        <v>301</v>
      </c>
      <c r="J55">
        <f>(J44-J56)/75</f>
        <v>0.26666666666666666</v>
      </c>
    </row>
    <row r="56" spans="1:89" x14ac:dyDescent="0.25">
      <c r="A56" s="1">
        <f>Shear_Wall_Foundation!A104</f>
        <v>37</v>
      </c>
      <c r="B56" s="76">
        <f>Shear_Wall_Foundation!B104</f>
        <v>0</v>
      </c>
      <c r="C56" s="76">
        <f>Shear_Wall_Foundation!C104</f>
        <v>0</v>
      </c>
      <c r="D56" s="76">
        <f>Shear_Wall_Foundation!D104</f>
        <v>0</v>
      </c>
      <c r="E56" s="76">
        <f>Shear_Wall_Foundation!E104</f>
        <v>0</v>
      </c>
      <c r="F56" s="1" t="str">
        <f>Shear_Wall_Foundation!F104</f>
        <v>N/A</v>
      </c>
      <c r="G56" s="1" t="str">
        <f>Shear_Wall_Foundation!G104</f>
        <v>D</v>
      </c>
      <c r="I56" t="s">
        <v>343</v>
      </c>
      <c r="J56">
        <f>J42</f>
        <v>7</v>
      </c>
      <c r="K56" cm="1">
        <f t="array" ref="K56:CG56">LRFD_Analysis(Lf_ft,J56,$B$4:$G$84,$J$4:$U$28)</f>
        <v>-2.8421709430404007E-14</v>
      </c>
      <c r="L56">
        <v>-8.0781037037037038</v>
      </c>
      <c r="M56">
        <v>27.004686419753085</v>
      </c>
      <c r="N56">
        <v>0</v>
      </c>
      <c r="O56">
        <v>-16.436622222222208</v>
      </c>
      <c r="P56">
        <v>54.946785185185149</v>
      </c>
      <c r="Q56">
        <v>0</v>
      </c>
      <c r="R56">
        <v>-17.164622222222217</v>
      </c>
      <c r="S56">
        <v>57.380451851851845</v>
      </c>
      <c r="T56">
        <v>0</v>
      </c>
      <c r="U56">
        <v>-16.436622222222208</v>
      </c>
      <c r="V56">
        <v>54.946785185185149</v>
      </c>
      <c r="W56">
        <v>1.4210854715202004E-14</v>
      </c>
      <c r="X56">
        <v>-9.8967555555555542</v>
      </c>
      <c r="Y56">
        <v>33.084346296296289</v>
      </c>
      <c r="Z56">
        <v>0</v>
      </c>
      <c r="AA56">
        <v>-12.226355555555536</v>
      </c>
      <c r="AB56">
        <v>40.872079629629539</v>
      </c>
      <c r="AC56">
        <v>1.4210854715202004E-14</v>
      </c>
      <c r="AD56">
        <v>-9.8967555555555542</v>
      </c>
      <c r="AE56">
        <v>33.084346296296289</v>
      </c>
      <c r="AF56">
        <v>0</v>
      </c>
      <c r="AG56">
        <v>5.1956333333333422</v>
      </c>
      <c r="AH56">
        <v>-23.575533333333368</v>
      </c>
      <c r="AI56">
        <v>1.4210854715202004E-14</v>
      </c>
      <c r="AJ56">
        <v>2.8660333333333305</v>
      </c>
      <c r="AK56">
        <v>-15.787799999999983</v>
      </c>
      <c r="AL56">
        <v>0</v>
      </c>
      <c r="AM56">
        <v>5.1956333333333422</v>
      </c>
      <c r="AN56">
        <v>-23.575533333333368</v>
      </c>
      <c r="AO56">
        <v>-1.4210854715202004E-14</v>
      </c>
      <c r="AP56">
        <v>-19.043811111111111</v>
      </c>
      <c r="AQ56">
        <v>69.86928148148148</v>
      </c>
      <c r="AR56">
        <v>0</v>
      </c>
      <c r="AS56">
        <v>-21.373411111111107</v>
      </c>
      <c r="AT56">
        <v>77.657014814814787</v>
      </c>
      <c r="AU56">
        <v>-1.4210854715202004E-14</v>
      </c>
      <c r="AV56">
        <v>-19.043811111111111</v>
      </c>
      <c r="AW56">
        <v>69.86928148148148</v>
      </c>
      <c r="AX56">
        <v>-1.4210854715202004E-14</v>
      </c>
      <c r="AY56">
        <v>12.496178259179727</v>
      </c>
      <c r="AZ56">
        <v>-44.851758102959401</v>
      </c>
      <c r="BA56">
        <v>0</v>
      </c>
      <c r="BB56">
        <v>12.150459632645992</v>
      </c>
      <c r="BC56">
        <v>-44.564784969985809</v>
      </c>
      <c r="BD56">
        <v>-1.4210854715202004E-14</v>
      </c>
      <c r="BE56">
        <v>12.496178259179727</v>
      </c>
      <c r="BF56">
        <v>-44.851758102959401</v>
      </c>
      <c r="BG56">
        <v>0</v>
      </c>
      <c r="BH56">
        <v>-34.136200000000002</v>
      </c>
      <c r="BI56">
        <v>126.52916111111109</v>
      </c>
      <c r="BJ56">
        <v>-1.4210854715202004E-14</v>
      </c>
      <c r="BK56">
        <v>-34.864200000000011</v>
      </c>
      <c r="BL56">
        <v>128.96282777777782</v>
      </c>
      <c r="BM56">
        <v>0</v>
      </c>
      <c r="BN56">
        <v>-34.136200000000002</v>
      </c>
      <c r="BO56">
        <v>126.52916111111109</v>
      </c>
      <c r="BP56">
        <v>0</v>
      </c>
      <c r="BQ56">
        <v>7.2451143984968827</v>
      </c>
      <c r="BR56">
        <v>-33.289517516817938</v>
      </c>
      <c r="BS56">
        <v>0</v>
      </c>
      <c r="BT56">
        <v>-29.095538888888886</v>
      </c>
      <c r="BU56">
        <v>106.57509074074069</v>
      </c>
      <c r="BV56">
        <v>0</v>
      </c>
      <c r="BW56">
        <v>9.6468750000000014</v>
      </c>
      <c r="BX56">
        <v>-33.764062500000001</v>
      </c>
      <c r="BY56">
        <v>0</v>
      </c>
      <c r="BZ56">
        <v>-32.853647053802838</v>
      </c>
      <c r="CA56">
        <v>125.53871045338505</v>
      </c>
      <c r="CB56">
        <v>0</v>
      </c>
      <c r="CC56">
        <v>9.6468750000000014</v>
      </c>
      <c r="CD56">
        <v>-33.764062500000001</v>
      </c>
      <c r="CE56">
        <v>0</v>
      </c>
      <c r="CF56">
        <v>-23.638322078809232</v>
      </c>
      <c r="CG56">
        <v>88.550710389220001</v>
      </c>
      <c r="CH56">
        <f t="shared" ref="CH56" si="14">MAX(CF56,CC56,BZ56,BW56,BT56,BQ56,BN56,BK56,BH56,BE56,BB56,AY56,AV56,AS56,AP56,AM56,AJ56,AG56,AD56,AA56,X56,U56,R56,O56,L56)</f>
        <v>12.496178259179727</v>
      </c>
      <c r="CI56">
        <f t="shared" ref="CI56" si="15">MIN(CF56,CC56,BZ56,BW56,BT56,BQ56,BN56,BK56,BH56,BE56,BB56,AY56,AV56,AS56,AP56,AM56,AJ56,AG56,AD56,AA56,X56,U56,R56,O56,L56)</f>
        <v>-34.864200000000011</v>
      </c>
      <c r="CJ56">
        <f t="shared" ref="CJ56" si="16">MAX(CG56,CD56,CA56,BX56,BU56,BR56,BO56,BL56,BI56,BF56,BC56,AZ56,AW56,AT56,AQ56,AN56,AK56,AH56,AE56,AB56,Y56,V56,S56,P56,M56)</f>
        <v>128.96282777777782</v>
      </c>
      <c r="CK56">
        <f t="shared" ref="CK56" si="17">MIN(CG56,CD56,CA56,BX56,BU56,BR56,BO56,BL56,BI56,BF56,BC56,AZ56,AW56,AT56,AQ56,AN56,AK56,AH56,AE56,AB56,Y56,V56,S56,P56,M56)</f>
        <v>-44.851758102959401</v>
      </c>
    </row>
    <row r="57" spans="1:89" x14ac:dyDescent="0.25">
      <c r="A57" s="1">
        <f>Shear_Wall_Foundation!A105</f>
        <v>38</v>
      </c>
      <c r="B57" s="76">
        <f>Shear_Wall_Foundation!B105</f>
        <v>0</v>
      </c>
      <c r="C57" s="76">
        <f>Shear_Wall_Foundation!C105</f>
        <v>0</v>
      </c>
      <c r="D57" s="76">
        <f>Shear_Wall_Foundation!D105</f>
        <v>0</v>
      </c>
      <c r="E57" s="76">
        <f>Shear_Wall_Foundation!E105</f>
        <v>0</v>
      </c>
      <c r="F57" s="1" t="str">
        <f>Shear_Wall_Foundation!F105</f>
        <v>N/A</v>
      </c>
      <c r="G57" s="1" t="str">
        <f>Shear_Wall_Foundation!G105</f>
        <v>D</v>
      </c>
      <c r="J57">
        <f>J56+$J$55</f>
        <v>7.2666666666666666</v>
      </c>
      <c r="K57" cm="1">
        <f t="array" ref="K57:CG57">LRFD_Analysis(Lf_ft,J57,$B$4:$G$84,$J$4:$U$28)</f>
        <v>-2.8421709430404007E-14</v>
      </c>
      <c r="L57">
        <v>-8.4070675226337457</v>
      </c>
      <c r="M57">
        <v>29.202639110379522</v>
      </c>
      <c r="N57">
        <v>0</v>
      </c>
      <c r="O57">
        <v>-17.131614024691341</v>
      </c>
      <c r="P57">
        <v>59.422407304252353</v>
      </c>
      <c r="Q57">
        <v>0</v>
      </c>
      <c r="R57">
        <v>-17.891222913580236</v>
      </c>
      <c r="S57">
        <v>62.054415501783261</v>
      </c>
      <c r="T57">
        <v>0</v>
      </c>
      <c r="U57">
        <v>-17.131614024691341</v>
      </c>
      <c r="V57">
        <v>59.422407304252353</v>
      </c>
      <c r="W57">
        <v>1.4210854715202004E-14</v>
      </c>
      <c r="X57">
        <v>-10.3077941728395</v>
      </c>
      <c r="Y57">
        <v>35.778200329766783</v>
      </c>
      <c r="Z57">
        <v>0</v>
      </c>
      <c r="AA57">
        <v>-12.73854261728393</v>
      </c>
      <c r="AB57">
        <v>44.200626561865512</v>
      </c>
      <c r="AC57">
        <v>1.4210854715202004E-14</v>
      </c>
      <c r="AD57">
        <v>-10.3077941728395</v>
      </c>
      <c r="AE57">
        <v>35.778200329766783</v>
      </c>
      <c r="AF57">
        <v>0</v>
      </c>
      <c r="AG57">
        <v>5.2294964444444538</v>
      </c>
      <c r="AH57">
        <v>-24.965848671604959</v>
      </c>
      <c r="AI57">
        <v>1.4210854715202004E-14</v>
      </c>
      <c r="AJ57">
        <v>2.798747999999998</v>
      </c>
      <c r="AK57">
        <v>-16.543422439506152</v>
      </c>
      <c r="AL57">
        <v>0</v>
      </c>
      <c r="AM57">
        <v>5.2294964444444538</v>
      </c>
      <c r="AN57">
        <v>-24.965848671604959</v>
      </c>
      <c r="AO57">
        <v>-1.4210854715202004E-14</v>
      </c>
      <c r="AP57">
        <v>-19.641612197530868</v>
      </c>
      <c r="AQ57">
        <v>75.027515717969862</v>
      </c>
      <c r="AR57">
        <v>0</v>
      </c>
      <c r="AS57">
        <v>-22.072360641975301</v>
      </c>
      <c r="AT57">
        <v>83.449941950068563</v>
      </c>
      <c r="AU57">
        <v>-1.4210854715202004E-14</v>
      </c>
      <c r="AV57">
        <v>-19.641612197530868</v>
      </c>
      <c r="AW57">
        <v>75.027515717969862</v>
      </c>
      <c r="AX57">
        <v>-1.4210854715202004E-14</v>
      </c>
      <c r="AY57">
        <v>12.848057860906824</v>
      </c>
      <c r="AZ57">
        <v>-48.231608612824871</v>
      </c>
      <c r="BA57">
        <v>0</v>
      </c>
      <c r="BB57">
        <v>12.446737963752662</v>
      </c>
      <c r="BC57">
        <v>-47.845026466818929</v>
      </c>
      <c r="BD57">
        <v>-1.4210854715202004E-14</v>
      </c>
      <c r="BE57">
        <v>12.848057860906824</v>
      </c>
      <c r="BF57">
        <v>-48.231608612824871</v>
      </c>
      <c r="BG57">
        <v>0</v>
      </c>
      <c r="BH57">
        <v>-35.178902814814819</v>
      </c>
      <c r="BI57">
        <v>135.7715647193416</v>
      </c>
      <c r="BJ57">
        <v>-1.4210854715202004E-14</v>
      </c>
      <c r="BK57">
        <v>-35.938511703703703</v>
      </c>
      <c r="BL57">
        <v>138.40357291687241</v>
      </c>
      <c r="BM57">
        <v>0</v>
      </c>
      <c r="BN57">
        <v>-35.178902814814819</v>
      </c>
      <c r="BO57">
        <v>135.7715647193416</v>
      </c>
      <c r="BP57">
        <v>0</v>
      </c>
      <c r="BQ57">
        <v>7.2653272770135011</v>
      </c>
      <c r="BR57">
        <v>-35.224695529142764</v>
      </c>
      <c r="BS57">
        <v>0</v>
      </c>
      <c r="BT57">
        <v>-30.024578098765431</v>
      </c>
      <c r="BU57">
        <v>114.45803509849111</v>
      </c>
      <c r="BV57">
        <v>0</v>
      </c>
      <c r="BW57">
        <v>10.028375</v>
      </c>
      <c r="BX57">
        <v>-36.387429166666664</v>
      </c>
      <c r="BY57">
        <v>0</v>
      </c>
      <c r="BZ57">
        <v>-33.733569285312313</v>
      </c>
      <c r="CA57">
        <v>134.41758928070084</v>
      </c>
      <c r="CB57">
        <v>0</v>
      </c>
      <c r="CC57">
        <v>10.028375</v>
      </c>
      <c r="CD57">
        <v>-36.387429166666664</v>
      </c>
      <c r="CE57">
        <v>0</v>
      </c>
      <c r="CF57">
        <v>-24.327664942263429</v>
      </c>
      <c r="CG57">
        <v>94.946496898687116</v>
      </c>
      <c r="CH57">
        <f t="shared" ref="CH57:CH86" si="18">MAX(CF57,CC57,BZ57,BW57,BT57,BQ57,BN57,BK57,BH57,BE57,BB57,AY57,AV57,AS57,AP57,AM57,AJ57,AG57,AD57,AA57,X57,U57,R57,O57,L57)</f>
        <v>12.848057860906824</v>
      </c>
      <c r="CI57">
        <f t="shared" ref="CI57:CI86" si="19">MIN(CF57,CC57,BZ57,BW57,BT57,BQ57,BN57,BK57,BH57,BE57,BB57,AY57,AV57,AS57,AP57,AM57,AJ57,AG57,AD57,AA57,X57,U57,R57,O57,L57)</f>
        <v>-35.938511703703703</v>
      </c>
      <c r="CJ57">
        <f t="shared" ref="CJ57:CJ86" si="20">MAX(CG57,CD57,CA57,BX57,BU57,BR57,BO57,BL57,BI57,BF57,BC57,AZ57,AW57,AT57,AQ57,AN57,AK57,AH57,AE57,AB57,Y57,V57,S57,P57,M57)</f>
        <v>138.40357291687241</v>
      </c>
      <c r="CK57">
        <f t="shared" ref="CK57:CK86" si="21">MIN(CG57,CD57,CA57,BX57,BU57,BR57,BO57,BL57,BI57,BF57,BC57,AZ57,AW57,AT57,AQ57,AN57,AK57,AH57,AE57,AB57,Y57,V57,S57,P57,M57)</f>
        <v>-48.231608612824871</v>
      </c>
    </row>
    <row r="58" spans="1:89" x14ac:dyDescent="0.25">
      <c r="A58" s="1">
        <f>Shear_Wall_Foundation!A106</f>
        <v>39</v>
      </c>
      <c r="B58" s="76">
        <f>Shear_Wall_Foundation!B106</f>
        <v>0</v>
      </c>
      <c r="C58" s="76">
        <f>Shear_Wall_Foundation!C106</f>
        <v>0</v>
      </c>
      <c r="D58" s="76">
        <f>Shear_Wall_Foundation!D106</f>
        <v>0</v>
      </c>
      <c r="E58" s="76">
        <f>Shear_Wall_Foundation!E106</f>
        <v>0</v>
      </c>
      <c r="F58" s="1" t="str">
        <f>Shear_Wall_Foundation!F106</f>
        <v>N/A</v>
      </c>
      <c r="G58" s="1" t="str">
        <f>Shear_Wall_Foundation!G106</f>
        <v>D</v>
      </c>
      <c r="J58">
        <f t="shared" ref="J58:J123" si="22">J57+$J$55</f>
        <v>7.5333333333333332</v>
      </c>
      <c r="K58" cm="1">
        <f t="array" ref="K58:CG58">LRFD_Analysis(Lf_ft,J58,$B$4:$G$84,$J$4:$U$28)</f>
        <v>-2.8421709430404007E-14</v>
      </c>
      <c r="L58">
        <v>-8.7391876213991786</v>
      </c>
      <c r="M58">
        <v>31.488736323365359</v>
      </c>
      <c r="N58">
        <v>0</v>
      </c>
      <c r="O58">
        <v>-17.833027950617272</v>
      </c>
      <c r="P58">
        <v>64.084216853772233</v>
      </c>
      <c r="Q58">
        <v>0</v>
      </c>
      <c r="R58">
        <v>-18.624530172839499</v>
      </c>
      <c r="S58">
        <v>66.923033545130295</v>
      </c>
      <c r="T58">
        <v>0</v>
      </c>
      <c r="U58">
        <v>-17.833027950617272</v>
      </c>
      <c r="V58">
        <v>64.084216853772233</v>
      </c>
      <c r="W58">
        <v>1.4210854715202004E-14</v>
      </c>
      <c r="X58">
        <v>-10.722699654320985</v>
      </c>
      <c r="Y58">
        <v>38.582180243072692</v>
      </c>
      <c r="Z58">
        <v>0</v>
      </c>
      <c r="AA58">
        <v>-13.255506765432079</v>
      </c>
      <c r="AB58">
        <v>47.666393655418311</v>
      </c>
      <c r="AC58">
        <v>1.4210854715202004E-14</v>
      </c>
      <c r="AD58">
        <v>-10.722699654320985</v>
      </c>
      <c r="AE58">
        <v>38.582180243072692</v>
      </c>
      <c r="AF58">
        <v>0</v>
      </c>
      <c r="AG58">
        <v>5.2499480000000087</v>
      </c>
      <c r="AH58">
        <v>-26.363405965432129</v>
      </c>
      <c r="AI58">
        <v>1.4210854715202004E-14</v>
      </c>
      <c r="AJ58">
        <v>2.7171408888888866</v>
      </c>
      <c r="AK58">
        <v>-17.279192553086418</v>
      </c>
      <c r="AL58">
        <v>0</v>
      </c>
      <c r="AM58">
        <v>5.2499480000000087</v>
      </c>
      <c r="AN58">
        <v>-26.363405965432129</v>
      </c>
      <c r="AO58">
        <v>-1.4210854715202004E-14</v>
      </c>
      <c r="AP58">
        <v>-20.231412493827172</v>
      </c>
      <c r="AQ58">
        <v>80.344096805487027</v>
      </c>
      <c r="AR58">
        <v>0</v>
      </c>
      <c r="AS58">
        <v>-22.764219604938269</v>
      </c>
      <c r="AT58">
        <v>89.428310217832603</v>
      </c>
      <c r="AU58">
        <v>-1.4210854715202004E-14</v>
      </c>
      <c r="AV58">
        <v>-20.231412493827172</v>
      </c>
      <c r="AW58">
        <v>80.344096805487027</v>
      </c>
      <c r="AX58">
        <v>-1.4210854715202004E-14</v>
      </c>
      <c r="AY58">
        <v>13.172081239206996</v>
      </c>
      <c r="AZ58">
        <v>-51.701579520027309</v>
      </c>
      <c r="BA58">
        <v>0</v>
      </c>
      <c r="BB58">
        <v>12.715334515760356</v>
      </c>
      <c r="BC58">
        <v>-51.200584614733977</v>
      </c>
      <c r="BD58">
        <v>-1.4210854715202004E-14</v>
      </c>
      <c r="BE58">
        <v>13.172081239206996</v>
      </c>
      <c r="BF58">
        <v>-51.701579520027309</v>
      </c>
      <c r="BG58">
        <v>0</v>
      </c>
      <c r="BH58">
        <v>-36.204060148148159</v>
      </c>
      <c r="BI58">
        <v>145.28968301399181</v>
      </c>
      <c r="BJ58">
        <v>-1.4210854715202004E-14</v>
      </c>
      <c r="BK58">
        <v>-36.995562370370386</v>
      </c>
      <c r="BL58">
        <v>148.12849970534987</v>
      </c>
      <c r="BM58">
        <v>0</v>
      </c>
      <c r="BN58">
        <v>-36.204060148148159</v>
      </c>
      <c r="BO58">
        <v>145.28968301399181</v>
      </c>
      <c r="BP58">
        <v>0</v>
      </c>
      <c r="BQ58">
        <v>7.2651796539749522</v>
      </c>
      <c r="BR58">
        <v>-37.162548908864672</v>
      </c>
      <c r="BS58">
        <v>0</v>
      </c>
      <c r="BT58">
        <v>-30.941823135802466</v>
      </c>
      <c r="BU58">
        <v>122.58715068916322</v>
      </c>
      <c r="BV58">
        <v>0</v>
      </c>
      <c r="BW58">
        <v>10.409875000000001</v>
      </c>
      <c r="BX58">
        <v>-39.112529166666661</v>
      </c>
      <c r="BY58">
        <v>0</v>
      </c>
      <c r="BZ58">
        <v>-34.587242322304213</v>
      </c>
      <c r="CA58">
        <v>143.52761414381672</v>
      </c>
      <c r="CB58">
        <v>0</v>
      </c>
      <c r="CC58">
        <v>10.409875000000001</v>
      </c>
      <c r="CD58">
        <v>-39.112529166666661</v>
      </c>
      <c r="CE58">
        <v>0</v>
      </c>
      <c r="CF58">
        <v>-25.002537006135235</v>
      </c>
      <c r="CG58">
        <v>101.52417873179763</v>
      </c>
      <c r="CH58">
        <f t="shared" si="18"/>
        <v>13.172081239206996</v>
      </c>
      <c r="CI58">
        <f t="shared" si="19"/>
        <v>-36.995562370370386</v>
      </c>
      <c r="CJ58">
        <f t="shared" si="20"/>
        <v>148.12849970534987</v>
      </c>
      <c r="CK58">
        <f t="shared" si="21"/>
        <v>-51.701579520027309</v>
      </c>
    </row>
    <row r="59" spans="1:89" x14ac:dyDescent="0.25">
      <c r="A59" s="1">
        <f>Shear_Wall_Foundation!A107</f>
        <v>40</v>
      </c>
      <c r="B59" s="76">
        <f>Shear_Wall_Foundation!B107</f>
        <v>0</v>
      </c>
      <c r="C59" s="76">
        <f>Shear_Wall_Foundation!C107</f>
        <v>0</v>
      </c>
      <c r="D59" s="76">
        <f>Shear_Wall_Foundation!D107</f>
        <v>0</v>
      </c>
      <c r="E59" s="76">
        <f>Shear_Wall_Foundation!E107</f>
        <v>0</v>
      </c>
      <c r="F59" s="1" t="str">
        <f>Shear_Wall_Foundation!F107</f>
        <v>N/A</v>
      </c>
      <c r="G59" s="1" t="str">
        <f>Shear_Wall_Foundation!G107</f>
        <v>D</v>
      </c>
      <c r="J59">
        <f t="shared" si="22"/>
        <v>7.8</v>
      </c>
      <c r="K59" cm="1">
        <f t="array" ref="K59:CG59">LRFD_Analysis(Lf_ft,J59,$B$4:$G$84,$J$4:$U$28)</f>
        <v>-2.8421709430404007E-14</v>
      </c>
      <c r="L59">
        <v>-9.0744639999999954</v>
      </c>
      <c r="M59">
        <v>33.863819733333315</v>
      </c>
      <c r="N59">
        <v>0</v>
      </c>
      <c r="O59">
        <v>-18.540863999999978</v>
      </c>
      <c r="P59">
        <v>68.933926399999876</v>
      </c>
      <c r="Q59">
        <v>0</v>
      </c>
      <c r="R59">
        <v>-19.364543999999995</v>
      </c>
      <c r="S59">
        <v>71.988094399999966</v>
      </c>
      <c r="T59">
        <v>0</v>
      </c>
      <c r="U59">
        <v>-18.540863999999978</v>
      </c>
      <c r="V59">
        <v>68.933926399999876</v>
      </c>
      <c r="W59">
        <v>1.4210854715202004E-14</v>
      </c>
      <c r="X59">
        <v>-11.141471999999995</v>
      </c>
      <c r="Y59">
        <v>41.497317199999948</v>
      </c>
      <c r="Z59">
        <v>0</v>
      </c>
      <c r="AA59">
        <v>-13.777247999999981</v>
      </c>
      <c r="AB59">
        <v>51.270654799999924</v>
      </c>
      <c r="AC59">
        <v>1.4210854715202004E-14</v>
      </c>
      <c r="AD59">
        <v>-11.141471999999995</v>
      </c>
      <c r="AE59">
        <v>41.497317199999948</v>
      </c>
      <c r="AF59">
        <v>0</v>
      </c>
      <c r="AG59">
        <v>5.2569880000000087</v>
      </c>
      <c r="AH59">
        <v>-27.764628800000047</v>
      </c>
      <c r="AI59">
        <v>1.4210854715202004E-14</v>
      </c>
      <c r="AJ59">
        <v>2.6212119999999963</v>
      </c>
      <c r="AK59">
        <v>-17.991291199999985</v>
      </c>
      <c r="AL59">
        <v>0</v>
      </c>
      <c r="AM59">
        <v>5.2569880000000087</v>
      </c>
      <c r="AN59">
        <v>-27.764628800000047</v>
      </c>
      <c r="AO59">
        <v>-1.4210854715202004E-14</v>
      </c>
      <c r="AP59">
        <v>-20.813212</v>
      </c>
      <c r="AQ59">
        <v>85.816891200000015</v>
      </c>
      <c r="AR59">
        <v>0</v>
      </c>
      <c r="AS59">
        <v>-23.448987999999993</v>
      </c>
      <c r="AT59">
        <v>95.59022879999992</v>
      </c>
      <c r="AU59">
        <v>-1.4210854715202004E-14</v>
      </c>
      <c r="AV59">
        <v>-20.813212</v>
      </c>
      <c r="AW59">
        <v>85.816891200000015</v>
      </c>
      <c r="AX59">
        <v>-1.4210854715202004E-14</v>
      </c>
      <c r="AY59">
        <v>13.468248394080243</v>
      </c>
      <c r="AZ59">
        <v>-55.254242498319542</v>
      </c>
      <c r="BA59">
        <v>0</v>
      </c>
      <c r="BB59">
        <v>12.956249288669072</v>
      </c>
      <c r="BC59">
        <v>-54.624077605971216</v>
      </c>
      <c r="BD59">
        <v>-1.4210854715202004E-14</v>
      </c>
      <c r="BE59">
        <v>13.468248394080243</v>
      </c>
      <c r="BF59">
        <v>-55.254242498319542</v>
      </c>
      <c r="BG59">
        <v>0</v>
      </c>
      <c r="BH59">
        <v>-37.211672</v>
      </c>
      <c r="BI59">
        <v>155.07883719999998</v>
      </c>
      <c r="BJ59">
        <v>-1.4210854715202004E-14</v>
      </c>
      <c r="BK59">
        <v>-38.035352000000003</v>
      </c>
      <c r="BL59">
        <v>158.13300520000001</v>
      </c>
      <c r="BM59">
        <v>0</v>
      </c>
      <c r="BN59">
        <v>-37.211672</v>
      </c>
      <c r="BO59">
        <v>155.07883719999998</v>
      </c>
      <c r="BP59">
        <v>0</v>
      </c>
      <c r="BQ59">
        <v>7.244671529381236</v>
      </c>
      <c r="BR59">
        <v>-39.097648188902284</v>
      </c>
      <c r="BS59">
        <v>0</v>
      </c>
      <c r="BT59">
        <v>-31.847273999999999</v>
      </c>
      <c r="BU59">
        <v>130.95929239999998</v>
      </c>
      <c r="BV59">
        <v>0</v>
      </c>
      <c r="BW59">
        <v>10.791375</v>
      </c>
      <c r="BX59">
        <v>-41.939362500000001</v>
      </c>
      <c r="BY59">
        <v>0</v>
      </c>
      <c r="BZ59">
        <v>-35.414666164778517</v>
      </c>
      <c r="CA59">
        <v>152.86178525752814</v>
      </c>
      <c r="CB59">
        <v>0</v>
      </c>
      <c r="CC59">
        <v>10.791375</v>
      </c>
      <c r="CD59">
        <v>-41.939362500000001</v>
      </c>
      <c r="CE59">
        <v>0</v>
      </c>
      <c r="CF59">
        <v>-25.662938270424647</v>
      </c>
      <c r="CG59">
        <v>108.27989700866296</v>
      </c>
      <c r="CH59">
        <f t="shared" si="18"/>
        <v>13.468248394080243</v>
      </c>
      <c r="CI59">
        <f t="shared" si="19"/>
        <v>-38.035352000000003</v>
      </c>
      <c r="CJ59">
        <f t="shared" si="20"/>
        <v>158.13300520000001</v>
      </c>
      <c r="CK59">
        <f t="shared" si="21"/>
        <v>-55.254242498319542</v>
      </c>
    </row>
    <row r="60" spans="1:89" x14ac:dyDescent="0.25">
      <c r="A60" s="1" t="str">
        <f>Shear_Wall_Foundation!A444</f>
        <v>16-1</v>
      </c>
      <c r="B60" s="76">
        <f>Shear_Wall_Foundation!B444*-1*Bf_ft</f>
        <v>-3.1424166666666662</v>
      </c>
      <c r="C60" s="76">
        <f>-1*Shear_Wall_Foundation!D444*Bf_ft</f>
        <v>-4.4739722222222236</v>
      </c>
      <c r="D60" s="76">
        <f>Shear_Wall_Foundation!C444</f>
        <v>0</v>
      </c>
      <c r="E60" s="76">
        <f>Shear_Wall_Foundation!E444</f>
        <v>30</v>
      </c>
      <c r="F60" s="1" t="s">
        <v>300</v>
      </c>
      <c r="G60" s="1" t="str">
        <f>A60</f>
        <v>16-1</v>
      </c>
      <c r="J60">
        <f t="shared" si="22"/>
        <v>8.0666666666666664</v>
      </c>
      <c r="K60" cm="1">
        <f t="array" ref="K60:CG60">LRFD_Analysis(Lf_ft,J60,$B$4:$G$84,$J$4:$U$28)</f>
        <v>-2.8421709430404007E-14</v>
      </c>
      <c r="L60">
        <v>-9.4128966584362104</v>
      </c>
      <c r="M60">
        <v>36.328731014906253</v>
      </c>
      <c r="N60">
        <v>0</v>
      </c>
      <c r="O60">
        <v>-19.255122172839485</v>
      </c>
      <c r="P60">
        <v>73.973248509190569</v>
      </c>
      <c r="Q60">
        <v>0</v>
      </c>
      <c r="R60">
        <v>-20.111264395061717</v>
      </c>
      <c r="S60">
        <v>77.25138648449925</v>
      </c>
      <c r="T60">
        <v>0</v>
      </c>
      <c r="U60">
        <v>-19.255122172839485</v>
      </c>
      <c r="V60">
        <v>73.973248509190569</v>
      </c>
      <c r="W60">
        <v>1.4210854715202004E-14</v>
      </c>
      <c r="X60">
        <v>-11.564111209876542</v>
      </c>
      <c r="Y60">
        <v>44.524642364334717</v>
      </c>
      <c r="Z60">
        <v>0</v>
      </c>
      <c r="AA60">
        <v>-14.303766320987636</v>
      </c>
      <c r="AB60">
        <v>55.014683885322306</v>
      </c>
      <c r="AC60">
        <v>1.4210854715202004E-14</v>
      </c>
      <c r="AD60">
        <v>-11.564111209876542</v>
      </c>
      <c r="AE60">
        <v>44.524642364334717</v>
      </c>
      <c r="AF60">
        <v>0</v>
      </c>
      <c r="AG60">
        <v>5.2506164444444536</v>
      </c>
      <c r="AH60">
        <v>-29.165940760493868</v>
      </c>
      <c r="AI60">
        <v>1.4210854715202004E-14</v>
      </c>
      <c r="AJ60">
        <v>2.5109613333333289</v>
      </c>
      <c r="AK60">
        <v>-18.675899239506158</v>
      </c>
      <c r="AL60">
        <v>0</v>
      </c>
      <c r="AM60">
        <v>5.2506164444444536</v>
      </c>
      <c r="AN60">
        <v>-29.165940760493868</v>
      </c>
      <c r="AO60">
        <v>-1.4210854715202004E-14</v>
      </c>
      <c r="AP60">
        <v>-21.387010716049389</v>
      </c>
      <c r="AQ60">
        <v>91.443765357476025</v>
      </c>
      <c r="AR60">
        <v>0</v>
      </c>
      <c r="AS60">
        <v>-24.126665827160487</v>
      </c>
      <c r="AT60">
        <v>101.9338068784636</v>
      </c>
      <c r="AU60">
        <v>-1.4210854715202004E-14</v>
      </c>
      <c r="AV60">
        <v>-21.387010716049389</v>
      </c>
      <c r="AW60">
        <v>91.443765357476025</v>
      </c>
      <c r="AX60">
        <v>-1.4210854715202004E-14</v>
      </c>
      <c r="AY60">
        <v>13.736559325526567</v>
      </c>
      <c r="AZ60">
        <v>-58.882169221454376</v>
      </c>
      <c r="BA60">
        <v>0</v>
      </c>
      <c r="BB60">
        <v>13.169482282478814</v>
      </c>
      <c r="BC60">
        <v>-58.108123632770912</v>
      </c>
      <c r="BD60">
        <v>-1.4210854715202004E-14</v>
      </c>
      <c r="BE60">
        <v>13.736559325526567</v>
      </c>
      <c r="BF60">
        <v>-58.882169221454376</v>
      </c>
      <c r="BG60">
        <v>0</v>
      </c>
      <c r="BH60">
        <v>-38.201738370370379</v>
      </c>
      <c r="BI60">
        <v>165.1343484823046</v>
      </c>
      <c r="BJ60">
        <v>-1.4210854715202004E-14</v>
      </c>
      <c r="BK60">
        <v>-39.057880592592603</v>
      </c>
      <c r="BL60">
        <v>168.41248645761326</v>
      </c>
      <c r="BM60">
        <v>0</v>
      </c>
      <c r="BN60">
        <v>-38.201738370370379</v>
      </c>
      <c r="BO60">
        <v>165.1343484823046</v>
      </c>
      <c r="BP60">
        <v>0</v>
      </c>
      <c r="BQ60">
        <v>7.2038029032323498</v>
      </c>
      <c r="BR60">
        <v>-41.024563902174201</v>
      </c>
      <c r="BS60">
        <v>0</v>
      </c>
      <c r="BT60">
        <v>-32.740930691358017</v>
      </c>
      <c r="BU60">
        <v>139.57131511824412</v>
      </c>
      <c r="BV60">
        <v>0</v>
      </c>
      <c r="BW60">
        <v>11.172874999999999</v>
      </c>
      <c r="BX60">
        <v>-44.86792916666667</v>
      </c>
      <c r="BY60">
        <v>0</v>
      </c>
      <c r="BZ60">
        <v>-36.215840812735252</v>
      </c>
      <c r="CA60">
        <v>162.4131028366304</v>
      </c>
      <c r="CB60">
        <v>0</v>
      </c>
      <c r="CC60">
        <v>11.172874999999999</v>
      </c>
      <c r="CD60">
        <v>-44.86792916666667</v>
      </c>
      <c r="CE60">
        <v>0</v>
      </c>
      <c r="CF60">
        <v>-26.308868735131689</v>
      </c>
      <c r="CG60">
        <v>115.20979284939455</v>
      </c>
      <c r="CH60">
        <f t="shared" si="18"/>
        <v>13.736559325526567</v>
      </c>
      <c r="CI60">
        <f t="shared" si="19"/>
        <v>-39.057880592592603</v>
      </c>
      <c r="CJ60">
        <f t="shared" si="20"/>
        <v>168.41248645761326</v>
      </c>
      <c r="CK60">
        <f t="shared" si="21"/>
        <v>-58.882169221454376</v>
      </c>
    </row>
    <row r="61" spans="1:89" x14ac:dyDescent="0.25">
      <c r="A61" s="1" t="str">
        <f>Shear_Wall_Foundation!A445</f>
        <v>16-2Lr</v>
      </c>
      <c r="B61" s="76">
        <f>Shear_Wall_Foundation!B445*-1*Bf_ft</f>
        <v>-3.8694999999999973</v>
      </c>
      <c r="C61" s="76">
        <f>-1*Shear_Wall_Foundation!D445*Bf_ft</f>
        <v>-6.5788333333333355</v>
      </c>
      <c r="D61" s="76">
        <f>Shear_Wall_Foundation!C445</f>
        <v>0</v>
      </c>
      <c r="E61" s="76">
        <f>Shear_Wall_Foundation!E445</f>
        <v>30</v>
      </c>
      <c r="F61" s="1" t="s">
        <v>300</v>
      </c>
      <c r="G61" s="1" t="str">
        <f t="shared" ref="G61:G84" si="23">A61</f>
        <v>16-2Lr</v>
      </c>
      <c r="J61">
        <f t="shared" si="22"/>
        <v>8.3333333333333339</v>
      </c>
      <c r="K61" cm="1">
        <f t="array" ref="K61:CG61">LRFD_Analysis(Lf_ft,J61,$B$4:$G$84,$J$4:$U$28)</f>
        <v>-2.8421709430404007E-14</v>
      </c>
      <c r="L61">
        <v>-9.7544855967078234</v>
      </c>
      <c r="M61">
        <v>38.88431184270695</v>
      </c>
      <c r="N61">
        <v>0</v>
      </c>
      <c r="O61">
        <v>-19.975802469135793</v>
      </c>
      <c r="P61">
        <v>79.203895747599432</v>
      </c>
      <c r="Q61">
        <v>0</v>
      </c>
      <c r="R61">
        <v>-20.864691358024686</v>
      </c>
      <c r="S61">
        <v>82.714698216735258</v>
      </c>
      <c r="T61">
        <v>0</v>
      </c>
      <c r="U61">
        <v>-19.975802469135793</v>
      </c>
      <c r="V61">
        <v>79.203895747599432</v>
      </c>
      <c r="W61">
        <v>1.4210854715202004E-14</v>
      </c>
      <c r="X61">
        <v>-11.990617283950613</v>
      </c>
      <c r="Y61">
        <v>47.665186899862789</v>
      </c>
      <c r="Z61">
        <v>0</v>
      </c>
      <c r="AA61">
        <v>-14.835061728395043</v>
      </c>
      <c r="AB61">
        <v>58.899754801097316</v>
      </c>
      <c r="AC61">
        <v>1.4210854715202004E-14</v>
      </c>
      <c r="AD61">
        <v>-11.990617283950613</v>
      </c>
      <c r="AE61">
        <v>47.665186899862789</v>
      </c>
      <c r="AF61">
        <v>0</v>
      </c>
      <c r="AG61">
        <v>5.2308333333333419</v>
      </c>
      <c r="AH61">
        <v>-30.563765432098805</v>
      </c>
      <c r="AI61">
        <v>1.4210854715202004E-14</v>
      </c>
      <c r="AJ61">
        <v>2.3863888888888862</v>
      </c>
      <c r="AK61">
        <v>-19.329197530864171</v>
      </c>
      <c r="AL61">
        <v>0</v>
      </c>
      <c r="AM61">
        <v>5.2308333333333419</v>
      </c>
      <c r="AN61">
        <v>-30.563765432098805</v>
      </c>
      <c r="AO61">
        <v>-1.4210854715202004E-14</v>
      </c>
      <c r="AP61">
        <v>-21.952808641975317</v>
      </c>
      <c r="AQ61">
        <v>97.222585733882141</v>
      </c>
      <c r="AR61">
        <v>0</v>
      </c>
      <c r="AS61">
        <v>-24.797253086419744</v>
      </c>
      <c r="AT61">
        <v>108.45715363511658</v>
      </c>
      <c r="AU61">
        <v>-1.4210854715202004E-14</v>
      </c>
      <c r="AV61">
        <v>-21.952808641975317</v>
      </c>
      <c r="AW61">
        <v>97.222585733882141</v>
      </c>
      <c r="AX61">
        <v>-1.4210854715202004E-14</v>
      </c>
      <c r="AY61">
        <v>13.977014033545968</v>
      </c>
      <c r="AZ61">
        <v>-62.577931363184646</v>
      </c>
      <c r="BA61">
        <v>0</v>
      </c>
      <c r="BB61">
        <v>13.355033497189581</v>
      </c>
      <c r="BC61">
        <v>-61.645340887373337</v>
      </c>
      <c r="BD61">
        <v>-1.4210854715202004E-14</v>
      </c>
      <c r="BE61">
        <v>13.977014033545968</v>
      </c>
      <c r="BF61">
        <v>-62.577931363184646</v>
      </c>
      <c r="BG61">
        <v>0</v>
      </c>
      <c r="BH61">
        <v>-39.174259259259273</v>
      </c>
      <c r="BI61">
        <v>175.45153806584369</v>
      </c>
      <c r="BJ61">
        <v>-1.4210854715202004E-14</v>
      </c>
      <c r="BK61">
        <v>-40.063148148148166</v>
      </c>
      <c r="BL61">
        <v>178.96234053497957</v>
      </c>
      <c r="BM61">
        <v>0</v>
      </c>
      <c r="BN61">
        <v>-39.174259259259273</v>
      </c>
      <c r="BO61">
        <v>175.45153806584369</v>
      </c>
      <c r="BP61">
        <v>0</v>
      </c>
      <c r="BQ61">
        <v>7.1425737755282981</v>
      </c>
      <c r="BR61">
        <v>-42.937866581599067</v>
      </c>
      <c r="BS61">
        <v>0</v>
      </c>
      <c r="BT61">
        <v>-33.622793209876541</v>
      </c>
      <c r="BU61">
        <v>148.42007373113856</v>
      </c>
      <c r="BV61">
        <v>0</v>
      </c>
      <c r="BW61">
        <v>11.554375</v>
      </c>
      <c r="BX61">
        <v>-47.898229166666674</v>
      </c>
      <c r="BY61">
        <v>0</v>
      </c>
      <c r="BZ61">
        <v>-36.990766266174397</v>
      </c>
      <c r="CA61">
        <v>172.17456709591877</v>
      </c>
      <c r="CB61">
        <v>0</v>
      </c>
      <c r="CC61">
        <v>11.554375</v>
      </c>
      <c r="CD61">
        <v>-47.898229166666674</v>
      </c>
      <c r="CE61">
        <v>0</v>
      </c>
      <c r="CF61">
        <v>-26.940328400256348</v>
      </c>
      <c r="CG61">
        <v>122.31000737410369</v>
      </c>
      <c r="CH61">
        <f t="shared" si="18"/>
        <v>13.977014033545968</v>
      </c>
      <c r="CI61">
        <f t="shared" si="19"/>
        <v>-40.063148148148166</v>
      </c>
      <c r="CJ61">
        <f t="shared" si="20"/>
        <v>178.96234053497957</v>
      </c>
      <c r="CK61">
        <f t="shared" si="21"/>
        <v>-62.577931363184646</v>
      </c>
    </row>
    <row r="62" spans="1:89" x14ac:dyDescent="0.25">
      <c r="A62" s="1" t="str">
        <f>Shear_Wall_Foundation!A446</f>
        <v>16-2S</v>
      </c>
      <c r="B62" s="76">
        <f>Shear_Wall_Foundation!B446*-1*Bf_ft</f>
        <v>-3.9594999999999985</v>
      </c>
      <c r="C62" s="76">
        <f>-1*Shear_Wall_Foundation!D446*Bf_ft</f>
        <v>-6.7888333333333346</v>
      </c>
      <c r="D62" s="76">
        <f>Shear_Wall_Foundation!C446</f>
        <v>0</v>
      </c>
      <c r="E62" s="76">
        <f>Shear_Wall_Foundation!E446</f>
        <v>30</v>
      </c>
      <c r="F62" s="1" t="s">
        <v>300</v>
      </c>
      <c r="G62" s="1" t="str">
        <f t="shared" si="23"/>
        <v>16-2S</v>
      </c>
      <c r="J62">
        <f t="shared" si="22"/>
        <v>8.6000000000000014</v>
      </c>
      <c r="K62" cm="1">
        <f t="array" ref="K62:CG62">LRFD_Analysis(Lf_ft,J62,$B$4:$G$84,$J$4:$U$28)</f>
        <v>-2.8421709430404007E-14</v>
      </c>
      <c r="L62">
        <v>-10.099230814814817</v>
      </c>
      <c r="M62">
        <v>41.531403891358025</v>
      </c>
      <c r="N62">
        <v>0</v>
      </c>
      <c r="O62">
        <v>-20.702904888888874</v>
      </c>
      <c r="P62">
        <v>84.627580681481419</v>
      </c>
      <c r="Q62">
        <v>0</v>
      </c>
      <c r="R62">
        <v>-21.624824888888888</v>
      </c>
      <c r="S62">
        <v>88.379818014814816</v>
      </c>
      <c r="T62">
        <v>0</v>
      </c>
      <c r="U62">
        <v>-20.702904888888874</v>
      </c>
      <c r="V62">
        <v>84.627580681481419</v>
      </c>
      <c r="W62">
        <v>1.4210854715202004E-14</v>
      </c>
      <c r="X62">
        <v>-12.420990222222219</v>
      </c>
      <c r="Y62">
        <v>50.919981970370358</v>
      </c>
      <c r="Z62">
        <v>0</v>
      </c>
      <c r="AA62">
        <v>-15.371134222222203</v>
      </c>
      <c r="AB62">
        <v>62.92714143703688</v>
      </c>
      <c r="AC62">
        <v>1.4210854715202004E-14</v>
      </c>
      <c r="AD62">
        <v>-12.420990222222219</v>
      </c>
      <c r="AE62">
        <v>50.919981970370358</v>
      </c>
      <c r="AF62">
        <v>0</v>
      </c>
      <c r="AG62">
        <v>5.1976386666666752</v>
      </c>
      <c r="AH62">
        <v>-31.954526400000077</v>
      </c>
      <c r="AI62">
        <v>1.4210854715202004E-14</v>
      </c>
      <c r="AJ62">
        <v>2.2474946666666646</v>
      </c>
      <c r="AK62">
        <v>-19.947366933333356</v>
      </c>
      <c r="AL62">
        <v>0</v>
      </c>
      <c r="AM62">
        <v>5.1976386666666752</v>
      </c>
      <c r="AN62">
        <v>-31.954526400000077</v>
      </c>
      <c r="AO62">
        <v>-1.4210854715202004E-14</v>
      </c>
      <c r="AP62">
        <v>-22.510605777777783</v>
      </c>
      <c r="AQ62">
        <v>103.15121878518525</v>
      </c>
      <c r="AR62">
        <v>0</v>
      </c>
      <c r="AS62">
        <v>-25.460749777777771</v>
      </c>
      <c r="AT62">
        <v>115.15837825185179</v>
      </c>
      <c r="AU62">
        <v>-1.4210854715202004E-14</v>
      </c>
      <c r="AV62">
        <v>-22.510605777777783</v>
      </c>
      <c r="AW62">
        <v>103.15121878518525</v>
      </c>
      <c r="AX62">
        <v>-1.4210854715202004E-14</v>
      </c>
      <c r="AY62">
        <v>14.189612518138444</v>
      </c>
      <c r="AZ62">
        <v>-66.334100597263216</v>
      </c>
      <c r="BA62">
        <v>0</v>
      </c>
      <c r="BB62">
        <v>13.512902932801371</v>
      </c>
      <c r="BC62">
        <v>-65.228347562018826</v>
      </c>
      <c r="BD62">
        <v>-1.4210854715202004E-14</v>
      </c>
      <c r="BE62">
        <v>14.189612518138444</v>
      </c>
      <c r="BF62">
        <v>-66.334100597263216</v>
      </c>
      <c r="BG62">
        <v>0</v>
      </c>
      <c r="BH62">
        <v>-40.129234666666676</v>
      </c>
      <c r="BI62">
        <v>186.02572715555559</v>
      </c>
      <c r="BJ62">
        <v>-1.4210854715202004E-14</v>
      </c>
      <c r="BK62">
        <v>-41.051154666666683</v>
      </c>
      <c r="BL62">
        <v>189.77796448888898</v>
      </c>
      <c r="BM62">
        <v>0</v>
      </c>
      <c r="BN62">
        <v>-40.129234666666676</v>
      </c>
      <c r="BO62">
        <v>186.02572715555559</v>
      </c>
      <c r="BP62">
        <v>0</v>
      </c>
      <c r="BQ62">
        <v>7.0609841462690781</v>
      </c>
      <c r="BR62">
        <v>-44.832126760095548</v>
      </c>
      <c r="BS62">
        <v>0</v>
      </c>
      <c r="BT62">
        <v>-34.49286155555555</v>
      </c>
      <c r="BU62">
        <v>157.50242312592593</v>
      </c>
      <c r="BV62">
        <v>0</v>
      </c>
      <c r="BW62">
        <v>11.935875000000003</v>
      </c>
      <c r="BX62">
        <v>-51.030262500000028</v>
      </c>
      <c r="BY62">
        <v>0</v>
      </c>
      <c r="BZ62">
        <v>-37.739442525095967</v>
      </c>
      <c r="CA62">
        <v>182.13917825018859</v>
      </c>
      <c r="CB62">
        <v>0</v>
      </c>
      <c r="CC62">
        <v>11.928139306652817</v>
      </c>
      <c r="CD62">
        <v>-51.029690304896853</v>
      </c>
      <c r="CE62">
        <v>0</v>
      </c>
      <c r="CF62">
        <v>-27.557317265798623</v>
      </c>
      <c r="CG62">
        <v>129.57668170290179</v>
      </c>
      <c r="CH62">
        <f t="shared" si="18"/>
        <v>14.189612518138444</v>
      </c>
      <c r="CI62">
        <f t="shared" si="19"/>
        <v>-41.051154666666683</v>
      </c>
      <c r="CJ62">
        <f t="shared" si="20"/>
        <v>189.77796448888898</v>
      </c>
      <c r="CK62">
        <f t="shared" si="21"/>
        <v>-66.334100597263216</v>
      </c>
    </row>
    <row r="63" spans="1:89" x14ac:dyDescent="0.25">
      <c r="A63" s="1" t="str">
        <f>Shear_Wall_Foundation!A447</f>
        <v>16-2R</v>
      </c>
      <c r="B63" s="76">
        <f>Shear_Wall_Foundation!B447*-1*Bf_ft</f>
        <v>-3.8694999999999973</v>
      </c>
      <c r="C63" s="76">
        <f>-1*Shear_Wall_Foundation!D447*Bf_ft</f>
        <v>-6.5788333333333355</v>
      </c>
      <c r="D63" s="76">
        <f>Shear_Wall_Foundation!C447</f>
        <v>0</v>
      </c>
      <c r="E63" s="76">
        <f>Shear_Wall_Foundation!E447</f>
        <v>30</v>
      </c>
      <c r="F63" s="1" t="s">
        <v>300</v>
      </c>
      <c r="G63" s="1" t="str">
        <f t="shared" si="23"/>
        <v>16-2R</v>
      </c>
      <c r="J63">
        <f t="shared" si="22"/>
        <v>8.8666666666666689</v>
      </c>
      <c r="K63" cm="1">
        <f t="array" ref="K63:CG63">LRFD_Analysis(Lf_ft,J63,$B$4:$G$84,$J$4:$U$28)</f>
        <v>-2.8421709430404007E-14</v>
      </c>
      <c r="L63">
        <v>-10.447132312757208</v>
      </c>
      <c r="M63">
        <v>44.270848835482411</v>
      </c>
      <c r="N63">
        <v>0</v>
      </c>
      <c r="O63">
        <v>-21.436429432098752</v>
      </c>
      <c r="P63">
        <v>90.24601587709185</v>
      </c>
      <c r="Q63">
        <v>0</v>
      </c>
      <c r="R63">
        <v>-22.391664987654313</v>
      </c>
      <c r="S63">
        <v>94.248534296844952</v>
      </c>
      <c r="T63">
        <v>0</v>
      </c>
      <c r="U63">
        <v>-21.436429432098752</v>
      </c>
      <c r="V63">
        <v>90.24601587709185</v>
      </c>
      <c r="W63">
        <v>1.4210854715202004E-14</v>
      </c>
      <c r="X63">
        <v>-12.855230024691359</v>
      </c>
      <c r="Y63">
        <v>54.290058739643371</v>
      </c>
      <c r="Z63">
        <v>0</v>
      </c>
      <c r="AA63">
        <v>-15.91198380246912</v>
      </c>
      <c r="AB63">
        <v>67.098117682853143</v>
      </c>
      <c r="AC63">
        <v>1.4210854715202004E-14</v>
      </c>
      <c r="AD63">
        <v>-12.855230024691359</v>
      </c>
      <c r="AE63">
        <v>54.290058739643371</v>
      </c>
      <c r="AF63">
        <v>0</v>
      </c>
      <c r="AG63">
        <v>5.1510324444444535</v>
      </c>
      <c r="AH63">
        <v>-33.334647249382769</v>
      </c>
      <c r="AI63">
        <v>1.4210854715202004E-14</v>
      </c>
      <c r="AJ63">
        <v>2.0942786666666624</v>
      </c>
      <c r="AK63">
        <v>-20.52658830617284</v>
      </c>
      <c r="AL63">
        <v>0</v>
      </c>
      <c r="AM63">
        <v>5.1510324444444535</v>
      </c>
      <c r="AN63">
        <v>-33.334647249382769</v>
      </c>
      <c r="AO63">
        <v>-1.4210854715202004E-14</v>
      </c>
      <c r="AP63">
        <v>-23.0604021234568</v>
      </c>
      <c r="AQ63">
        <v>109.22753096735258</v>
      </c>
      <c r="AR63">
        <v>0</v>
      </c>
      <c r="AS63">
        <v>-26.117155901234565</v>
      </c>
      <c r="AT63">
        <v>122.03558991056244</v>
      </c>
      <c r="AU63">
        <v>-1.4210854715202004E-14</v>
      </c>
      <c r="AV63">
        <v>-23.0604021234568</v>
      </c>
      <c r="AW63">
        <v>109.22753096735258</v>
      </c>
      <c r="AX63">
        <v>-1.4210854715202004E-14</v>
      </c>
      <c r="AY63">
        <v>14.374354779303994</v>
      </c>
      <c r="AZ63">
        <v>-70.143248597442806</v>
      </c>
      <c r="BA63">
        <v>0</v>
      </c>
      <c r="BB63">
        <v>13.643090589314182</v>
      </c>
      <c r="BC63">
        <v>-68.849761848947537</v>
      </c>
      <c r="BD63">
        <v>-1.4210854715202004E-14</v>
      </c>
      <c r="BE63">
        <v>14.374354779303994</v>
      </c>
      <c r="BF63">
        <v>-70.143248597442806</v>
      </c>
      <c r="BG63">
        <v>0</v>
      </c>
      <c r="BH63">
        <v>-41.066664592592602</v>
      </c>
      <c r="BI63">
        <v>196.85223695637879</v>
      </c>
      <c r="BJ63">
        <v>-1.4210854715202004E-14</v>
      </c>
      <c r="BK63">
        <v>-42.021900148148163</v>
      </c>
      <c r="BL63">
        <v>200.85475537613181</v>
      </c>
      <c r="BM63">
        <v>0</v>
      </c>
      <c r="BN63">
        <v>-41.066664592592602</v>
      </c>
      <c r="BO63">
        <v>196.85223695637879</v>
      </c>
      <c r="BP63">
        <v>0</v>
      </c>
      <c r="BQ63">
        <v>6.9590340154546855</v>
      </c>
      <c r="BR63">
        <v>-46.701914970582138</v>
      </c>
      <c r="BS63">
        <v>0</v>
      </c>
      <c r="BT63">
        <v>-35.351135728395064</v>
      </c>
      <c r="BU63">
        <v>166.81521818984925</v>
      </c>
      <c r="BV63">
        <v>0</v>
      </c>
      <c r="BW63">
        <v>12.317375000000006</v>
      </c>
      <c r="BX63">
        <v>-54.264029166666695</v>
      </c>
      <c r="BY63">
        <v>0</v>
      </c>
      <c r="BZ63">
        <v>-38.461869589499941</v>
      </c>
      <c r="CA63">
        <v>192.2999365142351</v>
      </c>
      <c r="CB63">
        <v>0</v>
      </c>
      <c r="CC63">
        <v>12.279875743843734</v>
      </c>
      <c r="CD63">
        <v>-54.257922147989014</v>
      </c>
      <c r="CE63">
        <v>0</v>
      </c>
      <c r="CF63">
        <v>-28.159835331758508</v>
      </c>
      <c r="CG63">
        <v>137.00595695590016</v>
      </c>
      <c r="CH63">
        <f t="shared" si="18"/>
        <v>14.374354779303994</v>
      </c>
      <c r="CI63">
        <f t="shared" si="19"/>
        <v>-42.021900148148163</v>
      </c>
      <c r="CJ63">
        <f t="shared" si="20"/>
        <v>200.85475537613181</v>
      </c>
      <c r="CK63">
        <f t="shared" si="21"/>
        <v>-70.143248597442806</v>
      </c>
    </row>
    <row r="64" spans="1:89" x14ac:dyDescent="0.25">
      <c r="A64" s="1" t="str">
        <f>Shear_Wall_Foundation!A448</f>
        <v>16-3Lr_L</v>
      </c>
      <c r="B64" s="76">
        <f>Shear_Wall_Foundation!B448*-1*Bf_ft</f>
        <v>-3.0609999999999995</v>
      </c>
      <c r="C64" s="76">
        <f>-1*Shear_Wall_Foundation!D448*Bf_ft</f>
        <v>-4.692333333333333</v>
      </c>
      <c r="D64" s="76">
        <f>Shear_Wall_Foundation!C448</f>
        <v>0</v>
      </c>
      <c r="E64" s="76">
        <f>Shear_Wall_Foundation!E448</f>
        <v>30</v>
      </c>
      <c r="F64" s="1" t="s">
        <v>300</v>
      </c>
      <c r="G64" s="1" t="str">
        <f t="shared" si="23"/>
        <v>16-3Lr_L</v>
      </c>
      <c r="J64">
        <f t="shared" si="22"/>
        <v>9.1333333333333364</v>
      </c>
      <c r="K64" cm="1">
        <f t="array" ref="K64:CG64">LRFD_Analysis(Lf_ft,J64,$B$4:$G$84,$J$4:$U$28)</f>
        <v>-2.8421709430404007E-14</v>
      </c>
      <c r="L64">
        <v>-10.798190090534984</v>
      </c>
      <c r="M64">
        <v>47.103488349702829</v>
      </c>
      <c r="N64">
        <v>0</v>
      </c>
      <c r="O64">
        <v>-22.176376098765424</v>
      </c>
      <c r="P64">
        <v>96.060913900685833</v>
      </c>
      <c r="Q64">
        <v>0</v>
      </c>
      <c r="R64">
        <v>-23.165211654320991</v>
      </c>
      <c r="S64">
        <v>100.32263548093279</v>
      </c>
      <c r="T64">
        <v>0</v>
      </c>
      <c r="U64">
        <v>-22.176376098765424</v>
      </c>
      <c r="V64">
        <v>96.060913900685833</v>
      </c>
      <c r="W64">
        <v>1.4210854715202004E-14</v>
      </c>
      <c r="X64">
        <v>-13.293336691358029</v>
      </c>
      <c r="Y64">
        <v>57.776448371467765</v>
      </c>
      <c r="Z64">
        <v>0</v>
      </c>
      <c r="AA64">
        <v>-16.457610469135787</v>
      </c>
      <c r="AB64">
        <v>71.413957428257802</v>
      </c>
      <c r="AC64">
        <v>1.4210854715202004E-14</v>
      </c>
      <c r="AD64">
        <v>-13.293336691358029</v>
      </c>
      <c r="AE64">
        <v>57.776448371467765</v>
      </c>
      <c r="AF64">
        <v>0</v>
      </c>
      <c r="AG64">
        <v>5.0910146666666716</v>
      </c>
      <c r="AH64">
        <v>-34.700551565432178</v>
      </c>
      <c r="AI64">
        <v>1.4210854715202004E-14</v>
      </c>
      <c r="AJ64">
        <v>1.9267408888888813</v>
      </c>
      <c r="AK64">
        <v>-21.063042508641985</v>
      </c>
      <c r="AL64">
        <v>0</v>
      </c>
      <c r="AM64">
        <v>5.0910146666666716</v>
      </c>
      <c r="AN64">
        <v>-34.700551565432178</v>
      </c>
      <c r="AO64">
        <v>-1.4210854715202004E-14</v>
      </c>
      <c r="AP64">
        <v>-23.602197679012363</v>
      </c>
      <c r="AQ64">
        <v>115.44938873635131</v>
      </c>
      <c r="AR64">
        <v>0</v>
      </c>
      <c r="AS64">
        <v>-26.766471456790121</v>
      </c>
      <c r="AT64">
        <v>129.08689779314125</v>
      </c>
      <c r="AU64">
        <v>-1.4210854715202004E-14</v>
      </c>
      <c r="AV64">
        <v>-23.602197679012363</v>
      </c>
      <c r="AW64">
        <v>115.44938873635131</v>
      </c>
      <c r="AX64">
        <v>-1.4210854715202004E-14</v>
      </c>
      <c r="AY64">
        <v>14.531240817042617</v>
      </c>
      <c r="AZ64">
        <v>-73.997947037476308</v>
      </c>
      <c r="BA64">
        <v>0</v>
      </c>
      <c r="BB64">
        <v>13.745596466728017</v>
      </c>
      <c r="BC64">
        <v>-72.502201940399829</v>
      </c>
      <c r="BD64">
        <v>-1.4210854715202004E-14</v>
      </c>
      <c r="BE64">
        <v>14.531240817042617</v>
      </c>
      <c r="BF64">
        <v>-73.997947037476308</v>
      </c>
      <c r="BG64">
        <v>0</v>
      </c>
      <c r="BH64">
        <v>-41.986549037037051</v>
      </c>
      <c r="BI64">
        <v>207.92638867325115</v>
      </c>
      <c r="BJ64">
        <v>-1.4210854715202004E-14</v>
      </c>
      <c r="BK64">
        <v>-42.975384592592619</v>
      </c>
      <c r="BL64">
        <v>212.18811025349817</v>
      </c>
      <c r="BM64">
        <v>0</v>
      </c>
      <c r="BN64">
        <v>-41.986549037037051</v>
      </c>
      <c r="BO64">
        <v>207.92638867325115</v>
      </c>
      <c r="BP64">
        <v>0</v>
      </c>
      <c r="BQ64">
        <v>6.8367233830851255</v>
      </c>
      <c r="BR64">
        <v>-48.541801745977594</v>
      </c>
      <c r="BS64">
        <v>0</v>
      </c>
      <c r="BT64">
        <v>-36.197615728395071</v>
      </c>
      <c r="BU64">
        <v>176.35531381015102</v>
      </c>
      <c r="BV64">
        <v>0</v>
      </c>
      <c r="BW64">
        <v>12.698875000000005</v>
      </c>
      <c r="BX64">
        <v>-57.599529166666706</v>
      </c>
      <c r="BY64">
        <v>0</v>
      </c>
      <c r="BZ64">
        <v>-39.158047459386339</v>
      </c>
      <c r="CA64">
        <v>202.64984210285363</v>
      </c>
      <c r="CB64">
        <v>0</v>
      </c>
      <c r="CC64">
        <v>12.609269544866923</v>
      </c>
      <c r="CD64">
        <v>-57.576971356176394</v>
      </c>
      <c r="CE64">
        <v>0</v>
      </c>
      <c r="CF64">
        <v>-28.747882598136012</v>
      </c>
      <c r="CG64">
        <v>144.59397425321009</v>
      </c>
      <c r="CH64">
        <f t="shared" si="18"/>
        <v>14.531240817042617</v>
      </c>
      <c r="CI64">
        <f t="shared" si="19"/>
        <v>-42.975384592592619</v>
      </c>
      <c r="CJ64">
        <f t="shared" si="20"/>
        <v>212.18811025349817</v>
      </c>
      <c r="CK64">
        <f t="shared" si="21"/>
        <v>-73.997947037476308</v>
      </c>
    </row>
    <row r="65" spans="1:89" x14ac:dyDescent="0.25">
      <c r="A65" s="1" t="str">
        <f>Shear_Wall_Foundation!A449</f>
        <v>16-3S_L</v>
      </c>
      <c r="B65" s="76">
        <f>Shear_Wall_Foundation!B449*-1*Bf_ft</f>
        <v>-3.3489999999999966</v>
      </c>
      <c r="C65" s="76">
        <f>-1*Shear_Wall_Foundation!D449*Bf_ft</f>
        <v>-5.3643333333333363</v>
      </c>
      <c r="D65" s="76">
        <f>Shear_Wall_Foundation!C449</f>
        <v>0</v>
      </c>
      <c r="E65" s="76">
        <f>Shear_Wall_Foundation!E449</f>
        <v>30</v>
      </c>
      <c r="F65" s="1" t="s">
        <v>300</v>
      </c>
      <c r="G65" s="1" t="str">
        <f t="shared" si="23"/>
        <v>16-3S_L</v>
      </c>
      <c r="J65">
        <f t="shared" si="22"/>
        <v>9.4000000000000039</v>
      </c>
      <c r="K65" cm="1">
        <f t="array" ref="K65:CG65">LRFD_Analysis(Lf_ft,J65,$B$4:$G$84,$J$4:$U$28)</f>
        <v>-2.8421709430404007E-14</v>
      </c>
      <c r="L65">
        <v>-11.15240414814815</v>
      </c>
      <c r="M65">
        <v>50.030164108642012</v>
      </c>
      <c r="N65">
        <v>0</v>
      </c>
      <c r="O65">
        <v>-22.922744888888889</v>
      </c>
      <c r="P65">
        <v>102.07398731851855</v>
      </c>
      <c r="Q65">
        <v>0</v>
      </c>
      <c r="R65">
        <v>-23.945464888888889</v>
      </c>
      <c r="S65">
        <v>106.60390998518515</v>
      </c>
      <c r="T65">
        <v>0</v>
      </c>
      <c r="U65">
        <v>-22.922744888888889</v>
      </c>
      <c r="V65">
        <v>102.07398731851855</v>
      </c>
      <c r="W65">
        <v>1.4210854715202004E-14</v>
      </c>
      <c r="X65">
        <v>-13.735310222222228</v>
      </c>
      <c r="Y65">
        <v>61.380182029629694</v>
      </c>
      <c r="Z65">
        <v>0</v>
      </c>
      <c r="AA65">
        <v>-17.008014222222211</v>
      </c>
      <c r="AB65">
        <v>75.875934562962939</v>
      </c>
      <c r="AC65">
        <v>1.4210854715202004E-14</v>
      </c>
      <c r="AD65">
        <v>-13.735310222222228</v>
      </c>
      <c r="AE65">
        <v>61.380182029629694</v>
      </c>
      <c r="AF65">
        <v>0</v>
      </c>
      <c r="AG65">
        <v>5.0175853333333382</v>
      </c>
      <c r="AH65">
        <v>-36.048662933333404</v>
      </c>
      <c r="AI65">
        <v>1.4210854715202004E-14</v>
      </c>
      <c r="AJ65">
        <v>1.7448813333333231</v>
      </c>
      <c r="AK65">
        <v>-21.552910400000016</v>
      </c>
      <c r="AL65">
        <v>0</v>
      </c>
      <c r="AM65">
        <v>5.0175853333333382</v>
      </c>
      <c r="AN65">
        <v>-36.048662933333404</v>
      </c>
      <c r="AO65">
        <v>-1.4210854715202004E-14</v>
      </c>
      <c r="AP65">
        <v>-24.135992444444458</v>
      </c>
      <c r="AQ65">
        <v>121.81465854814822</v>
      </c>
      <c r="AR65">
        <v>0</v>
      </c>
      <c r="AS65">
        <v>-27.408696444444455</v>
      </c>
      <c r="AT65">
        <v>136.31041108148162</v>
      </c>
      <c r="AU65">
        <v>-1.4210854715202004E-14</v>
      </c>
      <c r="AV65">
        <v>-24.135992444444458</v>
      </c>
      <c r="AW65">
        <v>121.81465854814822</v>
      </c>
      <c r="AX65">
        <v>-1.4210854715202004E-14</v>
      </c>
      <c r="AY65">
        <v>14.660270631354317</v>
      </c>
      <c r="AZ65">
        <v>-77.8907675911165</v>
      </c>
      <c r="BA65">
        <v>0</v>
      </c>
      <c r="BB65">
        <v>13.820420565042873</v>
      </c>
      <c r="BC65">
        <v>-76.178286028615929</v>
      </c>
      <c r="BD65">
        <v>-1.4210854715202004E-14</v>
      </c>
      <c r="BE65">
        <v>14.660270631354317</v>
      </c>
      <c r="BF65">
        <v>-77.8907675911165</v>
      </c>
      <c r="BG65">
        <v>0</v>
      </c>
      <c r="BH65">
        <v>-42.888888000000023</v>
      </c>
      <c r="BI65">
        <v>219.24350351111133</v>
      </c>
      <c r="BJ65">
        <v>-1.4210854715202004E-14</v>
      </c>
      <c r="BK65">
        <v>-43.91160800000003</v>
      </c>
      <c r="BL65">
        <v>223.77342617777799</v>
      </c>
      <c r="BM65">
        <v>0</v>
      </c>
      <c r="BN65">
        <v>-42.888888000000023</v>
      </c>
      <c r="BO65">
        <v>219.24350351111133</v>
      </c>
      <c r="BP65">
        <v>0</v>
      </c>
      <c r="BQ65">
        <v>6.6940522491604</v>
      </c>
      <c r="BR65">
        <v>-50.346357619200433</v>
      </c>
      <c r="BS65">
        <v>0</v>
      </c>
      <c r="BT65">
        <v>-37.032301555555563</v>
      </c>
      <c r="BU65">
        <v>186.11956487407417</v>
      </c>
      <c r="BV65">
        <v>0</v>
      </c>
      <c r="BW65">
        <v>13.080375000000007</v>
      </c>
      <c r="BX65">
        <v>-61.036762500000052</v>
      </c>
      <c r="BY65">
        <v>0</v>
      </c>
      <c r="BZ65">
        <v>-39.827976134755161</v>
      </c>
      <c r="CA65">
        <v>213.18189523083964</v>
      </c>
      <c r="CB65">
        <v>0</v>
      </c>
      <c r="CC65">
        <v>12.91632070972239</v>
      </c>
      <c r="CD65">
        <v>-60.980879893147595</v>
      </c>
      <c r="CE65">
        <v>0</v>
      </c>
      <c r="CF65">
        <v>-29.321459064931137</v>
      </c>
      <c r="CG65">
        <v>152.33687471494312</v>
      </c>
      <c r="CH65">
        <f t="shared" si="18"/>
        <v>14.660270631354317</v>
      </c>
      <c r="CI65">
        <f t="shared" si="19"/>
        <v>-43.91160800000003</v>
      </c>
      <c r="CJ65">
        <f t="shared" si="20"/>
        <v>223.77342617777799</v>
      </c>
      <c r="CK65">
        <f t="shared" si="21"/>
        <v>-77.8907675911165</v>
      </c>
    </row>
    <row r="66" spans="1:89" x14ac:dyDescent="0.25">
      <c r="A66" s="1" t="str">
        <f>Shear_Wall_Foundation!A450</f>
        <v>16-3R_L</v>
      </c>
      <c r="B66" s="76">
        <f>Shear_Wall_Foundation!B450*-1*Bf_ft</f>
        <v>-3.0609999999999995</v>
      </c>
      <c r="C66" s="76">
        <f>-1*Shear_Wall_Foundation!D450*Bf_ft</f>
        <v>-4.692333333333333</v>
      </c>
      <c r="D66" s="76">
        <f>Shear_Wall_Foundation!C450</f>
        <v>0</v>
      </c>
      <c r="E66" s="76">
        <f>Shear_Wall_Foundation!E450</f>
        <v>30</v>
      </c>
      <c r="F66" s="1" t="s">
        <v>300</v>
      </c>
      <c r="G66" s="1" t="str">
        <f t="shared" si="23"/>
        <v>16-3R_L</v>
      </c>
      <c r="J66">
        <f t="shared" si="22"/>
        <v>9.6666666666666714</v>
      </c>
      <c r="K66" cm="1">
        <f t="array" ref="K66:CG66">LRFD_Analysis(Lf_ft,J66,$B$4:$G$84,$J$4:$U$28)</f>
        <v>-2.8421709430404007E-14</v>
      </c>
      <c r="L66">
        <v>-10.973107818930032</v>
      </c>
      <c r="M66">
        <v>53.00699556470056</v>
      </c>
      <c r="N66">
        <v>0</v>
      </c>
      <c r="O66">
        <v>-22.562202469135762</v>
      </c>
      <c r="P66">
        <v>108.19417091906729</v>
      </c>
      <c r="Q66">
        <v>0</v>
      </c>
      <c r="R66">
        <v>-23.569091358024654</v>
      </c>
      <c r="S66">
        <v>112.99720178326479</v>
      </c>
      <c r="T66">
        <v>0</v>
      </c>
      <c r="U66">
        <v>-22.562202469135762</v>
      </c>
      <c r="V66">
        <v>108.19417091906729</v>
      </c>
      <c r="W66">
        <v>1.4210854715202004E-14</v>
      </c>
      <c r="X66">
        <v>-13.51698395061727</v>
      </c>
      <c r="Y66">
        <v>65.046943655692814</v>
      </c>
      <c r="Z66">
        <v>0</v>
      </c>
      <c r="AA66">
        <v>-16.739028395061691</v>
      </c>
      <c r="AB66">
        <v>80.416642421124791</v>
      </c>
      <c r="AC66">
        <v>1.4210854715202004E-14</v>
      </c>
      <c r="AD66">
        <v>-13.51698395061727</v>
      </c>
      <c r="AE66">
        <v>65.046943655692814</v>
      </c>
      <c r="AF66">
        <v>0</v>
      </c>
      <c r="AG66">
        <v>5.3907444444444668</v>
      </c>
      <c r="AH66">
        <v>-37.122071604938327</v>
      </c>
      <c r="AI66">
        <v>1.4210854715202004E-14</v>
      </c>
      <c r="AJ66">
        <v>2.1687000000000118</v>
      </c>
      <c r="AK66">
        <v>-21.752372839506165</v>
      </c>
      <c r="AL66">
        <v>0</v>
      </c>
      <c r="AM66">
        <v>5.3907444444444668</v>
      </c>
      <c r="AN66">
        <v>-37.122071604938327</v>
      </c>
      <c r="AO66">
        <v>-1.4210854715202004E-14</v>
      </c>
      <c r="AP66">
        <v>-24.201786419753088</v>
      </c>
      <c r="AQ66">
        <v>127.99120685871073</v>
      </c>
      <c r="AR66">
        <v>0</v>
      </c>
      <c r="AS66">
        <v>-27.423830864197523</v>
      </c>
      <c r="AT66">
        <v>143.36090562414276</v>
      </c>
      <c r="AU66">
        <v>-1.4210854715202004E-14</v>
      </c>
      <c r="AV66">
        <v>-24.201786419753088</v>
      </c>
      <c r="AW66">
        <v>127.99120685871073</v>
      </c>
      <c r="AX66">
        <v>-1.4210854715202004E-14</v>
      </c>
      <c r="AY66">
        <v>15.425610888905783</v>
      </c>
      <c r="AZ66">
        <v>-81.286295821005083</v>
      </c>
      <c r="BA66">
        <v>0</v>
      </c>
      <c r="BB66">
        <v>14.581729550925447</v>
      </c>
      <c r="BC66">
        <v>-79.346812861391641</v>
      </c>
      <c r="BD66">
        <v>-1.4210854715202004E-14</v>
      </c>
      <c r="BE66">
        <v>15.425610888905783</v>
      </c>
      <c r="BF66">
        <v>-81.286295821005083</v>
      </c>
      <c r="BG66">
        <v>0</v>
      </c>
      <c r="BH66">
        <v>-43.109514814814816</v>
      </c>
      <c r="BI66">
        <v>230.16022211934174</v>
      </c>
      <c r="BJ66">
        <v>-1.4210854715202004E-14</v>
      </c>
      <c r="BK66">
        <v>-44.116403703703703</v>
      </c>
      <c r="BL66">
        <v>234.96325298353932</v>
      </c>
      <c r="BM66">
        <v>0</v>
      </c>
      <c r="BN66">
        <v>-43.109514814814816</v>
      </c>
      <c r="BO66">
        <v>230.16022211934174</v>
      </c>
      <c r="BP66">
        <v>0</v>
      </c>
      <c r="BQ66">
        <v>7.2651872803471935</v>
      </c>
      <c r="BR66">
        <v>-51.733833678724864</v>
      </c>
      <c r="BS66">
        <v>0</v>
      </c>
      <c r="BT66">
        <v>-37.121026543209865</v>
      </c>
      <c r="BU66">
        <v>195.60614571330603</v>
      </c>
      <c r="BV66">
        <v>0</v>
      </c>
      <c r="BW66">
        <v>13.806875000000016</v>
      </c>
      <c r="BX66">
        <v>-64.021145833333364</v>
      </c>
      <c r="BY66">
        <v>0</v>
      </c>
      <c r="BZ66">
        <v>-40.126655615606396</v>
      </c>
      <c r="CA66">
        <v>223.27701277965502</v>
      </c>
      <c r="CB66">
        <v>0</v>
      </c>
      <c r="CC66">
        <v>13.546029238410139</v>
      </c>
      <c r="CD66">
        <v>-64.0549397225912</v>
      </c>
      <c r="CE66">
        <v>0</v>
      </c>
      <c r="CF66">
        <v>-29.535564732143872</v>
      </c>
      <c r="CG66">
        <v>159.76454946121066</v>
      </c>
      <c r="CH66">
        <f t="shared" si="18"/>
        <v>15.425610888905783</v>
      </c>
      <c r="CI66">
        <f t="shared" si="19"/>
        <v>-44.116403703703703</v>
      </c>
      <c r="CJ66">
        <f t="shared" si="20"/>
        <v>234.96325298353932</v>
      </c>
      <c r="CK66">
        <f t="shared" si="21"/>
        <v>-81.286295821005083</v>
      </c>
    </row>
    <row r="67" spans="1:89" x14ac:dyDescent="0.25">
      <c r="A67" s="1" t="str">
        <f>Shear_Wall_Foundation!A451</f>
        <v>16-3Lr_Wp</v>
      </c>
      <c r="B67" s="76">
        <f>Shear_Wall_Foundation!B451*-1*Bf_ft</f>
        <v>-0.43516666666666498</v>
      </c>
      <c r="C67" s="76">
        <f>-1*Shear_Wall_Foundation!D451*Bf_ft</f>
        <v>-6.0931666666666686</v>
      </c>
      <c r="D67" s="76">
        <f>Shear_Wall_Foundation!C451</f>
        <v>0</v>
      </c>
      <c r="E67" s="76">
        <f>Shear_Wall_Foundation!E451</f>
        <v>30</v>
      </c>
      <c r="F67" s="1" t="s">
        <v>300</v>
      </c>
      <c r="G67" s="1" t="str">
        <f t="shared" si="23"/>
        <v>16-3Lr_Wp</v>
      </c>
      <c r="J67">
        <f t="shared" si="22"/>
        <v>9.9333333333333389</v>
      </c>
      <c r="K67" cm="1">
        <f t="array" ref="K67:CG67">LRFD_Analysis(Lf_ft,J67,$B$4:$G$84,$J$4:$U$28)</f>
        <v>-2.8421709430404007E-14</v>
      </c>
      <c r="L67">
        <v>-10.474967769547312</v>
      </c>
      <c r="M67">
        <v>55.866668836945621</v>
      </c>
      <c r="N67">
        <v>0</v>
      </c>
      <c r="O67">
        <v>-21.540082172839458</v>
      </c>
      <c r="P67">
        <v>114.07433282414266</v>
      </c>
      <c r="Q67">
        <v>0</v>
      </c>
      <c r="R67">
        <v>-22.501424395061694</v>
      </c>
      <c r="S67">
        <v>119.13978818216748</v>
      </c>
      <c r="T67">
        <v>0</v>
      </c>
      <c r="U67">
        <v>-21.540082172839458</v>
      </c>
      <c r="V67">
        <v>114.07433282414266</v>
      </c>
      <c r="W67">
        <v>1.4210854715202004E-14</v>
      </c>
      <c r="X67">
        <v>-12.904024543209861</v>
      </c>
      <c r="Y67">
        <v>68.569658857887603</v>
      </c>
      <c r="Z67">
        <v>0</v>
      </c>
      <c r="AA67">
        <v>-15.980319654320947</v>
      </c>
      <c r="AB67">
        <v>84.779116003566443</v>
      </c>
      <c r="AC67">
        <v>1.4210854715202004E-14</v>
      </c>
      <c r="AD67">
        <v>-12.904024543209861</v>
      </c>
      <c r="AE67">
        <v>68.569658857887603</v>
      </c>
      <c r="AF67">
        <v>0</v>
      </c>
      <c r="AG67">
        <v>6.0264920000000259</v>
      </c>
      <c r="AH67">
        <v>-38.178001165432178</v>
      </c>
      <c r="AI67">
        <v>1.4210854715202004E-14</v>
      </c>
      <c r="AJ67">
        <v>2.9501968888889039</v>
      </c>
      <c r="AK67">
        <v>-21.968544019753082</v>
      </c>
      <c r="AL67">
        <v>0</v>
      </c>
      <c r="AM67">
        <v>6.0264920000000259</v>
      </c>
      <c r="AN67">
        <v>-38.178001165432178</v>
      </c>
      <c r="AO67">
        <v>-1.4210854715202004E-14</v>
      </c>
      <c r="AP67">
        <v>-23.983579604938267</v>
      </c>
      <c r="AQ67">
        <v>133.94943345733896</v>
      </c>
      <c r="AR67">
        <v>0</v>
      </c>
      <c r="AS67">
        <v>-27.059874716049368</v>
      </c>
      <c r="AT67">
        <v>150.15889060301794</v>
      </c>
      <c r="AU67">
        <v>-1.4210854715202004E-14</v>
      </c>
      <c r="AV67">
        <v>-23.983579604938267</v>
      </c>
      <c r="AW67">
        <v>133.94943345733896</v>
      </c>
      <c r="AX67">
        <v>-1.4210854715202004E-14</v>
      </c>
      <c r="AY67">
        <v>16.561594923030309</v>
      </c>
      <c r="AZ67">
        <v>-84.618542289783861</v>
      </c>
      <c r="BA67">
        <v>0</v>
      </c>
      <c r="BB67">
        <v>15.743856757709029</v>
      </c>
      <c r="BC67">
        <v>-82.45750618652292</v>
      </c>
      <c r="BD67">
        <v>-1.4210854715202004E-14</v>
      </c>
      <c r="BE67">
        <v>16.561594923030309</v>
      </c>
      <c r="BF67">
        <v>-84.618542289783861</v>
      </c>
      <c r="BG67">
        <v>0</v>
      </c>
      <c r="BH67">
        <v>-42.914096148148147</v>
      </c>
      <c r="BI67">
        <v>240.69709348065862</v>
      </c>
      <c r="BJ67">
        <v>-1.4210854715202004E-14</v>
      </c>
      <c r="BK67">
        <v>-43.875438370370361</v>
      </c>
      <c r="BL67">
        <v>245.76254883868341</v>
      </c>
      <c r="BM67">
        <v>0</v>
      </c>
      <c r="BN67">
        <v>-42.914096148148147</v>
      </c>
      <c r="BO67">
        <v>240.69709348065862</v>
      </c>
      <c r="BP67">
        <v>0</v>
      </c>
      <c r="BQ67">
        <v>8.2564618099788056</v>
      </c>
      <c r="BR67">
        <v>-53.10383934635847</v>
      </c>
      <c r="BS67">
        <v>0</v>
      </c>
      <c r="BT67">
        <v>-36.757457358024681</v>
      </c>
      <c r="BU67">
        <v>204.75687232620044</v>
      </c>
      <c r="BV67">
        <v>0</v>
      </c>
      <c r="BW67">
        <v>14.740375000000018</v>
      </c>
      <c r="BX67">
        <v>-66.894112500000062</v>
      </c>
      <c r="BY67">
        <v>0</v>
      </c>
      <c r="BZ67">
        <v>-40.192085901940047</v>
      </c>
      <c r="CA67">
        <v>233.0534282974283</v>
      </c>
      <c r="CB67">
        <v>0</v>
      </c>
      <c r="CC67">
        <v>14.360395130930156</v>
      </c>
      <c r="CD67">
        <v>-67.076292808195873</v>
      </c>
      <c r="CE67">
        <v>0</v>
      </c>
      <c r="CF67">
        <v>-29.528199599774222</v>
      </c>
      <c r="CG67">
        <v>166.94003961212371</v>
      </c>
      <c r="CH67">
        <f t="shared" si="18"/>
        <v>16.561594923030309</v>
      </c>
      <c r="CI67">
        <f t="shared" si="19"/>
        <v>-43.875438370370361</v>
      </c>
      <c r="CJ67">
        <f t="shared" si="20"/>
        <v>245.76254883868341</v>
      </c>
      <c r="CK67">
        <f t="shared" si="21"/>
        <v>-84.618542289783861</v>
      </c>
    </row>
    <row r="68" spans="1:89" x14ac:dyDescent="0.25">
      <c r="A68" s="1" t="str">
        <f>Shear_Wall_Foundation!A452</f>
        <v>16-3S_Wp</v>
      </c>
      <c r="B68" s="76">
        <f>Shear_Wall_Foundation!B452*-1*Bf_ft</f>
        <v>-0.72316666666666729</v>
      </c>
      <c r="C68" s="76">
        <f>-1*Shear_Wall_Foundation!D452*Bf_ft</f>
        <v>-6.7651666666666657</v>
      </c>
      <c r="D68" s="76">
        <f>Shear_Wall_Foundation!C452</f>
        <v>0</v>
      </c>
      <c r="E68" s="76">
        <f>Shear_Wall_Foundation!E452</f>
        <v>30</v>
      </c>
      <c r="F68" s="1" t="s">
        <v>300</v>
      </c>
      <c r="G68" s="1" t="str">
        <f t="shared" si="23"/>
        <v>16-3S_Wp</v>
      </c>
      <c r="J68">
        <f t="shared" si="22"/>
        <v>10.200000000000006</v>
      </c>
      <c r="K68" cm="1">
        <f t="array" ref="K68:CG68">LRFD_Analysis(Lf_ft,J68,$B$4:$G$84,$J$4:$U$28)</f>
        <v>-2.8421709430404007E-14</v>
      </c>
      <c r="L68">
        <v>-9.9799839999999875</v>
      </c>
      <c r="M68">
        <v>58.593925600000034</v>
      </c>
      <c r="N68">
        <v>0</v>
      </c>
      <c r="O68">
        <v>-20.524383999999955</v>
      </c>
      <c r="P68">
        <v>119.68278559999999</v>
      </c>
      <c r="Q68">
        <v>0</v>
      </c>
      <c r="R68">
        <v>-21.440463999999963</v>
      </c>
      <c r="S68">
        <v>124.99855760000011</v>
      </c>
      <c r="T68">
        <v>0</v>
      </c>
      <c r="U68">
        <v>-20.524383999999955</v>
      </c>
      <c r="V68">
        <v>119.68278559999999</v>
      </c>
      <c r="W68">
        <v>1.4210854715202004E-14</v>
      </c>
      <c r="X68">
        <v>-12.294931999999978</v>
      </c>
      <c r="Y68">
        <v>71.929433800000027</v>
      </c>
      <c r="Z68">
        <v>0</v>
      </c>
      <c r="AA68">
        <v>-15.226387999999957</v>
      </c>
      <c r="AB68">
        <v>88.939904199999958</v>
      </c>
      <c r="AC68">
        <v>1.4210854715202004E-14</v>
      </c>
      <c r="AD68">
        <v>-12.294931999999978</v>
      </c>
      <c r="AE68">
        <v>71.929433800000027</v>
      </c>
      <c r="AF68">
        <v>0</v>
      </c>
      <c r="AG68">
        <v>-15.958557079125821</v>
      </c>
      <c r="AH68">
        <v>-38.883589291936687</v>
      </c>
      <c r="AI68">
        <v>1.4210854715202004E-14</v>
      </c>
      <c r="AJ68">
        <v>-18.890013079125829</v>
      </c>
      <c r="AK68">
        <v>-21.873118891936599</v>
      </c>
      <c r="AL68">
        <v>0</v>
      </c>
      <c r="AM68">
        <v>-15.958557079125821</v>
      </c>
      <c r="AN68">
        <v>-38.883589291936687</v>
      </c>
      <c r="AO68">
        <v>-1.4210854715202004E-14</v>
      </c>
      <c r="AP68">
        <v>-1.1499869208741558</v>
      </c>
      <c r="AQ68">
        <v>135.32692778417481</v>
      </c>
      <c r="AR68">
        <v>0</v>
      </c>
      <c r="AS68">
        <v>-4.0814429208741458</v>
      </c>
      <c r="AT68">
        <v>152.33739818417484</v>
      </c>
      <c r="AU68">
        <v>-1.4210854715202004E-14</v>
      </c>
      <c r="AV68">
        <v>-1.1499869208741558</v>
      </c>
      <c r="AW68">
        <v>135.32692778417481</v>
      </c>
      <c r="AX68">
        <v>-1.4210854715202004E-14</v>
      </c>
      <c r="AY68">
        <v>-27.545047424523794</v>
      </c>
      <c r="AZ68">
        <v>-87.213831855078723</v>
      </c>
      <c r="BA68">
        <v>0</v>
      </c>
      <c r="BB68">
        <v>-28.336467972858074</v>
      </c>
      <c r="BC68">
        <v>-84.838237380123076</v>
      </c>
      <c r="BD68">
        <v>-1.4210854715202004E-14</v>
      </c>
      <c r="BE68">
        <v>-27.545047424523794</v>
      </c>
      <c r="BF68">
        <v>-87.213831855078723</v>
      </c>
      <c r="BG68">
        <v>0</v>
      </c>
      <c r="BH68">
        <v>2.5136381582516805</v>
      </c>
      <c r="BI68">
        <v>242.13655976834963</v>
      </c>
      <c r="BJ68">
        <v>-1.4210854715202004E-14</v>
      </c>
      <c r="BK68">
        <v>1.5975581582516867</v>
      </c>
      <c r="BL68">
        <v>247.45233176834969</v>
      </c>
      <c r="BM68">
        <v>0</v>
      </c>
      <c r="BN68">
        <v>2.5136381582516805</v>
      </c>
      <c r="BO68">
        <v>242.13655976834963</v>
      </c>
      <c r="BP68">
        <v>0</v>
      </c>
      <c r="BQ68">
        <v>-24.683701780633534</v>
      </c>
      <c r="BR68">
        <v>-53.958341292924658</v>
      </c>
      <c r="BS68">
        <v>0</v>
      </c>
      <c r="BT68">
        <v>-2.4710163813112089</v>
      </c>
      <c r="BU68">
        <v>207.02685907626221</v>
      </c>
      <c r="BV68">
        <v>0</v>
      </c>
      <c r="BW68">
        <v>-29.540895158251672</v>
      </c>
      <c r="BX68">
        <v>-68.979840683873235</v>
      </c>
      <c r="BY68">
        <v>0</v>
      </c>
      <c r="BZ68">
        <v>4.9835031644955805</v>
      </c>
      <c r="CA68">
        <v>233.8008379673042</v>
      </c>
      <c r="CB68">
        <v>0</v>
      </c>
      <c r="CC68">
        <v>-18.75865923140632</v>
      </c>
      <c r="CD68">
        <v>-69.534702251555046</v>
      </c>
      <c r="CE68">
        <v>0</v>
      </c>
      <c r="CF68">
        <v>4.4047139508665865</v>
      </c>
      <c r="CG68">
        <v>167.32942076405593</v>
      </c>
      <c r="CH68">
        <f t="shared" si="18"/>
        <v>4.9835031644955805</v>
      </c>
      <c r="CI68">
        <f t="shared" si="19"/>
        <v>-29.540895158251672</v>
      </c>
      <c r="CJ68">
        <f t="shared" si="20"/>
        <v>247.45233176834969</v>
      </c>
      <c r="CK68">
        <f t="shared" si="21"/>
        <v>-87.213831855078723</v>
      </c>
    </row>
    <row r="69" spans="1:89" x14ac:dyDescent="0.25">
      <c r="A69" s="1" t="str">
        <f>Shear_Wall_Foundation!A453</f>
        <v>16-3R_Wp</v>
      </c>
      <c r="B69" s="76">
        <f>Shear_Wall_Foundation!B453*-1*Bf_ft</f>
        <v>-0.43516666666666498</v>
      </c>
      <c r="C69" s="76">
        <f>-1*Shear_Wall_Foundation!D453*Bf_ft</f>
        <v>-6.0931666666666686</v>
      </c>
      <c r="D69" s="76">
        <f>Shear_Wall_Foundation!C453</f>
        <v>0</v>
      </c>
      <c r="E69" s="76">
        <f>Shear_Wall_Foundation!E453</f>
        <v>30</v>
      </c>
      <c r="F69" s="1" t="s">
        <v>300</v>
      </c>
      <c r="G69" s="1" t="str">
        <f t="shared" si="23"/>
        <v>16-3R_Wp</v>
      </c>
      <c r="J69">
        <f t="shared" si="22"/>
        <v>10.466666666666674</v>
      </c>
      <c r="K69" cm="1">
        <f t="array" ref="K69:CG69">LRFD_Analysis(Lf_ft,J69,$B$4:$G$84,$J$4:$U$28)</f>
        <v>-2.8421709430404007E-14</v>
      </c>
      <c r="L69">
        <v>-9.4881565102880572</v>
      </c>
      <c r="M69">
        <v>61.189607528486647</v>
      </c>
      <c r="N69">
        <v>0</v>
      </c>
      <c r="O69">
        <v>-19.515107950617239</v>
      </c>
      <c r="P69">
        <v>125.02124181289444</v>
      </c>
      <c r="Q69">
        <v>0</v>
      </c>
      <c r="R69">
        <v>-20.386210172839462</v>
      </c>
      <c r="S69">
        <v>130.57529845486974</v>
      </c>
      <c r="T69">
        <v>0</v>
      </c>
      <c r="U69">
        <v>-19.515107950617239</v>
      </c>
      <c r="V69">
        <v>125.02124181289444</v>
      </c>
      <c r="W69">
        <v>1.4210854715202004E-14</v>
      </c>
      <c r="X69">
        <v>-11.689706320987632</v>
      </c>
      <c r="Y69">
        <v>75.127299645816251</v>
      </c>
      <c r="Z69">
        <v>0</v>
      </c>
      <c r="AA69">
        <v>-14.477233432098718</v>
      </c>
      <c r="AB69">
        <v>92.900280900137176</v>
      </c>
      <c r="AC69">
        <v>1.4210854715202004E-14</v>
      </c>
      <c r="AD69">
        <v>-11.689706320987632</v>
      </c>
      <c r="AE69">
        <v>75.127299645816251</v>
      </c>
      <c r="AF69">
        <v>0</v>
      </c>
      <c r="AG69">
        <v>-15.349632634681377</v>
      </c>
      <c r="AH69">
        <v>-34.24279536466355</v>
      </c>
      <c r="AI69">
        <v>1.4210854715202004E-14</v>
      </c>
      <c r="AJ69">
        <v>-18.137159745792498</v>
      </c>
      <c r="AK69">
        <v>-16.469814110342497</v>
      </c>
      <c r="AL69">
        <v>0</v>
      </c>
      <c r="AM69">
        <v>-15.349632634681377</v>
      </c>
      <c r="AN69">
        <v>-34.24279536466355</v>
      </c>
      <c r="AO69">
        <v>-1.4210854715202004E-14</v>
      </c>
      <c r="AP69">
        <v>-0.9157785258124207</v>
      </c>
      <c r="AQ69">
        <v>135.13587430573583</v>
      </c>
      <c r="AR69">
        <v>0</v>
      </c>
      <c r="AS69">
        <v>-3.703305636923524</v>
      </c>
      <c r="AT69">
        <v>152.90885556005685</v>
      </c>
      <c r="AU69">
        <v>-1.4210854715202004E-14</v>
      </c>
      <c r="AV69">
        <v>-0.9157785258124207</v>
      </c>
      <c r="AW69">
        <v>135.13587430573583</v>
      </c>
      <c r="AX69">
        <v>-1.4210854715202004E-14</v>
      </c>
      <c r="AY69">
        <v>-26.464775837253121</v>
      </c>
      <c r="AZ69">
        <v>-79.079807780695674</v>
      </c>
      <c r="BA69">
        <v>0</v>
      </c>
      <c r="BB69">
        <v>-27.229704324272447</v>
      </c>
      <c r="BC69">
        <v>-76.496696224485618</v>
      </c>
      <c r="BD69">
        <v>-1.4210854715202004E-14</v>
      </c>
      <c r="BE69">
        <v>-26.464775837253121</v>
      </c>
      <c r="BF69">
        <v>-79.079807780695674</v>
      </c>
      <c r="BG69">
        <v>0</v>
      </c>
      <c r="BH69">
        <v>2.7441477878813174</v>
      </c>
      <c r="BI69">
        <v>240.5025782084538</v>
      </c>
      <c r="BJ69">
        <v>-1.4210854715202004E-14</v>
      </c>
      <c r="BK69">
        <v>1.8730455656590976</v>
      </c>
      <c r="BL69">
        <v>246.05663485042908</v>
      </c>
      <c r="BM69">
        <v>0</v>
      </c>
      <c r="BN69">
        <v>2.7441477878813174</v>
      </c>
      <c r="BO69">
        <v>240.5025782084538</v>
      </c>
      <c r="BP69">
        <v>0</v>
      </c>
      <c r="BQ69">
        <v>-23.733148254112265</v>
      </c>
      <c r="BR69">
        <v>-46.803213743881955</v>
      </c>
      <c r="BS69">
        <v>0</v>
      </c>
      <c r="BT69">
        <v>-2.0838588504470081</v>
      </c>
      <c r="BU69">
        <v>206.93443786655982</v>
      </c>
      <c r="BV69">
        <v>0</v>
      </c>
      <c r="BW69">
        <v>-28.607395158251673</v>
      </c>
      <c r="BX69">
        <v>-60.29340197500607</v>
      </c>
      <c r="BY69">
        <v>0</v>
      </c>
      <c r="BZ69">
        <v>4.9705712671970943</v>
      </c>
      <c r="CA69">
        <v>231.54087802517893</v>
      </c>
      <c r="CB69">
        <v>0</v>
      </c>
      <c r="CC69">
        <v>-17.988978611221754</v>
      </c>
      <c r="CD69">
        <v>-63.935513708897219</v>
      </c>
      <c r="CE69">
        <v>0</v>
      </c>
      <c r="CF69">
        <v>4.4410206824009819</v>
      </c>
      <c r="CG69">
        <v>165.45031105294441</v>
      </c>
      <c r="CH69">
        <f t="shared" si="18"/>
        <v>4.9705712671970943</v>
      </c>
      <c r="CI69">
        <f t="shared" si="19"/>
        <v>-28.607395158251673</v>
      </c>
      <c r="CJ69">
        <f t="shared" si="20"/>
        <v>246.05663485042908</v>
      </c>
      <c r="CK69">
        <f t="shared" si="21"/>
        <v>-79.079807780695674</v>
      </c>
    </row>
    <row r="70" spans="1:89" x14ac:dyDescent="0.25">
      <c r="A70" s="1" t="str">
        <f>Shear_Wall_Foundation!A454</f>
        <v>16-3Lr_Wn</v>
      </c>
      <c r="B70" s="76">
        <f>Shear_Wall_Foundation!B454*-1*Bf_ft</f>
        <v>-4.951833333333334</v>
      </c>
      <c r="C70" s="76">
        <f>-1*Shear_Wall_Foundation!D454*Bf_ft</f>
        <v>-1.5765</v>
      </c>
      <c r="D70" s="76">
        <f>Shear_Wall_Foundation!C454</f>
        <v>0</v>
      </c>
      <c r="E70" s="76">
        <f>Shear_Wall_Foundation!E454</f>
        <v>30</v>
      </c>
      <c r="F70" s="1" t="s">
        <v>300</v>
      </c>
      <c r="G70" s="1" t="str">
        <f t="shared" si="23"/>
        <v>16-3Lr_Wn</v>
      </c>
      <c r="J70">
        <f t="shared" si="22"/>
        <v>10.733333333333341</v>
      </c>
      <c r="K70" cm="1">
        <f t="array" ref="K70:CG70">LRFD_Analysis(Lf_ft,J70,$B$4:$G$84,$J$4:$U$28)</f>
        <v>-2.8421709430404007E-14</v>
      </c>
      <c r="L70">
        <v>-8.9994853004115107</v>
      </c>
      <c r="M70">
        <v>63.654556297027909</v>
      </c>
      <c r="N70">
        <v>0</v>
      </c>
      <c r="O70">
        <v>-18.512254024691305</v>
      </c>
      <c r="P70">
        <v>130.09141402908097</v>
      </c>
      <c r="Q70">
        <v>0</v>
      </c>
      <c r="R70">
        <v>-19.338662913580208</v>
      </c>
      <c r="S70">
        <v>135.87179916488356</v>
      </c>
      <c r="T70">
        <v>0</v>
      </c>
      <c r="U70">
        <v>-18.512254024691305</v>
      </c>
      <c r="V70">
        <v>130.09141402908097</v>
      </c>
      <c r="W70">
        <v>1.4210854715202004E-14</v>
      </c>
      <c r="X70">
        <v>-11.088347506172813</v>
      </c>
      <c r="Y70">
        <v>78.164287559122101</v>
      </c>
      <c r="Z70">
        <v>0</v>
      </c>
      <c r="AA70">
        <v>-13.732855950617235</v>
      </c>
      <c r="AB70">
        <v>96.661519993689936</v>
      </c>
      <c r="AC70">
        <v>1.4210854715202004E-14</v>
      </c>
      <c r="AD70">
        <v>-11.088347506172813</v>
      </c>
      <c r="AE70">
        <v>78.164287559122101</v>
      </c>
      <c r="AF70">
        <v>0</v>
      </c>
      <c r="AG70">
        <v>-14.754119745792487</v>
      </c>
      <c r="AH70">
        <v>-29.762593081834964</v>
      </c>
      <c r="AI70">
        <v>1.4210854715202004E-14</v>
      </c>
      <c r="AJ70">
        <v>-17.398628190236938</v>
      </c>
      <c r="AK70">
        <v>-11.265360647266959</v>
      </c>
      <c r="AL70">
        <v>0</v>
      </c>
      <c r="AM70">
        <v>-14.754119745792487</v>
      </c>
      <c r="AN70">
        <v>-29.762593081834964</v>
      </c>
      <c r="AO70">
        <v>-1.4210854715202004E-14</v>
      </c>
      <c r="AP70">
        <v>-0.67356934062723184</v>
      </c>
      <c r="AQ70">
        <v>134.88129848326389</v>
      </c>
      <c r="AR70">
        <v>0</v>
      </c>
      <c r="AS70">
        <v>-3.3180777850716652</v>
      </c>
      <c r="AT70">
        <v>153.37853091783165</v>
      </c>
      <c r="AU70">
        <v>-1.4210854715202004E-14</v>
      </c>
      <c r="AV70">
        <v>-0.67356934062723184</v>
      </c>
      <c r="AW70">
        <v>134.88129848326389</v>
      </c>
      <c r="AX70">
        <v>-1.4210854715202004E-14</v>
      </c>
      <c r="AY70">
        <v>-25.412360473409372</v>
      </c>
      <c r="AZ70">
        <v>-71.230141966461261</v>
      </c>
      <c r="BA70">
        <v>0</v>
      </c>
      <c r="BB70">
        <v>-26.150622454785804</v>
      </c>
      <c r="BC70">
        <v>-68.446601137924475</v>
      </c>
      <c r="BD70">
        <v>-1.4210854715202004E-14</v>
      </c>
      <c r="BE70">
        <v>-25.412360473409372</v>
      </c>
      <c r="BF70">
        <v>-71.230141966461261</v>
      </c>
      <c r="BG70">
        <v>0</v>
      </c>
      <c r="BH70">
        <v>2.9922028989924456</v>
      </c>
      <c r="BI70">
        <v>238.8047880164589</v>
      </c>
      <c r="BJ70">
        <v>-1.4210854715202004E-14</v>
      </c>
      <c r="BK70">
        <v>2.1657940101035393</v>
      </c>
      <c r="BL70">
        <v>244.58517315226163</v>
      </c>
      <c r="BM70">
        <v>0</v>
      </c>
      <c r="BN70">
        <v>2.9922028989924456</v>
      </c>
      <c r="BO70">
        <v>238.8047880164589</v>
      </c>
      <c r="BP70">
        <v>0</v>
      </c>
      <c r="BQ70">
        <v>-22.802955229146161</v>
      </c>
      <c r="BR70">
        <v>-39.898852401704261</v>
      </c>
      <c r="BS70">
        <v>0</v>
      </c>
      <c r="BT70">
        <v>-1.6849071467433134</v>
      </c>
      <c r="BU70">
        <v>206.73720209224831</v>
      </c>
      <c r="BV70">
        <v>0</v>
      </c>
      <c r="BW70">
        <v>-27.673895158251668</v>
      </c>
      <c r="BX70">
        <v>-51.855896599472274</v>
      </c>
      <c r="BY70">
        <v>0</v>
      </c>
      <c r="BZ70">
        <v>4.9838885644161977</v>
      </c>
      <c r="CA70">
        <v>229.28086669639742</v>
      </c>
      <c r="CB70">
        <v>0</v>
      </c>
      <c r="CC70">
        <v>-17.241640627204909</v>
      </c>
      <c r="CD70">
        <v>-58.53859431346627</v>
      </c>
      <c r="CE70">
        <v>0</v>
      </c>
      <c r="CF70">
        <v>4.4917982135177894</v>
      </c>
      <c r="CG70">
        <v>163.55959010681249</v>
      </c>
      <c r="CH70">
        <f t="shared" si="18"/>
        <v>4.9838885644161977</v>
      </c>
      <c r="CI70">
        <f t="shared" si="19"/>
        <v>-27.673895158251668</v>
      </c>
      <c r="CJ70">
        <f t="shared" si="20"/>
        <v>244.58517315226163</v>
      </c>
      <c r="CK70">
        <f t="shared" si="21"/>
        <v>-71.230141966461261</v>
      </c>
    </row>
    <row r="71" spans="1:89" x14ac:dyDescent="0.25">
      <c r="A71" s="1" t="str">
        <f>Shear_Wall_Foundation!A455</f>
        <v>16-3S_Wn</v>
      </c>
      <c r="B71" s="76">
        <f>Shear_Wall_Foundation!B455*-1*Bf_ft</f>
        <v>-5.2398333333333325</v>
      </c>
      <c r="C71" s="76">
        <f>-1*Shear_Wall_Foundation!D455*Bf_ft</f>
        <v>-2.2485000000000008</v>
      </c>
      <c r="D71" s="76">
        <f>Shear_Wall_Foundation!C455</f>
        <v>0</v>
      </c>
      <c r="E71" s="76">
        <f>Shear_Wall_Foundation!E455</f>
        <v>30</v>
      </c>
      <c r="F71" s="1" t="s">
        <v>300</v>
      </c>
      <c r="G71" s="1" t="str">
        <f t="shared" si="23"/>
        <v>16-3S_Wn</v>
      </c>
      <c r="J71">
        <f t="shared" si="22"/>
        <v>11.000000000000009</v>
      </c>
      <c r="K71" cm="1">
        <f t="array" ref="K71:CG71">LRFD_Analysis(Lf_ft,J71,$B$4:$G$84,$J$4:$U$28)</f>
        <v>-2.8421709430404007E-14</v>
      </c>
      <c r="L71">
        <v>-8.5139703703703518</v>
      </c>
      <c r="M71">
        <v>65.989613580246953</v>
      </c>
      <c r="N71">
        <v>0</v>
      </c>
      <c r="O71">
        <v>-17.515822222222173</v>
      </c>
      <c r="P71">
        <v>134.89501481481483</v>
      </c>
      <c r="Q71">
        <v>0</v>
      </c>
      <c r="R71">
        <v>-18.297822222222184</v>
      </c>
      <c r="S71">
        <v>140.88984814814822</v>
      </c>
      <c r="T71">
        <v>0</v>
      </c>
      <c r="U71">
        <v>-17.515822222222173</v>
      </c>
      <c r="V71">
        <v>134.89501481481483</v>
      </c>
      <c r="W71">
        <v>1.4210854715202004E-14</v>
      </c>
      <c r="X71">
        <v>-10.490855555555534</v>
      </c>
      <c r="Y71">
        <v>81.041428703703758</v>
      </c>
      <c r="Z71">
        <v>0</v>
      </c>
      <c r="AA71">
        <v>-12.99325555555551</v>
      </c>
      <c r="AB71">
        <v>100.22489537037035</v>
      </c>
      <c r="AC71">
        <v>1.4210854715202004E-14</v>
      </c>
      <c r="AD71">
        <v>-10.490855555555534</v>
      </c>
      <c r="AE71">
        <v>81.041428703703758</v>
      </c>
      <c r="AF71">
        <v>0</v>
      </c>
      <c r="AG71">
        <v>-14.172018412459158</v>
      </c>
      <c r="AH71">
        <v>-25.439406028635929</v>
      </c>
      <c r="AI71">
        <v>1.4210854715202004E-14</v>
      </c>
      <c r="AJ71">
        <v>-16.674418412459161</v>
      </c>
      <c r="AK71">
        <v>-6.2559393619692258</v>
      </c>
      <c r="AL71">
        <v>0</v>
      </c>
      <c r="AM71">
        <v>-14.172018412459158</v>
      </c>
      <c r="AN71">
        <v>-25.439406028635929</v>
      </c>
      <c r="AO71">
        <v>-1.4210854715202004E-14</v>
      </c>
      <c r="AP71">
        <v>-0.42335936531860341</v>
      </c>
      <c r="AQ71">
        <v>134.56106677272612</v>
      </c>
      <c r="AR71">
        <v>0</v>
      </c>
      <c r="AS71">
        <v>-2.9257593653185765</v>
      </c>
      <c r="AT71">
        <v>153.74453343939271</v>
      </c>
      <c r="AU71">
        <v>-1.4210854715202004E-14</v>
      </c>
      <c r="AV71">
        <v>-0.42335936531860341</v>
      </c>
      <c r="AW71">
        <v>134.56106677272612</v>
      </c>
      <c r="AX71">
        <v>-1.4210854715202004E-14</v>
      </c>
      <c r="AY71">
        <v>-24.387801332992559</v>
      </c>
      <c r="AZ71">
        <v>-63.657406086128219</v>
      </c>
      <c r="BA71">
        <v>0</v>
      </c>
      <c r="BB71">
        <v>-25.099222364398138</v>
      </c>
      <c r="BC71">
        <v>-60.680570312679869</v>
      </c>
      <c r="BD71">
        <v>-1.4210854715202004E-14</v>
      </c>
      <c r="BE71">
        <v>-24.387801332992559</v>
      </c>
      <c r="BF71">
        <v>-63.657406086128219</v>
      </c>
      <c r="BG71">
        <v>0</v>
      </c>
      <c r="BH71">
        <v>3.2578034915850225</v>
      </c>
      <c r="BI71">
        <v>237.03851039730387</v>
      </c>
      <c r="BJ71">
        <v>-1.4210854715202004E-14</v>
      </c>
      <c r="BK71">
        <v>2.4758034915850118</v>
      </c>
      <c r="BL71">
        <v>243.03334373063726</v>
      </c>
      <c r="BM71">
        <v>0</v>
      </c>
      <c r="BN71">
        <v>3.2578034915850225</v>
      </c>
      <c r="BO71">
        <v>237.03851039730387</v>
      </c>
      <c r="BP71">
        <v>0</v>
      </c>
      <c r="BQ71">
        <v>-21.893122705735234</v>
      </c>
      <c r="BR71">
        <v>-33.239827799310163</v>
      </c>
      <c r="BS71">
        <v>0</v>
      </c>
      <c r="BT71">
        <v>-1.2741612702001035</v>
      </c>
      <c r="BU71">
        <v>206.43200664057056</v>
      </c>
      <c r="BV71">
        <v>0</v>
      </c>
      <c r="BW71">
        <v>-26.740395158251665</v>
      </c>
      <c r="BX71">
        <v>-43.667324557271812</v>
      </c>
      <c r="BY71">
        <v>0</v>
      </c>
      <c r="BZ71">
        <v>5.0234550561528764</v>
      </c>
      <c r="CA71">
        <v>227.01380419575531</v>
      </c>
      <c r="CB71">
        <v>0</v>
      </c>
      <c r="CC71">
        <v>-16.516645279355789</v>
      </c>
      <c r="CD71">
        <v>-53.337986028950795</v>
      </c>
      <c r="CE71">
        <v>0</v>
      </c>
      <c r="CF71">
        <v>4.5570465442169663</v>
      </c>
      <c r="CG71">
        <v>161.65339904577206</v>
      </c>
      <c r="CH71">
        <f t="shared" si="18"/>
        <v>5.0234550561528764</v>
      </c>
      <c r="CI71">
        <f t="shared" si="19"/>
        <v>-26.740395158251665</v>
      </c>
      <c r="CJ71">
        <f t="shared" si="20"/>
        <v>243.03334373063726</v>
      </c>
      <c r="CK71">
        <f t="shared" si="21"/>
        <v>-63.657406086128219</v>
      </c>
    </row>
    <row r="72" spans="1:89" x14ac:dyDescent="0.25">
      <c r="A72" s="1" t="str">
        <f>Shear_Wall_Foundation!A456</f>
        <v>16-3R_Wn</v>
      </c>
      <c r="B72" s="76">
        <f>Shear_Wall_Foundation!B456*-1*Bf_ft</f>
        <v>-4.951833333333334</v>
      </c>
      <c r="C72" s="76">
        <f>-1*Shear_Wall_Foundation!D456*Bf_ft</f>
        <v>-1.5765</v>
      </c>
      <c r="D72" s="76">
        <f>Shear_Wall_Foundation!C456</f>
        <v>0</v>
      </c>
      <c r="E72" s="76">
        <f>Shear_Wall_Foundation!E456</f>
        <v>30</v>
      </c>
      <c r="F72" s="1" t="s">
        <v>300</v>
      </c>
      <c r="G72" s="1" t="str">
        <f t="shared" si="23"/>
        <v>16-3R_Wn</v>
      </c>
      <c r="J72">
        <f t="shared" si="22"/>
        <v>11.266666666666676</v>
      </c>
      <c r="K72" cm="1">
        <f t="array" ref="K72:CG72">LRFD_Analysis(Lf_ft,J72,$B$4:$G$84,$J$4:$U$28)</f>
        <v>-2.8421709430404007E-14</v>
      </c>
      <c r="L72">
        <v>-8.0316117201645874</v>
      </c>
      <c r="M72">
        <v>68.195621052766398</v>
      </c>
      <c r="N72">
        <v>0</v>
      </c>
      <c r="O72">
        <v>-16.525812543209817</v>
      </c>
      <c r="P72">
        <v>139.4337567363512</v>
      </c>
      <c r="Q72">
        <v>0</v>
      </c>
      <c r="R72">
        <v>-17.263688098765385</v>
      </c>
      <c r="S72">
        <v>145.63123382277101</v>
      </c>
      <c r="T72">
        <v>0</v>
      </c>
      <c r="U72">
        <v>-16.525812543209817</v>
      </c>
      <c r="V72">
        <v>139.4337567363512</v>
      </c>
      <c r="W72">
        <v>1.4210854715202004E-14</v>
      </c>
      <c r="X72">
        <v>-9.8972304691357742</v>
      </c>
      <c r="Y72">
        <v>83.759754243347061</v>
      </c>
      <c r="Z72">
        <v>0</v>
      </c>
      <c r="AA72">
        <v>-12.258432246913536</v>
      </c>
      <c r="AB72">
        <v>103.59168091989022</v>
      </c>
      <c r="AC72">
        <v>1.4210854715202004E-14</v>
      </c>
      <c r="AD72">
        <v>-9.8972304691357742</v>
      </c>
      <c r="AE72">
        <v>83.759754243347061</v>
      </c>
      <c r="AF72">
        <v>0</v>
      </c>
      <c r="AG72">
        <v>-13.603328634681375</v>
      </c>
      <c r="AH72">
        <v>-21.26965779025177</v>
      </c>
      <c r="AI72">
        <v>1.4210854715202004E-14</v>
      </c>
      <c r="AJ72">
        <v>-15.96453041245916</v>
      </c>
      <c r="AK72">
        <v>-1.4377311137084803</v>
      </c>
      <c r="AL72">
        <v>0</v>
      </c>
      <c r="AM72">
        <v>-13.603328634681375</v>
      </c>
      <c r="AN72">
        <v>-21.26965779025177</v>
      </c>
      <c r="AO72">
        <v>-1.4210854715202004E-14</v>
      </c>
      <c r="AP72">
        <v>-0.16514859988649278</v>
      </c>
      <c r="AQ72">
        <v>134.17304563008938</v>
      </c>
      <c r="AR72">
        <v>0</v>
      </c>
      <c r="AS72">
        <v>-2.5263503776642509</v>
      </c>
      <c r="AT72">
        <v>154.00497230663257</v>
      </c>
      <c r="AU72">
        <v>-1.4210854715202004E-14</v>
      </c>
      <c r="AV72">
        <v>-0.16514859988649278</v>
      </c>
      <c r="AW72">
        <v>134.17304563008938</v>
      </c>
      <c r="AX72">
        <v>-1.4210854715202004E-14</v>
      </c>
      <c r="AY72">
        <v>-23.391098416002659</v>
      </c>
      <c r="AZ72">
        <v>-56.35417181344949</v>
      </c>
      <c r="BA72">
        <v>0</v>
      </c>
      <c r="BB72">
        <v>-24.075504053109441</v>
      </c>
      <c r="BC72">
        <v>-53.191221940992193</v>
      </c>
      <c r="BD72">
        <v>-1.4210854715202004E-14</v>
      </c>
      <c r="BE72">
        <v>-23.391098416002659</v>
      </c>
      <c r="BF72">
        <v>-56.35417181344949</v>
      </c>
      <c r="BG72">
        <v>0</v>
      </c>
      <c r="BH72">
        <v>3.5409495656590906</v>
      </c>
      <c r="BI72">
        <v>235.19906655592649</v>
      </c>
      <c r="BJ72">
        <v>-1.4210854715202004E-14</v>
      </c>
      <c r="BK72">
        <v>2.8030740101035434</v>
      </c>
      <c r="BL72">
        <v>241.39654364234627</v>
      </c>
      <c r="BM72">
        <v>0</v>
      </c>
      <c r="BN72">
        <v>3.5409495656590906</v>
      </c>
      <c r="BO72">
        <v>235.19906655592649</v>
      </c>
      <c r="BP72">
        <v>0</v>
      </c>
      <c r="BQ72">
        <v>-21.003650683879464</v>
      </c>
      <c r="BR72">
        <v>-26.820710469618305</v>
      </c>
      <c r="BS72">
        <v>0</v>
      </c>
      <c r="BT72">
        <v>-0.85162122081738545</v>
      </c>
      <c r="BU72">
        <v>206.01570639876928</v>
      </c>
      <c r="BV72">
        <v>0</v>
      </c>
      <c r="BW72">
        <v>-25.80689515825166</v>
      </c>
      <c r="BX72">
        <v>-35.72768584840469</v>
      </c>
      <c r="BY72">
        <v>0</v>
      </c>
      <c r="BZ72">
        <v>5.0892707424071375</v>
      </c>
      <c r="CA72">
        <v>224.73269073804775</v>
      </c>
      <c r="CB72">
        <v>0</v>
      </c>
      <c r="CC72">
        <v>-15.813992567674394</v>
      </c>
      <c r="CD72">
        <v>-48.327730819039381</v>
      </c>
      <c r="CE72">
        <v>0</v>
      </c>
      <c r="CF72">
        <v>4.6367656744985268</v>
      </c>
      <c r="CG72">
        <v>159.72787898993394</v>
      </c>
      <c r="CH72">
        <f t="shared" si="18"/>
        <v>5.0892707424071375</v>
      </c>
      <c r="CI72">
        <f t="shared" si="19"/>
        <v>-25.80689515825166</v>
      </c>
      <c r="CJ72">
        <f t="shared" si="20"/>
        <v>241.39654364234627</v>
      </c>
      <c r="CK72">
        <f t="shared" si="21"/>
        <v>-56.35417181344949</v>
      </c>
    </row>
    <row r="73" spans="1:89" x14ac:dyDescent="0.25">
      <c r="A73" s="1" t="str">
        <f>Shear_Wall_Foundation!A457</f>
        <v>16-4Wp_Lr</v>
      </c>
      <c r="B73" s="76">
        <f>Shear_Wall_Foundation!B457*-1*Bf_ft</f>
        <v>0</v>
      </c>
      <c r="C73" s="76">
        <f>-1*Shear_Wall_Foundation!D457*Bf_ft</f>
        <v>-9.5454683392438149</v>
      </c>
      <c r="D73" s="76">
        <f>Shear_Wall_Foundation!C457</f>
        <v>5.6324161650902909</v>
      </c>
      <c r="E73" s="76">
        <f>Shear_Wall_Foundation!E457</f>
        <v>30</v>
      </c>
      <c r="F73" s="1" t="s">
        <v>300</v>
      </c>
      <c r="G73" s="1" t="str">
        <f t="shared" si="23"/>
        <v>16-4Wp_Lr</v>
      </c>
      <c r="J73">
        <f t="shared" si="22"/>
        <v>11.533333333333344</v>
      </c>
      <c r="K73" cm="1">
        <f t="array" ref="K73:CG73">LRFD_Analysis(Lf_ft,J73,$B$4:$G$84,$J$4:$U$28)</f>
        <v>-2.8421709430404007E-14</v>
      </c>
      <c r="L73">
        <v>-7.5524093497942175</v>
      </c>
      <c r="M73">
        <v>70.273420389209036</v>
      </c>
      <c r="N73">
        <v>0</v>
      </c>
      <c r="O73">
        <v>-15.542224987654272</v>
      </c>
      <c r="P73">
        <v>143.70935235994526</v>
      </c>
      <c r="Q73">
        <v>0</v>
      </c>
      <c r="R73">
        <v>-16.236260543209831</v>
      </c>
      <c r="S73">
        <v>150.0977446068589</v>
      </c>
      <c r="T73">
        <v>0</v>
      </c>
      <c r="U73">
        <v>-15.542224987654272</v>
      </c>
      <c r="V73">
        <v>143.70935235994526</v>
      </c>
      <c r="W73">
        <v>1.4210854715202004E-14</v>
      </c>
      <c r="X73">
        <v>-9.3074722469135587</v>
      </c>
      <c r="Y73">
        <v>86.320295341838175</v>
      </c>
      <c r="Z73">
        <v>0</v>
      </c>
      <c r="AA73">
        <v>-11.528386024691315</v>
      </c>
      <c r="AB73">
        <v>106.7631505319616</v>
      </c>
      <c r="AC73">
        <v>1.4210854715202004E-14</v>
      </c>
      <c r="AD73">
        <v>-9.3074722469135587</v>
      </c>
      <c r="AE73">
        <v>86.320295341838175</v>
      </c>
      <c r="AF73">
        <v>0</v>
      </c>
      <c r="AG73">
        <v>-13.04805041245916</v>
      </c>
      <c r="AH73">
        <v>-17.249771951867544</v>
      </c>
      <c r="AI73">
        <v>1.4210854715202004E-14</v>
      </c>
      <c r="AJ73">
        <v>-15.26896419023694</v>
      </c>
      <c r="AK73">
        <v>3.1930832382560084</v>
      </c>
      <c r="AL73">
        <v>0</v>
      </c>
      <c r="AM73">
        <v>-13.04805041245916</v>
      </c>
      <c r="AN73">
        <v>-17.249771951867544</v>
      </c>
      <c r="AO73">
        <v>-1.4210854715202004E-14</v>
      </c>
      <c r="AP73">
        <v>0.10106295566905743</v>
      </c>
      <c r="AQ73">
        <v>133.71510151132114</v>
      </c>
      <c r="AR73">
        <v>0</v>
      </c>
      <c r="AS73">
        <v>-2.1198508221087025</v>
      </c>
      <c r="AT73">
        <v>154.15795670144468</v>
      </c>
      <c r="AU73">
        <v>-1.4210854715202004E-14</v>
      </c>
      <c r="AV73">
        <v>0.10106295566905743</v>
      </c>
      <c r="AW73">
        <v>133.71510151132114</v>
      </c>
      <c r="AX73">
        <v>-1.4210854715202004E-14</v>
      </c>
      <c r="AY73">
        <v>-22.422251722439686</v>
      </c>
      <c r="AZ73">
        <v>-49.313010822177681</v>
      </c>
      <c r="BA73">
        <v>0</v>
      </c>
      <c r="BB73">
        <v>-23.079467520919728</v>
      </c>
      <c r="BC73">
        <v>-45.971174215101527</v>
      </c>
      <c r="BD73">
        <v>-1.4210854715202004E-14</v>
      </c>
      <c r="BE73">
        <v>-22.422251722439686</v>
      </c>
      <c r="BF73">
        <v>-49.313010822177681</v>
      </c>
      <c r="BG73">
        <v>0</v>
      </c>
      <c r="BH73">
        <v>3.84164112121465</v>
      </c>
      <c r="BI73">
        <v>233.28177769726497</v>
      </c>
      <c r="BJ73">
        <v>-1.4210854715202004E-14</v>
      </c>
      <c r="BK73">
        <v>3.1476055656590916</v>
      </c>
      <c r="BL73">
        <v>239.67016994417861</v>
      </c>
      <c r="BM73">
        <v>0</v>
      </c>
      <c r="BN73">
        <v>3.84164112121465</v>
      </c>
      <c r="BO73">
        <v>233.28177769726497</v>
      </c>
      <c r="BP73">
        <v>0</v>
      </c>
      <c r="BQ73">
        <v>-20.134539163578872</v>
      </c>
      <c r="BR73">
        <v>-20.63607094554726</v>
      </c>
      <c r="BS73">
        <v>0</v>
      </c>
      <c r="BT73">
        <v>-0.41728699859515928</v>
      </c>
      <c r="BU73">
        <v>205.48515625408723</v>
      </c>
      <c r="BV73">
        <v>0</v>
      </c>
      <c r="BW73">
        <v>-24.873395158251661</v>
      </c>
      <c r="BX73">
        <v>-28.036980472870866</v>
      </c>
      <c r="BY73">
        <v>0</v>
      </c>
      <c r="BZ73">
        <v>5.1813356231789811</v>
      </c>
      <c r="CA73">
        <v>222.43052653806984</v>
      </c>
      <c r="CB73">
        <v>0</v>
      </c>
      <c r="CC73">
        <v>-15.133682492160727</v>
      </c>
      <c r="CD73">
        <v>-43.501870647420603</v>
      </c>
      <c r="CE73">
        <v>0</v>
      </c>
      <c r="CF73">
        <v>4.7309556043624852</v>
      </c>
      <c r="CG73">
        <v>157.77917105940978</v>
      </c>
      <c r="CH73">
        <f t="shared" si="18"/>
        <v>5.1813356231789811</v>
      </c>
      <c r="CI73">
        <f t="shared" si="19"/>
        <v>-24.873395158251661</v>
      </c>
      <c r="CJ73">
        <f t="shared" si="20"/>
        <v>239.67016994417861</v>
      </c>
      <c r="CK73">
        <f t="shared" si="21"/>
        <v>-49.313010822177681</v>
      </c>
    </row>
    <row r="74" spans="1:89" x14ac:dyDescent="0.25">
      <c r="A74" s="1" t="str">
        <f>Shear_Wall_Foundation!A458</f>
        <v>16-4Wp_S</v>
      </c>
      <c r="B74" s="76">
        <f>Shear_Wall_Foundation!B458*-1*Bf_ft</f>
        <v>0</v>
      </c>
      <c r="C74" s="76">
        <f>-1*Shear_Wall_Foundation!D458*Bf_ft</f>
        <v>-9.6978783498645953</v>
      </c>
      <c r="D74" s="76">
        <f>Shear_Wall_Foundation!C458</f>
        <v>5.0873344370860991</v>
      </c>
      <c r="E74" s="76">
        <f>Shear_Wall_Foundation!E458</f>
        <v>30</v>
      </c>
      <c r="F74" s="1" t="s">
        <v>300</v>
      </c>
      <c r="G74" s="1" t="str">
        <f t="shared" si="23"/>
        <v>16-4Wp_S</v>
      </c>
      <c r="J74">
        <f t="shared" si="22"/>
        <v>11.800000000000011</v>
      </c>
      <c r="K74" cm="1">
        <f t="array" ref="K74:CG74">LRFD_Analysis(Lf_ft,J74,$B$4:$G$84,$J$4:$U$28)</f>
        <v>-2.8421709430404007E-14</v>
      </c>
      <c r="L74">
        <v>-7.0763632592592458</v>
      </c>
      <c r="M74">
        <v>72.223853264197686</v>
      </c>
      <c r="N74">
        <v>0</v>
      </c>
      <c r="O74">
        <v>-14.565059555555493</v>
      </c>
      <c r="P74">
        <v>147.72351425185192</v>
      </c>
      <c r="Q74">
        <v>0</v>
      </c>
      <c r="R74">
        <v>-15.215539555555495</v>
      </c>
      <c r="S74">
        <v>154.29116891851865</v>
      </c>
      <c r="T74">
        <v>0</v>
      </c>
      <c r="U74">
        <v>-14.565059555555493</v>
      </c>
      <c r="V74">
        <v>147.72351425185192</v>
      </c>
      <c r="W74">
        <v>1.4210854715202004E-14</v>
      </c>
      <c r="X74">
        <v>-8.7215808888888624</v>
      </c>
      <c r="Y74">
        <v>88.724083162963041</v>
      </c>
      <c r="Z74">
        <v>0</v>
      </c>
      <c r="AA74">
        <v>-10.803116888888837</v>
      </c>
      <c r="AB74">
        <v>109.74057809629622</v>
      </c>
      <c r="AC74">
        <v>1.4210854715202004E-14</v>
      </c>
      <c r="AD74">
        <v>-8.7215808888888624</v>
      </c>
      <c r="AE74">
        <v>88.724083162963041</v>
      </c>
      <c r="AF74">
        <v>0</v>
      </c>
      <c r="AG74">
        <v>-12.506183745792484</v>
      </c>
      <c r="AH74">
        <v>-13.37617209866859</v>
      </c>
      <c r="AI74">
        <v>1.4210854715202004E-14</v>
      </c>
      <c r="AJ74">
        <v>-14.587719745792489</v>
      </c>
      <c r="AK74">
        <v>7.6403228346648433</v>
      </c>
      <c r="AL74">
        <v>0</v>
      </c>
      <c r="AM74">
        <v>-12.506183745792484</v>
      </c>
      <c r="AN74">
        <v>-13.37617209866859</v>
      </c>
      <c r="AO74">
        <v>-1.4210854715202004E-14</v>
      </c>
      <c r="AP74">
        <v>0.37527530134806142</v>
      </c>
      <c r="AQ74">
        <v>133.18510087238832</v>
      </c>
      <c r="AR74">
        <v>0</v>
      </c>
      <c r="AS74">
        <v>-1.70626069865191</v>
      </c>
      <c r="AT74">
        <v>154.2015958057215</v>
      </c>
      <c r="AU74">
        <v>-1.4210854715202004E-14</v>
      </c>
      <c r="AV74">
        <v>0.37527530134806142</v>
      </c>
      <c r="AW74">
        <v>133.18510087238832</v>
      </c>
      <c r="AX74">
        <v>-1.4210854715202004E-14</v>
      </c>
      <c r="AY74">
        <v>-21.481261252303636</v>
      </c>
      <c r="AZ74">
        <v>-42.526494786065854</v>
      </c>
      <c r="BA74">
        <v>0</v>
      </c>
      <c r="BB74">
        <v>-22.111112767828985</v>
      </c>
      <c r="BC74">
        <v>-39.013045327248392</v>
      </c>
      <c r="BD74">
        <v>-1.4210854715202004E-14</v>
      </c>
      <c r="BE74">
        <v>-21.481261252303636</v>
      </c>
      <c r="BF74">
        <v>-42.526494786065854</v>
      </c>
      <c r="BG74">
        <v>0</v>
      </c>
      <c r="BH74">
        <v>4.1598781582516864</v>
      </c>
      <c r="BI74">
        <v>231.28196502625804</v>
      </c>
      <c r="BJ74">
        <v>-1.4210854715202004E-14</v>
      </c>
      <c r="BK74">
        <v>3.5093981582516705</v>
      </c>
      <c r="BL74">
        <v>237.84961969292476</v>
      </c>
      <c r="BM74">
        <v>0</v>
      </c>
      <c r="BN74">
        <v>4.1598781582516864</v>
      </c>
      <c r="BO74">
        <v>231.28196502625804</v>
      </c>
      <c r="BP74">
        <v>0</v>
      </c>
      <c r="BQ74">
        <v>-19.28578814483344</v>
      </c>
      <c r="BR74">
        <v>-14.680479760015771</v>
      </c>
      <c r="BS74">
        <v>0</v>
      </c>
      <c r="BT74">
        <v>2.8841396466560809E-2</v>
      </c>
      <c r="BU74">
        <v>204.83721109376765</v>
      </c>
      <c r="BV74">
        <v>0</v>
      </c>
      <c r="BW74">
        <v>-23.939895158251652</v>
      </c>
      <c r="BX74">
        <v>-20.5952084306704</v>
      </c>
      <c r="BY74">
        <v>0</v>
      </c>
      <c r="BZ74">
        <v>5.2996496984684001</v>
      </c>
      <c r="CA74">
        <v>220.10031181061746</v>
      </c>
      <c r="CB74">
        <v>0</v>
      </c>
      <c r="CC74">
        <v>-14.475715052814776</v>
      </c>
      <c r="CD74">
        <v>-38.85444747778314</v>
      </c>
      <c r="CE74">
        <v>0</v>
      </c>
      <c r="CF74">
        <v>4.839616333808813</v>
      </c>
      <c r="CG74">
        <v>155.80341637431104</v>
      </c>
      <c r="CH74">
        <f t="shared" si="18"/>
        <v>5.2996496984684001</v>
      </c>
      <c r="CI74">
        <f t="shared" si="19"/>
        <v>-23.939895158251652</v>
      </c>
      <c r="CJ74">
        <f t="shared" si="20"/>
        <v>237.84961969292476</v>
      </c>
      <c r="CK74">
        <f t="shared" si="21"/>
        <v>-42.526494786065854</v>
      </c>
    </row>
    <row r="75" spans="1:89" x14ac:dyDescent="0.25">
      <c r="A75" s="1" t="str">
        <f>Shear_Wall_Foundation!A459</f>
        <v>16-4Wp_R</v>
      </c>
      <c r="B75" s="76">
        <f>Shear_Wall_Foundation!B459*-1*Bf_ft</f>
        <v>0</v>
      </c>
      <c r="C75" s="76">
        <f>-1*Shear_Wall_Foundation!D459*Bf_ft</f>
        <v>-9.5454683392438149</v>
      </c>
      <c r="D75" s="76">
        <f>Shear_Wall_Foundation!C459</f>
        <v>5.6324161650902909</v>
      </c>
      <c r="E75" s="76">
        <f>Shear_Wall_Foundation!E459</f>
        <v>30</v>
      </c>
      <c r="F75" s="1" t="s">
        <v>300</v>
      </c>
      <c r="G75" s="1" t="str">
        <f t="shared" si="23"/>
        <v>16-4Wp_R</v>
      </c>
      <c r="J75">
        <f t="shared" si="22"/>
        <v>12.066666666666679</v>
      </c>
      <c r="K75" cm="1">
        <f t="array" ref="K75:CG75">LRFD_Analysis(Lf_ft,J75,$B$4:$G$84,$J$4:$U$28)</f>
        <v>-2.8421709430404007E-14</v>
      </c>
      <c r="L75">
        <v>-6.6034734485596545</v>
      </c>
      <c r="M75">
        <v>74.047761352354854</v>
      </c>
      <c r="N75">
        <v>0</v>
      </c>
      <c r="O75">
        <v>-13.594316246913515</v>
      </c>
      <c r="P75">
        <v>151.47795497832638</v>
      </c>
      <c r="Q75">
        <v>0</v>
      </c>
      <c r="R75">
        <v>-14.201525135802406</v>
      </c>
      <c r="S75">
        <v>158.21329517585735</v>
      </c>
      <c r="T75">
        <v>0</v>
      </c>
      <c r="U75">
        <v>-13.594316246913515</v>
      </c>
      <c r="V75">
        <v>151.47795497832638</v>
      </c>
      <c r="W75">
        <v>1.4210854715202004E-14</v>
      </c>
      <c r="X75">
        <v>-8.139556395061696</v>
      </c>
      <c r="Y75">
        <v>90.972148870507624</v>
      </c>
      <c r="Z75">
        <v>0</v>
      </c>
      <c r="AA75">
        <v>-10.082624839506117</v>
      </c>
      <c r="AB75">
        <v>112.52523750260633</v>
      </c>
      <c r="AC75">
        <v>1.4210854715202004E-14</v>
      </c>
      <c r="AD75">
        <v>-8.139556395061696</v>
      </c>
      <c r="AE75">
        <v>90.972148870507624</v>
      </c>
      <c r="AF75">
        <v>0</v>
      </c>
      <c r="AG75">
        <v>-11.977728634681373</v>
      </c>
      <c r="AH75">
        <v>-9.6452818158399367</v>
      </c>
      <c r="AI75">
        <v>1.4210854715202004E-14</v>
      </c>
      <c r="AJ75">
        <v>-13.920797079125819</v>
      </c>
      <c r="AK75">
        <v>11.907806816258883</v>
      </c>
      <c r="AL75">
        <v>0</v>
      </c>
      <c r="AM75">
        <v>-11.977728634681373</v>
      </c>
      <c r="AN75">
        <v>-9.6452818158399367</v>
      </c>
      <c r="AO75">
        <v>-1.4210854715202004E-14</v>
      </c>
      <c r="AP75">
        <v>0.65748843715054051</v>
      </c>
      <c r="AQ75">
        <v>132.58091016925786</v>
      </c>
      <c r="AR75">
        <v>0</v>
      </c>
      <c r="AS75">
        <v>-1.2855800072938806</v>
      </c>
      <c r="AT75">
        <v>154.13399880135657</v>
      </c>
      <c r="AU75">
        <v>-1.4210854715202004E-14</v>
      </c>
      <c r="AV75">
        <v>0.65748843715054051</v>
      </c>
      <c r="AW75">
        <v>132.58091016925786</v>
      </c>
      <c r="AX75">
        <v>-1.4210854715202004E-14</v>
      </c>
      <c r="AY75">
        <v>-20.568127005594512</v>
      </c>
      <c r="AZ75">
        <v>-35.987195378866645</v>
      </c>
      <c r="BA75">
        <v>0</v>
      </c>
      <c r="BB75">
        <v>-21.170439793837222</v>
      </c>
      <c r="BC75">
        <v>-32.309453469672825</v>
      </c>
      <c r="BD75">
        <v>-1.4210854715202004E-14</v>
      </c>
      <c r="BE75">
        <v>-20.568127005594512</v>
      </c>
      <c r="BF75">
        <v>-35.987195378866645</v>
      </c>
      <c r="BG75">
        <v>0</v>
      </c>
      <c r="BH75">
        <v>4.4956606767702141</v>
      </c>
      <c r="BI75">
        <v>229.19494974784371</v>
      </c>
      <c r="BJ75">
        <v>-1.4210854715202004E-14</v>
      </c>
      <c r="BK75">
        <v>3.8884517878813227</v>
      </c>
      <c r="BL75">
        <v>235.93028994537451</v>
      </c>
      <c r="BM75">
        <v>0</v>
      </c>
      <c r="BN75">
        <v>4.4956606767702141</v>
      </c>
      <c r="BO75">
        <v>229.19494974784371</v>
      </c>
      <c r="BP75">
        <v>0</v>
      </c>
      <c r="BQ75">
        <v>-18.457397627643182</v>
      </c>
      <c r="BR75">
        <v>-8.9485074459422691</v>
      </c>
      <c r="BS75">
        <v>0</v>
      </c>
      <c r="BT75">
        <v>0.48676396436781033</v>
      </c>
      <c r="BU75">
        <v>204.06872580505254</v>
      </c>
      <c r="BV75">
        <v>0</v>
      </c>
      <c r="BW75">
        <v>-23.006395158251653</v>
      </c>
      <c r="BX75">
        <v>-13.402369721803273</v>
      </c>
      <c r="BY75">
        <v>0</v>
      </c>
      <c r="BZ75">
        <v>5.4442129682754299</v>
      </c>
      <c r="CA75">
        <v>217.7350467704851</v>
      </c>
      <c r="CB75">
        <v>0</v>
      </c>
      <c r="CC75">
        <v>-13.84009024963656</v>
      </c>
      <c r="CD75">
        <v>-34.379503273815573</v>
      </c>
      <c r="CE75">
        <v>0</v>
      </c>
      <c r="CF75">
        <v>4.9627478628375172</v>
      </c>
      <c r="CG75">
        <v>153.79675605474907</v>
      </c>
      <c r="CH75">
        <f t="shared" si="18"/>
        <v>5.4442129682754299</v>
      </c>
      <c r="CI75">
        <f t="shared" si="19"/>
        <v>-23.006395158251653</v>
      </c>
      <c r="CJ75">
        <f t="shared" si="20"/>
        <v>235.93028994537451</v>
      </c>
      <c r="CK75">
        <f t="shared" si="21"/>
        <v>-35.987195378866645</v>
      </c>
    </row>
    <row r="76" spans="1:89" x14ac:dyDescent="0.25">
      <c r="A76" s="1" t="str">
        <f>Shear_Wall_Foundation!A460</f>
        <v>16-4Wn_Lr</v>
      </c>
      <c r="B76" s="76">
        <f>Shear_Wall_Foundation!B460*-1*Bf_ft</f>
        <v>-7.5776666666666674</v>
      </c>
      <c r="C76" s="76">
        <f>-1*Shear_Wall_Foundation!D460*Bf_ft</f>
        <v>-0.175666666666666</v>
      </c>
      <c r="D76" s="76">
        <f>Shear_Wall_Foundation!C460</f>
        <v>0</v>
      </c>
      <c r="E76" s="76">
        <f>Shear_Wall_Foundation!E460</f>
        <v>30</v>
      </c>
      <c r="F76" s="1" t="s">
        <v>300</v>
      </c>
      <c r="G76" s="1" t="str">
        <f t="shared" si="23"/>
        <v>16-4Wn_Lr</v>
      </c>
      <c r="J76">
        <f t="shared" si="22"/>
        <v>12.333333333333346</v>
      </c>
      <c r="K76" cm="1">
        <f t="array" ref="K76:CG76">LRFD_Analysis(Lf_ft,J76,$B$4:$G$84,$J$4:$U$28)</f>
        <v>-2.8421709430404007E-14</v>
      </c>
      <c r="L76">
        <v>-6.1337399176954506</v>
      </c>
      <c r="M76">
        <v>75.745986328303616</v>
      </c>
      <c r="N76">
        <v>0</v>
      </c>
      <c r="O76">
        <v>-12.62999506172833</v>
      </c>
      <c r="P76">
        <v>154.97438710562412</v>
      </c>
      <c r="Q76">
        <v>0</v>
      </c>
      <c r="R76">
        <v>-13.194217283950572</v>
      </c>
      <c r="S76">
        <v>161.8659117969824</v>
      </c>
      <c r="T76">
        <v>0</v>
      </c>
      <c r="U76">
        <v>-12.62999506172833</v>
      </c>
      <c r="V76">
        <v>154.97438710562412</v>
      </c>
      <c r="W76">
        <v>1.4210854715202004E-14</v>
      </c>
      <c r="X76">
        <v>-7.5613987654320667</v>
      </c>
      <c r="Y76">
        <v>93.065523628258063</v>
      </c>
      <c r="Z76">
        <v>0</v>
      </c>
      <c r="AA76">
        <v>-9.3669098765431542</v>
      </c>
      <c r="AB76">
        <v>115.11840264060359</v>
      </c>
      <c r="AC76">
        <v>1.4210854715202004E-14</v>
      </c>
      <c r="AD76">
        <v>-7.5613987654320667</v>
      </c>
      <c r="AE76">
        <v>93.065523628258063</v>
      </c>
      <c r="AF76">
        <v>0</v>
      </c>
      <c r="AG76">
        <v>-11.462685079125819</v>
      </c>
      <c r="AH76">
        <v>-6.053524688566867</v>
      </c>
      <c r="AI76">
        <v>1.4210854715202004E-14</v>
      </c>
      <c r="AJ76">
        <v>-13.268196190236932</v>
      </c>
      <c r="AK76">
        <v>15.999354323778931</v>
      </c>
      <c r="AL76">
        <v>0</v>
      </c>
      <c r="AM76">
        <v>-11.462685079125819</v>
      </c>
      <c r="AN76">
        <v>-6.053524688566867</v>
      </c>
      <c r="AO76">
        <v>-1.4210854715202004E-14</v>
      </c>
      <c r="AP76">
        <v>0.94770236307646627</v>
      </c>
      <c r="AQ76">
        <v>131.90039585789711</v>
      </c>
      <c r="AR76">
        <v>0</v>
      </c>
      <c r="AS76">
        <v>-0.85780874803462126</v>
      </c>
      <c r="AT76">
        <v>153.95327487024281</v>
      </c>
      <c r="AU76">
        <v>-1.4210854715202004E-14</v>
      </c>
      <c r="AV76">
        <v>0.94770236307646627</v>
      </c>
      <c r="AW76">
        <v>131.90039585789711</v>
      </c>
      <c r="AX76">
        <v>-1.4210854715202004E-14</v>
      </c>
      <c r="AY76">
        <v>-19.682848982312315</v>
      </c>
      <c r="AZ76">
        <v>-29.687684274332995</v>
      </c>
      <c r="BA76">
        <v>0</v>
      </c>
      <c r="BB76">
        <v>-20.257448598944443</v>
      </c>
      <c r="BC76">
        <v>-25.85301683461519</v>
      </c>
      <c r="BD76">
        <v>-1.4210854715202004E-14</v>
      </c>
      <c r="BE76">
        <v>-19.682848982312315</v>
      </c>
      <c r="BF76">
        <v>-29.687684274332995</v>
      </c>
      <c r="BG76">
        <v>0</v>
      </c>
      <c r="BH76">
        <v>4.8489886767702188</v>
      </c>
      <c r="BI76">
        <v>227.01605306696018</v>
      </c>
      <c r="BJ76">
        <v>-1.4210854715202004E-14</v>
      </c>
      <c r="BK76">
        <v>4.2847664545480058</v>
      </c>
      <c r="BL76">
        <v>233.9075777583181</v>
      </c>
      <c r="BM76">
        <v>0</v>
      </c>
      <c r="BN76">
        <v>4.8489886767702188</v>
      </c>
      <c r="BO76">
        <v>227.01605306696018</v>
      </c>
      <c r="BP76">
        <v>0</v>
      </c>
      <c r="BQ76">
        <v>-17.649367612008092</v>
      </c>
      <c r="BR76">
        <v>-3.4347245362455823</v>
      </c>
      <c r="BS76">
        <v>0</v>
      </c>
      <c r="BT76">
        <v>0.95648070510854666</v>
      </c>
      <c r="BU76">
        <v>203.17655527518568</v>
      </c>
      <c r="BV76">
        <v>0</v>
      </c>
      <c r="BW76">
        <v>-22.072895158251651</v>
      </c>
      <c r="BX76">
        <v>-6.4584643462694764</v>
      </c>
      <c r="BY76">
        <v>0</v>
      </c>
      <c r="BZ76">
        <v>5.6150254326000137</v>
      </c>
      <c r="CA76">
        <v>215.32773163246887</v>
      </c>
      <c r="CB76">
        <v>0</v>
      </c>
      <c r="CC76">
        <v>-13.226808082626066</v>
      </c>
      <c r="CD76">
        <v>-30.071079999206489</v>
      </c>
      <c r="CE76">
        <v>0</v>
      </c>
      <c r="CF76">
        <v>5.1003501914486193</v>
      </c>
      <c r="CG76">
        <v>151.7553312208349</v>
      </c>
      <c r="CH76">
        <f t="shared" si="18"/>
        <v>5.6150254326000137</v>
      </c>
      <c r="CI76">
        <f t="shared" si="19"/>
        <v>-22.072895158251651</v>
      </c>
      <c r="CJ76">
        <f t="shared" si="20"/>
        <v>233.9075777583181</v>
      </c>
      <c r="CK76">
        <f t="shared" si="21"/>
        <v>-30.071079999206489</v>
      </c>
    </row>
    <row r="77" spans="1:89" x14ac:dyDescent="0.25">
      <c r="A77" s="1" t="str">
        <f>Shear_Wall_Foundation!A461</f>
        <v>16-4Wn_S</v>
      </c>
      <c r="B77" s="76">
        <f>Shear_Wall_Foundation!B461*-1*Bf_ft</f>
        <v>-7.6676666666666682</v>
      </c>
      <c r="C77" s="76">
        <f>-1*Shear_Wall_Foundation!D461*Bf_ft</f>
        <v>-0.38566666666666577</v>
      </c>
      <c r="D77" s="76">
        <f>Shear_Wall_Foundation!C461</f>
        <v>0</v>
      </c>
      <c r="E77" s="76">
        <f>Shear_Wall_Foundation!E461</f>
        <v>30</v>
      </c>
      <c r="F77" s="1" t="s">
        <v>300</v>
      </c>
      <c r="G77" s="1" t="str">
        <f t="shared" si="23"/>
        <v>16-4Wn_S</v>
      </c>
      <c r="J77">
        <f t="shared" si="22"/>
        <v>12.600000000000014</v>
      </c>
      <c r="K77" cm="1">
        <f t="array" ref="K77:CG77">LRFD_Analysis(Lf_ft,J77,$B$4:$G$84,$J$4:$U$28)</f>
        <v>-2.8421709430404007E-14</v>
      </c>
      <c r="L77">
        <v>-5.6671626666666555</v>
      </c>
      <c r="M77">
        <v>77.319369866666761</v>
      </c>
      <c r="N77">
        <v>0</v>
      </c>
      <c r="O77">
        <v>-11.672095999999932</v>
      </c>
      <c r="P77">
        <v>158.21452320000003</v>
      </c>
      <c r="Q77">
        <v>0</v>
      </c>
      <c r="R77">
        <v>-12.193615999999935</v>
      </c>
      <c r="S77">
        <v>165.25080720000011</v>
      </c>
      <c r="T77">
        <v>0</v>
      </c>
      <c r="U77">
        <v>-11.672095999999932</v>
      </c>
      <c r="V77">
        <v>158.21452320000003</v>
      </c>
      <c r="W77">
        <v>1.4210854715202004E-14</v>
      </c>
      <c r="X77">
        <v>-6.9871079999999637</v>
      </c>
      <c r="Y77">
        <v>95.005238600000098</v>
      </c>
      <c r="Z77">
        <v>0</v>
      </c>
      <c r="AA77">
        <v>-8.6559719999999416</v>
      </c>
      <c r="AB77">
        <v>117.52134739999997</v>
      </c>
      <c r="AC77">
        <v>1.4210854715202004E-14</v>
      </c>
      <c r="AD77">
        <v>-6.9871079999999637</v>
      </c>
      <c r="AE77">
        <v>95.005238600000098</v>
      </c>
      <c r="AF77">
        <v>0</v>
      </c>
      <c r="AG77">
        <v>-10.961053079125818</v>
      </c>
      <c r="AH77">
        <v>-2.5973243020345222</v>
      </c>
      <c r="AI77">
        <v>1.4210854715202004E-14</v>
      </c>
      <c r="AJ77">
        <v>-12.629917079125821</v>
      </c>
      <c r="AK77">
        <v>19.918784497965575</v>
      </c>
      <c r="AL77">
        <v>0</v>
      </c>
      <c r="AM77">
        <v>-10.961053079125818</v>
      </c>
      <c r="AN77">
        <v>-2.5973243020345222</v>
      </c>
      <c r="AO77">
        <v>-1.4210854715202004E-14</v>
      </c>
      <c r="AP77">
        <v>1.24591707912586</v>
      </c>
      <c r="AQ77">
        <v>131.14142439427286</v>
      </c>
      <c r="AR77">
        <v>0</v>
      </c>
      <c r="AS77">
        <v>-0.42294692087411789</v>
      </c>
      <c r="AT77">
        <v>153.65753319427279</v>
      </c>
      <c r="AU77">
        <v>-1.4210854715202004E-14</v>
      </c>
      <c r="AV77">
        <v>1.24591707912586</v>
      </c>
      <c r="AW77">
        <v>131.14142439427286</v>
      </c>
      <c r="AX77">
        <v>-1.4210854715202004E-14</v>
      </c>
      <c r="AY77">
        <v>-18.825427182457041</v>
      </c>
      <c r="AZ77">
        <v>-23.620533146217618</v>
      </c>
      <c r="BA77">
        <v>0</v>
      </c>
      <c r="BB77">
        <v>-19.37213918315063</v>
      </c>
      <c r="BC77">
        <v>-19.636353614315809</v>
      </c>
      <c r="BD77">
        <v>-1.4210854715202004E-14</v>
      </c>
      <c r="BE77">
        <v>-18.825427182457041</v>
      </c>
      <c r="BF77">
        <v>-23.620533146217618</v>
      </c>
      <c r="BG77">
        <v>0</v>
      </c>
      <c r="BH77">
        <v>5.2198621582517148</v>
      </c>
      <c r="BI77">
        <v>224.74059618854568</v>
      </c>
      <c r="BJ77">
        <v>-1.4210854715202004E-14</v>
      </c>
      <c r="BK77">
        <v>4.6983421582517053</v>
      </c>
      <c r="BL77">
        <v>231.77688018854559</v>
      </c>
      <c r="BM77">
        <v>0</v>
      </c>
      <c r="BN77">
        <v>5.2198621582517148</v>
      </c>
      <c r="BO77">
        <v>224.74059618854568</v>
      </c>
      <c r="BP77">
        <v>0</v>
      </c>
      <c r="BQ77">
        <v>-16.861698097928169</v>
      </c>
      <c r="BR77">
        <v>1.8662984361559012</v>
      </c>
      <c r="BS77">
        <v>0</v>
      </c>
      <c r="BT77">
        <v>1.4379916186887982</v>
      </c>
      <c r="BU77">
        <v>202.15755439140912</v>
      </c>
      <c r="BV77">
        <v>0</v>
      </c>
      <c r="BW77">
        <v>-21.139395158251645</v>
      </c>
      <c r="BX77">
        <v>0.23650769593100662</v>
      </c>
      <c r="BY77">
        <v>0</v>
      </c>
      <c r="BZ77">
        <v>5.8120870914421872</v>
      </c>
      <c r="CA77">
        <v>212.87136661136367</v>
      </c>
      <c r="CB77">
        <v>0</v>
      </c>
      <c r="CC77">
        <v>-12.635868551783295</v>
      </c>
      <c r="CD77">
        <v>-25.923219617644492</v>
      </c>
      <c r="CE77">
        <v>0</v>
      </c>
      <c r="CF77">
        <v>5.2524233196421051</v>
      </c>
      <c r="CG77">
        <v>149.67528299268002</v>
      </c>
      <c r="CH77">
        <f t="shared" si="18"/>
        <v>5.8120870914421872</v>
      </c>
      <c r="CI77">
        <f t="shared" si="19"/>
        <v>-21.139395158251645</v>
      </c>
      <c r="CJ77">
        <f t="shared" si="20"/>
        <v>231.77688018854559</v>
      </c>
      <c r="CK77">
        <f t="shared" si="21"/>
        <v>-25.923219617644492</v>
      </c>
    </row>
    <row r="78" spans="1:89" x14ac:dyDescent="0.25">
      <c r="A78" s="1" t="str">
        <f>Shear_Wall_Foundation!A462</f>
        <v>16-4Wn_R</v>
      </c>
      <c r="B78" s="76">
        <f>Shear_Wall_Foundation!B462*-1*Bf_ft</f>
        <v>-7.5776666666666674</v>
      </c>
      <c r="C78" s="76">
        <f>-1*Shear_Wall_Foundation!D462*Bf_ft</f>
        <v>-0.175666666666666</v>
      </c>
      <c r="D78" s="76">
        <f>Shear_Wall_Foundation!C462</f>
        <v>0</v>
      </c>
      <c r="E78" s="76">
        <f>Shear_Wall_Foundation!E462</f>
        <v>30</v>
      </c>
      <c r="F78" s="1" t="s">
        <v>300</v>
      </c>
      <c r="G78" s="1" t="str">
        <f t="shared" si="23"/>
        <v>16-4Wn_R</v>
      </c>
      <c r="J78">
        <f t="shared" si="22"/>
        <v>12.866666666666681</v>
      </c>
      <c r="K78" cm="1">
        <f t="array" ref="K78:CG78">LRFD_Analysis(Lf_ft,J78,$B$4:$G$84,$J$4:$U$28)</f>
        <v>-2.8421709430404007E-14</v>
      </c>
      <c r="L78">
        <v>-5.2037416954732265</v>
      </c>
      <c r="M78">
        <v>78.768753642066798</v>
      </c>
      <c r="N78">
        <v>0</v>
      </c>
      <c r="O78">
        <v>-10.720619061728314</v>
      </c>
      <c r="P78">
        <v>161.2000758277091</v>
      </c>
      <c r="Q78">
        <v>0</v>
      </c>
      <c r="R78">
        <v>-11.199721283950545</v>
      </c>
      <c r="S78">
        <v>168.36976980301785</v>
      </c>
      <c r="T78">
        <v>0</v>
      </c>
      <c r="U78">
        <v>-10.720619061728314</v>
      </c>
      <c r="V78">
        <v>161.2000758277091</v>
      </c>
      <c r="W78">
        <v>1.4210854715202004E-14</v>
      </c>
      <c r="X78">
        <v>-6.4166840987653941</v>
      </c>
      <c r="Y78">
        <v>96.792324949519923</v>
      </c>
      <c r="Z78">
        <v>0</v>
      </c>
      <c r="AA78">
        <v>-7.9498112098764793</v>
      </c>
      <c r="AB78">
        <v>119.73534567050748</v>
      </c>
      <c r="AC78">
        <v>1.4210854715202004E-14</v>
      </c>
      <c r="AD78">
        <v>-6.4166840987653941</v>
      </c>
      <c r="AE78">
        <v>96.792324949519923</v>
      </c>
      <c r="AF78">
        <v>0</v>
      </c>
      <c r="AG78">
        <v>-10.472832634681367</v>
      </c>
      <c r="AH78">
        <v>0.72689575857187094</v>
      </c>
      <c r="AI78">
        <v>1.4210854715202004E-14</v>
      </c>
      <c r="AJ78">
        <v>-12.005959745792484</v>
      </c>
      <c r="AK78">
        <v>23.66991647955966</v>
      </c>
      <c r="AL78">
        <v>0</v>
      </c>
      <c r="AM78">
        <v>-10.472832634681367</v>
      </c>
      <c r="AN78">
        <v>0.72689575857187094</v>
      </c>
      <c r="AO78">
        <v>-1.4210854715202004E-14</v>
      </c>
      <c r="AP78">
        <v>1.5521325852987005</v>
      </c>
      <c r="AQ78">
        <v>130.30186223435234</v>
      </c>
      <c r="AR78">
        <v>0</v>
      </c>
      <c r="AS78">
        <v>1.9005474187615334E-2</v>
      </c>
      <c r="AT78">
        <v>153.2448829553399</v>
      </c>
      <c r="AU78">
        <v>-1.4210854715202004E-14</v>
      </c>
      <c r="AV78">
        <v>1.5521325852987005</v>
      </c>
      <c r="AW78">
        <v>130.30186223435234</v>
      </c>
      <c r="AX78">
        <v>-1.4210854715202004E-14</v>
      </c>
      <c r="AY78">
        <v>-17.99586160602869</v>
      </c>
      <c r="AZ78">
        <v>-17.778313668273462</v>
      </c>
      <c r="BA78">
        <v>0</v>
      </c>
      <c r="BB78">
        <v>-18.51451154645579</v>
      </c>
      <c r="BC78">
        <v>-13.652082001014918</v>
      </c>
      <c r="BD78">
        <v>-1.4210854715202004E-14</v>
      </c>
      <c r="BE78">
        <v>-17.99586160602869</v>
      </c>
      <c r="BF78">
        <v>-17.778313668273462</v>
      </c>
      <c r="BG78">
        <v>0</v>
      </c>
      <c r="BH78">
        <v>5.6082811212146737</v>
      </c>
      <c r="BI78">
        <v>222.36390031753859</v>
      </c>
      <c r="BJ78">
        <v>-1.4210854715202004E-14</v>
      </c>
      <c r="BK78">
        <v>5.1291788989924498</v>
      </c>
      <c r="BL78">
        <v>229.53359429284717</v>
      </c>
      <c r="BM78">
        <v>0</v>
      </c>
      <c r="BN78">
        <v>5.6082811212146737</v>
      </c>
      <c r="BO78">
        <v>222.36390031753859</v>
      </c>
      <c r="BP78">
        <v>0</v>
      </c>
      <c r="BQ78">
        <v>-16.094389085403414</v>
      </c>
      <c r="BR78">
        <v>6.9599909383433243</v>
      </c>
      <c r="BS78">
        <v>0</v>
      </c>
      <c r="BT78">
        <v>1.9312967051085366</v>
      </c>
      <c r="BU78">
        <v>201.00857804096592</v>
      </c>
      <c r="BV78">
        <v>0</v>
      </c>
      <c r="BW78">
        <v>-20.205895158251646</v>
      </c>
      <c r="BX78">
        <v>6.6825464047981153</v>
      </c>
      <c r="BY78">
        <v>0</v>
      </c>
      <c r="BZ78">
        <v>6.0353979448019572</v>
      </c>
      <c r="CA78">
        <v>210.35895192196489</v>
      </c>
      <c r="CB78">
        <v>0</v>
      </c>
      <c r="CC78">
        <v>-12.067271657108252</v>
      </c>
      <c r="CD78">
        <v>-21.929964092818231</v>
      </c>
      <c r="CE78">
        <v>0</v>
      </c>
      <c r="CF78">
        <v>5.4189672474179531</v>
      </c>
      <c r="CG78">
        <v>147.55275249039616</v>
      </c>
      <c r="CH78">
        <f t="shared" si="18"/>
        <v>6.0353979448019572</v>
      </c>
      <c r="CI78">
        <f t="shared" si="19"/>
        <v>-20.205895158251646</v>
      </c>
      <c r="CJ78">
        <f t="shared" si="20"/>
        <v>229.53359429284717</v>
      </c>
      <c r="CK78">
        <f t="shared" si="21"/>
        <v>-21.929964092818231</v>
      </c>
    </row>
    <row r="79" spans="1:89" x14ac:dyDescent="0.25">
      <c r="A79" s="1" t="str">
        <f>Shear_Wall_Foundation!A463</f>
        <v>16-5Ep</v>
      </c>
      <c r="B79" s="76">
        <f>Shear_Wall_Foundation!B463*-1*Bf_ft</f>
        <v>0</v>
      </c>
      <c r="C79" s="76">
        <f>-1*Shear_Wall_Foundation!D463*Bf_ft</f>
        <v>-8.3788754868964723</v>
      </c>
      <c r="D79" s="76">
        <f>Shear_Wall_Foundation!C463</f>
        <v>0.7359298531810694</v>
      </c>
      <c r="E79" s="76">
        <f>Shear_Wall_Foundation!E463</f>
        <v>30</v>
      </c>
      <c r="F79" s="1" t="s">
        <v>300</v>
      </c>
      <c r="G79" s="1" t="str">
        <f t="shared" si="23"/>
        <v>16-5Ep</v>
      </c>
      <c r="J79">
        <f t="shared" si="22"/>
        <v>13.133333333333349</v>
      </c>
      <c r="K79" cm="1">
        <f t="array" ref="K79:CG79">LRFD_Analysis(Lf_ft,J79,$B$4:$G$84,$J$4:$U$28)</f>
        <v>-2.8421709430404007E-14</v>
      </c>
      <c r="L79">
        <v>-4.7434770041151921</v>
      </c>
      <c r="M79">
        <v>80.094979329126687</v>
      </c>
      <c r="N79">
        <v>0</v>
      </c>
      <c r="O79">
        <v>-9.775564246913504</v>
      </c>
      <c r="P79">
        <v>163.93275755500682</v>
      </c>
      <c r="Q79">
        <v>0</v>
      </c>
      <c r="R79">
        <v>-10.21253313580241</v>
      </c>
      <c r="S79">
        <v>171.22458802414275</v>
      </c>
      <c r="T79">
        <v>0</v>
      </c>
      <c r="U79">
        <v>-9.775564246913504</v>
      </c>
      <c r="V79">
        <v>163.93275755500682</v>
      </c>
      <c r="W79">
        <v>1.4210854715202004E-14</v>
      </c>
      <c r="X79">
        <v>-5.8501270617283581</v>
      </c>
      <c r="Y79">
        <v>98.427813840603534</v>
      </c>
      <c r="Z79">
        <v>0</v>
      </c>
      <c r="AA79">
        <v>-7.2484275061727814</v>
      </c>
      <c r="AB79">
        <v>121.76167134183805</v>
      </c>
      <c r="AC79">
        <v>1.4210854715202004E-14</v>
      </c>
      <c r="AD79">
        <v>-5.8501270617283581</v>
      </c>
      <c r="AE79">
        <v>98.427813840603534</v>
      </c>
      <c r="AF79">
        <v>0</v>
      </c>
      <c r="AG79">
        <v>-9.9980237457924801</v>
      </c>
      <c r="AH79">
        <v>3.922711908067086</v>
      </c>
      <c r="AI79">
        <v>1.4210854715202004E-14</v>
      </c>
      <c r="AJ79">
        <v>-11.396324190236928</v>
      </c>
      <c r="AK79">
        <v>27.25656940930179</v>
      </c>
      <c r="AL79">
        <v>0</v>
      </c>
      <c r="AM79">
        <v>-9.9980237457924801</v>
      </c>
      <c r="AN79">
        <v>3.922711908067086</v>
      </c>
      <c r="AO79">
        <v>-1.4210854715202004E-14</v>
      </c>
      <c r="AP79">
        <v>1.8663488815950018</v>
      </c>
      <c r="AQ79">
        <v>129.3795758341025</v>
      </c>
      <c r="AR79">
        <v>0</v>
      </c>
      <c r="AS79">
        <v>0.46804843715057842</v>
      </c>
      <c r="AT79">
        <v>152.71343333533696</v>
      </c>
      <c r="AU79">
        <v>-1.4210854715202004E-14</v>
      </c>
      <c r="AV79">
        <v>1.8663488815950018</v>
      </c>
      <c r="AW79">
        <v>129.3795758341025</v>
      </c>
      <c r="AX79">
        <v>-1.4210854715202004E-14</v>
      </c>
      <c r="AY79">
        <v>-17.194152253027262</v>
      </c>
      <c r="AZ79">
        <v>-12.153597514253342</v>
      </c>
      <c r="BA79">
        <v>0</v>
      </c>
      <c r="BB79">
        <v>-17.684565688859934</v>
      </c>
      <c r="BC79">
        <v>-7.8928201869528323</v>
      </c>
      <c r="BD79">
        <v>-1.4210854715202004E-14</v>
      </c>
      <c r="BE79">
        <v>-17.194152253027262</v>
      </c>
      <c r="BF79">
        <v>-12.153597514253342</v>
      </c>
      <c r="BG79">
        <v>0</v>
      </c>
      <c r="BH79">
        <v>6.014245565659138</v>
      </c>
      <c r="BI79">
        <v>219.88128665887712</v>
      </c>
      <c r="BJ79">
        <v>-1.4210854715202004E-14</v>
      </c>
      <c r="BK79">
        <v>5.5772766767702393</v>
      </c>
      <c r="BL79">
        <v>227.17311712801296</v>
      </c>
      <c r="BM79">
        <v>0</v>
      </c>
      <c r="BN79">
        <v>6.014245565659138</v>
      </c>
      <c r="BO79">
        <v>219.88128665887712</v>
      </c>
      <c r="BP79">
        <v>0</v>
      </c>
      <c r="BQ79">
        <v>-15.347440574433827</v>
      </c>
      <c r="BR79">
        <v>11.851782437398072</v>
      </c>
      <c r="BS79">
        <v>0</v>
      </c>
      <c r="BT79">
        <v>2.4363959643678186</v>
      </c>
      <c r="BU79">
        <v>199.72648111109874</v>
      </c>
      <c r="BV79">
        <v>0</v>
      </c>
      <c r="BW79">
        <v>-19.272395158251641</v>
      </c>
      <c r="BX79">
        <v>12.879651780331878</v>
      </c>
      <c r="BY79">
        <v>0</v>
      </c>
      <c r="BZ79">
        <v>6.2849579926792813</v>
      </c>
      <c r="CA79">
        <v>207.7834877790678</v>
      </c>
      <c r="CB79">
        <v>0</v>
      </c>
      <c r="CC79">
        <v>-11.521017398600929</v>
      </c>
      <c r="CD79">
        <v>-18.085355388416318</v>
      </c>
      <c r="CE79">
        <v>0</v>
      </c>
      <c r="CF79">
        <v>5.5999819747761919</v>
      </c>
      <c r="CG79">
        <v>145.38388083409444</v>
      </c>
      <c r="CH79">
        <f t="shared" si="18"/>
        <v>6.2849579926792813</v>
      </c>
      <c r="CI79">
        <f t="shared" si="19"/>
        <v>-19.272395158251641</v>
      </c>
      <c r="CJ79">
        <f t="shared" si="20"/>
        <v>227.17311712801296</v>
      </c>
      <c r="CK79">
        <f t="shared" si="21"/>
        <v>-18.085355388416318</v>
      </c>
    </row>
    <row r="80" spans="1:89" x14ac:dyDescent="0.25">
      <c r="A80" s="1" t="str">
        <f>Shear_Wall_Foundation!A464</f>
        <v>16-5En</v>
      </c>
      <c r="B80" s="76">
        <f>Shear_Wall_Foundation!B464*-1*Bf_ft</f>
        <v>-6.5744999999999996</v>
      </c>
      <c r="C80" s="76">
        <f>-1*Shear_Wall_Foundation!D464*Bf_ft</f>
        <v>-1.5988333333333331</v>
      </c>
      <c r="D80" s="76">
        <f>Shear_Wall_Foundation!C464</f>
        <v>0</v>
      </c>
      <c r="E80" s="76">
        <f>Shear_Wall_Foundation!E464</f>
        <v>30</v>
      </c>
      <c r="F80" s="1" t="s">
        <v>300</v>
      </c>
      <c r="G80" s="1" t="str">
        <f t="shared" si="23"/>
        <v>16-5En</v>
      </c>
      <c r="J80">
        <f t="shared" si="22"/>
        <v>13.400000000000016</v>
      </c>
      <c r="K80" cm="1">
        <f t="array" ref="K80:CG80">LRFD_Analysis(Lf_ft,J80,$B$4:$G$84,$J$4:$U$28)</f>
        <v>-2.8421709430404007E-14</v>
      </c>
      <c r="L80">
        <v>-4.2863685925925665</v>
      </c>
      <c r="M80">
        <v>81.298888602469333</v>
      </c>
      <c r="N80">
        <v>0</v>
      </c>
      <c r="O80">
        <v>-8.8369315555554735</v>
      </c>
      <c r="P80">
        <v>166.4142809481481</v>
      </c>
      <c r="Q80">
        <v>0</v>
      </c>
      <c r="R80">
        <v>-9.2320515555554934</v>
      </c>
      <c r="S80">
        <v>173.81705028148167</v>
      </c>
      <c r="T80">
        <v>0</v>
      </c>
      <c r="U80">
        <v>-8.8369315555554735</v>
      </c>
      <c r="V80">
        <v>166.4142809481481</v>
      </c>
      <c r="W80">
        <v>1.4210854715202004E-14</v>
      </c>
      <c r="X80">
        <v>-5.2874368888888625</v>
      </c>
      <c r="Y80">
        <v>99.912736437037097</v>
      </c>
      <c r="Z80">
        <v>0</v>
      </c>
      <c r="AA80">
        <v>-6.5518208888888338</v>
      </c>
      <c r="AB80">
        <v>123.60159830370364</v>
      </c>
      <c r="AC80">
        <v>1.4210854715202004E-14</v>
      </c>
      <c r="AD80">
        <v>-5.2874368888888625</v>
      </c>
      <c r="AE80">
        <v>99.912736437037097</v>
      </c>
      <c r="AF80">
        <v>0</v>
      </c>
      <c r="AG80">
        <v>-9.5366264124591513</v>
      </c>
      <c r="AH80">
        <v>6.993700561266138</v>
      </c>
      <c r="AI80">
        <v>1.4210854715202004E-14</v>
      </c>
      <c r="AJ80">
        <v>-10.801010412459153</v>
      </c>
      <c r="AK80">
        <v>30.682562427932908</v>
      </c>
      <c r="AL80">
        <v>0</v>
      </c>
      <c r="AM80">
        <v>-9.5366264124591513</v>
      </c>
      <c r="AN80">
        <v>6.993700561266138</v>
      </c>
      <c r="AO80">
        <v>-1.4210854715202004E-14</v>
      </c>
      <c r="AP80">
        <v>2.1885659680147427</v>
      </c>
      <c r="AQ80">
        <v>128.37243164949058</v>
      </c>
      <c r="AR80">
        <v>0</v>
      </c>
      <c r="AS80">
        <v>0.92418196801476427</v>
      </c>
      <c r="AT80">
        <v>152.06129351615732</v>
      </c>
      <c r="AU80">
        <v>-1.4210854715202004E-14</v>
      </c>
      <c r="AV80">
        <v>2.1885659680147427</v>
      </c>
      <c r="AW80">
        <v>128.37243164949058</v>
      </c>
      <c r="AX80">
        <v>-1.4210854715202004E-14</v>
      </c>
      <c r="AY80">
        <v>-16.420299123452768</v>
      </c>
      <c r="AZ80">
        <v>-6.7389563579098422</v>
      </c>
      <c r="BA80">
        <v>0</v>
      </c>
      <c r="BB80">
        <v>-16.882301610363058</v>
      </c>
      <c r="BC80">
        <v>-2.3511863643697097</v>
      </c>
      <c r="BD80">
        <v>-1.4210854715202004E-14</v>
      </c>
      <c r="BE80">
        <v>-16.420299123452768</v>
      </c>
      <c r="BF80">
        <v>-6.7389563579098422</v>
      </c>
      <c r="BG80">
        <v>0</v>
      </c>
      <c r="BH80">
        <v>6.4377554915850368</v>
      </c>
      <c r="BI80">
        <v>217.28807641749978</v>
      </c>
      <c r="BJ80">
        <v>-1.4210854715202004E-14</v>
      </c>
      <c r="BK80">
        <v>6.0426354915850311</v>
      </c>
      <c r="BL80">
        <v>224.69084575083298</v>
      </c>
      <c r="BM80">
        <v>0</v>
      </c>
      <c r="BN80">
        <v>6.4377554915850368</v>
      </c>
      <c r="BO80">
        <v>217.28807641749978</v>
      </c>
      <c r="BP80">
        <v>0</v>
      </c>
      <c r="BQ80">
        <v>-14.620852565019414</v>
      </c>
      <c r="BR80">
        <v>16.547102400401826</v>
      </c>
      <c r="BS80">
        <v>0</v>
      </c>
      <c r="BT80">
        <v>2.9532893964665732</v>
      </c>
      <c r="BU80">
        <v>198.30811848905057</v>
      </c>
      <c r="BV80">
        <v>0</v>
      </c>
      <c r="BW80">
        <v>-18.338895158251642</v>
      </c>
      <c r="BX80">
        <v>18.827823822532359</v>
      </c>
      <c r="BY80">
        <v>0</v>
      </c>
      <c r="BZ80">
        <v>6.5607672350742234</v>
      </c>
      <c r="CA80">
        <v>205.13797439746753</v>
      </c>
      <c r="CB80">
        <v>0</v>
      </c>
      <c r="CC80">
        <v>-10.997105776261336</v>
      </c>
      <c r="CD80">
        <v>-14.383435468127253</v>
      </c>
      <c r="CE80">
        <v>0</v>
      </c>
      <c r="CF80">
        <v>5.7954675017168356</v>
      </c>
      <c r="CG80">
        <v>143.16480914388609</v>
      </c>
      <c r="CH80">
        <f t="shared" si="18"/>
        <v>6.5607672350742234</v>
      </c>
      <c r="CI80">
        <f t="shared" si="19"/>
        <v>-18.338895158251642</v>
      </c>
      <c r="CJ80">
        <f t="shared" si="20"/>
        <v>224.69084575083298</v>
      </c>
      <c r="CK80">
        <f t="shared" si="21"/>
        <v>-14.383435468127253</v>
      </c>
    </row>
    <row r="81" spans="1:89" x14ac:dyDescent="0.25">
      <c r="A81" s="1" t="str">
        <f>Shear_Wall_Foundation!A465</f>
        <v>16-6Wp</v>
      </c>
      <c r="B81" s="76">
        <f>Shear_Wall_Foundation!B465*-1*Bf_ft</f>
        <v>0</v>
      </c>
      <c r="C81" s="76">
        <f>-1*Shear_Wall_Foundation!D465*Bf_ft</f>
        <v>-9.9900740975465787</v>
      </c>
      <c r="D81" s="76">
        <f>Shear_Wall_Foundation!C465</f>
        <v>15.296655603778403</v>
      </c>
      <c r="E81" s="76">
        <f>Shear_Wall_Foundation!E465</f>
        <v>30</v>
      </c>
      <c r="F81" s="1" t="s">
        <v>300</v>
      </c>
      <c r="G81" s="1" t="str">
        <f t="shared" si="23"/>
        <v>16-6Wp</v>
      </c>
      <c r="J81">
        <f t="shared" si="22"/>
        <v>13.666666666666684</v>
      </c>
      <c r="K81" cm="1">
        <f t="array" ref="K81:CG81">LRFD_Analysis(Lf_ft,J81,$B$4:$G$84,$J$4:$U$28)</f>
        <v>-2.8421709430404007E-14</v>
      </c>
      <c r="L81">
        <v>-3.8324164609053213</v>
      </c>
      <c r="M81">
        <v>82.381323136717015</v>
      </c>
      <c r="N81">
        <v>0</v>
      </c>
      <c r="O81">
        <v>-7.9047209876542368</v>
      </c>
      <c r="P81">
        <v>168.64635857338817</v>
      </c>
      <c r="Q81">
        <v>0</v>
      </c>
      <c r="R81">
        <v>-8.2582765432097958</v>
      </c>
      <c r="S81">
        <v>176.14894499314136</v>
      </c>
      <c r="T81">
        <v>0</v>
      </c>
      <c r="U81">
        <v>-7.9047209876542368</v>
      </c>
      <c r="V81">
        <v>168.64635857338817</v>
      </c>
      <c r="W81">
        <v>1.4210854715202004E-14</v>
      </c>
      <c r="X81">
        <v>-4.7286135802468721</v>
      </c>
      <c r="Y81">
        <v>101.24812390260621</v>
      </c>
      <c r="Z81">
        <v>0</v>
      </c>
      <c r="AA81">
        <v>-5.8599913580246294</v>
      </c>
      <c r="AB81">
        <v>125.25640044581601</v>
      </c>
      <c r="AC81">
        <v>1.4210854715202004E-14</v>
      </c>
      <c r="AD81">
        <v>-4.7286135802468721</v>
      </c>
      <c r="AE81">
        <v>101.24812390260621</v>
      </c>
      <c r="AF81">
        <v>0</v>
      </c>
      <c r="AG81">
        <v>-9.0886406346813704</v>
      </c>
      <c r="AH81">
        <v>9.9434381329836015</v>
      </c>
      <c r="AI81">
        <v>1.4210854715202004E-14</v>
      </c>
      <c r="AJ81">
        <v>-10.220018412459151</v>
      </c>
      <c r="AK81">
        <v>33.95171467619366</v>
      </c>
      <c r="AL81">
        <v>0</v>
      </c>
      <c r="AM81">
        <v>-9.0886406346813704</v>
      </c>
      <c r="AN81">
        <v>9.9434381329836015</v>
      </c>
      <c r="AO81">
        <v>-1.4210854715202004E-14</v>
      </c>
      <c r="AP81">
        <v>2.5187838445579445</v>
      </c>
      <c r="AQ81">
        <v>127.27829613648373</v>
      </c>
      <c r="AR81">
        <v>0</v>
      </c>
      <c r="AS81">
        <v>1.3874060667801942</v>
      </c>
      <c r="AT81">
        <v>151.28657267969339</v>
      </c>
      <c r="AU81">
        <v>-1.4210854715202004E-14</v>
      </c>
      <c r="AV81">
        <v>2.5187838445579445</v>
      </c>
      <c r="AW81">
        <v>127.27829613648373</v>
      </c>
      <c r="AX81">
        <v>-1.4210854715202004E-14</v>
      </c>
      <c r="AY81">
        <v>-15.674302217305193</v>
      </c>
      <c r="AZ81">
        <v>-1.5269618729960115</v>
      </c>
      <c r="BA81">
        <v>0</v>
      </c>
      <c r="BB81">
        <v>-16.107719310965155</v>
      </c>
      <c r="BC81">
        <v>2.9802012744941209</v>
      </c>
      <c r="BD81">
        <v>-1.4210854715202004E-14</v>
      </c>
      <c r="BE81">
        <v>-15.674302217305193</v>
      </c>
      <c r="BF81">
        <v>-1.5269618729960115</v>
      </c>
      <c r="BG81">
        <v>0</v>
      </c>
      <c r="BH81">
        <v>6.8788108989924552</v>
      </c>
      <c r="BI81">
        <v>214.57959079834444</v>
      </c>
      <c r="BJ81">
        <v>-1.4210854715202004E-14</v>
      </c>
      <c r="BK81">
        <v>6.5252553434368821</v>
      </c>
      <c r="BL81">
        <v>222.08217721809774</v>
      </c>
      <c r="BM81">
        <v>0</v>
      </c>
      <c r="BN81">
        <v>6.8788108989924552</v>
      </c>
      <c r="BO81">
        <v>214.57959079834444</v>
      </c>
      <c r="BP81">
        <v>0</v>
      </c>
      <c r="BQ81">
        <v>-13.914625057160166</v>
      </c>
      <c r="BR81">
        <v>21.051380294435631</v>
      </c>
      <c r="BS81">
        <v>0</v>
      </c>
      <c r="BT81">
        <v>3.4819770014048572</v>
      </c>
      <c r="BU81">
        <v>196.75034506206396</v>
      </c>
      <c r="BV81">
        <v>0</v>
      </c>
      <c r="BW81">
        <v>-17.405395158251636</v>
      </c>
      <c r="BX81">
        <v>24.527062531399494</v>
      </c>
      <c r="BY81">
        <v>0</v>
      </c>
      <c r="BZ81">
        <v>6.8628256719867125</v>
      </c>
      <c r="CA81">
        <v>202.41541199195984</v>
      </c>
      <c r="CB81">
        <v>0</v>
      </c>
      <c r="CC81">
        <v>-10.49553679008946</v>
      </c>
      <c r="CD81">
        <v>-10.818246295639753</v>
      </c>
      <c r="CE81">
        <v>0</v>
      </c>
      <c r="CF81">
        <v>6.0054238282398558</v>
      </c>
      <c r="CG81">
        <v>140.89167853988243</v>
      </c>
      <c r="CH81">
        <f t="shared" si="18"/>
        <v>6.8788108989924552</v>
      </c>
      <c r="CI81">
        <f t="shared" si="19"/>
        <v>-17.405395158251636</v>
      </c>
      <c r="CJ81">
        <f t="shared" si="20"/>
        <v>222.08217721809774</v>
      </c>
      <c r="CK81">
        <f t="shared" si="21"/>
        <v>-10.818246295639753</v>
      </c>
    </row>
    <row r="82" spans="1:89" x14ac:dyDescent="0.25">
      <c r="A82" s="1" t="str">
        <f>Shear_Wall_Foundation!A466</f>
        <v>16-6Wn</v>
      </c>
      <c r="B82" s="76">
        <f>Shear_Wall_Foundation!B466*-1*Bf_ft</f>
        <v>-7.3634556932055251</v>
      </c>
      <c r="C82" s="76">
        <f>-1*Shear_Wall_Foundation!D466*Bf_ft</f>
        <v>0</v>
      </c>
      <c r="D82" s="76">
        <f>Shear_Wall_Foundation!C466</f>
        <v>0</v>
      </c>
      <c r="E82" s="76">
        <f>Shear_Wall_Foundation!E466</f>
        <v>19.948174623436302</v>
      </c>
      <c r="F82" s="1" t="s">
        <v>300</v>
      </c>
      <c r="G82" s="1" t="str">
        <f t="shared" si="23"/>
        <v>16-6Wn</v>
      </c>
      <c r="J82">
        <f t="shared" si="22"/>
        <v>13.933333333333351</v>
      </c>
      <c r="K82" cm="1">
        <f t="array" ref="K82:CG82">LRFD_Analysis(Lf_ft,J82,$B$4:$G$84,$J$4:$U$28)</f>
        <v>-2.8421709430404007E-14</v>
      </c>
      <c r="L82">
        <v>-3.3816206090534706</v>
      </c>
      <c r="M82">
        <v>83.343124606493035</v>
      </c>
      <c r="N82">
        <v>0</v>
      </c>
      <c r="O82">
        <v>-6.9789325432097868</v>
      </c>
      <c r="P82">
        <v>170.63070299698208</v>
      </c>
      <c r="Q82">
        <v>0</v>
      </c>
      <c r="R82">
        <v>-7.2912080987653596</v>
      </c>
      <c r="S82">
        <v>178.2220605772292</v>
      </c>
      <c r="T82">
        <v>0</v>
      </c>
      <c r="U82">
        <v>-6.9789325432097868</v>
      </c>
      <c r="V82">
        <v>170.63070299698208</v>
      </c>
      <c r="W82">
        <v>1.4210854715202004E-14</v>
      </c>
      <c r="X82">
        <v>-4.1736571358024293</v>
      </c>
      <c r="Y82">
        <v>102.43500740109752</v>
      </c>
      <c r="Z82">
        <v>0</v>
      </c>
      <c r="AA82">
        <v>-5.1729389135801824</v>
      </c>
      <c r="AB82">
        <v>126.72735165788734</v>
      </c>
      <c r="AC82">
        <v>1.4210854715202004E-14</v>
      </c>
      <c r="AD82">
        <v>-4.1736571358024293</v>
      </c>
      <c r="AE82">
        <v>102.43500740109752</v>
      </c>
      <c r="AF82">
        <v>0</v>
      </c>
      <c r="AG82">
        <v>-8.6540664124591427</v>
      </c>
      <c r="AH82">
        <v>12.775501038034463</v>
      </c>
      <c r="AI82">
        <v>1.4210854715202004E-14</v>
      </c>
      <c r="AJ82">
        <v>-9.6533481902369225</v>
      </c>
      <c r="AK82">
        <v>37.067845294824721</v>
      </c>
      <c r="AL82">
        <v>0</v>
      </c>
      <c r="AM82">
        <v>-8.6540664124591427</v>
      </c>
      <c r="AN82">
        <v>12.775501038034463</v>
      </c>
      <c r="AO82">
        <v>-1.4210854715202004E-14</v>
      </c>
      <c r="AP82">
        <v>2.8570025112246356</v>
      </c>
      <c r="AQ82">
        <v>126.09503575104867</v>
      </c>
      <c r="AR82">
        <v>0</v>
      </c>
      <c r="AS82">
        <v>1.8577207334468824</v>
      </c>
      <c r="AT82">
        <v>150.38738000783871</v>
      </c>
      <c r="AU82">
        <v>-1.4210854715202004E-14</v>
      </c>
      <c r="AV82">
        <v>2.8570025112246356</v>
      </c>
      <c r="AW82">
        <v>126.09503575104867</v>
      </c>
      <c r="AX82">
        <v>-1.4210854715202004E-14</v>
      </c>
      <c r="AY82">
        <v>-14.956161534584535</v>
      </c>
      <c r="AZ82">
        <v>3.4898142667352801</v>
      </c>
      <c r="BA82">
        <v>0</v>
      </c>
      <c r="BB82">
        <v>-15.360818790666219</v>
      </c>
      <c r="BC82">
        <v>8.1087245373983023</v>
      </c>
      <c r="BD82">
        <v>-1.4210854715202004E-14</v>
      </c>
      <c r="BE82">
        <v>-14.956161534584535</v>
      </c>
      <c r="BF82">
        <v>3.4898142667352801</v>
      </c>
      <c r="BG82">
        <v>0</v>
      </c>
      <c r="BH82">
        <v>7.3374117878813507</v>
      </c>
      <c r="BI82">
        <v>211.75115100634974</v>
      </c>
      <c r="BJ82">
        <v>-1.4210854715202004E-14</v>
      </c>
      <c r="BK82">
        <v>7.0251362323257922</v>
      </c>
      <c r="BL82">
        <v>219.34250858659669</v>
      </c>
      <c r="BM82">
        <v>0</v>
      </c>
      <c r="BN82">
        <v>7.3374117878813507</v>
      </c>
      <c r="BO82">
        <v>211.75115100634974</v>
      </c>
      <c r="BP82">
        <v>0</v>
      </c>
      <c r="BQ82">
        <v>-13.228758050856078</v>
      </c>
      <c r="BR82">
        <v>25.370045586581043</v>
      </c>
      <c r="BS82">
        <v>0</v>
      </c>
      <c r="BT82">
        <v>4.0224587791826423</v>
      </c>
      <c r="BU82">
        <v>195.05001571738239</v>
      </c>
      <c r="BV82">
        <v>0</v>
      </c>
      <c r="BW82">
        <v>-16.471895158251627</v>
      </c>
      <c r="BX82">
        <v>29.977367906933271</v>
      </c>
      <c r="BY82">
        <v>0</v>
      </c>
      <c r="BZ82">
        <v>7.1911333034168052</v>
      </c>
      <c r="CA82">
        <v>199.60880077733998</v>
      </c>
      <c r="CB82">
        <v>0</v>
      </c>
      <c r="CC82">
        <v>-10.016310440085313</v>
      </c>
      <c r="CD82">
        <v>-7.383829834642377</v>
      </c>
      <c r="CE82">
        <v>0</v>
      </c>
      <c r="CF82">
        <v>6.2298509543452454</v>
      </c>
      <c r="CG82">
        <v>138.56063014219524</v>
      </c>
      <c r="CH82">
        <f t="shared" si="18"/>
        <v>7.3374117878813507</v>
      </c>
      <c r="CI82">
        <f t="shared" si="19"/>
        <v>-16.471895158251627</v>
      </c>
      <c r="CJ82">
        <f t="shared" si="20"/>
        <v>219.34250858659669</v>
      </c>
      <c r="CK82">
        <f t="shared" si="21"/>
        <v>-7.383829834642377</v>
      </c>
    </row>
    <row r="83" spans="1:89" x14ac:dyDescent="0.25">
      <c r="A83" s="1" t="str">
        <f>Shear_Wall_Foundation!A467</f>
        <v>16-7Ep</v>
      </c>
      <c r="B83" s="76">
        <f>Shear_Wall_Foundation!B467*-1*Bf_ft</f>
        <v>0</v>
      </c>
      <c r="C83" s="76">
        <f>-1*Shear_Wall_Foundation!D467*Bf_ft</f>
        <v>-6.7934579894442297</v>
      </c>
      <c r="D83" s="76">
        <f>Shear_Wall_Foundation!C467</f>
        <v>8.3780954812356434</v>
      </c>
      <c r="E83" s="76">
        <f>Shear_Wall_Foundation!E467</f>
        <v>30</v>
      </c>
      <c r="F83" s="1" t="s">
        <v>300</v>
      </c>
      <c r="G83" s="1" t="str">
        <f t="shared" si="23"/>
        <v>16-7Ep</v>
      </c>
      <c r="J83">
        <f t="shared" si="22"/>
        <v>14.200000000000019</v>
      </c>
      <c r="K83" cm="1">
        <f t="array" ref="K83:CG83">LRFD_Analysis(Lf_ft,J83,$B$4:$G$84,$J$4:$U$28)</f>
        <v>-2.8421709430404007E-14</v>
      </c>
      <c r="L83">
        <v>-2.9339810370370074</v>
      </c>
      <c r="M83">
        <v>84.185134686419786</v>
      </c>
      <c r="N83">
        <v>0</v>
      </c>
      <c r="O83">
        <v>-6.0595662222221307</v>
      </c>
      <c r="P83">
        <v>172.3690267851851</v>
      </c>
      <c r="Q83">
        <v>0</v>
      </c>
      <c r="R83">
        <v>-6.330846222222128</v>
      </c>
      <c r="S83">
        <v>180.03818545185175</v>
      </c>
      <c r="T83">
        <v>0</v>
      </c>
      <c r="U83">
        <v>-6.0595662222221307</v>
      </c>
      <c r="V83">
        <v>172.3690267851851</v>
      </c>
      <c r="W83">
        <v>1.4210854715202004E-14</v>
      </c>
      <c r="X83">
        <v>-3.6225675555555128</v>
      </c>
      <c r="Y83">
        <v>103.47441809629635</v>
      </c>
      <c r="Z83">
        <v>0</v>
      </c>
      <c r="AA83">
        <v>-4.4906635555554928</v>
      </c>
      <c r="AB83">
        <v>128.01572582962947</v>
      </c>
      <c r="AC83">
        <v>1.4210854715202004E-14</v>
      </c>
      <c r="AD83">
        <v>-3.6225675555555128</v>
      </c>
      <c r="AE83">
        <v>103.47441809629635</v>
      </c>
      <c r="AF83">
        <v>0</v>
      </c>
      <c r="AG83">
        <v>-8.232903745792477</v>
      </c>
      <c r="AH83">
        <v>15.493465691233482</v>
      </c>
      <c r="AI83">
        <v>1.4210854715202004E-14</v>
      </c>
      <c r="AJ83">
        <v>-9.1009997457924818</v>
      </c>
      <c r="AK83">
        <v>40.034773424566993</v>
      </c>
      <c r="AL83">
        <v>0</v>
      </c>
      <c r="AM83">
        <v>-8.232903745792477</v>
      </c>
      <c r="AN83">
        <v>15.493465691233482</v>
      </c>
      <c r="AO83">
        <v>-1.4210854715202004E-14</v>
      </c>
      <c r="AP83">
        <v>3.203221968014752</v>
      </c>
      <c r="AQ83">
        <v>124.82051694915287</v>
      </c>
      <c r="AR83">
        <v>0</v>
      </c>
      <c r="AS83">
        <v>2.3351259680147791</v>
      </c>
      <c r="AT83">
        <v>149.36182468248614</v>
      </c>
      <c r="AU83">
        <v>-1.4210854715202004E-14</v>
      </c>
      <c r="AV83">
        <v>3.203221968014752</v>
      </c>
      <c r="AW83">
        <v>124.82051694915287</v>
      </c>
      <c r="AX83">
        <v>-1.4210854715202004E-14</v>
      </c>
      <c r="AY83">
        <v>-14.265877075290815</v>
      </c>
      <c r="AZ83">
        <v>8.318800387531482</v>
      </c>
      <c r="BA83">
        <v>0</v>
      </c>
      <c r="BB83">
        <v>-14.641600049466273</v>
      </c>
      <c r="BC83">
        <v>13.041765232102662</v>
      </c>
      <c r="BD83">
        <v>-1.4210854715202004E-14</v>
      </c>
      <c r="BE83">
        <v>-14.265877075290815</v>
      </c>
      <c r="BF83">
        <v>8.318800387531482</v>
      </c>
      <c r="BG83">
        <v>0</v>
      </c>
      <c r="BH83">
        <v>7.8135581582517091</v>
      </c>
      <c r="BI83">
        <v>208.79807824645383</v>
      </c>
      <c r="BJ83">
        <v>-1.4210854715202004E-14</v>
      </c>
      <c r="BK83">
        <v>7.5422781582517331</v>
      </c>
      <c r="BL83">
        <v>216.46723691312047</v>
      </c>
      <c r="BM83">
        <v>0</v>
      </c>
      <c r="BN83">
        <v>7.8135581582517091</v>
      </c>
      <c r="BO83">
        <v>208.79807824645383</v>
      </c>
      <c r="BP83">
        <v>0</v>
      </c>
      <c r="BQ83">
        <v>-12.563251546107166</v>
      </c>
      <c r="BR83">
        <v>29.508527743919402</v>
      </c>
      <c r="BS83">
        <v>0</v>
      </c>
      <c r="BT83">
        <v>4.5747347297999283</v>
      </c>
      <c r="BU83">
        <v>193.20398534224773</v>
      </c>
      <c r="BV83">
        <v>0</v>
      </c>
      <c r="BW83">
        <v>-15.538395158251628</v>
      </c>
      <c r="BX83">
        <v>35.178739949133757</v>
      </c>
      <c r="BY83">
        <v>0</v>
      </c>
      <c r="BZ83">
        <v>7.5456901293644876</v>
      </c>
      <c r="CA83">
        <v>196.71114096840262</v>
      </c>
      <c r="CB83">
        <v>0</v>
      </c>
      <c r="CC83">
        <v>-9.5594267262488941</v>
      </c>
      <c r="CD83">
        <v>-4.0742280488237359</v>
      </c>
      <c r="CE83">
        <v>0</v>
      </c>
      <c r="CF83">
        <v>6.4687488800330399</v>
      </c>
      <c r="CG83">
        <v>136.16780507093546</v>
      </c>
      <c r="CH83">
        <f t="shared" si="18"/>
        <v>7.8135581582517091</v>
      </c>
      <c r="CI83">
        <f t="shared" si="19"/>
        <v>-15.538395158251628</v>
      </c>
      <c r="CJ83">
        <f t="shared" si="20"/>
        <v>216.46723691312047</v>
      </c>
      <c r="CK83">
        <f t="shared" si="21"/>
        <v>-4.0742280488237359</v>
      </c>
    </row>
    <row r="84" spans="1:89" x14ac:dyDescent="0.25">
      <c r="A84" s="1" t="str">
        <f>Shear_Wall_Foundation!A468</f>
        <v>16-7En</v>
      </c>
      <c r="B84" s="76">
        <f>Shear_Wall_Foundation!B468*-1*Bf_ft</f>
        <v>-5.4672628210610359</v>
      </c>
      <c r="C84" s="76">
        <f>-1*Shear_Wall_Foundation!D468*Bf_ft</f>
        <v>0</v>
      </c>
      <c r="D84" s="76">
        <f>Shear_Wall_Foundation!C468</f>
        <v>0</v>
      </c>
      <c r="E84" s="76">
        <f>Shear_Wall_Foundation!E468</f>
        <v>26.866734745979059</v>
      </c>
      <c r="F84" s="1" t="s">
        <v>300</v>
      </c>
      <c r="G84" s="1" t="str">
        <f t="shared" si="23"/>
        <v>16-7En</v>
      </c>
      <c r="J84">
        <f t="shared" si="22"/>
        <v>14.466666666666686</v>
      </c>
      <c r="K84" cm="1">
        <f t="array" ref="K84:CG84">LRFD_Analysis(Lf_ft,J84,$B$4:$G$84,$J$4:$U$28)</f>
        <v>-2.8421709430404007E-14</v>
      </c>
      <c r="L84">
        <v>-2.4894977448559317</v>
      </c>
      <c r="M84">
        <v>84.908195051120231</v>
      </c>
      <c r="N84">
        <v>0</v>
      </c>
      <c r="O84">
        <v>-5.1466220246912684</v>
      </c>
      <c r="P84">
        <v>173.86304250425229</v>
      </c>
      <c r="Q84">
        <v>0</v>
      </c>
      <c r="R84">
        <v>-5.377190913580165</v>
      </c>
      <c r="S84">
        <v>181.59910803511656</v>
      </c>
      <c r="T84">
        <v>0</v>
      </c>
      <c r="U84">
        <v>-5.1466220246912684</v>
      </c>
      <c r="V84">
        <v>173.86304250425229</v>
      </c>
      <c r="W84">
        <v>1.4210854715202004E-14</v>
      </c>
      <c r="X84">
        <v>-3.0753448395061298</v>
      </c>
      <c r="Y84">
        <v>104.36738715198902</v>
      </c>
      <c r="Z84">
        <v>0</v>
      </c>
      <c r="AA84">
        <v>-3.8131652839505463</v>
      </c>
      <c r="AB84">
        <v>129.1227968507543</v>
      </c>
      <c r="AC84">
        <v>1.4210854715202004E-14</v>
      </c>
      <c r="AD84">
        <v>-3.0753448395061298</v>
      </c>
      <c r="AE84">
        <v>104.36738715198902</v>
      </c>
      <c r="AF84">
        <v>0</v>
      </c>
      <c r="AG84">
        <v>-7.8251526346813627</v>
      </c>
      <c r="AH84">
        <v>18.100908507395445</v>
      </c>
      <c r="AI84">
        <v>1.4210854715202004E-14</v>
      </c>
      <c r="AJ84">
        <v>-8.5629730791258112</v>
      </c>
      <c r="AK84">
        <v>42.856318206160978</v>
      </c>
      <c r="AL84">
        <v>0</v>
      </c>
      <c r="AM84">
        <v>-7.8251526346813627</v>
      </c>
      <c r="AN84">
        <v>18.100908507395445</v>
      </c>
      <c r="AO84">
        <v>-1.4210854715202004E-14</v>
      </c>
      <c r="AP84">
        <v>3.5574422149283293</v>
      </c>
      <c r="AQ84">
        <v>123.45260618676332</v>
      </c>
      <c r="AR84">
        <v>0</v>
      </c>
      <c r="AS84">
        <v>2.8196217704839199</v>
      </c>
      <c r="AT84">
        <v>148.20801588552837</v>
      </c>
      <c r="AU84">
        <v>-1.4210854715202004E-14</v>
      </c>
      <c r="AV84">
        <v>3.5574422149283293</v>
      </c>
      <c r="AW84">
        <v>123.45260618676332</v>
      </c>
      <c r="AX84">
        <v>-1.4210854715202004E-14</v>
      </c>
      <c r="AY84">
        <v>-13.603448839424011</v>
      </c>
      <c r="AZ84">
        <v>12.967424815639532</v>
      </c>
      <c r="BA84">
        <v>0</v>
      </c>
      <c r="BB84">
        <v>-13.950063087365297</v>
      </c>
      <c r="BC84">
        <v>17.786705166366936</v>
      </c>
      <c r="BD84">
        <v>-1.4210854715202004E-14</v>
      </c>
      <c r="BE84">
        <v>-13.603448839424011</v>
      </c>
      <c r="BF84">
        <v>12.967424815639532</v>
      </c>
      <c r="BG84">
        <v>0</v>
      </c>
      <c r="BH84">
        <v>8.3072500101035729</v>
      </c>
      <c r="BI84">
        <v>205.71569372359488</v>
      </c>
      <c r="BJ84">
        <v>-1.4210854715202004E-14</v>
      </c>
      <c r="BK84">
        <v>8.0766811212146905</v>
      </c>
      <c r="BL84">
        <v>213.4517592544592</v>
      </c>
      <c r="BM84">
        <v>0</v>
      </c>
      <c r="BN84">
        <v>8.3072500101035729</v>
      </c>
      <c r="BO84">
        <v>205.71569372359488</v>
      </c>
      <c r="BP84">
        <v>0</v>
      </c>
      <c r="BQ84">
        <v>-11.918105542913422</v>
      </c>
      <c r="BR84">
        <v>33.472256233532008</v>
      </c>
      <c r="BS84">
        <v>0</v>
      </c>
      <c r="BT84">
        <v>5.1388048532567154</v>
      </c>
      <c r="BU84">
        <v>191.20910882390325</v>
      </c>
      <c r="BV84">
        <v>0</v>
      </c>
      <c r="BW84">
        <v>-14.604895158251626</v>
      </c>
      <c r="BX84">
        <v>40.13117865800082</v>
      </c>
      <c r="BY84">
        <v>0</v>
      </c>
      <c r="BZ84">
        <v>7.9264961498297311</v>
      </c>
      <c r="CA84">
        <v>193.71543277994397</v>
      </c>
      <c r="CB84">
        <v>0</v>
      </c>
      <c r="CC84">
        <v>-9.1248856485801966</v>
      </c>
      <c r="CD84">
        <v>-0.88348290187250811</v>
      </c>
      <c r="CE84">
        <v>0</v>
      </c>
      <c r="CF84">
        <v>6.722117605303211</v>
      </c>
      <c r="CG84">
        <v>133.70934444621469</v>
      </c>
      <c r="CH84">
        <f t="shared" si="18"/>
        <v>8.3072500101035729</v>
      </c>
      <c r="CI84">
        <f t="shared" si="19"/>
        <v>-14.604895158251626</v>
      </c>
      <c r="CJ84">
        <f t="shared" si="20"/>
        <v>213.4517592544592</v>
      </c>
      <c r="CK84">
        <f t="shared" si="21"/>
        <v>-0.88348290187250811</v>
      </c>
    </row>
    <row r="85" spans="1:89" x14ac:dyDescent="0.25">
      <c r="A85" s="1"/>
      <c r="J85">
        <f t="shared" si="22"/>
        <v>14.733333333333354</v>
      </c>
      <c r="K85" cm="1">
        <f t="array" ref="K85:CG85">LRFD_Analysis(Lf_ft,J85,$B$4:$G$84,$J$4:$U$28)</f>
        <v>-2.8421709430404007E-14</v>
      </c>
      <c r="L85">
        <v>-2.0481707325102718</v>
      </c>
      <c r="M85">
        <v>85.513147375217329</v>
      </c>
      <c r="N85">
        <v>0</v>
      </c>
      <c r="O85">
        <v>-4.2400999506171857</v>
      </c>
      <c r="P85">
        <v>175.11446272043895</v>
      </c>
      <c r="Q85">
        <v>0</v>
      </c>
      <c r="R85">
        <v>-4.4302421728394137</v>
      </c>
      <c r="S85">
        <v>182.90661674513029</v>
      </c>
      <c r="T85">
        <v>0</v>
      </c>
      <c r="U85">
        <v>-4.2400999506171857</v>
      </c>
      <c r="V85">
        <v>175.11446272043895</v>
      </c>
      <c r="W85">
        <v>1.4210854715202004E-14</v>
      </c>
      <c r="X85">
        <v>-2.5319889876542661</v>
      </c>
      <c r="Y85">
        <v>105.1149457319616</v>
      </c>
      <c r="Z85">
        <v>0</v>
      </c>
      <c r="AA85">
        <v>-3.1404440987653501</v>
      </c>
      <c r="AB85">
        <v>130.04983861097384</v>
      </c>
      <c r="AC85">
        <v>1.4210854715202004E-14</v>
      </c>
      <c r="AD85">
        <v>-2.5319889876542661</v>
      </c>
      <c r="AE85">
        <v>105.1149457319616</v>
      </c>
      <c r="AF85">
        <v>0</v>
      </c>
      <c r="AG85">
        <v>-7.4308130791258051</v>
      </c>
      <c r="AH85">
        <v>20.601405901335156</v>
      </c>
      <c r="AI85">
        <v>1.4210854715202004E-14</v>
      </c>
      <c r="AJ85">
        <v>-8.0392681902369176</v>
      </c>
      <c r="AK85">
        <v>45.536298780347664</v>
      </c>
      <c r="AL85">
        <v>0</v>
      </c>
      <c r="AM85">
        <v>-7.4308130791258051</v>
      </c>
      <c r="AN85">
        <v>20.601405901335156</v>
      </c>
      <c r="AO85">
        <v>-1.4210854715202004E-14</v>
      </c>
      <c r="AP85">
        <v>3.9196632519653818</v>
      </c>
      <c r="AQ85">
        <v>121.9891699198468</v>
      </c>
      <c r="AR85">
        <v>0</v>
      </c>
      <c r="AS85">
        <v>3.3112081408542906</v>
      </c>
      <c r="AT85">
        <v>146.92406279885904</v>
      </c>
      <c r="AU85">
        <v>-1.4210854715202004E-14</v>
      </c>
      <c r="AV85">
        <v>3.9196632519653818</v>
      </c>
      <c r="AW85">
        <v>121.9891699198468</v>
      </c>
      <c r="AX85">
        <v>-1.4210854715202004E-14</v>
      </c>
      <c r="AY85">
        <v>-12.968876826984136</v>
      </c>
      <c r="AZ85">
        <v>17.443115877306699</v>
      </c>
      <c r="BA85">
        <v>0</v>
      </c>
      <c r="BB85">
        <v>-13.286207904363298</v>
      </c>
      <c r="BC85">
        <v>22.350926147950801</v>
      </c>
      <c r="BD85">
        <v>-1.4210854715202004E-14</v>
      </c>
      <c r="BE85">
        <v>-12.968876826984136</v>
      </c>
      <c r="BF85">
        <v>17.443115877306699</v>
      </c>
      <c r="BG85">
        <v>0</v>
      </c>
      <c r="BH85">
        <v>8.818487343436928</v>
      </c>
      <c r="BI85">
        <v>202.49931864271127</v>
      </c>
      <c r="BJ85">
        <v>-1.4210854715202004E-14</v>
      </c>
      <c r="BK85">
        <v>8.6283451212146929</v>
      </c>
      <c r="BL85">
        <v>210.29147266740284</v>
      </c>
      <c r="BM85">
        <v>0</v>
      </c>
      <c r="BN85">
        <v>8.818487343436928</v>
      </c>
      <c r="BO85">
        <v>202.49931864271127</v>
      </c>
      <c r="BP85">
        <v>0</v>
      </c>
      <c r="BQ85">
        <v>-11.29332004127485</v>
      </c>
      <c r="BR85">
        <v>37.266660522500388</v>
      </c>
      <c r="BS85">
        <v>0</v>
      </c>
      <c r="BT85">
        <v>5.7146691495530177</v>
      </c>
      <c r="BU85">
        <v>189.06224104959165</v>
      </c>
      <c r="BV85">
        <v>0</v>
      </c>
      <c r="BW85">
        <v>-13.671395158251622</v>
      </c>
      <c r="BX85">
        <v>44.834684033534607</v>
      </c>
      <c r="BY85">
        <v>0</v>
      </c>
      <c r="BZ85">
        <v>8.3335513648125641</v>
      </c>
      <c r="CA85">
        <v>190.61467642675859</v>
      </c>
      <c r="CB85">
        <v>0</v>
      </c>
      <c r="CC85">
        <v>-8.7126872070792256</v>
      </c>
      <c r="CD85">
        <v>2.1943636425228235</v>
      </c>
      <c r="CE85">
        <v>0</v>
      </c>
      <c r="CF85">
        <v>6.9899571301557444</v>
      </c>
      <c r="CG85">
        <v>131.18138938814417</v>
      </c>
      <c r="CH85">
        <f t="shared" si="18"/>
        <v>8.818487343436928</v>
      </c>
      <c r="CI85">
        <f t="shared" si="19"/>
        <v>-13.671395158251622</v>
      </c>
      <c r="CJ85">
        <f t="shared" si="20"/>
        <v>210.29147266740284</v>
      </c>
      <c r="CK85">
        <f t="shared" si="21"/>
        <v>2.1943636425228235</v>
      </c>
    </row>
    <row r="86" spans="1:89" x14ac:dyDescent="0.25">
      <c r="A86" s="1"/>
      <c r="J86">
        <f t="shared" si="22"/>
        <v>15.000000000000021</v>
      </c>
      <c r="K86" cm="1">
        <f t="array" ref="K86:CG86">LRFD_Analysis(Lf_ft,J86,$B$4:$G$84,$J$4:$U$28)</f>
        <v>-2.8421709430404007E-14</v>
      </c>
      <c r="L86">
        <v>-1.609999999999971</v>
      </c>
      <c r="M86">
        <v>86.000833333333333</v>
      </c>
      <c r="N86">
        <v>0</v>
      </c>
      <c r="O86">
        <v>-3.3399999999999039</v>
      </c>
      <c r="P86">
        <v>176.12499999999989</v>
      </c>
      <c r="Q86">
        <v>0</v>
      </c>
      <c r="R86">
        <v>-3.4899999999999096</v>
      </c>
      <c r="S86">
        <v>183.96249999999986</v>
      </c>
      <c r="T86">
        <v>0</v>
      </c>
      <c r="U86">
        <v>-3.3399999999999039</v>
      </c>
      <c r="V86">
        <v>176.12499999999989</v>
      </c>
      <c r="W86">
        <v>1.4210854715202004E-14</v>
      </c>
      <c r="X86">
        <v>-1.9924999999999571</v>
      </c>
      <c r="Y86">
        <v>105.71812500000004</v>
      </c>
      <c r="Z86">
        <v>0</v>
      </c>
      <c r="AA86">
        <v>-2.4724999999999184</v>
      </c>
      <c r="AB86">
        <v>130.7981249999998</v>
      </c>
      <c r="AC86">
        <v>1.4210854715202004E-14</v>
      </c>
      <c r="AD86">
        <v>-1.9924999999999571</v>
      </c>
      <c r="AE86">
        <v>105.71812500000004</v>
      </c>
      <c r="AF86">
        <v>0</v>
      </c>
      <c r="AG86">
        <v>-7.0498850791258114</v>
      </c>
      <c r="AH86">
        <v>22.998534287867443</v>
      </c>
      <c r="AI86">
        <v>1.4210854715202004E-14</v>
      </c>
      <c r="AJ86">
        <v>-7.5298850791258118</v>
      </c>
      <c r="AK86">
        <v>48.078534287867626</v>
      </c>
      <c r="AL86">
        <v>0</v>
      </c>
      <c r="AM86">
        <v>-7.0498850791258114</v>
      </c>
      <c r="AN86">
        <v>22.998534287867443</v>
      </c>
      <c r="AO86">
        <v>-1.4210854715202004E-14</v>
      </c>
      <c r="AP86">
        <v>4.2898850791258596</v>
      </c>
      <c r="AQ86">
        <v>120.42807460437081</v>
      </c>
      <c r="AR86">
        <v>0</v>
      </c>
      <c r="AS86">
        <v>3.8098850791258769</v>
      </c>
      <c r="AT86">
        <v>145.50807460437079</v>
      </c>
      <c r="AU86">
        <v>-1.4210854715202004E-14</v>
      </c>
      <c r="AV86">
        <v>4.2898850791258596</v>
      </c>
      <c r="AW86">
        <v>120.42807460437081</v>
      </c>
      <c r="AX86">
        <v>-1.4210854715202004E-14</v>
      </c>
      <c r="AY86">
        <v>-12.362161037971191</v>
      </c>
      <c r="AZ86">
        <v>21.753301898780183</v>
      </c>
      <c r="BA86">
        <v>0</v>
      </c>
      <c r="BB86">
        <v>-12.650034500460285</v>
      </c>
      <c r="BC86">
        <v>26.74180998461398</v>
      </c>
      <c r="BD86">
        <v>-1.4210854715202004E-14</v>
      </c>
      <c r="BE86">
        <v>-12.362161037971191</v>
      </c>
      <c r="BF86">
        <v>21.753301898780183</v>
      </c>
      <c r="BG86">
        <v>0</v>
      </c>
      <c r="BH86">
        <v>9.3472701582517317</v>
      </c>
      <c r="BI86">
        <v>199.14427420874131</v>
      </c>
      <c r="BJ86">
        <v>-1.4210854715202004E-14</v>
      </c>
      <c r="BK86">
        <v>9.197270158251726</v>
      </c>
      <c r="BL86">
        <v>206.98177420874129</v>
      </c>
      <c r="BM86">
        <v>0</v>
      </c>
      <c r="BN86">
        <v>9.3472701582517317</v>
      </c>
      <c r="BO86">
        <v>199.14427420874131</v>
      </c>
      <c r="BP86">
        <v>0</v>
      </c>
      <c r="BQ86">
        <v>-10.688895041191444</v>
      </c>
      <c r="BR86">
        <v>40.89717007790577</v>
      </c>
      <c r="BS86">
        <v>0</v>
      </c>
      <c r="BT86">
        <v>6.3023276186888211</v>
      </c>
      <c r="BU86">
        <v>186.76023690655592</v>
      </c>
      <c r="BV86">
        <v>0</v>
      </c>
      <c r="BW86">
        <v>-12.737895158251618</v>
      </c>
      <c r="BX86">
        <v>49.289256075735032</v>
      </c>
      <c r="BY86">
        <v>0</v>
      </c>
      <c r="BZ86">
        <v>8.7668557743129867</v>
      </c>
      <c r="CA86">
        <v>187.40187212364202</v>
      </c>
      <c r="CB86">
        <v>0</v>
      </c>
      <c r="CC86">
        <v>-8.3228314017459759</v>
      </c>
      <c r="CD86">
        <v>5.1652696206735769</v>
      </c>
      <c r="CE86">
        <v>0</v>
      </c>
      <c r="CF86">
        <v>7.2722674545906756</v>
      </c>
      <c r="CG86">
        <v>128.58008101683544</v>
      </c>
      <c r="CH86">
        <f t="shared" si="18"/>
        <v>9.3472701582517317</v>
      </c>
      <c r="CI86">
        <f t="shared" si="19"/>
        <v>-12.737895158251618</v>
      </c>
      <c r="CJ86">
        <f t="shared" si="20"/>
        <v>206.98177420874129</v>
      </c>
      <c r="CK86">
        <f t="shared" si="21"/>
        <v>5.1652696206735769</v>
      </c>
    </row>
    <row r="87" spans="1:89" x14ac:dyDescent="0.25">
      <c r="A87" s="1"/>
      <c r="B87" cm="1">
        <f t="array" ref="B87:D87">fb_TRAP(B83,C83,D83,E83,E83,E83)</f>
        <v>-73.443750000000009</v>
      </c>
      <c r="C87">
        <v>-73.443750000000009</v>
      </c>
      <c r="D87">
        <v>529.33125000000018</v>
      </c>
      <c r="J87">
        <f t="shared" si="22"/>
        <v>15.266666666666689</v>
      </c>
      <c r="K87" cm="1">
        <f t="array" ref="K87:CG87">LRFD_Analysis(Lf_ft,J87,$B$4:$G$84,$J$4:$U$28)</f>
        <v>-2.8421709430404007E-14</v>
      </c>
      <c r="L87">
        <v>-1.1749855473250719</v>
      </c>
      <c r="M87">
        <v>86.372094600091373</v>
      </c>
      <c r="N87">
        <v>0</v>
      </c>
      <c r="O87">
        <v>-2.446322172839416</v>
      </c>
      <c r="P87">
        <v>176.89636690919042</v>
      </c>
      <c r="Q87">
        <v>0</v>
      </c>
      <c r="R87">
        <v>-2.5564643950616386</v>
      </c>
      <c r="S87">
        <v>184.76854621783247</v>
      </c>
      <c r="T87">
        <v>0</v>
      </c>
      <c r="U87">
        <v>-2.446322172839416</v>
      </c>
      <c r="V87">
        <v>176.89636690919042</v>
      </c>
      <c r="W87">
        <v>1.4210854715202004E-14</v>
      </c>
      <c r="X87">
        <v>-1.4568778765431603</v>
      </c>
      <c r="Y87">
        <v>106.17795611989015</v>
      </c>
      <c r="Z87">
        <v>0</v>
      </c>
      <c r="AA87">
        <v>-1.809332987654237</v>
      </c>
      <c r="AB87">
        <v>131.36892990754427</v>
      </c>
      <c r="AC87">
        <v>1.4210854715202004E-14</v>
      </c>
      <c r="AD87">
        <v>-1.4568778765431603</v>
      </c>
      <c r="AE87">
        <v>106.17795611989015</v>
      </c>
      <c r="AF87">
        <v>0</v>
      </c>
      <c r="AG87">
        <v>-6.6823686346813638</v>
      </c>
      <c r="AH87">
        <v>25.295870081807152</v>
      </c>
      <c r="AI87">
        <v>1.4210854715202004E-14</v>
      </c>
      <c r="AJ87">
        <v>-7.0348237457924725</v>
      </c>
      <c r="AK87">
        <v>50.48684386946158</v>
      </c>
      <c r="AL87">
        <v>0</v>
      </c>
      <c r="AM87">
        <v>-6.6823686346813638</v>
      </c>
      <c r="AN87">
        <v>25.295870081807152</v>
      </c>
      <c r="AO87">
        <v>-1.4210854715202004E-14</v>
      </c>
      <c r="AP87">
        <v>4.6681076964098267</v>
      </c>
      <c r="AQ87">
        <v>118.76718669630185</v>
      </c>
      <c r="AR87">
        <v>0</v>
      </c>
      <c r="AS87">
        <v>4.3156525852987215</v>
      </c>
      <c r="AT87">
        <v>143.95816048395619</v>
      </c>
      <c r="AU87">
        <v>-1.4210854715202004E-14</v>
      </c>
      <c r="AV87">
        <v>4.6681076964098267</v>
      </c>
      <c r="AW87">
        <v>118.76718669630185</v>
      </c>
      <c r="AX87">
        <v>-1.4210854715202004E-14</v>
      </c>
      <c r="AY87">
        <v>-11.783301472385158</v>
      </c>
      <c r="AZ87">
        <v>25.905411206307051</v>
      </c>
      <c r="BA87">
        <v>0</v>
      </c>
      <c r="BB87">
        <v>-12.041542875656239</v>
      </c>
      <c r="BC87">
        <v>30.966738484116128</v>
      </c>
      <c r="BD87">
        <v>-1.4210854715202004E-14</v>
      </c>
      <c r="BE87">
        <v>-11.783301472385158</v>
      </c>
      <c r="BF87">
        <v>25.905411206307051</v>
      </c>
      <c r="BG87">
        <v>0</v>
      </c>
      <c r="BH87">
        <v>9.8935984545480125</v>
      </c>
      <c r="BI87">
        <v>195.64588162662324</v>
      </c>
      <c r="BJ87">
        <v>-1.4210854715202004E-14</v>
      </c>
      <c r="BK87">
        <v>9.7834562323257899</v>
      </c>
      <c r="BL87">
        <v>203.51806093526523</v>
      </c>
      <c r="BM87">
        <v>0</v>
      </c>
      <c r="BN87">
        <v>9.8935984545480125</v>
      </c>
      <c r="BO87">
        <v>195.64588162662324</v>
      </c>
      <c r="BP87">
        <v>0</v>
      </c>
      <c r="BQ87">
        <v>-10.104830542663201</v>
      </c>
      <c r="BR87">
        <v>44.369214366829539</v>
      </c>
      <c r="BS87">
        <v>0</v>
      </c>
      <c r="BT87">
        <v>6.9017802606641396</v>
      </c>
      <c r="BU87">
        <v>184.29995128203825</v>
      </c>
      <c r="BV87">
        <v>0</v>
      </c>
      <c r="BW87">
        <v>-11.804395158251618</v>
      </c>
      <c r="BX87">
        <v>53.494894784602138</v>
      </c>
      <c r="BY87">
        <v>0</v>
      </c>
      <c r="BZ87">
        <v>9.2264093783309846</v>
      </c>
      <c r="CA87">
        <v>184.07002008539007</v>
      </c>
      <c r="CB87">
        <v>0</v>
      </c>
      <c r="CC87">
        <v>-7.9553182325804563</v>
      </c>
      <c r="CD87">
        <v>8.0351930688911324</v>
      </c>
      <c r="CE87">
        <v>0</v>
      </c>
      <c r="CF87">
        <v>7.5690485786079904</v>
      </c>
      <c r="CG87">
        <v>125.90156045239951</v>
      </c>
      <c r="CH87">
        <f t="shared" ref="CH87:CH131" si="24">MAX(CF87,CC87,BZ87,BW87,BT87,BQ87,BN87,BK87,BH87,BE87,BB87,AY87,AV87,AS87,AP87,AM87,AJ87,AG87,AD87,AA87,X87,U87,R87,O87,L87)</f>
        <v>9.8935984545480125</v>
      </c>
      <c r="CI87">
        <f t="shared" ref="CI87:CI131" si="25">MIN(CF87,CC87,BZ87,BW87,BT87,BQ87,BN87,BK87,BH87,BE87,BB87,AY87,AV87,AS87,AP87,AM87,AJ87,AG87,AD87,AA87,X87,U87,R87,O87,L87)</f>
        <v>-12.041542875656239</v>
      </c>
      <c r="CJ87">
        <f t="shared" ref="CJ87:CJ131" si="26">MAX(CG87,CD87,CA87,BX87,BU87,BR87,BO87,BL87,BI87,BF87,BC87,AZ87,AW87,AT87,AQ87,AN87,AK87,AH87,AE87,AB87,Y87,V87,S87,P87,M87)</f>
        <v>203.51806093526523</v>
      </c>
      <c r="CK87">
        <f t="shared" ref="CK87:CK131" si="27">MIN(CG87,CD87,CA87,BX87,BU87,BR87,BO87,BL87,BI87,BF87,BC87,AZ87,AW87,AT87,AQ87,AN87,AK87,AH87,AE87,AB87,Y87,V87,S87,P87,M87)</f>
        <v>8.0351930688911324</v>
      </c>
    </row>
    <row r="88" spans="1:89" x14ac:dyDescent="0.25">
      <c r="A88" s="1"/>
      <c r="J88">
        <f t="shared" si="22"/>
        <v>15.533333333333356</v>
      </c>
      <c r="K88" cm="1">
        <f t="array" ref="K88:CG88">LRFD_Analysis(Lf_ft,J88,$B$4:$G$84,$J$4:$U$28)</f>
        <v>-2.8421709430404007E-14</v>
      </c>
      <c r="L88">
        <v>-0.74312737448556732</v>
      </c>
      <c r="M88">
        <v>86.627772850114468</v>
      </c>
      <c r="N88">
        <v>0</v>
      </c>
      <c r="O88">
        <v>-1.5590664691356864</v>
      </c>
      <c r="P88">
        <v>177.43027601426604</v>
      </c>
      <c r="Q88">
        <v>0</v>
      </c>
      <c r="R88">
        <v>-1.6296353580245864</v>
      </c>
      <c r="S88">
        <v>185.32654381673507</v>
      </c>
      <c r="T88">
        <v>0</v>
      </c>
      <c r="U88">
        <v>-1.5590664691356864</v>
      </c>
      <c r="V88">
        <v>177.43027601426604</v>
      </c>
      <c r="W88">
        <v>1.4210854715202004E-14</v>
      </c>
      <c r="X88">
        <v>-0.92512261728389689</v>
      </c>
      <c r="Y88">
        <v>106.4954702554183</v>
      </c>
      <c r="Z88">
        <v>0</v>
      </c>
      <c r="AA88">
        <v>-1.150943061728313</v>
      </c>
      <c r="AB88">
        <v>131.76352722331956</v>
      </c>
      <c r="AC88">
        <v>1.4210854715202004E-14</v>
      </c>
      <c r="AD88">
        <v>-0.92512261728389689</v>
      </c>
      <c r="AE88">
        <v>106.4954702554183</v>
      </c>
      <c r="AF88">
        <v>0</v>
      </c>
      <c r="AG88">
        <v>-6.3282637457924764</v>
      </c>
      <c r="AH88">
        <v>27.496989697969241</v>
      </c>
      <c r="AI88">
        <v>1.4210854715202004E-14</v>
      </c>
      <c r="AJ88">
        <v>-6.5540841902369174</v>
      </c>
      <c r="AK88">
        <v>52.765046665870557</v>
      </c>
      <c r="AL88">
        <v>0</v>
      </c>
      <c r="AM88">
        <v>-6.3282637457924764</v>
      </c>
      <c r="AN88">
        <v>27.496989697969241</v>
      </c>
      <c r="AO88">
        <v>-1.4210854715202004E-14</v>
      </c>
      <c r="AP88">
        <v>5.0543311038172334</v>
      </c>
      <c r="AQ88">
        <v>117.00437265160781</v>
      </c>
      <c r="AR88">
        <v>0</v>
      </c>
      <c r="AS88">
        <v>4.828510659372796</v>
      </c>
      <c r="AT88">
        <v>142.27242961950913</v>
      </c>
      <c r="AU88">
        <v>-1.4210854715202004E-14</v>
      </c>
      <c r="AV88">
        <v>5.0543311038172334</v>
      </c>
      <c r="AW88">
        <v>117.00437265160781</v>
      </c>
      <c r="AX88">
        <v>-1.4210854715202004E-14</v>
      </c>
      <c r="AY88">
        <v>-11.232298130226056</v>
      </c>
      <c r="AZ88">
        <v>29.906872126134644</v>
      </c>
      <c r="BA88">
        <v>0</v>
      </c>
      <c r="BB88">
        <v>-11.46073302995117</v>
      </c>
      <c r="BC88">
        <v>35.033093454217308</v>
      </c>
      <c r="BD88">
        <v>-1.4210854715202004E-14</v>
      </c>
      <c r="BE88">
        <v>-11.232298130226056</v>
      </c>
      <c r="BF88">
        <v>29.906872126134644</v>
      </c>
      <c r="BG88">
        <v>0</v>
      </c>
      <c r="BH88">
        <v>10.457472232325799</v>
      </c>
      <c r="BI88">
        <v>191.99946210129519</v>
      </c>
      <c r="BJ88">
        <v>-1.4210854715202004E-14</v>
      </c>
      <c r="BK88">
        <v>10.386903343436899</v>
      </c>
      <c r="BL88">
        <v>199.89572990376439</v>
      </c>
      <c r="BM88">
        <v>0</v>
      </c>
      <c r="BN88">
        <v>10.457472232325799</v>
      </c>
      <c r="BO88">
        <v>191.99946210129519</v>
      </c>
      <c r="BP88">
        <v>0</v>
      </c>
      <c r="BQ88">
        <v>-9.5411265456901297</v>
      </c>
      <c r="BR88">
        <v>47.688222856353335</v>
      </c>
      <c r="BS88">
        <v>0</v>
      </c>
      <c r="BT88">
        <v>7.513027075478945</v>
      </c>
      <c r="BU88">
        <v>181.67823906328277</v>
      </c>
      <c r="BV88">
        <v>0</v>
      </c>
      <c r="BW88">
        <v>-10.88992509623001</v>
      </c>
      <c r="BX88">
        <v>57.453101480974048</v>
      </c>
      <c r="BY88">
        <v>0</v>
      </c>
      <c r="BZ88">
        <v>9.7122121768665721</v>
      </c>
      <c r="CA88">
        <v>180.61212052679724</v>
      </c>
      <c r="CB88">
        <v>0</v>
      </c>
      <c r="CC88">
        <v>-7.6101476995826616</v>
      </c>
      <c r="CD88">
        <v>10.810092023486966</v>
      </c>
      <c r="CE88">
        <v>0</v>
      </c>
      <c r="CF88">
        <v>7.8803005022076817</v>
      </c>
      <c r="CG88">
        <v>123.14196881494826</v>
      </c>
      <c r="CH88">
        <f t="shared" si="24"/>
        <v>10.457472232325799</v>
      </c>
      <c r="CI88">
        <f t="shared" si="25"/>
        <v>-11.46073302995117</v>
      </c>
      <c r="CJ88">
        <f t="shared" si="26"/>
        <v>199.89572990376439</v>
      </c>
      <c r="CK88">
        <f t="shared" si="27"/>
        <v>10.810092023486966</v>
      </c>
    </row>
    <row r="89" spans="1:89" x14ac:dyDescent="0.25">
      <c r="A89" s="1"/>
      <c r="J89">
        <f t="shared" si="22"/>
        <v>15.800000000000024</v>
      </c>
      <c r="K89" cm="1">
        <f t="array" ref="K89:CG89">LRFD_Analysis(Lf_ft,J89,$B$4:$G$84,$J$4:$U$28)</f>
        <v>-2.8421709430404007E-14</v>
      </c>
      <c r="L89">
        <v>-0.31442548148144311</v>
      </c>
      <c r="M89">
        <v>86.768709758024613</v>
      </c>
      <c r="N89">
        <v>0</v>
      </c>
      <c r="O89">
        <v>-0.67823288888880029</v>
      </c>
      <c r="P89">
        <v>177.72843988148134</v>
      </c>
      <c r="Q89">
        <v>0</v>
      </c>
      <c r="R89">
        <v>-0.7095128888887956</v>
      </c>
      <c r="S89">
        <v>185.63828121481475</v>
      </c>
      <c r="T89">
        <v>0</v>
      </c>
      <c r="U89">
        <v>-0.67823288888880029</v>
      </c>
      <c r="V89">
        <v>177.72843988148134</v>
      </c>
      <c r="W89">
        <v>1.4210854715202004E-14</v>
      </c>
      <c r="X89">
        <v>-0.39723422222218119</v>
      </c>
      <c r="Y89">
        <v>106.67169857037044</v>
      </c>
      <c r="Z89">
        <v>0</v>
      </c>
      <c r="AA89">
        <v>-0.49733022222214629</v>
      </c>
      <c r="AB89">
        <v>131.98319083703677</v>
      </c>
      <c r="AC89">
        <v>1.4210854715202004E-14</v>
      </c>
      <c r="AD89">
        <v>-0.39723422222218119</v>
      </c>
      <c r="AE89">
        <v>106.67169857037044</v>
      </c>
      <c r="AF89">
        <v>0</v>
      </c>
      <c r="AG89">
        <v>-5.9875704124591529</v>
      </c>
      <c r="AH89">
        <v>29.605469551168198</v>
      </c>
      <c r="AI89">
        <v>1.4210854715202004E-14</v>
      </c>
      <c r="AJ89">
        <v>-6.08766641245915</v>
      </c>
      <c r="AK89">
        <v>54.916961817835016</v>
      </c>
      <c r="AL89">
        <v>0</v>
      </c>
      <c r="AM89">
        <v>-5.9875704124591529</v>
      </c>
      <c r="AN89">
        <v>29.605469551168198</v>
      </c>
      <c r="AO89">
        <v>-1.4210854715202004E-14</v>
      </c>
      <c r="AP89">
        <v>5.4485553013480938</v>
      </c>
      <c r="AQ89">
        <v>115.13749892625509</v>
      </c>
      <c r="AR89">
        <v>0</v>
      </c>
      <c r="AS89">
        <v>5.3484593013481145</v>
      </c>
      <c r="AT89">
        <v>140.44899119292165</v>
      </c>
      <c r="AU89">
        <v>-1.4210854715202004E-14</v>
      </c>
      <c r="AV89">
        <v>5.4485553013480938</v>
      </c>
      <c r="AW89">
        <v>115.13749892625509</v>
      </c>
      <c r="AX89">
        <v>-1.4210854715202004E-14</v>
      </c>
      <c r="AY89">
        <v>-10.709151011493887</v>
      </c>
      <c r="AZ89">
        <v>33.76511298451009</v>
      </c>
      <c r="BA89">
        <v>0</v>
      </c>
      <c r="BB89">
        <v>-10.907604963345083</v>
      </c>
      <c r="BC89">
        <v>38.948256702676758</v>
      </c>
      <c r="BD89">
        <v>-1.4210854715202004E-14</v>
      </c>
      <c r="BE89">
        <v>-10.709151011493887</v>
      </c>
      <c r="BF89">
        <v>33.76511298451009</v>
      </c>
      <c r="BG89">
        <v>0</v>
      </c>
      <c r="BH89">
        <v>11.038891491585076</v>
      </c>
      <c r="BI89">
        <v>188.20033683769532</v>
      </c>
      <c r="BJ89">
        <v>-1.4210854715202004E-14</v>
      </c>
      <c r="BK89">
        <v>11.007611491585067</v>
      </c>
      <c r="BL89">
        <v>196.11017817102879</v>
      </c>
      <c r="BM89">
        <v>0</v>
      </c>
      <c r="BN89">
        <v>11.038891491585076</v>
      </c>
      <c r="BO89">
        <v>188.20033683769532</v>
      </c>
      <c r="BP89">
        <v>0</v>
      </c>
      <c r="BQ89">
        <v>-8.9977830502722398</v>
      </c>
      <c r="BR89">
        <v>50.859625013558158</v>
      </c>
      <c r="BS89">
        <v>0</v>
      </c>
      <c r="BT89">
        <v>8.1360680631332798</v>
      </c>
      <c r="BU89">
        <v>178.89195513753077</v>
      </c>
      <c r="BV89">
        <v>0</v>
      </c>
      <c r="BW89">
        <v>-10.023465407342103</v>
      </c>
      <c r="BX89">
        <v>61.17381319485672</v>
      </c>
      <c r="BY89">
        <v>0</v>
      </c>
      <c r="BZ89">
        <v>10.224264169919735</v>
      </c>
      <c r="CA89">
        <v>177.02117366265969</v>
      </c>
      <c r="CB89">
        <v>0</v>
      </c>
      <c r="CC89">
        <v>-7.2873198027525934</v>
      </c>
      <c r="CD89">
        <v>13.495924520772377</v>
      </c>
      <c r="CE89">
        <v>0</v>
      </c>
      <c r="CF89">
        <v>8.2060232253897709</v>
      </c>
      <c r="CG89">
        <v>120.29744722459253</v>
      </c>
      <c r="CH89">
        <f t="shared" si="24"/>
        <v>11.038891491585076</v>
      </c>
      <c r="CI89">
        <f t="shared" si="25"/>
        <v>-10.907604963345083</v>
      </c>
      <c r="CJ89">
        <f t="shared" si="26"/>
        <v>196.11017817102879</v>
      </c>
      <c r="CK89">
        <f t="shared" si="27"/>
        <v>13.495924520772377</v>
      </c>
    </row>
    <row r="90" spans="1:89" x14ac:dyDescent="0.25">
      <c r="J90">
        <f t="shared" si="22"/>
        <v>16.066666666666691</v>
      </c>
      <c r="K90" cm="1">
        <f t="array" ref="K90:CG90">LRFD_Analysis(Lf_ft,J90,$B$4:$G$84,$J$4:$U$28)</f>
        <v>-2.8421709430404007E-14</v>
      </c>
      <c r="L90">
        <v>0.11112013168727231</v>
      </c>
      <c r="M90">
        <v>86.795746998445338</v>
      </c>
      <c r="N90">
        <v>0</v>
      </c>
      <c r="O90">
        <v>0.19617856790132748</v>
      </c>
      <c r="P90">
        <v>177.79257107709168</v>
      </c>
      <c r="Q90">
        <v>0</v>
      </c>
      <c r="R90">
        <v>0.20390301234577635</v>
      </c>
      <c r="S90">
        <v>185.70554683017821</v>
      </c>
      <c r="T90">
        <v>0</v>
      </c>
      <c r="U90">
        <v>0.19617856790132748</v>
      </c>
      <c r="V90">
        <v>177.79257107709168</v>
      </c>
      <c r="W90">
        <v>1.4210854715202004E-14</v>
      </c>
      <c r="X90">
        <v>0.12678730864202947</v>
      </c>
      <c r="Y90">
        <v>106.70767222853209</v>
      </c>
      <c r="Z90">
        <v>0</v>
      </c>
      <c r="AA90">
        <v>0.15150553086428431</v>
      </c>
      <c r="AB90">
        <v>132.0291946384084</v>
      </c>
      <c r="AC90">
        <v>1.4210854715202004E-14</v>
      </c>
      <c r="AD90">
        <v>0.12678730864202947</v>
      </c>
      <c r="AE90">
        <v>106.70767222853209</v>
      </c>
      <c r="AF90">
        <v>0</v>
      </c>
      <c r="AG90">
        <v>-5.6602886346813683</v>
      </c>
      <c r="AH90">
        <v>31.624886056218912</v>
      </c>
      <c r="AI90">
        <v>1.4210854715202004E-14</v>
      </c>
      <c r="AJ90">
        <v>-5.6355704124591419</v>
      </c>
      <c r="AK90">
        <v>56.946408466095562</v>
      </c>
      <c r="AL90">
        <v>0</v>
      </c>
      <c r="AM90">
        <v>-5.6602886346813683</v>
      </c>
      <c r="AN90">
        <v>31.624886056218912</v>
      </c>
      <c r="AO90">
        <v>-1.4210854715202004E-14</v>
      </c>
      <c r="AP90">
        <v>5.8507802890024152</v>
      </c>
      <c r="AQ90">
        <v>113.16443197621118</v>
      </c>
      <c r="AR90">
        <v>0</v>
      </c>
      <c r="AS90">
        <v>5.8754985112246629</v>
      </c>
      <c r="AT90">
        <v>138.48595438608771</v>
      </c>
      <c r="AU90">
        <v>-1.4210854715202004E-14</v>
      </c>
      <c r="AV90">
        <v>5.8507802890024152</v>
      </c>
      <c r="AW90">
        <v>113.16443197621118</v>
      </c>
      <c r="AX90">
        <v>-1.4210854715202004E-14</v>
      </c>
      <c r="AY90">
        <v>-10.213860116188624</v>
      </c>
      <c r="AZ90">
        <v>37.487562107680475</v>
      </c>
      <c r="BA90">
        <v>0</v>
      </c>
      <c r="BB90">
        <v>-10.382158675837962</v>
      </c>
      <c r="BC90">
        <v>42.719610037254512</v>
      </c>
      <c r="BD90">
        <v>-1.4210854715202004E-14</v>
      </c>
      <c r="BE90">
        <v>-10.213860116188624</v>
      </c>
      <c r="BF90">
        <v>37.487562107680475</v>
      </c>
      <c r="BG90">
        <v>0</v>
      </c>
      <c r="BH90">
        <v>11.637856232325817</v>
      </c>
      <c r="BI90">
        <v>184.24382704076231</v>
      </c>
      <c r="BJ90">
        <v>-1.4210854715202004E-14</v>
      </c>
      <c r="BK90">
        <v>11.645580676770265</v>
      </c>
      <c r="BL90">
        <v>192.15680279384901</v>
      </c>
      <c r="BM90">
        <v>0</v>
      </c>
      <c r="BN90">
        <v>11.637856232325817</v>
      </c>
      <c r="BO90">
        <v>184.24382704076231</v>
      </c>
      <c r="BP90">
        <v>0</v>
      </c>
      <c r="BQ90">
        <v>-8.4748000564094959</v>
      </c>
      <c r="BR90">
        <v>53.88885030552558</v>
      </c>
      <c r="BS90">
        <v>0</v>
      </c>
      <c r="BT90">
        <v>8.7709032236271156</v>
      </c>
      <c r="BU90">
        <v>175.93795439202563</v>
      </c>
      <c r="BV90">
        <v>0</v>
      </c>
      <c r="BW90">
        <v>-9.2053216151655146</v>
      </c>
      <c r="BX90">
        <v>64.66991111126417</v>
      </c>
      <c r="BY90">
        <v>0</v>
      </c>
      <c r="BZ90">
        <v>10.762565357490473</v>
      </c>
      <c r="CA90">
        <v>173.29017970777204</v>
      </c>
      <c r="CB90">
        <v>0</v>
      </c>
      <c r="CC90">
        <v>-6.9868345420902429</v>
      </c>
      <c r="CD90">
        <v>16.098648597058784</v>
      </c>
      <c r="CE90">
        <v>0</v>
      </c>
      <c r="CF90">
        <v>8.5462167481542224</v>
      </c>
      <c r="CG90">
        <v>117.36413680144403</v>
      </c>
      <c r="CH90">
        <f t="shared" si="24"/>
        <v>11.645580676770265</v>
      </c>
      <c r="CI90">
        <f t="shared" si="25"/>
        <v>-10.382158675837962</v>
      </c>
      <c r="CJ90">
        <f t="shared" si="26"/>
        <v>192.15680279384901</v>
      </c>
      <c r="CK90">
        <f t="shared" si="27"/>
        <v>16.098648597058784</v>
      </c>
    </row>
    <row r="91" spans="1:89" x14ac:dyDescent="0.25">
      <c r="J91">
        <f t="shared" si="22"/>
        <v>16.333333333333357</v>
      </c>
      <c r="K91" cm="1">
        <f t="array" ref="K91:CG91">LRFD_Analysis(Lf_ft,J91,$B$4:$G$84,$J$4:$U$28)</f>
        <v>-2.8421709430404007E-14</v>
      </c>
      <c r="L91">
        <v>0.53350946502060737</v>
      </c>
      <c r="M91">
        <v>86.709726245998866</v>
      </c>
      <c r="N91">
        <v>0</v>
      </c>
      <c r="O91">
        <v>1.0641679012346685</v>
      </c>
      <c r="P91">
        <v>177.62438216735211</v>
      </c>
      <c r="Q91">
        <v>0</v>
      </c>
      <c r="R91">
        <v>1.1106123456791011</v>
      </c>
      <c r="S91">
        <v>185.53012908093251</v>
      </c>
      <c r="T91">
        <v>0</v>
      </c>
      <c r="U91">
        <v>1.0641679012346685</v>
      </c>
      <c r="V91">
        <v>177.62438216735211</v>
      </c>
      <c r="W91">
        <v>1.4210854715202004E-14</v>
      </c>
      <c r="X91">
        <v>0.64694197530868536</v>
      </c>
      <c r="Y91">
        <v>106.60442239368984</v>
      </c>
      <c r="Z91">
        <v>0</v>
      </c>
      <c r="AA91">
        <v>0.79556419753094332</v>
      </c>
      <c r="AB91">
        <v>131.90281251714651</v>
      </c>
      <c r="AC91">
        <v>1.4210854715202004E-14</v>
      </c>
      <c r="AD91">
        <v>0.64694197530868536</v>
      </c>
      <c r="AE91">
        <v>106.60442239368984</v>
      </c>
      <c r="AF91">
        <v>0</v>
      </c>
      <c r="AG91">
        <v>-5.3464184124591476</v>
      </c>
      <c r="AH91">
        <v>33.558815627936326</v>
      </c>
      <c r="AI91">
        <v>1.4210854715202004E-14</v>
      </c>
      <c r="AJ91">
        <v>-5.1977961902369358</v>
      </c>
      <c r="AK91">
        <v>58.857205751393366</v>
      </c>
      <c r="AL91">
        <v>0</v>
      </c>
      <c r="AM91">
        <v>-5.3464184124591476</v>
      </c>
      <c r="AN91">
        <v>33.558815627936326</v>
      </c>
      <c r="AO91">
        <v>-1.4210854715202004E-14</v>
      </c>
      <c r="AP91">
        <v>6.2610060667801832</v>
      </c>
      <c r="AQ91">
        <v>111.08303825744304</v>
      </c>
      <c r="AR91">
        <v>0</v>
      </c>
      <c r="AS91">
        <v>6.409628289002427</v>
      </c>
      <c r="AT91">
        <v>136.38142838089965</v>
      </c>
      <c r="AU91">
        <v>-1.4210854715202004E-14</v>
      </c>
      <c r="AV91">
        <v>6.2610060667801832</v>
      </c>
      <c r="AW91">
        <v>111.08303825744304</v>
      </c>
      <c r="AX91">
        <v>-1.4210854715202004E-14</v>
      </c>
      <c r="AY91">
        <v>-9.7464254443103027</v>
      </c>
      <c r="AZ91">
        <v>41.081647821892979</v>
      </c>
      <c r="BA91">
        <v>0</v>
      </c>
      <c r="BB91">
        <v>-9.8843941674298286</v>
      </c>
      <c r="BC91">
        <v>46.354535265710169</v>
      </c>
      <c r="BD91">
        <v>-1.4210854715202004E-14</v>
      </c>
      <c r="BE91">
        <v>-9.7464254443103027</v>
      </c>
      <c r="BF91">
        <v>41.081647821892979</v>
      </c>
      <c r="BG91">
        <v>0</v>
      </c>
      <c r="BH91">
        <v>12.254366454548048</v>
      </c>
      <c r="BI91">
        <v>180.12525391543454</v>
      </c>
      <c r="BJ91">
        <v>-1.4210854715202004E-14</v>
      </c>
      <c r="BK91">
        <v>12.300810898992509</v>
      </c>
      <c r="BL91">
        <v>188.03100082901449</v>
      </c>
      <c r="BM91">
        <v>0</v>
      </c>
      <c r="BN91">
        <v>12.254366454548048</v>
      </c>
      <c r="BO91">
        <v>180.12525391543454</v>
      </c>
      <c r="BP91">
        <v>0</v>
      </c>
      <c r="BQ91">
        <v>-7.9721775641019441</v>
      </c>
      <c r="BR91">
        <v>56.781328199336912</v>
      </c>
      <c r="BS91">
        <v>0</v>
      </c>
      <c r="BT91">
        <v>9.417532556960424</v>
      </c>
      <c r="BU91">
        <v>172.81309171401028</v>
      </c>
      <c r="BV91">
        <v>0</v>
      </c>
      <c r="BW91">
        <v>-8.4354937197002524</v>
      </c>
      <c r="BX91">
        <v>67.954279469319289</v>
      </c>
      <c r="BY91">
        <v>0</v>
      </c>
      <c r="BZ91">
        <v>11.327115739578829</v>
      </c>
      <c r="CA91">
        <v>169.4121388769297</v>
      </c>
      <c r="CB91">
        <v>0</v>
      </c>
      <c r="CC91">
        <v>-6.708691917595619</v>
      </c>
      <c r="CD91">
        <v>18.624222288657585</v>
      </c>
      <c r="CE91">
        <v>0</v>
      </c>
      <c r="CF91">
        <v>8.9008810705010859</v>
      </c>
      <c r="CG91">
        <v>114.33817866561401</v>
      </c>
      <c r="CH91">
        <f t="shared" si="24"/>
        <v>12.300810898992509</v>
      </c>
      <c r="CI91">
        <f t="shared" si="25"/>
        <v>-9.8843941674298286</v>
      </c>
      <c r="CJ91">
        <f t="shared" si="26"/>
        <v>188.03100082901449</v>
      </c>
      <c r="CK91">
        <f t="shared" si="27"/>
        <v>18.624222288657585</v>
      </c>
    </row>
    <row r="92" spans="1:89" x14ac:dyDescent="0.25">
      <c r="J92">
        <f t="shared" si="22"/>
        <v>16.600000000000023</v>
      </c>
      <c r="K92" cm="1">
        <f t="array" ref="K92:CG92">LRFD_Analysis(Lf_ft,J92,$B$4:$G$84,$J$4:$U$28)</f>
        <v>-2.8421709430404007E-14</v>
      </c>
      <c r="L92">
        <v>0.95274251851855496</v>
      </c>
      <c r="M92">
        <v>86.511489175308498</v>
      </c>
      <c r="N92">
        <v>0</v>
      </c>
      <c r="O92">
        <v>1.9257351111112087</v>
      </c>
      <c r="P92">
        <v>177.22558571851823</v>
      </c>
      <c r="Q92">
        <v>0</v>
      </c>
      <c r="R92">
        <v>2.0106151111112069</v>
      </c>
      <c r="S92">
        <v>185.1138163851848</v>
      </c>
      <c r="T92">
        <v>0</v>
      </c>
      <c r="U92">
        <v>1.9257351111112087</v>
      </c>
      <c r="V92">
        <v>177.22558571851823</v>
      </c>
      <c r="W92">
        <v>1.4210854715202004E-14</v>
      </c>
      <c r="X92">
        <v>1.163229777777822</v>
      </c>
      <c r="Y92">
        <v>106.36298022962944</v>
      </c>
      <c r="Z92">
        <v>0</v>
      </c>
      <c r="AA92">
        <v>1.434845777777852</v>
      </c>
      <c r="AB92">
        <v>131.60531836296252</v>
      </c>
      <c r="AC92">
        <v>1.4210854715202004E-14</v>
      </c>
      <c r="AD92">
        <v>1.163229777777822</v>
      </c>
      <c r="AE92">
        <v>106.36298022962944</v>
      </c>
      <c r="AF92">
        <v>0</v>
      </c>
      <c r="AG92">
        <v>-5.0459597457924907</v>
      </c>
      <c r="AH92">
        <v>35.410834681135441</v>
      </c>
      <c r="AI92">
        <v>1.4210854715202004E-14</v>
      </c>
      <c r="AJ92">
        <v>-4.7743437457924927</v>
      </c>
      <c r="AK92">
        <v>60.653172814468917</v>
      </c>
      <c r="AL92">
        <v>0</v>
      </c>
      <c r="AM92">
        <v>-5.0459597457924907</v>
      </c>
      <c r="AN92">
        <v>35.410834681135441</v>
      </c>
      <c r="AO92">
        <v>-1.4210854715202004E-14</v>
      </c>
      <c r="AP92">
        <v>6.6792326346814264</v>
      </c>
      <c r="AQ92">
        <v>108.8911842259173</v>
      </c>
      <c r="AR92">
        <v>0</v>
      </c>
      <c r="AS92">
        <v>6.9508486346814351</v>
      </c>
      <c r="AT92">
        <v>134.13352235925061</v>
      </c>
      <c r="AU92">
        <v>-1.4210854715202004E-14</v>
      </c>
      <c r="AV92">
        <v>6.6792326346814264</v>
      </c>
      <c r="AW92">
        <v>108.8911842259173</v>
      </c>
      <c r="AX92">
        <v>-1.4210854715202004E-14</v>
      </c>
      <c r="AY92">
        <v>-9.3068469958589031</v>
      </c>
      <c r="AZ92">
        <v>44.554798453395023</v>
      </c>
      <c r="BA92">
        <v>0</v>
      </c>
      <c r="BB92">
        <v>-9.4143114381206736</v>
      </c>
      <c r="BC92">
        <v>49.860414195803628</v>
      </c>
      <c r="BD92">
        <v>-1.4210854715202004E-14</v>
      </c>
      <c r="BE92">
        <v>-9.3068469958589031</v>
      </c>
      <c r="BF92">
        <v>44.554798453395023</v>
      </c>
      <c r="BG92">
        <v>0</v>
      </c>
      <c r="BH92">
        <v>12.888422158251757</v>
      </c>
      <c r="BI92">
        <v>175.83993866664935</v>
      </c>
      <c r="BJ92">
        <v>-1.4210854715202004E-14</v>
      </c>
      <c r="BK92">
        <v>12.973302158251741</v>
      </c>
      <c r="BL92">
        <v>183.72816933331626</v>
      </c>
      <c r="BM92">
        <v>0</v>
      </c>
      <c r="BN92">
        <v>12.888422158251757</v>
      </c>
      <c r="BO92">
        <v>175.83993866664935</v>
      </c>
      <c r="BP92">
        <v>0</v>
      </c>
      <c r="BQ92">
        <v>-7.4899155733495384</v>
      </c>
      <c r="BR92">
        <v>59.542488162073795</v>
      </c>
      <c r="BS92">
        <v>0</v>
      </c>
      <c r="BT92">
        <v>10.07595606313329</v>
      </c>
      <c r="BU92">
        <v>169.51422199072761</v>
      </c>
      <c r="BV92">
        <v>0</v>
      </c>
      <c r="BW92">
        <v>-7.7139817209463208</v>
      </c>
      <c r="BX92">
        <v>71.039802508145328</v>
      </c>
      <c r="BY92">
        <v>0</v>
      </c>
      <c r="BZ92">
        <v>11.917915316184732</v>
      </c>
      <c r="CA92">
        <v>165.38005138492838</v>
      </c>
      <c r="CB92">
        <v>0</v>
      </c>
      <c r="CC92">
        <v>-6.4528919292687235</v>
      </c>
      <c r="CD92">
        <v>21.078603631880277</v>
      </c>
      <c r="CE92">
        <v>0</v>
      </c>
      <c r="CF92">
        <v>9.2700161924303117</v>
      </c>
      <c r="CG92">
        <v>111.21571393721422</v>
      </c>
      <c r="CH92">
        <f t="shared" si="24"/>
        <v>12.973302158251741</v>
      </c>
      <c r="CI92">
        <f t="shared" si="25"/>
        <v>-9.4143114381206736</v>
      </c>
      <c r="CJ92">
        <f t="shared" si="26"/>
        <v>185.1138163851848</v>
      </c>
      <c r="CK92">
        <f t="shared" si="27"/>
        <v>21.078603631880277</v>
      </c>
    </row>
    <row r="93" spans="1:89" x14ac:dyDescent="0.25">
      <c r="J93">
        <f t="shared" si="22"/>
        <v>16.866666666666688</v>
      </c>
      <c r="K93" cm="1">
        <f t="array" ref="K93:CG93">LRFD_Analysis(Lf_ft,J93,$B$4:$G$84,$J$4:$U$28)</f>
        <v>-2.8421709430404007E-14</v>
      </c>
      <c r="L93">
        <v>1.3688192921810867</v>
      </c>
      <c r="M93">
        <v>86.201877460996798</v>
      </c>
      <c r="N93">
        <v>0</v>
      </c>
      <c r="O93">
        <v>2.7808801975309763</v>
      </c>
      <c r="P93">
        <v>176.59789429684463</v>
      </c>
      <c r="Q93">
        <v>0</v>
      </c>
      <c r="R93">
        <v>2.9039113086420656</v>
      </c>
      <c r="S93">
        <v>184.45839716104251</v>
      </c>
      <c r="T93">
        <v>0</v>
      </c>
      <c r="U93">
        <v>2.7808801975309763</v>
      </c>
      <c r="V93">
        <v>176.59789429684463</v>
      </c>
      <c r="W93">
        <v>1.4210854715202004E-14</v>
      </c>
      <c r="X93">
        <v>1.6756507160494323</v>
      </c>
      <c r="Y93">
        <v>105.98437690013725</v>
      </c>
      <c r="Z93">
        <v>0</v>
      </c>
      <c r="AA93">
        <v>2.0693502716050318</v>
      </c>
      <c r="AB93">
        <v>131.13798606556907</v>
      </c>
      <c r="AC93">
        <v>1.4210854715202004E-14</v>
      </c>
      <c r="AD93">
        <v>1.6756507160494323</v>
      </c>
      <c r="AE93">
        <v>105.98437690013725</v>
      </c>
      <c r="AF93">
        <v>0</v>
      </c>
      <c r="AG93">
        <v>-4.7589126346813693</v>
      </c>
      <c r="AH93">
        <v>37.18451963063066</v>
      </c>
      <c r="AI93">
        <v>1.4210854715202004E-14</v>
      </c>
      <c r="AJ93">
        <v>-4.365213079125823</v>
      </c>
      <c r="AK93">
        <v>62.338128796063017</v>
      </c>
      <c r="AL93">
        <v>0</v>
      </c>
      <c r="AM93">
        <v>-4.7589126346813693</v>
      </c>
      <c r="AN93">
        <v>37.18451963063066</v>
      </c>
      <c r="AO93">
        <v>-1.4210854715202004E-14</v>
      </c>
      <c r="AP93">
        <v>7.1054599927061162</v>
      </c>
      <c r="AQ93">
        <v>106.58673633760179</v>
      </c>
      <c r="AR93">
        <v>0</v>
      </c>
      <c r="AS93">
        <v>7.4991595482616873</v>
      </c>
      <c r="AT93">
        <v>131.74034550303384</v>
      </c>
      <c r="AU93">
        <v>-1.4210854715202004E-14</v>
      </c>
      <c r="AV93">
        <v>7.1054599927061162</v>
      </c>
      <c r="AW93">
        <v>106.58673633760179</v>
      </c>
      <c r="AX93">
        <v>-1.4210854715202004E-14</v>
      </c>
      <c r="AY93">
        <v>-8.8951247708344248</v>
      </c>
      <c r="AZ93">
        <v>47.914442328433545</v>
      </c>
      <c r="BA93">
        <v>0</v>
      </c>
      <c r="BB93">
        <v>-8.9719104879104847</v>
      </c>
      <c r="BC93">
        <v>53.244628635294553</v>
      </c>
      <c r="BD93">
        <v>-1.4210854715202004E-14</v>
      </c>
      <c r="BE93">
        <v>-8.8951247708344248</v>
      </c>
      <c r="BF93">
        <v>47.914442328433545</v>
      </c>
      <c r="BG93">
        <v>0</v>
      </c>
      <c r="BH93">
        <v>13.540023343436928</v>
      </c>
      <c r="BI93">
        <v>171.38320249934657</v>
      </c>
      <c r="BJ93">
        <v>-1.4210854715202004E-14</v>
      </c>
      <c r="BK93">
        <v>13.663054454548046</v>
      </c>
      <c r="BL93">
        <v>179.24370536354411</v>
      </c>
      <c r="BM93">
        <v>0</v>
      </c>
      <c r="BN93">
        <v>13.540023343436928</v>
      </c>
      <c r="BO93">
        <v>171.38320249934657</v>
      </c>
      <c r="BP93">
        <v>0</v>
      </c>
      <c r="BQ93">
        <v>-7.0280140841523142</v>
      </c>
      <c r="BR93">
        <v>62.177759660817287</v>
      </c>
      <c r="BS93">
        <v>0</v>
      </c>
      <c r="BT93">
        <v>10.746173742145629</v>
      </c>
      <c r="BU93">
        <v>166.03820010942059</v>
      </c>
      <c r="BV93">
        <v>0</v>
      </c>
      <c r="BW93">
        <v>-7.0407856189037119</v>
      </c>
      <c r="BX93">
        <v>73.939364466865072</v>
      </c>
      <c r="BY93">
        <v>0</v>
      </c>
      <c r="BZ93">
        <v>12.534964087308211</v>
      </c>
      <c r="CA93">
        <v>161.18691744656303</v>
      </c>
      <c r="CB93">
        <v>0</v>
      </c>
      <c r="CC93">
        <v>-6.2194345771095545</v>
      </c>
      <c r="CD93">
        <v>23.46775066303811</v>
      </c>
      <c r="CE93">
        <v>0</v>
      </c>
      <c r="CF93">
        <v>9.6536221139418998</v>
      </c>
      <c r="CG93">
        <v>107.99288373635534</v>
      </c>
      <c r="CH93">
        <f t="shared" si="24"/>
        <v>13.663054454548046</v>
      </c>
      <c r="CI93">
        <f t="shared" si="25"/>
        <v>-8.9719104879104847</v>
      </c>
      <c r="CJ93">
        <f t="shared" si="26"/>
        <v>184.45839716104251</v>
      </c>
      <c r="CK93">
        <f t="shared" si="27"/>
        <v>23.46775066303811</v>
      </c>
    </row>
    <row r="94" spans="1:89" x14ac:dyDescent="0.25">
      <c r="J94">
        <f t="shared" si="22"/>
        <v>17.133333333333354</v>
      </c>
      <c r="K94" cm="1">
        <f t="array" ref="K94:CG94">LRFD_Analysis(Lf_ft,J94,$B$4:$G$84,$J$4:$U$28)</f>
        <v>-2.8421709430404007E-14</v>
      </c>
      <c r="L94">
        <v>1.7817397860082664</v>
      </c>
      <c r="M94">
        <v>85.781732777686159</v>
      </c>
      <c r="N94">
        <v>0</v>
      </c>
      <c r="O94">
        <v>3.6296031604939003</v>
      </c>
      <c r="P94">
        <v>175.74302046858691</v>
      </c>
      <c r="Q94">
        <v>0</v>
      </c>
      <c r="R94">
        <v>3.7905009382716912</v>
      </c>
      <c r="S94">
        <v>183.5656598266113</v>
      </c>
      <c r="T94">
        <v>0</v>
      </c>
      <c r="U94">
        <v>3.6296031604939003</v>
      </c>
      <c r="V94">
        <v>175.74302046858691</v>
      </c>
      <c r="W94">
        <v>1.4210854715202004E-14</v>
      </c>
      <c r="X94">
        <v>2.184204790123502</v>
      </c>
      <c r="Y94">
        <v>105.46964356899844</v>
      </c>
      <c r="Z94">
        <v>0</v>
      </c>
      <c r="AA94">
        <v>2.6990776790124187</v>
      </c>
      <c r="AB94">
        <v>130.50208951467727</v>
      </c>
      <c r="AC94">
        <v>1.4210854715202004E-14</v>
      </c>
      <c r="AD94">
        <v>2.184204790123502</v>
      </c>
      <c r="AE94">
        <v>105.46964356899844</v>
      </c>
      <c r="AF94">
        <v>0</v>
      </c>
      <c r="AG94">
        <v>-4.4852770791258187</v>
      </c>
      <c r="AH94">
        <v>38.883446891236957</v>
      </c>
      <c r="AI94">
        <v>1.4210854715202004E-14</v>
      </c>
      <c r="AJ94">
        <v>-3.970404190236934</v>
      </c>
      <c r="AK94">
        <v>63.915892836916242</v>
      </c>
      <c r="AL94">
        <v>0</v>
      </c>
      <c r="AM94">
        <v>-4.4852770791258187</v>
      </c>
      <c r="AN94">
        <v>38.883446891236957</v>
      </c>
      <c r="AO94">
        <v>-1.4210854715202004E-14</v>
      </c>
      <c r="AP94">
        <v>7.5396881408542669</v>
      </c>
      <c r="AQ94">
        <v>104.1675610484632</v>
      </c>
      <c r="AR94">
        <v>0</v>
      </c>
      <c r="AS94">
        <v>8.0545610297431836</v>
      </c>
      <c r="AT94">
        <v>129.20000699414186</v>
      </c>
      <c r="AU94">
        <v>-1.4210854715202004E-14</v>
      </c>
      <c r="AV94">
        <v>7.5396881408542669</v>
      </c>
      <c r="AW94">
        <v>104.1675610484632</v>
      </c>
      <c r="AX94">
        <v>-1.4210854715202004E-14</v>
      </c>
      <c r="AY94">
        <v>-8.5112587692368749</v>
      </c>
      <c r="AZ94">
        <v>51.168007773255752</v>
      </c>
      <c r="BA94">
        <v>0</v>
      </c>
      <c r="BB94">
        <v>-8.5571913167992868</v>
      </c>
      <c r="BC94">
        <v>56.514560391942453</v>
      </c>
      <c r="BD94">
        <v>-1.4210854715202004E-14</v>
      </c>
      <c r="BE94">
        <v>-8.5112587692368749</v>
      </c>
      <c r="BF94">
        <v>51.168007773255752</v>
      </c>
      <c r="BG94">
        <v>0</v>
      </c>
      <c r="BH94">
        <v>14.209170010103577</v>
      </c>
      <c r="BI94">
        <v>166.75036661846252</v>
      </c>
      <c r="BJ94">
        <v>-1.4210854715202004E-14</v>
      </c>
      <c r="BK94">
        <v>14.370067787881354</v>
      </c>
      <c r="BL94">
        <v>174.57300597648748</v>
      </c>
      <c r="BM94">
        <v>0</v>
      </c>
      <c r="BN94">
        <v>14.209170010103577</v>
      </c>
      <c r="BO94">
        <v>166.75036661846252</v>
      </c>
      <c r="BP94">
        <v>0</v>
      </c>
      <c r="BQ94">
        <v>-6.5864730965102609</v>
      </c>
      <c r="BR94">
        <v>64.692572162648702</v>
      </c>
      <c r="BS94">
        <v>0</v>
      </c>
      <c r="BT94">
        <v>11.428185593997455</v>
      </c>
      <c r="BU94">
        <v>162.38188095733108</v>
      </c>
      <c r="BV94">
        <v>0</v>
      </c>
      <c r="BW94">
        <v>-6.4159054135724238</v>
      </c>
      <c r="BX94">
        <v>76.665849584601631</v>
      </c>
      <c r="BY94">
        <v>0</v>
      </c>
      <c r="BZ94">
        <v>13.178262052949307</v>
      </c>
      <c r="CA94">
        <v>156.82573727662918</v>
      </c>
      <c r="CB94">
        <v>0</v>
      </c>
      <c r="CC94">
        <v>-6.0083198611181032</v>
      </c>
      <c r="CD94">
        <v>25.797621418442475</v>
      </c>
      <c r="CE94">
        <v>0</v>
      </c>
      <c r="CF94">
        <v>10.051698835035921</v>
      </c>
      <c r="CG94">
        <v>104.66582918314862</v>
      </c>
      <c r="CH94">
        <f t="shared" si="24"/>
        <v>14.370067787881354</v>
      </c>
      <c r="CI94">
        <f t="shared" si="25"/>
        <v>-8.5571913167992868</v>
      </c>
      <c r="CJ94">
        <f t="shared" si="26"/>
        <v>183.5656598266113</v>
      </c>
      <c r="CK94">
        <f t="shared" si="27"/>
        <v>25.797621418442475</v>
      </c>
    </row>
    <row r="95" spans="1:89" x14ac:dyDescent="0.25">
      <c r="J95">
        <f t="shared" si="22"/>
        <v>17.40000000000002</v>
      </c>
      <c r="K95" cm="1">
        <f t="array" ref="K95:CG95">LRFD_Analysis(Lf_ft,J95,$B$4:$G$84,$J$4:$U$28)</f>
        <v>-2.8421709430404007E-14</v>
      </c>
      <c r="L95">
        <v>2.1915040000000232</v>
      </c>
      <c r="M95">
        <v>85.25189679999994</v>
      </c>
      <c r="N95">
        <v>0</v>
      </c>
      <c r="O95">
        <v>4.4719040000000803</v>
      </c>
      <c r="P95">
        <v>174.6626767999997</v>
      </c>
      <c r="Q95">
        <v>0</v>
      </c>
      <c r="R95">
        <v>4.6703840000000696</v>
      </c>
      <c r="S95">
        <v>182.43739279999988</v>
      </c>
      <c r="T95">
        <v>0</v>
      </c>
      <c r="U95">
        <v>4.4719040000000803</v>
      </c>
      <c r="V95">
        <v>174.6626767999997</v>
      </c>
      <c r="W95">
        <v>1.4210854715202004E-14</v>
      </c>
      <c r="X95">
        <v>2.6888920000000383</v>
      </c>
      <c r="Y95">
        <v>104.81981139999994</v>
      </c>
      <c r="Z95">
        <v>0</v>
      </c>
      <c r="AA95">
        <v>3.3240280000000695</v>
      </c>
      <c r="AB95">
        <v>129.69890259999966</v>
      </c>
      <c r="AC95">
        <v>1.4210854715202004E-14</v>
      </c>
      <c r="AD95">
        <v>2.6888920000000383</v>
      </c>
      <c r="AE95">
        <v>104.81981139999994</v>
      </c>
      <c r="AF95">
        <v>0</v>
      </c>
      <c r="AG95">
        <v>-4.2250530791258214</v>
      </c>
      <c r="AH95">
        <v>40.511192877769417</v>
      </c>
      <c r="AI95">
        <v>1.4210854715202004E-14</v>
      </c>
      <c r="AJ95">
        <v>-3.5899170791258257</v>
      </c>
      <c r="AK95">
        <v>65.390284077769536</v>
      </c>
      <c r="AL95">
        <v>0</v>
      </c>
      <c r="AM95">
        <v>-4.2250530791258214</v>
      </c>
      <c r="AN95">
        <v>40.511192877769417</v>
      </c>
      <c r="AO95">
        <v>-1.4210854715202004E-14</v>
      </c>
      <c r="AP95">
        <v>7.9819170791258784</v>
      </c>
      <c r="AQ95">
        <v>101.63152481446855</v>
      </c>
      <c r="AR95">
        <v>0</v>
      </c>
      <c r="AS95">
        <v>8.6170530791258955</v>
      </c>
      <c r="AT95">
        <v>126.51061601446838</v>
      </c>
      <c r="AU95">
        <v>-1.4210854715202004E-14</v>
      </c>
      <c r="AV95">
        <v>7.9819170791258784</v>
      </c>
      <c r="AW95">
        <v>101.63152481446855</v>
      </c>
      <c r="AX95">
        <v>-1.4210854715202004E-14</v>
      </c>
      <c r="AY95">
        <v>-8.155248991066248</v>
      </c>
      <c r="AZ95">
        <v>54.322923114108917</v>
      </c>
      <c r="BA95">
        <v>0</v>
      </c>
      <c r="BB95">
        <v>-8.1701539247870585</v>
      </c>
      <c r="BC95">
        <v>59.677591273507346</v>
      </c>
      <c r="BD95">
        <v>-1.4210854715202004E-14</v>
      </c>
      <c r="BE95">
        <v>-8.155248991066248</v>
      </c>
      <c r="BF95">
        <v>54.322923114108917</v>
      </c>
      <c r="BG95">
        <v>0</v>
      </c>
      <c r="BH95">
        <v>14.895862158251745</v>
      </c>
      <c r="BI95">
        <v>161.93675222893717</v>
      </c>
      <c r="BJ95">
        <v>-1.4210854715202004E-14</v>
      </c>
      <c r="BK95">
        <v>15.094342158251735</v>
      </c>
      <c r="BL95">
        <v>169.71146822893729</v>
      </c>
      <c r="BM95">
        <v>0</v>
      </c>
      <c r="BN95">
        <v>14.895862158251745</v>
      </c>
      <c r="BO95">
        <v>161.93675222893717</v>
      </c>
      <c r="BP95">
        <v>0</v>
      </c>
      <c r="BQ95">
        <v>-6.1652926104233714</v>
      </c>
      <c r="BR95">
        <v>67.09235513464975</v>
      </c>
      <c r="BS95">
        <v>0</v>
      </c>
      <c r="BT95">
        <v>12.121991618688838</v>
      </c>
      <c r="BU95">
        <v>158.54211942170264</v>
      </c>
      <c r="BV95">
        <v>0</v>
      </c>
      <c r="BW95">
        <v>-5.8393411049524611</v>
      </c>
      <c r="BX95">
        <v>79.232142100477986</v>
      </c>
      <c r="BY95">
        <v>0</v>
      </c>
      <c r="BZ95">
        <v>13.847809213107951</v>
      </c>
      <c r="CA95">
        <v>152.2895110899218</v>
      </c>
      <c r="CB95">
        <v>0</v>
      </c>
      <c r="CC95">
        <v>-5.8195477812943803</v>
      </c>
      <c r="CD95">
        <v>28.07417393440484</v>
      </c>
      <c r="CE95">
        <v>0</v>
      </c>
      <c r="CF95">
        <v>10.464246355712291</v>
      </c>
      <c r="CG95">
        <v>101.23069139770655</v>
      </c>
      <c r="CH95">
        <f t="shared" si="24"/>
        <v>15.094342158251735</v>
      </c>
      <c r="CI95">
        <f t="shared" si="25"/>
        <v>-8.1701539247870585</v>
      </c>
      <c r="CJ95">
        <f t="shared" si="26"/>
        <v>182.43739279999988</v>
      </c>
      <c r="CK95">
        <f t="shared" si="27"/>
        <v>28.07417393440484</v>
      </c>
    </row>
    <row r="96" spans="1:89" x14ac:dyDescent="0.25">
      <c r="J96">
        <f t="shared" si="22"/>
        <v>17.666666666666686</v>
      </c>
      <c r="K96" cm="1">
        <f t="array" ref="K96:CG96">LRFD_Analysis(Lf_ft,J96,$B$4:$G$84,$J$4:$U$28)</f>
        <v>-2.8421709430404007E-14</v>
      </c>
      <c r="L96">
        <v>2.5981119341563925</v>
      </c>
      <c r="M96">
        <v>84.613211202560649</v>
      </c>
      <c r="N96">
        <v>0</v>
      </c>
      <c r="O96">
        <v>5.3077827160494593</v>
      </c>
      <c r="P96">
        <v>173.35857585733811</v>
      </c>
      <c r="Q96">
        <v>0</v>
      </c>
      <c r="R96">
        <v>5.5435604938272292</v>
      </c>
      <c r="S96">
        <v>181.0753844993136</v>
      </c>
      <c r="T96">
        <v>0</v>
      </c>
      <c r="U96">
        <v>5.3077827160494593</v>
      </c>
      <c r="V96">
        <v>173.35857585733811</v>
      </c>
      <c r="W96">
        <v>1.4210854715202004E-14</v>
      </c>
      <c r="X96">
        <v>3.1897123456790553</v>
      </c>
      <c r="Y96">
        <v>104.0359115569272</v>
      </c>
      <c r="Z96">
        <v>0</v>
      </c>
      <c r="AA96">
        <v>3.94420123456797</v>
      </c>
      <c r="AB96">
        <v>128.72969921124786</v>
      </c>
      <c r="AC96">
        <v>1.4210854715202004E-14</v>
      </c>
      <c r="AD96">
        <v>3.1897123456790553</v>
      </c>
      <c r="AE96">
        <v>104.0359115569272</v>
      </c>
      <c r="AF96">
        <v>0</v>
      </c>
      <c r="AG96">
        <v>-3.9782406346813772</v>
      </c>
      <c r="AH96">
        <v>42.071334005042331</v>
      </c>
      <c r="AI96">
        <v>1.4210854715202004E-14</v>
      </c>
      <c r="AJ96">
        <v>-3.223751745792498</v>
      </c>
      <c r="AK96">
        <v>66.765121659363587</v>
      </c>
      <c r="AL96">
        <v>0</v>
      </c>
      <c r="AM96">
        <v>-3.9782406346813772</v>
      </c>
      <c r="AN96">
        <v>42.071334005042331</v>
      </c>
      <c r="AO96">
        <v>-1.4210854715202004E-14</v>
      </c>
      <c r="AP96">
        <v>8.4321468075209367</v>
      </c>
      <c r="AQ96">
        <v>98.976494091584982</v>
      </c>
      <c r="AR96">
        <v>0</v>
      </c>
      <c r="AS96">
        <v>9.1866356964098514</v>
      </c>
      <c r="AT96">
        <v>123.6702817459061</v>
      </c>
      <c r="AU96">
        <v>-1.4210854715202004E-14</v>
      </c>
      <c r="AV96">
        <v>8.4321468075209367</v>
      </c>
      <c r="AW96">
        <v>98.976494091584982</v>
      </c>
      <c r="AX96">
        <v>-1.4210854715202004E-14</v>
      </c>
      <c r="AY96">
        <v>-7.8270954363225442</v>
      </c>
      <c r="AZ96">
        <v>57.386616677240056</v>
      </c>
      <c r="BA96">
        <v>0</v>
      </c>
      <c r="BB96">
        <v>-7.8107983118737998</v>
      </c>
      <c r="BC96">
        <v>62.741103087748755</v>
      </c>
      <c r="BD96">
        <v>-1.4210854715202004E-14</v>
      </c>
      <c r="BE96">
        <v>-7.8270954363225442</v>
      </c>
      <c r="BF96">
        <v>57.386616677240056</v>
      </c>
      <c r="BG96">
        <v>0</v>
      </c>
      <c r="BH96">
        <v>15.600099787881362</v>
      </c>
      <c r="BI96">
        <v>156.93768053570807</v>
      </c>
      <c r="BJ96">
        <v>-1.4210854715202004E-14</v>
      </c>
      <c r="BK96">
        <v>15.835877565659132</v>
      </c>
      <c r="BL96">
        <v>164.65448917768322</v>
      </c>
      <c r="BM96">
        <v>0</v>
      </c>
      <c r="BN96">
        <v>15.600099787881362</v>
      </c>
      <c r="BO96">
        <v>156.93768053570807</v>
      </c>
      <c r="BP96">
        <v>0</v>
      </c>
      <c r="BQ96">
        <v>-5.7644726258916492</v>
      </c>
      <c r="BR96">
        <v>69.382538043901604</v>
      </c>
      <c r="BS96">
        <v>0</v>
      </c>
      <c r="BT96">
        <v>12.827591816219694</v>
      </c>
      <c r="BU96">
        <v>154.51577038977814</v>
      </c>
      <c r="BV96">
        <v>0</v>
      </c>
      <c r="BW96">
        <v>-5.3110926930438227</v>
      </c>
      <c r="BX96">
        <v>81.651126253617264</v>
      </c>
      <c r="BY96">
        <v>0</v>
      </c>
      <c r="BZ96">
        <v>14.543605567784198</v>
      </c>
      <c r="CA96">
        <v>147.57123910123676</v>
      </c>
      <c r="CB96">
        <v>0</v>
      </c>
      <c r="CC96">
        <v>-5.6531183376383858</v>
      </c>
      <c r="CD96">
        <v>30.303366247236617</v>
      </c>
      <c r="CE96">
        <v>0</v>
      </c>
      <c r="CF96">
        <v>10.891264675971044</v>
      </c>
      <c r="CG96">
        <v>97.683611500139591</v>
      </c>
      <c r="CH96">
        <f t="shared" si="24"/>
        <v>15.835877565659132</v>
      </c>
      <c r="CI96">
        <f t="shared" si="25"/>
        <v>-7.8270954363225442</v>
      </c>
      <c r="CJ96">
        <f t="shared" si="26"/>
        <v>181.0753844993136</v>
      </c>
      <c r="CK96">
        <f t="shared" si="27"/>
        <v>30.303366247236617</v>
      </c>
    </row>
    <row r="97" spans="10:89" x14ac:dyDescent="0.25">
      <c r="J97">
        <f t="shared" si="22"/>
        <v>17.933333333333351</v>
      </c>
      <c r="K97" cm="1">
        <f t="array" ref="K97:CG97">LRFD_Analysis(Lf_ft,J97,$B$4:$G$84,$J$4:$U$28)</f>
        <v>-2.8421709430404007E-14</v>
      </c>
      <c r="L97">
        <v>3.0015635884773886</v>
      </c>
      <c r="M97">
        <v>83.866517659990507</v>
      </c>
      <c r="N97">
        <v>0</v>
      </c>
      <c r="O97">
        <v>6.1372393086420516</v>
      </c>
      <c r="P97">
        <v>171.83243020685825</v>
      </c>
      <c r="Q97">
        <v>0</v>
      </c>
      <c r="R97">
        <v>6.4100304197531557</v>
      </c>
      <c r="S97">
        <v>179.48142334266072</v>
      </c>
      <c r="T97">
        <v>0</v>
      </c>
      <c r="U97">
        <v>6.1372393086420516</v>
      </c>
      <c r="V97">
        <v>171.83243020685825</v>
      </c>
      <c r="W97">
        <v>1.4210854715202004E-14</v>
      </c>
      <c r="X97">
        <v>3.6866658271605317</v>
      </c>
      <c r="Y97">
        <v>103.11897520356627</v>
      </c>
      <c r="Z97">
        <v>0</v>
      </c>
      <c r="AA97">
        <v>4.5595973827161203</v>
      </c>
      <c r="AB97">
        <v>127.59575323813408</v>
      </c>
      <c r="AC97">
        <v>1.4210854715202004E-14</v>
      </c>
      <c r="AD97">
        <v>3.6866658271605317</v>
      </c>
      <c r="AE97">
        <v>103.11897520356627</v>
      </c>
      <c r="AF97">
        <v>0</v>
      </c>
      <c r="AG97">
        <v>-3.7448397457924969</v>
      </c>
      <c r="AH97">
        <v>43.567446687870927</v>
      </c>
      <c r="AI97">
        <v>1.4210854715202004E-14</v>
      </c>
      <c r="AJ97">
        <v>-2.8719081902369439</v>
      </c>
      <c r="AK97">
        <v>68.044224722439054</v>
      </c>
      <c r="AL97">
        <v>0</v>
      </c>
      <c r="AM97">
        <v>-3.7448397457924969</v>
      </c>
      <c r="AN97">
        <v>43.567446687870927</v>
      </c>
      <c r="AO97">
        <v>-1.4210854715202004E-14</v>
      </c>
      <c r="AP97">
        <v>8.8903773260394416</v>
      </c>
      <c r="AQ97">
        <v>96.200335335779528</v>
      </c>
      <c r="AR97">
        <v>0</v>
      </c>
      <c r="AS97">
        <v>9.7633088815950231</v>
      </c>
      <c r="AT97">
        <v>120.67711337034734</v>
      </c>
      <c r="AU97">
        <v>-1.4210854715202004E-14</v>
      </c>
      <c r="AV97">
        <v>8.8903773260394416</v>
      </c>
      <c r="AW97">
        <v>96.200335335779528</v>
      </c>
      <c r="AX97">
        <v>-1.4210854715202004E-14</v>
      </c>
      <c r="AY97">
        <v>-7.52679810500576</v>
      </c>
      <c r="AZ97">
        <v>60.366516788896533</v>
      </c>
      <c r="BA97">
        <v>0</v>
      </c>
      <c r="BB97">
        <v>-7.4791244780595285</v>
      </c>
      <c r="BC97">
        <v>65.712477642426492</v>
      </c>
      <c r="BD97">
        <v>-1.4210854715202004E-14</v>
      </c>
      <c r="BE97">
        <v>-7.52679810500576</v>
      </c>
      <c r="BF97">
        <v>60.366516788896533</v>
      </c>
      <c r="BG97">
        <v>0</v>
      </c>
      <c r="BH97">
        <v>16.321882898992499</v>
      </c>
      <c r="BI97">
        <v>151.74847274371291</v>
      </c>
      <c r="BJ97">
        <v>-1.4210854715202004E-14</v>
      </c>
      <c r="BK97">
        <v>16.594674010103603</v>
      </c>
      <c r="BL97">
        <v>159.39746587951549</v>
      </c>
      <c r="BM97">
        <v>0</v>
      </c>
      <c r="BN97">
        <v>16.321882898992499</v>
      </c>
      <c r="BO97">
        <v>151.74847274371291</v>
      </c>
      <c r="BP97">
        <v>0</v>
      </c>
      <c r="BQ97">
        <v>-5.3840131429150944</v>
      </c>
      <c r="BR97">
        <v>71.568550357485719</v>
      </c>
      <c r="BS97">
        <v>0</v>
      </c>
      <c r="BT97">
        <v>13.544986186590066</v>
      </c>
      <c r="BU97">
        <v>150.29968874879955</v>
      </c>
      <c r="BV97">
        <v>0</v>
      </c>
      <c r="BW97">
        <v>-4.8311601778465025</v>
      </c>
      <c r="BX97">
        <v>83.935686283142303</v>
      </c>
      <c r="BY97">
        <v>0</v>
      </c>
      <c r="BZ97">
        <v>15.26565111697802</v>
      </c>
      <c r="CA97">
        <v>142.66392152536855</v>
      </c>
      <c r="CB97">
        <v>0</v>
      </c>
      <c r="CC97">
        <v>-5.5090315301501054</v>
      </c>
      <c r="CD97">
        <v>32.491156393249113</v>
      </c>
      <c r="CE97">
        <v>0</v>
      </c>
      <c r="CF97">
        <v>11.332753795812195</v>
      </c>
      <c r="CG97">
        <v>94.020730610558985</v>
      </c>
      <c r="CH97">
        <f t="shared" si="24"/>
        <v>16.594674010103603</v>
      </c>
      <c r="CI97">
        <f t="shared" si="25"/>
        <v>-7.52679810500576</v>
      </c>
      <c r="CJ97">
        <f t="shared" si="26"/>
        <v>179.48142334266072</v>
      </c>
      <c r="CK97">
        <f t="shared" si="27"/>
        <v>32.491156393249113</v>
      </c>
    </row>
    <row r="98" spans="10:89" x14ac:dyDescent="0.25">
      <c r="J98">
        <f t="shared" si="22"/>
        <v>18.200000000000017</v>
      </c>
      <c r="K98" cm="1">
        <f t="array" ref="K98:CG98">LRFD_Analysis(Lf_ft,J98,$B$4:$G$84,$J$4:$U$28)</f>
        <v>-2.8421709430404007E-14</v>
      </c>
      <c r="L98">
        <v>3.4018589629629901</v>
      </c>
      <c r="M98">
        <v>83.012657846913555</v>
      </c>
      <c r="N98">
        <v>0</v>
      </c>
      <c r="O98">
        <v>6.9602737777778572</v>
      </c>
      <c r="P98">
        <v>170.08595241481407</v>
      </c>
      <c r="Q98">
        <v>0</v>
      </c>
      <c r="R98">
        <v>7.269793777777835</v>
      </c>
      <c r="S98">
        <v>177.65729774814781</v>
      </c>
      <c r="T98">
        <v>0</v>
      </c>
      <c r="U98">
        <v>6.9602737777778572</v>
      </c>
      <c r="V98">
        <v>170.08595241481407</v>
      </c>
      <c r="W98">
        <v>1.4210854715202004E-14</v>
      </c>
      <c r="X98">
        <v>4.1797524444444889</v>
      </c>
      <c r="Y98">
        <v>102.07003350370337</v>
      </c>
      <c r="Z98">
        <v>0</v>
      </c>
      <c r="AA98">
        <v>5.170216444444506</v>
      </c>
      <c r="AB98">
        <v>126.29833857037005</v>
      </c>
      <c r="AC98">
        <v>1.4210854715202004E-14</v>
      </c>
      <c r="AD98">
        <v>4.1797524444444889</v>
      </c>
      <c r="AE98">
        <v>102.07003350370337</v>
      </c>
      <c r="AF98">
        <v>0</v>
      </c>
      <c r="AG98">
        <v>-3.5248504124591662</v>
      </c>
      <c r="AH98">
        <v>45.003107341070091</v>
      </c>
      <c r="AI98">
        <v>1.4210854715202004E-14</v>
      </c>
      <c r="AJ98">
        <v>-2.5343864124591704</v>
      </c>
      <c r="AK98">
        <v>69.231412407736912</v>
      </c>
      <c r="AL98">
        <v>0</v>
      </c>
      <c r="AM98">
        <v>-3.5248504124591662</v>
      </c>
      <c r="AN98">
        <v>45.003107341070091</v>
      </c>
      <c r="AO98">
        <v>-1.4210854715202004E-14</v>
      </c>
      <c r="AP98">
        <v>9.3566086346814075</v>
      </c>
      <c r="AQ98">
        <v>93.300915003019895</v>
      </c>
      <c r="AR98">
        <v>0</v>
      </c>
      <c r="AS98">
        <v>10.347072634681453</v>
      </c>
      <c r="AT98">
        <v>117.52922006968618</v>
      </c>
      <c r="AU98">
        <v>-1.4210854715202004E-14</v>
      </c>
      <c r="AV98">
        <v>9.3566086346814075</v>
      </c>
      <c r="AW98">
        <v>93.300915003019895</v>
      </c>
      <c r="AX98">
        <v>-1.4210854715202004E-14</v>
      </c>
      <c r="AY98">
        <v>-7.2543569971159201</v>
      </c>
      <c r="AZ98">
        <v>63.27005177532557</v>
      </c>
      <c r="BA98">
        <v>0</v>
      </c>
      <c r="BB98">
        <v>-7.1751324233442304</v>
      </c>
      <c r="BC98">
        <v>68.599096745300443</v>
      </c>
      <c r="BD98">
        <v>-1.4210854715202004E-14</v>
      </c>
      <c r="BE98">
        <v>-7.2543569971159201</v>
      </c>
      <c r="BF98">
        <v>63.27005177532557</v>
      </c>
      <c r="BG98">
        <v>0</v>
      </c>
      <c r="BH98">
        <v>17.061211491585055</v>
      </c>
      <c r="BI98">
        <v>146.36445005789164</v>
      </c>
      <c r="BJ98">
        <v>-1.4210854715202004E-14</v>
      </c>
      <c r="BK98">
        <v>17.370731491585047</v>
      </c>
      <c r="BL98">
        <v>153.93579539122481</v>
      </c>
      <c r="BM98">
        <v>0</v>
      </c>
      <c r="BN98">
        <v>17.061211491585055</v>
      </c>
      <c r="BO98">
        <v>146.36445005789164</v>
      </c>
      <c r="BP98">
        <v>0</v>
      </c>
      <c r="BQ98">
        <v>-5.0239141614937068</v>
      </c>
      <c r="BR98">
        <v>73.655821542483352</v>
      </c>
      <c r="BS98">
        <v>0</v>
      </c>
      <c r="BT98">
        <v>14.274174729799924</v>
      </c>
      <c r="BU98">
        <v>145.89072938601112</v>
      </c>
      <c r="BV98">
        <v>0</v>
      </c>
      <c r="BW98">
        <v>-4.3995435593605157</v>
      </c>
      <c r="BX98">
        <v>86.098706428176357</v>
      </c>
      <c r="BY98">
        <v>0</v>
      </c>
      <c r="BZ98">
        <v>16.013945860689404</v>
      </c>
      <c r="CA98">
        <v>137.56055857711351</v>
      </c>
      <c r="CB98">
        <v>0</v>
      </c>
      <c r="CC98">
        <v>-5.3872873588295604</v>
      </c>
      <c r="CD98">
        <v>34.643502408753747</v>
      </c>
      <c r="CE98">
        <v>0</v>
      </c>
      <c r="CF98">
        <v>11.788713715235716</v>
      </c>
      <c r="CG98">
        <v>90.238189849076889</v>
      </c>
      <c r="CH98">
        <f t="shared" si="24"/>
        <v>17.370731491585047</v>
      </c>
      <c r="CI98">
        <f t="shared" si="25"/>
        <v>-7.2543569971159201</v>
      </c>
      <c r="CJ98">
        <f t="shared" si="26"/>
        <v>177.65729774814781</v>
      </c>
      <c r="CK98">
        <f t="shared" si="27"/>
        <v>34.643502408753747</v>
      </c>
    </row>
    <row r="99" spans="10:89" x14ac:dyDescent="0.25">
      <c r="J99">
        <f t="shared" si="22"/>
        <v>18.466666666666683</v>
      </c>
      <c r="K99" cm="1">
        <f t="array" ref="K99:CG99">LRFD_Analysis(Lf_ft,J99,$B$4:$G$84,$J$4:$U$28)</f>
        <v>-2.8421709430404007E-14</v>
      </c>
      <c r="L99">
        <v>3.7989980576131757</v>
      </c>
      <c r="M99">
        <v>82.052473437951448</v>
      </c>
      <c r="N99">
        <v>0</v>
      </c>
      <c r="O99">
        <v>7.7768861234568618</v>
      </c>
      <c r="P99">
        <v>168.12085504746187</v>
      </c>
      <c r="Q99">
        <v>0</v>
      </c>
      <c r="R99">
        <v>8.1228505679012812</v>
      </c>
      <c r="S99">
        <v>175.60479613388168</v>
      </c>
      <c r="T99">
        <v>0</v>
      </c>
      <c r="U99">
        <v>7.7768861234568618</v>
      </c>
      <c r="V99">
        <v>168.12085504746187</v>
      </c>
      <c r="W99">
        <v>1.4210854715202004E-14</v>
      </c>
      <c r="X99">
        <v>4.6689721975308771</v>
      </c>
      <c r="Y99">
        <v>100.89011762112477</v>
      </c>
      <c r="Z99">
        <v>0</v>
      </c>
      <c r="AA99">
        <v>5.7760584197531415</v>
      </c>
      <c r="AB99">
        <v>124.83872909766774</v>
      </c>
      <c r="AC99">
        <v>1.4210854715202004E-14</v>
      </c>
      <c r="AD99">
        <v>4.6689721975308771</v>
      </c>
      <c r="AE99">
        <v>100.89011762112477</v>
      </c>
      <c r="AF99">
        <v>0</v>
      </c>
      <c r="AG99">
        <v>-3.3182726346813922</v>
      </c>
      <c r="AH99">
        <v>46.381892379454172</v>
      </c>
      <c r="AI99">
        <v>1.4210854715202004E-14</v>
      </c>
      <c r="AJ99">
        <v>-2.2111864124591705</v>
      </c>
      <c r="AK99">
        <v>70.330503855997506</v>
      </c>
      <c r="AL99">
        <v>0</v>
      </c>
      <c r="AM99">
        <v>-3.3182726346813922</v>
      </c>
      <c r="AN99">
        <v>46.381892379454172</v>
      </c>
      <c r="AO99">
        <v>-1.4210854715202004E-14</v>
      </c>
      <c r="AP99">
        <v>9.8308407334468484</v>
      </c>
      <c r="AQ99">
        <v>90.276099549272203</v>
      </c>
      <c r="AR99">
        <v>0</v>
      </c>
      <c r="AS99">
        <v>10.937926955669099</v>
      </c>
      <c r="AT99">
        <v>114.22471102581483</v>
      </c>
      <c r="AU99">
        <v>-1.4210854715202004E-14</v>
      </c>
      <c r="AV99">
        <v>9.8308407334468484</v>
      </c>
      <c r="AW99">
        <v>90.276099549272203</v>
      </c>
      <c r="AX99">
        <v>-1.4210854715202004E-14</v>
      </c>
      <c r="AY99">
        <v>-7.0097721126529819</v>
      </c>
      <c r="AZ99">
        <v>66.104649962774062</v>
      </c>
      <c r="BA99">
        <v>0</v>
      </c>
      <c r="BB99">
        <v>-6.8988221477279055</v>
      </c>
      <c r="BC99">
        <v>71.408342204130093</v>
      </c>
      <c r="BD99">
        <v>-1.4210854715202004E-14</v>
      </c>
      <c r="BE99">
        <v>-7.0097721126529819</v>
      </c>
      <c r="BF99">
        <v>66.104649962774062</v>
      </c>
      <c r="BG99">
        <v>0</v>
      </c>
      <c r="BH99">
        <v>17.818085565659132</v>
      </c>
      <c r="BI99">
        <v>140.78093368318048</v>
      </c>
      <c r="BJ99">
        <v>-1.4210854715202004E-14</v>
      </c>
      <c r="BK99">
        <v>18.164050010103566</v>
      </c>
      <c r="BL99">
        <v>148.26487476960006</v>
      </c>
      <c r="BM99">
        <v>0</v>
      </c>
      <c r="BN99">
        <v>17.818085565659132</v>
      </c>
      <c r="BO99">
        <v>140.78093368318048</v>
      </c>
      <c r="BP99">
        <v>0</v>
      </c>
      <c r="BQ99">
        <v>-4.6841756816275009</v>
      </c>
      <c r="BR99">
        <v>75.649781065976242</v>
      </c>
      <c r="BS99">
        <v>0</v>
      </c>
      <c r="BT99">
        <v>15.015157445849297</v>
      </c>
      <c r="BU99">
        <v>141.28574718865445</v>
      </c>
      <c r="BV99">
        <v>0</v>
      </c>
      <c r="BW99">
        <v>-4.0162428375858452</v>
      </c>
      <c r="BX99">
        <v>88.153070927842251</v>
      </c>
      <c r="BY99">
        <v>0</v>
      </c>
      <c r="BZ99">
        <v>16.788489798918405</v>
      </c>
      <c r="CA99">
        <v>132.25415047126614</v>
      </c>
      <c r="CB99">
        <v>0</v>
      </c>
      <c r="CC99">
        <v>-5.287885823676735</v>
      </c>
      <c r="CD99">
        <v>36.766362330061952</v>
      </c>
      <c r="CE99">
        <v>0</v>
      </c>
      <c r="CF99">
        <v>12.259144434241634</v>
      </c>
      <c r="CG99">
        <v>86.332130335803868</v>
      </c>
      <c r="CH99">
        <f t="shared" si="24"/>
        <v>18.164050010103566</v>
      </c>
      <c r="CI99">
        <f t="shared" si="25"/>
        <v>-7.0097721126529819</v>
      </c>
      <c r="CJ99">
        <f t="shared" si="26"/>
        <v>175.60479613388168</v>
      </c>
      <c r="CK99">
        <f t="shared" si="27"/>
        <v>36.766362330061952</v>
      </c>
    </row>
    <row r="100" spans="10:89" x14ac:dyDescent="0.25">
      <c r="J100">
        <f t="shared" si="22"/>
        <v>18.733333333333348</v>
      </c>
      <c r="K100" cm="1">
        <f t="array" ref="K100:CG100">LRFD_Analysis(Lf_ft,J100,$B$4:$G$84,$J$4:$U$28)</f>
        <v>-2.8421709430404007E-14</v>
      </c>
      <c r="L100">
        <v>4.1929808724279951</v>
      </c>
      <c r="M100">
        <v>80.986806107727261</v>
      </c>
      <c r="N100">
        <v>0</v>
      </c>
      <c r="O100">
        <v>8.5870763456790797</v>
      </c>
      <c r="P100">
        <v>165.93885067105555</v>
      </c>
      <c r="Q100">
        <v>0</v>
      </c>
      <c r="R100">
        <v>8.9692007901235229</v>
      </c>
      <c r="S100">
        <v>173.32570691796934</v>
      </c>
      <c r="T100">
        <v>0</v>
      </c>
      <c r="U100">
        <v>8.5870763456790797</v>
      </c>
      <c r="V100">
        <v>165.93885067105555</v>
      </c>
      <c r="W100">
        <v>1.4210854715202004E-14</v>
      </c>
      <c r="X100">
        <v>5.1543250864197887</v>
      </c>
      <c r="Y100">
        <v>99.580258719615586</v>
      </c>
      <c r="Z100">
        <v>0</v>
      </c>
      <c r="AA100">
        <v>6.3771233086420409</v>
      </c>
      <c r="AB100">
        <v>123.218198709739</v>
      </c>
      <c r="AC100">
        <v>1.4210854715202004E-14</v>
      </c>
      <c r="AD100">
        <v>5.1543250864197887</v>
      </c>
      <c r="AE100">
        <v>99.580258719615586</v>
      </c>
      <c r="AF100">
        <v>0</v>
      </c>
      <c r="AG100">
        <v>-3.1251064124591537</v>
      </c>
      <c r="AH100">
        <v>47.707378217838112</v>
      </c>
      <c r="AI100">
        <v>1.4210854715202004E-14</v>
      </c>
      <c r="AJ100">
        <v>-1.902308190236937</v>
      </c>
      <c r="AK100">
        <v>71.345318207961895</v>
      </c>
      <c r="AL100">
        <v>0</v>
      </c>
      <c r="AM100">
        <v>-3.1251064124591537</v>
      </c>
      <c r="AN100">
        <v>47.707378217838112</v>
      </c>
      <c r="AO100">
        <v>-1.4210854715202004E-14</v>
      </c>
      <c r="AP100">
        <v>10.31307362233575</v>
      </c>
      <c r="AQ100">
        <v>87.12375543050382</v>
      </c>
      <c r="AR100">
        <v>0</v>
      </c>
      <c r="AS100">
        <v>11.535871844557988</v>
      </c>
      <c r="AT100">
        <v>110.76169542062723</v>
      </c>
      <c r="AU100">
        <v>-1.4210854715202004E-14</v>
      </c>
      <c r="AV100">
        <v>10.31307362233575</v>
      </c>
      <c r="AW100">
        <v>87.12375543050382</v>
      </c>
      <c r="AX100">
        <v>-1.4210854715202004E-14</v>
      </c>
      <c r="AY100">
        <v>-6.793043451616974</v>
      </c>
      <c r="AZ100">
        <v>68.877739677489473</v>
      </c>
      <c r="BA100">
        <v>0</v>
      </c>
      <c r="BB100">
        <v>-6.6501936512105573</v>
      </c>
      <c r="BC100">
        <v>74.147595826675143</v>
      </c>
      <c r="BD100">
        <v>-1.4210854715202004E-14</v>
      </c>
      <c r="BE100">
        <v>-6.793043451616974</v>
      </c>
      <c r="BF100">
        <v>68.877739677489473</v>
      </c>
      <c r="BG100">
        <v>0</v>
      </c>
      <c r="BH100">
        <v>18.592505121214685</v>
      </c>
      <c r="BI100">
        <v>134.99324482451914</v>
      </c>
      <c r="BJ100">
        <v>-1.4210854715202004E-14</v>
      </c>
      <c r="BK100">
        <v>18.974629565659129</v>
      </c>
      <c r="BL100">
        <v>142.38010107143293</v>
      </c>
      <c r="BM100">
        <v>0</v>
      </c>
      <c r="BN100">
        <v>18.592505121214685</v>
      </c>
      <c r="BO100">
        <v>134.99324482451914</v>
      </c>
      <c r="BP100">
        <v>0</v>
      </c>
      <c r="BQ100">
        <v>-4.3647977033164409</v>
      </c>
      <c r="BR100">
        <v>77.555858395045163</v>
      </c>
      <c r="BS100">
        <v>0</v>
      </c>
      <c r="BT100">
        <v>15.767934334738186</v>
      </c>
      <c r="BU100">
        <v>136.48159704397222</v>
      </c>
      <c r="BV100">
        <v>0</v>
      </c>
      <c r="BW100">
        <v>-3.6812580125225027</v>
      </c>
      <c r="BX100">
        <v>90.111664021263138</v>
      </c>
      <c r="BY100">
        <v>0</v>
      </c>
      <c r="BZ100">
        <v>17.589282931664968</v>
      </c>
      <c r="CA100">
        <v>126.73769742262232</v>
      </c>
      <c r="CB100">
        <v>0</v>
      </c>
      <c r="CC100">
        <v>-5.2108269246916343</v>
      </c>
      <c r="CD100">
        <v>38.865694193485069</v>
      </c>
      <c r="CE100">
        <v>0</v>
      </c>
      <c r="CF100">
        <v>12.744045952829936</v>
      </c>
      <c r="CG100">
        <v>82.298693190851282</v>
      </c>
      <c r="CH100">
        <f t="shared" si="24"/>
        <v>18.974629565659129</v>
      </c>
      <c r="CI100">
        <f t="shared" si="25"/>
        <v>-6.793043451616974</v>
      </c>
      <c r="CJ100">
        <f t="shared" si="26"/>
        <v>173.32570691796934</v>
      </c>
      <c r="CK100">
        <f t="shared" si="27"/>
        <v>38.865694193485069</v>
      </c>
    </row>
    <row r="101" spans="10:89" x14ac:dyDescent="0.25">
      <c r="J101">
        <f t="shared" si="22"/>
        <v>19.000000000000014</v>
      </c>
      <c r="K101" cm="1">
        <f t="array" ref="K101:CG101">LRFD_Analysis(Lf_ft,J101,$B$4:$G$84,$J$4:$U$28)</f>
        <v>-2.8421709430404007E-14</v>
      </c>
      <c r="L101">
        <v>4.58380740740742</v>
      </c>
      <c r="M101">
        <v>79.816497530864126</v>
      </c>
      <c r="N101">
        <v>0</v>
      </c>
      <c r="O101">
        <v>9.3908444444444967</v>
      </c>
      <c r="P101">
        <v>163.54165185185138</v>
      </c>
      <c r="Q101">
        <v>0</v>
      </c>
      <c r="R101">
        <v>9.8088444444445031</v>
      </c>
      <c r="S101">
        <v>170.82181851851817</v>
      </c>
      <c r="T101">
        <v>0</v>
      </c>
      <c r="U101">
        <v>9.3908444444444967</v>
      </c>
      <c r="V101">
        <v>163.54165185185138</v>
      </c>
      <c r="W101">
        <v>1.4210854715202004E-14</v>
      </c>
      <c r="X101">
        <v>5.6358111111111384</v>
      </c>
      <c r="Y101">
        <v>98.141487962962856</v>
      </c>
      <c r="Z101">
        <v>0</v>
      </c>
      <c r="AA101">
        <v>6.9734111111111758</v>
      </c>
      <c r="AB101">
        <v>121.4380212962958</v>
      </c>
      <c r="AC101">
        <v>1.4210854715202004E-14</v>
      </c>
      <c r="AD101">
        <v>5.6358111111111384</v>
      </c>
      <c r="AE101">
        <v>98.141487962962856</v>
      </c>
      <c r="AF101">
        <v>0</v>
      </c>
      <c r="AG101">
        <v>-2.9453517457925003</v>
      </c>
      <c r="AH101">
        <v>48.98314127103734</v>
      </c>
      <c r="AI101">
        <v>1.4210854715202004E-14</v>
      </c>
      <c r="AJ101">
        <v>-1.6077517457925126</v>
      </c>
      <c r="AK101">
        <v>72.279674604370825</v>
      </c>
      <c r="AL101">
        <v>0</v>
      </c>
      <c r="AM101">
        <v>-2.9453517457925003</v>
      </c>
      <c r="AN101">
        <v>48.98314127103734</v>
      </c>
      <c r="AO101">
        <v>-1.4210854715202004E-14</v>
      </c>
      <c r="AP101">
        <v>10.803307301348084</v>
      </c>
      <c r="AQ101">
        <v>83.841749102682343</v>
      </c>
      <c r="AR101">
        <v>0</v>
      </c>
      <c r="AS101">
        <v>12.140907301348122</v>
      </c>
      <c r="AT101">
        <v>107.13828243601506</v>
      </c>
      <c r="AU101">
        <v>-1.4210854715202004E-14</v>
      </c>
      <c r="AV101">
        <v>10.803307301348084</v>
      </c>
      <c r="AW101">
        <v>83.841749102682343</v>
      </c>
      <c r="AX101">
        <v>-1.4210854715202004E-14</v>
      </c>
      <c r="AY101">
        <v>-6.6041710140078962</v>
      </c>
      <c r="AZ101">
        <v>71.596749245718883</v>
      </c>
      <c r="BA101">
        <v>0</v>
      </c>
      <c r="BB101">
        <v>-6.4292469337921823</v>
      </c>
      <c r="BC101">
        <v>76.824239420695633</v>
      </c>
      <c r="BD101">
        <v>-1.4210854715202004E-14</v>
      </c>
      <c r="BE101">
        <v>-6.6041710140078962</v>
      </c>
      <c r="BF101">
        <v>71.596749245718883</v>
      </c>
      <c r="BG101">
        <v>0</v>
      </c>
      <c r="BH101">
        <v>19.384470158251716</v>
      </c>
      <c r="BI101">
        <v>128.99670468684587</v>
      </c>
      <c r="BJ101">
        <v>-1.4210854715202004E-14</v>
      </c>
      <c r="BK101">
        <v>19.802470158251722</v>
      </c>
      <c r="BL101">
        <v>136.27687135351243</v>
      </c>
      <c r="BM101">
        <v>0</v>
      </c>
      <c r="BN101">
        <v>19.384470158251716</v>
      </c>
      <c r="BO101">
        <v>128.99670468684587</v>
      </c>
      <c r="BP101">
        <v>0</v>
      </c>
      <c r="BQ101">
        <v>-4.0657802265605625</v>
      </c>
      <c r="BR101">
        <v>79.379482996772026</v>
      </c>
      <c r="BS101">
        <v>0</v>
      </c>
      <c r="BT101">
        <v>16.53250539646659</v>
      </c>
      <c r="BU101">
        <v>131.4751338392083</v>
      </c>
      <c r="BV101">
        <v>0</v>
      </c>
      <c r="BW101">
        <v>-3.3945890841704838</v>
      </c>
      <c r="BX101">
        <v>91.987369947561945</v>
      </c>
      <c r="BY101">
        <v>0</v>
      </c>
      <c r="BZ101">
        <v>18.416325258929106</v>
      </c>
      <c r="CA101">
        <v>121.00419964597666</v>
      </c>
      <c r="CB101">
        <v>0</v>
      </c>
      <c r="CC101">
        <v>-5.156110661874262</v>
      </c>
      <c r="CD101">
        <v>40.947456035334596</v>
      </c>
      <c r="CE101">
        <v>0</v>
      </c>
      <c r="CF101">
        <v>13.243418271000607</v>
      </c>
      <c r="CG101">
        <v>78.134019534331742</v>
      </c>
      <c r="CH101">
        <f t="shared" si="24"/>
        <v>19.802470158251722</v>
      </c>
      <c r="CI101">
        <f t="shared" si="25"/>
        <v>-6.6041710140078962</v>
      </c>
      <c r="CJ101">
        <f t="shared" si="26"/>
        <v>170.82181851851817</v>
      </c>
      <c r="CK101">
        <f t="shared" si="27"/>
        <v>40.947456035334596</v>
      </c>
    </row>
    <row r="102" spans="10:89" x14ac:dyDescent="0.25">
      <c r="J102">
        <f t="shared" si="22"/>
        <v>19.26666666666668</v>
      </c>
      <c r="K102" cm="1">
        <f t="array" ref="K102:CG102">LRFD_Analysis(Lf_ft,J102,$B$4:$G$84,$J$4:$U$28)</f>
        <v>-2.8421709430404007E-14</v>
      </c>
      <c r="L102">
        <v>4.9714776625514503</v>
      </c>
      <c r="M102">
        <v>78.542389381984663</v>
      </c>
      <c r="N102">
        <v>0</v>
      </c>
      <c r="O102">
        <v>10.188190419753141</v>
      </c>
      <c r="P102">
        <v>160.93097115610396</v>
      </c>
      <c r="Q102">
        <v>0</v>
      </c>
      <c r="R102">
        <v>10.641781530864264</v>
      </c>
      <c r="S102">
        <v>168.09491935363462</v>
      </c>
      <c r="T102">
        <v>0</v>
      </c>
      <c r="U102">
        <v>10.188190419753141</v>
      </c>
      <c r="V102">
        <v>160.93097115610396</v>
      </c>
      <c r="W102">
        <v>1.4210854715202004E-14</v>
      </c>
      <c r="X102">
        <v>6.1134302716049689</v>
      </c>
      <c r="Y102">
        <v>96.574836514951812</v>
      </c>
      <c r="Z102">
        <v>0</v>
      </c>
      <c r="AA102">
        <v>7.5649218271605463</v>
      </c>
      <c r="AB102">
        <v>119.4994707470504</v>
      </c>
      <c r="AC102">
        <v>1.4210854715202004E-14</v>
      </c>
      <c r="AD102">
        <v>6.1134302716049689</v>
      </c>
      <c r="AE102">
        <v>96.574836514951812</v>
      </c>
      <c r="AF102">
        <v>0</v>
      </c>
      <c r="AG102">
        <v>-2.7790086346813894</v>
      </c>
      <c r="AH102">
        <v>50.212757953865747</v>
      </c>
      <c r="AI102">
        <v>1.4210854715202004E-14</v>
      </c>
      <c r="AJ102">
        <v>-1.3275170791258404</v>
      </c>
      <c r="AK102">
        <v>73.137392185964984</v>
      </c>
      <c r="AL102">
        <v>0</v>
      </c>
      <c r="AM102">
        <v>-2.7790086346813894</v>
      </c>
      <c r="AN102">
        <v>50.212757953865747</v>
      </c>
      <c r="AO102">
        <v>-1.4210854715202004E-14</v>
      </c>
      <c r="AP102">
        <v>11.301541770483894</v>
      </c>
      <c r="AQ102">
        <v>80.427947021773662</v>
      </c>
      <c r="AR102">
        <v>0</v>
      </c>
      <c r="AS102">
        <v>12.753033326039457</v>
      </c>
      <c r="AT102">
        <v>103.35258125387259</v>
      </c>
      <c r="AU102">
        <v>-1.4210854715202004E-14</v>
      </c>
      <c r="AV102">
        <v>11.301541770483894</v>
      </c>
      <c r="AW102">
        <v>80.427947021773662</v>
      </c>
      <c r="AX102">
        <v>-1.4210854715202004E-14</v>
      </c>
      <c r="AY102">
        <v>-6.4431547998257344</v>
      </c>
      <c r="AZ102">
        <v>74.269106993709428</v>
      </c>
      <c r="BA102">
        <v>0</v>
      </c>
      <c r="BB102">
        <v>-6.235981995472784</v>
      </c>
      <c r="BC102">
        <v>79.445654793950979</v>
      </c>
      <c r="BD102">
        <v>-1.4210854715202004E-14</v>
      </c>
      <c r="BE102">
        <v>-6.4431547998257344</v>
      </c>
      <c r="BF102">
        <v>74.269106993709428</v>
      </c>
      <c r="BG102">
        <v>0</v>
      </c>
      <c r="BH102">
        <v>20.193980676770252</v>
      </c>
      <c r="BI102">
        <v>122.78663447509769</v>
      </c>
      <c r="BJ102">
        <v>-1.4210854715202004E-14</v>
      </c>
      <c r="BK102">
        <v>20.647571787881375</v>
      </c>
      <c r="BL102">
        <v>129.95058267262868</v>
      </c>
      <c r="BM102">
        <v>0</v>
      </c>
      <c r="BN102">
        <v>20.193980676770252</v>
      </c>
      <c r="BO102">
        <v>122.78663447509769</v>
      </c>
      <c r="BP102">
        <v>0</v>
      </c>
      <c r="BQ102">
        <v>-3.7871232513598443</v>
      </c>
      <c r="BR102">
        <v>81.126084338237945</v>
      </c>
      <c r="BS102">
        <v>0</v>
      </c>
      <c r="BT102">
        <v>17.308870631034509</v>
      </c>
      <c r="BU102">
        <v>126.26321246160433</v>
      </c>
      <c r="BV102">
        <v>0</v>
      </c>
      <c r="BW102">
        <v>-3.1562360525297812</v>
      </c>
      <c r="BX102">
        <v>93.793072945861766</v>
      </c>
      <c r="BY102">
        <v>0</v>
      </c>
      <c r="BZ102">
        <v>19.269616780710862</v>
      </c>
      <c r="CA102">
        <v>115.04665735612525</v>
      </c>
      <c r="CB102">
        <v>0</v>
      </c>
      <c r="CC102">
        <v>-5.1237370352246003</v>
      </c>
      <c r="CD102">
        <v>43.017605891921789</v>
      </c>
      <c r="CE102">
        <v>0</v>
      </c>
      <c r="CF102">
        <v>13.757261388753676</v>
      </c>
      <c r="CG102">
        <v>73.834250486355245</v>
      </c>
      <c r="CH102">
        <f t="shared" si="24"/>
        <v>20.647571787881375</v>
      </c>
      <c r="CI102">
        <f t="shared" si="25"/>
        <v>-6.4431547998257344</v>
      </c>
      <c r="CJ102">
        <f t="shared" si="26"/>
        <v>168.09491935363462</v>
      </c>
      <c r="CK102">
        <f t="shared" si="27"/>
        <v>43.017605891921789</v>
      </c>
    </row>
    <row r="103" spans="10:89" x14ac:dyDescent="0.25">
      <c r="J103">
        <f t="shared" si="22"/>
        <v>19.533333333333346</v>
      </c>
      <c r="K103" cm="1">
        <f t="array" ref="K103:CG103">LRFD_Analysis(Lf_ft,J103,$B$4:$G$84,$J$4:$U$28)</f>
        <v>-2.8421709430404007E-14</v>
      </c>
      <c r="L103">
        <v>5.355991637860086</v>
      </c>
      <c r="M103">
        <v>77.165323335710923</v>
      </c>
      <c r="N103">
        <v>0</v>
      </c>
      <c r="O103">
        <v>10.979114271604999</v>
      </c>
      <c r="P103">
        <v>158.1085211500681</v>
      </c>
      <c r="Q103">
        <v>0</v>
      </c>
      <c r="R103">
        <v>11.468012049382764</v>
      </c>
      <c r="S103">
        <v>165.14679784142618</v>
      </c>
      <c r="T103">
        <v>0</v>
      </c>
      <c r="U103">
        <v>10.979114271604999</v>
      </c>
      <c r="V103">
        <v>158.1085211500681</v>
      </c>
      <c r="W103">
        <v>1.4210854715202004E-14</v>
      </c>
      <c r="X103">
        <v>6.5871825679012659</v>
      </c>
      <c r="Y103">
        <v>94.881335539368706</v>
      </c>
      <c r="Z103">
        <v>0</v>
      </c>
      <c r="AA103">
        <v>8.1516554567901949</v>
      </c>
      <c r="AB103">
        <v>117.40382095171378</v>
      </c>
      <c r="AC103">
        <v>1.4210854715202004E-14</v>
      </c>
      <c r="AD103">
        <v>6.5871825679012659</v>
      </c>
      <c r="AE103">
        <v>94.881335539368706</v>
      </c>
      <c r="AF103">
        <v>0</v>
      </c>
      <c r="AG103">
        <v>-2.6260770791258352</v>
      </c>
      <c r="AH103">
        <v>51.39980468113896</v>
      </c>
      <c r="AI103">
        <v>1.4210854715202004E-14</v>
      </c>
      <c r="AJ103">
        <v>-1.061604190236956</v>
      </c>
      <c r="AK103">
        <v>73.922290093484889</v>
      </c>
      <c r="AL103">
        <v>0</v>
      </c>
      <c r="AM103">
        <v>-2.6260770791258352</v>
      </c>
      <c r="AN103">
        <v>51.39980468113896</v>
      </c>
      <c r="AO103">
        <v>-1.4210854715202004E-14</v>
      </c>
      <c r="AP103">
        <v>11.80777702974315</v>
      </c>
      <c r="AQ103">
        <v>76.880215643746283</v>
      </c>
      <c r="AR103">
        <v>0</v>
      </c>
      <c r="AS103">
        <v>13.37224991863205</v>
      </c>
      <c r="AT103">
        <v>99.402701056091814</v>
      </c>
      <c r="AU103">
        <v>-1.4210854715202004E-14</v>
      </c>
      <c r="AV103">
        <v>11.80777702974315</v>
      </c>
      <c r="AW103">
        <v>76.880215643746283</v>
      </c>
      <c r="AX103">
        <v>-1.4210854715202004E-14</v>
      </c>
      <c r="AY103">
        <v>-6.3099948090705027</v>
      </c>
      <c r="AZ103">
        <v>76.902241247708247</v>
      </c>
      <c r="BA103">
        <v>0</v>
      </c>
      <c r="BB103">
        <v>-6.0703988362523731</v>
      </c>
      <c r="BC103">
        <v>82.019223754200866</v>
      </c>
      <c r="BD103">
        <v>-1.4210854715202004E-14</v>
      </c>
      <c r="BE103">
        <v>-6.3099948090705027</v>
      </c>
      <c r="BF103">
        <v>76.902241247708247</v>
      </c>
      <c r="BG103">
        <v>0</v>
      </c>
      <c r="BH103">
        <v>21.021036676770237</v>
      </c>
      <c r="BI103">
        <v>116.35835539421441</v>
      </c>
      <c r="BJ103">
        <v>-1.4210854715202004E-14</v>
      </c>
      <c r="BK103">
        <v>21.509934454548016</v>
      </c>
      <c r="BL103">
        <v>123.39663208557272</v>
      </c>
      <c r="BM103">
        <v>0</v>
      </c>
      <c r="BN103">
        <v>21.021036676770237</v>
      </c>
      <c r="BO103">
        <v>116.35835539421441</v>
      </c>
      <c r="BP103">
        <v>0</v>
      </c>
      <c r="BQ103">
        <v>-3.5288267777143147</v>
      </c>
      <c r="BR103">
        <v>82.801091886524404</v>
      </c>
      <c r="BS103">
        <v>0</v>
      </c>
      <c r="BT103">
        <v>18.097030038441886</v>
      </c>
      <c r="BU103">
        <v>120.84268779840409</v>
      </c>
      <c r="BV103">
        <v>0</v>
      </c>
      <c r="BW103">
        <v>-2.9661989176004093</v>
      </c>
      <c r="BX103">
        <v>95.541657255285486</v>
      </c>
      <c r="BY103">
        <v>0</v>
      </c>
      <c r="BZ103">
        <v>20.149157497010165</v>
      </c>
      <c r="CA103">
        <v>108.85807076786284</v>
      </c>
      <c r="CB103">
        <v>0</v>
      </c>
      <c r="CC103">
        <v>-5.1137060447426741</v>
      </c>
      <c r="CD103">
        <v>45.082101799558117</v>
      </c>
      <c r="CE103">
        <v>0</v>
      </c>
      <c r="CF103">
        <v>14.285575306089129</v>
      </c>
      <c r="CG103">
        <v>69.395527167033265</v>
      </c>
      <c r="CH103">
        <f t="shared" si="24"/>
        <v>21.509934454548016</v>
      </c>
      <c r="CI103">
        <f t="shared" si="25"/>
        <v>-6.3099948090705027</v>
      </c>
      <c r="CJ103">
        <f t="shared" si="26"/>
        <v>165.14679784142618</v>
      </c>
      <c r="CK103">
        <f t="shared" si="27"/>
        <v>45.082101799558117</v>
      </c>
    </row>
    <row r="104" spans="10:89" x14ac:dyDescent="0.25">
      <c r="J104">
        <f t="shared" si="22"/>
        <v>19.800000000000011</v>
      </c>
      <c r="K104" cm="1">
        <f t="array" ref="K104:CG104">LRFD_Analysis(Lf_ft,J104,$B$4:$G$84,$J$4:$U$28)</f>
        <v>-2.8421709430404007E-14</v>
      </c>
      <c r="L104">
        <v>5.7373493333333556</v>
      </c>
      <c r="M104">
        <v>75.686141066666437</v>
      </c>
      <c r="N104">
        <v>0</v>
      </c>
      <c r="O104">
        <v>11.763616000000056</v>
      </c>
      <c r="P104">
        <v>155.07601439999905</v>
      </c>
      <c r="Q104">
        <v>0</v>
      </c>
      <c r="R104">
        <v>12.287536000000046</v>
      </c>
      <c r="S104">
        <v>161.97924239999941</v>
      </c>
      <c r="T104">
        <v>0</v>
      </c>
      <c r="U104">
        <v>11.763616000000056</v>
      </c>
      <c r="V104">
        <v>155.07601439999905</v>
      </c>
      <c r="W104">
        <v>1.4210854715202004E-14</v>
      </c>
      <c r="X104">
        <v>7.0570680000000294</v>
      </c>
      <c r="Y104">
        <v>93.062016199999789</v>
      </c>
      <c r="Z104">
        <v>0</v>
      </c>
      <c r="AA104">
        <v>8.7336120000000506</v>
      </c>
      <c r="AB104">
        <v>115.15234579999947</v>
      </c>
      <c r="AC104">
        <v>1.4210854715202004E-14</v>
      </c>
      <c r="AD104">
        <v>7.0570680000000294</v>
      </c>
      <c r="AE104">
        <v>93.062016199999789</v>
      </c>
      <c r="AF104">
        <v>0</v>
      </c>
      <c r="AG104">
        <v>-2.4865570791258307</v>
      </c>
      <c r="AH104">
        <v>52.547857867671155</v>
      </c>
      <c r="AI104">
        <v>1.4210854715202004E-14</v>
      </c>
      <c r="AJ104">
        <v>-0.81001307912583798</v>
      </c>
      <c r="AK104">
        <v>74.638187467671457</v>
      </c>
      <c r="AL104">
        <v>0</v>
      </c>
      <c r="AM104">
        <v>-2.4865570791258307</v>
      </c>
      <c r="AN104">
        <v>52.547857867671155</v>
      </c>
      <c r="AO104">
        <v>-1.4210854715202004E-14</v>
      </c>
      <c r="AP104">
        <v>12.322013079125853</v>
      </c>
      <c r="AQ104">
        <v>73.196421424566779</v>
      </c>
      <c r="AR104">
        <v>0</v>
      </c>
      <c r="AS104">
        <v>13.998557079125874</v>
      </c>
      <c r="AT104">
        <v>95.286751024566797</v>
      </c>
      <c r="AU104">
        <v>-1.4210854715202004E-14</v>
      </c>
      <c r="AV104">
        <v>12.322013079125853</v>
      </c>
      <c r="AW104">
        <v>73.196421424566779</v>
      </c>
      <c r="AX104">
        <v>-1.4210854715202004E-14</v>
      </c>
      <c r="AY104">
        <v>-6.2046910417422012</v>
      </c>
      <c r="AZ104">
        <v>79.503580333962645</v>
      </c>
      <c r="BA104">
        <v>0</v>
      </c>
      <c r="BB104">
        <v>-5.9324974561309247</v>
      </c>
      <c r="BC104">
        <v>84.552328109205376</v>
      </c>
      <c r="BD104">
        <v>-1.4210854715202004E-14</v>
      </c>
      <c r="BE104">
        <v>-6.2046910417422012</v>
      </c>
      <c r="BF104">
        <v>79.503580333962645</v>
      </c>
      <c r="BG104">
        <v>0</v>
      </c>
      <c r="BH104">
        <v>21.865638158251727</v>
      </c>
      <c r="BI104">
        <v>109.70718864913306</v>
      </c>
      <c r="BJ104">
        <v>-1.4210854715202004E-14</v>
      </c>
      <c r="BK104">
        <v>22.389558158251731</v>
      </c>
      <c r="BL104">
        <v>116.61041664913273</v>
      </c>
      <c r="BM104">
        <v>0</v>
      </c>
      <c r="BN104">
        <v>21.865638158251727</v>
      </c>
      <c r="BO104">
        <v>109.70718864913306</v>
      </c>
      <c r="BP104">
        <v>0</v>
      </c>
      <c r="BQ104">
        <v>-3.2908908056239312</v>
      </c>
      <c r="BR104">
        <v>84.409935108712602</v>
      </c>
      <c r="BS104">
        <v>0</v>
      </c>
      <c r="BT104">
        <v>18.896983618688807</v>
      </c>
      <c r="BU104">
        <v>115.21041473684966</v>
      </c>
      <c r="BV104">
        <v>0</v>
      </c>
      <c r="BW104">
        <v>-2.8244776793823618</v>
      </c>
      <c r="BX104">
        <v>97.246007114956413</v>
      </c>
      <c r="BY104">
        <v>0</v>
      </c>
      <c r="BZ104">
        <v>21.054947407827072</v>
      </c>
      <c r="CA104">
        <v>102.43144009598484</v>
      </c>
      <c r="CB104">
        <v>0</v>
      </c>
      <c r="CC104">
        <v>-5.1260176904284798</v>
      </c>
      <c r="CD104">
        <v>47.14690179455522</v>
      </c>
      <c r="CE104">
        <v>0</v>
      </c>
      <c r="CF104">
        <v>14.828360023006951</v>
      </c>
      <c r="CG104">
        <v>64.813990696478299</v>
      </c>
      <c r="CH104">
        <f t="shared" si="24"/>
        <v>22.389558158251731</v>
      </c>
      <c r="CI104">
        <f t="shared" si="25"/>
        <v>-6.2046910417422012</v>
      </c>
      <c r="CJ104">
        <f t="shared" si="26"/>
        <v>161.97924239999941</v>
      </c>
      <c r="CK104">
        <f t="shared" si="27"/>
        <v>47.14690179455522</v>
      </c>
    </row>
    <row r="105" spans="10:89" x14ac:dyDescent="0.25">
      <c r="J105">
        <f t="shared" si="22"/>
        <v>20.066666666666677</v>
      </c>
      <c r="K105" cm="1">
        <f t="array" ref="K105:CG105">LRFD_Analysis(Lf_ft,J105,$B$4:$G$84,$J$4:$U$28)</f>
        <v>-2.8421709430404007E-14</v>
      </c>
      <c r="L105">
        <v>6.1155507489712022</v>
      </c>
      <c r="M105">
        <v>74.10568424947428</v>
      </c>
      <c r="N105">
        <v>0</v>
      </c>
      <c r="O105">
        <v>12.541695604938326</v>
      </c>
      <c r="P105">
        <v>151.83516347215311</v>
      </c>
      <c r="Q105">
        <v>0</v>
      </c>
      <c r="R105">
        <v>13.100353382716094</v>
      </c>
      <c r="S105">
        <v>158.59404144746202</v>
      </c>
      <c r="T105">
        <v>0</v>
      </c>
      <c r="U105">
        <v>12.541695604938326</v>
      </c>
      <c r="V105">
        <v>151.83516347215311</v>
      </c>
      <c r="W105">
        <v>1.4210854715202004E-14</v>
      </c>
      <c r="X105">
        <v>7.5230865679012453</v>
      </c>
      <c r="Y105">
        <v>91.117909660630858</v>
      </c>
      <c r="Z105">
        <v>0</v>
      </c>
      <c r="AA105">
        <v>9.310791456790156</v>
      </c>
      <c r="AB105">
        <v>112.74631918161822</v>
      </c>
      <c r="AC105">
        <v>1.4210854715202004E-14</v>
      </c>
      <c r="AD105">
        <v>7.5230865679012453</v>
      </c>
      <c r="AE105">
        <v>91.117909660630858</v>
      </c>
      <c r="AF105">
        <v>0</v>
      </c>
      <c r="AG105">
        <v>-2.36044863468139</v>
      </c>
      <c r="AH105">
        <v>53.66049392827756</v>
      </c>
      <c r="AI105">
        <v>1.4210854715202004E-14</v>
      </c>
      <c r="AJ105">
        <v>-0.57274374579251486</v>
      </c>
      <c r="AK105">
        <v>75.288903449265547</v>
      </c>
      <c r="AL105">
        <v>0</v>
      </c>
      <c r="AM105">
        <v>-2.36044863468139</v>
      </c>
      <c r="AN105">
        <v>53.66049392827756</v>
      </c>
      <c r="AO105">
        <v>-1.4210854715202004E-14</v>
      </c>
      <c r="AP105">
        <v>12.844249918632016</v>
      </c>
      <c r="AQ105">
        <v>69.374430820201724</v>
      </c>
      <c r="AR105">
        <v>0</v>
      </c>
      <c r="AS105">
        <v>14.631954807520927</v>
      </c>
      <c r="AT105">
        <v>91.002840341189085</v>
      </c>
      <c r="AU105">
        <v>-1.4210854715202004E-14</v>
      </c>
      <c r="AV105">
        <v>12.844249918632016</v>
      </c>
      <c r="AW105">
        <v>69.374430820201724</v>
      </c>
      <c r="AX105">
        <v>-1.4210854715202004E-14</v>
      </c>
      <c r="AY105">
        <v>-6.1272434978408228</v>
      </c>
      <c r="AZ105">
        <v>82.080552578719875</v>
      </c>
      <c r="BA105">
        <v>0</v>
      </c>
      <c r="BB105">
        <v>-5.8222778551084673</v>
      </c>
      <c r="BC105">
        <v>87.052349666724041</v>
      </c>
      <c r="BD105">
        <v>-1.4210854715202004E-14</v>
      </c>
      <c r="BE105">
        <v>-6.1272434978408228</v>
      </c>
      <c r="BF105">
        <v>82.080552578719875</v>
      </c>
      <c r="BG105">
        <v>0</v>
      </c>
      <c r="BH105">
        <v>22.727785121214666</v>
      </c>
      <c r="BI105">
        <v>102.82845544479324</v>
      </c>
      <c r="BJ105">
        <v>-1.4210854715202004E-14</v>
      </c>
      <c r="BK105">
        <v>23.286442898992448</v>
      </c>
      <c r="BL105">
        <v>109.58733342010169</v>
      </c>
      <c r="BM105">
        <v>0</v>
      </c>
      <c r="BN105">
        <v>22.727785121214666</v>
      </c>
      <c r="BO105">
        <v>102.82845544479324</v>
      </c>
      <c r="BP105">
        <v>0</v>
      </c>
      <c r="BQ105">
        <v>-3.0733153350887292</v>
      </c>
      <c r="BR105">
        <v>85.958043471884366</v>
      </c>
      <c r="BS105">
        <v>0</v>
      </c>
      <c r="BT105">
        <v>19.708731371775215</v>
      </c>
      <c r="BU105">
        <v>109.36324816418426</v>
      </c>
      <c r="BV105">
        <v>0</v>
      </c>
      <c r="BW105">
        <v>-2.7310723378756379</v>
      </c>
      <c r="BX105">
        <v>98.919006763997047</v>
      </c>
      <c r="BY105">
        <v>0</v>
      </c>
      <c r="BZ105">
        <v>21.984395158251715</v>
      </c>
      <c r="CA105">
        <v>95.759867906932755</v>
      </c>
      <c r="CB105">
        <v>0</v>
      </c>
      <c r="CC105">
        <v>-5.1606719722820031</v>
      </c>
      <c r="CD105">
        <v>49.217963913223798</v>
      </c>
      <c r="CE105">
        <v>0</v>
      </c>
      <c r="CF105">
        <v>15.385615539507157</v>
      </c>
      <c r="CG105">
        <v>60.085782194800231</v>
      </c>
      <c r="CH105">
        <f t="shared" si="24"/>
        <v>23.286442898992448</v>
      </c>
      <c r="CI105">
        <f t="shared" si="25"/>
        <v>-6.1272434978408228</v>
      </c>
      <c r="CJ105">
        <f t="shared" si="26"/>
        <v>158.59404144746202</v>
      </c>
      <c r="CK105">
        <f t="shared" si="27"/>
        <v>49.217963913223798</v>
      </c>
    </row>
    <row r="106" spans="10:89" x14ac:dyDescent="0.25">
      <c r="J106">
        <f t="shared" si="22"/>
        <v>20.333333333333343</v>
      </c>
      <c r="K106" cm="1">
        <f t="array" ref="K106:CG106">LRFD_Analysis(Lf_ft,J106,$B$4:$G$84,$J$4:$U$28)</f>
        <v>-2.8421709430404007E-14</v>
      </c>
      <c r="L106">
        <v>6.4905958847736542</v>
      </c>
      <c r="M106">
        <v>72.424794558756389</v>
      </c>
      <c r="N106">
        <v>0</v>
      </c>
      <c r="O106">
        <v>13.313353086419795</v>
      </c>
      <c r="P106">
        <v>148.38768093278441</v>
      </c>
      <c r="Q106">
        <v>0</v>
      </c>
      <c r="R106">
        <v>13.90646419753088</v>
      </c>
      <c r="S106">
        <v>154.99298340192036</v>
      </c>
      <c r="T106">
        <v>0</v>
      </c>
      <c r="U106">
        <v>13.313353086419795</v>
      </c>
      <c r="V106">
        <v>148.38768093278441</v>
      </c>
      <c r="W106">
        <v>1.4210854715202004E-14</v>
      </c>
      <c r="X106">
        <v>7.9852382716049561</v>
      </c>
      <c r="Y106">
        <v>89.050047085047822</v>
      </c>
      <c r="Z106">
        <v>0</v>
      </c>
      <c r="AA106">
        <v>9.8831938271605253</v>
      </c>
      <c r="AB106">
        <v>110.18701498628218</v>
      </c>
      <c r="AC106">
        <v>1.4210854715202004E-14</v>
      </c>
      <c r="AD106">
        <v>7.9852382716049561</v>
      </c>
      <c r="AE106">
        <v>89.050047085047822</v>
      </c>
      <c r="AF106">
        <v>0</v>
      </c>
      <c r="AG106">
        <v>-2.2477517457925131</v>
      </c>
      <c r="AH106">
        <v>54.741289277772921</v>
      </c>
      <c r="AI106">
        <v>1.4210854715202004E-14</v>
      </c>
      <c r="AJ106">
        <v>-0.34979619023697239</v>
      </c>
      <c r="AK106">
        <v>75.87825717900779</v>
      </c>
      <c r="AL106">
        <v>0</v>
      </c>
      <c r="AM106">
        <v>-2.2477517457925131</v>
      </c>
      <c r="AN106">
        <v>54.741289277772921</v>
      </c>
      <c r="AO106">
        <v>-1.4210854715202004E-14</v>
      </c>
      <c r="AP106">
        <v>13.374487548261655</v>
      </c>
      <c r="AQ106">
        <v>65.412110286618599</v>
      </c>
      <c r="AR106">
        <v>0</v>
      </c>
      <c r="AS106">
        <v>15.272443103817224</v>
      </c>
      <c r="AT106">
        <v>86.549078187852956</v>
      </c>
      <c r="AU106">
        <v>-1.4210854715202004E-14</v>
      </c>
      <c r="AV106">
        <v>13.374487548261655</v>
      </c>
      <c r="AW106">
        <v>65.412110286618599</v>
      </c>
      <c r="AX106">
        <v>-1.4210854715202004E-14</v>
      </c>
      <c r="AY106">
        <v>-6.0776521773663603</v>
      </c>
      <c r="AZ106">
        <v>84.640586308226901</v>
      </c>
      <c r="BA106">
        <v>0</v>
      </c>
      <c r="BB106">
        <v>-5.7397400331849795</v>
      </c>
      <c r="BC106">
        <v>89.526670234516473</v>
      </c>
      <c r="BD106">
        <v>-1.4210854715202004E-14</v>
      </c>
      <c r="BE106">
        <v>-6.0776521773663603</v>
      </c>
      <c r="BF106">
        <v>84.640586308226901</v>
      </c>
      <c r="BG106">
        <v>0</v>
      </c>
      <c r="BH106">
        <v>23.60747756565911</v>
      </c>
      <c r="BI106">
        <v>95.717476986131715</v>
      </c>
      <c r="BJ106">
        <v>-1.4210854715202004E-14</v>
      </c>
      <c r="BK106">
        <v>24.200588676770238</v>
      </c>
      <c r="BL106">
        <v>102.32277945526744</v>
      </c>
      <c r="BM106">
        <v>0</v>
      </c>
      <c r="BN106">
        <v>23.60747756565911</v>
      </c>
      <c r="BO106">
        <v>95.717476986131715</v>
      </c>
      <c r="BP106">
        <v>0</v>
      </c>
      <c r="BQ106">
        <v>-2.8761003661086875</v>
      </c>
      <c r="BR106">
        <v>87.450846443120554</v>
      </c>
      <c r="BS106">
        <v>0</v>
      </c>
      <c r="BT106">
        <v>20.532273297701138</v>
      </c>
      <c r="BU106">
        <v>103.29804296765099</v>
      </c>
      <c r="BV106">
        <v>0</v>
      </c>
      <c r="BW106">
        <v>-2.685982893080233</v>
      </c>
      <c r="BX106">
        <v>100.57354044153091</v>
      </c>
      <c r="BY106">
        <v>0</v>
      </c>
      <c r="BZ106">
        <v>22.91789515825171</v>
      </c>
      <c r="CA106">
        <v>88.83956253139911</v>
      </c>
      <c r="CB106">
        <v>0</v>
      </c>
      <c r="CC106">
        <v>-5.2176688903032478</v>
      </c>
      <c r="CD106">
        <v>51.301246191875904</v>
      </c>
      <c r="CE106">
        <v>0</v>
      </c>
      <c r="CF106">
        <v>15.957341855589746</v>
      </c>
      <c r="CG106">
        <v>55.207042782111557</v>
      </c>
      <c r="CH106">
        <f t="shared" si="24"/>
        <v>24.200588676770238</v>
      </c>
      <c r="CI106">
        <f t="shared" si="25"/>
        <v>-6.0776521773663603</v>
      </c>
      <c r="CJ106">
        <f t="shared" si="26"/>
        <v>154.99298340192036</v>
      </c>
      <c r="CK106">
        <f t="shared" si="27"/>
        <v>51.301246191875904</v>
      </c>
    </row>
    <row r="107" spans="10:89" x14ac:dyDescent="0.25">
      <c r="J107">
        <f t="shared" si="22"/>
        <v>20.600000000000009</v>
      </c>
      <c r="K107" cm="1">
        <f t="array" ref="K107:CG107">LRFD_Analysis(Lf_ft,J107,$B$4:$G$84,$J$4:$U$28)</f>
        <v>-2.8421709430404007E-14</v>
      </c>
      <c r="L107">
        <v>6.8624847407407543</v>
      </c>
      <c r="M107">
        <v>70.644313669135727</v>
      </c>
      <c r="N107">
        <v>0</v>
      </c>
      <c r="O107">
        <v>14.078588444444478</v>
      </c>
      <c r="P107">
        <v>144.73527934814797</v>
      </c>
      <c r="Q107">
        <v>0</v>
      </c>
      <c r="R107">
        <v>14.705868444444491</v>
      </c>
      <c r="S107">
        <v>151.1778566814811</v>
      </c>
      <c r="T107">
        <v>0</v>
      </c>
      <c r="U107">
        <v>14.078588444444478</v>
      </c>
      <c r="V107">
        <v>144.73527934814797</v>
      </c>
      <c r="W107">
        <v>1.4210854715202004E-14</v>
      </c>
      <c r="X107">
        <v>8.4435231111111335</v>
      </c>
      <c r="Y107">
        <v>86.859459637036935</v>
      </c>
      <c r="Z107">
        <v>0</v>
      </c>
      <c r="AA107">
        <v>10.450819111111159</v>
      </c>
      <c r="AB107">
        <v>107.47570710370314</v>
      </c>
      <c r="AC107">
        <v>1.4210854715202004E-14</v>
      </c>
      <c r="AD107">
        <v>8.4435231111111335</v>
      </c>
      <c r="AE107">
        <v>86.859459637036935</v>
      </c>
      <c r="AF107">
        <v>0</v>
      </c>
      <c r="AG107">
        <v>-2.1484664124591646</v>
      </c>
      <c r="AH107">
        <v>55.793820330971926</v>
      </c>
      <c r="AI107">
        <v>1.4210854715202004E-14</v>
      </c>
      <c r="AJ107">
        <v>-0.14117041245918216</v>
      </c>
      <c r="AK107">
        <v>76.410067797638987</v>
      </c>
      <c r="AL107">
        <v>0</v>
      </c>
      <c r="AM107">
        <v>-2.1484664124591646</v>
      </c>
      <c r="AN107">
        <v>55.793820330971926</v>
      </c>
      <c r="AO107">
        <v>-1.4210854715202004E-14</v>
      </c>
      <c r="AP107">
        <v>13.912725968014755</v>
      </c>
      <c r="AQ107">
        <v>61.30732627978432</v>
      </c>
      <c r="AR107">
        <v>0</v>
      </c>
      <c r="AS107">
        <v>15.920021968014751</v>
      </c>
      <c r="AT107">
        <v>81.923573746451098</v>
      </c>
      <c r="AU107">
        <v>-1.4210854715202004E-14</v>
      </c>
      <c r="AV107">
        <v>13.912725968014755</v>
      </c>
      <c r="AW107">
        <v>61.30732627978432</v>
      </c>
      <c r="AX107">
        <v>-1.4210854715202004E-14</v>
      </c>
      <c r="AY107">
        <v>-6.0559170803188209</v>
      </c>
      <c r="AZ107">
        <v>87.191109848731088</v>
      </c>
      <c r="BA107">
        <v>0</v>
      </c>
      <c r="BB107">
        <v>-5.68488399036044</v>
      </c>
      <c r="BC107">
        <v>91.982671620342614</v>
      </c>
      <c r="BD107">
        <v>-1.4210854715202004E-14</v>
      </c>
      <c r="BE107">
        <v>-6.0559170803188209</v>
      </c>
      <c r="BF107">
        <v>87.191109848731088</v>
      </c>
      <c r="BG107">
        <v>0</v>
      </c>
      <c r="BH107">
        <v>24.504715491585046</v>
      </c>
      <c r="BI107">
        <v>88.369574478087316</v>
      </c>
      <c r="BJ107">
        <v>-1.4210854715202004E-14</v>
      </c>
      <c r="BK107">
        <v>25.131995491585045</v>
      </c>
      <c r="BL107">
        <v>94.812151811421018</v>
      </c>
      <c r="BM107">
        <v>0</v>
      </c>
      <c r="BN107">
        <v>24.504715491585046</v>
      </c>
      <c r="BO107">
        <v>88.369574478087316</v>
      </c>
      <c r="BP107">
        <v>0</v>
      </c>
      <c r="BQ107">
        <v>-2.6992458986838059</v>
      </c>
      <c r="BR107">
        <v>88.893773489502962</v>
      </c>
      <c r="BS107">
        <v>0</v>
      </c>
      <c r="BT107">
        <v>21.367609396466605</v>
      </c>
      <c r="BU107">
        <v>97.011654034491585</v>
      </c>
      <c r="BV107">
        <v>0</v>
      </c>
      <c r="BW107">
        <v>-2.6892093449961525</v>
      </c>
      <c r="BX107">
        <v>102.22249238668094</v>
      </c>
      <c r="BY107">
        <v>0</v>
      </c>
      <c r="BZ107">
        <v>23.851395158251719</v>
      </c>
      <c r="CA107">
        <v>81.670323822531941</v>
      </c>
      <c r="CB107">
        <v>0</v>
      </c>
      <c r="CC107">
        <v>-5.2970084444922136</v>
      </c>
      <c r="CD107">
        <v>53.402706666822709</v>
      </c>
      <c r="CE107">
        <v>0</v>
      </c>
      <c r="CF107">
        <v>16.543538971254748</v>
      </c>
      <c r="CG107">
        <v>50.173913578522843</v>
      </c>
      <c r="CH107">
        <f t="shared" si="24"/>
        <v>25.131995491585045</v>
      </c>
      <c r="CI107">
        <f t="shared" si="25"/>
        <v>-6.0559170803188209</v>
      </c>
      <c r="CJ107">
        <f t="shared" si="26"/>
        <v>151.1778566814811</v>
      </c>
      <c r="CK107">
        <f t="shared" si="27"/>
        <v>50.173913578522843</v>
      </c>
    </row>
    <row r="108" spans="10:89" x14ac:dyDescent="0.25">
      <c r="J108">
        <f t="shared" si="22"/>
        <v>20.866666666666674</v>
      </c>
      <c r="K108" cm="1">
        <f t="array" ref="K108:CG108">LRFD_Analysis(Lf_ft,J108,$B$4:$G$84,$J$4:$U$28)</f>
        <v>-2.8421709430404007E-14</v>
      </c>
      <c r="L108">
        <v>7.2312173168724172</v>
      </c>
      <c r="M108">
        <v>68.765083255235709</v>
      </c>
      <c r="N108">
        <v>0</v>
      </c>
      <c r="O108">
        <v>14.837401679012387</v>
      </c>
      <c r="P108">
        <v>140.87967128449895</v>
      </c>
      <c r="Q108">
        <v>0</v>
      </c>
      <c r="R108">
        <v>15.498566123456811</v>
      </c>
      <c r="S108">
        <v>147.15044970425186</v>
      </c>
      <c r="T108">
        <v>0</v>
      </c>
      <c r="U108">
        <v>14.837401679012387</v>
      </c>
      <c r="V108">
        <v>140.87967128449895</v>
      </c>
      <c r="W108">
        <v>1.4210854715202004E-14</v>
      </c>
      <c r="X108">
        <v>8.8979410864197632</v>
      </c>
      <c r="Y108">
        <v>84.547178480383536</v>
      </c>
      <c r="Z108">
        <v>0</v>
      </c>
      <c r="AA108">
        <v>11.013667308641999</v>
      </c>
      <c r="AB108">
        <v>104.61366942359336</v>
      </c>
      <c r="AC108">
        <v>1.4210854715202004E-14</v>
      </c>
      <c r="AD108">
        <v>8.8979410864197632</v>
      </c>
      <c r="AE108">
        <v>84.547178480383536</v>
      </c>
      <c r="AF108">
        <v>0</v>
      </c>
      <c r="AG108">
        <v>-2.0625926346814012</v>
      </c>
      <c r="AH108">
        <v>56.821663502689262</v>
      </c>
      <c r="AI108">
        <v>1.4210854715202004E-14</v>
      </c>
      <c r="AJ108">
        <v>5.3133587540806104E-2</v>
      </c>
      <c r="AK108">
        <v>76.888154445899545</v>
      </c>
      <c r="AL108">
        <v>0</v>
      </c>
      <c r="AM108">
        <v>-2.0625926346814012</v>
      </c>
      <c r="AN108">
        <v>56.821663502689262</v>
      </c>
      <c r="AO108">
        <v>-1.4210854715202004E-14</v>
      </c>
      <c r="AP108">
        <v>14.458965177891272</v>
      </c>
      <c r="AQ108">
        <v>57.057945255666368</v>
      </c>
      <c r="AR108">
        <v>0</v>
      </c>
      <c r="AS108">
        <v>16.574691400113508</v>
      </c>
      <c r="AT108">
        <v>77.124436198876083</v>
      </c>
      <c r="AU108">
        <v>-1.4210854715202004E-14</v>
      </c>
      <c r="AV108">
        <v>14.458965177891272</v>
      </c>
      <c r="AW108">
        <v>57.057945255666368</v>
      </c>
      <c r="AX108">
        <v>-1.4210854715202004E-14</v>
      </c>
      <c r="AY108">
        <v>-6.0620382066982117</v>
      </c>
      <c r="AZ108">
        <v>89.73955152647909</v>
      </c>
      <c r="BA108">
        <v>0</v>
      </c>
      <c r="BB108">
        <v>-5.657709726634927</v>
      </c>
      <c r="BC108">
        <v>94.427735631961809</v>
      </c>
      <c r="BD108">
        <v>-1.4210854715202004E-14</v>
      </c>
      <c r="BE108">
        <v>-6.0620382066982117</v>
      </c>
      <c r="BF108">
        <v>89.73955152647909</v>
      </c>
      <c r="BG108">
        <v>0</v>
      </c>
      <c r="BH108">
        <v>25.41949889899243</v>
      </c>
      <c r="BI108">
        <v>80.780069125599084</v>
      </c>
      <c r="BJ108">
        <v>-1.4210854715202004E-14</v>
      </c>
      <c r="BK108">
        <v>26.080663343436868</v>
      </c>
      <c r="BL108">
        <v>87.050847545352326</v>
      </c>
      <c r="BM108">
        <v>0</v>
      </c>
      <c r="BN108">
        <v>25.41949889899243</v>
      </c>
      <c r="BO108">
        <v>80.780069125599084</v>
      </c>
      <c r="BP108">
        <v>0</v>
      </c>
      <c r="BQ108">
        <v>-2.542751932814113</v>
      </c>
      <c r="BR108">
        <v>90.292254078112137</v>
      </c>
      <c r="BS108">
        <v>0</v>
      </c>
      <c r="BT108">
        <v>22.214739668071488</v>
      </c>
      <c r="BU108">
        <v>90.500936251949724</v>
      </c>
      <c r="BV108">
        <v>0</v>
      </c>
      <c r="BW108">
        <v>-2.7407516936233982</v>
      </c>
      <c r="BX108">
        <v>103.87874683856978</v>
      </c>
      <c r="BY108">
        <v>0</v>
      </c>
      <c r="BZ108">
        <v>24.784895158251715</v>
      </c>
      <c r="CA108">
        <v>74.25215178033136</v>
      </c>
      <c r="CB108">
        <v>0</v>
      </c>
      <c r="CC108">
        <v>-5.3986906348489114</v>
      </c>
      <c r="CD108">
        <v>55.528303374375454</v>
      </c>
      <c r="CE108">
        <v>0</v>
      </c>
      <c r="CF108">
        <v>17.14420688650209</v>
      </c>
      <c r="CG108">
        <v>44.982535704146017</v>
      </c>
      <c r="CH108">
        <f t="shared" si="24"/>
        <v>26.080663343436868</v>
      </c>
      <c r="CI108">
        <f t="shared" si="25"/>
        <v>-6.0620382066982117</v>
      </c>
      <c r="CJ108">
        <f t="shared" si="26"/>
        <v>147.15044970425186</v>
      </c>
      <c r="CK108">
        <f t="shared" si="27"/>
        <v>44.982535704146017</v>
      </c>
    </row>
    <row r="109" spans="10:89" x14ac:dyDescent="0.25">
      <c r="J109">
        <f t="shared" si="22"/>
        <v>21.13333333333334</v>
      </c>
      <c r="K109" cm="1">
        <f t="array" ref="K109:CG109">LRFD_Analysis(Lf_ft,J109,$B$4:$G$84,$J$4:$U$28)</f>
        <v>-2.8421709430404007E-14</v>
      </c>
      <c r="L109">
        <v>7.5967936131687139</v>
      </c>
      <c r="M109">
        <v>66.78794499167816</v>
      </c>
      <c r="N109">
        <v>0</v>
      </c>
      <c r="O109">
        <v>15.589792790123497</v>
      </c>
      <c r="P109">
        <v>136.82256930809262</v>
      </c>
      <c r="Q109">
        <v>0</v>
      </c>
      <c r="R109">
        <v>16.284557234567941</v>
      </c>
      <c r="S109">
        <v>142.91255088833987</v>
      </c>
      <c r="T109">
        <v>0</v>
      </c>
      <c r="U109">
        <v>15.589792790123497</v>
      </c>
      <c r="V109">
        <v>136.82256930809262</v>
      </c>
      <c r="W109">
        <v>1.4210854715202004E-14</v>
      </c>
      <c r="X109">
        <v>9.3484921975308879</v>
      </c>
      <c r="Y109">
        <v>82.114234778875016</v>
      </c>
      <c r="Z109">
        <v>0</v>
      </c>
      <c r="AA109">
        <v>11.571738419753132</v>
      </c>
      <c r="AB109">
        <v>101.60217583566498</v>
      </c>
      <c r="AC109">
        <v>1.4210854715202004E-14</v>
      </c>
      <c r="AD109">
        <v>9.3484921975308879</v>
      </c>
      <c r="AE109">
        <v>82.114234778875016</v>
      </c>
      <c r="AF109">
        <v>0</v>
      </c>
      <c r="AG109">
        <v>-1.9901304124591732</v>
      </c>
      <c r="AH109">
        <v>57.8283952077403</v>
      </c>
      <c r="AI109">
        <v>1.4210854715202004E-14</v>
      </c>
      <c r="AJ109">
        <v>0.23311580976303503</v>
      </c>
      <c r="AK109">
        <v>77.316336264530833</v>
      </c>
      <c r="AL109">
        <v>0</v>
      </c>
      <c r="AM109">
        <v>-1.9901304124591732</v>
      </c>
      <c r="AN109">
        <v>57.8283952077403</v>
      </c>
      <c r="AO109">
        <v>-1.4210854715202004E-14</v>
      </c>
      <c r="AP109">
        <v>15.01320517789128</v>
      </c>
      <c r="AQ109">
        <v>52.661833670231772</v>
      </c>
      <c r="AR109">
        <v>0</v>
      </c>
      <c r="AS109">
        <v>17.236451400113523</v>
      </c>
      <c r="AT109">
        <v>72.149774727021622</v>
      </c>
      <c r="AU109">
        <v>-1.4210854715202004E-14</v>
      </c>
      <c r="AV109">
        <v>15.01320517789128</v>
      </c>
      <c r="AW109">
        <v>52.661833670231772</v>
      </c>
      <c r="AX109">
        <v>-1.4210854715202004E-14</v>
      </c>
      <c r="AY109">
        <v>-6.0960155565045184</v>
      </c>
      <c r="AZ109">
        <v>92.293339667719096</v>
      </c>
      <c r="BA109">
        <v>0</v>
      </c>
      <c r="BB109">
        <v>-5.6582172420083481</v>
      </c>
      <c r="BC109">
        <v>96.869244077134397</v>
      </c>
      <c r="BD109">
        <v>-1.4210854715202004E-14</v>
      </c>
      <c r="BE109">
        <v>-6.0960155565045184</v>
      </c>
      <c r="BF109">
        <v>92.293339667719096</v>
      </c>
      <c r="BG109">
        <v>0</v>
      </c>
      <c r="BH109">
        <v>26.351827787881334</v>
      </c>
      <c r="BI109">
        <v>72.94428213360402</v>
      </c>
      <c r="BJ109">
        <v>-1.4210854715202004E-14</v>
      </c>
      <c r="BK109">
        <v>27.046592232325793</v>
      </c>
      <c r="BL109">
        <v>79.034263713850805</v>
      </c>
      <c r="BM109">
        <v>0</v>
      </c>
      <c r="BN109">
        <v>26.351827787881334</v>
      </c>
      <c r="BO109">
        <v>72.94428213360402</v>
      </c>
      <c r="BP109">
        <v>0</v>
      </c>
      <c r="BQ109">
        <v>-2.4066184684995733</v>
      </c>
      <c r="BR109">
        <v>91.651717676030785</v>
      </c>
      <c r="BS109">
        <v>0</v>
      </c>
      <c r="BT109">
        <v>23.073664112515971</v>
      </c>
      <c r="BU109">
        <v>83.762744507267598</v>
      </c>
      <c r="BV109">
        <v>0</v>
      </c>
      <c r="BW109">
        <v>-2.8406099389619701</v>
      </c>
      <c r="BX109">
        <v>105.55518803632108</v>
      </c>
      <c r="BY109">
        <v>0</v>
      </c>
      <c r="BZ109">
        <v>25.71839515825171</v>
      </c>
      <c r="CA109">
        <v>66.585046404797708</v>
      </c>
      <c r="CB109">
        <v>0</v>
      </c>
      <c r="CC109">
        <v>-5.5227154613733305</v>
      </c>
      <c r="CD109">
        <v>57.683994350845978</v>
      </c>
      <c r="CE109">
        <v>0</v>
      </c>
      <c r="CF109">
        <v>17.759345601331844</v>
      </c>
      <c r="CG109">
        <v>39.629050279092326</v>
      </c>
      <c r="CH109">
        <f t="shared" si="24"/>
        <v>27.046592232325793</v>
      </c>
      <c r="CI109">
        <f t="shared" si="25"/>
        <v>-6.0960155565045184</v>
      </c>
      <c r="CJ109">
        <f t="shared" si="26"/>
        <v>142.91255088833987</v>
      </c>
      <c r="CK109">
        <f t="shared" si="27"/>
        <v>39.629050279092326</v>
      </c>
    </row>
    <row r="110" spans="10:89" x14ac:dyDescent="0.25">
      <c r="J110">
        <f t="shared" si="22"/>
        <v>21.400000000000006</v>
      </c>
      <c r="K110" cm="1">
        <f t="array" ref="K110:CG110">LRFD_Analysis(Lf_ft,J110,$B$4:$G$84,$J$4:$U$28)</f>
        <v>-2.8421709430404007E-14</v>
      </c>
      <c r="L110">
        <v>7.9592136296296303</v>
      </c>
      <c r="M110">
        <v>64.713740553086382</v>
      </c>
      <c r="N110">
        <v>0</v>
      </c>
      <c r="O110">
        <v>16.335761777777819</v>
      </c>
      <c r="P110">
        <v>132.56568598518459</v>
      </c>
      <c r="Q110">
        <v>0</v>
      </c>
      <c r="R110">
        <v>17.06384177777781</v>
      </c>
      <c r="S110">
        <v>138.4659486518517</v>
      </c>
      <c r="T110">
        <v>0</v>
      </c>
      <c r="U110">
        <v>16.335761777777819</v>
      </c>
      <c r="V110">
        <v>132.56568598518459</v>
      </c>
      <c r="W110">
        <v>1.4210854715202004E-14</v>
      </c>
      <c r="X110">
        <v>9.7951764444444649</v>
      </c>
      <c r="Y110">
        <v>79.561659696296147</v>
      </c>
      <c r="Z110">
        <v>0</v>
      </c>
      <c r="AA110">
        <v>12.125032444444486</v>
      </c>
      <c r="AB110">
        <v>98.442500229629104</v>
      </c>
      <c r="AC110">
        <v>1.4210854715202004E-14</v>
      </c>
      <c r="AD110">
        <v>9.7951764444444649</v>
      </c>
      <c r="AE110">
        <v>79.561659696296147</v>
      </c>
      <c r="AF110">
        <v>0</v>
      </c>
      <c r="AG110">
        <v>-1.931079745792502</v>
      </c>
      <c r="AH110">
        <v>58.81759186093916</v>
      </c>
      <c r="AI110">
        <v>1.4210854715202004E-14</v>
      </c>
      <c r="AJ110">
        <v>0.3987762542074833</v>
      </c>
      <c r="AK110">
        <v>77.698432394272857</v>
      </c>
      <c r="AL110">
        <v>0</v>
      </c>
      <c r="AM110">
        <v>-1.931079745792502</v>
      </c>
      <c r="AN110">
        <v>58.81759186093916</v>
      </c>
      <c r="AO110">
        <v>-1.4210854715202004E-14</v>
      </c>
      <c r="AP110">
        <v>15.575445968014733</v>
      </c>
      <c r="AQ110">
        <v>48.116857979446877</v>
      </c>
      <c r="AR110">
        <v>0</v>
      </c>
      <c r="AS110">
        <v>17.905301968014754</v>
      </c>
      <c r="AT110">
        <v>66.997698512780062</v>
      </c>
      <c r="AU110">
        <v>-1.4210854715202004E-14</v>
      </c>
      <c r="AV110">
        <v>15.575445968014733</v>
      </c>
      <c r="AW110">
        <v>48.116857979446877</v>
      </c>
      <c r="AX110">
        <v>-1.4210854715202004E-14</v>
      </c>
      <c r="AY110">
        <v>-6.1578491297377695</v>
      </c>
      <c r="AZ110">
        <v>94.859902598697431</v>
      </c>
      <c r="BA110">
        <v>0</v>
      </c>
      <c r="BB110">
        <v>-5.6864065364807672</v>
      </c>
      <c r="BC110">
        <v>99.314578763619636</v>
      </c>
      <c r="BD110">
        <v>-1.4210854715202004E-14</v>
      </c>
      <c r="BE110">
        <v>-6.1578491297377695</v>
      </c>
      <c r="BF110">
        <v>94.859902598697431</v>
      </c>
      <c r="BG110">
        <v>0</v>
      </c>
      <c r="BH110">
        <v>27.301702158251715</v>
      </c>
      <c r="BI110">
        <v>64.857534707041623</v>
      </c>
      <c r="BJ110">
        <v>-1.4210854715202004E-14</v>
      </c>
      <c r="BK110">
        <v>28.029782158251692</v>
      </c>
      <c r="BL110">
        <v>70.757797373708172</v>
      </c>
      <c r="BM110">
        <v>0</v>
      </c>
      <c r="BN110">
        <v>27.301702158251715</v>
      </c>
      <c r="BO110">
        <v>64.857534707041623</v>
      </c>
      <c r="BP110">
        <v>0</v>
      </c>
      <c r="BQ110">
        <v>-2.2908455057402008</v>
      </c>
      <c r="BR110">
        <v>92.977593750339338</v>
      </c>
      <c r="BS110">
        <v>0</v>
      </c>
      <c r="BT110">
        <v>23.944382729799926</v>
      </c>
      <c r="BU110">
        <v>76.793933687688195</v>
      </c>
      <c r="BV110">
        <v>0</v>
      </c>
      <c r="BW110">
        <v>-2.9887840810118611</v>
      </c>
      <c r="BX110">
        <v>107.26470021905735</v>
      </c>
      <c r="BY110">
        <v>0</v>
      </c>
      <c r="BZ110">
        <v>26.651895158251705</v>
      </c>
      <c r="CA110">
        <v>58.669007695930759</v>
      </c>
      <c r="CB110">
        <v>0</v>
      </c>
      <c r="CC110">
        <v>-5.6690829240654779</v>
      </c>
      <c r="CD110">
        <v>59.875737632545139</v>
      </c>
      <c r="CE110">
        <v>0</v>
      </c>
      <c r="CF110">
        <v>18.388955115743968</v>
      </c>
      <c r="CG110">
        <v>34.109598423472676</v>
      </c>
      <c r="CH110">
        <f t="shared" si="24"/>
        <v>28.029782158251692</v>
      </c>
      <c r="CI110">
        <f t="shared" si="25"/>
        <v>-6.1578491297377695</v>
      </c>
      <c r="CJ110">
        <f t="shared" si="26"/>
        <v>138.4659486518517</v>
      </c>
      <c r="CK110">
        <f t="shared" si="27"/>
        <v>34.109598423472676</v>
      </c>
    </row>
    <row r="111" spans="10:89" x14ac:dyDescent="0.25">
      <c r="J111">
        <f t="shared" si="22"/>
        <v>21.666666666666671</v>
      </c>
      <c r="K111" cm="1">
        <f t="array" ref="K111:CG111">LRFD_Analysis(Lf_ft,J111,$B$4:$G$84,$J$4:$U$28)</f>
        <v>-2.8421709430404007E-14</v>
      </c>
      <c r="L111">
        <v>8.3184773662551237</v>
      </c>
      <c r="M111">
        <v>62.543311614083223</v>
      </c>
      <c r="N111">
        <v>0</v>
      </c>
      <c r="O111">
        <v>17.07530864197534</v>
      </c>
      <c r="P111">
        <v>128.11073388202954</v>
      </c>
      <c r="Q111">
        <v>0</v>
      </c>
      <c r="R111">
        <v>17.836419753086432</v>
      </c>
      <c r="S111">
        <v>133.81243141289451</v>
      </c>
      <c r="T111">
        <v>0</v>
      </c>
      <c r="U111">
        <v>17.07530864197534</v>
      </c>
      <c r="V111">
        <v>128.11073388202954</v>
      </c>
      <c r="W111">
        <v>1.4210854715202004E-14</v>
      </c>
      <c r="X111">
        <v>10.237993827160494</v>
      </c>
      <c r="Y111">
        <v>76.890484396433294</v>
      </c>
      <c r="Z111">
        <v>0</v>
      </c>
      <c r="AA111">
        <v>12.673549382716075</v>
      </c>
      <c r="AB111">
        <v>95.135916495198217</v>
      </c>
      <c r="AC111">
        <v>1.4210854715202004E-14</v>
      </c>
      <c r="AD111">
        <v>10.237993827160494</v>
      </c>
      <c r="AE111">
        <v>76.890484396433294</v>
      </c>
      <c r="AF111">
        <v>0</v>
      </c>
      <c r="AG111">
        <v>-1.8854406346814088</v>
      </c>
      <c r="AH111">
        <v>59.792829877101326</v>
      </c>
      <c r="AI111">
        <v>1.4210854715202004E-14</v>
      </c>
      <c r="AJ111">
        <v>0.55011492087413671</v>
      </c>
      <c r="AK111">
        <v>78.038261975866874</v>
      </c>
      <c r="AL111">
        <v>0</v>
      </c>
      <c r="AM111">
        <v>-1.8854406346814088</v>
      </c>
      <c r="AN111">
        <v>59.792829877101326</v>
      </c>
      <c r="AO111">
        <v>-1.4210854715202004E-14</v>
      </c>
      <c r="AP111">
        <v>16.145687548261634</v>
      </c>
      <c r="AQ111">
        <v>43.420884639279393</v>
      </c>
      <c r="AR111">
        <v>0</v>
      </c>
      <c r="AS111">
        <v>18.581243103817201</v>
      </c>
      <c r="AT111">
        <v>61.666316738044884</v>
      </c>
      <c r="AU111">
        <v>-1.4210854715202004E-14</v>
      </c>
      <c r="AV111">
        <v>16.145687548261634</v>
      </c>
      <c r="AW111">
        <v>43.420884639279393</v>
      </c>
      <c r="AX111">
        <v>-1.4210854715202004E-14</v>
      </c>
      <c r="AY111">
        <v>-6.2475389263979295</v>
      </c>
      <c r="AZ111">
        <v>97.446668645661475</v>
      </c>
      <c r="BA111">
        <v>0</v>
      </c>
      <c r="BB111">
        <v>-5.7422776100521631</v>
      </c>
      <c r="BC111">
        <v>101.77112149917738</v>
      </c>
      <c r="BD111">
        <v>-1.4210854715202004E-14</v>
      </c>
      <c r="BE111">
        <v>-6.2475389263979295</v>
      </c>
      <c r="BF111">
        <v>97.446668645661475</v>
      </c>
      <c r="BG111">
        <v>0</v>
      </c>
      <c r="BH111">
        <v>28.269122010103544</v>
      </c>
      <c r="BI111">
        <v>56.515148050849803</v>
      </c>
      <c r="BJ111">
        <v>-1.4210854715202004E-14</v>
      </c>
      <c r="BK111">
        <v>29.030233121214664</v>
      </c>
      <c r="BL111">
        <v>62.216845581714097</v>
      </c>
      <c r="BM111">
        <v>0</v>
      </c>
      <c r="BN111">
        <v>28.269122010103544</v>
      </c>
      <c r="BO111">
        <v>56.515148050849803</v>
      </c>
      <c r="BP111">
        <v>0</v>
      </c>
      <c r="BQ111">
        <v>-2.1954330445360171</v>
      </c>
      <c r="BR111">
        <v>94.275311768119309</v>
      </c>
      <c r="BS111">
        <v>0</v>
      </c>
      <c r="BT111">
        <v>24.826895519923369</v>
      </c>
      <c r="BU111">
        <v>69.591358680455414</v>
      </c>
      <c r="BV111">
        <v>0</v>
      </c>
      <c r="BW111">
        <v>-3.1852741197730747</v>
      </c>
      <c r="BX111">
        <v>109.02016762590165</v>
      </c>
      <c r="BY111">
        <v>0</v>
      </c>
      <c r="BZ111">
        <v>27.5853951582517</v>
      </c>
      <c r="CA111">
        <v>50.50403565373017</v>
      </c>
      <c r="CB111">
        <v>0</v>
      </c>
      <c r="CC111">
        <v>-5.837793022925343</v>
      </c>
      <c r="CD111">
        <v>62.109491255784562</v>
      </c>
      <c r="CE111">
        <v>0</v>
      </c>
      <c r="CF111">
        <v>19.033035429738476</v>
      </c>
      <c r="CG111">
        <v>28.420321257399337</v>
      </c>
      <c r="CH111">
        <f t="shared" si="24"/>
        <v>29.030233121214664</v>
      </c>
      <c r="CI111">
        <f t="shared" si="25"/>
        <v>-6.2475389263979295</v>
      </c>
      <c r="CJ111">
        <f t="shared" si="26"/>
        <v>133.81243141289451</v>
      </c>
      <c r="CK111">
        <f t="shared" si="27"/>
        <v>28.420321257399337</v>
      </c>
    </row>
    <row r="112" spans="10:89" x14ac:dyDescent="0.25">
      <c r="J112">
        <f t="shared" si="22"/>
        <v>21.933333333333337</v>
      </c>
      <c r="K112" cm="1">
        <f t="array" ref="K112:CG112">LRFD_Analysis(Lf_ft,J112,$B$4:$G$84,$J$4:$U$28)</f>
        <v>-2.8421709430404007E-14</v>
      </c>
      <c r="L112">
        <v>8.6745848230452651</v>
      </c>
      <c r="M112">
        <v>60.277499849291303</v>
      </c>
      <c r="N112">
        <v>0</v>
      </c>
      <c r="O112">
        <v>17.808433382716089</v>
      </c>
      <c r="P112">
        <v>123.45942556488308</v>
      </c>
      <c r="Q112">
        <v>0</v>
      </c>
      <c r="R112">
        <v>18.602291160493849</v>
      </c>
      <c r="S112">
        <v>128.95378758957452</v>
      </c>
      <c r="T112">
        <v>0</v>
      </c>
      <c r="U112">
        <v>17.808433382716089</v>
      </c>
      <c r="V112">
        <v>123.45942556488308</v>
      </c>
      <c r="W112">
        <v>1.4210854715202004E-14</v>
      </c>
      <c r="X112">
        <v>10.676944345679019</v>
      </c>
      <c r="Y112">
        <v>74.101740043072596</v>
      </c>
      <c r="Z112">
        <v>0</v>
      </c>
      <c r="AA112">
        <v>13.217289234567914</v>
      </c>
      <c r="AB112">
        <v>91.683698522084683</v>
      </c>
      <c r="AC112">
        <v>1.4210854715202004E-14</v>
      </c>
      <c r="AD112">
        <v>10.676944345679019</v>
      </c>
      <c r="AE112">
        <v>74.101740043072596</v>
      </c>
      <c r="AF112">
        <v>0</v>
      </c>
      <c r="AG112">
        <v>-1.8532130791258439</v>
      </c>
      <c r="AH112">
        <v>60.757685671040917</v>
      </c>
      <c r="AI112">
        <v>1.4210854715202004E-14</v>
      </c>
      <c r="AJ112">
        <v>0.68713180976303079</v>
      </c>
      <c r="AK112">
        <v>78.339644150053459</v>
      </c>
      <c r="AL112">
        <v>0</v>
      </c>
      <c r="AM112">
        <v>-1.8532130791258439</v>
      </c>
      <c r="AN112">
        <v>60.757685671040917</v>
      </c>
      <c r="AO112">
        <v>-1.4210854715202004E-14</v>
      </c>
      <c r="AP112">
        <v>16.72392991863201</v>
      </c>
      <c r="AQ112">
        <v>38.571780105696462</v>
      </c>
      <c r="AR112">
        <v>0</v>
      </c>
      <c r="AS112">
        <v>19.26427480752092</v>
      </c>
      <c r="AT112">
        <v>56.153738584708435</v>
      </c>
      <c r="AU112">
        <v>-1.4210854715202004E-14</v>
      </c>
      <c r="AV112">
        <v>16.72392991863201</v>
      </c>
      <c r="AW112">
        <v>38.571780105696462</v>
      </c>
      <c r="AX112">
        <v>-1.4210854715202004E-14</v>
      </c>
      <c r="AY112">
        <v>-6.3650849464850268</v>
      </c>
      <c r="AZ112">
        <v>100.06106613485866</v>
      </c>
      <c r="BA112">
        <v>0</v>
      </c>
      <c r="BB112">
        <v>-5.8258304627225215</v>
      </c>
      <c r="BC112">
        <v>104.24625409156721</v>
      </c>
      <c r="BD112">
        <v>-1.4210854715202004E-14</v>
      </c>
      <c r="BE112">
        <v>-6.3650849464850268</v>
      </c>
      <c r="BF112">
        <v>100.06106613485866</v>
      </c>
      <c r="BG112">
        <v>0</v>
      </c>
      <c r="BH112">
        <v>29.254087343436893</v>
      </c>
      <c r="BI112">
        <v>47.912443369966013</v>
      </c>
      <c r="BJ112">
        <v>-1.4210854715202004E-14</v>
      </c>
      <c r="BK112">
        <v>30.047945121214653</v>
      </c>
      <c r="BL112">
        <v>53.406805394657567</v>
      </c>
      <c r="BM112">
        <v>0</v>
      </c>
      <c r="BN112">
        <v>29.254087343436893</v>
      </c>
      <c r="BO112">
        <v>47.912443369966013</v>
      </c>
      <c r="BP112">
        <v>0</v>
      </c>
      <c r="BQ112">
        <v>-2.1203810848869864</v>
      </c>
      <c r="BR112">
        <v>95.550301196452324</v>
      </c>
      <c r="BS112">
        <v>0</v>
      </c>
      <c r="BT112">
        <v>25.721202482886326</v>
      </c>
      <c r="BU112">
        <v>62.151874372809743</v>
      </c>
      <c r="BV112">
        <v>0</v>
      </c>
      <c r="BW112">
        <v>-3.4300800552456128</v>
      </c>
      <c r="BX112">
        <v>110.83447449597716</v>
      </c>
      <c r="BY112">
        <v>0</v>
      </c>
      <c r="BZ112">
        <v>28.518895158251709</v>
      </c>
      <c r="CA112">
        <v>42.090130278196511</v>
      </c>
      <c r="CB112">
        <v>0</v>
      </c>
      <c r="CC112">
        <v>-6.0288457579529364</v>
      </c>
      <c r="CD112">
        <v>64.391213256875659</v>
      </c>
      <c r="CE112">
        <v>0</v>
      </c>
      <c r="CF112">
        <v>19.691586543315367</v>
      </c>
      <c r="CG112">
        <v>22.557359900982874</v>
      </c>
      <c r="CH112">
        <f t="shared" si="24"/>
        <v>30.047945121214653</v>
      </c>
      <c r="CI112">
        <f t="shared" si="25"/>
        <v>-6.3650849464850268</v>
      </c>
      <c r="CJ112">
        <f t="shared" si="26"/>
        <v>128.95378758957452</v>
      </c>
      <c r="CK112">
        <f t="shared" si="27"/>
        <v>22.557359900982874</v>
      </c>
    </row>
    <row r="113" spans="10:89" x14ac:dyDescent="0.25">
      <c r="J113">
        <f t="shared" si="22"/>
        <v>22.200000000000003</v>
      </c>
      <c r="K113" cm="1">
        <f t="array" ref="K113:CG113">LRFD_Analysis(Lf_ft,J113,$B$4:$G$84,$J$4:$U$28)</f>
        <v>-2.8421709430404007E-14</v>
      </c>
      <c r="L113">
        <v>9.0275359999999978</v>
      </c>
      <c r="M113">
        <v>57.917146933333015</v>
      </c>
      <c r="N113">
        <v>0</v>
      </c>
      <c r="O113">
        <v>18.535136000000037</v>
      </c>
      <c r="P113">
        <v>118.61347359999957</v>
      </c>
      <c r="Q113">
        <v>0</v>
      </c>
      <c r="R113">
        <v>19.361456000000018</v>
      </c>
      <c r="S113">
        <v>123.89180559999954</v>
      </c>
      <c r="T113">
        <v>0</v>
      </c>
      <c r="U113">
        <v>18.535136000000037</v>
      </c>
      <c r="V113">
        <v>118.61347359999957</v>
      </c>
      <c r="W113">
        <v>1.4210854715202004E-14</v>
      </c>
      <c r="X113">
        <v>11.112027999999995</v>
      </c>
      <c r="Y113">
        <v>71.196457799999962</v>
      </c>
      <c r="Z113">
        <v>0</v>
      </c>
      <c r="AA113">
        <v>13.756252000000018</v>
      </c>
      <c r="AB113">
        <v>88.087120199999617</v>
      </c>
      <c r="AC113">
        <v>1.4210854715202004E-14</v>
      </c>
      <c r="AD113">
        <v>11.112027999999995</v>
      </c>
      <c r="AE113">
        <v>71.196457799999962</v>
      </c>
      <c r="AF113">
        <v>0</v>
      </c>
      <c r="AG113">
        <v>-1.8343970791258357</v>
      </c>
      <c r="AH113">
        <v>61.715735657573134</v>
      </c>
      <c r="AI113">
        <v>1.4210854715202004E-14</v>
      </c>
      <c r="AJ113">
        <v>0.80982692087414421</v>
      </c>
      <c r="AK113">
        <v>78.606398057573585</v>
      </c>
      <c r="AL113">
        <v>0</v>
      </c>
      <c r="AM113">
        <v>-1.8343970791258357</v>
      </c>
      <c r="AN113">
        <v>61.715735657573134</v>
      </c>
      <c r="AO113">
        <v>-1.4210854715202004E-14</v>
      </c>
      <c r="AP113">
        <v>17.310173079125846</v>
      </c>
      <c r="AQ113">
        <v>33.567410834664543</v>
      </c>
      <c r="AR113">
        <v>0</v>
      </c>
      <c r="AS113">
        <v>19.954397079125854</v>
      </c>
      <c r="AT113">
        <v>50.458073234664425</v>
      </c>
      <c r="AU113">
        <v>-1.4210854715202004E-14</v>
      </c>
      <c r="AV113">
        <v>17.310173079125846</v>
      </c>
      <c r="AW113">
        <v>33.567410834664543</v>
      </c>
      <c r="AX113">
        <v>-1.4210854715202004E-14</v>
      </c>
      <c r="AY113">
        <v>-6.5104871899990187</v>
      </c>
      <c r="AZ113">
        <v>102.71052339253572</v>
      </c>
      <c r="BA113">
        <v>0</v>
      </c>
      <c r="BB113">
        <v>-5.9370650944918708</v>
      </c>
      <c r="BC113">
        <v>106.74735834854934</v>
      </c>
      <c r="BD113">
        <v>-1.4210854715202004E-14</v>
      </c>
      <c r="BE113">
        <v>-6.5104871899990187</v>
      </c>
      <c r="BF113">
        <v>102.71052339253572</v>
      </c>
      <c r="BG113">
        <v>0</v>
      </c>
      <c r="BH113">
        <v>30.25659815825172</v>
      </c>
      <c r="BI113">
        <v>39.044741869329528</v>
      </c>
      <c r="BJ113">
        <v>-1.4210854715202004E-14</v>
      </c>
      <c r="BK113">
        <v>31.082918158251715</v>
      </c>
      <c r="BL113">
        <v>44.323073869329619</v>
      </c>
      <c r="BM113">
        <v>0</v>
      </c>
      <c r="BN113">
        <v>30.25659815825172</v>
      </c>
      <c r="BO113">
        <v>39.044741869329528</v>
      </c>
      <c r="BP113">
        <v>0</v>
      </c>
      <c r="BQ113">
        <v>-2.0656896267931018</v>
      </c>
      <c r="BR113">
        <v>96.807991502419384</v>
      </c>
      <c r="BS113">
        <v>0</v>
      </c>
      <c r="BT113">
        <v>26.627303618688785</v>
      </c>
      <c r="BU113">
        <v>54.4723356519969</v>
      </c>
      <c r="BV113">
        <v>0</v>
      </c>
      <c r="BW113">
        <v>-3.7232018874294823</v>
      </c>
      <c r="BX113">
        <v>112.72050506840708</v>
      </c>
      <c r="BY113">
        <v>0</v>
      </c>
      <c r="BZ113">
        <v>29.45239515825169</v>
      </c>
      <c r="CA113">
        <v>33.427291569329327</v>
      </c>
      <c r="CB113">
        <v>0</v>
      </c>
      <c r="CC113">
        <v>-6.2422411291482618</v>
      </c>
      <c r="CD113">
        <v>66.726861672129985</v>
      </c>
      <c r="CE113">
        <v>0</v>
      </c>
      <c r="CF113">
        <v>20.364608456474627</v>
      </c>
      <c r="CG113">
        <v>16.516855474335102</v>
      </c>
      <c r="CH113">
        <f t="shared" si="24"/>
        <v>31.082918158251715</v>
      </c>
      <c r="CI113">
        <f t="shared" si="25"/>
        <v>-6.5104871899990187</v>
      </c>
      <c r="CJ113">
        <f t="shared" si="26"/>
        <v>123.89180559999954</v>
      </c>
      <c r="CK113">
        <f t="shared" si="27"/>
        <v>16.516855474335102</v>
      </c>
    </row>
    <row r="114" spans="10:89" x14ac:dyDescent="0.25">
      <c r="J114">
        <f t="shared" si="22"/>
        <v>22.466666666666669</v>
      </c>
      <c r="K114" cm="1">
        <f t="array" ref="K114:CG114">LRFD_Analysis(Lf_ft,J114,$B$4:$G$84,$J$4:$U$28)</f>
        <v>-2.8421709430404007E-14</v>
      </c>
      <c r="L114">
        <v>9.3773308971193075</v>
      </c>
      <c r="M114">
        <v>55.463094540832572</v>
      </c>
      <c r="N114">
        <v>0</v>
      </c>
      <c r="O114">
        <v>19.255416493827184</v>
      </c>
      <c r="P114">
        <v>113.57459055363483</v>
      </c>
      <c r="Q114">
        <v>0</v>
      </c>
      <c r="R114">
        <v>20.113914271604941</v>
      </c>
      <c r="S114">
        <v>118.62827386227696</v>
      </c>
      <c r="T114">
        <v>0</v>
      </c>
      <c r="U114">
        <v>19.255416493827184</v>
      </c>
      <c r="V114">
        <v>113.57459055363483</v>
      </c>
      <c r="W114">
        <v>1.4210854715202004E-14</v>
      </c>
      <c r="X114">
        <v>11.543244790123467</v>
      </c>
      <c r="Y114">
        <v>68.17566883100119</v>
      </c>
      <c r="Z114">
        <v>0</v>
      </c>
      <c r="AA114">
        <v>14.290437679012356</v>
      </c>
      <c r="AB114">
        <v>84.3474554186555</v>
      </c>
      <c r="AC114">
        <v>1.4210854715202004E-14</v>
      </c>
      <c r="AD114">
        <v>11.543244790123467</v>
      </c>
      <c r="AE114">
        <v>68.17566883100119</v>
      </c>
      <c r="AF114">
        <v>0</v>
      </c>
      <c r="AG114">
        <v>-1.8289926346814056</v>
      </c>
      <c r="AH114">
        <v>62.670556251513005</v>
      </c>
      <c r="AI114">
        <v>1.4210854715202004E-14</v>
      </c>
      <c r="AJ114">
        <v>0.91820025420747697</v>
      </c>
      <c r="AK114">
        <v>78.842342839167486</v>
      </c>
      <c r="AL114">
        <v>0</v>
      </c>
      <c r="AM114">
        <v>-1.8289926346814056</v>
      </c>
      <c r="AN114">
        <v>62.670556251513005</v>
      </c>
      <c r="AO114">
        <v>-1.4210854715202004E-14</v>
      </c>
      <c r="AP114">
        <v>17.904417029743115</v>
      </c>
      <c r="AQ114">
        <v>28.405643282151459</v>
      </c>
      <c r="AR114">
        <v>0</v>
      </c>
      <c r="AS114">
        <v>20.651609918632033</v>
      </c>
      <c r="AT114">
        <v>44.577429869805428</v>
      </c>
      <c r="AU114">
        <v>-1.4210854715202004E-14</v>
      </c>
      <c r="AV114">
        <v>17.904417029743115</v>
      </c>
      <c r="AW114">
        <v>28.405643282151459</v>
      </c>
      <c r="AX114">
        <v>-1.4210854715202004E-14</v>
      </c>
      <c r="AY114">
        <v>-6.683745656939962</v>
      </c>
      <c r="AZ114">
        <v>105.40246874494042</v>
      </c>
      <c r="BA114">
        <v>0</v>
      </c>
      <c r="BB114">
        <v>-6.0759815053601969</v>
      </c>
      <c r="BC114">
        <v>109.28181607788289</v>
      </c>
      <c r="BD114">
        <v>-1.4210854715202004E-14</v>
      </c>
      <c r="BE114">
        <v>-6.683745656939962</v>
      </c>
      <c r="BF114">
        <v>105.40246874494042</v>
      </c>
      <c r="BG114">
        <v>0</v>
      </c>
      <c r="BH114">
        <v>31.276654454547966</v>
      </c>
      <c r="BI114">
        <v>29.9073647538778</v>
      </c>
      <c r="BJ114">
        <v>-1.4210854715202004E-14</v>
      </c>
      <c r="BK114">
        <v>32.135152232325751</v>
      </c>
      <c r="BL114">
        <v>34.961048062520376</v>
      </c>
      <c r="BM114">
        <v>0</v>
      </c>
      <c r="BN114">
        <v>31.276654454547966</v>
      </c>
      <c r="BO114">
        <v>29.9073647538778</v>
      </c>
      <c r="BP114">
        <v>0</v>
      </c>
      <c r="BQ114">
        <v>-2.03135867025442</v>
      </c>
      <c r="BR114">
        <v>98.053812153102228</v>
      </c>
      <c r="BS114">
        <v>0</v>
      </c>
      <c r="BT114">
        <v>27.545198927330745</v>
      </c>
      <c r="BU114">
        <v>46.549597405257373</v>
      </c>
      <c r="BV114">
        <v>0</v>
      </c>
      <c r="BW114">
        <v>-4.0646396163246727</v>
      </c>
      <c r="BX114">
        <v>114.69114358231394</v>
      </c>
      <c r="BY114">
        <v>0</v>
      </c>
      <c r="BZ114">
        <v>30.385895158251699</v>
      </c>
      <c r="CA114">
        <v>24.515519527129072</v>
      </c>
      <c r="CB114">
        <v>0</v>
      </c>
      <c r="CC114">
        <v>-6.4779791365113013</v>
      </c>
      <c r="CD114">
        <v>69.122394537858483</v>
      </c>
      <c r="CE114">
        <v>0</v>
      </c>
      <c r="CF114">
        <v>21.052101169216328</v>
      </c>
      <c r="CG114">
        <v>10.294949097566814</v>
      </c>
      <c r="CH114">
        <f t="shared" si="24"/>
        <v>32.135152232325751</v>
      </c>
      <c r="CI114">
        <f t="shared" si="25"/>
        <v>-6.683745656939962</v>
      </c>
      <c r="CJ114">
        <f t="shared" si="26"/>
        <v>118.62827386227696</v>
      </c>
      <c r="CK114">
        <f t="shared" si="27"/>
        <v>10.294949097566814</v>
      </c>
    </row>
    <row r="115" spans="10:89" x14ac:dyDescent="0.25">
      <c r="J115">
        <f t="shared" si="22"/>
        <v>22.733333333333334</v>
      </c>
      <c r="K115" cm="1">
        <f t="array" ref="K115:CG115">LRFD_Analysis(Lf_ft,J115,$B$4:$G$84,$J$4:$U$28)</f>
        <v>-2.8421709430404007E-14</v>
      </c>
      <c r="L115">
        <v>9.7239695144032794</v>
      </c>
      <c r="M115">
        <v>52.916184346410546</v>
      </c>
      <c r="N115">
        <v>0</v>
      </c>
      <c r="O115">
        <v>19.969274864197544</v>
      </c>
      <c r="P115">
        <v>108.34448899204358</v>
      </c>
      <c r="Q115">
        <v>0</v>
      </c>
      <c r="R115">
        <v>20.859665975308658</v>
      </c>
      <c r="S115">
        <v>113.16498079451253</v>
      </c>
      <c r="T115">
        <v>0</v>
      </c>
      <c r="U115">
        <v>19.969274864197544</v>
      </c>
      <c r="V115">
        <v>108.34448899204358</v>
      </c>
      <c r="W115">
        <v>1.4210854715202004E-14</v>
      </c>
      <c r="X115">
        <v>11.970594716049376</v>
      </c>
      <c r="Y115">
        <v>65.040404299862644</v>
      </c>
      <c r="Z115">
        <v>0</v>
      </c>
      <c r="AA115">
        <v>14.819846271604945</v>
      </c>
      <c r="AB115">
        <v>80.465978067763899</v>
      </c>
      <c r="AC115">
        <v>1.4210854715202004E-14</v>
      </c>
      <c r="AD115">
        <v>11.970594716049376</v>
      </c>
      <c r="AE115">
        <v>65.040404299862644</v>
      </c>
      <c r="AF115">
        <v>0</v>
      </c>
      <c r="AG115">
        <v>-1.8369997457925109</v>
      </c>
      <c r="AH115">
        <v>63.625723867674878</v>
      </c>
      <c r="AI115">
        <v>1.4210854715202004E-14</v>
      </c>
      <c r="AJ115">
        <v>1.0122518097630291</v>
      </c>
      <c r="AK115">
        <v>79.051297635576361</v>
      </c>
      <c r="AL115">
        <v>0</v>
      </c>
      <c r="AM115">
        <v>-1.8369997457925109</v>
      </c>
      <c r="AN115">
        <v>63.625723867674878</v>
      </c>
      <c r="AO115">
        <v>-1.4210854715202004E-14</v>
      </c>
      <c r="AP115">
        <v>18.506661770483859</v>
      </c>
      <c r="AQ115">
        <v>23.084343904124353</v>
      </c>
      <c r="AR115">
        <v>0</v>
      </c>
      <c r="AS115">
        <v>21.355913326039456</v>
      </c>
      <c r="AT115">
        <v>38.509917672024585</v>
      </c>
      <c r="AU115">
        <v>-1.4210854715202004E-14</v>
      </c>
      <c r="AV115">
        <v>18.506661770483859</v>
      </c>
      <c r="AW115">
        <v>23.084343904124353</v>
      </c>
      <c r="AX115">
        <v>-1.4210854715202004E-14</v>
      </c>
      <c r="AY115">
        <v>-6.8848603473078285</v>
      </c>
      <c r="AZ115">
        <v>108.14433051831958</v>
      </c>
      <c r="BA115">
        <v>0</v>
      </c>
      <c r="BB115">
        <v>-6.2425796953274855</v>
      </c>
      <c r="BC115">
        <v>111.85700908732804</v>
      </c>
      <c r="BD115">
        <v>-1.4210854715202004E-14</v>
      </c>
      <c r="BE115">
        <v>-6.8848603473078285</v>
      </c>
      <c r="BF115">
        <v>108.14433051831958</v>
      </c>
      <c r="BG115">
        <v>0</v>
      </c>
      <c r="BH115">
        <v>32.314256232325747</v>
      </c>
      <c r="BI115">
        <v>20.495633228550105</v>
      </c>
      <c r="BJ115">
        <v>-1.4210854715202004E-14</v>
      </c>
      <c r="BK115">
        <v>33.204647343436861</v>
      </c>
      <c r="BL115">
        <v>25.316125031019055</v>
      </c>
      <c r="BM115">
        <v>0</v>
      </c>
      <c r="BN115">
        <v>32.314256232325747</v>
      </c>
      <c r="BO115">
        <v>20.495633228550105</v>
      </c>
      <c r="BP115">
        <v>0</v>
      </c>
      <c r="BQ115">
        <v>-2.0173882152708842</v>
      </c>
      <c r="BR115">
        <v>99.29319261558237</v>
      </c>
      <c r="BS115">
        <v>0</v>
      </c>
      <c r="BT115">
        <v>28.474888408812234</v>
      </c>
      <c r="BU115">
        <v>38.38051451983506</v>
      </c>
      <c r="BV115">
        <v>0</v>
      </c>
      <c r="BW115">
        <v>-4.4543932419311822</v>
      </c>
      <c r="BX115">
        <v>116.75927427682115</v>
      </c>
      <c r="BY115">
        <v>0</v>
      </c>
      <c r="BZ115">
        <v>31.31939515825168</v>
      </c>
      <c r="CA115">
        <v>15.354814151595292</v>
      </c>
      <c r="CB115">
        <v>0</v>
      </c>
      <c r="CC115">
        <v>-6.7360597800420692</v>
      </c>
      <c r="CD115">
        <v>71.583769890372992</v>
      </c>
      <c r="CE115">
        <v>0</v>
      </c>
      <c r="CF115">
        <v>21.754064681540342</v>
      </c>
      <c r="CG115">
        <v>3.8877818907902792</v>
      </c>
      <c r="CH115">
        <f t="shared" si="24"/>
        <v>33.204647343436861</v>
      </c>
      <c r="CI115">
        <f t="shared" si="25"/>
        <v>-6.8848603473078285</v>
      </c>
      <c r="CJ115">
        <f t="shared" si="26"/>
        <v>116.75927427682115</v>
      </c>
      <c r="CK115">
        <f t="shared" si="27"/>
        <v>3.8877818907902792</v>
      </c>
    </row>
    <row r="116" spans="10:89" x14ac:dyDescent="0.25">
      <c r="J116">
        <f t="shared" si="22"/>
        <v>23</v>
      </c>
      <c r="K116" cm="1">
        <f t="array" ref="K116:CG116">LRFD_Analysis(Lf_ft,J116,$B$4:$G$84,$J$4:$U$28)</f>
        <v>-2.8421709430404007E-14</v>
      </c>
      <c r="L116">
        <v>10.067451851851843</v>
      </c>
      <c r="M116">
        <v>50.277258024691264</v>
      </c>
      <c r="N116">
        <v>0</v>
      </c>
      <c r="O116">
        <v>20.676711111111132</v>
      </c>
      <c r="P116">
        <v>102.92488148148072</v>
      </c>
      <c r="Q116">
        <v>0</v>
      </c>
      <c r="R116">
        <v>21.598711111111115</v>
      </c>
      <c r="S116">
        <v>107.50371481481466</v>
      </c>
      <c r="T116">
        <v>0</v>
      </c>
      <c r="U116">
        <v>20.676711111111132</v>
      </c>
      <c r="V116">
        <v>102.92488148148072</v>
      </c>
      <c r="W116">
        <v>1.4210854715202004E-14</v>
      </c>
      <c r="X116">
        <v>12.394077777777767</v>
      </c>
      <c r="Y116">
        <v>61.791695370370007</v>
      </c>
      <c r="Z116">
        <v>0</v>
      </c>
      <c r="AA116">
        <v>15.344477777777769</v>
      </c>
      <c r="AB116">
        <v>76.443962037036727</v>
      </c>
      <c r="AC116">
        <v>1.4210854715202004E-14</v>
      </c>
      <c r="AD116">
        <v>12.394077777777767</v>
      </c>
      <c r="AE116">
        <v>61.791695370370007</v>
      </c>
      <c r="AF116">
        <v>0</v>
      </c>
      <c r="AG116">
        <v>-1.85841841245918</v>
      </c>
      <c r="AH116">
        <v>64.584814920873782</v>
      </c>
      <c r="AI116">
        <v>1.4210854715202004E-14</v>
      </c>
      <c r="AJ116">
        <v>1.0919815875408005</v>
      </c>
      <c r="AK116">
        <v>79.237081587540956</v>
      </c>
      <c r="AL116">
        <v>0</v>
      </c>
      <c r="AM116">
        <v>-1.85841841245918</v>
      </c>
      <c r="AN116">
        <v>64.584814920873782</v>
      </c>
      <c r="AO116">
        <v>-1.4210854715202004E-14</v>
      </c>
      <c r="AP116">
        <v>19.116907301348064</v>
      </c>
      <c r="AQ116">
        <v>17.601379156549228</v>
      </c>
      <c r="AR116">
        <v>0</v>
      </c>
      <c r="AS116">
        <v>22.067307301348094</v>
      </c>
      <c r="AT116">
        <v>32.253645823215493</v>
      </c>
      <c r="AU116">
        <v>-1.4210854715202004E-14</v>
      </c>
      <c r="AV116">
        <v>19.116907301348064</v>
      </c>
      <c r="AW116">
        <v>17.601379156549228</v>
      </c>
      <c r="AX116">
        <v>-1.4210854715202004E-14</v>
      </c>
      <c r="AY116">
        <v>-7.1138312611026109</v>
      </c>
      <c r="AZ116">
        <v>110.94353703892043</v>
      </c>
      <c r="BA116">
        <v>0</v>
      </c>
      <c r="BB116">
        <v>-6.4368596643937579</v>
      </c>
      <c r="BC116">
        <v>114.4803191846442</v>
      </c>
      <c r="BD116">
        <v>-1.4210854715202004E-14</v>
      </c>
      <c r="BE116">
        <v>-7.1138312611026109</v>
      </c>
      <c r="BF116">
        <v>110.94353703892043</v>
      </c>
      <c r="BG116">
        <v>0</v>
      </c>
      <c r="BH116">
        <v>33.36940349158499</v>
      </c>
      <c r="BI116">
        <v>10.804868498283895</v>
      </c>
      <c r="BJ116">
        <v>-1.4210854715202004E-14</v>
      </c>
      <c r="BK116">
        <v>34.291403491585015</v>
      </c>
      <c r="BL116">
        <v>15.383701831617145</v>
      </c>
      <c r="BM116">
        <v>0</v>
      </c>
      <c r="BN116">
        <v>33.36940349158499</v>
      </c>
      <c r="BO116">
        <v>10.804868498283895</v>
      </c>
      <c r="BP116">
        <v>0</v>
      </c>
      <c r="BQ116">
        <v>-2.0237782618425371</v>
      </c>
      <c r="BR116">
        <v>100.53156235694075</v>
      </c>
      <c r="BS116">
        <v>0</v>
      </c>
      <c r="BT116">
        <v>29.416372063133196</v>
      </c>
      <c r="BU116">
        <v>29.961941882971814</v>
      </c>
      <c r="BV116">
        <v>0</v>
      </c>
      <c r="BW116">
        <v>-4.8924627642490144</v>
      </c>
      <c r="BX116">
        <v>118.93778139105166</v>
      </c>
      <c r="BY116">
        <v>0</v>
      </c>
      <c r="BZ116">
        <v>32.25289515825169</v>
      </c>
      <c r="CA116">
        <v>5.9451754427279866</v>
      </c>
      <c r="CB116">
        <v>0</v>
      </c>
      <c r="CC116">
        <v>-7.0164830597405619</v>
      </c>
      <c r="CD116">
        <v>74.116945765984781</v>
      </c>
      <c r="CE116">
        <v>0</v>
      </c>
      <c r="CF116">
        <v>22.470498993446782</v>
      </c>
      <c r="CG116">
        <v>-2.7085050258842784</v>
      </c>
      <c r="CH116">
        <f t="shared" si="24"/>
        <v>34.291403491585015</v>
      </c>
      <c r="CI116">
        <f t="shared" si="25"/>
        <v>-7.1138312611026109</v>
      </c>
      <c r="CJ116">
        <f t="shared" si="26"/>
        <v>118.93778139105166</v>
      </c>
      <c r="CK116">
        <f t="shared" si="27"/>
        <v>-2.7085050258842784</v>
      </c>
    </row>
    <row r="117" spans="10:89" x14ac:dyDescent="0.25">
      <c r="J117">
        <f>J116+$J$55</f>
        <v>23.266666666666666</v>
      </c>
      <c r="K117" cm="1">
        <f t="array" ref="K117:CG117">LRFD_Analysis(Lf_ft,J117,$B$4:$G$84,$J$4:$U$28)</f>
        <v>-2.8421709430404007E-14</v>
      </c>
      <c r="L117">
        <v>10.407777909465011</v>
      </c>
      <c r="M117">
        <v>47.54715725029746</v>
      </c>
      <c r="N117">
        <v>0</v>
      </c>
      <c r="O117">
        <v>21.377725234567919</v>
      </c>
      <c r="P117">
        <v>97.31748058820267</v>
      </c>
      <c r="Q117">
        <v>0</v>
      </c>
      <c r="R117">
        <v>22.331049679012338</v>
      </c>
      <c r="S117">
        <v>101.64626434128968</v>
      </c>
      <c r="T117">
        <v>0</v>
      </c>
      <c r="U117">
        <v>21.377725234567919</v>
      </c>
      <c r="V117">
        <v>97.31748058820267</v>
      </c>
      <c r="W117">
        <v>1.4210854715202004E-14</v>
      </c>
      <c r="X117">
        <v>12.813693975308638</v>
      </c>
      <c r="Y117">
        <v>58.4305732063101</v>
      </c>
      <c r="Z117">
        <v>0</v>
      </c>
      <c r="AA117">
        <v>15.864332197530871</v>
      </c>
      <c r="AB117">
        <v>72.282681216186461</v>
      </c>
      <c r="AC117">
        <v>1.4210854715202004E-14</v>
      </c>
      <c r="AD117">
        <v>12.813693975308638</v>
      </c>
      <c r="AE117">
        <v>58.4305732063101</v>
      </c>
      <c r="AF117">
        <v>0</v>
      </c>
      <c r="AG117">
        <v>-1.8932486346813988</v>
      </c>
      <c r="AH117">
        <v>65.551405825924803</v>
      </c>
      <c r="AI117">
        <v>1.4210854715202004E-14</v>
      </c>
      <c r="AJ117">
        <v>1.1573895875408198</v>
      </c>
      <c r="AK117">
        <v>79.403513835801618</v>
      </c>
      <c r="AL117">
        <v>0</v>
      </c>
      <c r="AM117">
        <v>-1.8932486346813988</v>
      </c>
      <c r="AN117">
        <v>65.551405825924803</v>
      </c>
      <c r="AO117">
        <v>-1.4210854715202004E-14</v>
      </c>
      <c r="AP117">
        <v>19.735153622335716</v>
      </c>
      <c r="AQ117">
        <v>11.954615495394137</v>
      </c>
      <c r="AR117">
        <v>0</v>
      </c>
      <c r="AS117">
        <v>22.785791844557949</v>
      </c>
      <c r="AT117">
        <v>25.806723505270384</v>
      </c>
      <c r="AU117">
        <v>-1.4210854715202004E-14</v>
      </c>
      <c r="AV117">
        <v>19.735153622335716</v>
      </c>
      <c r="AW117">
        <v>11.954615495394137</v>
      </c>
      <c r="AX117">
        <v>-1.4210854715202004E-14</v>
      </c>
      <c r="AY117">
        <v>-7.3706583983243092</v>
      </c>
      <c r="AZ117">
        <v>113.80751663298986</v>
      </c>
      <c r="BA117">
        <v>0</v>
      </c>
      <c r="BB117">
        <v>-6.658821412559</v>
      </c>
      <c r="BC117">
        <v>117.15912817759113</v>
      </c>
      <c r="BD117">
        <v>-1.4210854715202004E-14</v>
      </c>
      <c r="BE117">
        <v>-7.3706583983243092</v>
      </c>
      <c r="BF117">
        <v>113.80751663298986</v>
      </c>
      <c r="BG117">
        <v>0</v>
      </c>
      <c r="BH117">
        <v>34.442096232325753</v>
      </c>
      <c r="BI117">
        <v>0.83039176801753456</v>
      </c>
      <c r="BJ117">
        <v>-1.4210854715202004E-14</v>
      </c>
      <c r="BK117">
        <v>35.3954206767702</v>
      </c>
      <c r="BL117">
        <v>5.1591755211038617</v>
      </c>
      <c r="BM117">
        <v>0</v>
      </c>
      <c r="BN117">
        <v>34.442096232325753</v>
      </c>
      <c r="BO117">
        <v>0.83039176801753456</v>
      </c>
      <c r="BP117">
        <v>0</v>
      </c>
      <c r="BQ117">
        <v>-2.050528809969336</v>
      </c>
      <c r="BR117">
        <v>101.77435084425855</v>
      </c>
      <c r="BS117">
        <v>0</v>
      </c>
      <c r="BT117">
        <v>30.369649890293729</v>
      </c>
      <c r="BU117">
        <v>21.290734381911079</v>
      </c>
      <c r="BV117">
        <v>0</v>
      </c>
      <c r="BW117">
        <v>-5.3788481832781763</v>
      </c>
      <c r="BX117">
        <v>121.23954916412831</v>
      </c>
      <c r="BY117">
        <v>0</v>
      </c>
      <c r="BZ117">
        <v>33.186395158251685</v>
      </c>
      <c r="CA117">
        <v>-3.7133965994723894</v>
      </c>
      <c r="CB117">
        <v>0</v>
      </c>
      <c r="CC117">
        <v>-7.3192489756067864</v>
      </c>
      <c r="CD117">
        <v>76.727880201005149</v>
      </c>
      <c r="CE117">
        <v>0</v>
      </c>
      <c r="CF117">
        <v>23.201404104935605</v>
      </c>
      <c r="CG117">
        <v>-9.4977705323442478</v>
      </c>
      <c r="CH117">
        <f t="shared" si="24"/>
        <v>35.3954206767702</v>
      </c>
      <c r="CI117">
        <f t="shared" si="25"/>
        <v>-7.3706583983243092</v>
      </c>
      <c r="CJ117">
        <f t="shared" si="26"/>
        <v>121.23954916412831</v>
      </c>
      <c r="CK117">
        <f t="shared" si="27"/>
        <v>-9.4977705323442478</v>
      </c>
    </row>
    <row r="118" spans="10:89" x14ac:dyDescent="0.25">
      <c r="J118">
        <f t="shared" si="22"/>
        <v>23.533333333333331</v>
      </c>
      <c r="K118" cm="1">
        <f t="array" ref="K118:CG118">LRFD_Analysis(Lf_ft,J118,$B$4:$G$84,$J$4:$U$28)</f>
        <v>-2.8421709430404007E-14</v>
      </c>
      <c r="L118">
        <v>10.744947687242771</v>
      </c>
      <c r="M118">
        <v>44.726723697851298</v>
      </c>
      <c r="N118">
        <v>0</v>
      </c>
      <c r="O118">
        <v>22.072317234567919</v>
      </c>
      <c r="P118">
        <v>91.523998878463772</v>
      </c>
      <c r="Q118">
        <v>0</v>
      </c>
      <c r="R118">
        <v>23.056681679012357</v>
      </c>
      <c r="S118">
        <v>95.594417792043714</v>
      </c>
      <c r="T118">
        <v>0</v>
      </c>
      <c r="U118">
        <v>22.072317234567919</v>
      </c>
      <c r="V118">
        <v>91.523998878463772</v>
      </c>
      <c r="W118">
        <v>1.4210854715202004E-14</v>
      </c>
      <c r="X118">
        <v>13.229443308641976</v>
      </c>
      <c r="Y118">
        <v>54.95806897146781</v>
      </c>
      <c r="Z118">
        <v>0</v>
      </c>
      <c r="AA118">
        <v>16.379409530864208</v>
      </c>
      <c r="AB118">
        <v>67.983409494924331</v>
      </c>
      <c r="AC118">
        <v>1.4210854715202004E-14</v>
      </c>
      <c r="AD118">
        <v>13.229443308641976</v>
      </c>
      <c r="AE118">
        <v>54.95806897146781</v>
      </c>
      <c r="AF118">
        <v>0</v>
      </c>
      <c r="AG118">
        <v>-1.9414904124591814</v>
      </c>
      <c r="AH118">
        <v>66.529072997642459</v>
      </c>
      <c r="AI118">
        <v>1.4210854715202004E-14</v>
      </c>
      <c r="AJ118">
        <v>1.2084758097630157</v>
      </c>
      <c r="AK118">
        <v>79.554413521099605</v>
      </c>
      <c r="AL118">
        <v>0</v>
      </c>
      <c r="AM118">
        <v>-1.9414904124591814</v>
      </c>
      <c r="AN118">
        <v>66.529072997642459</v>
      </c>
      <c r="AO118">
        <v>-1.4210854715202004E-14</v>
      </c>
      <c r="AP118">
        <v>20.361400733446814</v>
      </c>
      <c r="AQ118">
        <v>6.141919376626447</v>
      </c>
      <c r="AR118">
        <v>0</v>
      </c>
      <c r="AS118">
        <v>23.511366955669047</v>
      </c>
      <c r="AT118">
        <v>19.167259900082854</v>
      </c>
      <c r="AU118">
        <v>-1.4210854715202004E-14</v>
      </c>
      <c r="AV118">
        <v>20.361400733446814</v>
      </c>
      <c r="AW118">
        <v>6.141919376626447</v>
      </c>
      <c r="AX118">
        <v>-1.4210854715202004E-14</v>
      </c>
      <c r="AY118">
        <v>-7.655341758972952</v>
      </c>
      <c r="AZ118">
        <v>116.74369762677588</v>
      </c>
      <c r="BA118">
        <v>0</v>
      </c>
      <c r="BB118">
        <v>-6.9084649398232258</v>
      </c>
      <c r="BC118">
        <v>119.9008178739291</v>
      </c>
      <c r="BD118">
        <v>-1.4210854715202004E-14</v>
      </c>
      <c r="BE118">
        <v>-7.655341758972952</v>
      </c>
      <c r="BF118">
        <v>116.74369762677588</v>
      </c>
      <c r="BG118">
        <v>0</v>
      </c>
      <c r="BH118">
        <v>35.532334454547978</v>
      </c>
      <c r="BI118">
        <v>-9.4324757573101579</v>
      </c>
      <c r="BJ118">
        <v>-1.4210854715202004E-14</v>
      </c>
      <c r="BK118">
        <v>36.516698898992431</v>
      </c>
      <c r="BL118">
        <v>-5.3620568437297607</v>
      </c>
      <c r="BM118">
        <v>0</v>
      </c>
      <c r="BN118">
        <v>35.532334454547978</v>
      </c>
      <c r="BO118">
        <v>-9.4324757573101579</v>
      </c>
      <c r="BP118">
        <v>0</v>
      </c>
      <c r="BQ118">
        <v>-2.0976398596513093</v>
      </c>
      <c r="BR118">
        <v>103.02698754461807</v>
      </c>
      <c r="BS118">
        <v>0</v>
      </c>
      <c r="BT118">
        <v>31.334721890293721</v>
      </c>
      <c r="BU118">
        <v>12.363746903896299</v>
      </c>
      <c r="BV118">
        <v>0</v>
      </c>
      <c r="BW118">
        <v>-5.9135494990186643</v>
      </c>
      <c r="BX118">
        <v>123.67746183517446</v>
      </c>
      <c r="BY118">
        <v>0</v>
      </c>
      <c r="BZ118">
        <v>34.119895158251666</v>
      </c>
      <c r="CA118">
        <v>-13.620901975005836</v>
      </c>
      <c r="CB118">
        <v>0</v>
      </c>
      <c r="CC118">
        <v>-7.6443575276407287</v>
      </c>
      <c r="CD118">
        <v>79.422531231745651</v>
      </c>
      <c r="CE118">
        <v>0</v>
      </c>
      <c r="CF118">
        <v>23.94678001600677</v>
      </c>
      <c r="CG118">
        <v>-16.483873508478837</v>
      </c>
      <c r="CH118">
        <f t="shared" si="24"/>
        <v>36.516698898992431</v>
      </c>
      <c r="CI118">
        <f t="shared" si="25"/>
        <v>-7.655341758972952</v>
      </c>
      <c r="CJ118">
        <f t="shared" si="26"/>
        <v>123.67746183517446</v>
      </c>
      <c r="CK118">
        <f t="shared" si="27"/>
        <v>-16.483873508478837</v>
      </c>
    </row>
    <row r="119" spans="10:89" x14ac:dyDescent="0.25">
      <c r="J119">
        <f t="shared" si="22"/>
        <v>23.799999999999997</v>
      </c>
      <c r="K119" cm="1">
        <f t="array" ref="K119:CG119">LRFD_Analysis(Lf_ft,J119,$B$4:$G$84,$J$4:$U$28)</f>
        <v>-2.8421709430404007E-14</v>
      </c>
      <c r="L119">
        <v>11.078961185185179</v>
      </c>
      <c r="M119">
        <v>41.816799041975628</v>
      </c>
      <c r="N119">
        <v>0</v>
      </c>
      <c r="O119">
        <v>22.760487111111132</v>
      </c>
      <c r="P119">
        <v>85.546148918517929</v>
      </c>
      <c r="Q119">
        <v>0</v>
      </c>
      <c r="R119">
        <v>23.775607111111114</v>
      </c>
      <c r="S119">
        <v>89.349963585184696</v>
      </c>
      <c r="T119">
        <v>0</v>
      </c>
      <c r="U119">
        <v>22.760487111111132</v>
      </c>
      <c r="V119">
        <v>85.546148918517929</v>
      </c>
      <c r="W119">
        <v>1.4210854715202004E-14</v>
      </c>
      <c r="X119">
        <v>13.641325777777766</v>
      </c>
      <c r="Y119">
        <v>51.375213829629729</v>
      </c>
      <c r="Z119">
        <v>0</v>
      </c>
      <c r="AA119">
        <v>16.889709777777782</v>
      </c>
      <c r="AB119">
        <v>63.547420762962929</v>
      </c>
      <c r="AC119">
        <v>1.4210854715202004E-14</v>
      </c>
      <c r="AD119">
        <v>13.641325777777766</v>
      </c>
      <c r="AE119">
        <v>51.375213829629729</v>
      </c>
      <c r="AF119">
        <v>0</v>
      </c>
      <c r="AG119">
        <v>-2.0031437457925065</v>
      </c>
      <c r="AH119">
        <v>67.521392850841266</v>
      </c>
      <c r="AI119">
        <v>1.4210854715202004E-14</v>
      </c>
      <c r="AJ119">
        <v>1.2452402542074736</v>
      </c>
      <c r="AK119">
        <v>79.693599784174921</v>
      </c>
      <c r="AL119">
        <v>0</v>
      </c>
      <c r="AM119">
        <v>-2.0031437457925065</v>
      </c>
      <c r="AN119">
        <v>67.521392850841266</v>
      </c>
      <c r="AO119">
        <v>-1.4210854715202004E-14</v>
      </c>
      <c r="AP119">
        <v>20.995648634681373</v>
      </c>
      <c r="AQ119">
        <v>0.1611572562121637</v>
      </c>
      <c r="AR119">
        <v>0</v>
      </c>
      <c r="AS119">
        <v>24.244032634681389</v>
      </c>
      <c r="AT119">
        <v>12.333364189545364</v>
      </c>
      <c r="AU119">
        <v>-1.4210854715202004E-14</v>
      </c>
      <c r="AV119">
        <v>20.995648634681373</v>
      </c>
      <c r="AW119">
        <v>0.1611572562121637</v>
      </c>
      <c r="AX119">
        <v>-1.4210854715202004E-14</v>
      </c>
      <c r="AY119">
        <v>-7.9678813430485036</v>
      </c>
      <c r="AZ119">
        <v>119.75950834652451</v>
      </c>
      <c r="BA119">
        <v>0</v>
      </c>
      <c r="BB119">
        <v>-7.1857902461864356</v>
      </c>
      <c r="BC119">
        <v>122.71277008141692</v>
      </c>
      <c r="BD119">
        <v>-1.4210854715202004E-14</v>
      </c>
      <c r="BE119">
        <v>-7.9678813430485036</v>
      </c>
      <c r="BF119">
        <v>119.75950834652451</v>
      </c>
      <c r="BG119">
        <v>0</v>
      </c>
      <c r="BH119">
        <v>36.640118158251667</v>
      </c>
      <c r="BI119">
        <v>-19.98841287276241</v>
      </c>
      <c r="BJ119">
        <v>-1.4210854715202004E-14</v>
      </c>
      <c r="BK119">
        <v>37.655238158251663</v>
      </c>
      <c r="BL119">
        <v>-16.184598206094961</v>
      </c>
      <c r="BM119">
        <v>0</v>
      </c>
      <c r="BN119">
        <v>36.640118158251667</v>
      </c>
      <c r="BO119">
        <v>-19.98841287276241</v>
      </c>
      <c r="BP119">
        <v>0</v>
      </c>
      <c r="BQ119">
        <v>-2.1651114108884713</v>
      </c>
      <c r="BR119">
        <v>104.29490192509968</v>
      </c>
      <c r="BS119">
        <v>0</v>
      </c>
      <c r="BT119">
        <v>32.311588063133215</v>
      </c>
      <c r="BU119">
        <v>3.1778343361695534</v>
      </c>
      <c r="BV119">
        <v>0</v>
      </c>
      <c r="BW119">
        <v>-6.4965667114704608</v>
      </c>
      <c r="BX119">
        <v>126.26440364331268</v>
      </c>
      <c r="BY119">
        <v>0</v>
      </c>
      <c r="BZ119">
        <v>35.053395158251689</v>
      </c>
      <c r="CA119">
        <v>-23.777340683872808</v>
      </c>
      <c r="CB119">
        <v>0</v>
      </c>
      <c r="CC119">
        <v>-7.9918087158423852</v>
      </c>
      <c r="CD119">
        <v>82.206856894517358</v>
      </c>
      <c r="CE119">
        <v>0</v>
      </c>
      <c r="CF119">
        <v>24.70662672666036</v>
      </c>
      <c r="CG119">
        <v>-23.670672834177594</v>
      </c>
      <c r="CH119">
        <f t="shared" si="24"/>
        <v>37.655238158251663</v>
      </c>
      <c r="CI119">
        <f t="shared" si="25"/>
        <v>-7.9918087158423852</v>
      </c>
      <c r="CJ119">
        <f t="shared" si="26"/>
        <v>126.26440364331268</v>
      </c>
      <c r="CK119">
        <f t="shared" si="27"/>
        <v>-23.777340683872808</v>
      </c>
    </row>
    <row r="120" spans="10:89" x14ac:dyDescent="0.25">
      <c r="J120">
        <f t="shared" si="22"/>
        <v>24.066666666666663</v>
      </c>
      <c r="K120" cm="1">
        <f t="array" ref="K120:CG120">LRFD_Analysis(Lf_ft,J120,$B$4:$G$84,$J$4:$U$28)</f>
        <v>-2.8421709430404007E-14</v>
      </c>
      <c r="L120">
        <v>11.409818403292149</v>
      </c>
      <c r="M120">
        <v>38.818224957293296</v>
      </c>
      <c r="N120">
        <v>0</v>
      </c>
      <c r="O120">
        <v>23.44223486419753</v>
      </c>
      <c r="P120">
        <v>79.385643274622907</v>
      </c>
      <c r="Q120">
        <v>0</v>
      </c>
      <c r="R120">
        <v>24.487825975308652</v>
      </c>
      <c r="S120">
        <v>82.914690138820333</v>
      </c>
      <c r="T120">
        <v>0</v>
      </c>
      <c r="U120">
        <v>23.44223486419753</v>
      </c>
      <c r="V120">
        <v>79.385643274622907</v>
      </c>
      <c r="W120">
        <v>1.4210854715202004E-14</v>
      </c>
      <c r="X120">
        <v>14.049341382716065</v>
      </c>
      <c r="Y120">
        <v>47.683038944581995</v>
      </c>
      <c r="Z120">
        <v>0</v>
      </c>
      <c r="AA120">
        <v>17.395232938271633</v>
      </c>
      <c r="AB120">
        <v>58.975988910013712</v>
      </c>
      <c r="AC120">
        <v>1.4210854715202004E-14</v>
      </c>
      <c r="AD120">
        <v>14.049341382716065</v>
      </c>
      <c r="AE120">
        <v>47.683038944581995</v>
      </c>
      <c r="AF120">
        <v>0</v>
      </c>
      <c r="AG120">
        <v>20.52917644444446</v>
      </c>
      <c r="AH120">
        <v>67.02478279506164</v>
      </c>
      <c r="AI120">
        <v>1.4210854715202004E-14</v>
      </c>
      <c r="AJ120">
        <v>23.875067999999999</v>
      </c>
      <c r="AK120">
        <v>78.317732760494096</v>
      </c>
      <c r="AL120">
        <v>0</v>
      </c>
      <c r="AM120">
        <v>20.52917644444446</v>
      </c>
      <c r="AN120">
        <v>67.02478279506164</v>
      </c>
      <c r="AO120">
        <v>-1.4210854715202004E-14</v>
      </c>
      <c r="AP120">
        <v>-0.9694877530864261</v>
      </c>
      <c r="AQ120">
        <v>-0.47925429684482879</v>
      </c>
      <c r="AR120">
        <v>0</v>
      </c>
      <c r="AS120">
        <v>2.3764038024691416</v>
      </c>
      <c r="AT120">
        <v>10.813695668586888</v>
      </c>
      <c r="AU120">
        <v>-1.4210854715202004E-14</v>
      </c>
      <c r="AV120">
        <v>-0.9694877530864261</v>
      </c>
      <c r="AW120">
        <v>-0.47925429684482879</v>
      </c>
      <c r="AX120">
        <v>-1.4210854715202004E-14</v>
      </c>
      <c r="AY120">
        <v>36.906493007700732</v>
      </c>
      <c r="AZ120">
        <v>119.84805910793403</v>
      </c>
      <c r="BA120">
        <v>0</v>
      </c>
      <c r="BB120">
        <v>37.723972826603102</v>
      </c>
      <c r="BC120">
        <v>122.5880485972649</v>
      </c>
      <c r="BD120">
        <v>-1.4210854715202004E-14</v>
      </c>
      <c r="BE120">
        <v>36.906493007700732</v>
      </c>
      <c r="BF120">
        <v>119.84805910793403</v>
      </c>
      <c r="BG120">
        <v>0</v>
      </c>
      <c r="BH120">
        <v>-7.4493228148148205</v>
      </c>
      <c r="BI120">
        <v>-19.820998147324872</v>
      </c>
      <c r="BJ120">
        <v>-1.4210854715202004E-14</v>
      </c>
      <c r="BK120">
        <v>-6.4037317037037269</v>
      </c>
      <c r="BL120">
        <v>-16.291951283127219</v>
      </c>
      <c r="BM120">
        <v>0</v>
      </c>
      <c r="BN120">
        <v>-7.4493228148148205</v>
      </c>
      <c r="BO120">
        <v>-19.820998147324872</v>
      </c>
      <c r="BP120">
        <v>0</v>
      </c>
      <c r="BQ120">
        <v>31.658134155008</v>
      </c>
      <c r="BR120">
        <v>103.32278494487304</v>
      </c>
      <c r="BS120">
        <v>0</v>
      </c>
      <c r="BT120">
        <v>-0.61082920987654177</v>
      </c>
      <c r="BU120">
        <v>1.9956767355279226</v>
      </c>
      <c r="BV120">
        <v>0</v>
      </c>
      <c r="BW120">
        <v>38.086870337618102</v>
      </c>
      <c r="BX120">
        <v>125.99894081711628</v>
      </c>
      <c r="BY120">
        <v>0</v>
      </c>
      <c r="BZ120">
        <v>-9.2278750000000258</v>
      </c>
      <c r="CA120">
        <v>-23.161612500000047</v>
      </c>
      <c r="CB120">
        <v>0</v>
      </c>
      <c r="CC120">
        <v>25.549475078476995</v>
      </c>
      <c r="CD120">
        <v>82.826076717719488</v>
      </c>
      <c r="CE120">
        <v>0</v>
      </c>
      <c r="CF120">
        <v>-8.4301333817924444</v>
      </c>
      <c r="CG120">
        <v>-22.79620221977234</v>
      </c>
      <c r="CH120">
        <f t="shared" si="24"/>
        <v>38.086870337618102</v>
      </c>
      <c r="CI120">
        <f t="shared" si="25"/>
        <v>-9.2278750000000258</v>
      </c>
      <c r="CJ120">
        <f t="shared" si="26"/>
        <v>125.99894081711628</v>
      </c>
      <c r="CK120">
        <f t="shared" si="27"/>
        <v>-23.161612500000047</v>
      </c>
    </row>
    <row r="121" spans="10:89" x14ac:dyDescent="0.25">
      <c r="J121">
        <f t="shared" si="22"/>
        <v>24.333333333333329</v>
      </c>
      <c r="K121" cm="1">
        <f t="array" ref="K121:CG121">LRFD_Analysis(Lf_ft,J121,$B$4:$G$84,$J$4:$U$28)</f>
        <v>-2.8421709430404007E-14</v>
      </c>
      <c r="L121">
        <v>11.737519341563782</v>
      </c>
      <c r="M121">
        <v>35.731843118427378</v>
      </c>
      <c r="N121">
        <v>0</v>
      </c>
      <c r="O121">
        <v>24.11756049382717</v>
      </c>
      <c r="P121">
        <v>73.044194513031016</v>
      </c>
      <c r="Q121">
        <v>0</v>
      </c>
      <c r="R121">
        <v>25.193338271604915</v>
      </c>
      <c r="S121">
        <v>76.290385871056287</v>
      </c>
      <c r="T121">
        <v>0</v>
      </c>
      <c r="U121">
        <v>24.11756049382717</v>
      </c>
      <c r="V121">
        <v>73.044194513031016</v>
      </c>
      <c r="W121">
        <v>1.4210854715202004E-14</v>
      </c>
      <c r="X121">
        <v>14.453490123456774</v>
      </c>
      <c r="Y121">
        <v>43.882575480109949</v>
      </c>
      <c r="Z121">
        <v>0</v>
      </c>
      <c r="AA121">
        <v>17.895979012345691</v>
      </c>
      <c r="AB121">
        <v>54.270387825788248</v>
      </c>
      <c r="AC121">
        <v>1.4210854715202004E-14</v>
      </c>
      <c r="AD121">
        <v>14.453490123456774</v>
      </c>
      <c r="AE121">
        <v>43.882575480109949</v>
      </c>
      <c r="AF121">
        <v>0</v>
      </c>
      <c r="AG121">
        <v>20.440700000000021</v>
      </c>
      <c r="AH121">
        <v>62.028501234567671</v>
      </c>
      <c r="AI121">
        <v>1.4210854715202004E-14</v>
      </c>
      <c r="AJ121">
        <v>23.883188888888881</v>
      </c>
      <c r="AK121">
        <v>72.416313580247333</v>
      </c>
      <c r="AL121">
        <v>0</v>
      </c>
      <c r="AM121">
        <v>20.440700000000021</v>
      </c>
      <c r="AN121">
        <v>62.028501234567671</v>
      </c>
      <c r="AO121">
        <v>-1.4210854715202004E-14</v>
      </c>
      <c r="AP121">
        <v>-0.31923827160495932</v>
      </c>
      <c r="AQ121">
        <v>-0.77391303154968227</v>
      </c>
      <c r="AR121">
        <v>0</v>
      </c>
      <c r="AS121">
        <v>3.1232506172839436</v>
      </c>
      <c r="AT121">
        <v>9.6138993141289575</v>
      </c>
      <c r="AU121">
        <v>-1.4210854715202004E-14</v>
      </c>
      <c r="AV121">
        <v>-0.31923827160495932</v>
      </c>
      <c r="AW121">
        <v>-0.77391303154968227</v>
      </c>
      <c r="AX121">
        <v>-1.4210854715202004E-14</v>
      </c>
      <c r="AY121">
        <v>36.538240976771291</v>
      </c>
      <c r="AZ121">
        <v>110.98814221615055</v>
      </c>
      <c r="BA121">
        <v>0</v>
      </c>
      <c r="BB121">
        <v>37.391283962041939</v>
      </c>
      <c r="BC121">
        <v>113.50539920813236</v>
      </c>
      <c r="BD121">
        <v>-1.4210854715202004E-14</v>
      </c>
      <c r="BE121">
        <v>36.538240976771291</v>
      </c>
      <c r="BF121">
        <v>110.98814221615055</v>
      </c>
      <c r="BG121">
        <v>0</v>
      </c>
      <c r="BH121">
        <v>-6.3064481481481778</v>
      </c>
      <c r="BI121">
        <v>-18.919838786008313</v>
      </c>
      <c r="BJ121">
        <v>-1.4210854715202004E-14</v>
      </c>
      <c r="BK121">
        <v>-5.2306703703703903</v>
      </c>
      <c r="BL121">
        <v>-15.673647427983724</v>
      </c>
      <c r="BM121">
        <v>0</v>
      </c>
      <c r="BN121">
        <v>-6.3064481481481778</v>
      </c>
      <c r="BO121">
        <v>-18.919838786008313</v>
      </c>
      <c r="BP121">
        <v>0</v>
      </c>
      <c r="BQ121">
        <v>31.549941600660517</v>
      </c>
      <c r="BR121">
        <v>95.594589055193865</v>
      </c>
      <c r="BS121">
        <v>0</v>
      </c>
      <c r="BT121">
        <v>0.38962530864196765</v>
      </c>
      <c r="BU121">
        <v>1.3254326817561832</v>
      </c>
      <c r="BV121">
        <v>0</v>
      </c>
      <c r="BW121">
        <v>37.407221331743642</v>
      </c>
      <c r="BX121">
        <v>116.86532157460769</v>
      </c>
      <c r="BY121">
        <v>0</v>
      </c>
      <c r="BZ121">
        <v>-8.2943750000000307</v>
      </c>
      <c r="CA121">
        <v>-21.758645833333503</v>
      </c>
      <c r="CB121">
        <v>0</v>
      </c>
      <c r="CC121">
        <v>25.157338617939878</v>
      </c>
      <c r="CD121">
        <v>76.764671721837885</v>
      </c>
      <c r="CE121">
        <v>0</v>
      </c>
      <c r="CF121">
        <v>-7.6413450719741149</v>
      </c>
      <c r="CG121">
        <v>-21.353016852613109</v>
      </c>
      <c r="CH121">
        <f t="shared" si="24"/>
        <v>37.407221331743642</v>
      </c>
      <c r="CI121">
        <f t="shared" si="25"/>
        <v>-8.2943750000000307</v>
      </c>
      <c r="CJ121">
        <f t="shared" si="26"/>
        <v>116.86532157460769</v>
      </c>
      <c r="CK121">
        <f t="shared" si="27"/>
        <v>-21.758645833333503</v>
      </c>
    </row>
    <row r="122" spans="10:89" x14ac:dyDescent="0.25">
      <c r="J122">
        <f>J121+$J$55</f>
        <v>24.599999999999994</v>
      </c>
      <c r="K122" cm="1">
        <f t="array" ref="K122:CG122">LRFD_Analysis(Lf_ft,J122,$B$4:$G$84,$J$4:$U$28)</f>
        <v>-2.8421709430404007E-14</v>
      </c>
      <c r="L122">
        <v>11.740064000000018</v>
      </c>
      <c r="M122">
        <v>32.574595200000431</v>
      </c>
      <c r="N122">
        <v>0</v>
      </c>
      <c r="O122">
        <v>24.11846400000006</v>
      </c>
      <c r="P122">
        <v>66.556915199999594</v>
      </c>
      <c r="Q122">
        <v>0</v>
      </c>
      <c r="R122">
        <v>25.194144000000037</v>
      </c>
      <c r="S122">
        <v>69.513739200000146</v>
      </c>
      <c r="T122">
        <v>0</v>
      </c>
      <c r="U122">
        <v>24.11846400000006</v>
      </c>
      <c r="V122">
        <v>66.556915199999594</v>
      </c>
      <c r="W122">
        <v>1.4210854715202004E-14</v>
      </c>
      <c r="X122">
        <v>14.455272000000022</v>
      </c>
      <c r="Y122">
        <v>39.994779600000129</v>
      </c>
      <c r="Z122">
        <v>0</v>
      </c>
      <c r="AA122">
        <v>17.89744800000004</v>
      </c>
      <c r="AB122">
        <v>49.45661640000003</v>
      </c>
      <c r="AC122">
        <v>1.4210854715202004E-14</v>
      </c>
      <c r="AD122">
        <v>14.455272000000022</v>
      </c>
      <c r="AE122">
        <v>39.994779600000129</v>
      </c>
      <c r="AF122">
        <v>0</v>
      </c>
      <c r="AG122">
        <v>20.062812000000022</v>
      </c>
      <c r="AH122">
        <v>56.896401599999876</v>
      </c>
      <c r="AI122">
        <v>1.4210854715202004E-14</v>
      </c>
      <c r="AJ122">
        <v>23.504988000000026</v>
      </c>
      <c r="AK122">
        <v>66.358238400000346</v>
      </c>
      <c r="AL122">
        <v>0</v>
      </c>
      <c r="AM122">
        <v>20.062812000000022</v>
      </c>
      <c r="AN122">
        <v>56.896401599999876</v>
      </c>
      <c r="AO122">
        <v>-1.4210854715202004E-14</v>
      </c>
      <c r="AP122">
        <v>6.3011999999986301E-2</v>
      </c>
      <c r="AQ122">
        <v>-1.0542383999998037</v>
      </c>
      <c r="AR122">
        <v>0</v>
      </c>
      <c r="AS122">
        <v>3.5051880000000324</v>
      </c>
      <c r="AT122">
        <v>8.4075983999998698</v>
      </c>
      <c r="AU122">
        <v>-1.4210854715202004E-14</v>
      </c>
      <c r="AV122">
        <v>6.3011999999986301E-2</v>
      </c>
      <c r="AW122">
        <v>-1.0542383999998037</v>
      </c>
      <c r="AX122">
        <v>-1.4210854715202004E-14</v>
      </c>
      <c r="AY122">
        <v>35.743632722415001</v>
      </c>
      <c r="AZ122">
        <v>101.90006502907158</v>
      </c>
      <c r="BA122">
        <v>0</v>
      </c>
      <c r="BB122">
        <v>36.602413318381849</v>
      </c>
      <c r="BC122">
        <v>104.18658275342915</v>
      </c>
      <c r="BD122">
        <v>-1.4210854715202004E-14</v>
      </c>
      <c r="BE122">
        <v>35.743632722415001</v>
      </c>
      <c r="BF122">
        <v>101.90006502907158</v>
      </c>
      <c r="BG122">
        <v>0</v>
      </c>
      <c r="BH122">
        <v>-5.5445279999999997</v>
      </c>
      <c r="BI122">
        <v>-17.95586040000012</v>
      </c>
      <c r="BJ122">
        <v>-1.4210854715202004E-14</v>
      </c>
      <c r="BK122">
        <v>-4.4688480000000226</v>
      </c>
      <c r="BL122">
        <v>-14.999036399999341</v>
      </c>
      <c r="BM122">
        <v>0</v>
      </c>
      <c r="BN122">
        <v>-5.5445279999999997</v>
      </c>
      <c r="BO122">
        <v>-17.95586040000012</v>
      </c>
      <c r="BP122">
        <v>0</v>
      </c>
      <c r="BQ122">
        <v>30.980888544757875</v>
      </c>
      <c r="BR122">
        <v>87.657484246881381</v>
      </c>
      <c r="BS122">
        <v>0</v>
      </c>
      <c r="BT122">
        <v>0.9613740000000206</v>
      </c>
      <c r="BU122">
        <v>0.67135319999943022</v>
      </c>
      <c r="BV122">
        <v>0</v>
      </c>
      <c r="BW122">
        <v>36.472256429157881</v>
      </c>
      <c r="BX122">
        <v>107.57973418656081</v>
      </c>
      <c r="BY122">
        <v>0</v>
      </c>
      <c r="BZ122">
        <v>-7.567875000000015</v>
      </c>
      <c r="CA122">
        <v>-20.244262499999877</v>
      </c>
      <c r="CB122">
        <v>0</v>
      </c>
      <c r="CC122">
        <v>24.535859521235061</v>
      </c>
      <c r="CD122">
        <v>70.558665466922037</v>
      </c>
      <c r="CE122">
        <v>0</v>
      </c>
      <c r="CF122">
        <v>-7.0450859625733671</v>
      </c>
      <c r="CG122">
        <v>-19.849254474682311</v>
      </c>
      <c r="CH122">
        <f t="shared" si="24"/>
        <v>36.602413318381849</v>
      </c>
      <c r="CI122">
        <f t="shared" si="25"/>
        <v>-7.567875000000015</v>
      </c>
      <c r="CJ122">
        <f t="shared" si="26"/>
        <v>107.57973418656081</v>
      </c>
      <c r="CK122">
        <f t="shared" si="27"/>
        <v>-20.244262499999877</v>
      </c>
    </row>
    <row r="123" spans="10:89" x14ac:dyDescent="0.25">
      <c r="J123">
        <f t="shared" si="22"/>
        <v>24.86666666666666</v>
      </c>
      <c r="K123" cm="1">
        <f t="array" ref="K123:CG123">LRFD_Analysis(Lf_ft,J123,$B$4:$G$84,$J$4:$U$28)</f>
        <v>-2.8421709430404007E-14</v>
      </c>
      <c r="L123">
        <v>11.202785711934141</v>
      </c>
      <c r="M123">
        <v>29.515478432191003</v>
      </c>
      <c r="N123">
        <v>0</v>
      </c>
      <c r="O123">
        <v>22.99961204938279</v>
      </c>
      <c r="P123">
        <v>60.274362346227008</v>
      </c>
      <c r="Q123">
        <v>0</v>
      </c>
      <c r="R123">
        <v>24.024909827160542</v>
      </c>
      <c r="S123">
        <v>62.951049654869621</v>
      </c>
      <c r="T123">
        <v>0</v>
      </c>
      <c r="U123">
        <v>22.99961204938279</v>
      </c>
      <c r="V123">
        <v>60.274362346227008</v>
      </c>
      <c r="W123">
        <v>1.4210854715202004E-14</v>
      </c>
      <c r="X123">
        <v>13.789020345679035</v>
      </c>
      <c r="Y123">
        <v>36.228788023594234</v>
      </c>
      <c r="Z123">
        <v>0</v>
      </c>
      <c r="AA123">
        <v>17.069973234567954</v>
      </c>
      <c r="AB123">
        <v>44.794187411248004</v>
      </c>
      <c r="AC123">
        <v>1.4210854715202004E-14</v>
      </c>
      <c r="AD123">
        <v>13.789020345679035</v>
      </c>
      <c r="AE123">
        <v>36.228788023594234</v>
      </c>
      <c r="AF123">
        <v>0</v>
      </c>
      <c r="AG123">
        <v>19.21151244444448</v>
      </c>
      <c r="AH123">
        <v>51.65952697283933</v>
      </c>
      <c r="AI123">
        <v>1.4210854715202004E-14</v>
      </c>
      <c r="AJ123">
        <v>22.492465333333357</v>
      </c>
      <c r="AK123">
        <v>60.224926360494237</v>
      </c>
      <c r="AL123">
        <v>0</v>
      </c>
      <c r="AM123">
        <v>19.21151244444448</v>
      </c>
      <c r="AN123">
        <v>51.65952697283933</v>
      </c>
      <c r="AO123">
        <v>-1.4210854715202004E-14</v>
      </c>
      <c r="AP123">
        <v>-6.7369382716151449E-3</v>
      </c>
      <c r="AQ123">
        <v>-1.0615639462273521</v>
      </c>
      <c r="AR123">
        <v>0</v>
      </c>
      <c r="AS123">
        <v>3.2742159506172896</v>
      </c>
      <c r="AT123">
        <v>7.5038354414270998</v>
      </c>
      <c r="AU123">
        <v>-1.4210854715202004E-14</v>
      </c>
      <c r="AV123">
        <v>-6.7369382716151449E-3</v>
      </c>
      <c r="AW123">
        <v>-1.0615639462273521</v>
      </c>
      <c r="AX123">
        <v>-1.4210854715202004E-14</v>
      </c>
      <c r="AY123">
        <v>34.257001577965084</v>
      </c>
      <c r="AZ123">
        <v>92.566028095167098</v>
      </c>
      <c r="BA123">
        <v>0</v>
      </c>
      <c r="BB123">
        <v>35.071694228956076</v>
      </c>
      <c r="BC123">
        <v>94.629419929804044</v>
      </c>
      <c r="BD123">
        <v>-1.4210854715202004E-14</v>
      </c>
      <c r="BE123">
        <v>34.257001577965084</v>
      </c>
      <c r="BF123">
        <v>92.566028095167098</v>
      </c>
      <c r="BG123">
        <v>0</v>
      </c>
      <c r="BH123">
        <v>-5.4292290370370466</v>
      </c>
      <c r="BI123">
        <v>-16.492302895473131</v>
      </c>
      <c r="BJ123">
        <v>-1.4210854715202004E-14</v>
      </c>
      <c r="BK123">
        <v>-4.4039312592592523</v>
      </c>
      <c r="BL123">
        <v>-13.815615586831655</v>
      </c>
      <c r="BM123">
        <v>0</v>
      </c>
      <c r="BN123">
        <v>-5.4292290370370466</v>
      </c>
      <c r="BO123">
        <v>-16.492302895473131</v>
      </c>
      <c r="BP123">
        <v>0</v>
      </c>
      <c r="BQ123">
        <v>29.657308320633419</v>
      </c>
      <c r="BR123">
        <v>79.571938875906085</v>
      </c>
      <c r="BS123">
        <v>0</v>
      </c>
      <c r="BT123">
        <v>0.81075019753086508</v>
      </c>
      <c r="BU123">
        <v>0.43533206639267519</v>
      </c>
      <c r="BV123">
        <v>0</v>
      </c>
      <c r="BW123">
        <v>35.14397562986079</v>
      </c>
      <c r="BX123">
        <v>98.029829558764703</v>
      </c>
      <c r="BY123">
        <v>0</v>
      </c>
      <c r="BZ123">
        <v>-7.1863750000000124</v>
      </c>
      <c r="CA123">
        <v>-18.27702916666658</v>
      </c>
      <c r="CB123">
        <v>0</v>
      </c>
      <c r="CC123">
        <v>23.547037788362495</v>
      </c>
      <c r="CD123">
        <v>64.147115989283122</v>
      </c>
      <c r="CE123">
        <v>0</v>
      </c>
      <c r="CF123">
        <v>-6.7793560535902486</v>
      </c>
      <c r="CG123">
        <v>-18.005673965869846</v>
      </c>
      <c r="CH123">
        <f t="shared" si="24"/>
        <v>35.14397562986079</v>
      </c>
      <c r="CI123">
        <f t="shared" si="25"/>
        <v>-7.1863750000000124</v>
      </c>
      <c r="CJ123">
        <f t="shared" si="26"/>
        <v>98.029829558764703</v>
      </c>
      <c r="CK123">
        <f t="shared" si="27"/>
        <v>-18.27702916666658</v>
      </c>
    </row>
    <row r="124" spans="10:89" x14ac:dyDescent="0.25">
      <c r="J124">
        <f t="shared" ref="J124" si="28">J123+$J$55</f>
        <v>25.133333333333326</v>
      </c>
      <c r="K124" cm="1">
        <f t="array" ref="K124:CG124">LRFD_Analysis(Lf_ft,J124,$B$4:$G$84,$J$4:$U$28)</f>
        <v>-2.8421709430404007E-14</v>
      </c>
      <c r="L124">
        <v>10.662351144032925</v>
      </c>
      <c r="M124">
        <v>26.600056711842626</v>
      </c>
      <c r="N124">
        <v>0</v>
      </c>
      <c r="O124">
        <v>21.874337975308691</v>
      </c>
      <c r="P124">
        <v>54.291026295747315</v>
      </c>
      <c r="Q124">
        <v>0</v>
      </c>
      <c r="R124">
        <v>22.8489690864198</v>
      </c>
      <c r="S124">
        <v>56.701050098216683</v>
      </c>
      <c r="T124">
        <v>0</v>
      </c>
      <c r="U124">
        <v>21.874337975308691</v>
      </c>
      <c r="V124">
        <v>54.291026295747315</v>
      </c>
      <c r="W124">
        <v>1.4210854715202004E-14</v>
      </c>
      <c r="X124">
        <v>13.118901827160514</v>
      </c>
      <c r="Y124">
        <v>32.640979136899887</v>
      </c>
      <c r="Z124">
        <v>0</v>
      </c>
      <c r="AA124">
        <v>16.237721382716074</v>
      </c>
      <c r="AB124">
        <v>40.353055304801046</v>
      </c>
      <c r="AC124">
        <v>1.4210854715202004E-14</v>
      </c>
      <c r="AD124">
        <v>13.118901827160514</v>
      </c>
      <c r="AE124">
        <v>32.640979136899887</v>
      </c>
      <c r="AF124">
        <v>0</v>
      </c>
      <c r="AG124">
        <v>18.346801333333346</v>
      </c>
      <c r="AH124">
        <v>46.651453767900875</v>
      </c>
      <c r="AI124">
        <v>1.4210854715202004E-14</v>
      </c>
      <c r="AJ124">
        <v>21.465620888888907</v>
      </c>
      <c r="AK124">
        <v>54.363529935802944</v>
      </c>
      <c r="AL124">
        <v>0</v>
      </c>
      <c r="AM124">
        <v>18.346801333333346</v>
      </c>
      <c r="AN124">
        <v>46.651453767900875</v>
      </c>
      <c r="AO124">
        <v>-1.4210854715202004E-14</v>
      </c>
      <c r="AP124">
        <v>-6.8485086419769914E-2</v>
      </c>
      <c r="AQ124">
        <v>-1.0513565475994255</v>
      </c>
      <c r="AR124">
        <v>0</v>
      </c>
      <c r="AS124">
        <v>3.050334469135791</v>
      </c>
      <c r="AT124">
        <v>6.6607196203019612</v>
      </c>
      <c r="AU124">
        <v>-1.4210854715202004E-14</v>
      </c>
      <c r="AV124">
        <v>-6.8485086419769914E-2</v>
      </c>
      <c r="AW124">
        <v>-1.0513565475994255</v>
      </c>
      <c r="AX124">
        <v>-1.4210854715202004E-14</v>
      </c>
      <c r="AY124">
        <v>32.742514210088231</v>
      </c>
      <c r="AZ124">
        <v>83.632140296239413</v>
      </c>
      <c r="BA124">
        <v>0</v>
      </c>
      <c r="BB124">
        <v>33.513293360431319</v>
      </c>
      <c r="BC124">
        <v>85.484139767239128</v>
      </c>
      <c r="BD124">
        <v>-1.4210854715202004E-14</v>
      </c>
      <c r="BE124">
        <v>32.742514210088231</v>
      </c>
      <c r="BF124">
        <v>83.632140296239413</v>
      </c>
      <c r="BG124">
        <v>0</v>
      </c>
      <c r="BH124">
        <v>-5.2963845925926307</v>
      </c>
      <c r="BI124">
        <v>-15.061831178600187</v>
      </c>
      <c r="BJ124">
        <v>-1.4210854715202004E-14</v>
      </c>
      <c r="BK124">
        <v>-4.3217534814815082</v>
      </c>
      <c r="BL124">
        <v>-12.651807376131046</v>
      </c>
      <c r="BM124">
        <v>0</v>
      </c>
      <c r="BN124">
        <v>-5.2963845925926307</v>
      </c>
      <c r="BO124">
        <v>-15.061831178600187</v>
      </c>
      <c r="BP124">
        <v>0</v>
      </c>
      <c r="BQ124">
        <v>28.313367594953746</v>
      </c>
      <c r="BR124">
        <v>71.842062964904017</v>
      </c>
      <c r="BS124">
        <v>0</v>
      </c>
      <c r="BT124">
        <v>0.67192056790122479</v>
      </c>
      <c r="BU124">
        <v>0.23790472373138982</v>
      </c>
      <c r="BV124">
        <v>0</v>
      </c>
      <c r="BW124">
        <v>33.767378933852378</v>
      </c>
      <c r="BX124">
        <v>88.840575263676101</v>
      </c>
      <c r="BY124">
        <v>0</v>
      </c>
      <c r="BZ124">
        <v>-6.8048750000000098</v>
      </c>
      <c r="CA124">
        <v>-16.411529166666696</v>
      </c>
      <c r="CB124">
        <v>0</v>
      </c>
      <c r="CC124">
        <v>22.535873419322215</v>
      </c>
      <c r="CD124">
        <v>58.0022313252326</v>
      </c>
      <c r="CE124">
        <v>0</v>
      </c>
      <c r="CF124">
        <v>-6.4991553450247466</v>
      </c>
      <c r="CG124">
        <v>-16.234884206063725</v>
      </c>
      <c r="CH124">
        <f t="shared" si="24"/>
        <v>33.767378933852378</v>
      </c>
      <c r="CI124">
        <f t="shared" si="25"/>
        <v>-6.8048750000000098</v>
      </c>
      <c r="CJ124">
        <f t="shared" si="26"/>
        <v>88.840575263676101</v>
      </c>
      <c r="CK124">
        <f t="shared" si="27"/>
        <v>-16.411529166666696</v>
      </c>
    </row>
    <row r="125" spans="10:89" x14ac:dyDescent="0.25">
      <c r="J125">
        <f>J124+$J$55</f>
        <v>25.399999999999991</v>
      </c>
      <c r="K125" cm="1">
        <f t="array" ref="K125:CG125">LRFD_Analysis(Lf_ft,J125,$B$4:$G$84,$J$4:$U$28)</f>
        <v>-2.8421709430404007E-14</v>
      </c>
      <c r="L125">
        <v>10.118760296296301</v>
      </c>
      <c r="M125">
        <v>23.829171713580536</v>
      </c>
      <c r="N125">
        <v>0</v>
      </c>
      <c r="O125">
        <v>20.742641777777848</v>
      </c>
      <c r="P125">
        <v>48.608619614814415</v>
      </c>
      <c r="Q125">
        <v>0</v>
      </c>
      <c r="R125">
        <v>21.666321777777824</v>
      </c>
      <c r="S125">
        <v>50.765528948147903</v>
      </c>
      <c r="T125">
        <v>0</v>
      </c>
      <c r="U125">
        <v>20.742641777777848</v>
      </c>
      <c r="V125">
        <v>48.608619614814415</v>
      </c>
      <c r="W125">
        <v>1.4210854715202004E-14</v>
      </c>
      <c r="X125">
        <v>12.444916444444459</v>
      </c>
      <c r="Y125">
        <v>29.23238410370368</v>
      </c>
      <c r="Z125">
        <v>0</v>
      </c>
      <c r="AA125">
        <v>15.400692444444473</v>
      </c>
      <c r="AB125">
        <v>36.134493970369931</v>
      </c>
      <c r="AC125">
        <v>1.4210854715202004E-14</v>
      </c>
      <c r="AD125">
        <v>12.444916444444459</v>
      </c>
      <c r="AE125">
        <v>29.23238410370368</v>
      </c>
      <c r="AF125">
        <v>0</v>
      </c>
      <c r="AG125">
        <v>17.468678666666705</v>
      </c>
      <c r="AH125">
        <v>41.875758399999768</v>
      </c>
      <c r="AI125">
        <v>1.4210854715202004E-14</v>
      </c>
      <c r="AJ125">
        <v>20.424454666666691</v>
      </c>
      <c r="AK125">
        <v>48.777868266666928</v>
      </c>
      <c r="AL125">
        <v>0</v>
      </c>
      <c r="AM125">
        <v>17.468678666666705</v>
      </c>
      <c r="AN125">
        <v>41.875758399999768</v>
      </c>
      <c r="AO125">
        <v>-1.4210854715202004E-14</v>
      </c>
      <c r="AP125">
        <v>-0.12223244444446379</v>
      </c>
      <c r="AQ125">
        <v>-1.0257497481479732</v>
      </c>
      <c r="AR125">
        <v>0</v>
      </c>
      <c r="AS125">
        <v>2.8335435555555506</v>
      </c>
      <c r="AT125">
        <v>5.8763601185187326</v>
      </c>
      <c r="AU125">
        <v>-1.4210854715202004E-14</v>
      </c>
      <c r="AV125">
        <v>-0.12223244444446379</v>
      </c>
      <c r="AW125">
        <v>-1.0257497481479732</v>
      </c>
      <c r="AX125">
        <v>-1.4210854715202004E-14</v>
      </c>
      <c r="AY125">
        <v>31.200170618784469</v>
      </c>
      <c r="AZ125">
        <v>75.105829958535651</v>
      </c>
      <c r="BA125">
        <v>0</v>
      </c>
      <c r="BB125">
        <v>31.927210712807593</v>
      </c>
      <c r="BC125">
        <v>76.758124073494173</v>
      </c>
      <c r="BD125">
        <v>-1.4210854715202004E-14</v>
      </c>
      <c r="BE125">
        <v>31.200170618784469</v>
      </c>
      <c r="BF125">
        <v>75.105829958535651</v>
      </c>
      <c r="BG125">
        <v>0</v>
      </c>
      <c r="BH125">
        <v>-5.1459946666666809</v>
      </c>
      <c r="BI125">
        <v>-13.669124044444743</v>
      </c>
      <c r="BJ125">
        <v>-1.4210854715202004E-14</v>
      </c>
      <c r="BK125">
        <v>-4.2223146666666906</v>
      </c>
      <c r="BL125">
        <v>-11.512214711111028</v>
      </c>
      <c r="BM125">
        <v>0</v>
      </c>
      <c r="BN125">
        <v>-5.1459946666666809</v>
      </c>
      <c r="BO125">
        <v>-13.669124044444743</v>
      </c>
      <c r="BP125">
        <v>0</v>
      </c>
      <c r="BQ125">
        <v>26.949066367718927</v>
      </c>
      <c r="BR125">
        <v>64.473285980957712</v>
      </c>
      <c r="BS125">
        <v>0</v>
      </c>
      <c r="BT125">
        <v>0.54488511111111393</v>
      </c>
      <c r="BU125">
        <v>7.5926059259018075E-2</v>
      </c>
      <c r="BV125">
        <v>0</v>
      </c>
      <c r="BW125">
        <v>32.342466341132621</v>
      </c>
      <c r="BX125">
        <v>80.024855540417832</v>
      </c>
      <c r="BY125">
        <v>0</v>
      </c>
      <c r="BZ125">
        <v>-6.4233750000000214</v>
      </c>
      <c r="CA125">
        <v>-14.647762499999999</v>
      </c>
      <c r="CB125">
        <v>0</v>
      </c>
      <c r="CC125">
        <v>21.502366414114192</v>
      </c>
      <c r="CD125">
        <v>52.129969511081811</v>
      </c>
      <c r="CE125">
        <v>0</v>
      </c>
      <c r="CF125">
        <v>-6.2044838368768893</v>
      </c>
      <c r="CG125">
        <v>-14.540744075152816</v>
      </c>
      <c r="CH125">
        <f t="shared" si="24"/>
        <v>32.342466341132621</v>
      </c>
      <c r="CI125">
        <f t="shared" si="25"/>
        <v>-6.4233750000000214</v>
      </c>
      <c r="CJ125">
        <f t="shared" si="26"/>
        <v>80.024855540417832</v>
      </c>
      <c r="CK125">
        <f t="shared" si="27"/>
        <v>-14.647762499999999</v>
      </c>
    </row>
    <row r="126" spans="10:89" x14ac:dyDescent="0.25">
      <c r="J126">
        <f t="shared" ref="J126:J127" si="29">J125+$J$55</f>
        <v>25.666666666666657</v>
      </c>
      <c r="K126" cm="1">
        <f t="array" ref="K126:CG126">LRFD_Analysis(Lf_ft,J126,$B$4:$G$84,$J$4:$U$28)</f>
        <v>-2.8421709430404007E-14</v>
      </c>
      <c r="L126">
        <v>9.5720131687242827</v>
      </c>
      <c r="M126">
        <v>21.203665112026101</v>
      </c>
      <c r="N126">
        <v>0</v>
      </c>
      <c r="O126">
        <v>19.60452345679019</v>
      </c>
      <c r="P126">
        <v>43.228854869684483</v>
      </c>
      <c r="Q126">
        <v>0</v>
      </c>
      <c r="R126">
        <v>20.476967901234616</v>
      </c>
      <c r="S126">
        <v>45.146274622770989</v>
      </c>
      <c r="T126">
        <v>0</v>
      </c>
      <c r="U126">
        <v>19.60452345679019</v>
      </c>
      <c r="V126">
        <v>43.228854869684483</v>
      </c>
      <c r="W126">
        <v>1.4210854715202004E-14</v>
      </c>
      <c r="X126">
        <v>11.7670641975309</v>
      </c>
      <c r="Y126">
        <v>26.004034087791979</v>
      </c>
      <c r="Z126">
        <v>0</v>
      </c>
      <c r="AA126">
        <v>14.558886419753122</v>
      </c>
      <c r="AB126">
        <v>32.139777297667933</v>
      </c>
      <c r="AC126">
        <v>1.4210854715202004E-14</v>
      </c>
      <c r="AD126">
        <v>11.7670641975309</v>
      </c>
      <c r="AE126">
        <v>26.004034087791979</v>
      </c>
      <c r="AF126">
        <v>0</v>
      </c>
      <c r="AG126">
        <v>16.577144444444471</v>
      </c>
      <c r="AH126">
        <v>37.336017283950696</v>
      </c>
      <c r="AI126">
        <v>1.4210854715202004E-14</v>
      </c>
      <c r="AJ126">
        <v>19.368966666666694</v>
      </c>
      <c r="AK126">
        <v>43.471760493827674</v>
      </c>
      <c r="AL126">
        <v>0</v>
      </c>
      <c r="AM126">
        <v>16.577144444444471</v>
      </c>
      <c r="AN126">
        <v>37.336017283950696</v>
      </c>
      <c r="AO126">
        <v>-1.4210854715202004E-14</v>
      </c>
      <c r="AP126">
        <v>-0.16797901234569679</v>
      </c>
      <c r="AQ126">
        <v>-0.98687709190585338</v>
      </c>
      <c r="AR126">
        <v>0</v>
      </c>
      <c r="AS126">
        <v>2.6238432098765543</v>
      </c>
      <c r="AT126">
        <v>5.1488661179705559</v>
      </c>
      <c r="AU126">
        <v>-1.4210854715202004E-14</v>
      </c>
      <c r="AV126">
        <v>-0.16797901234569679</v>
      </c>
      <c r="AW126">
        <v>-0.98687709190585338</v>
      </c>
      <c r="AX126">
        <v>-1.4210854715202004E-14</v>
      </c>
      <c r="AY126">
        <v>29.629970804053784</v>
      </c>
      <c r="AZ126">
        <v>66.994525408303616</v>
      </c>
      <c r="BA126">
        <v>0</v>
      </c>
      <c r="BB126">
        <v>30.313446286084911</v>
      </c>
      <c r="BC126">
        <v>68.458754656328722</v>
      </c>
      <c r="BD126">
        <v>-1.4210854715202004E-14</v>
      </c>
      <c r="BE126">
        <v>29.629970804053784</v>
      </c>
      <c r="BF126">
        <v>66.994525408303616</v>
      </c>
      <c r="BG126">
        <v>0</v>
      </c>
      <c r="BH126">
        <v>-4.9780592592592683</v>
      </c>
      <c r="BI126">
        <v>-12.318860288065707</v>
      </c>
      <c r="BJ126">
        <v>-1.4210854715202004E-14</v>
      </c>
      <c r="BK126">
        <v>-4.1056148148148139</v>
      </c>
      <c r="BL126">
        <v>-10.401440534979656</v>
      </c>
      <c r="BM126">
        <v>0</v>
      </c>
      <c r="BN126">
        <v>-4.9780592592592683</v>
      </c>
      <c r="BO126">
        <v>-12.318860288065707</v>
      </c>
      <c r="BP126">
        <v>0</v>
      </c>
      <c r="BQ126">
        <v>25.564404638928949</v>
      </c>
      <c r="BR126">
        <v>57.471037391148229</v>
      </c>
      <c r="BS126">
        <v>0</v>
      </c>
      <c r="BT126">
        <v>0.42964382716050409</v>
      </c>
      <c r="BU126">
        <v>-5.3749039780313979E-2</v>
      </c>
      <c r="BV126">
        <v>0</v>
      </c>
      <c r="BW126">
        <v>30.869237851701556</v>
      </c>
      <c r="BX126">
        <v>71.595554628113177</v>
      </c>
      <c r="BY126">
        <v>0</v>
      </c>
      <c r="BZ126">
        <v>-6.0418750000000188</v>
      </c>
      <c r="CA126">
        <v>-12.98572916666626</v>
      </c>
      <c r="CB126">
        <v>0</v>
      </c>
      <c r="CC126">
        <v>20.446516772738462</v>
      </c>
      <c r="CD126">
        <v>46.536288583142039</v>
      </c>
      <c r="CE126">
        <v>0</v>
      </c>
      <c r="CF126">
        <v>-5.89534152914662</v>
      </c>
      <c r="CG126">
        <v>-12.927112453025757</v>
      </c>
      <c r="CH126">
        <f t="shared" si="24"/>
        <v>30.869237851701556</v>
      </c>
      <c r="CI126">
        <f t="shared" si="25"/>
        <v>-6.0418750000000188</v>
      </c>
      <c r="CJ126">
        <f t="shared" si="26"/>
        <v>71.595554628113177</v>
      </c>
      <c r="CK126">
        <f t="shared" si="27"/>
        <v>-12.98572916666626</v>
      </c>
    </row>
    <row r="127" spans="10:89" x14ac:dyDescent="0.25">
      <c r="J127">
        <f t="shared" si="29"/>
        <v>25.933333333333323</v>
      </c>
      <c r="K127" cm="1">
        <f t="array" ref="K127:CG127">LRFD_Analysis(Lf_ft,J127,$B$4:$G$84,$J$4:$U$28)</f>
        <v>-2.8421709430404007E-14</v>
      </c>
      <c r="L127">
        <v>9.0221097613168837</v>
      </c>
      <c r="M127">
        <v>18.72437858180183</v>
      </c>
      <c r="N127">
        <v>0</v>
      </c>
      <c r="O127">
        <v>18.459983012345759</v>
      </c>
      <c r="P127">
        <v>38.15344462661119</v>
      </c>
      <c r="Q127">
        <v>0</v>
      </c>
      <c r="R127">
        <v>19.280907456790175</v>
      </c>
      <c r="S127">
        <v>39.845075540192056</v>
      </c>
      <c r="T127">
        <v>0</v>
      </c>
      <c r="U127">
        <v>18.459983012345759</v>
      </c>
      <c r="V127">
        <v>38.15344462661119</v>
      </c>
      <c r="W127">
        <v>1.4210854715202004E-14</v>
      </c>
      <c r="X127">
        <v>11.085345086419778</v>
      </c>
      <c r="Y127">
        <v>22.95696025294933</v>
      </c>
      <c r="Z127">
        <v>0</v>
      </c>
      <c r="AA127">
        <v>13.712303308642049</v>
      </c>
      <c r="AB127">
        <v>28.3701791764056</v>
      </c>
      <c r="AC127">
        <v>1.4210854715202004E-14</v>
      </c>
      <c r="AD127">
        <v>11.085345086419778</v>
      </c>
      <c r="AE127">
        <v>22.95696025294933</v>
      </c>
      <c r="AF127">
        <v>0</v>
      </c>
      <c r="AG127">
        <v>15.672198666666702</v>
      </c>
      <c r="AH127">
        <v>33.035806834568007</v>
      </c>
      <c r="AI127">
        <v>1.4210854715202004E-14</v>
      </c>
      <c r="AJ127">
        <v>18.29915688888893</v>
      </c>
      <c r="AK127">
        <v>38.449025758024732</v>
      </c>
      <c r="AL127">
        <v>0</v>
      </c>
      <c r="AM127">
        <v>15.672198666666702</v>
      </c>
      <c r="AN127">
        <v>33.035806834568007</v>
      </c>
      <c r="AO127">
        <v>-1.4210854715202004E-14</v>
      </c>
      <c r="AP127">
        <v>-0.20572479012345468</v>
      </c>
      <c r="AQ127">
        <v>-0.93687212290797106</v>
      </c>
      <c r="AR127">
        <v>0</v>
      </c>
      <c r="AS127">
        <v>2.4212334320987878</v>
      </c>
      <c r="AT127">
        <v>4.4763468005487539</v>
      </c>
      <c r="AU127">
        <v>-1.4210854715202004E-14</v>
      </c>
      <c r="AV127">
        <v>-0.20572479012345468</v>
      </c>
      <c r="AW127">
        <v>-0.93687212290797106</v>
      </c>
      <c r="AX127">
        <v>-1.4210854715202004E-14</v>
      </c>
      <c r="AY127">
        <v>28.031914765896161</v>
      </c>
      <c r="AZ127">
        <v>59.305654971789352</v>
      </c>
      <c r="BA127">
        <v>0</v>
      </c>
      <c r="BB127">
        <v>28.672000080263231</v>
      </c>
      <c r="BC127">
        <v>60.593413323501863</v>
      </c>
      <c r="BD127">
        <v>-1.4210854715202004E-14</v>
      </c>
      <c r="BE127">
        <v>28.031914765896161</v>
      </c>
      <c r="BF127">
        <v>59.305654971789352</v>
      </c>
      <c r="BG127">
        <v>0</v>
      </c>
      <c r="BH127">
        <v>-4.7925783703703786</v>
      </c>
      <c r="BI127">
        <v>-11.015718704526989</v>
      </c>
      <c r="BJ127">
        <v>-1.4210854715202004E-14</v>
      </c>
      <c r="BK127">
        <v>-3.9716539259259491</v>
      </c>
      <c r="BL127">
        <v>-9.3240877909463507</v>
      </c>
      <c r="BM127">
        <v>0</v>
      </c>
      <c r="BN127">
        <v>-4.7925783703703786</v>
      </c>
      <c r="BO127">
        <v>-11.015718704526989</v>
      </c>
      <c r="BP127">
        <v>0</v>
      </c>
      <c r="BQ127">
        <v>24.159382408583809</v>
      </c>
      <c r="BR127">
        <v>50.84074666255583</v>
      </c>
      <c r="BS127">
        <v>0</v>
      </c>
      <c r="BT127">
        <v>0.32619671604939526</v>
      </c>
      <c r="BU127">
        <v>-0.15426568614566349</v>
      </c>
      <c r="BV127">
        <v>0</v>
      </c>
      <c r="BW127">
        <v>29.347693465559168</v>
      </c>
      <c r="BX127">
        <v>63.565556765884651</v>
      </c>
      <c r="BY127">
        <v>0</v>
      </c>
      <c r="BZ127">
        <v>-5.6603750000000161</v>
      </c>
      <c r="CA127">
        <v>-11.425429166666618</v>
      </c>
      <c r="CB127">
        <v>0</v>
      </c>
      <c r="CC127">
        <v>19.368324495195012</v>
      </c>
      <c r="CD127">
        <v>41.227146577724909</v>
      </c>
      <c r="CE127">
        <v>0</v>
      </c>
      <c r="CF127">
        <v>-5.5717284218339671</v>
      </c>
      <c r="CG127">
        <v>-11.39784821957096</v>
      </c>
      <c r="CH127">
        <f t="shared" si="24"/>
        <v>29.347693465559168</v>
      </c>
      <c r="CI127">
        <f t="shared" si="25"/>
        <v>-5.6603750000000161</v>
      </c>
      <c r="CJ127">
        <f t="shared" si="26"/>
        <v>63.565556765884651</v>
      </c>
      <c r="CK127">
        <f t="shared" si="27"/>
        <v>-11.425429166666618</v>
      </c>
    </row>
    <row r="128" spans="10:89" x14ac:dyDescent="0.25">
      <c r="J128">
        <f>J127+$J$55</f>
        <v>26.199999999999989</v>
      </c>
      <c r="K128" cm="1">
        <f t="array" ref="K128:CG128">LRFD_Analysis(Lf_ft,J128,$B$4:$G$84,$J$4:$U$28)</f>
        <v>-2.8421709430404007E-14</v>
      </c>
      <c r="L128">
        <v>8.4690500740740902</v>
      </c>
      <c r="M128">
        <v>16.392153797530909</v>
      </c>
      <c r="N128">
        <v>0</v>
      </c>
      <c r="O128">
        <v>17.309020444444513</v>
      </c>
      <c r="P128">
        <v>33.38410145185162</v>
      </c>
      <c r="Q128">
        <v>0</v>
      </c>
      <c r="R128">
        <v>18.078140444444529</v>
      </c>
      <c r="S128">
        <v>34.863720118518586</v>
      </c>
      <c r="T128">
        <v>0</v>
      </c>
      <c r="U128">
        <v>17.309020444444513</v>
      </c>
      <c r="V128">
        <v>33.38410145185162</v>
      </c>
      <c r="W128">
        <v>1.4210854715202004E-14</v>
      </c>
      <c r="X128">
        <v>10.399759111111152</v>
      </c>
      <c r="Y128">
        <v>20.092193762963007</v>
      </c>
      <c r="Z128">
        <v>0</v>
      </c>
      <c r="AA128">
        <v>12.860943111111183</v>
      </c>
      <c r="AB128">
        <v>24.82697349629575</v>
      </c>
      <c r="AC128">
        <v>1.4210854715202004E-14</v>
      </c>
      <c r="AD128">
        <v>10.399759111111152</v>
      </c>
      <c r="AE128">
        <v>20.092193762963007</v>
      </c>
      <c r="AF128">
        <v>0</v>
      </c>
      <c r="AG128">
        <v>14.753841333333384</v>
      </c>
      <c r="AH128">
        <v>28.978703466666502</v>
      </c>
      <c r="AI128">
        <v>1.4210854715202004E-14</v>
      </c>
      <c r="AJ128">
        <v>17.215025333333386</v>
      </c>
      <c r="AK128">
        <v>33.713483200000155</v>
      </c>
      <c r="AL128">
        <v>0</v>
      </c>
      <c r="AM128">
        <v>14.753841333333384</v>
      </c>
      <c r="AN128">
        <v>28.978703466666502</v>
      </c>
      <c r="AO128">
        <v>-1.4210854715202004E-14</v>
      </c>
      <c r="AP128">
        <v>-0.23546977777778011</v>
      </c>
      <c r="AQ128">
        <v>-0.87786838518513832</v>
      </c>
      <c r="AR128">
        <v>0</v>
      </c>
      <c r="AS128">
        <v>2.2257142222222512</v>
      </c>
      <c r="AT128">
        <v>3.8569113481480599</v>
      </c>
      <c r="AU128">
        <v>-1.4210854715202004E-14</v>
      </c>
      <c r="AV128">
        <v>-0.23546977777778011</v>
      </c>
      <c r="AW128">
        <v>-0.87786838518513832</v>
      </c>
      <c r="AX128">
        <v>-1.4210854715202004E-14</v>
      </c>
      <c r="AY128">
        <v>26.40600250431163</v>
      </c>
      <c r="AZ128">
        <v>52.046646975241401</v>
      </c>
      <c r="BA128">
        <v>0</v>
      </c>
      <c r="BB128">
        <v>27.002872095342582</v>
      </c>
      <c r="BC128">
        <v>53.169481882774903</v>
      </c>
      <c r="BD128">
        <v>-1.4210854715202004E-14</v>
      </c>
      <c r="BE128">
        <v>26.40600250431163</v>
      </c>
      <c r="BF128">
        <v>52.046646975241401</v>
      </c>
      <c r="BG128">
        <v>0</v>
      </c>
      <c r="BH128">
        <v>-4.5895520000000118</v>
      </c>
      <c r="BI128">
        <v>-9.764378088888634</v>
      </c>
      <c r="BJ128">
        <v>-1.4210854715202004E-14</v>
      </c>
      <c r="BK128">
        <v>-3.8204319999999967</v>
      </c>
      <c r="BL128">
        <v>-8.2847594222221232</v>
      </c>
      <c r="BM128">
        <v>0</v>
      </c>
      <c r="BN128">
        <v>-4.5895520000000118</v>
      </c>
      <c r="BO128">
        <v>-9.764378088888634</v>
      </c>
      <c r="BP128">
        <v>0</v>
      </c>
      <c r="BQ128">
        <v>22.733999676683482</v>
      </c>
      <c r="BR128">
        <v>44.587843262264073</v>
      </c>
      <c r="BS128">
        <v>0</v>
      </c>
      <c r="BT128">
        <v>0.23454377777778745</v>
      </c>
      <c r="BU128">
        <v>-0.22876899259244965</v>
      </c>
      <c r="BV128">
        <v>0</v>
      </c>
      <c r="BW128">
        <v>27.77783318270545</v>
      </c>
      <c r="BX128">
        <v>55.947746192855817</v>
      </c>
      <c r="BY128">
        <v>0</v>
      </c>
      <c r="BZ128">
        <v>-5.2788750000000135</v>
      </c>
      <c r="CA128">
        <v>-9.9668624999999338</v>
      </c>
      <c r="CB128">
        <v>0</v>
      </c>
      <c r="CC128">
        <v>18.267789581483832</v>
      </c>
      <c r="CD128">
        <v>36.208501531141678</v>
      </c>
      <c r="CE128">
        <v>0</v>
      </c>
      <c r="CF128">
        <v>-5.2336445149389306</v>
      </c>
      <c r="CG128">
        <v>-9.9568102546772934</v>
      </c>
      <c r="CH128">
        <f t="shared" si="24"/>
        <v>27.77783318270545</v>
      </c>
      <c r="CI128">
        <f t="shared" si="25"/>
        <v>-5.2788750000000135</v>
      </c>
      <c r="CJ128">
        <f t="shared" si="26"/>
        <v>55.947746192855817</v>
      </c>
      <c r="CK128">
        <f t="shared" si="27"/>
        <v>-9.9668624999999338</v>
      </c>
    </row>
    <row r="129" spans="9:89" x14ac:dyDescent="0.25">
      <c r="J129">
        <f t="shared" ref="J129" si="30">J128+$J$55</f>
        <v>26.466666666666654</v>
      </c>
      <c r="K129" cm="1">
        <f t="array" ref="K129:CG129">LRFD_Analysis(Lf_ft,J129,$B$4:$G$84,$J$4:$U$28)</f>
        <v>-2.8421709430404007E-14</v>
      </c>
      <c r="L129">
        <v>7.9128341069958879</v>
      </c>
      <c r="M129">
        <v>14.207832433836757</v>
      </c>
      <c r="N129">
        <v>0</v>
      </c>
      <c r="O129">
        <v>16.151635753086481</v>
      </c>
      <c r="P129">
        <v>28.922537911659219</v>
      </c>
      <c r="Q129">
        <v>0</v>
      </c>
      <c r="R129">
        <v>16.868666864197593</v>
      </c>
      <c r="S129">
        <v>30.203996775857377</v>
      </c>
      <c r="T129">
        <v>0</v>
      </c>
      <c r="U129">
        <v>16.151635753086481</v>
      </c>
      <c r="V129">
        <v>28.922537911659219</v>
      </c>
      <c r="W129">
        <v>1.4210854715202004E-14</v>
      </c>
      <c r="X129">
        <v>9.7103062716049635</v>
      </c>
      <c r="Y129">
        <v>17.410765781618466</v>
      </c>
      <c r="Z129">
        <v>0</v>
      </c>
      <c r="AA129">
        <v>12.004805827160567</v>
      </c>
      <c r="AB129">
        <v>21.51143414704984</v>
      </c>
      <c r="AC129">
        <v>1.4210854715202004E-14</v>
      </c>
      <c r="AD129">
        <v>9.7103062716049635</v>
      </c>
      <c r="AE129">
        <v>17.410765781618466</v>
      </c>
      <c r="AF129">
        <v>0</v>
      </c>
      <c r="AG129">
        <v>13.822072444444487</v>
      </c>
      <c r="AH129">
        <v>25.168283595061439</v>
      </c>
      <c r="AI129">
        <v>1.4210854715202004E-14</v>
      </c>
      <c r="AJ129">
        <v>16.116572000000062</v>
      </c>
      <c r="AK129">
        <v>29.268951960493837</v>
      </c>
      <c r="AL129">
        <v>0</v>
      </c>
      <c r="AM129">
        <v>13.822072444444487</v>
      </c>
      <c r="AN129">
        <v>25.168283595061439</v>
      </c>
      <c r="AO129">
        <v>-1.4210854715202004E-14</v>
      </c>
      <c r="AP129">
        <v>-0.25721397530865886</v>
      </c>
      <c r="AQ129">
        <v>-0.81199942277089576</v>
      </c>
      <c r="AR129">
        <v>0</v>
      </c>
      <c r="AS129">
        <v>2.0372855802469303</v>
      </c>
      <c r="AT129">
        <v>3.2886689426611611</v>
      </c>
      <c r="AU129">
        <v>-1.4210854715202004E-14</v>
      </c>
      <c r="AV129">
        <v>-0.25721397530865886</v>
      </c>
      <c r="AW129">
        <v>-0.81199942277089576</v>
      </c>
      <c r="AX129">
        <v>-1.4210854715202004E-14</v>
      </c>
      <c r="AY129">
        <v>24.752234019300161</v>
      </c>
      <c r="AZ129">
        <v>45.22492974490558</v>
      </c>
      <c r="BA129">
        <v>0</v>
      </c>
      <c r="BB129">
        <v>25.306062331322948</v>
      </c>
      <c r="BC129">
        <v>46.194342141906077</v>
      </c>
      <c r="BD129">
        <v>-1.4210854715202004E-14</v>
      </c>
      <c r="BE129">
        <v>24.752234019300161</v>
      </c>
      <c r="BF129">
        <v>45.22492974490558</v>
      </c>
      <c r="BG129">
        <v>0</v>
      </c>
      <c r="BH129">
        <v>-4.3689801481481823</v>
      </c>
      <c r="BI129">
        <v>-8.5695172362138692</v>
      </c>
      <c r="BJ129">
        <v>-1.4210854715202004E-14</v>
      </c>
      <c r="BK129">
        <v>-3.6519490370370704</v>
      </c>
      <c r="BL129">
        <v>-7.2880583720163941</v>
      </c>
      <c r="BM129">
        <v>0</v>
      </c>
      <c r="BN129">
        <v>-4.3689801481481823</v>
      </c>
      <c r="BO129">
        <v>-8.5695172362138692</v>
      </c>
      <c r="BP129">
        <v>0</v>
      </c>
      <c r="BQ129">
        <v>21.288256443227993</v>
      </c>
      <c r="BR129">
        <v>38.717756657351856</v>
      </c>
      <c r="BS129">
        <v>0</v>
      </c>
      <c r="BT129">
        <v>0.15468501234568066</v>
      </c>
      <c r="BU129">
        <v>-0.28040407187950223</v>
      </c>
      <c r="BV129">
        <v>0</v>
      </c>
      <c r="BW129">
        <v>26.159657003140403</v>
      </c>
      <c r="BX129">
        <v>48.755007148149673</v>
      </c>
      <c r="BY129">
        <v>0</v>
      </c>
      <c r="BZ129">
        <v>-4.8973750000000251</v>
      </c>
      <c r="CA129">
        <v>-8.6100291666666635</v>
      </c>
      <c r="CB129">
        <v>0</v>
      </c>
      <c r="CC129">
        <v>17.144912031604903</v>
      </c>
      <c r="CD129">
        <v>31.486311479704227</v>
      </c>
      <c r="CE129">
        <v>0</v>
      </c>
      <c r="CF129">
        <v>-4.8810898084615388</v>
      </c>
      <c r="CG129">
        <v>-8.6078574382329407</v>
      </c>
      <c r="CH129">
        <f t="shared" si="24"/>
        <v>26.159657003140403</v>
      </c>
      <c r="CI129">
        <f t="shared" si="25"/>
        <v>-4.8973750000000251</v>
      </c>
      <c r="CJ129">
        <f t="shared" si="26"/>
        <v>48.755007148149673</v>
      </c>
      <c r="CK129">
        <f t="shared" si="27"/>
        <v>-8.6100291666666635</v>
      </c>
    </row>
    <row r="130" spans="9:89" x14ac:dyDescent="0.25">
      <c r="J130">
        <f>J129+$J$55</f>
        <v>26.73333333333332</v>
      </c>
      <c r="K130" cm="1">
        <f t="array" ref="K130:CG130">LRFD_Analysis(Lf_ft,J130,$B$4:$G$84,$J$4:$U$28)</f>
        <v>-2.8421709430404007E-14</v>
      </c>
      <c r="L130">
        <v>7.3534618600823052</v>
      </c>
      <c r="M130">
        <v>12.172256165340968</v>
      </c>
      <c r="N130">
        <v>0</v>
      </c>
      <c r="O130">
        <v>14.98782893827169</v>
      </c>
      <c r="P130">
        <v>24.770466572290388</v>
      </c>
      <c r="Q130">
        <v>0</v>
      </c>
      <c r="R130">
        <v>15.652486716049452</v>
      </c>
      <c r="S130">
        <v>25.867693930315909</v>
      </c>
      <c r="T130">
        <v>0</v>
      </c>
      <c r="U130">
        <v>14.98782893827169</v>
      </c>
      <c r="V130">
        <v>24.770466572290388</v>
      </c>
      <c r="W130">
        <v>1.4210854715202004E-14</v>
      </c>
      <c r="X130">
        <v>9.0169865679012844</v>
      </c>
      <c r="Y130">
        <v>14.913707472702754</v>
      </c>
      <c r="Z130">
        <v>0</v>
      </c>
      <c r="AA130">
        <v>11.1438914567902</v>
      </c>
      <c r="AB130">
        <v>18.424835018380691</v>
      </c>
      <c r="AC130">
        <v>1.4210854715202004E-14</v>
      </c>
      <c r="AD130">
        <v>9.0169865679012844</v>
      </c>
      <c r="AE130">
        <v>14.913707472702754</v>
      </c>
      <c r="AF130">
        <v>0</v>
      </c>
      <c r="AG130">
        <v>12.876892000000055</v>
      </c>
      <c r="AH130">
        <v>21.608123634567846</v>
      </c>
      <c r="AI130">
        <v>1.4210854715202004E-14</v>
      </c>
      <c r="AJ130">
        <v>15.003796888888942</v>
      </c>
      <c r="AK130">
        <v>25.119251180247375</v>
      </c>
      <c r="AL130">
        <v>0</v>
      </c>
      <c r="AM130">
        <v>12.876892000000055</v>
      </c>
      <c r="AN130">
        <v>21.608123634567846</v>
      </c>
      <c r="AO130">
        <v>-1.4210854715202004E-14</v>
      </c>
      <c r="AP130">
        <v>-0.27095738271606251</v>
      </c>
      <c r="AQ130">
        <v>-0.74139877969787449</v>
      </c>
      <c r="AR130">
        <v>0</v>
      </c>
      <c r="AS130">
        <v>1.8559475061728534</v>
      </c>
      <c r="AT130">
        <v>2.769728765980517</v>
      </c>
      <c r="AU130">
        <v>-1.4210854715202004E-14</v>
      </c>
      <c r="AV130">
        <v>-0.27095738271606251</v>
      </c>
      <c r="AW130">
        <v>-0.74139877969787449</v>
      </c>
      <c r="AX130">
        <v>-1.4210854715202004E-14</v>
      </c>
      <c r="AY130">
        <v>23.070609310861769</v>
      </c>
      <c r="AZ130">
        <v>38.847931607030432</v>
      </c>
      <c r="BA130">
        <v>0</v>
      </c>
      <c r="BB130">
        <v>23.58157078820436</v>
      </c>
      <c r="BC130">
        <v>39.675375908655951</v>
      </c>
      <c r="BD130">
        <v>-1.4210854715202004E-14</v>
      </c>
      <c r="BE130">
        <v>23.070609310861769</v>
      </c>
      <c r="BF130">
        <v>38.847931607030432</v>
      </c>
      <c r="BG130">
        <v>0</v>
      </c>
      <c r="BH130">
        <v>-4.1308628148148188</v>
      </c>
      <c r="BI130">
        <v>-7.4358149415638763</v>
      </c>
      <c r="BJ130">
        <v>-1.4210854715202004E-14</v>
      </c>
      <c r="BK130">
        <v>-3.4662050370370565</v>
      </c>
      <c r="BL130">
        <v>-6.3385875835388106</v>
      </c>
      <c r="BM130">
        <v>0</v>
      </c>
      <c r="BN130">
        <v>-4.1308628148148188</v>
      </c>
      <c r="BO130">
        <v>-7.4358149415638763</v>
      </c>
      <c r="BP130">
        <v>0</v>
      </c>
      <c r="BQ130">
        <v>19.822152708217345</v>
      </c>
      <c r="BR130">
        <v>33.235916314902852</v>
      </c>
      <c r="BS130">
        <v>0</v>
      </c>
      <c r="BT130">
        <v>8.6620419753103306E-2</v>
      </c>
      <c r="BU130">
        <v>-0.31231603676246777</v>
      </c>
      <c r="BV130">
        <v>0</v>
      </c>
      <c r="BW130">
        <v>24.49316492686404</v>
      </c>
      <c r="BX130">
        <v>42.00022387088876</v>
      </c>
      <c r="BY130">
        <v>0</v>
      </c>
      <c r="BZ130">
        <v>-4.5158750000000225</v>
      </c>
      <c r="CA130">
        <v>-7.3549291666665795</v>
      </c>
      <c r="CB130">
        <v>0</v>
      </c>
      <c r="CC130">
        <v>15.999691845558274</v>
      </c>
      <c r="CD130">
        <v>27.066534459723073</v>
      </c>
      <c r="CE130">
        <v>0</v>
      </c>
      <c r="CF130">
        <v>-4.5140643024017351</v>
      </c>
      <c r="CG130">
        <v>-7.3548486501272237</v>
      </c>
      <c r="CH130">
        <f t="shared" si="24"/>
        <v>24.49316492686404</v>
      </c>
      <c r="CI130">
        <f t="shared" si="25"/>
        <v>-4.5158750000000225</v>
      </c>
      <c r="CJ130">
        <f t="shared" si="26"/>
        <v>42.00022387088876</v>
      </c>
      <c r="CK130">
        <f t="shared" si="27"/>
        <v>-7.4358149415638763</v>
      </c>
    </row>
    <row r="131" spans="9:89" x14ac:dyDescent="0.25">
      <c r="J131">
        <f>J44</f>
        <v>27</v>
      </c>
      <c r="K131" cm="1">
        <f t="array" ref="K131:CG131">LRFD_Analysis(Lf_ft,J131,$B$4:$G$84,$J$4:$U$28)</f>
        <v>-2.8421709430404007E-14</v>
      </c>
      <c r="L131">
        <v>6.7909333333333137</v>
      </c>
      <c r="M131">
        <v>10.286266666667188</v>
      </c>
      <c r="N131">
        <v>0</v>
      </c>
      <c r="O131">
        <v>13.817600000000027</v>
      </c>
      <c r="P131">
        <v>20.929599999999027</v>
      </c>
      <c r="Q131">
        <v>0</v>
      </c>
      <c r="R131">
        <v>14.429600000000022</v>
      </c>
      <c r="S131">
        <v>21.856599999999617</v>
      </c>
      <c r="T131">
        <v>0</v>
      </c>
      <c r="U131">
        <v>13.817600000000027</v>
      </c>
      <c r="V131">
        <v>20.929599999999027</v>
      </c>
      <c r="W131">
        <v>1.4210854715202004E-14</v>
      </c>
      <c r="X131">
        <v>8.3198000000000008</v>
      </c>
      <c r="Y131">
        <v>12.602049999999736</v>
      </c>
      <c r="Z131">
        <v>0</v>
      </c>
      <c r="AA131">
        <v>10.278200000000012</v>
      </c>
      <c r="AB131">
        <v>15.568449999999302</v>
      </c>
      <c r="AC131">
        <v>1.4210854715202004E-14</v>
      </c>
      <c r="AD131">
        <v>8.3198000000000008</v>
      </c>
      <c r="AE131">
        <v>12.602049999999736</v>
      </c>
      <c r="AF131">
        <v>0</v>
      </c>
      <c r="AG131">
        <v>11.918300000000002</v>
      </c>
      <c r="AH131">
        <v>18.301799999999389</v>
      </c>
      <c r="AI131">
        <v>1.4210854715202004E-14</v>
      </c>
      <c r="AJ131">
        <v>13.8767</v>
      </c>
      <c r="AK131">
        <v>21.268200000000093</v>
      </c>
      <c r="AL131">
        <v>0</v>
      </c>
      <c r="AM131">
        <v>11.918300000000002</v>
      </c>
      <c r="AN131">
        <v>18.301799999999389</v>
      </c>
      <c r="AO131">
        <v>-1.4210854715202004E-14</v>
      </c>
      <c r="AP131">
        <v>-0.27670000000001949</v>
      </c>
      <c r="AQ131">
        <v>-0.66820000000006985</v>
      </c>
      <c r="AR131">
        <v>0</v>
      </c>
      <c r="AS131">
        <v>1.6816999999999922</v>
      </c>
      <c r="AT131">
        <v>2.2981999999999516</v>
      </c>
      <c r="AU131">
        <v>-1.4210854715202004E-14</v>
      </c>
      <c r="AV131">
        <v>-0.27670000000001949</v>
      </c>
      <c r="AW131">
        <v>-0.66820000000006985</v>
      </c>
      <c r="AX131">
        <v>-1.4210854715202004E-14</v>
      </c>
      <c r="AY131">
        <v>21.361128378996355</v>
      </c>
      <c r="AZ131">
        <v>32.923080887861829</v>
      </c>
      <c r="BA131">
        <v>0</v>
      </c>
      <c r="BB131">
        <v>21.829397465986688</v>
      </c>
      <c r="BC131">
        <v>33.619964990783387</v>
      </c>
      <c r="BD131">
        <v>-1.4210854715202004E-14</v>
      </c>
      <c r="BE131">
        <v>21.361128378996355</v>
      </c>
      <c r="BF131">
        <v>32.923080887861829</v>
      </c>
      <c r="BG131">
        <v>0</v>
      </c>
      <c r="BH131">
        <v>-3.8752000000000066</v>
      </c>
      <c r="BI131">
        <v>-6.3679500000002918</v>
      </c>
      <c r="BJ131">
        <v>-1.4210854715202004E-14</v>
      </c>
      <c r="BK131">
        <v>-3.2632000000000119</v>
      </c>
      <c r="BL131">
        <v>-5.440949999999475</v>
      </c>
      <c r="BM131">
        <v>0</v>
      </c>
      <c r="BN131">
        <v>-3.8752000000000066</v>
      </c>
      <c r="BO131">
        <v>-6.3679500000002918</v>
      </c>
      <c r="BP131">
        <v>0</v>
      </c>
      <c r="BQ131">
        <v>18.335688471651423</v>
      </c>
      <c r="BR131">
        <v>28.147751701996185</v>
      </c>
      <c r="BS131">
        <v>0</v>
      </c>
      <c r="BT131">
        <v>3.0349999999998545E-2</v>
      </c>
      <c r="BU131">
        <v>-0.32765000000040345</v>
      </c>
      <c r="BV131">
        <v>0</v>
      </c>
      <c r="BW131">
        <v>22.778356953876255</v>
      </c>
      <c r="BX131">
        <v>35.696280600196275</v>
      </c>
      <c r="BY131">
        <v>0</v>
      </c>
      <c r="BZ131">
        <v>-4.1343750000000057</v>
      </c>
      <c r="CA131">
        <v>-6.2015624999996817</v>
      </c>
      <c r="CB131">
        <v>0</v>
      </c>
      <c r="CC131">
        <v>14.832129023343853</v>
      </c>
      <c r="CD131">
        <v>22.95512850751021</v>
      </c>
      <c r="CE131">
        <v>0</v>
      </c>
      <c r="CF131">
        <v>-4.1343750000000057</v>
      </c>
      <c r="CG131">
        <v>-6.2015624999994543</v>
      </c>
      <c r="CH131">
        <f t="shared" si="24"/>
        <v>22.778356953876255</v>
      </c>
      <c r="CI131">
        <f t="shared" si="25"/>
        <v>-4.1343750000000057</v>
      </c>
      <c r="CJ131">
        <f t="shared" si="26"/>
        <v>35.696280600196275</v>
      </c>
      <c r="CK131">
        <f t="shared" si="27"/>
        <v>-6.3679500000002918</v>
      </c>
    </row>
    <row r="133" spans="9:89" x14ac:dyDescent="0.25">
      <c r="I133" t="s">
        <v>364</v>
      </c>
      <c r="J133" s="91">
        <f>Shear_Wall_Foundation!B580</f>
        <v>5.5</v>
      </c>
      <c r="K133" cm="1">
        <f t="array" ref="K133:CG133">LRFD_Analysis(Lf_ft,J133,$B$4:$G$84,$J$4:$U$28)</f>
        <v>-2.8421709430404007E-14</v>
      </c>
      <c r="L133">
        <v>-6.1639925925925922</v>
      </c>
      <c r="M133">
        <v>16.335597530864199</v>
      </c>
      <c r="N133">
        <v>0</v>
      </c>
      <c r="O133">
        <v>-12.541955555555543</v>
      </c>
      <c r="P133">
        <v>33.238251851851814</v>
      </c>
      <c r="Q133">
        <v>0</v>
      </c>
      <c r="R133">
        <v>-13.097455555555548</v>
      </c>
      <c r="S133">
        <v>34.710418518518509</v>
      </c>
      <c r="T133">
        <v>0</v>
      </c>
      <c r="U133">
        <v>-12.541955555555543</v>
      </c>
      <c r="V133">
        <v>33.238251851851814</v>
      </c>
      <c r="W133">
        <v>1.4210854715202004E-14</v>
      </c>
      <c r="X133">
        <v>-7.5517138888888873</v>
      </c>
      <c r="Y133">
        <v>20.013287962962956</v>
      </c>
      <c r="Z133">
        <v>0</v>
      </c>
      <c r="AA133">
        <v>-9.3293138888888727</v>
      </c>
      <c r="AB133">
        <v>24.724221296296243</v>
      </c>
      <c r="AC133">
        <v>1.4210854715202004E-14</v>
      </c>
      <c r="AD133">
        <v>-7.5517138888888873</v>
      </c>
      <c r="AE133">
        <v>20.013287962962956</v>
      </c>
      <c r="AF133">
        <v>0</v>
      </c>
      <c r="AG133">
        <v>4.8602583333333405</v>
      </c>
      <c r="AH133">
        <v>-15.980570833333356</v>
      </c>
      <c r="AI133">
        <v>1.4210854715202004E-14</v>
      </c>
      <c r="AJ133">
        <v>3.0826583333333311</v>
      </c>
      <c r="AK133">
        <v>-11.269637499999995</v>
      </c>
      <c r="AL133">
        <v>0</v>
      </c>
      <c r="AM133">
        <v>4.8602583333333405</v>
      </c>
      <c r="AN133">
        <v>-15.980570833333356</v>
      </c>
      <c r="AO133">
        <v>-1.4210854715202004E-14</v>
      </c>
      <c r="AP133">
        <v>-15.42710277777778</v>
      </c>
      <c r="AQ133">
        <v>43.984452314814817</v>
      </c>
      <c r="AR133">
        <v>0</v>
      </c>
      <c r="AS133">
        <v>-17.204702777777779</v>
      </c>
      <c r="AT133">
        <v>48.695385648148161</v>
      </c>
      <c r="AU133">
        <v>-1.4210854715202004E-14</v>
      </c>
      <c r="AV133">
        <v>-15.42710277777778</v>
      </c>
      <c r="AW133">
        <v>43.984452314814817</v>
      </c>
      <c r="AX133">
        <v>-1.4210854715202004E-14</v>
      </c>
      <c r="AY133">
        <v>10.106249999999999</v>
      </c>
      <c r="AZ133">
        <v>-27.792187499999997</v>
      </c>
      <c r="BA133">
        <v>0</v>
      </c>
      <c r="BB133">
        <v>10.07310462055332</v>
      </c>
      <c r="BC133">
        <v>-27.787628181110879</v>
      </c>
      <c r="BD133">
        <v>-1.4210854715202004E-14</v>
      </c>
      <c r="BE133">
        <v>10.106249999999999</v>
      </c>
      <c r="BF133">
        <v>-27.792187499999997</v>
      </c>
      <c r="BG133">
        <v>0</v>
      </c>
      <c r="BH133">
        <v>-27.839075000000005</v>
      </c>
      <c r="BI133">
        <v>79.978311111111125</v>
      </c>
      <c r="BJ133">
        <v>-1.4210854715202004E-14</v>
      </c>
      <c r="BK133">
        <v>-28.394575000000007</v>
      </c>
      <c r="BL133">
        <v>81.450477777777806</v>
      </c>
      <c r="BM133">
        <v>0</v>
      </c>
      <c r="BN133">
        <v>-27.839075000000005</v>
      </c>
      <c r="BO133">
        <v>79.978311111111125</v>
      </c>
      <c r="BP133">
        <v>0</v>
      </c>
      <c r="BQ133">
        <v>6.8570435489574839</v>
      </c>
      <c r="BR133">
        <v>-22.632371681912286</v>
      </c>
      <c r="BS133">
        <v>0</v>
      </c>
      <c r="BT133">
        <v>-23.544934722222219</v>
      </c>
      <c r="BU133">
        <v>67.048088657407405</v>
      </c>
      <c r="BV133">
        <v>0</v>
      </c>
      <c r="BW133">
        <v>7.5796875000000004</v>
      </c>
      <c r="BX133">
        <v>-20.844140625000001</v>
      </c>
      <c r="BY133">
        <v>0</v>
      </c>
      <c r="BZ133">
        <v>-27.336238181839896</v>
      </c>
      <c r="CA133">
        <v>80.29247891161765</v>
      </c>
      <c r="CB133">
        <v>0</v>
      </c>
      <c r="CC133">
        <v>7.5796875000000004</v>
      </c>
      <c r="CD133">
        <v>-20.844140625000001</v>
      </c>
      <c r="CE133">
        <v>0</v>
      </c>
      <c r="CF133">
        <v>-19.412386776535804</v>
      </c>
      <c r="CG133">
        <v>56.205445604831716</v>
      </c>
      <c r="CH133">
        <f t="shared" ref="CH133" si="31">MAX(CF133,CC133,BZ133,BW133,BT133,BQ133,BN133,BK133,BH133,BE133,BB133,AY133,AV133,AS133,AP133,AM133,AJ133,AG133,AD133,AA133,X133,U133,R133,O133,L133)</f>
        <v>10.106249999999999</v>
      </c>
      <c r="CI133">
        <f t="shared" ref="CI133" si="32">MIN(CF133,CC133,BZ133,BW133,BT133,BQ133,BN133,BK133,BH133,BE133,BB133,AY133,AV133,AS133,AP133,AM133,AJ133,AG133,AD133,AA133,X133,U133,R133,O133,L133)</f>
        <v>-28.394575000000007</v>
      </c>
      <c r="CJ133">
        <f t="shared" ref="CJ133" si="33">MAX(CG133,CD133,CA133,BX133,BU133,BR133,BO133,BL133,BI133,BF133,BC133,AZ133,AW133,AT133,AQ133,AN133,AK133,AH133,AE133,AB133,Y133,V133,S133,P133,M133)</f>
        <v>81.450477777777806</v>
      </c>
      <c r="CK133">
        <f t="shared" ref="CK133" si="34">MIN(CG133,CD133,CA133,BX133,BU133,BR133,BO133,BL133,BI133,BF133,BC133,AZ133,AW133,AT133,AQ133,AN133,AK133,AH133,AE133,AB133,Y133,V133,S133,P133,M133)</f>
        <v>-27.792187499999997</v>
      </c>
    </row>
    <row r="134" spans="9:89" x14ac:dyDescent="0.25">
      <c r="J134">
        <f>Shear_Wall_Foundation!F580</f>
        <v>28.5</v>
      </c>
      <c r="K134" cm="1">
        <f t="array" ref="K134:CG134">LRFD_Analysis(Lf_ft,J134,$B$4:$G$84,$J$4:$U$28)</f>
        <v>-2.8421709430404007E-14</v>
      </c>
      <c r="L134">
        <v>3.445399999999978</v>
      </c>
      <c r="M134">
        <v>2.596533333333582</v>
      </c>
      <c r="N134">
        <v>0</v>
      </c>
      <c r="O134">
        <v>7.0104000000000042</v>
      </c>
      <c r="P134">
        <v>5.2831999999996242</v>
      </c>
      <c r="Q134">
        <v>0</v>
      </c>
      <c r="R134">
        <v>7.3209000000000231</v>
      </c>
      <c r="S134">
        <v>5.5171999999995478</v>
      </c>
      <c r="T134">
        <v>0</v>
      </c>
      <c r="U134">
        <v>7.0104000000000042</v>
      </c>
      <c r="V134">
        <v>5.2831999999996242</v>
      </c>
      <c r="W134">
        <v>1.4210854715202004E-14</v>
      </c>
      <c r="X134">
        <v>4.221074999999999</v>
      </c>
      <c r="Y134">
        <v>3.1811000000000149</v>
      </c>
      <c r="Z134">
        <v>0</v>
      </c>
      <c r="AA134">
        <v>5.2146750000000139</v>
      </c>
      <c r="AB134">
        <v>3.9298999999998614</v>
      </c>
      <c r="AC134">
        <v>1.4210854715202004E-14</v>
      </c>
      <c r="AD134">
        <v>4.221074999999999</v>
      </c>
      <c r="AE134">
        <v>3.1811000000000149</v>
      </c>
      <c r="AF134">
        <v>0</v>
      </c>
      <c r="AG134">
        <v>6.1713250000000102</v>
      </c>
      <c r="AH134">
        <v>4.6815374999994219</v>
      </c>
      <c r="AI134">
        <v>1.4210854715202004E-14</v>
      </c>
      <c r="AJ134">
        <v>7.1649250000000109</v>
      </c>
      <c r="AK134">
        <v>5.4303375000004053</v>
      </c>
      <c r="AL134">
        <v>0</v>
      </c>
      <c r="AM134">
        <v>6.1713250000000102</v>
      </c>
      <c r="AN134">
        <v>4.6815374999994219</v>
      </c>
      <c r="AO134">
        <v>-1.4210854715202004E-14</v>
      </c>
      <c r="AP134">
        <v>-0.26492500000000518</v>
      </c>
      <c r="AQ134">
        <v>-0.23033749999990505</v>
      </c>
      <c r="AR134">
        <v>0</v>
      </c>
      <c r="AS134">
        <v>0.72867500000000973</v>
      </c>
      <c r="AT134">
        <v>0.51846250000039618</v>
      </c>
      <c r="AU134">
        <v>-1.4210854715202004E-14</v>
      </c>
      <c r="AV134">
        <v>-0.26492500000000518</v>
      </c>
      <c r="AW134">
        <v>-0.23033749999990505</v>
      </c>
      <c r="AX134">
        <v>-1.4210854715202004E-14</v>
      </c>
      <c r="AY134">
        <v>11.121258349181943</v>
      </c>
      <c r="AZ134">
        <v>8.4511173018072441</v>
      </c>
      <c r="BA134">
        <v>0</v>
      </c>
      <c r="BB134">
        <v>11.352633128895135</v>
      </c>
      <c r="BC134">
        <v>8.6239584456466218</v>
      </c>
      <c r="BD134">
        <v>-1.4210854715202004E-14</v>
      </c>
      <c r="BE134">
        <v>11.121258349181943</v>
      </c>
      <c r="BF134">
        <v>8.4511173018072441</v>
      </c>
      <c r="BG134">
        <v>0</v>
      </c>
      <c r="BH134">
        <v>-2.2151750000000163</v>
      </c>
      <c r="BI134">
        <v>-1.7307749999995394</v>
      </c>
      <c r="BJ134">
        <v>-1.4210854715202004E-14</v>
      </c>
      <c r="BK134">
        <v>-1.9046750000000259</v>
      </c>
      <c r="BL134">
        <v>-1.4967749999991611</v>
      </c>
      <c r="BM134">
        <v>0</v>
      </c>
      <c r="BN134">
        <v>-2.2151750000000163</v>
      </c>
      <c r="BO134">
        <v>-1.7307749999995394</v>
      </c>
      <c r="BP134">
        <v>0</v>
      </c>
      <c r="BQ134">
        <v>9.4899537330852155</v>
      </c>
      <c r="BR134">
        <v>7.1979926741289546</v>
      </c>
      <c r="BS134">
        <v>0</v>
      </c>
      <c r="BT134">
        <v>-0.17141250000001662</v>
      </c>
      <c r="BU134">
        <v>-0.17520624999997381</v>
      </c>
      <c r="BV134">
        <v>0</v>
      </c>
      <c r="BW134">
        <v>12.153551061628995</v>
      </c>
      <c r="BX134">
        <v>9.3062564423943854</v>
      </c>
      <c r="BY134">
        <v>0</v>
      </c>
      <c r="BZ134">
        <v>-2.0671875000000028</v>
      </c>
      <c r="CA134">
        <v>-1.5503906249998636</v>
      </c>
      <c r="CB134">
        <v>0</v>
      </c>
      <c r="CC134">
        <v>7.7695319979191382</v>
      </c>
      <c r="CD134">
        <v>5.9155158700011725</v>
      </c>
      <c r="CE134">
        <v>0</v>
      </c>
      <c r="CF134">
        <v>-2.0671875000000028</v>
      </c>
      <c r="CG134">
        <v>-1.5503906249994088</v>
      </c>
      <c r="CH134">
        <f t="shared" ref="CH134" si="35">MAX(CF134,CC134,BZ134,BW134,BT134,BQ134,BN134,BK134,BH134,BE134,BB134,AY134,AV134,AS134,AP134,AM134,AJ134,AG134,AD134,AA134,X134,U134,R134,O134,L134)</f>
        <v>12.153551061628995</v>
      </c>
      <c r="CI134">
        <f t="shared" ref="CI134" si="36">MIN(CF134,CC134,BZ134,BW134,BT134,BQ134,BN134,BK134,BH134,BE134,BB134,AY134,AV134,AS134,AP134,AM134,AJ134,AG134,AD134,AA134,X134,U134,R134,O134,L134)</f>
        <v>-2.2151750000000163</v>
      </c>
      <c r="CJ134">
        <f t="shared" ref="CJ134" si="37">MAX(CG134,CD134,CA134,BX134,BU134,BR134,BO134,BL134,BI134,BF134,BC134,AZ134,AW134,AT134,AQ134,AN134,AK134,AH134,AE134,AB134,Y134,V134,S134,P134,M134)</f>
        <v>9.3062564423943854</v>
      </c>
      <c r="CK134">
        <f t="shared" ref="CK134" si="38">MIN(CG134,CD134,CA134,BX134,BU134,BR134,BO134,BL134,BI134,BF134,BC134,AZ134,AW134,AT134,AQ134,AN134,AK134,AH134,AE134,AB134,Y134,V134,S134,P134,M134)</f>
        <v>-1.7307749999995394</v>
      </c>
    </row>
    <row r="137" spans="9:89" x14ac:dyDescent="0.25">
      <c r="I137" t="s">
        <v>465</v>
      </c>
    </row>
    <row r="138" spans="9:89" x14ac:dyDescent="0.25">
      <c r="J138">
        <f ca="1">Shear_Wall_Foundation!B761</f>
        <v>5.78125</v>
      </c>
      <c r="K138" cm="1">
        <f t="array" aca="1" ref="K138:CG138" ca="1">LRFD_Analysis(Lf_ft,J138,$B$4:$G$84,$J$4:$U$28)</f>
        <v>-2.8421709430404007E-14</v>
      </c>
      <c r="L138">
        <f ca="1"/>
        <v>-6.5152813946759238</v>
      </c>
      <c r="M138">
        <f ca="1"/>
        <v>18.118538147726177</v>
      </c>
      <c r="N138">
        <f ca="1"/>
        <v>0</v>
      </c>
      <c r="O138">
        <f ca="1"/>
        <v>-13.256727430555539</v>
      </c>
      <c r="P138">
        <f ca="1"/>
        <v>36.866024215133052</v>
      </c>
      <c r="Q138">
        <f ca="1"/>
        <v>0</v>
      </c>
      <c r="R138">
        <f ca="1"/>
        <v>-13.84388563368055</v>
      </c>
      <c r="S138">
        <f ca="1"/>
        <v>38.498869775842721</v>
      </c>
      <c r="T138">
        <f ca="1"/>
        <v>0</v>
      </c>
      <c r="U138">
        <f ca="1"/>
        <v>-13.256727430555539</v>
      </c>
      <c r="V138">
        <f ca="1"/>
        <v>36.866024215133052</v>
      </c>
      <c r="W138">
        <f ca="1"/>
        <v>1.4210854715202004E-14</v>
      </c>
      <c r="X138">
        <f ca="1"/>
        <v>-7.9820895724826357</v>
      </c>
      <c r="Y138">
        <f ca="1"/>
        <v>22.197628261424867</v>
      </c>
      <c r="Z138">
        <f ca="1"/>
        <v>0</v>
      </c>
      <c r="AA138">
        <f ca="1"/>
        <v>-9.8609958224826215</v>
      </c>
      <c r="AB138">
        <f ca="1"/>
        <v>27.422734055695649</v>
      </c>
      <c r="AC138">
        <f ca="1"/>
        <v>1.4210854715202004E-14</v>
      </c>
      <c r="AD138">
        <f ca="1"/>
        <v>-7.9820895724826357</v>
      </c>
      <c r="AE138">
        <f ca="1"/>
        <v>22.197628261424867</v>
      </c>
      <c r="AF138">
        <f ca="1"/>
        <v>0</v>
      </c>
      <c r="AG138">
        <f ca="1"/>
        <v>4.955464680989591</v>
      </c>
      <c r="AH138">
        <f ca="1"/>
        <v>-17.36125653584801</v>
      </c>
      <c r="AI138">
        <f ca="1"/>
        <v>1.4210854715202004E-14</v>
      </c>
      <c r="AJ138">
        <f ca="1"/>
        <v>3.0765584309895804</v>
      </c>
      <c r="AK138">
        <f ca="1"/>
        <v>-12.136150741577136</v>
      </c>
      <c r="AL138">
        <f ca="1"/>
        <v>0</v>
      </c>
      <c r="AM138">
        <f ca="1"/>
        <v>4.955464680989591</v>
      </c>
      <c r="AN138">
        <f ca="1"/>
        <v>-17.36125653584801</v>
      </c>
      <c r="AO138">
        <f ca="1"/>
        <v>-1.4210854715202004E-14</v>
      </c>
      <c r="AP138">
        <f ca="1"/>
        <v>-16.124518500434032</v>
      </c>
      <c r="AQ138">
        <f ca="1"/>
        <v>48.421607646235714</v>
      </c>
      <c r="AR138">
        <f ca="1"/>
        <v>0</v>
      </c>
      <c r="AS138">
        <f ca="1"/>
        <v>-18.003424750434021</v>
      </c>
      <c r="AT138">
        <f ca="1"/>
        <v>53.646713440506517</v>
      </c>
      <c r="AU138">
        <f ca="1"/>
        <v>-1.4210854715202004E-14</v>
      </c>
      <c r="AV138">
        <f ca="1"/>
        <v>-16.124518500434032</v>
      </c>
      <c r="AW138">
        <f ca="1"/>
        <v>48.421607646235714</v>
      </c>
      <c r="AX138">
        <f ca="1"/>
        <v>-1.4210854715202004E-14</v>
      </c>
      <c r="AY138">
        <f ca="1"/>
        <v>10.61870818999218</v>
      </c>
      <c r="AZ138">
        <f ca="1"/>
        <v>-30.707029625337483</v>
      </c>
      <c r="BA138">
        <f ca="1"/>
        <v>0</v>
      </c>
      <c r="BB138">
        <f ca="1"/>
        <v>10.529325253446357</v>
      </c>
      <c r="BC138">
        <f ca="1"/>
        <v>-30.685566575787675</v>
      </c>
      <c r="BD138">
        <f ca="1"/>
        <v>-1.4210854715202004E-14</v>
      </c>
      <c r="BE138">
        <f ca="1"/>
        <v>10.61870818999218</v>
      </c>
      <c r="BF138">
        <f ca="1"/>
        <v>-30.707029625337483</v>
      </c>
      <c r="BG138">
        <f ca="1"/>
        <v>0</v>
      </c>
      <c r="BH138">
        <f ca="1"/>
        <v>-29.062072753906257</v>
      </c>
      <c r="BI138">
        <f ca="1"/>
        <v>87.980492443508581</v>
      </c>
      <c r="BJ138">
        <f ca="1"/>
        <v>-1.4210854715202004E-14</v>
      </c>
      <c r="BK138">
        <f ca="1"/>
        <v>-29.649230957031257</v>
      </c>
      <c r="BL138">
        <f ca="1"/>
        <v>89.613338004218207</v>
      </c>
      <c r="BM138">
        <f ca="1"/>
        <v>0</v>
      </c>
      <c r="BN138">
        <f ca="1"/>
        <v>-29.062072753906257</v>
      </c>
      <c r="BO138">
        <f ca="1"/>
        <v>87.980492443508581</v>
      </c>
      <c r="BP138">
        <f ca="1"/>
        <v>0</v>
      </c>
      <c r="BQ138">
        <f ca="1"/>
        <v>6.9788782019692475</v>
      </c>
      <c r="BR138">
        <f ca="1"/>
        <v>-24.578578998230718</v>
      </c>
      <c r="BS138">
        <f ca="1"/>
        <v>0</v>
      </c>
      <c r="BT138">
        <f ca="1"/>
        <v>-24.614098442925346</v>
      </c>
      <c r="BU138">
        <f ca="1"/>
        <v>73.820760182981147</v>
      </c>
      <c r="BV138">
        <f ca="1"/>
        <v>0</v>
      </c>
      <c r="BW138">
        <f ca="1"/>
        <v>7.96728515625</v>
      </c>
      <c r="BX138">
        <f ca="1"/>
        <v>-23.030433654785156</v>
      </c>
      <c r="BY138">
        <f ca="1"/>
        <v>0</v>
      </c>
      <c r="BZ138">
        <f ca="1"/>
        <v>-28.434016204495123</v>
      </c>
      <c r="CA138">
        <f ca="1"/>
        <v>88.135855279326393</v>
      </c>
      <c r="CB138">
        <f ca="1"/>
        <v>0</v>
      </c>
      <c r="CC138">
        <f ca="1"/>
        <v>7.96728515625</v>
      </c>
      <c r="CD138">
        <f ca="1"/>
        <v>-23.030433654785156</v>
      </c>
      <c r="CE138">
        <f ca="1"/>
        <v>0</v>
      </c>
      <c r="CF138">
        <f ca="1"/>
        <v>-20.239626092154293</v>
      </c>
      <c r="CG138">
        <f ca="1"/>
        <v>61.781887183743621</v>
      </c>
      <c r="CH138">
        <f t="shared" ref="CH138" ca="1" si="39">MAX(CF138,CC138,BZ138,BW138,BT138,BQ138,BN138,BK138,BH138,BE138,BB138,AY138,AV138,AS138,AP138,AM138,AJ138,AG138,AD138,AA138,X138,U138,R138,O138,L138)</f>
        <v>10.61870818999218</v>
      </c>
      <c r="CI138">
        <f t="shared" ref="CI138" ca="1" si="40">MIN(CF138,CC138,BZ138,BW138,BT138,BQ138,BN138,BK138,BH138,BE138,BB138,AY138,AV138,AS138,AP138,AM138,AJ138,AG138,AD138,AA138,X138,U138,R138,O138,L138)</f>
        <v>-29.649230957031257</v>
      </c>
      <c r="CJ138">
        <f t="shared" ref="CJ138" ca="1" si="41">MAX(CG138,CD138,CA138,BX138,BU138,BR138,BO138,BL138,BI138,BF138,BC138,AZ138,AW138,AT138,AQ138,AN138,AK138,AH138,AE138,AB138,Y138,V138,S138,P138,M138)</f>
        <v>89.613338004218207</v>
      </c>
      <c r="CK138">
        <f t="shared" ref="CK138" ca="1" si="42">MIN(CG138,CD138,CA138,BX138,BU138,BR138,BO138,BL138,BI138,BF138,BC138,AZ138,AW138,AT138,AQ138,AN138,AK138,AH138,AE138,AB138,Y138,V138,S138,P138,M138)</f>
        <v>-30.707029625337483</v>
      </c>
    </row>
    <row r="140" spans="9:89" x14ac:dyDescent="0.25">
      <c r="I140" t="s">
        <v>469</v>
      </c>
    </row>
    <row r="141" spans="9:89" x14ac:dyDescent="0.25">
      <c r="J141">
        <f ca="1">Shear_Wall_Foundation!B936</f>
        <v>5.697916666666667</v>
      </c>
      <c r="K141" cm="1">
        <f t="array" aca="1" ref="K141:CG141" ca="1">LRFD_Analysis(Lf_ft,J141,$B$4:$G$84,$J$4:$U$28)</f>
        <v>-2.8421709430404007E-14</v>
      </c>
      <c r="L141">
        <f ca="1"/>
        <v>-6.41082980002572</v>
      </c>
      <c r="M141">
        <f ca="1"/>
        <v>17.579952321769539</v>
      </c>
      <c r="N141">
        <f ca="1"/>
        <v>0</v>
      </c>
      <c r="O141">
        <f ca="1"/>
        <v>-13.044198418209863</v>
      </c>
      <c r="P141">
        <f ca="1"/>
        <v>35.770156660049039</v>
      </c>
      <c r="Q141">
        <f ca="1"/>
        <v>0</v>
      </c>
      <c r="R141">
        <f ca="1"/>
        <v>-13.621943426890429</v>
      </c>
      <c r="S141">
        <f ca="1"/>
        <v>37.354464779834728</v>
      </c>
      <c r="T141">
        <f ca="1"/>
        <v>0</v>
      </c>
      <c r="U141">
        <f ca="1"/>
        <v>-13.044198418209863</v>
      </c>
      <c r="V141">
        <f ca="1"/>
        <v>35.770156660049039</v>
      </c>
      <c r="W141">
        <f ca="1"/>
        <v>1.4210854715202004E-14</v>
      </c>
      <c r="X141">
        <f ca="1"/>
        <v>-7.8541224235628846</v>
      </c>
      <c r="Y141">
        <f ca="1"/>
        <v>21.5377887173081</v>
      </c>
      <c r="Z141">
        <f ca="1"/>
        <v>0</v>
      </c>
      <c r="AA141">
        <f ca="1"/>
        <v>-9.7029064513406489</v>
      </c>
      <c r="AB141">
        <f ca="1"/>
        <v>26.607574700622099</v>
      </c>
      <c r="AC141">
        <f ca="1"/>
        <v>1.4210854715202004E-14</v>
      </c>
      <c r="AD141">
        <f ca="1"/>
        <v>-7.8541224235628846</v>
      </c>
      <c r="AE141">
        <f ca="1"/>
        <v>21.5377887173081</v>
      </c>
      <c r="AF141">
        <f ca="1"/>
        <v>0</v>
      </c>
      <c r="AG141">
        <f ca="1"/>
        <v>4.9288106879340354</v>
      </c>
      <c r="AH141">
        <f ca="1"/>
        <v>-16.949402633516314</v>
      </c>
      <c r="AI141">
        <f ca="1"/>
        <v>1.4210854715202004E-14</v>
      </c>
      <c r="AJ141">
        <f ca="1"/>
        <v>3.080026660156248</v>
      </c>
      <c r="AK141">
        <f ca="1"/>
        <v>-11.879616650202241</v>
      </c>
      <c r="AL141">
        <f ca="1"/>
        <v>0</v>
      </c>
      <c r="AM141">
        <f ca="1"/>
        <v>4.9288106879340354</v>
      </c>
      <c r="AN141">
        <f ca="1"/>
        <v>-16.949402633516314</v>
      </c>
      <c r="AO141">
        <f ca="1"/>
        <v>-1.4210854715202004E-14</v>
      </c>
      <c r="AP141">
        <f ca="1"/>
        <v>-15.918804630835265</v>
      </c>
      <c r="AQ141">
        <f ca="1"/>
        <v>47.086463756549762</v>
      </c>
      <c r="AR141">
        <f ca="1"/>
        <v>0</v>
      </c>
      <c r="AS141">
        <f ca="1"/>
        <v>-17.767588658613036</v>
      </c>
      <c r="AT141">
        <f ca="1"/>
        <v>52.156249739863782</v>
      </c>
      <c r="AU141">
        <f ca="1"/>
        <v>-1.4210854715202004E-14</v>
      </c>
      <c r="AV141">
        <f ca="1"/>
        <v>-15.918804630835265</v>
      </c>
      <c r="AW141">
        <f ca="1"/>
        <v>47.086463756549762</v>
      </c>
      <c r="AX141">
        <f ca="1"/>
        <v>-1.4210854715202004E-14</v>
      </c>
      <c r="AY141">
        <f ca="1"/>
        <v>10.469081556299926</v>
      </c>
      <c r="AZ141">
        <f ca="1"/>
        <v>-29.828352828031431</v>
      </c>
      <c r="BA141">
        <f ca="1"/>
        <v>0</v>
      </c>
      <c r="BB141">
        <f ca="1"/>
        <v>10.397358936880108</v>
      </c>
      <c r="BC141">
        <f ca="1"/>
        <v>-29.813602628282826</v>
      </c>
      <c r="BD141">
        <f ca="1"/>
        <v>-1.4210854715202004E-14</v>
      </c>
      <c r="BE141">
        <f ca="1"/>
        <v>10.469081556299926</v>
      </c>
      <c r="BF141">
        <f ca="1"/>
        <v>-29.828352828031431</v>
      </c>
      <c r="BG141">
        <f ca="1"/>
        <v>0</v>
      </c>
      <c r="BH141">
        <f ca="1"/>
        <v>-28.701737742332181</v>
      </c>
      <c r="BI141">
        <f ca="1"/>
        <v>85.573655107374165</v>
      </c>
      <c r="BJ141">
        <f ca="1"/>
        <v>-1.4210854715202004E-14</v>
      </c>
      <c r="BK141">
        <f ca="1"/>
        <v>-29.279482751012747</v>
      </c>
      <c r="BL141">
        <f ca="1"/>
        <v>87.15796322715984</v>
      </c>
      <c r="BM141">
        <f ca="1"/>
        <v>0</v>
      </c>
      <c r="BN141">
        <f ca="1"/>
        <v>-28.701737742332181</v>
      </c>
      <c r="BO141">
        <f ca="1"/>
        <v>85.573655107374165</v>
      </c>
      <c r="BP141">
        <f ca="1"/>
        <v>0</v>
      </c>
      <c r="BQ141">
        <f ca="1"/>
        <v>6.9451401876694394</v>
      </c>
      <c r="BR141">
        <f ca="1"/>
        <v>-23.998397757480291</v>
      </c>
      <c r="BS141">
        <f ca="1"/>
        <v>0</v>
      </c>
      <c r="BT141">
        <f ca="1"/>
        <v>-24.298676924792634</v>
      </c>
      <c r="BU141">
        <f ca="1"/>
        <v>71.782719877557554</v>
      </c>
      <c r="BV141">
        <f ca="1"/>
        <v>0</v>
      </c>
      <c r="BW141">
        <f ca="1"/>
        <v>7.8524414062500014</v>
      </c>
      <c r="BX141">
        <f ca="1"/>
        <v>-22.371278381347658</v>
      </c>
      <c r="BY141">
        <f ca="1"/>
        <v>0</v>
      </c>
      <c r="BZ141">
        <f ca="1"/>
        <v>-28.111792677235663</v>
      </c>
      <c r="CA141">
        <f ca="1"/>
        <v>85.779762107879975</v>
      </c>
      <c r="CB141">
        <f ca="1"/>
        <v>0</v>
      </c>
      <c r="CC141">
        <f ca="1"/>
        <v>7.8524414062500014</v>
      </c>
      <c r="CD141">
        <f ca="1"/>
        <v>-22.371278381347658</v>
      </c>
      <c r="CE141">
        <f ca="1"/>
        <v>0</v>
      </c>
      <c r="CF141">
        <f ca="1"/>
        <v>-19.996196279061639</v>
      </c>
      <c r="CG141">
        <f ca="1"/>
        <v>60.105384771303925</v>
      </c>
      <c r="CH141">
        <f t="shared" ref="CH141" ca="1" si="43">MAX(CF141,CC141,BZ141,BW141,BT141,BQ141,BN141,BK141,BH141,BE141,BB141,AY141,AV141,AS141,AP141,AM141,AJ141,AG141,AD141,AA141,X141,U141,R141,O141,L141)</f>
        <v>10.469081556299926</v>
      </c>
      <c r="CI141">
        <f t="shared" ref="CI141" ca="1" si="44">MIN(CF141,CC141,BZ141,BW141,BT141,BQ141,BN141,BK141,BH141,BE141,BB141,AY141,AV141,AS141,AP141,AM141,AJ141,AG141,AD141,AA141,X141,U141,R141,O141,L141)</f>
        <v>-29.279482751012747</v>
      </c>
      <c r="CJ141">
        <f t="shared" ref="CJ141" ca="1" si="45">MAX(CG141,CD141,CA141,BX141,BU141,BR141,BO141,BL141,BI141,BF141,BC141,AZ141,AW141,AT141,AQ141,AN141,AK141,AH141,AE141,AB141,Y141,V141,S141,P141,M141)</f>
        <v>87.15796322715984</v>
      </c>
      <c r="CK141">
        <f t="shared" ref="CK141" ca="1" si="46">MIN(CG141,CD141,CA141,BX141,BU141,BR141,BO141,BL141,BI141,BF141,BC141,AZ141,AW141,AT141,AQ141,AN141,AK141,AH141,AE141,AB141,Y141,V141,S141,P141,M141)</f>
        <v>-29.828352828031431</v>
      </c>
    </row>
    <row r="143" spans="9:89" x14ac:dyDescent="0.25">
      <c r="I143" t="s">
        <v>472</v>
      </c>
    </row>
    <row r="144" spans="9:89" x14ac:dyDescent="0.25">
      <c r="J144">
        <f ca="1">Shear_Wall_Foundation!B1113</f>
        <v>28.21875</v>
      </c>
      <c r="K144" cm="1">
        <f t="array" aca="1" ref="K144:CG144" ca="1">LRFD_Analysis(Lf_ft,J144,$B$4:$G$84,$J$4:$U$28)</f>
        <v>-2.8421709430404007E-14</v>
      </c>
      <c r="L144">
        <f ca="1"/>
        <v>4.0802945312499901</v>
      </c>
      <c r="M144">
        <f ca="1"/>
        <v>3.6549164143882535</v>
      </c>
      <c r="N144">
        <f ca="1"/>
        <v>0</v>
      </c>
      <c r="O144">
        <f ca="1"/>
        <v>8.3022281250000276</v>
      </c>
      <c r="P144">
        <f ca="1"/>
        <v>7.4367057617178034</v>
      </c>
      <c r="Q144">
        <f ca="1"/>
        <v>0</v>
      </c>
      <c r="R144">
        <f ca="1"/>
        <v>8.6699449218750431</v>
      </c>
      <c r="S144">
        <f ca="1"/>
        <v>7.7660874145508387</v>
      </c>
      <c r="T144">
        <f ca="1"/>
        <v>0</v>
      </c>
      <c r="U144">
        <f ca="1"/>
        <v>8.3022281250000276</v>
      </c>
      <c r="V144">
        <f ca="1"/>
        <v>7.4367057617178034</v>
      </c>
      <c r="W144">
        <f ca="1"/>
        <v>1.4210854715202004E-14</v>
      </c>
      <c r="X144">
        <f ca="1"/>
        <v>4.9989055664062789</v>
      </c>
      <c r="Y144">
        <f ca="1"/>
        <v>4.4777605804440554</v>
      </c>
      <c r="Z144">
        <f ca="1"/>
        <v>0</v>
      </c>
      <c r="AA144">
        <f ca="1"/>
        <v>6.1755993164062772</v>
      </c>
      <c r="AB144">
        <f ca="1"/>
        <v>5.531781869506176</v>
      </c>
      <c r="AC144">
        <f ca="1"/>
        <v>1.4210854715202004E-14</v>
      </c>
      <c r="AD144">
        <f ca="1"/>
        <v>4.9989055664062789</v>
      </c>
      <c r="AE144">
        <f ca="1"/>
        <v>4.4777605804440554</v>
      </c>
      <c r="AF144">
        <f ca="1"/>
        <v>0</v>
      </c>
      <c r="AG144">
        <f ca="1"/>
        <v>7.2812063476562656</v>
      </c>
      <c r="AH144">
        <f ca="1"/>
        <v>6.5736493743893334</v>
      </c>
      <c r="AI144">
        <f ca="1"/>
        <v>1.4210854715202004E-14</v>
      </c>
      <c r="AJ144">
        <f ca="1"/>
        <v>8.4579000976562497</v>
      </c>
      <c r="AK144">
        <f ca="1"/>
        <v>7.6276706634528182</v>
      </c>
      <c r="AL144">
        <f ca="1"/>
        <v>0</v>
      </c>
      <c r="AM144">
        <f ca="1"/>
        <v>7.2812063476562656</v>
      </c>
      <c r="AN144">
        <f ca="1"/>
        <v>6.5736493743893334</v>
      </c>
      <c r="AO144">
        <f ca="1"/>
        <v>-1.4210854715202004E-14</v>
      </c>
      <c r="AP144">
        <f ca="1"/>
        <v>-0.28641572265625825</v>
      </c>
      <c r="AQ144">
        <f ca="1"/>
        <v>-0.30807837829570417</v>
      </c>
      <c r="AR144">
        <f ca="1"/>
        <v>0</v>
      </c>
      <c r="AS144">
        <f ca="1"/>
        <v>0.89027802734375427</v>
      </c>
      <c r="AT144">
        <f ca="1"/>
        <v>0.74594291076664376</v>
      </c>
      <c r="AU144">
        <f ca="1"/>
        <v>-1.4210854715202004E-14</v>
      </c>
      <c r="AV144">
        <f ca="1"/>
        <v>-0.28641572265625825</v>
      </c>
      <c r="AW144">
        <f ca="1"/>
        <v>-0.30807837829570417</v>
      </c>
      <c r="AX144">
        <f ca="1"/>
        <v>-1.4210854715202004E-14</v>
      </c>
      <c r="AY144">
        <f ca="1"/>
        <v>13.108370980661491</v>
      </c>
      <c r="AZ144">
        <f ca="1"/>
        <v>11.859135167912655</v>
      </c>
      <c r="BA144">
        <f ca="1"/>
        <v>0</v>
      </c>
      <c r="BB144">
        <f ca="1"/>
        <v>13.383743010225459</v>
      </c>
      <c r="BC144">
        <f ca="1"/>
        <v>12.103233033855986</v>
      </c>
      <c r="BD144">
        <f ca="1"/>
        <v>-1.4210854715202004E-14</v>
      </c>
      <c r="BE144">
        <f ca="1"/>
        <v>13.108370980661491</v>
      </c>
      <c r="BF144">
        <f ca="1"/>
        <v>11.859135167912655</v>
      </c>
      <c r="BG144">
        <f ca="1"/>
        <v>0</v>
      </c>
      <c r="BH144">
        <f ca="1"/>
        <v>-2.5687165039062592</v>
      </c>
      <c r="BI144">
        <f ca="1"/>
        <v>-2.4039671722407547</v>
      </c>
      <c r="BJ144">
        <f ca="1"/>
        <v>-1.4210854715202004E-14</v>
      </c>
      <c r="BK144">
        <f ca="1"/>
        <v>-2.2009997070312437</v>
      </c>
      <c r="BL144">
        <f ca="1"/>
        <v>-2.0745855194095384</v>
      </c>
      <c r="BM144">
        <f ca="1"/>
        <v>0</v>
      </c>
      <c r="BN144">
        <f ca="1"/>
        <v>-2.5687165039062592</v>
      </c>
      <c r="BO144">
        <f ca="1"/>
        <v>-2.4039671722407547</v>
      </c>
      <c r="BP144">
        <f ca="1"/>
        <v>0</v>
      </c>
      <c r="BQ144">
        <f ca="1"/>
        <v>11.197600365289503</v>
      </c>
      <c r="BR144">
        <f ca="1"/>
        <v>10.107710789307589</v>
      </c>
      <c r="BS144">
        <f ca="1"/>
        <v>0</v>
      </c>
      <c r="BT144">
        <f ca="1"/>
        <v>-0.1620074707031165</v>
      </c>
      <c r="BU144">
        <f ca="1"/>
        <v>-0.22240092010451917</v>
      </c>
      <c r="BV144">
        <f ca="1"/>
        <v>0</v>
      </c>
      <c r="BW144">
        <f ca="1"/>
        <v>14.262149552374368</v>
      </c>
      <c r="BX144">
        <f ca="1"/>
        <v>13.022223988442562</v>
      </c>
      <c r="BY144">
        <f ca="1"/>
        <v>0</v>
      </c>
      <c r="BZ144">
        <f ca="1"/>
        <v>-2.4547851562499972</v>
      </c>
      <c r="CA144">
        <f ca="1"/>
        <v>-2.1862930297850198</v>
      </c>
      <c r="CB144">
        <f ca="1"/>
        <v>0</v>
      </c>
      <c r="CC144">
        <f ca="1"/>
        <v>9.1476175025442501</v>
      </c>
      <c r="CD144">
        <f ca="1"/>
        <v>8.2950725149715367</v>
      </c>
      <c r="CE144">
        <f ca="1"/>
        <v>0</v>
      </c>
      <c r="CF144">
        <f ca="1"/>
        <v>-2.4547851562499972</v>
      </c>
      <c r="CG144">
        <f ca="1"/>
        <v>-2.1862930297847925</v>
      </c>
      <c r="CH144">
        <f t="shared" ref="CH144" ca="1" si="47">MAX(CF144,CC144,BZ144,BW144,BT144,BQ144,BN144,BK144,BH144,BE144,BB144,AY144,AV144,AS144,AP144,AM144,AJ144,AG144,AD144,AA144,X144,U144,R144,O144,L144)</f>
        <v>14.262149552374368</v>
      </c>
      <c r="CI144">
        <f t="shared" ref="CI144" ca="1" si="48">MIN(CF144,CC144,BZ144,BW144,BT144,BQ144,BN144,BK144,BH144,BE144,BB144,AY144,AV144,AS144,AP144,AM144,AJ144,AG144,AD144,AA144,X144,U144,R144,O144,L144)</f>
        <v>-2.5687165039062592</v>
      </c>
      <c r="CJ144">
        <f t="shared" ref="CJ144" ca="1" si="49">MAX(CG144,CD144,CA144,BX144,BU144,BR144,BO144,BL144,BI144,BF144,BC144,AZ144,AW144,AT144,AQ144,AN144,AK144,AH144,AE144,AB144,Y144,V144,S144,P144,M144)</f>
        <v>13.022223988442562</v>
      </c>
      <c r="CK144">
        <f t="shared" ref="CK144" ca="1" si="50">MIN(CG144,CD144,CA144,BX144,BU144,BR144,BO144,BL144,BI144,BF144,BC144,AZ144,AW144,AT144,AQ144,AN144,AK144,AH144,AE144,AB144,Y144,V144,S144,P144,M144)</f>
        <v>-2.4039671722407547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D8173-E1BC-4501-986C-1AC6CC921F4A}">
  <sheetPr codeName="Sheet4"/>
  <dimension ref="A1:CM80"/>
  <sheetViews>
    <sheetView workbookViewId="0">
      <selection activeCell="B50" sqref="B50"/>
    </sheetView>
  </sheetViews>
  <sheetFormatPr defaultRowHeight="15" x14ac:dyDescent="0.25"/>
  <cols>
    <col min="1" max="1" width="18.5703125" customWidth="1"/>
  </cols>
  <sheetData>
    <row r="1" spans="1:21" x14ac:dyDescent="0.25">
      <c r="A1" t="s">
        <v>448</v>
      </c>
    </row>
    <row r="3" spans="1:21" ht="36" x14ac:dyDescent="0.25">
      <c r="A3" t="s">
        <v>113</v>
      </c>
      <c r="B3" s="3" t="s">
        <v>106</v>
      </c>
      <c r="C3" s="3" t="s">
        <v>298</v>
      </c>
      <c r="D3" s="4" t="s">
        <v>100</v>
      </c>
      <c r="E3" s="4" t="s">
        <v>101</v>
      </c>
      <c r="F3" s="4" t="s">
        <v>102</v>
      </c>
      <c r="G3" s="4" t="s">
        <v>103</v>
      </c>
      <c r="J3" t="str">
        <f>Long_VandM!J3</f>
        <v>IBC Eq.</v>
      </c>
      <c r="K3" t="str">
        <f>Long_VandM!K3</f>
        <v>D</v>
      </c>
      <c r="L3" t="str">
        <f>Long_VandM!L3</f>
        <v>F</v>
      </c>
      <c r="M3" t="str">
        <f>Long_VandM!M3</f>
        <v>L</v>
      </c>
      <c r="N3" t="str">
        <f>Long_VandM!N3</f>
        <v>H</v>
      </c>
      <c r="O3" t="str">
        <f>Long_VandM!O3</f>
        <v>Lr</v>
      </c>
      <c r="P3" t="str">
        <f>Long_VandM!P3</f>
        <v>S</v>
      </c>
      <c r="Q3" t="str">
        <f>Long_VandM!Q3</f>
        <v>R</v>
      </c>
      <c r="R3" t="str">
        <f>Long_VandM!R3</f>
        <v>Wp</v>
      </c>
      <c r="S3" t="str">
        <f>Long_VandM!S3</f>
        <v>Wn</v>
      </c>
      <c r="T3" t="str">
        <f>Long_VandM!T3</f>
        <v>Ep</v>
      </c>
      <c r="U3" t="str">
        <f>Long_VandM!U3</f>
        <v>En</v>
      </c>
    </row>
    <row r="4" spans="1:21" x14ac:dyDescent="0.25">
      <c r="A4" t="s">
        <v>295</v>
      </c>
      <c r="B4" s="1">
        <f>Lf_ft*(tf_in/12)*fnd_density_pcf*(1/1000)</f>
        <v>6.5250000000000004</v>
      </c>
      <c r="C4">
        <v>0</v>
      </c>
      <c r="D4">
        <v>0</v>
      </c>
      <c r="E4">
        <f>Bf_ft</f>
        <v>3.5</v>
      </c>
      <c r="F4" t="s">
        <v>177</v>
      </c>
      <c r="G4" t="s">
        <v>104</v>
      </c>
      <c r="J4" t="str">
        <f>Long_VandM!J4</f>
        <v>16-1</v>
      </c>
      <c r="K4">
        <f>Long_VandM!K4</f>
        <v>1.4</v>
      </c>
      <c r="L4">
        <f>Long_VandM!L4</f>
        <v>1.4</v>
      </c>
      <c r="M4">
        <f>Long_VandM!M4</f>
        <v>0</v>
      </c>
      <c r="N4">
        <f>Long_VandM!N4</f>
        <v>0</v>
      </c>
      <c r="O4">
        <f>Long_VandM!O4</f>
        <v>0</v>
      </c>
      <c r="P4">
        <f>Long_VandM!P4</f>
        <v>0</v>
      </c>
      <c r="Q4">
        <f>Long_VandM!Q4</f>
        <v>0</v>
      </c>
      <c r="R4">
        <f>Long_VandM!R4</f>
        <v>0</v>
      </c>
      <c r="S4">
        <f>Long_VandM!S4</f>
        <v>0</v>
      </c>
      <c r="T4">
        <f>Long_VandM!T4</f>
        <v>0</v>
      </c>
      <c r="U4">
        <f>Long_VandM!U4</f>
        <v>0</v>
      </c>
    </row>
    <row r="5" spans="1:21" x14ac:dyDescent="0.25">
      <c r="A5" t="s">
        <v>296</v>
      </c>
      <c r="B5">
        <f>Ls_ft*Hs_ft*stem_density_pcf*(1/1000)</f>
        <v>5.8</v>
      </c>
      <c r="C5">
        <v>0</v>
      </c>
      <c r="D5">
        <f>(Bf_ft/2)-(ts_in/24)</f>
        <v>1.3333333333333333</v>
      </c>
      <c r="E5">
        <f>D5+([0]!ts_in/12)</f>
        <v>2.1666666666666665</v>
      </c>
      <c r="F5" t="s">
        <v>177</v>
      </c>
      <c r="G5" t="s">
        <v>104</v>
      </c>
      <c r="J5" t="str">
        <f>Long_VandM!J5</f>
        <v>16-2Lr</v>
      </c>
      <c r="K5">
        <f>Long_VandM!K5</f>
        <v>1.2</v>
      </c>
      <c r="L5">
        <f>Long_VandM!L5</f>
        <v>1.2</v>
      </c>
      <c r="M5">
        <f>Long_VandM!M5</f>
        <v>1.6</v>
      </c>
      <c r="N5">
        <f>Long_VandM!N5</f>
        <v>1.6</v>
      </c>
      <c r="O5">
        <f>Long_VandM!O5</f>
        <v>0.5</v>
      </c>
      <c r="P5">
        <f>Long_VandM!P5</f>
        <v>0</v>
      </c>
      <c r="Q5">
        <f>Long_VandM!Q5</f>
        <v>0</v>
      </c>
      <c r="R5">
        <f>Long_VandM!R5</f>
        <v>0</v>
      </c>
      <c r="S5">
        <f>Long_VandM!S5</f>
        <v>0</v>
      </c>
      <c r="T5">
        <f>Long_VandM!T5</f>
        <v>0</v>
      </c>
      <c r="U5">
        <f>Long_VandM!U5</f>
        <v>0</v>
      </c>
    </row>
    <row r="6" spans="1:21" x14ac:dyDescent="0.25">
      <c r="A6" t="s">
        <v>163</v>
      </c>
      <c r="B6">
        <f>Hoverburden_ft*soil_density_pcf*Lf_ft*(1/1000)</f>
        <v>6.6000000000000005</v>
      </c>
      <c r="C6">
        <v>0</v>
      </c>
      <c r="D6">
        <v>0</v>
      </c>
      <c r="E6">
        <f>Bf_ft</f>
        <v>3.5</v>
      </c>
      <c r="F6" t="s">
        <v>177</v>
      </c>
      <c r="G6" t="s">
        <v>104</v>
      </c>
      <c r="J6" t="str">
        <f>Long_VandM!J6</f>
        <v>16-2S</v>
      </c>
      <c r="K6">
        <f>Long_VandM!K6</f>
        <v>1.2</v>
      </c>
      <c r="L6">
        <f>Long_VandM!L6</f>
        <v>1.2</v>
      </c>
      <c r="M6">
        <f>Long_VandM!M6</f>
        <v>1.6</v>
      </c>
      <c r="N6">
        <f>Long_VandM!N6</f>
        <v>1.6</v>
      </c>
      <c r="O6">
        <f>Long_VandM!O6</f>
        <v>0</v>
      </c>
      <c r="P6">
        <f>Long_VandM!P6</f>
        <v>0.5</v>
      </c>
      <c r="Q6">
        <f>Long_VandM!Q6</f>
        <v>0</v>
      </c>
      <c r="R6">
        <f>Long_VandM!R6</f>
        <v>0</v>
      </c>
      <c r="S6">
        <f>Long_VandM!S6</f>
        <v>0</v>
      </c>
      <c r="T6">
        <f>Long_VandM!T6</f>
        <v>0</v>
      </c>
      <c r="U6">
        <f>Long_VandM!U6</f>
        <v>0</v>
      </c>
    </row>
    <row r="7" spans="1:21" x14ac:dyDescent="0.25">
      <c r="A7" t="s">
        <v>297</v>
      </c>
      <c r="B7">
        <f>Hoverburden_ft*Ls_ft*soil_density_pcf*(-1/1000)</f>
        <v>-4.4000000000000004</v>
      </c>
      <c r="C7">
        <v>0</v>
      </c>
      <c r="D7">
        <f>D5</f>
        <v>1.3333333333333333</v>
      </c>
      <c r="E7">
        <f>E5</f>
        <v>2.1666666666666665</v>
      </c>
      <c r="F7" t="s">
        <v>177</v>
      </c>
      <c r="G7" t="s">
        <v>104</v>
      </c>
      <c r="J7" t="str">
        <f>Long_VandM!J7</f>
        <v>16-2R</v>
      </c>
      <c r="K7">
        <f>Long_VandM!K7</f>
        <v>1.2</v>
      </c>
      <c r="L7">
        <f>Long_VandM!L7</f>
        <v>1.2</v>
      </c>
      <c r="M7">
        <f>Long_VandM!M7</f>
        <v>1.6</v>
      </c>
      <c r="N7">
        <f>Long_VandM!N7</f>
        <v>1.6</v>
      </c>
      <c r="O7">
        <f>Long_VandM!O7</f>
        <v>0</v>
      </c>
      <c r="P7">
        <f>Long_VandM!P7</f>
        <v>0</v>
      </c>
      <c r="Q7">
        <f>Long_VandM!Q7</f>
        <v>0.5</v>
      </c>
      <c r="R7">
        <f>Long_VandM!R7</f>
        <v>0</v>
      </c>
      <c r="S7">
        <f>Long_VandM!S7</f>
        <v>0</v>
      </c>
      <c r="T7">
        <f>Long_VandM!T7</f>
        <v>0</v>
      </c>
      <c r="U7">
        <f>Long_VandM!U7</f>
        <v>0</v>
      </c>
    </row>
    <row r="8" spans="1:21" x14ac:dyDescent="0.25">
      <c r="A8">
        <f>Shear_Wall_Foundation!A136</f>
        <v>1</v>
      </c>
      <c r="B8">
        <f>Shear_Wall_Foundation!B136</f>
        <v>34.5</v>
      </c>
      <c r="C8">
        <v>0</v>
      </c>
      <c r="D8">
        <f t="shared" ref="D8:D47" si="0">Bf_ft*0.5</f>
        <v>1.75</v>
      </c>
      <c r="E8">
        <v>0</v>
      </c>
      <c r="F8" t="s">
        <v>182</v>
      </c>
      <c r="G8" t="str">
        <f>Shear_Wall_Foundation!E136</f>
        <v>D</v>
      </c>
      <c r="J8" t="str">
        <f>Long_VandM!J8</f>
        <v>16-3Lr_L</v>
      </c>
      <c r="K8">
        <f>Long_VandM!K8</f>
        <v>1.2</v>
      </c>
      <c r="L8">
        <f>Long_VandM!L8</f>
        <v>1.2</v>
      </c>
      <c r="M8">
        <f>Long_VandM!M8</f>
        <v>0.5</v>
      </c>
      <c r="N8">
        <f>Long_VandM!N8</f>
        <v>1.6</v>
      </c>
      <c r="O8">
        <f>Long_VandM!O8</f>
        <v>1.6</v>
      </c>
      <c r="P8">
        <f>Long_VandM!P8</f>
        <v>0</v>
      </c>
      <c r="Q8">
        <f>Long_VandM!Q8</f>
        <v>0</v>
      </c>
      <c r="R8">
        <f>Long_VandM!R8</f>
        <v>0</v>
      </c>
      <c r="S8">
        <f>Long_VandM!S8</f>
        <v>0</v>
      </c>
      <c r="T8">
        <f>Long_VandM!T8</f>
        <v>0</v>
      </c>
      <c r="U8">
        <f>Long_VandM!U8</f>
        <v>0</v>
      </c>
    </row>
    <row r="9" spans="1:21" x14ac:dyDescent="0.25">
      <c r="A9">
        <f>Shear_Wall_Foundation!A137</f>
        <v>2</v>
      </c>
      <c r="B9">
        <f>Shear_Wall_Foundation!B137</f>
        <v>36.75</v>
      </c>
      <c r="C9">
        <v>0</v>
      </c>
      <c r="D9">
        <f t="shared" si="0"/>
        <v>1.75</v>
      </c>
      <c r="E9">
        <v>0</v>
      </c>
      <c r="F9" t="s">
        <v>182</v>
      </c>
      <c r="G9" t="str">
        <f>Shear_Wall_Foundation!E137</f>
        <v>L</v>
      </c>
      <c r="J9" t="str">
        <f>Long_VandM!J9</f>
        <v>16-3S_L</v>
      </c>
      <c r="K9">
        <f>Long_VandM!K9</f>
        <v>1.2</v>
      </c>
      <c r="L9">
        <f>Long_VandM!L9</f>
        <v>1.2</v>
      </c>
      <c r="M9">
        <f>Long_VandM!M9</f>
        <v>0.5</v>
      </c>
      <c r="N9">
        <f>Long_VandM!N9</f>
        <v>1.6</v>
      </c>
      <c r="O9">
        <f>Long_VandM!O9</f>
        <v>0</v>
      </c>
      <c r="P9">
        <f>Long_VandM!P9</f>
        <v>1.6</v>
      </c>
      <c r="Q9">
        <f>Long_VandM!Q9</f>
        <v>0</v>
      </c>
      <c r="R9">
        <f>Long_VandM!R9</f>
        <v>0</v>
      </c>
      <c r="S9">
        <f>Long_VandM!S9</f>
        <v>0</v>
      </c>
      <c r="T9">
        <f>Long_VandM!T9</f>
        <v>0</v>
      </c>
      <c r="U9">
        <f>Long_VandM!U9</f>
        <v>0</v>
      </c>
    </row>
    <row r="10" spans="1:21" x14ac:dyDescent="0.25">
      <c r="A10">
        <f>Shear_Wall_Foundation!A138</f>
        <v>3</v>
      </c>
      <c r="B10">
        <f>Shear_Wall_Foundation!B138</f>
        <v>9</v>
      </c>
      <c r="C10">
        <v>0</v>
      </c>
      <c r="D10">
        <f t="shared" si="0"/>
        <v>1.75</v>
      </c>
      <c r="E10">
        <v>0</v>
      </c>
      <c r="F10" t="s">
        <v>182</v>
      </c>
      <c r="G10" t="str">
        <f>Shear_Wall_Foundation!E138</f>
        <v>S</v>
      </c>
      <c r="J10" t="str">
        <f>Long_VandM!J10</f>
        <v>16-3R_L</v>
      </c>
      <c r="K10">
        <f>Long_VandM!K10</f>
        <v>1.2</v>
      </c>
      <c r="L10">
        <f>Long_VandM!L10</f>
        <v>1.2</v>
      </c>
      <c r="M10">
        <f>Long_VandM!M10</f>
        <v>0.5</v>
      </c>
      <c r="N10">
        <f>Long_VandM!N10</f>
        <v>1.6</v>
      </c>
      <c r="O10">
        <f>Long_VandM!O10</f>
        <v>0</v>
      </c>
      <c r="P10">
        <f>Long_VandM!P10</f>
        <v>0</v>
      </c>
      <c r="Q10">
        <f>Long_VandM!Q10</f>
        <v>1.6</v>
      </c>
      <c r="R10">
        <f>Long_VandM!R10</f>
        <v>0</v>
      </c>
      <c r="S10">
        <f>Long_VandM!S10</f>
        <v>0</v>
      </c>
      <c r="T10">
        <f>Long_VandM!T10</f>
        <v>0</v>
      </c>
      <c r="U10">
        <f>Long_VandM!U10</f>
        <v>0</v>
      </c>
    </row>
    <row r="11" spans="1:21" x14ac:dyDescent="0.25">
      <c r="A11">
        <f>Shear_Wall_Foundation!A139</f>
        <v>4</v>
      </c>
      <c r="B11">
        <f>Shear_Wall_Foundation!B139</f>
        <v>0</v>
      </c>
      <c r="C11">
        <v>0</v>
      </c>
      <c r="D11">
        <f t="shared" si="0"/>
        <v>1.75</v>
      </c>
      <c r="E11">
        <v>0</v>
      </c>
      <c r="F11" t="s">
        <v>182</v>
      </c>
      <c r="G11" t="str">
        <f>Shear_Wall_Foundation!E139</f>
        <v>D</v>
      </c>
      <c r="J11" t="str">
        <f>Long_VandM!J11</f>
        <v>16-3Lr_Wp</v>
      </c>
      <c r="K11">
        <f>Long_VandM!K11</f>
        <v>1.2</v>
      </c>
      <c r="L11">
        <f>Long_VandM!L11</f>
        <v>1.2</v>
      </c>
      <c r="M11">
        <f>Long_VandM!M11</f>
        <v>0</v>
      </c>
      <c r="N11">
        <f>Long_VandM!N11</f>
        <v>1.6</v>
      </c>
      <c r="O11">
        <f>Long_VandM!O11</f>
        <v>1.6</v>
      </c>
      <c r="P11">
        <f>Long_VandM!P11</f>
        <v>0</v>
      </c>
      <c r="Q11">
        <f>Long_VandM!Q11</f>
        <v>0</v>
      </c>
      <c r="R11">
        <f>Long_VandM!R11</f>
        <v>0.5</v>
      </c>
      <c r="S11">
        <f>Long_VandM!S11</f>
        <v>0</v>
      </c>
      <c r="T11">
        <f>Long_VandM!T11</f>
        <v>0</v>
      </c>
      <c r="U11">
        <f>Long_VandM!U11</f>
        <v>0</v>
      </c>
    </row>
    <row r="12" spans="1:21" x14ac:dyDescent="0.25">
      <c r="A12">
        <f>Shear_Wall_Foundation!A140</f>
        <v>5</v>
      </c>
      <c r="B12">
        <f>Shear_Wall_Foundation!B140</f>
        <v>0</v>
      </c>
      <c r="C12">
        <v>0</v>
      </c>
      <c r="D12">
        <f t="shared" si="0"/>
        <v>1.75</v>
      </c>
      <c r="E12">
        <v>0</v>
      </c>
      <c r="F12" t="s">
        <v>182</v>
      </c>
      <c r="G12" t="str">
        <f>Shear_Wall_Foundation!E140</f>
        <v>D</v>
      </c>
      <c r="J12" t="str">
        <f>Long_VandM!J12</f>
        <v>16-3S_Wp</v>
      </c>
      <c r="K12">
        <f>Long_VandM!K12</f>
        <v>1.2</v>
      </c>
      <c r="L12">
        <f>Long_VandM!L12</f>
        <v>1.2</v>
      </c>
      <c r="M12">
        <f>Long_VandM!M12</f>
        <v>0</v>
      </c>
      <c r="N12">
        <f>Long_VandM!N12</f>
        <v>1.6</v>
      </c>
      <c r="O12">
        <f>Long_VandM!O12</f>
        <v>0</v>
      </c>
      <c r="P12">
        <f>Long_VandM!P12</f>
        <v>1.6</v>
      </c>
      <c r="Q12">
        <f>Long_VandM!Q12</f>
        <v>0</v>
      </c>
      <c r="R12">
        <f>Long_VandM!R12</f>
        <v>0.5</v>
      </c>
      <c r="S12">
        <f>Long_VandM!S12</f>
        <v>0</v>
      </c>
      <c r="T12">
        <f>Long_VandM!T12</f>
        <v>0</v>
      </c>
      <c r="U12">
        <f>Long_VandM!U12</f>
        <v>0</v>
      </c>
    </row>
    <row r="13" spans="1:21" x14ac:dyDescent="0.25">
      <c r="A13">
        <f>Shear_Wall_Foundation!A141</f>
        <v>6</v>
      </c>
      <c r="B13">
        <f>Shear_Wall_Foundation!B141</f>
        <v>0</v>
      </c>
      <c r="C13">
        <v>0</v>
      </c>
      <c r="D13">
        <f t="shared" si="0"/>
        <v>1.75</v>
      </c>
      <c r="E13">
        <v>0</v>
      </c>
      <c r="F13" t="s">
        <v>182</v>
      </c>
      <c r="G13" t="str">
        <f>Shear_Wall_Foundation!E141</f>
        <v>D</v>
      </c>
      <c r="J13" t="str">
        <f>Long_VandM!J13</f>
        <v>16-3R_Wp</v>
      </c>
      <c r="K13">
        <f>Long_VandM!K13</f>
        <v>1.2</v>
      </c>
      <c r="L13">
        <f>Long_VandM!L13</f>
        <v>1.2</v>
      </c>
      <c r="M13">
        <f>Long_VandM!M13</f>
        <v>0</v>
      </c>
      <c r="N13">
        <f>Long_VandM!N13</f>
        <v>1.6</v>
      </c>
      <c r="O13">
        <f>Long_VandM!O13</f>
        <v>0</v>
      </c>
      <c r="P13">
        <f>Long_VandM!P13</f>
        <v>0</v>
      </c>
      <c r="Q13">
        <f>Long_VandM!Q13</f>
        <v>1.6</v>
      </c>
      <c r="R13">
        <f>Long_VandM!R13</f>
        <v>0.5</v>
      </c>
      <c r="S13">
        <f>Long_VandM!S13</f>
        <v>0</v>
      </c>
      <c r="T13">
        <f>Long_VandM!T13</f>
        <v>0</v>
      </c>
      <c r="U13">
        <f>Long_VandM!U13</f>
        <v>0</v>
      </c>
    </row>
    <row r="14" spans="1:21" x14ac:dyDescent="0.25">
      <c r="A14">
        <f>Shear_Wall_Foundation!A142</f>
        <v>7</v>
      </c>
      <c r="B14">
        <f>Shear_Wall_Foundation!B142</f>
        <v>0</v>
      </c>
      <c r="C14">
        <v>0</v>
      </c>
      <c r="D14">
        <f t="shared" si="0"/>
        <v>1.75</v>
      </c>
      <c r="E14">
        <v>0</v>
      </c>
      <c r="F14" t="s">
        <v>182</v>
      </c>
      <c r="G14" t="str">
        <f>Shear_Wall_Foundation!E142</f>
        <v>D</v>
      </c>
      <c r="J14" t="str">
        <f>Long_VandM!J14</f>
        <v>16-3Lr_Wn</v>
      </c>
      <c r="K14">
        <f>Long_VandM!K14</f>
        <v>1.2</v>
      </c>
      <c r="L14">
        <f>Long_VandM!L14</f>
        <v>1.2</v>
      </c>
      <c r="M14">
        <f>Long_VandM!M14</f>
        <v>0</v>
      </c>
      <c r="N14">
        <f>Long_VandM!N14</f>
        <v>1.6</v>
      </c>
      <c r="O14">
        <f>Long_VandM!O14</f>
        <v>1.6</v>
      </c>
      <c r="P14">
        <f>Long_VandM!P14</f>
        <v>0</v>
      </c>
      <c r="Q14">
        <f>Long_VandM!Q14</f>
        <v>0</v>
      </c>
      <c r="R14">
        <f>Long_VandM!R14</f>
        <v>0</v>
      </c>
      <c r="S14">
        <f>Long_VandM!S14</f>
        <v>0.5</v>
      </c>
      <c r="T14">
        <f>Long_VandM!T14</f>
        <v>0</v>
      </c>
      <c r="U14">
        <f>Long_VandM!U14</f>
        <v>0</v>
      </c>
    </row>
    <row r="15" spans="1:21" x14ac:dyDescent="0.25">
      <c r="A15">
        <f>Shear_Wall_Foundation!A143</f>
        <v>8</v>
      </c>
      <c r="B15">
        <f>Shear_Wall_Foundation!B143</f>
        <v>0</v>
      </c>
      <c r="C15">
        <v>0</v>
      </c>
      <c r="D15">
        <f t="shared" si="0"/>
        <v>1.75</v>
      </c>
      <c r="E15">
        <v>0</v>
      </c>
      <c r="F15" t="s">
        <v>182</v>
      </c>
      <c r="G15" t="str">
        <f>Shear_Wall_Foundation!E143</f>
        <v>D</v>
      </c>
      <c r="J15" t="str">
        <f>Long_VandM!J15</f>
        <v>16-3S_Wn</v>
      </c>
      <c r="K15">
        <f>Long_VandM!K15</f>
        <v>1.2</v>
      </c>
      <c r="L15">
        <f>Long_VandM!L15</f>
        <v>1.2</v>
      </c>
      <c r="M15">
        <f>Long_VandM!M15</f>
        <v>0</v>
      </c>
      <c r="N15">
        <f>Long_VandM!N15</f>
        <v>1.6</v>
      </c>
      <c r="O15">
        <f>Long_VandM!O15</f>
        <v>0</v>
      </c>
      <c r="P15">
        <f>Long_VandM!P15</f>
        <v>1.6</v>
      </c>
      <c r="Q15">
        <f>Long_VandM!Q15</f>
        <v>0</v>
      </c>
      <c r="R15">
        <f>Long_VandM!R15</f>
        <v>0</v>
      </c>
      <c r="S15">
        <f>Long_VandM!S15</f>
        <v>0.5</v>
      </c>
      <c r="T15">
        <f>Long_VandM!T15</f>
        <v>0</v>
      </c>
      <c r="U15">
        <f>Long_VandM!U15</f>
        <v>0</v>
      </c>
    </row>
    <row r="16" spans="1:21" x14ac:dyDescent="0.25">
      <c r="A16">
        <f>Shear_Wall_Foundation!A144</f>
        <v>9</v>
      </c>
      <c r="B16">
        <f>Shear_Wall_Foundation!B144</f>
        <v>0</v>
      </c>
      <c r="C16">
        <v>0</v>
      </c>
      <c r="D16">
        <f t="shared" si="0"/>
        <v>1.75</v>
      </c>
      <c r="E16">
        <v>0</v>
      </c>
      <c r="F16" t="s">
        <v>182</v>
      </c>
      <c r="G16" t="str">
        <f>Shear_Wall_Foundation!E144</f>
        <v>D</v>
      </c>
      <c r="J16" t="str">
        <f>Long_VandM!J16</f>
        <v>16-3R_Wn</v>
      </c>
      <c r="K16">
        <f>Long_VandM!K16</f>
        <v>1.2</v>
      </c>
      <c r="L16">
        <f>Long_VandM!L16</f>
        <v>1.2</v>
      </c>
      <c r="M16">
        <f>Long_VandM!M16</f>
        <v>0</v>
      </c>
      <c r="N16">
        <f>Long_VandM!N16</f>
        <v>1.6</v>
      </c>
      <c r="O16">
        <f>Long_VandM!O16</f>
        <v>0</v>
      </c>
      <c r="P16">
        <f>Long_VandM!P16</f>
        <v>0</v>
      </c>
      <c r="Q16">
        <f>Long_VandM!Q16</f>
        <v>1.6</v>
      </c>
      <c r="R16">
        <f>Long_VandM!R16</f>
        <v>0</v>
      </c>
      <c r="S16">
        <f>Long_VandM!S16</f>
        <v>0.5</v>
      </c>
      <c r="T16">
        <f>Long_VandM!T16</f>
        <v>0</v>
      </c>
      <c r="U16">
        <f>Long_VandM!U16</f>
        <v>0</v>
      </c>
    </row>
    <row r="17" spans="1:21" x14ac:dyDescent="0.25">
      <c r="A17">
        <f>Shear_Wall_Foundation!A145</f>
        <v>10</v>
      </c>
      <c r="B17">
        <f>Shear_Wall_Foundation!B145</f>
        <v>0</v>
      </c>
      <c r="C17">
        <v>0</v>
      </c>
      <c r="D17">
        <f t="shared" si="0"/>
        <v>1.75</v>
      </c>
      <c r="E17">
        <v>0</v>
      </c>
      <c r="F17" t="s">
        <v>182</v>
      </c>
      <c r="G17" t="str">
        <f>Shear_Wall_Foundation!E145</f>
        <v>D</v>
      </c>
      <c r="J17" t="str">
        <f>Long_VandM!J17</f>
        <v>16-4Wp_Lr</v>
      </c>
      <c r="K17">
        <f>Long_VandM!K17</f>
        <v>1.2</v>
      </c>
      <c r="L17">
        <f>Long_VandM!L17</f>
        <v>1.2</v>
      </c>
      <c r="M17">
        <f>Long_VandM!M17</f>
        <v>0.5</v>
      </c>
      <c r="N17">
        <f>Long_VandM!N17</f>
        <v>1.6</v>
      </c>
      <c r="O17">
        <f>Long_VandM!O17</f>
        <v>0.5</v>
      </c>
      <c r="P17">
        <f>Long_VandM!P17</f>
        <v>0</v>
      </c>
      <c r="Q17">
        <f>Long_VandM!Q17</f>
        <v>0</v>
      </c>
      <c r="R17">
        <f>Long_VandM!R17</f>
        <v>1</v>
      </c>
      <c r="S17">
        <f>Long_VandM!S17</f>
        <v>0</v>
      </c>
      <c r="T17">
        <f>Long_VandM!T17</f>
        <v>0</v>
      </c>
      <c r="U17">
        <f>Long_VandM!U17</f>
        <v>0</v>
      </c>
    </row>
    <row r="18" spans="1:21" x14ac:dyDescent="0.25">
      <c r="A18">
        <f>Shear_Wall_Foundation!A146</f>
        <v>11</v>
      </c>
      <c r="B18">
        <f>Shear_Wall_Foundation!B146</f>
        <v>0</v>
      </c>
      <c r="C18">
        <v>0</v>
      </c>
      <c r="D18">
        <f t="shared" si="0"/>
        <v>1.75</v>
      </c>
      <c r="E18">
        <v>0</v>
      </c>
      <c r="F18" t="s">
        <v>182</v>
      </c>
      <c r="G18" t="str">
        <f>Shear_Wall_Foundation!E146</f>
        <v>D</v>
      </c>
      <c r="J18" t="str">
        <f>Long_VandM!J18</f>
        <v>16-4Wp_S</v>
      </c>
      <c r="K18">
        <f>Long_VandM!K18</f>
        <v>1.2</v>
      </c>
      <c r="L18">
        <f>Long_VandM!L18</f>
        <v>1.2</v>
      </c>
      <c r="M18">
        <f>Long_VandM!M18</f>
        <v>0.5</v>
      </c>
      <c r="N18">
        <f>Long_VandM!N18</f>
        <v>1.6</v>
      </c>
      <c r="O18">
        <f>Long_VandM!O18</f>
        <v>0</v>
      </c>
      <c r="P18">
        <f>Long_VandM!P18</f>
        <v>0.5</v>
      </c>
      <c r="Q18">
        <f>Long_VandM!Q18</f>
        <v>0</v>
      </c>
      <c r="R18">
        <f>Long_VandM!R18</f>
        <v>1</v>
      </c>
      <c r="S18">
        <f>Long_VandM!S18</f>
        <v>0</v>
      </c>
      <c r="T18">
        <f>Long_VandM!T18</f>
        <v>0</v>
      </c>
      <c r="U18">
        <f>Long_VandM!U18</f>
        <v>0</v>
      </c>
    </row>
    <row r="19" spans="1:21" x14ac:dyDescent="0.25">
      <c r="A19">
        <f>Shear_Wall_Foundation!A147</f>
        <v>12</v>
      </c>
      <c r="B19">
        <f>Shear_Wall_Foundation!B147</f>
        <v>0</v>
      </c>
      <c r="C19">
        <v>0</v>
      </c>
      <c r="D19">
        <f t="shared" si="0"/>
        <v>1.75</v>
      </c>
      <c r="E19">
        <v>0</v>
      </c>
      <c r="F19" t="s">
        <v>182</v>
      </c>
      <c r="G19" t="str">
        <f>Shear_Wall_Foundation!E147</f>
        <v>D</v>
      </c>
      <c r="J19" t="str">
        <f>Long_VandM!J19</f>
        <v>16-4Wp_R</v>
      </c>
      <c r="K19">
        <f>Long_VandM!K19</f>
        <v>1.2</v>
      </c>
      <c r="L19">
        <f>Long_VandM!L19</f>
        <v>1.2</v>
      </c>
      <c r="M19">
        <f>Long_VandM!M19</f>
        <v>0.5</v>
      </c>
      <c r="N19">
        <f>Long_VandM!N19</f>
        <v>1.6</v>
      </c>
      <c r="O19">
        <f>Long_VandM!O19</f>
        <v>0</v>
      </c>
      <c r="P19">
        <f>Long_VandM!P19</f>
        <v>0</v>
      </c>
      <c r="Q19">
        <f>Long_VandM!Q19</f>
        <v>0.5</v>
      </c>
      <c r="R19">
        <f>Long_VandM!R19</f>
        <v>1</v>
      </c>
      <c r="S19">
        <f>Long_VandM!S19</f>
        <v>0</v>
      </c>
      <c r="T19">
        <f>Long_VandM!T19</f>
        <v>0</v>
      </c>
      <c r="U19">
        <f>Long_VandM!U19</f>
        <v>0</v>
      </c>
    </row>
    <row r="20" spans="1:21" x14ac:dyDescent="0.25">
      <c r="A20">
        <f>Shear_Wall_Foundation!A148</f>
        <v>13</v>
      </c>
      <c r="B20">
        <f>Shear_Wall_Foundation!B148</f>
        <v>0</v>
      </c>
      <c r="C20">
        <v>0</v>
      </c>
      <c r="D20">
        <f t="shared" si="0"/>
        <v>1.75</v>
      </c>
      <c r="E20">
        <v>0</v>
      </c>
      <c r="F20" t="s">
        <v>182</v>
      </c>
      <c r="G20" t="str">
        <f>Shear_Wall_Foundation!E148</f>
        <v>D</v>
      </c>
      <c r="J20" t="str">
        <f>Long_VandM!J20</f>
        <v>16-4Wn_Lr</v>
      </c>
      <c r="K20">
        <f>Long_VandM!K20</f>
        <v>1.2</v>
      </c>
      <c r="L20">
        <f>Long_VandM!L20</f>
        <v>1.2</v>
      </c>
      <c r="M20">
        <f>Long_VandM!M20</f>
        <v>0.5</v>
      </c>
      <c r="N20">
        <f>Long_VandM!N20</f>
        <v>1.6</v>
      </c>
      <c r="O20">
        <f>Long_VandM!O20</f>
        <v>0.5</v>
      </c>
      <c r="P20">
        <f>Long_VandM!P20</f>
        <v>0</v>
      </c>
      <c r="Q20">
        <f>Long_VandM!Q20</f>
        <v>0</v>
      </c>
      <c r="R20">
        <f>Long_VandM!R20</f>
        <v>0</v>
      </c>
      <c r="S20">
        <f>Long_VandM!S20</f>
        <v>1</v>
      </c>
      <c r="T20">
        <f>Long_VandM!T20</f>
        <v>0</v>
      </c>
      <c r="U20">
        <f>Long_VandM!U20</f>
        <v>0</v>
      </c>
    </row>
    <row r="21" spans="1:21" x14ac:dyDescent="0.25">
      <c r="A21">
        <f>Shear_Wall_Foundation!A149</f>
        <v>14</v>
      </c>
      <c r="B21">
        <f>Shear_Wall_Foundation!B149</f>
        <v>0</v>
      </c>
      <c r="C21">
        <v>0</v>
      </c>
      <c r="D21">
        <f t="shared" si="0"/>
        <v>1.75</v>
      </c>
      <c r="E21">
        <v>0</v>
      </c>
      <c r="F21" t="s">
        <v>182</v>
      </c>
      <c r="G21" t="str">
        <f>Shear_Wall_Foundation!E149</f>
        <v>D</v>
      </c>
      <c r="J21" t="str">
        <f>Long_VandM!J21</f>
        <v>16-4Wn_S</v>
      </c>
      <c r="K21">
        <f>Long_VandM!K21</f>
        <v>1.2</v>
      </c>
      <c r="L21">
        <f>Long_VandM!L21</f>
        <v>1.2</v>
      </c>
      <c r="M21">
        <f>Long_VandM!M21</f>
        <v>0.5</v>
      </c>
      <c r="N21">
        <f>Long_VandM!N21</f>
        <v>1.6</v>
      </c>
      <c r="O21">
        <f>Long_VandM!O21</f>
        <v>0</v>
      </c>
      <c r="P21">
        <f>Long_VandM!P21</f>
        <v>0.5</v>
      </c>
      <c r="Q21">
        <f>Long_VandM!Q21</f>
        <v>0</v>
      </c>
      <c r="R21">
        <f>Long_VandM!R21</f>
        <v>0</v>
      </c>
      <c r="S21">
        <f>Long_VandM!S21</f>
        <v>1</v>
      </c>
      <c r="T21">
        <f>Long_VandM!T21</f>
        <v>0</v>
      </c>
      <c r="U21">
        <f>Long_VandM!U21</f>
        <v>0</v>
      </c>
    </row>
    <row r="22" spans="1:21" x14ac:dyDescent="0.25">
      <c r="A22">
        <f>Shear_Wall_Foundation!A150</f>
        <v>15</v>
      </c>
      <c r="B22">
        <f>Shear_Wall_Foundation!B150</f>
        <v>0</v>
      </c>
      <c r="C22">
        <v>0</v>
      </c>
      <c r="D22">
        <f t="shared" si="0"/>
        <v>1.75</v>
      </c>
      <c r="E22">
        <v>0</v>
      </c>
      <c r="F22" t="s">
        <v>182</v>
      </c>
      <c r="G22" t="str">
        <f>Shear_Wall_Foundation!E150</f>
        <v>D</v>
      </c>
      <c r="J22" t="str">
        <f>Long_VandM!J22</f>
        <v>16-4Wn_R</v>
      </c>
      <c r="K22">
        <f>Long_VandM!K22</f>
        <v>1.2</v>
      </c>
      <c r="L22">
        <f>Long_VandM!L22</f>
        <v>1.2</v>
      </c>
      <c r="M22">
        <f>Long_VandM!M22</f>
        <v>0.5</v>
      </c>
      <c r="N22">
        <f>Long_VandM!N22</f>
        <v>1.6</v>
      </c>
      <c r="O22">
        <f>Long_VandM!O22</f>
        <v>0</v>
      </c>
      <c r="P22">
        <f>Long_VandM!P22</f>
        <v>0</v>
      </c>
      <c r="Q22">
        <f>Long_VandM!Q22</f>
        <v>0.5</v>
      </c>
      <c r="R22">
        <f>Long_VandM!R22</f>
        <v>0</v>
      </c>
      <c r="S22">
        <f>Long_VandM!S22</f>
        <v>1</v>
      </c>
      <c r="T22">
        <f>Long_VandM!T22</f>
        <v>0</v>
      </c>
      <c r="U22">
        <f>Long_VandM!U22</f>
        <v>0</v>
      </c>
    </row>
    <row r="23" spans="1:21" x14ac:dyDescent="0.25">
      <c r="A23">
        <f>Shear_Wall_Foundation!A151</f>
        <v>16</v>
      </c>
      <c r="B23">
        <f>Shear_Wall_Foundation!B151</f>
        <v>0</v>
      </c>
      <c r="C23">
        <v>0</v>
      </c>
      <c r="D23">
        <f t="shared" si="0"/>
        <v>1.75</v>
      </c>
      <c r="E23">
        <v>0</v>
      </c>
      <c r="F23" t="s">
        <v>182</v>
      </c>
      <c r="G23" t="str">
        <f>Shear_Wall_Foundation!E151</f>
        <v>D</v>
      </c>
      <c r="J23" t="str">
        <f>Long_VandM!J23</f>
        <v>16-5Ep</v>
      </c>
      <c r="K23">
        <f>Long_VandM!K23</f>
        <v>1.2</v>
      </c>
      <c r="L23">
        <f>Long_VandM!L23</f>
        <v>1.2</v>
      </c>
      <c r="M23">
        <f>Long_VandM!M23</f>
        <v>0.5</v>
      </c>
      <c r="N23">
        <f>Long_VandM!N23</f>
        <v>1.6</v>
      </c>
      <c r="O23">
        <f>Long_VandM!O23</f>
        <v>0</v>
      </c>
      <c r="P23">
        <f>Long_VandM!P23</f>
        <v>0.7</v>
      </c>
      <c r="Q23">
        <f>Long_VandM!Q23</f>
        <v>0</v>
      </c>
      <c r="R23">
        <f>Long_VandM!R23</f>
        <v>0</v>
      </c>
      <c r="S23">
        <f>Long_VandM!S23</f>
        <v>0</v>
      </c>
      <c r="T23">
        <f>Long_VandM!T23</f>
        <v>1</v>
      </c>
      <c r="U23">
        <f>Long_VandM!U23</f>
        <v>0</v>
      </c>
    </row>
    <row r="24" spans="1:21" x14ac:dyDescent="0.25">
      <c r="A24">
        <f>Shear_Wall_Foundation!A152</f>
        <v>17</v>
      </c>
      <c r="B24">
        <f>Shear_Wall_Foundation!B152</f>
        <v>0</v>
      </c>
      <c r="C24">
        <v>0</v>
      </c>
      <c r="D24">
        <f t="shared" si="0"/>
        <v>1.75</v>
      </c>
      <c r="E24">
        <v>0</v>
      </c>
      <c r="F24" t="s">
        <v>182</v>
      </c>
      <c r="G24" t="str">
        <f>Shear_Wall_Foundation!E152</f>
        <v>D</v>
      </c>
      <c r="J24" t="str">
        <f>Long_VandM!J24</f>
        <v>16-5En</v>
      </c>
      <c r="K24">
        <f>Long_VandM!K24</f>
        <v>1.2</v>
      </c>
      <c r="L24">
        <f>Long_VandM!L24</f>
        <v>1.2</v>
      </c>
      <c r="M24">
        <f>Long_VandM!M24</f>
        <v>0.5</v>
      </c>
      <c r="N24">
        <f>Long_VandM!N24</f>
        <v>1.6</v>
      </c>
      <c r="O24">
        <f>Long_VandM!O24</f>
        <v>0</v>
      </c>
      <c r="P24">
        <f>Long_VandM!P24</f>
        <v>0.7</v>
      </c>
      <c r="Q24">
        <f>Long_VandM!Q24</f>
        <v>0</v>
      </c>
      <c r="R24">
        <f>Long_VandM!R24</f>
        <v>0</v>
      </c>
      <c r="S24">
        <f>Long_VandM!S24</f>
        <v>0</v>
      </c>
      <c r="T24">
        <f>Long_VandM!T24</f>
        <v>0</v>
      </c>
      <c r="U24">
        <f>Long_VandM!U24</f>
        <v>1</v>
      </c>
    </row>
    <row r="25" spans="1:21" x14ac:dyDescent="0.25">
      <c r="A25">
        <f>Shear_Wall_Foundation!A153</f>
        <v>18</v>
      </c>
      <c r="B25">
        <f>Shear_Wall_Foundation!B153</f>
        <v>0</v>
      </c>
      <c r="C25">
        <v>0</v>
      </c>
      <c r="D25">
        <f t="shared" si="0"/>
        <v>1.75</v>
      </c>
      <c r="E25">
        <v>0</v>
      </c>
      <c r="F25" t="s">
        <v>182</v>
      </c>
      <c r="G25" t="str">
        <f>Shear_Wall_Foundation!E153</f>
        <v>D</v>
      </c>
      <c r="J25" t="str">
        <f>Long_VandM!J25</f>
        <v>16-6Wp</v>
      </c>
      <c r="K25">
        <f>Long_VandM!K25</f>
        <v>0.9</v>
      </c>
      <c r="L25">
        <f>Long_VandM!L25</f>
        <v>0</v>
      </c>
      <c r="M25">
        <f>Long_VandM!M25</f>
        <v>0</v>
      </c>
      <c r="N25">
        <f>Long_VandM!N25</f>
        <v>0.9</v>
      </c>
      <c r="O25">
        <f>Long_VandM!O25</f>
        <v>0</v>
      </c>
      <c r="P25">
        <f>Long_VandM!P25</f>
        <v>0</v>
      </c>
      <c r="Q25">
        <f>Long_VandM!Q25</f>
        <v>0</v>
      </c>
      <c r="R25">
        <f>Long_VandM!R25</f>
        <v>1</v>
      </c>
      <c r="S25">
        <f>Long_VandM!S25</f>
        <v>0</v>
      </c>
      <c r="T25">
        <f>Long_VandM!T25</f>
        <v>0</v>
      </c>
      <c r="U25">
        <f>Long_VandM!U25</f>
        <v>0</v>
      </c>
    </row>
    <row r="26" spans="1:21" x14ac:dyDescent="0.25">
      <c r="A26">
        <f>Shear_Wall_Foundation!A154</f>
        <v>19</v>
      </c>
      <c r="B26">
        <f>Shear_Wall_Foundation!B154</f>
        <v>0</v>
      </c>
      <c r="C26">
        <v>0</v>
      </c>
      <c r="D26">
        <f t="shared" si="0"/>
        <v>1.75</v>
      </c>
      <c r="E26">
        <v>0</v>
      </c>
      <c r="F26" t="s">
        <v>182</v>
      </c>
      <c r="G26" t="str">
        <f>Shear_Wall_Foundation!E154</f>
        <v>D</v>
      </c>
      <c r="J26" t="str">
        <f>Long_VandM!J26</f>
        <v>16-6Wn</v>
      </c>
      <c r="K26">
        <f>Long_VandM!K26</f>
        <v>0.9</v>
      </c>
      <c r="L26">
        <f>Long_VandM!L26</f>
        <v>0</v>
      </c>
      <c r="M26">
        <f>Long_VandM!M26</f>
        <v>0</v>
      </c>
      <c r="N26">
        <f>Long_VandM!N26</f>
        <v>0.9</v>
      </c>
      <c r="O26">
        <f>Long_VandM!O26</f>
        <v>0</v>
      </c>
      <c r="P26">
        <f>Long_VandM!P26</f>
        <v>0</v>
      </c>
      <c r="Q26">
        <f>Long_VandM!Q26</f>
        <v>0</v>
      </c>
      <c r="R26">
        <f>Long_VandM!R26</f>
        <v>0</v>
      </c>
      <c r="S26">
        <f>Long_VandM!S26</f>
        <v>1</v>
      </c>
      <c r="T26">
        <f>Long_VandM!T26</f>
        <v>0</v>
      </c>
      <c r="U26">
        <f>Long_VandM!U26</f>
        <v>0</v>
      </c>
    </row>
    <row r="27" spans="1:21" x14ac:dyDescent="0.25">
      <c r="A27">
        <f>Shear_Wall_Foundation!A155</f>
        <v>20</v>
      </c>
      <c r="B27">
        <f>Shear_Wall_Foundation!B155</f>
        <v>0</v>
      </c>
      <c r="C27">
        <v>0</v>
      </c>
      <c r="D27">
        <f t="shared" si="0"/>
        <v>1.75</v>
      </c>
      <c r="E27">
        <v>0</v>
      </c>
      <c r="F27" t="s">
        <v>182</v>
      </c>
      <c r="G27" t="str">
        <f>Shear_Wall_Foundation!E155</f>
        <v>D</v>
      </c>
      <c r="J27" t="str">
        <f>Long_VandM!J27</f>
        <v>16-7Ep</v>
      </c>
      <c r="K27">
        <f>Long_VandM!K27</f>
        <v>0.9</v>
      </c>
      <c r="L27">
        <f>Long_VandM!L27</f>
        <v>0.9</v>
      </c>
      <c r="M27">
        <f>Long_VandM!M27</f>
        <v>0</v>
      </c>
      <c r="N27">
        <f>Long_VandM!N27</f>
        <v>0.9</v>
      </c>
      <c r="O27">
        <f>Long_VandM!O27</f>
        <v>0</v>
      </c>
      <c r="P27">
        <f>Long_VandM!P27</f>
        <v>0</v>
      </c>
      <c r="Q27">
        <f>Long_VandM!Q27</f>
        <v>0</v>
      </c>
      <c r="R27">
        <f>Long_VandM!R27</f>
        <v>0</v>
      </c>
      <c r="S27">
        <f>Long_VandM!S27</f>
        <v>0</v>
      </c>
      <c r="T27">
        <f>Long_VandM!T27</f>
        <v>1</v>
      </c>
      <c r="U27">
        <f>Long_VandM!U27</f>
        <v>0</v>
      </c>
    </row>
    <row r="28" spans="1:21" x14ac:dyDescent="0.25">
      <c r="A28">
        <f>Shear_Wall_Foundation!A156</f>
        <v>21</v>
      </c>
      <c r="B28">
        <f>Shear_Wall_Foundation!B156</f>
        <v>0</v>
      </c>
      <c r="C28">
        <v>0</v>
      </c>
      <c r="D28">
        <f t="shared" si="0"/>
        <v>1.75</v>
      </c>
      <c r="E28">
        <v>0</v>
      </c>
      <c r="F28" t="s">
        <v>182</v>
      </c>
      <c r="G28" t="str">
        <f>Shear_Wall_Foundation!E156</f>
        <v>D</v>
      </c>
      <c r="J28" t="str">
        <f>Long_VandM!J28</f>
        <v>16-7En</v>
      </c>
      <c r="K28">
        <f>Long_VandM!K28</f>
        <v>0.9</v>
      </c>
      <c r="L28">
        <f>Long_VandM!L28</f>
        <v>0.9</v>
      </c>
      <c r="M28">
        <f>Long_VandM!M28</f>
        <v>0</v>
      </c>
      <c r="N28">
        <f>Long_VandM!N28</f>
        <v>0.9</v>
      </c>
      <c r="O28">
        <f>Long_VandM!O28</f>
        <v>0</v>
      </c>
      <c r="P28">
        <f>Long_VandM!P28</f>
        <v>0</v>
      </c>
      <c r="Q28">
        <f>Long_VandM!Q28</f>
        <v>0</v>
      </c>
      <c r="R28">
        <f>Long_VandM!R28</f>
        <v>0</v>
      </c>
      <c r="S28">
        <f>Long_VandM!S28</f>
        <v>0</v>
      </c>
      <c r="T28">
        <f>Long_VandM!T28</f>
        <v>0</v>
      </c>
      <c r="U28">
        <f>Long_VandM!U28</f>
        <v>1</v>
      </c>
    </row>
    <row r="29" spans="1:21" x14ac:dyDescent="0.25">
      <c r="A29">
        <f>Shear_Wall_Foundation!A157</f>
        <v>22</v>
      </c>
      <c r="B29">
        <f>Shear_Wall_Foundation!B157</f>
        <v>0</v>
      </c>
      <c r="C29">
        <v>0</v>
      </c>
      <c r="D29">
        <f t="shared" si="0"/>
        <v>1.75</v>
      </c>
      <c r="E29">
        <v>0</v>
      </c>
      <c r="F29" t="s">
        <v>182</v>
      </c>
      <c r="G29" t="str">
        <f>Shear_Wall_Foundation!E157</f>
        <v>D</v>
      </c>
    </row>
    <row r="30" spans="1:21" x14ac:dyDescent="0.25">
      <c r="A30">
        <f>Shear_Wall_Foundation!A158</f>
        <v>23</v>
      </c>
      <c r="B30">
        <f>Shear_Wall_Foundation!B158</f>
        <v>0</v>
      </c>
      <c r="C30">
        <v>0</v>
      </c>
      <c r="D30">
        <f t="shared" si="0"/>
        <v>1.75</v>
      </c>
      <c r="E30">
        <v>0</v>
      </c>
      <c r="F30" t="s">
        <v>182</v>
      </c>
      <c r="G30" t="str">
        <f>Shear_Wall_Foundation!E158</f>
        <v>D</v>
      </c>
    </row>
    <row r="31" spans="1:21" x14ac:dyDescent="0.25">
      <c r="A31">
        <f>Shear_Wall_Foundation!A159</f>
        <v>24</v>
      </c>
      <c r="B31">
        <f>Shear_Wall_Foundation!B159</f>
        <v>0</v>
      </c>
      <c r="C31">
        <v>0</v>
      </c>
      <c r="D31">
        <f t="shared" si="0"/>
        <v>1.75</v>
      </c>
      <c r="E31">
        <v>0</v>
      </c>
      <c r="F31" t="s">
        <v>182</v>
      </c>
      <c r="G31" t="str">
        <f>Shear_Wall_Foundation!E159</f>
        <v>D</v>
      </c>
    </row>
    <row r="32" spans="1:21" x14ac:dyDescent="0.25">
      <c r="A32">
        <f>Shear_Wall_Foundation!A160</f>
        <v>25</v>
      </c>
      <c r="B32">
        <f>Shear_Wall_Foundation!B160</f>
        <v>0</v>
      </c>
      <c r="C32">
        <v>0</v>
      </c>
      <c r="D32">
        <f t="shared" si="0"/>
        <v>1.75</v>
      </c>
      <c r="E32">
        <v>0</v>
      </c>
      <c r="F32" t="s">
        <v>182</v>
      </c>
      <c r="G32" t="str">
        <f>Shear_Wall_Foundation!E160</f>
        <v>D</v>
      </c>
    </row>
    <row r="33" spans="1:91" x14ac:dyDescent="0.25">
      <c r="A33">
        <f>Shear_Wall_Foundation!A161</f>
        <v>26</v>
      </c>
      <c r="B33">
        <f>Shear_Wall_Foundation!B161</f>
        <v>0</v>
      </c>
      <c r="C33">
        <v>0</v>
      </c>
      <c r="D33">
        <f t="shared" si="0"/>
        <v>1.75</v>
      </c>
      <c r="E33">
        <v>0</v>
      </c>
      <c r="F33" t="s">
        <v>182</v>
      </c>
      <c r="G33" t="str">
        <f>Shear_Wall_Foundation!E161</f>
        <v>D</v>
      </c>
      <c r="K33" t="s">
        <v>301</v>
      </c>
      <c r="L33">
        <f>D5/15</f>
        <v>8.8888888888888878E-2</v>
      </c>
      <c r="CJ33" t="s">
        <v>305</v>
      </c>
      <c r="CK33" t="s">
        <v>306</v>
      </c>
      <c r="CL33" t="s">
        <v>307</v>
      </c>
      <c r="CM33" t="s">
        <v>308</v>
      </c>
    </row>
    <row r="34" spans="1:91" x14ac:dyDescent="0.25">
      <c r="A34">
        <f>Shear_Wall_Foundation!A162</f>
        <v>27</v>
      </c>
      <c r="B34">
        <f>Shear_Wall_Foundation!B162</f>
        <v>0</v>
      </c>
      <c r="C34">
        <v>0</v>
      </c>
      <c r="D34">
        <f t="shared" si="0"/>
        <v>1.75</v>
      </c>
      <c r="E34">
        <v>0</v>
      </c>
      <c r="F34" t="s">
        <v>182</v>
      </c>
      <c r="G34" t="str">
        <f>Shear_Wall_Foundation!E162</f>
        <v>D</v>
      </c>
      <c r="L34">
        <v>0</v>
      </c>
      <c r="M34" cm="1">
        <f t="array" ref="M34:CI34">LRFD_Analysis(Lf_ft,L34,$B$4:$G$72,$J$4:$U$28)</f>
        <v>-1.4210854715202004E-14</v>
      </c>
      <c r="N34">
        <v>0</v>
      </c>
      <c r="O34">
        <v>0</v>
      </c>
      <c r="P34">
        <v>0</v>
      </c>
      <c r="Q34">
        <v>0</v>
      </c>
      <c r="R34">
        <v>0</v>
      </c>
      <c r="S34">
        <v>-2.8421709430404007E-14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-1.4210854715202004E-14</v>
      </c>
      <c r="AI34">
        <v>0</v>
      </c>
      <c r="AJ34">
        <v>0</v>
      </c>
      <c r="AK34">
        <v>1.4210854715202004E-14</v>
      </c>
      <c r="AL34">
        <v>0</v>
      </c>
      <c r="AM34">
        <v>0</v>
      </c>
      <c r="AN34">
        <v>-1.4210854715202004E-14</v>
      </c>
      <c r="AO34">
        <v>0</v>
      </c>
      <c r="AP34">
        <v>0</v>
      </c>
      <c r="AQ34">
        <v>-1.4210854715202004E-14</v>
      </c>
      <c r="AR34">
        <v>0</v>
      </c>
      <c r="AS34">
        <v>0</v>
      </c>
      <c r="AT34">
        <v>1.4210854715202004E-14</v>
      </c>
      <c r="AU34">
        <v>0</v>
      </c>
      <c r="AV34">
        <v>0</v>
      </c>
      <c r="AW34">
        <v>-1.4210854715202004E-14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-1.4210854715202004E-14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-2.8421709430404007E-14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-2.8421709430404007E-14</v>
      </c>
      <c r="BP34">
        <v>0</v>
      </c>
      <c r="BQ34">
        <v>0</v>
      </c>
      <c r="BR34">
        <v>-1.4210854715202004E-14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1.4210854715202004E-14</v>
      </c>
      <c r="CB34">
        <v>0</v>
      </c>
      <c r="CC34">
        <v>0</v>
      </c>
      <c r="CD34">
        <v>1.4210854715202004E-14</v>
      </c>
      <c r="CE34">
        <v>0</v>
      </c>
      <c r="CF34">
        <v>0</v>
      </c>
      <c r="CG34">
        <v>0</v>
      </c>
      <c r="CH34">
        <v>0</v>
      </c>
      <c r="CI34">
        <v>0</v>
      </c>
      <c r="CJ34">
        <f>MAX(CH34,CE34,CB34,BY34,BV34,BS34,BP34,BM34,BJ34,BG34,BD34,BA34,AX34,AU34,AR34,AO34,AL34,AI34,AF34,AC34,Z34,W34,T34,Q34,N34)</f>
        <v>0</v>
      </c>
      <c r="CK34">
        <f>MIN(CH34,CE34,CB34,BY34,BV34,BS34,BP34,BM34,BJ34,BG34,BD34,BA34,AX34,AU34,AR34,AO34,AL34,AI34,AF34,AC34,Z34,W34,T34,Q34,N34)</f>
        <v>0</v>
      </c>
      <c r="CL34">
        <f>MAX(CI34,CF34,CC34,BZ34,BW34,BT34,BQ34,BN34,BK34,BH34,BE34,BB34,AY34,AV34,AS34,AP34,AM34,AJ34,AG34,AD34,AA34,X34,U34,R34,O34)</f>
        <v>0</v>
      </c>
      <c r="CM34">
        <f>MIN(CI34,CF34,CC34,BZ34,BW34,BT34,BQ34,BN34,BK34,BH34,BE34,BB34,AY34,AV34,AS34,AP34,AM34,AJ34,AG34,AD34,AA34,X34,U34,R34,O34)</f>
        <v>0</v>
      </c>
    </row>
    <row r="35" spans="1:91" x14ac:dyDescent="0.25">
      <c r="A35">
        <f>Shear_Wall_Foundation!A163</f>
        <v>28</v>
      </c>
      <c r="B35">
        <f>Shear_Wall_Foundation!B163</f>
        <v>0</v>
      </c>
      <c r="C35">
        <v>0</v>
      </c>
      <c r="D35">
        <f t="shared" si="0"/>
        <v>1.75</v>
      </c>
      <c r="E35">
        <v>0</v>
      </c>
      <c r="F35" t="s">
        <v>182</v>
      </c>
      <c r="G35" t="str">
        <f>Shear_Wall_Foundation!E163</f>
        <v>D</v>
      </c>
      <c r="L35">
        <f>L34+$L$33</f>
        <v>8.8888888888888878E-2</v>
      </c>
      <c r="M35" cm="1">
        <f t="array" ref="M35:CI35">LRFD_Analysis(Lf_ft,L35,$B$4:$G$72,$J$4:$U$28)</f>
        <v>-1.4210854715202004E-14</v>
      </c>
      <c r="N35">
        <v>-1.2681481481481476</v>
      </c>
      <c r="O35">
        <v>5.6362139917695439E-2</v>
      </c>
      <c r="P35">
        <v>0</v>
      </c>
      <c r="Q35">
        <v>-2.5803174603174597</v>
      </c>
      <c r="R35">
        <v>0.11468077601410931</v>
      </c>
      <c r="S35">
        <v>-2.8421709430404007E-14</v>
      </c>
      <c r="T35">
        <v>-2.694603174603174</v>
      </c>
      <c r="U35">
        <v>0.11976014109347435</v>
      </c>
      <c r="V35">
        <v>0</v>
      </c>
      <c r="W35">
        <v>-2.5803174603174597</v>
      </c>
      <c r="X35">
        <v>0.11468077601410931</v>
      </c>
      <c r="Y35">
        <v>0</v>
      </c>
      <c r="Z35">
        <v>-1.5536507936507933</v>
      </c>
      <c r="AA35">
        <v>6.9051146384479706E-2</v>
      </c>
      <c r="AB35">
        <v>0</v>
      </c>
      <c r="AC35">
        <v>-1.9193650793650789</v>
      </c>
      <c r="AD35">
        <v>8.5305114638447949E-2</v>
      </c>
      <c r="AE35">
        <v>0</v>
      </c>
      <c r="AF35">
        <v>-1.5536507936507933</v>
      </c>
      <c r="AG35">
        <v>6.9051146384479706E-2</v>
      </c>
      <c r="AH35">
        <v>-1.4210854715202004E-14</v>
      </c>
      <c r="AI35">
        <v>-1.0869841269841269</v>
      </c>
      <c r="AJ35">
        <v>4.8310405643738973E-2</v>
      </c>
      <c r="AK35">
        <v>1.4210854715202004E-14</v>
      </c>
      <c r="AL35">
        <v>-1.4526984126984122</v>
      </c>
      <c r="AM35">
        <v>6.4564373897707167E-2</v>
      </c>
      <c r="AN35">
        <v>-1.4210854715202004E-14</v>
      </c>
      <c r="AO35">
        <v>-1.0869841269841269</v>
      </c>
      <c r="AP35">
        <v>4.8310405643738973E-2</v>
      </c>
      <c r="AQ35">
        <v>-1.4210854715202004E-14</v>
      </c>
      <c r="AR35">
        <v>-1.0869841269841269</v>
      </c>
      <c r="AS35">
        <v>4.8310405643738973E-2</v>
      </c>
      <c r="AT35">
        <v>1.4210854715202004E-14</v>
      </c>
      <c r="AU35">
        <v>-1.4526984126984122</v>
      </c>
      <c r="AV35">
        <v>6.4564373897707167E-2</v>
      </c>
      <c r="AW35">
        <v>-1.4210854715202004E-14</v>
      </c>
      <c r="AX35">
        <v>-1.0869841269841269</v>
      </c>
      <c r="AY35">
        <v>4.8310405643738973E-2</v>
      </c>
      <c r="AZ35">
        <v>0</v>
      </c>
      <c r="BA35">
        <v>-1.5536507936507933</v>
      </c>
      <c r="BB35">
        <v>6.9051146384479706E-2</v>
      </c>
      <c r="BC35">
        <v>-1.4210854715202004E-14</v>
      </c>
      <c r="BD35">
        <v>-1.6679365079365081</v>
      </c>
      <c r="BE35">
        <v>7.4130511463844806E-2</v>
      </c>
      <c r="BF35">
        <v>0</v>
      </c>
      <c r="BG35">
        <v>-1.5536507936507933</v>
      </c>
      <c r="BH35">
        <v>6.9051146384479706E-2</v>
      </c>
      <c r="BI35">
        <v>-2.8421709430404007E-14</v>
      </c>
      <c r="BJ35">
        <v>-1.5536507936507942</v>
      </c>
      <c r="BK35">
        <v>6.9051146384479734E-2</v>
      </c>
      <c r="BL35">
        <v>0</v>
      </c>
      <c r="BM35">
        <v>-1.6679365079365076</v>
      </c>
      <c r="BN35">
        <v>7.4130511463844778E-2</v>
      </c>
      <c r="BO35">
        <v>-2.8421709430404007E-14</v>
      </c>
      <c r="BP35">
        <v>-1.5536507936507942</v>
      </c>
      <c r="BQ35">
        <v>6.9051146384479734E-2</v>
      </c>
      <c r="BR35">
        <v>-1.4210854715202004E-14</v>
      </c>
      <c r="BS35">
        <v>-1.7136507936507939</v>
      </c>
      <c r="BT35">
        <v>7.6162257495590829E-2</v>
      </c>
      <c r="BU35">
        <v>0</v>
      </c>
      <c r="BV35">
        <v>-1.713650793650793</v>
      </c>
      <c r="BW35">
        <v>7.6162257495590802E-2</v>
      </c>
      <c r="BX35">
        <v>0</v>
      </c>
      <c r="BY35">
        <v>-0.81523809523809532</v>
      </c>
      <c r="BZ35">
        <v>3.6232804232804221E-2</v>
      </c>
      <c r="CA35">
        <v>1.4210854715202004E-14</v>
      </c>
      <c r="CB35">
        <v>-0.81523809523809487</v>
      </c>
      <c r="CC35">
        <v>3.6232804232804207E-2</v>
      </c>
      <c r="CD35">
        <v>1.4210854715202004E-14</v>
      </c>
      <c r="CE35">
        <v>-0.81523809523809487</v>
      </c>
      <c r="CF35">
        <v>3.6232804232804207E-2</v>
      </c>
      <c r="CG35">
        <v>0</v>
      </c>
      <c r="CH35">
        <v>-0.81523809523809532</v>
      </c>
      <c r="CI35">
        <v>3.6232804232804221E-2</v>
      </c>
      <c r="CJ35">
        <f t="shared" ref="CJ35:CJ80" si="1">MAX(CH35,CE35,CB35,BY35,BV35,BS35,BP35,BM35,BJ35,BG35,BD35,BA35,AX35,AU35,AR35,AO35,AL35,AI35,AF35,AC35,Z35,W35,T35,Q35,N35)</f>
        <v>-0.81523809523809487</v>
      </c>
      <c r="CK35">
        <f t="shared" ref="CK35:CK80" si="2">MIN(CH35,CE35,CB35,BY35,BV35,BS35,BP35,BM35,BJ35,BG35,BD35,BA35,AX35,AU35,AR35,AO35,AL35,AI35,AF35,AC35,Z35,W35,T35,Q35,N35)</f>
        <v>-2.694603174603174</v>
      </c>
      <c r="CL35">
        <f t="shared" ref="CL35:CL80" si="3">MAX(CI35,CF35,CC35,BZ35,BW35,BT35,BQ35,BN35,BK35,BH35,BE35,BB35,AY35,AV35,AS35,AP35,AM35,AJ35,AG35,AD35,AA35,X35,U35,R35,O35)</f>
        <v>0.11976014109347435</v>
      </c>
      <c r="CM35">
        <f t="shared" ref="CM35:CM80" si="4">MIN(CI35,CF35,CC35,BZ35,BW35,BT35,BQ35,BN35,BK35,BH35,BE35,BB35,AY35,AV35,AS35,AP35,AM35,AJ35,AG35,AD35,AA35,X35,U35,R35,O35)</f>
        <v>3.6232804232804207E-2</v>
      </c>
    </row>
    <row r="36" spans="1:91" x14ac:dyDescent="0.25">
      <c r="A36">
        <f>Shear_Wall_Foundation!A164</f>
        <v>29</v>
      </c>
      <c r="B36">
        <f>Shear_Wall_Foundation!B164</f>
        <v>0</v>
      </c>
      <c r="C36">
        <v>0</v>
      </c>
      <c r="D36">
        <f t="shared" si="0"/>
        <v>1.75</v>
      </c>
      <c r="E36">
        <v>0</v>
      </c>
      <c r="F36" t="s">
        <v>182</v>
      </c>
      <c r="G36" t="str">
        <f>Shear_Wall_Foundation!E164</f>
        <v>D</v>
      </c>
      <c r="L36">
        <f t="shared" ref="L36:L48" si="5">L35+$L$33</f>
        <v>0.17777777777777776</v>
      </c>
      <c r="M36" cm="1">
        <f t="array" ref="M36:CI36">LRFD_Analysis(Lf_ft,L36,$B$4:$G$72,$J$4:$U$28)</f>
        <v>-1.4210854715202004E-14</v>
      </c>
      <c r="N36">
        <v>-2.5362962962962952</v>
      </c>
      <c r="O36">
        <v>0.22544855967078176</v>
      </c>
      <c r="P36">
        <v>0</v>
      </c>
      <c r="Q36">
        <v>-5.1606349206349194</v>
      </c>
      <c r="R36">
        <v>0.45872310405643724</v>
      </c>
      <c r="S36">
        <v>-2.8421709430404007E-14</v>
      </c>
      <c r="T36">
        <v>-5.389206349206348</v>
      </c>
      <c r="U36">
        <v>0.47904056437389742</v>
      </c>
      <c r="V36">
        <v>0</v>
      </c>
      <c r="W36">
        <v>-5.1606349206349194</v>
      </c>
      <c r="X36">
        <v>0.45872310405643724</v>
      </c>
      <c r="Y36">
        <v>0</v>
      </c>
      <c r="Z36">
        <v>-3.1073015873015866</v>
      </c>
      <c r="AA36">
        <v>0.27620458553791882</v>
      </c>
      <c r="AB36">
        <v>0</v>
      </c>
      <c r="AC36">
        <v>-3.8387301587301579</v>
      </c>
      <c r="AD36">
        <v>0.34122045855379179</v>
      </c>
      <c r="AE36">
        <v>0</v>
      </c>
      <c r="AF36">
        <v>-3.1073015873015866</v>
      </c>
      <c r="AG36">
        <v>0.27620458553791882</v>
      </c>
      <c r="AH36">
        <v>-1.4210854715202004E-14</v>
      </c>
      <c r="AI36">
        <v>-2.1739682539682539</v>
      </c>
      <c r="AJ36">
        <v>0.19324162257495589</v>
      </c>
      <c r="AK36">
        <v>1.4210854715202004E-14</v>
      </c>
      <c r="AL36">
        <v>-2.9053968253968243</v>
      </c>
      <c r="AM36">
        <v>0.25825749559082867</v>
      </c>
      <c r="AN36">
        <v>-1.4210854715202004E-14</v>
      </c>
      <c r="AO36">
        <v>-2.1739682539682539</v>
      </c>
      <c r="AP36">
        <v>0.19324162257495589</v>
      </c>
      <c r="AQ36">
        <v>-1.4210854715202004E-14</v>
      </c>
      <c r="AR36">
        <v>-2.1739682539682539</v>
      </c>
      <c r="AS36">
        <v>0.19324162257495589</v>
      </c>
      <c r="AT36">
        <v>1.4210854715202004E-14</v>
      </c>
      <c r="AU36">
        <v>-2.9053968253968243</v>
      </c>
      <c r="AV36">
        <v>0.25825749559082867</v>
      </c>
      <c r="AW36">
        <v>-1.4210854715202004E-14</v>
      </c>
      <c r="AX36">
        <v>-2.1739682539682539</v>
      </c>
      <c r="AY36">
        <v>0.19324162257495589</v>
      </c>
      <c r="AZ36">
        <v>0</v>
      </c>
      <c r="BA36">
        <v>-3.1073015873015866</v>
      </c>
      <c r="BB36">
        <v>0.27620458553791882</v>
      </c>
      <c r="BC36">
        <v>-1.4210854715202004E-14</v>
      </c>
      <c r="BD36">
        <v>-3.3358730158730161</v>
      </c>
      <c r="BE36">
        <v>0.29652204585537922</v>
      </c>
      <c r="BF36">
        <v>0</v>
      </c>
      <c r="BG36">
        <v>-3.1073015873015866</v>
      </c>
      <c r="BH36">
        <v>0.27620458553791882</v>
      </c>
      <c r="BI36">
        <v>-2.8421709430404007E-14</v>
      </c>
      <c r="BJ36">
        <v>-3.1073015873015883</v>
      </c>
      <c r="BK36">
        <v>0.27620458553791893</v>
      </c>
      <c r="BL36">
        <v>0</v>
      </c>
      <c r="BM36">
        <v>-3.3358730158730152</v>
      </c>
      <c r="BN36">
        <v>0.29652204585537911</v>
      </c>
      <c r="BO36">
        <v>-2.8421709430404007E-14</v>
      </c>
      <c r="BP36">
        <v>-3.1073015873015883</v>
      </c>
      <c r="BQ36">
        <v>0.27620458553791893</v>
      </c>
      <c r="BR36">
        <v>-1.4210854715202004E-14</v>
      </c>
      <c r="BS36">
        <v>-3.4273015873015877</v>
      </c>
      <c r="BT36">
        <v>0.30464902998236332</v>
      </c>
      <c r="BU36">
        <v>0</v>
      </c>
      <c r="BV36">
        <v>-3.427301587301586</v>
      </c>
      <c r="BW36">
        <v>0.30464902998236321</v>
      </c>
      <c r="BX36">
        <v>0</v>
      </c>
      <c r="BY36">
        <v>-1.6304761904761906</v>
      </c>
      <c r="BZ36">
        <v>0.14493121693121688</v>
      </c>
      <c r="CA36">
        <v>1.4210854715202004E-14</v>
      </c>
      <c r="CB36">
        <v>-1.6304761904761897</v>
      </c>
      <c r="CC36">
        <v>0.14493121693121683</v>
      </c>
      <c r="CD36">
        <v>1.4210854715202004E-14</v>
      </c>
      <c r="CE36">
        <v>-1.6304761904761897</v>
      </c>
      <c r="CF36">
        <v>0.14493121693121683</v>
      </c>
      <c r="CG36">
        <v>0</v>
      </c>
      <c r="CH36">
        <v>-1.6304761904761906</v>
      </c>
      <c r="CI36">
        <v>0.14493121693121688</v>
      </c>
      <c r="CJ36">
        <f t="shared" si="1"/>
        <v>-1.6304761904761897</v>
      </c>
      <c r="CK36">
        <f t="shared" si="2"/>
        <v>-5.389206349206348</v>
      </c>
      <c r="CL36">
        <f t="shared" si="3"/>
        <v>0.47904056437389742</v>
      </c>
      <c r="CM36">
        <f t="shared" si="4"/>
        <v>0.14493121693121683</v>
      </c>
    </row>
    <row r="37" spans="1:91" x14ac:dyDescent="0.25">
      <c r="A37">
        <f>Shear_Wall_Foundation!A165</f>
        <v>30</v>
      </c>
      <c r="B37">
        <f>Shear_Wall_Foundation!B165</f>
        <v>0</v>
      </c>
      <c r="C37">
        <v>0</v>
      </c>
      <c r="D37">
        <f t="shared" si="0"/>
        <v>1.75</v>
      </c>
      <c r="E37">
        <v>0</v>
      </c>
      <c r="F37" t="s">
        <v>182</v>
      </c>
      <c r="G37" t="str">
        <f>Shear_Wall_Foundation!E165</f>
        <v>D</v>
      </c>
      <c r="L37">
        <f t="shared" si="5"/>
        <v>0.26666666666666661</v>
      </c>
      <c r="M37" cm="1">
        <f t="array" ref="M37:CI37">LRFD_Analysis(Lf_ft,L37,$B$4:$G$72,$J$4:$U$28)</f>
        <v>-1.4210854715202004E-14</v>
      </c>
      <c r="N37">
        <v>-3.8044444444444441</v>
      </c>
      <c r="O37">
        <v>0.5072592592592593</v>
      </c>
      <c r="P37">
        <v>0</v>
      </c>
      <c r="Q37">
        <v>-7.7409523809523773</v>
      </c>
      <c r="R37">
        <v>1.0321269841269831</v>
      </c>
      <c r="S37">
        <v>-2.8421709430404007E-14</v>
      </c>
      <c r="T37">
        <v>-8.0838095238095224</v>
      </c>
      <c r="U37">
        <v>1.0778412698412694</v>
      </c>
      <c r="V37">
        <v>0</v>
      </c>
      <c r="W37">
        <v>-7.7409523809523773</v>
      </c>
      <c r="X37">
        <v>1.0321269841269831</v>
      </c>
      <c r="Y37">
        <v>0</v>
      </c>
      <c r="Z37">
        <v>-4.660952380952379</v>
      </c>
      <c r="AA37">
        <v>0.62146031746031705</v>
      </c>
      <c r="AB37">
        <v>0</v>
      </c>
      <c r="AC37">
        <v>-5.7580952380952368</v>
      </c>
      <c r="AD37">
        <v>0.76774603174603162</v>
      </c>
      <c r="AE37">
        <v>0</v>
      </c>
      <c r="AF37">
        <v>-4.660952380952379</v>
      </c>
      <c r="AG37">
        <v>0.62146031746031705</v>
      </c>
      <c r="AH37">
        <v>-1.4210854715202004E-14</v>
      </c>
      <c r="AI37">
        <v>-3.2609523809523804</v>
      </c>
      <c r="AJ37">
        <v>0.43479365079365062</v>
      </c>
      <c r="AK37">
        <v>1.4210854715202004E-14</v>
      </c>
      <c r="AL37">
        <v>-4.3580952380952365</v>
      </c>
      <c r="AM37">
        <v>0.58107936507936464</v>
      </c>
      <c r="AN37">
        <v>-1.4210854715202004E-14</v>
      </c>
      <c r="AO37">
        <v>-3.2609523809523804</v>
      </c>
      <c r="AP37">
        <v>0.43479365079365062</v>
      </c>
      <c r="AQ37">
        <v>-1.4210854715202004E-14</v>
      </c>
      <c r="AR37">
        <v>-3.2609523809523804</v>
      </c>
      <c r="AS37">
        <v>0.43479365079365062</v>
      </c>
      <c r="AT37">
        <v>1.4210854715202004E-14</v>
      </c>
      <c r="AU37">
        <v>-4.3580952380952365</v>
      </c>
      <c r="AV37">
        <v>0.58107936507936464</v>
      </c>
      <c r="AW37">
        <v>-1.4210854715202004E-14</v>
      </c>
      <c r="AX37">
        <v>-3.2609523809523804</v>
      </c>
      <c r="AY37">
        <v>0.43479365079365062</v>
      </c>
      <c r="AZ37">
        <v>0</v>
      </c>
      <c r="BA37">
        <v>-4.660952380952379</v>
      </c>
      <c r="BB37">
        <v>0.62146031746031705</v>
      </c>
      <c r="BC37">
        <v>-1.4210854715202004E-14</v>
      </c>
      <c r="BD37">
        <v>-5.0038095238095242</v>
      </c>
      <c r="BE37">
        <v>0.66717460317460309</v>
      </c>
      <c r="BF37">
        <v>0</v>
      </c>
      <c r="BG37">
        <v>-4.660952380952379</v>
      </c>
      <c r="BH37">
        <v>0.62146031746031705</v>
      </c>
      <c r="BI37">
        <v>-2.8421709430404007E-14</v>
      </c>
      <c r="BJ37">
        <v>-4.6609523809523807</v>
      </c>
      <c r="BK37">
        <v>0.62146031746031727</v>
      </c>
      <c r="BL37">
        <v>0</v>
      </c>
      <c r="BM37">
        <v>-5.0038095238095224</v>
      </c>
      <c r="BN37">
        <v>0.66717460317460309</v>
      </c>
      <c r="BO37">
        <v>-2.8421709430404007E-14</v>
      </c>
      <c r="BP37">
        <v>-4.6609523809523807</v>
      </c>
      <c r="BQ37">
        <v>0.62146031746031727</v>
      </c>
      <c r="BR37">
        <v>-1.4210854715202004E-14</v>
      </c>
      <c r="BS37">
        <v>-5.1409523809523812</v>
      </c>
      <c r="BT37">
        <v>0.68546031746031755</v>
      </c>
      <c r="BU37">
        <v>0</v>
      </c>
      <c r="BV37">
        <v>-5.1409523809523794</v>
      </c>
      <c r="BW37">
        <v>0.68546031746031733</v>
      </c>
      <c r="BX37">
        <v>0</v>
      </c>
      <c r="BY37">
        <v>-2.4457142857142857</v>
      </c>
      <c r="BZ37">
        <v>0.32609523809523783</v>
      </c>
      <c r="CA37">
        <v>1.4210854715202004E-14</v>
      </c>
      <c r="CB37">
        <v>-2.4457142857142848</v>
      </c>
      <c r="CC37">
        <v>0.32609523809523783</v>
      </c>
      <c r="CD37">
        <v>1.4210854715202004E-14</v>
      </c>
      <c r="CE37">
        <v>-2.4457142857142848</v>
      </c>
      <c r="CF37">
        <v>0.32609523809523783</v>
      </c>
      <c r="CG37">
        <v>0</v>
      </c>
      <c r="CH37">
        <v>-2.4457142857142857</v>
      </c>
      <c r="CI37">
        <v>0.32609523809523783</v>
      </c>
      <c r="CJ37">
        <f t="shared" si="1"/>
        <v>-2.4457142857142848</v>
      </c>
      <c r="CK37">
        <f t="shared" si="2"/>
        <v>-8.0838095238095224</v>
      </c>
      <c r="CL37">
        <f t="shared" si="3"/>
        <v>1.0778412698412694</v>
      </c>
      <c r="CM37">
        <f t="shared" si="4"/>
        <v>0.32609523809523783</v>
      </c>
    </row>
    <row r="38" spans="1:91" x14ac:dyDescent="0.25">
      <c r="A38">
        <f>Shear_Wall_Foundation!A166</f>
        <v>31</v>
      </c>
      <c r="B38">
        <f>Shear_Wall_Foundation!B166</f>
        <v>0</v>
      </c>
      <c r="C38">
        <v>0</v>
      </c>
      <c r="D38">
        <f t="shared" si="0"/>
        <v>1.75</v>
      </c>
      <c r="E38">
        <v>0</v>
      </c>
      <c r="F38" t="s">
        <v>182</v>
      </c>
      <c r="G38" t="str">
        <f>Shear_Wall_Foundation!E166</f>
        <v>D</v>
      </c>
      <c r="L38">
        <f t="shared" si="5"/>
        <v>0.35555555555555551</v>
      </c>
      <c r="M38" cm="1">
        <f t="array" ref="M38:CI38">LRFD_Analysis(Lf_ft,L38,$B$4:$G$72,$J$4:$U$28)</f>
        <v>-1.4210854715202004E-14</v>
      </c>
      <c r="N38">
        <v>-5.0725925925925903</v>
      </c>
      <c r="O38">
        <v>0.90179423868312703</v>
      </c>
      <c r="P38">
        <v>0</v>
      </c>
      <c r="Q38">
        <v>-10.321269841269839</v>
      </c>
      <c r="R38">
        <v>1.8348924162257489</v>
      </c>
      <c r="S38">
        <v>-2.8421709430404007E-14</v>
      </c>
      <c r="T38">
        <v>-10.778412698412696</v>
      </c>
      <c r="U38">
        <v>1.9161622574955897</v>
      </c>
      <c r="V38">
        <v>0</v>
      </c>
      <c r="W38">
        <v>-10.321269841269839</v>
      </c>
      <c r="X38">
        <v>1.8348924162257489</v>
      </c>
      <c r="Y38">
        <v>0</v>
      </c>
      <c r="Z38">
        <v>-6.2146031746031731</v>
      </c>
      <c r="AA38">
        <v>1.1048183421516753</v>
      </c>
      <c r="AB38">
        <v>0</v>
      </c>
      <c r="AC38">
        <v>-7.6774603174603158</v>
      </c>
      <c r="AD38">
        <v>1.3648818342151672</v>
      </c>
      <c r="AE38">
        <v>0</v>
      </c>
      <c r="AF38">
        <v>-6.2146031746031731</v>
      </c>
      <c r="AG38">
        <v>1.1048183421516753</v>
      </c>
      <c r="AH38">
        <v>-1.4210854715202004E-14</v>
      </c>
      <c r="AI38">
        <v>-4.3479365079365078</v>
      </c>
      <c r="AJ38">
        <v>0.77296649029982356</v>
      </c>
      <c r="AK38">
        <v>1.4210854715202004E-14</v>
      </c>
      <c r="AL38">
        <v>-5.8107936507936486</v>
      </c>
      <c r="AM38">
        <v>1.0330299823633147</v>
      </c>
      <c r="AN38">
        <v>-1.4210854715202004E-14</v>
      </c>
      <c r="AO38">
        <v>-4.3479365079365078</v>
      </c>
      <c r="AP38">
        <v>0.77296649029982356</v>
      </c>
      <c r="AQ38">
        <v>-1.4210854715202004E-14</v>
      </c>
      <c r="AR38">
        <v>-4.3479365079365078</v>
      </c>
      <c r="AS38">
        <v>0.77296649029982356</v>
      </c>
      <c r="AT38">
        <v>1.4210854715202004E-14</v>
      </c>
      <c r="AU38">
        <v>-5.8107936507936486</v>
      </c>
      <c r="AV38">
        <v>1.0330299823633147</v>
      </c>
      <c r="AW38">
        <v>-1.4210854715202004E-14</v>
      </c>
      <c r="AX38">
        <v>-4.3479365079365078</v>
      </c>
      <c r="AY38">
        <v>0.77296649029982356</v>
      </c>
      <c r="AZ38">
        <v>0</v>
      </c>
      <c r="BA38">
        <v>-6.2146031746031731</v>
      </c>
      <c r="BB38">
        <v>1.1048183421516753</v>
      </c>
      <c r="BC38">
        <v>-1.4210854715202004E-14</v>
      </c>
      <c r="BD38">
        <v>-6.6717460317460322</v>
      </c>
      <c r="BE38">
        <v>1.1860881834215169</v>
      </c>
      <c r="BF38">
        <v>0</v>
      </c>
      <c r="BG38">
        <v>-6.2146031746031731</v>
      </c>
      <c r="BH38">
        <v>1.1048183421516753</v>
      </c>
      <c r="BI38">
        <v>-2.8421709430404007E-14</v>
      </c>
      <c r="BJ38">
        <v>-6.2146031746031767</v>
      </c>
      <c r="BK38">
        <v>1.1048183421516757</v>
      </c>
      <c r="BL38">
        <v>0</v>
      </c>
      <c r="BM38">
        <v>-6.6717460317460304</v>
      </c>
      <c r="BN38">
        <v>1.1860881834215165</v>
      </c>
      <c r="BO38">
        <v>-2.8421709430404007E-14</v>
      </c>
      <c r="BP38">
        <v>-6.2146031746031767</v>
      </c>
      <c r="BQ38">
        <v>1.1048183421516757</v>
      </c>
      <c r="BR38">
        <v>-1.4210854715202004E-14</v>
      </c>
      <c r="BS38">
        <v>-6.8546031746031755</v>
      </c>
      <c r="BT38">
        <v>1.2185961199294533</v>
      </c>
      <c r="BU38">
        <v>0</v>
      </c>
      <c r="BV38">
        <v>-6.8546031746031719</v>
      </c>
      <c r="BW38">
        <v>1.2185961199294528</v>
      </c>
      <c r="BX38">
        <v>0</v>
      </c>
      <c r="BY38">
        <v>-3.2609523809523813</v>
      </c>
      <c r="BZ38">
        <v>0.57972486772486753</v>
      </c>
      <c r="CA38">
        <v>1.4210854715202004E-14</v>
      </c>
      <c r="CB38">
        <v>-3.2609523809523795</v>
      </c>
      <c r="CC38">
        <v>0.57972486772486731</v>
      </c>
      <c r="CD38">
        <v>1.4210854715202004E-14</v>
      </c>
      <c r="CE38">
        <v>-3.2609523809523795</v>
      </c>
      <c r="CF38">
        <v>0.57972486772486731</v>
      </c>
      <c r="CG38">
        <v>0</v>
      </c>
      <c r="CH38">
        <v>-3.2609523809523813</v>
      </c>
      <c r="CI38">
        <v>0.57972486772486753</v>
      </c>
      <c r="CJ38">
        <f t="shared" si="1"/>
        <v>-3.2609523809523795</v>
      </c>
      <c r="CK38">
        <f t="shared" si="2"/>
        <v>-10.778412698412696</v>
      </c>
      <c r="CL38">
        <f t="shared" si="3"/>
        <v>1.9161622574955897</v>
      </c>
      <c r="CM38">
        <f t="shared" si="4"/>
        <v>0.57972486772486731</v>
      </c>
    </row>
    <row r="39" spans="1:91" x14ac:dyDescent="0.25">
      <c r="A39">
        <f>Shear_Wall_Foundation!A167</f>
        <v>32</v>
      </c>
      <c r="B39">
        <f>Shear_Wall_Foundation!B167</f>
        <v>0</v>
      </c>
      <c r="C39">
        <v>0</v>
      </c>
      <c r="D39">
        <f t="shared" si="0"/>
        <v>1.75</v>
      </c>
      <c r="E39">
        <v>0</v>
      </c>
      <c r="F39" t="s">
        <v>182</v>
      </c>
      <c r="G39" t="str">
        <f>Shear_Wall_Foundation!E167</f>
        <v>D</v>
      </c>
      <c r="L39">
        <f t="shared" si="5"/>
        <v>0.44444444444444442</v>
      </c>
      <c r="M39" cm="1">
        <f t="array" ref="M39:CI39">LRFD_Analysis(Lf_ft,L39,$B$4:$G$72,$J$4:$U$28)</f>
        <v>-1.4210854715202004E-14</v>
      </c>
      <c r="N39">
        <v>-6.3407407407407401</v>
      </c>
      <c r="O39">
        <v>1.4090534979423861</v>
      </c>
      <c r="P39">
        <v>0</v>
      </c>
      <c r="Q39">
        <v>-12.901587301587298</v>
      </c>
      <c r="R39">
        <v>2.8670194003527332</v>
      </c>
      <c r="S39">
        <v>-2.8421709430404007E-14</v>
      </c>
      <c r="T39">
        <v>-13.473015873015871</v>
      </c>
      <c r="U39">
        <v>2.9940035273368606</v>
      </c>
      <c r="V39">
        <v>0</v>
      </c>
      <c r="W39">
        <v>-12.901587301587298</v>
      </c>
      <c r="X39">
        <v>2.8670194003527332</v>
      </c>
      <c r="Y39">
        <v>0</v>
      </c>
      <c r="Z39">
        <v>-7.7682539682539673</v>
      </c>
      <c r="AA39">
        <v>1.7262786596119926</v>
      </c>
      <c r="AB39">
        <v>0</v>
      </c>
      <c r="AC39">
        <v>-9.5968253968253947</v>
      </c>
      <c r="AD39">
        <v>2.132627865961199</v>
      </c>
      <c r="AE39">
        <v>0</v>
      </c>
      <c r="AF39">
        <v>-7.7682539682539673</v>
      </c>
      <c r="AG39">
        <v>1.7262786596119926</v>
      </c>
      <c r="AH39">
        <v>-1.4210854715202004E-14</v>
      </c>
      <c r="AI39">
        <v>-5.4349206349206352</v>
      </c>
      <c r="AJ39">
        <v>1.2077601410934744</v>
      </c>
      <c r="AK39">
        <v>1.4210854715202004E-14</v>
      </c>
      <c r="AL39">
        <v>-7.2634920634920626</v>
      </c>
      <c r="AM39">
        <v>1.6141093474426802</v>
      </c>
      <c r="AN39">
        <v>-1.4210854715202004E-14</v>
      </c>
      <c r="AO39">
        <v>-5.4349206349206352</v>
      </c>
      <c r="AP39">
        <v>1.2077601410934744</v>
      </c>
      <c r="AQ39">
        <v>-1.4210854715202004E-14</v>
      </c>
      <c r="AR39">
        <v>-5.4349206349206352</v>
      </c>
      <c r="AS39">
        <v>1.2077601410934744</v>
      </c>
      <c r="AT39">
        <v>1.4210854715202004E-14</v>
      </c>
      <c r="AU39">
        <v>-7.2634920634920626</v>
      </c>
      <c r="AV39">
        <v>1.6141093474426802</v>
      </c>
      <c r="AW39">
        <v>-1.4210854715202004E-14</v>
      </c>
      <c r="AX39">
        <v>-5.4349206349206352</v>
      </c>
      <c r="AY39">
        <v>1.2077601410934744</v>
      </c>
      <c r="AZ39">
        <v>0</v>
      </c>
      <c r="BA39">
        <v>-7.7682539682539673</v>
      </c>
      <c r="BB39">
        <v>1.7262786596119926</v>
      </c>
      <c r="BC39">
        <v>-1.4210854715202004E-14</v>
      </c>
      <c r="BD39">
        <v>-8.339682539682542</v>
      </c>
      <c r="BE39">
        <v>1.8532627865961209</v>
      </c>
      <c r="BF39">
        <v>0</v>
      </c>
      <c r="BG39">
        <v>-7.7682539682539673</v>
      </c>
      <c r="BH39">
        <v>1.7262786596119926</v>
      </c>
      <c r="BI39">
        <v>-2.8421709430404007E-14</v>
      </c>
      <c r="BJ39">
        <v>-7.7682539682539709</v>
      </c>
      <c r="BK39">
        <v>1.7262786596119939</v>
      </c>
      <c r="BL39">
        <v>0</v>
      </c>
      <c r="BM39">
        <v>-8.3396825396825385</v>
      </c>
      <c r="BN39">
        <v>1.8532627865961195</v>
      </c>
      <c r="BO39">
        <v>-2.8421709430404007E-14</v>
      </c>
      <c r="BP39">
        <v>-7.7682539682539709</v>
      </c>
      <c r="BQ39">
        <v>1.7262786596119939</v>
      </c>
      <c r="BR39">
        <v>-1.4210854715202004E-14</v>
      </c>
      <c r="BS39">
        <v>-8.5682539682539698</v>
      </c>
      <c r="BT39">
        <v>1.9040564373897715</v>
      </c>
      <c r="BU39">
        <v>0</v>
      </c>
      <c r="BV39">
        <v>-8.5682539682539662</v>
      </c>
      <c r="BW39">
        <v>1.9040564373897702</v>
      </c>
      <c r="BX39">
        <v>0</v>
      </c>
      <c r="BY39">
        <v>-4.0761904761904777</v>
      </c>
      <c r="BZ39">
        <v>0.90582010582010652</v>
      </c>
      <c r="CA39">
        <v>1.4210854715202004E-14</v>
      </c>
      <c r="CB39">
        <v>-4.0761904761904759</v>
      </c>
      <c r="CC39">
        <v>0.90582010582010564</v>
      </c>
      <c r="CD39">
        <v>1.4210854715202004E-14</v>
      </c>
      <c r="CE39">
        <v>-4.0761904761904759</v>
      </c>
      <c r="CF39">
        <v>0.90582010582010564</v>
      </c>
      <c r="CG39">
        <v>0</v>
      </c>
      <c r="CH39">
        <v>-4.0761904761904777</v>
      </c>
      <c r="CI39">
        <v>0.90582010582010652</v>
      </c>
      <c r="CJ39">
        <f t="shared" si="1"/>
        <v>-4.0761904761904759</v>
      </c>
      <c r="CK39">
        <f t="shared" si="2"/>
        <v>-13.473015873015871</v>
      </c>
      <c r="CL39">
        <f t="shared" si="3"/>
        <v>2.9940035273368606</v>
      </c>
      <c r="CM39">
        <f t="shared" si="4"/>
        <v>0.90582010582010564</v>
      </c>
    </row>
    <row r="40" spans="1:91" x14ac:dyDescent="0.25">
      <c r="A40">
        <f>Shear_Wall_Foundation!A168</f>
        <v>33</v>
      </c>
      <c r="B40">
        <f>Shear_Wall_Foundation!B168</f>
        <v>0</v>
      </c>
      <c r="C40">
        <v>0</v>
      </c>
      <c r="D40">
        <f t="shared" si="0"/>
        <v>1.75</v>
      </c>
      <c r="E40">
        <v>0</v>
      </c>
      <c r="F40" t="s">
        <v>182</v>
      </c>
      <c r="G40" t="str">
        <f>Shear_Wall_Foundation!E168</f>
        <v>D</v>
      </c>
      <c r="L40">
        <f t="shared" si="5"/>
        <v>0.53333333333333333</v>
      </c>
      <c r="M40" cm="1">
        <f t="array" ref="M40:CI40">LRFD_Analysis(Lf_ft,L40,$B$4:$G$72,$J$4:$U$28)</f>
        <v>-1.4210854715202004E-14</v>
      </c>
      <c r="N40">
        <v>-7.6088888888888881</v>
      </c>
      <c r="O40">
        <v>2.0290370370370376</v>
      </c>
      <c r="P40">
        <v>0</v>
      </c>
      <c r="Q40">
        <v>-15.48190476190476</v>
      </c>
      <c r="R40">
        <v>4.1285079365079369</v>
      </c>
      <c r="S40">
        <v>-2.8421709430404007E-14</v>
      </c>
      <c r="T40">
        <v>-16.167619047619048</v>
      </c>
      <c r="U40">
        <v>4.3113650793650802</v>
      </c>
      <c r="V40">
        <v>0</v>
      </c>
      <c r="W40">
        <v>-15.48190476190476</v>
      </c>
      <c r="X40">
        <v>4.1285079365079369</v>
      </c>
      <c r="Y40">
        <v>0</v>
      </c>
      <c r="Z40">
        <v>-9.3219047619047597</v>
      </c>
      <c r="AA40">
        <v>2.48584126984127</v>
      </c>
      <c r="AB40">
        <v>0</v>
      </c>
      <c r="AC40">
        <v>-11.516190476190475</v>
      </c>
      <c r="AD40">
        <v>3.0709841269841274</v>
      </c>
      <c r="AE40">
        <v>0</v>
      </c>
      <c r="AF40">
        <v>-9.3219047619047597</v>
      </c>
      <c r="AG40">
        <v>2.48584126984127</v>
      </c>
      <c r="AH40">
        <v>-1.4210854715202004E-14</v>
      </c>
      <c r="AI40">
        <v>-6.5219047619047625</v>
      </c>
      <c r="AJ40">
        <v>1.7391746031746043</v>
      </c>
      <c r="AK40">
        <v>1.4210854715202004E-14</v>
      </c>
      <c r="AL40">
        <v>-8.7161904761904747</v>
      </c>
      <c r="AM40">
        <v>2.3243174603174603</v>
      </c>
      <c r="AN40">
        <v>-1.4210854715202004E-14</v>
      </c>
      <c r="AO40">
        <v>-6.5219047619047625</v>
      </c>
      <c r="AP40">
        <v>1.7391746031746043</v>
      </c>
      <c r="AQ40">
        <v>-1.4210854715202004E-14</v>
      </c>
      <c r="AR40">
        <v>-6.5219047619047625</v>
      </c>
      <c r="AS40">
        <v>1.7391746031746043</v>
      </c>
      <c r="AT40">
        <v>1.4210854715202004E-14</v>
      </c>
      <c r="AU40">
        <v>-8.7161904761904747</v>
      </c>
      <c r="AV40">
        <v>2.3243174603174603</v>
      </c>
      <c r="AW40">
        <v>-1.4210854715202004E-14</v>
      </c>
      <c r="AX40">
        <v>-6.5219047619047625</v>
      </c>
      <c r="AY40">
        <v>1.7391746031746043</v>
      </c>
      <c r="AZ40">
        <v>0</v>
      </c>
      <c r="BA40">
        <v>-9.3219047619047597</v>
      </c>
      <c r="BB40">
        <v>2.48584126984127</v>
      </c>
      <c r="BC40">
        <v>-1.4210854715202004E-14</v>
      </c>
      <c r="BD40">
        <v>-10.00761904761905</v>
      </c>
      <c r="BE40">
        <v>2.6686984126984141</v>
      </c>
      <c r="BF40">
        <v>0</v>
      </c>
      <c r="BG40">
        <v>-9.3219047619047597</v>
      </c>
      <c r="BH40">
        <v>2.48584126984127</v>
      </c>
      <c r="BI40">
        <v>-2.8421709430404007E-14</v>
      </c>
      <c r="BJ40">
        <v>-9.3219047619047632</v>
      </c>
      <c r="BK40">
        <v>2.4858412698412709</v>
      </c>
      <c r="BL40">
        <v>0</v>
      </c>
      <c r="BM40">
        <v>-10.007619047619047</v>
      </c>
      <c r="BN40">
        <v>2.6686984126984132</v>
      </c>
      <c r="BO40">
        <v>-2.8421709430404007E-14</v>
      </c>
      <c r="BP40">
        <v>-9.3219047619047632</v>
      </c>
      <c r="BQ40">
        <v>2.4858412698412709</v>
      </c>
      <c r="BR40">
        <v>-1.4210854715202004E-14</v>
      </c>
      <c r="BS40">
        <v>-10.281904761904764</v>
      </c>
      <c r="BT40">
        <v>2.7418412698412711</v>
      </c>
      <c r="BU40">
        <v>0</v>
      </c>
      <c r="BV40">
        <v>-10.281904761904761</v>
      </c>
      <c r="BW40">
        <v>2.7418412698412702</v>
      </c>
      <c r="BX40">
        <v>0</v>
      </c>
      <c r="BY40">
        <v>-4.8914285714285715</v>
      </c>
      <c r="BZ40">
        <v>1.3043809523809529</v>
      </c>
      <c r="CA40">
        <v>1.4210854715202004E-14</v>
      </c>
      <c r="CB40">
        <v>-4.8914285714285697</v>
      </c>
      <c r="CC40">
        <v>1.3043809523809524</v>
      </c>
      <c r="CD40">
        <v>1.4210854715202004E-14</v>
      </c>
      <c r="CE40">
        <v>-4.8914285714285697</v>
      </c>
      <c r="CF40">
        <v>1.3043809523809524</v>
      </c>
      <c r="CG40">
        <v>0</v>
      </c>
      <c r="CH40">
        <v>-4.8914285714285715</v>
      </c>
      <c r="CI40">
        <v>1.3043809523809529</v>
      </c>
      <c r="CJ40">
        <f t="shared" si="1"/>
        <v>-4.8914285714285697</v>
      </c>
      <c r="CK40">
        <f t="shared" si="2"/>
        <v>-16.167619047619048</v>
      </c>
      <c r="CL40">
        <f t="shared" si="3"/>
        <v>4.3113650793650802</v>
      </c>
      <c r="CM40">
        <f t="shared" si="4"/>
        <v>1.3043809523809524</v>
      </c>
    </row>
    <row r="41" spans="1:91" x14ac:dyDescent="0.25">
      <c r="A41">
        <f>Shear_Wall_Foundation!A169</f>
        <v>34</v>
      </c>
      <c r="B41">
        <f>Shear_Wall_Foundation!B169</f>
        <v>0</v>
      </c>
      <c r="C41">
        <v>0</v>
      </c>
      <c r="D41">
        <f t="shared" si="0"/>
        <v>1.75</v>
      </c>
      <c r="E41">
        <v>0</v>
      </c>
      <c r="F41" t="s">
        <v>182</v>
      </c>
      <c r="G41" t="str">
        <f>Shear_Wall_Foundation!E169</f>
        <v>D</v>
      </c>
      <c r="L41">
        <f t="shared" si="5"/>
        <v>0.62222222222222223</v>
      </c>
      <c r="M41" cm="1">
        <f t="array" ref="M41:CI41">LRFD_Analysis(Lf_ft,L41,$B$4:$G$72,$J$4:$U$28)</f>
        <v>-1.4210854715202004E-14</v>
      </c>
      <c r="N41">
        <v>-8.8770370370370379</v>
      </c>
      <c r="O41">
        <v>2.7617448559670779</v>
      </c>
      <c r="P41">
        <v>0</v>
      </c>
      <c r="Q41">
        <v>-18.062222222222221</v>
      </c>
      <c r="R41">
        <v>5.6193580246913601</v>
      </c>
      <c r="S41">
        <v>-2.8421709430404007E-14</v>
      </c>
      <c r="T41">
        <v>-18.862222222222222</v>
      </c>
      <c r="U41">
        <v>5.8682469135802471</v>
      </c>
      <c r="V41">
        <v>0</v>
      </c>
      <c r="W41">
        <v>-18.062222222222221</v>
      </c>
      <c r="X41">
        <v>5.6193580246913601</v>
      </c>
      <c r="Y41">
        <v>0</v>
      </c>
      <c r="Z41">
        <v>-10.875555555555554</v>
      </c>
      <c r="AA41">
        <v>3.3835061728395042</v>
      </c>
      <c r="AB41">
        <v>0</v>
      </c>
      <c r="AC41">
        <v>-13.435555555555556</v>
      </c>
      <c r="AD41">
        <v>4.1799506172839518</v>
      </c>
      <c r="AE41">
        <v>0</v>
      </c>
      <c r="AF41">
        <v>-10.875555555555554</v>
      </c>
      <c r="AG41">
        <v>3.3835061728395042</v>
      </c>
      <c r="AH41">
        <v>-1.4210854715202004E-14</v>
      </c>
      <c r="AI41">
        <v>-7.6088888888888917</v>
      </c>
      <c r="AJ41">
        <v>2.3672098765432104</v>
      </c>
      <c r="AK41">
        <v>1.4210854715202004E-14</v>
      </c>
      <c r="AL41">
        <v>-10.168888888888887</v>
      </c>
      <c r="AM41">
        <v>3.1636543209876535</v>
      </c>
      <c r="AN41">
        <v>-1.4210854715202004E-14</v>
      </c>
      <c r="AO41">
        <v>-7.6088888888888917</v>
      </c>
      <c r="AP41">
        <v>2.3672098765432104</v>
      </c>
      <c r="AQ41">
        <v>-1.4210854715202004E-14</v>
      </c>
      <c r="AR41">
        <v>-7.6088888888888917</v>
      </c>
      <c r="AS41">
        <v>2.3672098765432104</v>
      </c>
      <c r="AT41">
        <v>1.4210854715202004E-14</v>
      </c>
      <c r="AU41">
        <v>-10.168888888888887</v>
      </c>
      <c r="AV41">
        <v>3.1636543209876535</v>
      </c>
      <c r="AW41">
        <v>-1.4210854715202004E-14</v>
      </c>
      <c r="AX41">
        <v>-7.6088888888888917</v>
      </c>
      <c r="AY41">
        <v>2.3672098765432104</v>
      </c>
      <c r="AZ41">
        <v>0</v>
      </c>
      <c r="BA41">
        <v>-10.875555555555554</v>
      </c>
      <c r="BB41">
        <v>3.3835061728395042</v>
      </c>
      <c r="BC41">
        <v>-1.4210854715202004E-14</v>
      </c>
      <c r="BD41">
        <v>-11.675555555555558</v>
      </c>
      <c r="BE41">
        <v>3.6323950617283955</v>
      </c>
      <c r="BF41">
        <v>0</v>
      </c>
      <c r="BG41">
        <v>-10.875555555555554</v>
      </c>
      <c r="BH41">
        <v>3.3835061728395042</v>
      </c>
      <c r="BI41">
        <v>-2.8421709430404007E-14</v>
      </c>
      <c r="BJ41">
        <v>-10.875555555555557</v>
      </c>
      <c r="BK41">
        <v>3.3835061728395068</v>
      </c>
      <c r="BL41">
        <v>0</v>
      </c>
      <c r="BM41">
        <v>-11.675555555555555</v>
      </c>
      <c r="BN41">
        <v>3.6323950617283947</v>
      </c>
      <c r="BO41">
        <v>-2.8421709430404007E-14</v>
      </c>
      <c r="BP41">
        <v>-10.875555555555557</v>
      </c>
      <c r="BQ41">
        <v>3.3835061728395068</v>
      </c>
      <c r="BR41">
        <v>-1.4210854715202004E-14</v>
      </c>
      <c r="BS41">
        <v>-11.995555555555558</v>
      </c>
      <c r="BT41">
        <v>3.7319506172839514</v>
      </c>
      <c r="BU41">
        <v>0</v>
      </c>
      <c r="BV41">
        <v>-11.995555555555551</v>
      </c>
      <c r="BW41">
        <v>3.7319506172839478</v>
      </c>
      <c r="BX41">
        <v>0</v>
      </c>
      <c r="BY41">
        <v>-5.706666666666667</v>
      </c>
      <c r="BZ41">
        <v>1.7754074074074078</v>
      </c>
      <c r="CA41">
        <v>1.4210854715202004E-14</v>
      </c>
      <c r="CB41">
        <v>-5.7066666666666652</v>
      </c>
      <c r="CC41">
        <v>1.7754074074074069</v>
      </c>
      <c r="CD41">
        <v>1.4210854715202004E-14</v>
      </c>
      <c r="CE41">
        <v>-5.7066666666666652</v>
      </c>
      <c r="CF41">
        <v>1.7754074074074069</v>
      </c>
      <c r="CG41">
        <v>0</v>
      </c>
      <c r="CH41">
        <v>-5.706666666666667</v>
      </c>
      <c r="CI41">
        <v>1.7754074074074078</v>
      </c>
      <c r="CJ41">
        <f t="shared" si="1"/>
        <v>-5.7066666666666652</v>
      </c>
      <c r="CK41">
        <f t="shared" si="2"/>
        <v>-18.862222222222222</v>
      </c>
      <c r="CL41">
        <f t="shared" si="3"/>
        <v>5.8682469135802471</v>
      </c>
      <c r="CM41">
        <f t="shared" si="4"/>
        <v>1.7754074074074069</v>
      </c>
    </row>
    <row r="42" spans="1:91" x14ac:dyDescent="0.25">
      <c r="A42">
        <f>Shear_Wall_Foundation!A170</f>
        <v>35</v>
      </c>
      <c r="B42">
        <f>Shear_Wall_Foundation!B170</f>
        <v>0</v>
      </c>
      <c r="C42">
        <v>0</v>
      </c>
      <c r="D42">
        <f t="shared" si="0"/>
        <v>1.75</v>
      </c>
      <c r="E42">
        <v>0</v>
      </c>
      <c r="F42" t="s">
        <v>182</v>
      </c>
      <c r="G42" t="str">
        <f>Shear_Wall_Foundation!E170</f>
        <v>D</v>
      </c>
      <c r="L42">
        <f t="shared" si="5"/>
        <v>0.71111111111111114</v>
      </c>
      <c r="M42" cm="1">
        <f t="array" ref="M42:CI42">LRFD_Analysis(Lf_ft,L42,$B$4:$G$72,$J$4:$U$28)</f>
        <v>-1.4210854715202004E-14</v>
      </c>
      <c r="N42">
        <v>-10.145185185185182</v>
      </c>
      <c r="O42">
        <v>3.6071769547325072</v>
      </c>
      <c r="P42">
        <v>0</v>
      </c>
      <c r="Q42">
        <v>-20.642539682539677</v>
      </c>
      <c r="R42">
        <v>7.3395696649029976</v>
      </c>
      <c r="S42">
        <v>-2.8421709430404007E-14</v>
      </c>
      <c r="T42">
        <v>-21.556825396825396</v>
      </c>
      <c r="U42">
        <v>7.664649029982364</v>
      </c>
      <c r="V42">
        <v>0</v>
      </c>
      <c r="W42">
        <v>-20.642539682539677</v>
      </c>
      <c r="X42">
        <v>7.3395696649029976</v>
      </c>
      <c r="Y42">
        <v>0</v>
      </c>
      <c r="Z42">
        <v>-12.429206349206348</v>
      </c>
      <c r="AA42">
        <v>4.4192733686067012</v>
      </c>
      <c r="AB42">
        <v>0</v>
      </c>
      <c r="AC42">
        <v>-15.354920634920633</v>
      </c>
      <c r="AD42">
        <v>5.4595273368606669</v>
      </c>
      <c r="AE42">
        <v>0</v>
      </c>
      <c r="AF42">
        <v>-12.429206349206348</v>
      </c>
      <c r="AG42">
        <v>4.4192733686067012</v>
      </c>
      <c r="AH42">
        <v>-1.4210854715202004E-14</v>
      </c>
      <c r="AI42">
        <v>-8.6958730158730173</v>
      </c>
      <c r="AJ42">
        <v>3.0918659611992947</v>
      </c>
      <c r="AK42">
        <v>1.4210854715202004E-14</v>
      </c>
      <c r="AL42">
        <v>-11.621587301587299</v>
      </c>
      <c r="AM42">
        <v>4.1321199294532622</v>
      </c>
      <c r="AN42">
        <v>-1.4210854715202004E-14</v>
      </c>
      <c r="AO42">
        <v>-8.6958730158730173</v>
      </c>
      <c r="AP42">
        <v>3.0918659611992947</v>
      </c>
      <c r="AQ42">
        <v>-1.4210854715202004E-14</v>
      </c>
      <c r="AR42">
        <v>-8.6958730158730173</v>
      </c>
      <c r="AS42">
        <v>3.0918659611992947</v>
      </c>
      <c r="AT42">
        <v>1.4210854715202004E-14</v>
      </c>
      <c r="AU42">
        <v>-11.621587301587299</v>
      </c>
      <c r="AV42">
        <v>4.1321199294532622</v>
      </c>
      <c r="AW42">
        <v>-1.4210854715202004E-14</v>
      </c>
      <c r="AX42">
        <v>-8.6958730158730173</v>
      </c>
      <c r="AY42">
        <v>3.0918659611992947</v>
      </c>
      <c r="AZ42">
        <v>0</v>
      </c>
      <c r="BA42">
        <v>-12.429206349206348</v>
      </c>
      <c r="BB42">
        <v>4.4192733686067012</v>
      </c>
      <c r="BC42">
        <v>-1.4210854715202004E-14</v>
      </c>
      <c r="BD42">
        <v>-13.343492063492066</v>
      </c>
      <c r="BE42">
        <v>4.7443527336860676</v>
      </c>
      <c r="BF42">
        <v>0</v>
      </c>
      <c r="BG42">
        <v>-12.429206349206348</v>
      </c>
      <c r="BH42">
        <v>4.4192733686067012</v>
      </c>
      <c r="BI42">
        <v>-2.8421709430404007E-14</v>
      </c>
      <c r="BJ42">
        <v>-12.429206349206355</v>
      </c>
      <c r="BK42">
        <v>4.4192733686067065</v>
      </c>
      <c r="BL42">
        <v>0</v>
      </c>
      <c r="BM42">
        <v>-13.343492063492063</v>
      </c>
      <c r="BN42">
        <v>4.7443527336860658</v>
      </c>
      <c r="BO42">
        <v>-2.8421709430404007E-14</v>
      </c>
      <c r="BP42">
        <v>-12.429206349206355</v>
      </c>
      <c r="BQ42">
        <v>4.4192733686067065</v>
      </c>
      <c r="BR42">
        <v>-1.4210854715202004E-14</v>
      </c>
      <c r="BS42">
        <v>-13.709206349206353</v>
      </c>
      <c r="BT42">
        <v>4.8743844797178166</v>
      </c>
      <c r="BU42">
        <v>0</v>
      </c>
      <c r="BV42">
        <v>-13.709206349206346</v>
      </c>
      <c r="BW42">
        <v>4.8743844797178113</v>
      </c>
      <c r="BX42">
        <v>0</v>
      </c>
      <c r="BY42">
        <v>-6.5219047619047625</v>
      </c>
      <c r="BZ42">
        <v>2.3188994708994715</v>
      </c>
      <c r="CA42">
        <v>1.4210854715202004E-14</v>
      </c>
      <c r="CB42">
        <v>-6.5219047619047608</v>
      </c>
      <c r="CC42">
        <v>2.3188994708994706</v>
      </c>
      <c r="CD42">
        <v>1.4210854715202004E-14</v>
      </c>
      <c r="CE42">
        <v>-6.5219047619047608</v>
      </c>
      <c r="CF42">
        <v>2.3188994708994706</v>
      </c>
      <c r="CG42">
        <v>0</v>
      </c>
      <c r="CH42">
        <v>-6.5219047619047625</v>
      </c>
      <c r="CI42">
        <v>2.3188994708994715</v>
      </c>
      <c r="CJ42">
        <f t="shared" si="1"/>
        <v>-6.5219047619047608</v>
      </c>
      <c r="CK42">
        <f t="shared" si="2"/>
        <v>-21.556825396825396</v>
      </c>
      <c r="CL42">
        <f t="shared" si="3"/>
        <v>7.664649029982364</v>
      </c>
      <c r="CM42">
        <f t="shared" si="4"/>
        <v>2.3188994708994706</v>
      </c>
    </row>
    <row r="43" spans="1:91" x14ac:dyDescent="0.25">
      <c r="A43">
        <f>Shear_Wall_Foundation!A171</f>
        <v>36</v>
      </c>
      <c r="B43">
        <f>Shear_Wall_Foundation!B171</f>
        <v>0</v>
      </c>
      <c r="C43">
        <v>0</v>
      </c>
      <c r="D43">
        <f t="shared" si="0"/>
        <v>1.75</v>
      </c>
      <c r="E43">
        <v>0</v>
      </c>
      <c r="F43" t="s">
        <v>182</v>
      </c>
      <c r="G43" t="str">
        <f>Shear_Wall_Foundation!E171</f>
        <v>D</v>
      </c>
      <c r="L43">
        <f t="shared" si="5"/>
        <v>0.8</v>
      </c>
      <c r="M43" cm="1">
        <f t="array" ref="M43:CI43">LRFD_Analysis(Lf_ft,L43,$B$4:$G$72,$J$4:$U$28)</f>
        <v>-1.4210854715202004E-14</v>
      </c>
      <c r="N43">
        <v>-11.41333333333333</v>
      </c>
      <c r="O43">
        <v>4.5653333333333332</v>
      </c>
      <c r="P43">
        <v>0</v>
      </c>
      <c r="Q43">
        <v>-23.222857142857137</v>
      </c>
      <c r="R43">
        <v>9.2891428571428527</v>
      </c>
      <c r="S43">
        <v>-2.8421709430404007E-14</v>
      </c>
      <c r="T43">
        <v>-24.251428571428576</v>
      </c>
      <c r="U43">
        <v>9.7005714285714308</v>
      </c>
      <c r="V43">
        <v>0</v>
      </c>
      <c r="W43">
        <v>-23.222857142857137</v>
      </c>
      <c r="X43">
        <v>9.2891428571428527</v>
      </c>
      <c r="Y43">
        <v>0</v>
      </c>
      <c r="Z43">
        <v>-13.982857142857142</v>
      </c>
      <c r="AA43">
        <v>5.5931428571428565</v>
      </c>
      <c r="AB43">
        <v>0</v>
      </c>
      <c r="AC43">
        <v>-17.274285714285714</v>
      </c>
      <c r="AD43">
        <v>6.9097142857142853</v>
      </c>
      <c r="AE43">
        <v>0</v>
      </c>
      <c r="AF43">
        <v>-13.982857142857142</v>
      </c>
      <c r="AG43">
        <v>5.5931428571428565</v>
      </c>
      <c r="AH43">
        <v>-1.4210854715202004E-14</v>
      </c>
      <c r="AI43">
        <v>-9.7828571428571465</v>
      </c>
      <c r="AJ43">
        <v>3.9131428571428586</v>
      </c>
      <c r="AK43">
        <v>1.4210854715202004E-14</v>
      </c>
      <c r="AL43">
        <v>-13.074285714285715</v>
      </c>
      <c r="AM43">
        <v>5.2297142857142855</v>
      </c>
      <c r="AN43">
        <v>-1.4210854715202004E-14</v>
      </c>
      <c r="AO43">
        <v>-9.7828571428571465</v>
      </c>
      <c r="AP43">
        <v>3.9131428571428586</v>
      </c>
      <c r="AQ43">
        <v>-1.4210854715202004E-14</v>
      </c>
      <c r="AR43">
        <v>-9.7828571428571465</v>
      </c>
      <c r="AS43">
        <v>3.9131428571428586</v>
      </c>
      <c r="AT43">
        <v>1.4210854715202004E-14</v>
      </c>
      <c r="AU43">
        <v>-13.074285714285715</v>
      </c>
      <c r="AV43">
        <v>5.2297142857142855</v>
      </c>
      <c r="AW43">
        <v>-1.4210854715202004E-14</v>
      </c>
      <c r="AX43">
        <v>-9.7828571428571465</v>
      </c>
      <c r="AY43">
        <v>3.9131428571428586</v>
      </c>
      <c r="AZ43">
        <v>0</v>
      </c>
      <c r="BA43">
        <v>-13.982857142857142</v>
      </c>
      <c r="BB43">
        <v>5.5931428571428565</v>
      </c>
      <c r="BC43">
        <v>-1.4210854715202004E-14</v>
      </c>
      <c r="BD43">
        <v>-15.011428571428574</v>
      </c>
      <c r="BE43">
        <v>6.0045714285714276</v>
      </c>
      <c r="BF43">
        <v>0</v>
      </c>
      <c r="BG43">
        <v>-13.982857142857142</v>
      </c>
      <c r="BH43">
        <v>5.5931428571428565</v>
      </c>
      <c r="BI43">
        <v>-2.8421709430404007E-14</v>
      </c>
      <c r="BJ43">
        <v>-13.982857142857149</v>
      </c>
      <c r="BK43">
        <v>5.5931428571428601</v>
      </c>
      <c r="BL43">
        <v>0</v>
      </c>
      <c r="BM43">
        <v>-15.011428571428571</v>
      </c>
      <c r="BN43">
        <v>6.0045714285714311</v>
      </c>
      <c r="BO43">
        <v>-2.8421709430404007E-14</v>
      </c>
      <c r="BP43">
        <v>-13.982857142857149</v>
      </c>
      <c r="BQ43">
        <v>5.5931428571428601</v>
      </c>
      <c r="BR43">
        <v>-1.4210854715202004E-14</v>
      </c>
      <c r="BS43">
        <v>-15.422857142857147</v>
      </c>
      <c r="BT43">
        <v>6.1691428571428588</v>
      </c>
      <c r="BU43">
        <v>0</v>
      </c>
      <c r="BV43">
        <v>-15.42285714285714</v>
      </c>
      <c r="BW43">
        <v>6.169142857142857</v>
      </c>
      <c r="BX43">
        <v>0</v>
      </c>
      <c r="BY43">
        <v>-7.3371428571428581</v>
      </c>
      <c r="BZ43">
        <v>2.9348571428571448</v>
      </c>
      <c r="CA43">
        <v>1.4210854715202004E-14</v>
      </c>
      <c r="CB43">
        <v>-7.3371428571428545</v>
      </c>
      <c r="CC43">
        <v>2.9348571428571422</v>
      </c>
      <c r="CD43">
        <v>1.4210854715202004E-14</v>
      </c>
      <c r="CE43">
        <v>-7.3371428571428545</v>
      </c>
      <c r="CF43">
        <v>2.9348571428571422</v>
      </c>
      <c r="CG43">
        <v>0</v>
      </c>
      <c r="CH43">
        <v>-7.3371428571428581</v>
      </c>
      <c r="CI43">
        <v>2.9348571428571448</v>
      </c>
      <c r="CJ43">
        <f t="shared" si="1"/>
        <v>-7.3371428571428545</v>
      </c>
      <c r="CK43">
        <f t="shared" si="2"/>
        <v>-24.251428571428576</v>
      </c>
      <c r="CL43">
        <f t="shared" si="3"/>
        <v>9.7005714285714308</v>
      </c>
      <c r="CM43">
        <f t="shared" si="4"/>
        <v>2.9348571428571422</v>
      </c>
    </row>
    <row r="44" spans="1:91" x14ac:dyDescent="0.25">
      <c r="A44">
        <f>Shear_Wall_Foundation!A172</f>
        <v>37</v>
      </c>
      <c r="B44">
        <f>Shear_Wall_Foundation!B172</f>
        <v>0</v>
      </c>
      <c r="C44">
        <v>0</v>
      </c>
      <c r="D44">
        <f t="shared" si="0"/>
        <v>1.75</v>
      </c>
      <c r="E44">
        <v>0</v>
      </c>
      <c r="F44" t="s">
        <v>182</v>
      </c>
      <c r="G44" t="str">
        <f>Shear_Wall_Foundation!E172</f>
        <v>D</v>
      </c>
      <c r="L44">
        <f t="shared" si="5"/>
        <v>0.88888888888888895</v>
      </c>
      <c r="M44" cm="1">
        <f t="array" ref="M44:CI44">LRFD_Analysis(Lf_ft,L44,$B$4:$G$72,$J$4:$U$28)</f>
        <v>-1.4210854715202004E-14</v>
      </c>
      <c r="N44">
        <v>-12.68148148148148</v>
      </c>
      <c r="O44">
        <v>5.636213991769548</v>
      </c>
      <c r="P44">
        <v>0</v>
      </c>
      <c r="Q44">
        <v>-25.803174603174604</v>
      </c>
      <c r="R44">
        <v>11.468077601410934</v>
      </c>
      <c r="S44">
        <v>-2.8421709430404007E-14</v>
      </c>
      <c r="T44">
        <v>-26.94603174603175</v>
      </c>
      <c r="U44">
        <v>11.976014109347444</v>
      </c>
      <c r="V44">
        <v>0</v>
      </c>
      <c r="W44">
        <v>-25.803174603174604</v>
      </c>
      <c r="X44">
        <v>11.468077601410934</v>
      </c>
      <c r="Y44">
        <v>0</v>
      </c>
      <c r="Z44">
        <v>-15.536507936507938</v>
      </c>
      <c r="AA44">
        <v>6.9051146384479729</v>
      </c>
      <c r="AB44">
        <v>0</v>
      </c>
      <c r="AC44">
        <v>-19.193650793650797</v>
      </c>
      <c r="AD44">
        <v>8.5305114638447979</v>
      </c>
      <c r="AE44">
        <v>0</v>
      </c>
      <c r="AF44">
        <v>-15.536507936507938</v>
      </c>
      <c r="AG44">
        <v>6.9051146384479729</v>
      </c>
      <c r="AH44">
        <v>-1.4210854715202004E-14</v>
      </c>
      <c r="AI44">
        <v>-10.869841269841274</v>
      </c>
      <c r="AJ44">
        <v>4.8310405643738985</v>
      </c>
      <c r="AK44">
        <v>1.4210854715202004E-14</v>
      </c>
      <c r="AL44">
        <v>-14.526984126984129</v>
      </c>
      <c r="AM44">
        <v>6.4564373897707235</v>
      </c>
      <c r="AN44">
        <v>-1.4210854715202004E-14</v>
      </c>
      <c r="AO44">
        <v>-10.869841269841274</v>
      </c>
      <c r="AP44">
        <v>4.8310405643738985</v>
      </c>
      <c r="AQ44">
        <v>-1.4210854715202004E-14</v>
      </c>
      <c r="AR44">
        <v>-10.869841269841274</v>
      </c>
      <c r="AS44">
        <v>4.8310405643738985</v>
      </c>
      <c r="AT44">
        <v>1.4210854715202004E-14</v>
      </c>
      <c r="AU44">
        <v>-14.526984126984129</v>
      </c>
      <c r="AV44">
        <v>6.4564373897707235</v>
      </c>
      <c r="AW44">
        <v>-1.4210854715202004E-14</v>
      </c>
      <c r="AX44">
        <v>-10.869841269841274</v>
      </c>
      <c r="AY44">
        <v>4.8310405643738985</v>
      </c>
      <c r="AZ44">
        <v>0</v>
      </c>
      <c r="BA44">
        <v>-15.536507936507938</v>
      </c>
      <c r="BB44">
        <v>6.9051146384479729</v>
      </c>
      <c r="BC44">
        <v>-1.4210854715202004E-14</v>
      </c>
      <c r="BD44">
        <v>-16.679365079365088</v>
      </c>
      <c r="BE44">
        <v>7.4130511463844826</v>
      </c>
      <c r="BF44">
        <v>0</v>
      </c>
      <c r="BG44">
        <v>-15.536507936507938</v>
      </c>
      <c r="BH44">
        <v>6.9051146384479729</v>
      </c>
      <c r="BI44">
        <v>-2.8421709430404007E-14</v>
      </c>
      <c r="BJ44">
        <v>-15.536507936507945</v>
      </c>
      <c r="BK44">
        <v>6.9051146384479782</v>
      </c>
      <c r="BL44">
        <v>0</v>
      </c>
      <c r="BM44">
        <v>-16.679365079365081</v>
      </c>
      <c r="BN44">
        <v>7.4130511463844826</v>
      </c>
      <c r="BO44">
        <v>-2.8421709430404007E-14</v>
      </c>
      <c r="BP44">
        <v>-15.536507936507945</v>
      </c>
      <c r="BQ44">
        <v>6.9051146384479782</v>
      </c>
      <c r="BR44">
        <v>-1.4210854715202004E-14</v>
      </c>
      <c r="BS44">
        <v>-17.136507936507943</v>
      </c>
      <c r="BT44">
        <v>7.616225749559085</v>
      </c>
      <c r="BU44">
        <v>0</v>
      </c>
      <c r="BV44">
        <v>-17.136507936507936</v>
      </c>
      <c r="BW44">
        <v>7.6162257495590833</v>
      </c>
      <c r="BX44">
        <v>0</v>
      </c>
      <c r="BY44">
        <v>-8.1523809523809554</v>
      </c>
      <c r="BZ44">
        <v>3.6232804232804217</v>
      </c>
      <c r="CA44">
        <v>1.4210854715202004E-14</v>
      </c>
      <c r="CB44">
        <v>-8.1523809523809518</v>
      </c>
      <c r="CC44">
        <v>3.6232804232804199</v>
      </c>
      <c r="CD44">
        <v>1.4210854715202004E-14</v>
      </c>
      <c r="CE44">
        <v>-8.1523809523809518</v>
      </c>
      <c r="CF44">
        <v>3.6232804232804199</v>
      </c>
      <c r="CG44">
        <v>0</v>
      </c>
      <c r="CH44">
        <v>-8.1523809523809554</v>
      </c>
      <c r="CI44">
        <v>3.6232804232804217</v>
      </c>
      <c r="CJ44">
        <f t="shared" si="1"/>
        <v>-8.1523809523809518</v>
      </c>
      <c r="CK44">
        <f t="shared" si="2"/>
        <v>-26.94603174603175</v>
      </c>
      <c r="CL44">
        <f t="shared" si="3"/>
        <v>11.976014109347444</v>
      </c>
      <c r="CM44">
        <f t="shared" si="4"/>
        <v>3.6232804232804199</v>
      </c>
    </row>
    <row r="45" spans="1:91" x14ac:dyDescent="0.25">
      <c r="A45">
        <f>Shear_Wall_Foundation!A173</f>
        <v>38</v>
      </c>
      <c r="B45">
        <f>Shear_Wall_Foundation!B173</f>
        <v>0</v>
      </c>
      <c r="C45">
        <v>0</v>
      </c>
      <c r="D45">
        <f t="shared" si="0"/>
        <v>1.75</v>
      </c>
      <c r="E45">
        <v>0</v>
      </c>
      <c r="F45" t="s">
        <v>182</v>
      </c>
      <c r="G45" t="str">
        <f>Shear_Wall_Foundation!E173</f>
        <v>D</v>
      </c>
      <c r="L45">
        <f t="shared" si="5"/>
        <v>0.97777777777777786</v>
      </c>
      <c r="M45" cm="1">
        <f t="array" ref="M45:CI45">LRFD_Analysis(Lf_ft,L45,$B$4:$G$72,$J$4:$U$28)</f>
        <v>-1.4210854715202004E-14</v>
      </c>
      <c r="N45">
        <v>-13.94962962962963</v>
      </c>
      <c r="O45">
        <v>6.8198189300411567</v>
      </c>
      <c r="P45">
        <v>0</v>
      </c>
      <c r="Q45">
        <v>-28.38349206349206</v>
      </c>
      <c r="R45">
        <v>13.876373897707232</v>
      </c>
      <c r="S45">
        <v>-2.8421709430404007E-14</v>
      </c>
      <c r="T45">
        <v>-29.640634920634927</v>
      </c>
      <c r="U45">
        <v>14.490977072310411</v>
      </c>
      <c r="V45">
        <v>0</v>
      </c>
      <c r="W45">
        <v>-28.38349206349206</v>
      </c>
      <c r="X45">
        <v>13.876373897707232</v>
      </c>
      <c r="Y45">
        <v>0</v>
      </c>
      <c r="Z45">
        <v>-17.090158730158731</v>
      </c>
      <c r="AA45">
        <v>8.3551887125220468</v>
      </c>
      <c r="AB45">
        <v>0</v>
      </c>
      <c r="AC45">
        <v>-21.113015873015872</v>
      </c>
      <c r="AD45">
        <v>10.321918871252205</v>
      </c>
      <c r="AE45">
        <v>0</v>
      </c>
      <c r="AF45">
        <v>-17.090158730158731</v>
      </c>
      <c r="AG45">
        <v>8.3551887125220468</v>
      </c>
      <c r="AH45">
        <v>-1.4210854715202004E-14</v>
      </c>
      <c r="AI45">
        <v>-11.956825396825401</v>
      </c>
      <c r="AJ45">
        <v>5.8455590828924224</v>
      </c>
      <c r="AK45">
        <v>1.4210854715202004E-14</v>
      </c>
      <c r="AL45">
        <v>-15.979682539682539</v>
      </c>
      <c r="AM45">
        <v>7.8122892416225769</v>
      </c>
      <c r="AN45">
        <v>-1.4210854715202004E-14</v>
      </c>
      <c r="AO45">
        <v>-11.956825396825401</v>
      </c>
      <c r="AP45">
        <v>5.8455590828924224</v>
      </c>
      <c r="AQ45">
        <v>-1.4210854715202004E-14</v>
      </c>
      <c r="AR45">
        <v>-11.956825396825401</v>
      </c>
      <c r="AS45">
        <v>5.8455590828924224</v>
      </c>
      <c r="AT45">
        <v>1.4210854715202004E-14</v>
      </c>
      <c r="AU45">
        <v>-15.979682539682539</v>
      </c>
      <c r="AV45">
        <v>7.8122892416225769</v>
      </c>
      <c r="AW45">
        <v>-1.4210854715202004E-14</v>
      </c>
      <c r="AX45">
        <v>-11.956825396825401</v>
      </c>
      <c r="AY45">
        <v>5.8455590828924224</v>
      </c>
      <c r="AZ45">
        <v>0</v>
      </c>
      <c r="BA45">
        <v>-17.090158730158731</v>
      </c>
      <c r="BB45">
        <v>8.3551887125220468</v>
      </c>
      <c r="BC45">
        <v>-1.4210854715202004E-14</v>
      </c>
      <c r="BD45">
        <v>-18.34730158730159</v>
      </c>
      <c r="BE45">
        <v>8.9697918871252185</v>
      </c>
      <c r="BF45">
        <v>0</v>
      </c>
      <c r="BG45">
        <v>-17.090158730158731</v>
      </c>
      <c r="BH45">
        <v>8.3551887125220468</v>
      </c>
      <c r="BI45">
        <v>-2.8421709430404007E-14</v>
      </c>
      <c r="BJ45">
        <v>-17.090158730158738</v>
      </c>
      <c r="BK45">
        <v>8.3551887125220503</v>
      </c>
      <c r="BL45">
        <v>0</v>
      </c>
      <c r="BM45">
        <v>-18.347301587301583</v>
      </c>
      <c r="BN45">
        <v>8.9697918871252149</v>
      </c>
      <c r="BO45">
        <v>-2.8421709430404007E-14</v>
      </c>
      <c r="BP45">
        <v>-17.090158730158738</v>
      </c>
      <c r="BQ45">
        <v>8.3551887125220503</v>
      </c>
      <c r="BR45">
        <v>-1.4210854715202004E-14</v>
      </c>
      <c r="BS45">
        <v>-18.850158730158736</v>
      </c>
      <c r="BT45">
        <v>9.2156331569664935</v>
      </c>
      <c r="BU45">
        <v>0</v>
      </c>
      <c r="BV45">
        <v>-18.850158730158729</v>
      </c>
      <c r="BW45">
        <v>9.21563315696649</v>
      </c>
      <c r="BX45">
        <v>0</v>
      </c>
      <c r="BY45">
        <v>-8.9676190476190527</v>
      </c>
      <c r="BZ45">
        <v>4.3841693121693162</v>
      </c>
      <c r="CA45">
        <v>1.4210854715202004E-14</v>
      </c>
      <c r="CB45">
        <v>-8.9676190476190492</v>
      </c>
      <c r="CC45">
        <v>4.3841693121693144</v>
      </c>
      <c r="CD45">
        <v>1.4210854715202004E-14</v>
      </c>
      <c r="CE45">
        <v>-8.9676190476190492</v>
      </c>
      <c r="CF45">
        <v>4.3841693121693144</v>
      </c>
      <c r="CG45">
        <v>0</v>
      </c>
      <c r="CH45">
        <v>-8.9676190476190527</v>
      </c>
      <c r="CI45">
        <v>4.3841693121693162</v>
      </c>
      <c r="CJ45">
        <f t="shared" si="1"/>
        <v>-8.9676190476190492</v>
      </c>
      <c r="CK45">
        <f t="shared" si="2"/>
        <v>-29.640634920634927</v>
      </c>
      <c r="CL45">
        <f t="shared" si="3"/>
        <v>14.490977072310411</v>
      </c>
      <c r="CM45">
        <f t="shared" si="4"/>
        <v>4.3841693121693144</v>
      </c>
    </row>
    <row r="46" spans="1:91" x14ac:dyDescent="0.25">
      <c r="A46">
        <f>Shear_Wall_Foundation!A174</f>
        <v>39</v>
      </c>
      <c r="B46">
        <f>Shear_Wall_Foundation!B174</f>
        <v>0</v>
      </c>
      <c r="C46">
        <v>0</v>
      </c>
      <c r="D46">
        <f t="shared" si="0"/>
        <v>1.75</v>
      </c>
      <c r="E46">
        <v>0</v>
      </c>
      <c r="F46" t="s">
        <v>182</v>
      </c>
      <c r="G46" t="str">
        <f>Shear_Wall_Foundation!E174</f>
        <v>D</v>
      </c>
      <c r="L46">
        <f t="shared" si="5"/>
        <v>1.0666666666666667</v>
      </c>
      <c r="M46" cm="1">
        <f t="array" ref="M46:CI46">LRFD_Analysis(Lf_ft,L46,$B$4:$G$72,$J$4:$U$28)</f>
        <v>-1.4210854715202004E-14</v>
      </c>
      <c r="N46">
        <v>-15.217777777777776</v>
      </c>
      <c r="O46">
        <v>8.1161481481481506</v>
      </c>
      <c r="P46">
        <v>0</v>
      </c>
      <c r="Q46">
        <v>-30.96380952380952</v>
      </c>
      <c r="R46">
        <v>16.514031746031748</v>
      </c>
      <c r="S46">
        <v>-2.8421709430404007E-14</v>
      </c>
      <c r="T46">
        <v>-32.335238095238097</v>
      </c>
      <c r="U46">
        <v>17.245460317460321</v>
      </c>
      <c r="V46">
        <v>0</v>
      </c>
      <c r="W46">
        <v>-30.96380952380952</v>
      </c>
      <c r="X46">
        <v>16.514031746031748</v>
      </c>
      <c r="Y46">
        <v>0</v>
      </c>
      <c r="Z46">
        <v>-18.643809523809519</v>
      </c>
      <c r="AA46">
        <v>9.9433650793650799</v>
      </c>
      <c r="AB46">
        <v>0</v>
      </c>
      <c r="AC46">
        <v>-23.032380952380951</v>
      </c>
      <c r="AD46">
        <v>12.283936507936509</v>
      </c>
      <c r="AE46">
        <v>0</v>
      </c>
      <c r="AF46">
        <v>-18.643809523809519</v>
      </c>
      <c r="AG46">
        <v>9.9433650793650799</v>
      </c>
      <c r="AH46">
        <v>-1.4210854715202004E-14</v>
      </c>
      <c r="AI46">
        <v>-13.043809523809525</v>
      </c>
      <c r="AJ46">
        <v>6.956698412698417</v>
      </c>
      <c r="AK46">
        <v>1.4210854715202004E-14</v>
      </c>
      <c r="AL46">
        <v>-17.432380952380949</v>
      </c>
      <c r="AM46">
        <v>9.2972698412698414</v>
      </c>
      <c r="AN46">
        <v>-1.4210854715202004E-14</v>
      </c>
      <c r="AO46">
        <v>-13.043809523809525</v>
      </c>
      <c r="AP46">
        <v>6.956698412698417</v>
      </c>
      <c r="AQ46">
        <v>-1.4210854715202004E-14</v>
      </c>
      <c r="AR46">
        <v>-13.043809523809525</v>
      </c>
      <c r="AS46">
        <v>6.956698412698417</v>
      </c>
      <c r="AT46">
        <v>1.4210854715202004E-14</v>
      </c>
      <c r="AU46">
        <v>-17.432380952380949</v>
      </c>
      <c r="AV46">
        <v>9.2972698412698414</v>
      </c>
      <c r="AW46">
        <v>-1.4210854715202004E-14</v>
      </c>
      <c r="AX46">
        <v>-13.043809523809525</v>
      </c>
      <c r="AY46">
        <v>6.956698412698417</v>
      </c>
      <c r="AZ46">
        <v>0</v>
      </c>
      <c r="BA46">
        <v>-18.643809523809519</v>
      </c>
      <c r="BB46">
        <v>9.9433650793650799</v>
      </c>
      <c r="BC46">
        <v>-1.4210854715202004E-14</v>
      </c>
      <c r="BD46">
        <v>-20.0152380952381</v>
      </c>
      <c r="BE46">
        <v>10.674793650793656</v>
      </c>
      <c r="BF46">
        <v>0</v>
      </c>
      <c r="BG46">
        <v>-18.643809523809519</v>
      </c>
      <c r="BH46">
        <v>9.9433650793650799</v>
      </c>
      <c r="BI46">
        <v>-2.8421709430404007E-14</v>
      </c>
      <c r="BJ46">
        <v>-18.643809523809526</v>
      </c>
      <c r="BK46">
        <v>9.9433650793650834</v>
      </c>
      <c r="BL46">
        <v>0</v>
      </c>
      <c r="BM46">
        <v>-20.015238095238093</v>
      </c>
      <c r="BN46">
        <v>10.674793650793653</v>
      </c>
      <c r="BO46">
        <v>-2.8421709430404007E-14</v>
      </c>
      <c r="BP46">
        <v>-18.643809523809526</v>
      </c>
      <c r="BQ46">
        <v>9.9433650793650834</v>
      </c>
      <c r="BR46">
        <v>-1.4210854715202004E-14</v>
      </c>
      <c r="BS46">
        <v>-20.563809523809528</v>
      </c>
      <c r="BT46">
        <v>10.967365079365084</v>
      </c>
      <c r="BU46">
        <v>0</v>
      </c>
      <c r="BV46">
        <v>-20.563809523809521</v>
      </c>
      <c r="BW46">
        <v>10.967365079365081</v>
      </c>
      <c r="BX46">
        <v>0</v>
      </c>
      <c r="BY46">
        <v>-9.7828571428571429</v>
      </c>
      <c r="BZ46">
        <v>5.2175238095238115</v>
      </c>
      <c r="CA46">
        <v>1.4210854715202004E-14</v>
      </c>
      <c r="CB46">
        <v>-9.7828571428571394</v>
      </c>
      <c r="CC46">
        <v>5.2175238095238097</v>
      </c>
      <c r="CD46">
        <v>1.4210854715202004E-14</v>
      </c>
      <c r="CE46">
        <v>-9.7828571428571394</v>
      </c>
      <c r="CF46">
        <v>5.2175238095238097</v>
      </c>
      <c r="CG46">
        <v>0</v>
      </c>
      <c r="CH46">
        <v>-9.7828571428571429</v>
      </c>
      <c r="CI46">
        <v>5.2175238095238115</v>
      </c>
      <c r="CJ46">
        <f t="shared" si="1"/>
        <v>-9.7828571428571394</v>
      </c>
      <c r="CK46">
        <f t="shared" si="2"/>
        <v>-32.335238095238097</v>
      </c>
      <c r="CL46">
        <f t="shared" si="3"/>
        <v>17.245460317460321</v>
      </c>
      <c r="CM46">
        <f t="shared" si="4"/>
        <v>5.2175238095238097</v>
      </c>
    </row>
    <row r="47" spans="1:91" x14ac:dyDescent="0.25">
      <c r="A47">
        <f>Shear_Wall_Foundation!A175</f>
        <v>40</v>
      </c>
      <c r="B47">
        <f>Shear_Wall_Foundation!B175</f>
        <v>0</v>
      </c>
      <c r="C47">
        <v>0</v>
      </c>
      <c r="D47">
        <f t="shared" si="0"/>
        <v>1.75</v>
      </c>
      <c r="E47">
        <v>0</v>
      </c>
      <c r="F47" t="s">
        <v>182</v>
      </c>
      <c r="G47" t="str">
        <f>Shear_Wall_Foundation!E175</f>
        <v>D</v>
      </c>
      <c r="L47">
        <f t="shared" si="5"/>
        <v>1.1555555555555554</v>
      </c>
      <c r="M47" cm="1">
        <f t="array" ref="M47:CI47">LRFD_Analysis(Lf_ft,L47,$B$4:$G$72,$J$4:$U$28)</f>
        <v>-1.4210854715202004E-14</v>
      </c>
      <c r="N47">
        <v>-16.485925925925919</v>
      </c>
      <c r="O47">
        <v>9.5252016460905331</v>
      </c>
      <c r="P47">
        <v>0</v>
      </c>
      <c r="Q47">
        <v>-33.544126984126976</v>
      </c>
      <c r="R47">
        <v>19.381051146384472</v>
      </c>
      <c r="S47">
        <v>-2.8421709430404007E-14</v>
      </c>
      <c r="T47">
        <v>-35.02984126984127</v>
      </c>
      <c r="U47">
        <v>20.239463844797175</v>
      </c>
      <c r="V47">
        <v>0</v>
      </c>
      <c r="W47">
        <v>-33.544126984126976</v>
      </c>
      <c r="X47">
        <v>19.381051146384472</v>
      </c>
      <c r="Y47">
        <v>0</v>
      </c>
      <c r="Z47">
        <v>-20.197460317460315</v>
      </c>
      <c r="AA47">
        <v>11.669643738977069</v>
      </c>
      <c r="AB47">
        <v>0</v>
      </c>
      <c r="AC47">
        <v>-24.95174603174603</v>
      </c>
      <c r="AD47">
        <v>14.416564373897703</v>
      </c>
      <c r="AE47">
        <v>0</v>
      </c>
      <c r="AF47">
        <v>-20.197460317460315</v>
      </c>
      <c r="AG47">
        <v>11.669643738977069</v>
      </c>
      <c r="AH47">
        <v>-1.4210854715202004E-14</v>
      </c>
      <c r="AI47">
        <v>-14.130793650793652</v>
      </c>
      <c r="AJ47">
        <v>8.1644585537918921</v>
      </c>
      <c r="AK47">
        <v>1.4210854715202004E-14</v>
      </c>
      <c r="AL47">
        <v>-18.88507936507936</v>
      </c>
      <c r="AM47">
        <v>10.911379188712512</v>
      </c>
      <c r="AN47">
        <v>-1.4210854715202004E-14</v>
      </c>
      <c r="AO47">
        <v>-14.130793650793652</v>
      </c>
      <c r="AP47">
        <v>8.1644585537918921</v>
      </c>
      <c r="AQ47">
        <v>-1.4210854715202004E-14</v>
      </c>
      <c r="AR47">
        <v>-14.130793650793652</v>
      </c>
      <c r="AS47">
        <v>8.1644585537918921</v>
      </c>
      <c r="AT47">
        <v>1.4210854715202004E-14</v>
      </c>
      <c r="AU47">
        <v>-18.88507936507936</v>
      </c>
      <c r="AV47">
        <v>10.911379188712512</v>
      </c>
      <c r="AW47">
        <v>-1.4210854715202004E-14</v>
      </c>
      <c r="AX47">
        <v>-14.130793650793652</v>
      </c>
      <c r="AY47">
        <v>8.1644585537918921</v>
      </c>
      <c r="AZ47">
        <v>0</v>
      </c>
      <c r="BA47">
        <v>-20.197460317460315</v>
      </c>
      <c r="BB47">
        <v>11.669643738977069</v>
      </c>
      <c r="BC47">
        <v>-1.4210854715202004E-14</v>
      </c>
      <c r="BD47">
        <v>-21.683174603174603</v>
      </c>
      <c r="BE47">
        <v>12.528056437389765</v>
      </c>
      <c r="BF47">
        <v>0</v>
      </c>
      <c r="BG47">
        <v>-20.197460317460315</v>
      </c>
      <c r="BH47">
        <v>11.669643738977069</v>
      </c>
      <c r="BI47">
        <v>-2.8421709430404007E-14</v>
      </c>
      <c r="BJ47">
        <v>-20.197460317460322</v>
      </c>
      <c r="BK47">
        <v>11.669643738977072</v>
      </c>
      <c r="BL47">
        <v>0</v>
      </c>
      <c r="BM47">
        <v>-21.683174603174596</v>
      </c>
      <c r="BN47">
        <v>12.528056437389765</v>
      </c>
      <c r="BO47">
        <v>-2.8421709430404007E-14</v>
      </c>
      <c r="BP47">
        <v>-20.197460317460322</v>
      </c>
      <c r="BQ47">
        <v>11.669643738977072</v>
      </c>
      <c r="BR47">
        <v>-1.4210854715202004E-14</v>
      </c>
      <c r="BS47">
        <v>-22.277460317460321</v>
      </c>
      <c r="BT47">
        <v>12.87142151675485</v>
      </c>
      <c r="BU47">
        <v>0</v>
      </c>
      <c r="BV47">
        <v>-22.277460317460314</v>
      </c>
      <c r="BW47">
        <v>12.87142151675485</v>
      </c>
      <c r="BX47">
        <v>0</v>
      </c>
      <c r="BY47">
        <v>-10.598095238095237</v>
      </c>
      <c r="BZ47">
        <v>6.1233439153439155</v>
      </c>
      <c r="CA47">
        <v>1.4210854715202004E-14</v>
      </c>
      <c r="CB47">
        <v>-10.598095238095233</v>
      </c>
      <c r="CC47">
        <v>6.1233439153439138</v>
      </c>
      <c r="CD47">
        <v>1.4210854715202004E-14</v>
      </c>
      <c r="CE47">
        <v>-10.598095238095233</v>
      </c>
      <c r="CF47">
        <v>6.1233439153439138</v>
      </c>
      <c r="CG47">
        <v>0</v>
      </c>
      <c r="CH47">
        <v>-10.598095238095237</v>
      </c>
      <c r="CI47">
        <v>6.1233439153439155</v>
      </c>
      <c r="CJ47">
        <f t="shared" si="1"/>
        <v>-10.598095238095233</v>
      </c>
      <c r="CK47">
        <f t="shared" si="2"/>
        <v>-35.02984126984127</v>
      </c>
      <c r="CL47">
        <f t="shared" si="3"/>
        <v>20.239463844797175</v>
      </c>
      <c r="CM47">
        <f t="shared" si="4"/>
        <v>6.1233439153439138</v>
      </c>
    </row>
    <row r="48" spans="1:91" x14ac:dyDescent="0.25">
      <c r="A48" s="95" t="str">
        <f>Shear_Wall_Foundation!A444</f>
        <v>16-1</v>
      </c>
      <c r="B48">
        <f>-0.5*(Shear_Wall_Foundation!B444+Shear_Wall_Foundation!D444)*ABS(Shear_Wall_Foundation!E444-Shear_Wall_Foundation!C444)</f>
        <v>-32.641666666666666</v>
      </c>
      <c r="C48">
        <v>0</v>
      </c>
      <c r="D48">
        <v>0</v>
      </c>
      <c r="E48">
        <f t="shared" ref="E48:E72" si="6">Bf_ft</f>
        <v>3.5</v>
      </c>
      <c r="F48" t="s">
        <v>177</v>
      </c>
      <c r="G48" t="str">
        <f>A48</f>
        <v>16-1</v>
      </c>
      <c r="L48">
        <f t="shared" si="5"/>
        <v>1.2444444444444442</v>
      </c>
      <c r="M48" cm="1">
        <f t="array" ref="M48:CI48">LRFD_Analysis(Lf_ft,L48,$B$4:$G$72,$J$4:$U$28)</f>
        <v>-1.4210854715202004E-14</v>
      </c>
      <c r="N48">
        <v>-17.754074074074072</v>
      </c>
      <c r="O48">
        <v>11.046979423868313</v>
      </c>
      <c r="P48">
        <v>0</v>
      </c>
      <c r="Q48">
        <v>-36.124444444444435</v>
      </c>
      <c r="R48">
        <v>22.477432098765409</v>
      </c>
      <c r="S48">
        <v>-2.8421709430404007E-14</v>
      </c>
      <c r="T48">
        <v>-37.724444444444444</v>
      </c>
      <c r="U48">
        <v>23.472987654320978</v>
      </c>
      <c r="V48">
        <v>0</v>
      </c>
      <c r="W48">
        <v>-36.124444444444435</v>
      </c>
      <c r="X48">
        <v>22.477432098765409</v>
      </c>
      <c r="Y48">
        <v>0</v>
      </c>
      <c r="Z48">
        <v>-21.751111111111104</v>
      </c>
      <c r="AA48">
        <v>13.534024691358017</v>
      </c>
      <c r="AB48">
        <v>0</v>
      </c>
      <c r="AC48">
        <v>-26.871111111111102</v>
      </c>
      <c r="AD48">
        <v>16.719802469135793</v>
      </c>
      <c r="AE48">
        <v>0</v>
      </c>
      <c r="AF48">
        <v>-21.751111111111104</v>
      </c>
      <c r="AG48">
        <v>13.534024691358017</v>
      </c>
      <c r="AH48">
        <v>-1.4210854715202004E-14</v>
      </c>
      <c r="AI48">
        <v>-15.21777777777778</v>
      </c>
      <c r="AJ48">
        <v>9.4688395061728414</v>
      </c>
      <c r="AK48">
        <v>1.4210854715202004E-14</v>
      </c>
      <c r="AL48">
        <v>-20.33777777777777</v>
      </c>
      <c r="AM48">
        <v>12.654617283950603</v>
      </c>
      <c r="AN48">
        <v>-1.4210854715202004E-14</v>
      </c>
      <c r="AO48">
        <v>-15.21777777777778</v>
      </c>
      <c r="AP48">
        <v>9.4688395061728414</v>
      </c>
      <c r="AQ48">
        <v>-1.4210854715202004E-14</v>
      </c>
      <c r="AR48">
        <v>-15.21777777777778</v>
      </c>
      <c r="AS48">
        <v>9.4688395061728414</v>
      </c>
      <c r="AT48">
        <v>1.4210854715202004E-14</v>
      </c>
      <c r="AU48">
        <v>-20.33777777777777</v>
      </c>
      <c r="AV48">
        <v>12.654617283950603</v>
      </c>
      <c r="AW48">
        <v>-1.4210854715202004E-14</v>
      </c>
      <c r="AX48">
        <v>-15.21777777777778</v>
      </c>
      <c r="AY48">
        <v>9.4688395061728414</v>
      </c>
      <c r="AZ48">
        <v>0</v>
      </c>
      <c r="BA48">
        <v>-21.751111111111104</v>
      </c>
      <c r="BB48">
        <v>13.534024691358017</v>
      </c>
      <c r="BC48">
        <v>-1.4210854715202004E-14</v>
      </c>
      <c r="BD48">
        <v>-23.351111111111113</v>
      </c>
      <c r="BE48">
        <v>14.529580246913579</v>
      </c>
      <c r="BF48">
        <v>0</v>
      </c>
      <c r="BG48">
        <v>-21.751111111111104</v>
      </c>
      <c r="BH48">
        <v>13.534024691358017</v>
      </c>
      <c r="BI48">
        <v>-2.8421709430404007E-14</v>
      </c>
      <c r="BJ48">
        <v>-21.751111111111111</v>
      </c>
      <c r="BK48">
        <v>13.534024691358017</v>
      </c>
      <c r="BL48">
        <v>0</v>
      </c>
      <c r="BM48">
        <v>-23.351111111111106</v>
      </c>
      <c r="BN48">
        <v>14.529580246913572</v>
      </c>
      <c r="BO48">
        <v>-2.8421709430404007E-14</v>
      </c>
      <c r="BP48">
        <v>-21.751111111111111</v>
      </c>
      <c r="BQ48">
        <v>13.534024691358017</v>
      </c>
      <c r="BR48">
        <v>-1.4210854715202004E-14</v>
      </c>
      <c r="BS48">
        <v>-23.991111111111113</v>
      </c>
      <c r="BT48">
        <v>14.927802469135798</v>
      </c>
      <c r="BU48">
        <v>0</v>
      </c>
      <c r="BV48">
        <v>-23.991111111111099</v>
      </c>
      <c r="BW48">
        <v>14.927802469135791</v>
      </c>
      <c r="BX48">
        <v>0</v>
      </c>
      <c r="BY48">
        <v>-11.413333333333334</v>
      </c>
      <c r="BZ48">
        <v>7.1016296296296257</v>
      </c>
      <c r="CA48">
        <v>1.4210854715202004E-14</v>
      </c>
      <c r="CB48">
        <v>-11.41333333333333</v>
      </c>
      <c r="CC48">
        <v>7.1016296296296257</v>
      </c>
      <c r="CD48">
        <v>1.4210854715202004E-14</v>
      </c>
      <c r="CE48">
        <v>-11.41333333333333</v>
      </c>
      <c r="CF48">
        <v>7.1016296296296257</v>
      </c>
      <c r="CG48">
        <v>0</v>
      </c>
      <c r="CH48">
        <v>-11.413333333333334</v>
      </c>
      <c r="CI48">
        <v>7.1016296296296257</v>
      </c>
      <c r="CJ48">
        <f t="shared" si="1"/>
        <v>-11.41333333333333</v>
      </c>
      <c r="CK48">
        <f t="shared" si="2"/>
        <v>-37.724444444444444</v>
      </c>
      <c r="CL48">
        <f t="shared" si="3"/>
        <v>23.472987654320978</v>
      </c>
      <c r="CM48">
        <f t="shared" si="4"/>
        <v>7.1016296296296257</v>
      </c>
    </row>
    <row r="49" spans="1:91" x14ac:dyDescent="0.25">
      <c r="A49" s="95" t="str">
        <f>Shear_Wall_Foundation!A445</f>
        <v>16-2Lr</v>
      </c>
      <c r="B49">
        <f>-0.5*(Shear_Wall_Foundation!B445+Shear_Wall_Foundation!D445)*ABS(Shear_Wall_Foundation!E445-Shear_Wall_Foundation!C445)</f>
        <v>-44.778571428571425</v>
      </c>
      <c r="C49">
        <v>0</v>
      </c>
      <c r="D49">
        <v>0</v>
      </c>
      <c r="E49">
        <f t="shared" si="6"/>
        <v>3.5</v>
      </c>
      <c r="F49" t="s">
        <v>177</v>
      </c>
      <c r="G49" t="str">
        <f t="shared" ref="G49:G72" si="7">A49</f>
        <v>16-2Lr</v>
      </c>
      <c r="L49">
        <f>D5</f>
        <v>1.3333333333333333</v>
      </c>
      <c r="M49" cm="1">
        <f t="array" ref="M49:CI49">LRFD_Analysis(Lf_ft,L49,$B$4:$G$72,$J$4:$U$28)</f>
        <v>-1.4210854715202004E-14</v>
      </c>
      <c r="N49">
        <v>-19.022222222222219</v>
      </c>
      <c r="O49">
        <v>12.68148148148148</v>
      </c>
      <c r="P49">
        <v>0</v>
      </c>
      <c r="Q49">
        <v>-38.704761904761895</v>
      </c>
      <c r="R49">
        <v>25.803174603174597</v>
      </c>
      <c r="S49">
        <v>-2.8421709430404007E-14</v>
      </c>
      <c r="T49">
        <v>-40.419047619047618</v>
      </c>
      <c r="U49">
        <v>26.946031746031743</v>
      </c>
      <c r="V49">
        <v>0</v>
      </c>
      <c r="W49">
        <v>-38.704761904761895</v>
      </c>
      <c r="X49">
        <v>25.803174603174597</v>
      </c>
      <c r="Y49">
        <v>0</v>
      </c>
      <c r="Z49">
        <v>-23.304761904761904</v>
      </c>
      <c r="AA49">
        <v>15.536507936507938</v>
      </c>
      <c r="AB49">
        <v>0</v>
      </c>
      <c r="AC49">
        <v>-28.790476190476184</v>
      </c>
      <c r="AD49">
        <v>19.193650793650789</v>
      </c>
      <c r="AE49">
        <v>0</v>
      </c>
      <c r="AF49">
        <v>-23.304761904761904</v>
      </c>
      <c r="AG49">
        <v>15.536507936507938</v>
      </c>
      <c r="AH49">
        <v>-1.4210854715202004E-14</v>
      </c>
      <c r="AI49">
        <v>-16.304761904761904</v>
      </c>
      <c r="AJ49">
        <v>10.869841269841263</v>
      </c>
      <c r="AK49">
        <v>1.4210854715202004E-14</v>
      </c>
      <c r="AL49">
        <v>-21.790476190476184</v>
      </c>
      <c r="AM49">
        <v>14.526984126984122</v>
      </c>
      <c r="AN49">
        <v>-1.4210854715202004E-14</v>
      </c>
      <c r="AO49">
        <v>-16.304761904761904</v>
      </c>
      <c r="AP49">
        <v>10.869841269841263</v>
      </c>
      <c r="AQ49">
        <v>-1.4210854715202004E-14</v>
      </c>
      <c r="AR49">
        <v>-16.304761904761904</v>
      </c>
      <c r="AS49">
        <v>10.869841269841263</v>
      </c>
      <c r="AT49">
        <v>1.4210854715202004E-14</v>
      </c>
      <c r="AU49">
        <v>-21.790476190476184</v>
      </c>
      <c r="AV49">
        <v>14.526984126984122</v>
      </c>
      <c r="AW49">
        <v>-1.4210854715202004E-14</v>
      </c>
      <c r="AX49">
        <v>-16.304761904761904</v>
      </c>
      <c r="AY49">
        <v>10.869841269841263</v>
      </c>
      <c r="AZ49">
        <v>0</v>
      </c>
      <c r="BA49">
        <v>-23.304761904761904</v>
      </c>
      <c r="BB49">
        <v>15.536507936507938</v>
      </c>
      <c r="BC49">
        <v>-1.4210854715202004E-14</v>
      </c>
      <c r="BD49">
        <v>-25.019047619047626</v>
      </c>
      <c r="BE49">
        <v>16.679365079365088</v>
      </c>
      <c r="BF49">
        <v>0</v>
      </c>
      <c r="BG49">
        <v>-23.304761904761904</v>
      </c>
      <c r="BH49">
        <v>15.536507936507938</v>
      </c>
      <c r="BI49">
        <v>-2.8421709430404007E-14</v>
      </c>
      <c r="BJ49">
        <v>-23.304761904761911</v>
      </c>
      <c r="BK49">
        <v>15.536507936507938</v>
      </c>
      <c r="BL49">
        <v>0</v>
      </c>
      <c r="BM49">
        <v>-25.019047619047612</v>
      </c>
      <c r="BN49">
        <v>16.679365079365073</v>
      </c>
      <c r="BO49">
        <v>-2.8421709430404007E-14</v>
      </c>
      <c r="BP49">
        <v>-23.304761904761911</v>
      </c>
      <c r="BQ49">
        <v>15.536507936507938</v>
      </c>
      <c r="BR49">
        <v>-1.4210854715202004E-14</v>
      </c>
      <c r="BS49">
        <v>-25.704761904761909</v>
      </c>
      <c r="BT49">
        <v>17.136507936507943</v>
      </c>
      <c r="BU49">
        <v>0</v>
      </c>
      <c r="BV49">
        <v>-25.704761904761895</v>
      </c>
      <c r="BW49">
        <v>17.136507936507929</v>
      </c>
      <c r="BX49">
        <v>0</v>
      </c>
      <c r="BY49">
        <v>-12.228571428571431</v>
      </c>
      <c r="BZ49">
        <v>8.1523809523809518</v>
      </c>
      <c r="CA49">
        <v>1.4210854715202004E-14</v>
      </c>
      <c r="CB49">
        <v>-12.228571428571428</v>
      </c>
      <c r="CC49">
        <v>8.1523809523809554</v>
      </c>
      <c r="CD49">
        <v>1.4210854715202004E-14</v>
      </c>
      <c r="CE49">
        <v>-12.228571428571428</v>
      </c>
      <c r="CF49">
        <v>8.1523809523809554</v>
      </c>
      <c r="CG49">
        <v>0</v>
      </c>
      <c r="CH49">
        <v>-12.228571428571431</v>
      </c>
      <c r="CI49">
        <v>8.1523809523809518</v>
      </c>
      <c r="CJ49">
        <f t="shared" si="1"/>
        <v>-12.228571428571428</v>
      </c>
      <c r="CK49">
        <f t="shared" si="2"/>
        <v>-40.419047619047618</v>
      </c>
      <c r="CL49">
        <f t="shared" si="3"/>
        <v>26.946031746031743</v>
      </c>
      <c r="CM49">
        <f t="shared" si="4"/>
        <v>8.1523809523809518</v>
      </c>
    </row>
    <row r="50" spans="1:91" x14ac:dyDescent="0.25">
      <c r="A50" s="95" t="str">
        <f>Shear_Wall_Foundation!A446</f>
        <v>16-2S</v>
      </c>
      <c r="B50">
        <f>-0.5*(Shear_Wall_Foundation!B446+Shear_Wall_Foundation!D446)*ABS(Shear_Wall_Foundation!E446-Shear_Wall_Foundation!C446)</f>
        <v>-46.064285714285717</v>
      </c>
      <c r="C50">
        <v>0</v>
      </c>
      <c r="D50">
        <v>0</v>
      </c>
      <c r="E50">
        <f t="shared" si="6"/>
        <v>3.5</v>
      </c>
      <c r="F50" t="s">
        <v>177</v>
      </c>
      <c r="G50" t="str">
        <f t="shared" si="7"/>
        <v>16-2S</v>
      </c>
      <c r="K50" t="s">
        <v>301</v>
      </c>
      <c r="L50">
        <f>(L56-L49)/5</f>
        <v>8.3333333333333343E-2</v>
      </c>
    </row>
    <row r="51" spans="1:91" x14ac:dyDescent="0.25">
      <c r="A51" s="95" t="str">
        <f>Shear_Wall_Foundation!A447</f>
        <v>16-2R</v>
      </c>
      <c r="B51">
        <f>-0.5*(Shear_Wall_Foundation!B447+Shear_Wall_Foundation!D447)*ABS(Shear_Wall_Foundation!E447-Shear_Wall_Foundation!C447)</f>
        <v>-44.778571428571425</v>
      </c>
      <c r="C51">
        <v>0</v>
      </c>
      <c r="D51">
        <v>0</v>
      </c>
      <c r="E51">
        <f t="shared" si="6"/>
        <v>3.5</v>
      </c>
      <c r="F51" t="s">
        <v>177</v>
      </c>
      <c r="G51" t="str">
        <f t="shared" si="7"/>
        <v>16-2R</v>
      </c>
      <c r="L51">
        <f>L52-L50</f>
        <v>1.3333333333333333</v>
      </c>
      <c r="M51" cm="1">
        <f t="array" ref="M51:CI51">LRFD_Analysis(Lf_ft,L51,$B$4:$G$72,$J$4:$U$28)</f>
        <v>-1.4210854715202004E-14</v>
      </c>
      <c r="N51">
        <v>-19.022222222222219</v>
      </c>
      <c r="O51">
        <v>12.68148148148148</v>
      </c>
      <c r="P51">
        <v>0</v>
      </c>
      <c r="Q51">
        <v>-38.704761904761895</v>
      </c>
      <c r="R51">
        <v>25.803174603174597</v>
      </c>
      <c r="S51">
        <v>-2.8421709430404007E-14</v>
      </c>
      <c r="T51">
        <v>-40.419047619047618</v>
      </c>
      <c r="U51">
        <v>26.946031746031743</v>
      </c>
      <c r="V51">
        <v>0</v>
      </c>
      <c r="W51">
        <v>-38.704761904761895</v>
      </c>
      <c r="X51">
        <v>25.803174603174597</v>
      </c>
      <c r="Y51">
        <v>0</v>
      </c>
      <c r="Z51">
        <v>-23.304761904761904</v>
      </c>
      <c r="AA51">
        <v>15.536507936507938</v>
      </c>
      <c r="AB51">
        <v>0</v>
      </c>
      <c r="AC51">
        <v>-28.790476190476184</v>
      </c>
      <c r="AD51">
        <v>19.193650793650789</v>
      </c>
      <c r="AE51">
        <v>0</v>
      </c>
      <c r="AF51">
        <v>-23.304761904761904</v>
      </c>
      <c r="AG51">
        <v>15.536507936507938</v>
      </c>
      <c r="AH51">
        <v>-1.4210854715202004E-14</v>
      </c>
      <c r="AI51">
        <v>-16.304761904761904</v>
      </c>
      <c r="AJ51">
        <v>10.869841269841263</v>
      </c>
      <c r="AK51">
        <v>1.4210854715202004E-14</v>
      </c>
      <c r="AL51">
        <v>-21.790476190476184</v>
      </c>
      <c r="AM51">
        <v>14.526984126984122</v>
      </c>
      <c r="AN51">
        <v>-1.4210854715202004E-14</v>
      </c>
      <c r="AO51">
        <v>-16.304761904761904</v>
      </c>
      <c r="AP51">
        <v>10.869841269841263</v>
      </c>
      <c r="AQ51">
        <v>-1.4210854715202004E-14</v>
      </c>
      <c r="AR51">
        <v>-16.304761904761904</v>
      </c>
      <c r="AS51">
        <v>10.869841269841263</v>
      </c>
      <c r="AT51">
        <v>1.4210854715202004E-14</v>
      </c>
      <c r="AU51">
        <v>-21.790476190476184</v>
      </c>
      <c r="AV51">
        <v>14.526984126984122</v>
      </c>
      <c r="AW51">
        <v>-1.4210854715202004E-14</v>
      </c>
      <c r="AX51">
        <v>-16.304761904761904</v>
      </c>
      <c r="AY51">
        <v>10.869841269841263</v>
      </c>
      <c r="AZ51">
        <v>0</v>
      </c>
      <c r="BA51">
        <v>-23.304761904761904</v>
      </c>
      <c r="BB51">
        <v>15.536507936507938</v>
      </c>
      <c r="BC51">
        <v>-1.4210854715202004E-14</v>
      </c>
      <c r="BD51">
        <v>-25.019047619047626</v>
      </c>
      <c r="BE51">
        <v>16.679365079365088</v>
      </c>
      <c r="BF51">
        <v>0</v>
      </c>
      <c r="BG51">
        <v>-23.304761904761904</v>
      </c>
      <c r="BH51">
        <v>15.536507936507938</v>
      </c>
      <c r="BI51">
        <v>-2.8421709430404007E-14</v>
      </c>
      <c r="BJ51">
        <v>-23.304761904761911</v>
      </c>
      <c r="BK51">
        <v>15.536507936507938</v>
      </c>
      <c r="BL51">
        <v>0</v>
      </c>
      <c r="BM51">
        <v>-25.019047619047612</v>
      </c>
      <c r="BN51">
        <v>16.679365079365073</v>
      </c>
      <c r="BO51">
        <v>-2.8421709430404007E-14</v>
      </c>
      <c r="BP51">
        <v>-23.304761904761911</v>
      </c>
      <c r="BQ51">
        <v>15.536507936507938</v>
      </c>
      <c r="BR51">
        <v>-1.4210854715202004E-14</v>
      </c>
      <c r="BS51">
        <v>-25.704761904761909</v>
      </c>
      <c r="BT51">
        <v>17.136507936507943</v>
      </c>
      <c r="BU51">
        <v>0</v>
      </c>
      <c r="BV51">
        <v>-25.704761904761895</v>
      </c>
      <c r="BW51">
        <v>17.136507936507929</v>
      </c>
      <c r="BX51">
        <v>0</v>
      </c>
      <c r="BY51">
        <v>-12.228571428571431</v>
      </c>
      <c r="BZ51">
        <v>8.1523809523809518</v>
      </c>
      <c r="CA51">
        <v>1.4210854715202004E-14</v>
      </c>
      <c r="CB51">
        <v>-12.228571428571428</v>
      </c>
      <c r="CC51">
        <v>8.1523809523809554</v>
      </c>
      <c r="CD51">
        <v>1.4210854715202004E-14</v>
      </c>
      <c r="CE51">
        <v>-12.228571428571428</v>
      </c>
      <c r="CF51">
        <v>8.1523809523809554</v>
      </c>
      <c r="CG51">
        <v>0</v>
      </c>
      <c r="CH51">
        <v>-12.228571428571431</v>
      </c>
      <c r="CI51">
        <v>8.1523809523809518</v>
      </c>
      <c r="CJ51">
        <f t="shared" ref="CJ51" si="8">MAX(CH51,CE51,CB51,BY51,BV51,BS51,BP51,BM51,BJ51,BG51,BD51,BA51,AX51,AU51,AR51,AO51,AL51,AI51,AF51,AC51,Z51,W51,T51,Q51,N51)</f>
        <v>-12.228571428571428</v>
      </c>
      <c r="CK51">
        <f t="shared" ref="CK51" si="9">MIN(CH51,CE51,CB51,BY51,BV51,BS51,BP51,BM51,BJ51,BG51,BD51,BA51,AX51,AU51,AR51,AO51,AL51,AI51,AF51,AC51,Z51,W51,T51,Q51,N51)</f>
        <v>-40.419047619047618</v>
      </c>
      <c r="CL51">
        <f t="shared" ref="CL51" si="10">MAX(CI51,CF51,CC51,BZ51,BW51,BT51,BQ51,BN51,BK51,BH51,BE51,BB51,AY51,AV51,AS51,AP51,AM51,AJ51,AG51,AD51,AA51,X51,U51,R51,O51)</f>
        <v>26.946031746031743</v>
      </c>
      <c r="CM51">
        <f t="shared" ref="CM51" si="11">MIN(CI51,CF51,CC51,BZ51,BW51,BT51,BQ51,BN51,BK51,BH51,BE51,BB51,AY51,AV51,AS51,AP51,AM51,AJ51,AG51,AD51,AA51,X51,U51,R51,O51)</f>
        <v>8.1523809523809518</v>
      </c>
    </row>
    <row r="52" spans="1:91" x14ac:dyDescent="0.25">
      <c r="A52" s="95" t="str">
        <f>Shear_Wall_Foundation!A448</f>
        <v>16-3Lr_L</v>
      </c>
      <c r="B52">
        <f>-0.5*(Shear_Wall_Foundation!B448+Shear_Wall_Foundation!D448)*ABS(Shear_Wall_Foundation!E448-Shear_Wall_Foundation!C448)</f>
        <v>-33.228571428571428</v>
      </c>
      <c r="C52">
        <v>0</v>
      </c>
      <c r="D52">
        <v>0</v>
      </c>
      <c r="E52">
        <f t="shared" si="6"/>
        <v>3.5</v>
      </c>
      <c r="F52" t="s">
        <v>177</v>
      </c>
      <c r="G52" t="str">
        <f t="shared" si="7"/>
        <v>16-3Lr_L</v>
      </c>
      <c r="L52">
        <f>L49+$L$50</f>
        <v>1.4166666666666665</v>
      </c>
      <c r="M52" cm="1">
        <f t="array" ref="M52:CI52">LRFD_Analysis(Lf_ft,L52,$B$4:$G$72,$J$4:$U$28)</f>
        <v>-1.4210854715202004E-14</v>
      </c>
      <c r="N52">
        <v>-20.047777777777771</v>
      </c>
      <c r="O52">
        <v>14.309398148148144</v>
      </c>
      <c r="P52">
        <v>0</v>
      </c>
      <c r="Q52">
        <v>-40.983809523809512</v>
      </c>
      <c r="R52">
        <v>29.123531746031734</v>
      </c>
      <c r="S52">
        <v>-2.8421709430404007E-14</v>
      </c>
      <c r="T52">
        <v>-42.805238095238096</v>
      </c>
      <c r="U52">
        <v>30.413710317460325</v>
      </c>
      <c r="V52">
        <v>0</v>
      </c>
      <c r="W52">
        <v>-40.983809523809512</v>
      </c>
      <c r="X52">
        <v>29.123531746031734</v>
      </c>
      <c r="Y52">
        <v>0</v>
      </c>
      <c r="Z52">
        <v>-24.621309523809519</v>
      </c>
      <c r="AA52">
        <v>17.533427579365071</v>
      </c>
      <c r="AB52">
        <v>0</v>
      </c>
      <c r="AC52">
        <v>-30.449880952380948</v>
      </c>
      <c r="AD52">
        <v>21.661999007936497</v>
      </c>
      <c r="AE52">
        <v>0</v>
      </c>
      <c r="AF52">
        <v>-24.621309523809519</v>
      </c>
      <c r="AG52">
        <v>17.533427579365071</v>
      </c>
      <c r="AH52">
        <v>-1.4210854715202004E-14</v>
      </c>
      <c r="AI52">
        <v>-17.183809523809526</v>
      </c>
      <c r="AJ52">
        <v>12.26519841269841</v>
      </c>
      <c r="AK52">
        <v>1.4210854715202004E-14</v>
      </c>
      <c r="AL52">
        <v>-23.012380952380948</v>
      </c>
      <c r="AM52">
        <v>16.393769841269833</v>
      </c>
      <c r="AN52">
        <v>-1.4210854715202004E-14</v>
      </c>
      <c r="AO52">
        <v>-17.183809523809526</v>
      </c>
      <c r="AP52">
        <v>12.26519841269841</v>
      </c>
      <c r="AQ52">
        <v>-1.4210854715202004E-14</v>
      </c>
      <c r="AR52">
        <v>-17.183809523809526</v>
      </c>
      <c r="AS52">
        <v>12.26519841269841</v>
      </c>
      <c r="AT52">
        <v>1.4210854715202004E-14</v>
      </c>
      <c r="AU52">
        <v>-23.012380952380948</v>
      </c>
      <c r="AV52">
        <v>16.393769841269833</v>
      </c>
      <c r="AW52">
        <v>-1.4210854715202004E-14</v>
      </c>
      <c r="AX52">
        <v>-17.183809523809526</v>
      </c>
      <c r="AY52">
        <v>12.26519841269841</v>
      </c>
      <c r="AZ52">
        <v>0</v>
      </c>
      <c r="BA52">
        <v>-24.621309523809519</v>
      </c>
      <c r="BB52">
        <v>17.533427579365071</v>
      </c>
      <c r="BC52">
        <v>-1.4210854715202004E-14</v>
      </c>
      <c r="BD52">
        <v>-26.442738095238102</v>
      </c>
      <c r="BE52">
        <v>18.823606150793662</v>
      </c>
      <c r="BF52">
        <v>0</v>
      </c>
      <c r="BG52">
        <v>-24.621309523809519</v>
      </c>
      <c r="BH52">
        <v>17.533427579365071</v>
      </c>
      <c r="BI52">
        <v>-2.8421709430404007E-14</v>
      </c>
      <c r="BJ52">
        <v>-24.621309523809533</v>
      </c>
      <c r="BK52">
        <v>17.533427579365092</v>
      </c>
      <c r="BL52">
        <v>0</v>
      </c>
      <c r="BM52">
        <v>-26.442738095238088</v>
      </c>
      <c r="BN52">
        <v>18.823606150793641</v>
      </c>
      <c r="BO52">
        <v>-2.8421709430404007E-14</v>
      </c>
      <c r="BP52">
        <v>-24.621309523809533</v>
      </c>
      <c r="BQ52">
        <v>17.533427579365092</v>
      </c>
      <c r="BR52">
        <v>-1.4210854715202004E-14</v>
      </c>
      <c r="BS52">
        <v>-27.17130952380953</v>
      </c>
      <c r="BT52">
        <v>19.339677579365077</v>
      </c>
      <c r="BU52">
        <v>0</v>
      </c>
      <c r="BV52">
        <v>-27.171309523809516</v>
      </c>
      <c r="BW52">
        <v>19.33967757936507</v>
      </c>
      <c r="BX52">
        <v>0</v>
      </c>
      <c r="BY52">
        <v>-12.887857142857143</v>
      </c>
      <c r="BZ52">
        <v>9.1988988095238078</v>
      </c>
      <c r="CA52">
        <v>1.4210854715202004E-14</v>
      </c>
      <c r="CB52">
        <v>-12.88785714285714</v>
      </c>
      <c r="CC52">
        <v>9.1988988095238042</v>
      </c>
      <c r="CD52">
        <v>1.4210854715202004E-14</v>
      </c>
      <c r="CE52">
        <v>-12.88785714285714</v>
      </c>
      <c r="CF52">
        <v>9.1988988095238042</v>
      </c>
      <c r="CG52">
        <v>0</v>
      </c>
      <c r="CH52">
        <v>-12.887857142857143</v>
      </c>
      <c r="CI52">
        <v>9.1988988095238078</v>
      </c>
      <c r="CJ52">
        <f t="shared" si="1"/>
        <v>-12.88785714285714</v>
      </c>
      <c r="CK52">
        <f t="shared" si="2"/>
        <v>-42.805238095238096</v>
      </c>
      <c r="CL52">
        <f t="shared" si="3"/>
        <v>30.413710317460325</v>
      </c>
      <c r="CM52">
        <f t="shared" si="4"/>
        <v>9.1988988095238042</v>
      </c>
    </row>
    <row r="53" spans="1:91" x14ac:dyDescent="0.25">
      <c r="A53" s="95" t="str">
        <f>Shear_Wall_Foundation!A449</f>
        <v>16-3S_L</v>
      </c>
      <c r="B53">
        <f>-0.5*(Shear_Wall_Foundation!B449+Shear_Wall_Foundation!D449)*ABS(Shear_Wall_Foundation!E449-Shear_Wall_Foundation!C449)</f>
        <v>-37.342857142857142</v>
      </c>
      <c r="C53">
        <v>0</v>
      </c>
      <c r="D53">
        <v>0</v>
      </c>
      <c r="E53">
        <f t="shared" si="6"/>
        <v>3.5</v>
      </c>
      <c r="F53" t="s">
        <v>177</v>
      </c>
      <c r="G53" t="str">
        <f t="shared" si="7"/>
        <v>16-3S_L</v>
      </c>
      <c r="L53">
        <f>L52+$L$50</f>
        <v>1.4999999999999998</v>
      </c>
      <c r="M53" cm="1">
        <f t="array" ref="M53:CI53">LRFD_Analysis(Lf_ft,L53,$B$4:$G$72,$J$4:$U$28)</f>
        <v>-1.4210854715202004E-14</v>
      </c>
      <c r="N53">
        <v>-21.073333333333331</v>
      </c>
      <c r="O53">
        <v>16.022777777777772</v>
      </c>
      <c r="P53">
        <v>0</v>
      </c>
      <c r="Q53">
        <v>-43.262857142857129</v>
      </c>
      <c r="R53">
        <v>32.633809523809511</v>
      </c>
      <c r="S53">
        <v>-2.8421709430404007E-14</v>
      </c>
      <c r="T53">
        <v>-45.19142857142856</v>
      </c>
      <c r="U53">
        <v>34.080238095238087</v>
      </c>
      <c r="V53">
        <v>0</v>
      </c>
      <c r="W53">
        <v>-43.262857142857129</v>
      </c>
      <c r="X53">
        <v>32.633809523809511</v>
      </c>
      <c r="Y53">
        <v>0</v>
      </c>
      <c r="Z53">
        <v>-25.937857142857137</v>
      </c>
      <c r="AA53">
        <v>19.640059523809519</v>
      </c>
      <c r="AB53">
        <v>0</v>
      </c>
      <c r="AC53">
        <v>-32.109285714285704</v>
      </c>
      <c r="AD53">
        <v>24.268630952380946</v>
      </c>
      <c r="AE53">
        <v>0</v>
      </c>
      <c r="AF53">
        <v>-25.937857142857137</v>
      </c>
      <c r="AG53">
        <v>19.640059523809519</v>
      </c>
      <c r="AH53">
        <v>-1.4210854715202004E-14</v>
      </c>
      <c r="AI53">
        <v>-18.062857142857144</v>
      </c>
      <c r="AJ53">
        <v>13.733809523809526</v>
      </c>
      <c r="AK53">
        <v>1.4210854715202004E-14</v>
      </c>
      <c r="AL53">
        <v>-24.234285714285708</v>
      </c>
      <c r="AM53">
        <v>18.362380952380946</v>
      </c>
      <c r="AN53">
        <v>-1.4210854715202004E-14</v>
      </c>
      <c r="AO53">
        <v>-18.062857142857144</v>
      </c>
      <c r="AP53">
        <v>13.733809523809526</v>
      </c>
      <c r="AQ53">
        <v>-1.4210854715202004E-14</v>
      </c>
      <c r="AR53">
        <v>-18.062857142857144</v>
      </c>
      <c r="AS53">
        <v>13.733809523809526</v>
      </c>
      <c r="AT53">
        <v>1.4210854715202004E-14</v>
      </c>
      <c r="AU53">
        <v>-24.234285714285708</v>
      </c>
      <c r="AV53">
        <v>18.362380952380946</v>
      </c>
      <c r="AW53">
        <v>-1.4210854715202004E-14</v>
      </c>
      <c r="AX53">
        <v>-18.062857142857144</v>
      </c>
      <c r="AY53">
        <v>13.733809523809526</v>
      </c>
      <c r="AZ53">
        <v>0</v>
      </c>
      <c r="BA53">
        <v>-25.937857142857137</v>
      </c>
      <c r="BB53">
        <v>19.640059523809519</v>
      </c>
      <c r="BC53">
        <v>-1.4210854715202004E-14</v>
      </c>
      <c r="BD53">
        <v>-27.866428571428575</v>
      </c>
      <c r="BE53">
        <v>21.086488095238096</v>
      </c>
      <c r="BF53">
        <v>0</v>
      </c>
      <c r="BG53">
        <v>-25.937857142857137</v>
      </c>
      <c r="BH53">
        <v>19.640059523809519</v>
      </c>
      <c r="BI53">
        <v>-2.8421709430404007E-14</v>
      </c>
      <c r="BJ53">
        <v>-25.937857142857144</v>
      </c>
      <c r="BK53">
        <v>19.640059523809526</v>
      </c>
      <c r="BL53">
        <v>0</v>
      </c>
      <c r="BM53">
        <v>-27.86642857142856</v>
      </c>
      <c r="BN53">
        <v>21.086488095238089</v>
      </c>
      <c r="BO53">
        <v>-2.8421709430404007E-14</v>
      </c>
      <c r="BP53">
        <v>-25.937857142857144</v>
      </c>
      <c r="BQ53">
        <v>19.640059523809526</v>
      </c>
      <c r="BR53">
        <v>-1.4210854715202004E-14</v>
      </c>
      <c r="BS53">
        <v>-28.63785714285714</v>
      </c>
      <c r="BT53">
        <v>21.665059523809511</v>
      </c>
      <c r="BU53">
        <v>0</v>
      </c>
      <c r="BV53">
        <v>-28.637857142857133</v>
      </c>
      <c r="BW53">
        <v>21.665059523809518</v>
      </c>
      <c r="BX53">
        <v>0</v>
      </c>
      <c r="BY53">
        <v>-13.547142857142859</v>
      </c>
      <c r="BZ53">
        <v>10.300357142857141</v>
      </c>
      <c r="CA53">
        <v>1.4210854715202004E-14</v>
      </c>
      <c r="CB53">
        <v>-13.547142857142855</v>
      </c>
      <c r="CC53">
        <v>10.300357142857138</v>
      </c>
      <c r="CD53">
        <v>1.4210854715202004E-14</v>
      </c>
      <c r="CE53">
        <v>-13.547142857142855</v>
      </c>
      <c r="CF53">
        <v>10.300357142857138</v>
      </c>
      <c r="CG53">
        <v>0</v>
      </c>
      <c r="CH53">
        <v>-13.547142857142859</v>
      </c>
      <c r="CI53">
        <v>10.300357142857141</v>
      </c>
      <c r="CJ53">
        <f t="shared" si="1"/>
        <v>-13.547142857142855</v>
      </c>
      <c r="CK53">
        <f t="shared" si="2"/>
        <v>-45.19142857142856</v>
      </c>
      <c r="CL53">
        <f t="shared" si="3"/>
        <v>34.080238095238087</v>
      </c>
      <c r="CM53">
        <f t="shared" si="4"/>
        <v>10.300357142857138</v>
      </c>
    </row>
    <row r="54" spans="1:91" x14ac:dyDescent="0.25">
      <c r="A54" s="95" t="str">
        <f>Shear_Wall_Foundation!A450</f>
        <v>16-3R_L</v>
      </c>
      <c r="B54">
        <f>-0.5*(Shear_Wall_Foundation!B450+Shear_Wall_Foundation!D450)*ABS(Shear_Wall_Foundation!E450-Shear_Wall_Foundation!C450)</f>
        <v>-33.228571428571428</v>
      </c>
      <c r="C54">
        <v>0</v>
      </c>
      <c r="D54">
        <v>0</v>
      </c>
      <c r="E54">
        <f t="shared" si="6"/>
        <v>3.5</v>
      </c>
      <c r="F54" t="s">
        <v>177</v>
      </c>
      <c r="G54" t="str">
        <f t="shared" si="7"/>
        <v>16-3R_L</v>
      </c>
      <c r="L54">
        <f>L53+$L$50</f>
        <v>1.583333333333333</v>
      </c>
      <c r="M54" cm="1">
        <f t="array" ref="M54:CI54">LRFD_Analysis(Lf_ft,L54,$B$4:$G$72,$J$4:$U$28)</f>
        <v>-1.4210854715202004E-14</v>
      </c>
      <c r="N54">
        <v>-22.098888888888879</v>
      </c>
      <c r="O54">
        <v>17.821620370370354</v>
      </c>
      <c r="P54">
        <v>0</v>
      </c>
      <c r="Q54">
        <v>-45.541904761904753</v>
      </c>
      <c r="R54">
        <v>36.33400793650793</v>
      </c>
      <c r="S54">
        <v>-2.8421709430404007E-14</v>
      </c>
      <c r="T54">
        <v>-47.577619047619045</v>
      </c>
      <c r="U54">
        <v>37.945615079365069</v>
      </c>
      <c r="V54">
        <v>0</v>
      </c>
      <c r="W54">
        <v>-45.541904761904753</v>
      </c>
      <c r="X54">
        <v>36.33400793650793</v>
      </c>
      <c r="Y54">
        <v>0</v>
      </c>
      <c r="Z54">
        <v>-27.254404761904759</v>
      </c>
      <c r="AA54">
        <v>21.856403769841258</v>
      </c>
      <c r="AB54">
        <v>0</v>
      </c>
      <c r="AC54">
        <v>-33.768690476190471</v>
      </c>
      <c r="AD54">
        <v>27.013546626984116</v>
      </c>
      <c r="AE54">
        <v>0</v>
      </c>
      <c r="AF54">
        <v>-27.254404761904759</v>
      </c>
      <c r="AG54">
        <v>21.856403769841258</v>
      </c>
      <c r="AH54">
        <v>-1.4210854715202004E-14</v>
      </c>
      <c r="AI54">
        <v>-18.941904761904766</v>
      </c>
      <c r="AJ54">
        <v>15.2756746031746</v>
      </c>
      <c r="AK54">
        <v>1.4210854715202004E-14</v>
      </c>
      <c r="AL54">
        <v>-25.456190476190471</v>
      </c>
      <c r="AM54">
        <v>20.432817460317452</v>
      </c>
      <c r="AN54">
        <v>-1.4210854715202004E-14</v>
      </c>
      <c r="AO54">
        <v>-18.941904761904766</v>
      </c>
      <c r="AP54">
        <v>15.2756746031746</v>
      </c>
      <c r="AQ54">
        <v>-1.4210854715202004E-14</v>
      </c>
      <c r="AR54">
        <v>-18.941904761904766</v>
      </c>
      <c r="AS54">
        <v>15.2756746031746</v>
      </c>
      <c r="AT54">
        <v>1.4210854715202004E-14</v>
      </c>
      <c r="AU54">
        <v>-25.456190476190471</v>
      </c>
      <c r="AV54">
        <v>20.432817460317452</v>
      </c>
      <c r="AW54">
        <v>-1.4210854715202004E-14</v>
      </c>
      <c r="AX54">
        <v>-18.941904761904766</v>
      </c>
      <c r="AY54">
        <v>15.2756746031746</v>
      </c>
      <c r="AZ54">
        <v>0</v>
      </c>
      <c r="BA54">
        <v>-27.254404761904759</v>
      </c>
      <c r="BB54">
        <v>21.856403769841258</v>
      </c>
      <c r="BC54">
        <v>-1.4210854715202004E-14</v>
      </c>
      <c r="BD54">
        <v>-29.290119047619051</v>
      </c>
      <c r="BE54">
        <v>23.468010912698411</v>
      </c>
      <c r="BF54">
        <v>0</v>
      </c>
      <c r="BG54">
        <v>-27.254404761904759</v>
      </c>
      <c r="BH54">
        <v>21.856403769841258</v>
      </c>
      <c r="BI54">
        <v>-2.8421709430404007E-14</v>
      </c>
      <c r="BJ54">
        <v>-27.254404761904766</v>
      </c>
      <c r="BK54">
        <v>21.856403769841265</v>
      </c>
      <c r="BL54">
        <v>0</v>
      </c>
      <c r="BM54">
        <v>-29.290119047619037</v>
      </c>
      <c r="BN54">
        <v>23.468010912698396</v>
      </c>
      <c r="BO54">
        <v>-2.8421709430404007E-14</v>
      </c>
      <c r="BP54">
        <v>-27.254404761904766</v>
      </c>
      <c r="BQ54">
        <v>21.856403769841265</v>
      </c>
      <c r="BR54">
        <v>-1.4210854715202004E-14</v>
      </c>
      <c r="BS54">
        <v>-30.10440476190476</v>
      </c>
      <c r="BT54">
        <v>24.112653769841252</v>
      </c>
      <c r="BU54">
        <v>0</v>
      </c>
      <c r="BV54">
        <v>-30.104404761904753</v>
      </c>
      <c r="BW54">
        <v>24.112653769841266</v>
      </c>
      <c r="BX54">
        <v>0</v>
      </c>
      <c r="BY54">
        <v>-14.206428571428571</v>
      </c>
      <c r="BZ54">
        <v>11.456755952380954</v>
      </c>
      <c r="CA54">
        <v>1.4210854715202004E-14</v>
      </c>
      <c r="CB54">
        <v>-14.206428571428564</v>
      </c>
      <c r="CC54">
        <v>11.456755952380943</v>
      </c>
      <c r="CD54">
        <v>1.4210854715202004E-14</v>
      </c>
      <c r="CE54">
        <v>-14.206428571428564</v>
      </c>
      <c r="CF54">
        <v>11.456755952380943</v>
      </c>
      <c r="CG54">
        <v>0</v>
      </c>
      <c r="CH54">
        <v>-14.206428571428571</v>
      </c>
      <c r="CI54">
        <v>11.456755952380954</v>
      </c>
      <c r="CJ54">
        <f t="shared" si="1"/>
        <v>-14.206428571428564</v>
      </c>
      <c r="CK54">
        <f t="shared" si="2"/>
        <v>-47.577619047619045</v>
      </c>
      <c r="CL54">
        <f t="shared" si="3"/>
        <v>37.945615079365069</v>
      </c>
      <c r="CM54">
        <f t="shared" si="4"/>
        <v>11.456755952380943</v>
      </c>
    </row>
    <row r="55" spans="1:91" x14ac:dyDescent="0.25">
      <c r="A55" s="95" t="str">
        <f>Shear_Wall_Foundation!A451</f>
        <v>16-3Lr_Wp</v>
      </c>
      <c r="B55">
        <f>-0.5*(Shear_Wall_Foundation!B451+Shear_Wall_Foundation!D451)*ABS(Shear_Wall_Foundation!E451-Shear_Wall_Foundation!C451)</f>
        <v>-27.978571428571431</v>
      </c>
      <c r="C55">
        <v>0</v>
      </c>
      <c r="D55">
        <v>0</v>
      </c>
      <c r="E55">
        <f t="shared" si="6"/>
        <v>3.5</v>
      </c>
      <c r="F55" t="s">
        <v>177</v>
      </c>
      <c r="G55" t="str">
        <f t="shared" si="7"/>
        <v>16-3Lr_Wp</v>
      </c>
      <c r="L55">
        <f>L54+$L$50</f>
        <v>1.6666666666666663</v>
      </c>
      <c r="M55" cm="1">
        <f t="array" ref="M55:CI55">LRFD_Analysis(Lf_ft,L55,$B$4:$G$72,$J$4:$U$28)</f>
        <v>-1.4210854715202004E-14</v>
      </c>
      <c r="N55">
        <v>-23.124444444444439</v>
      </c>
      <c r="O55">
        <v>19.705925925925914</v>
      </c>
      <c r="P55">
        <v>0</v>
      </c>
      <c r="Q55">
        <v>-47.82095238095237</v>
      </c>
      <c r="R55">
        <v>40.224126984126968</v>
      </c>
      <c r="S55">
        <v>-2.8421709430404007E-14</v>
      </c>
      <c r="T55">
        <v>-49.963809523809509</v>
      </c>
      <c r="U55">
        <v>42.009841269841246</v>
      </c>
      <c r="V55">
        <v>0</v>
      </c>
      <c r="W55">
        <v>-47.82095238095237</v>
      </c>
      <c r="X55">
        <v>40.224126984126968</v>
      </c>
      <c r="Y55">
        <v>0</v>
      </c>
      <c r="Z55">
        <v>-28.57095238095237</v>
      </c>
      <c r="AA55">
        <v>24.182460317460308</v>
      </c>
      <c r="AB55">
        <v>0</v>
      </c>
      <c r="AC55">
        <v>-35.428095238095224</v>
      </c>
      <c r="AD55">
        <v>29.896746031746016</v>
      </c>
      <c r="AE55">
        <v>0</v>
      </c>
      <c r="AF55">
        <v>-28.57095238095237</v>
      </c>
      <c r="AG55">
        <v>24.182460317460308</v>
      </c>
      <c r="AH55">
        <v>-1.4210854715202004E-14</v>
      </c>
      <c r="AI55">
        <v>-19.820952380952377</v>
      </c>
      <c r="AJ55">
        <v>16.890793650793636</v>
      </c>
      <c r="AK55">
        <v>1.4210854715202004E-14</v>
      </c>
      <c r="AL55">
        <v>-26.678095238095231</v>
      </c>
      <c r="AM55">
        <v>22.605079365079366</v>
      </c>
      <c r="AN55">
        <v>-1.4210854715202004E-14</v>
      </c>
      <c r="AO55">
        <v>-19.820952380952377</v>
      </c>
      <c r="AP55">
        <v>16.890793650793636</v>
      </c>
      <c r="AQ55">
        <v>-1.4210854715202004E-14</v>
      </c>
      <c r="AR55">
        <v>-19.820952380952377</v>
      </c>
      <c r="AS55">
        <v>16.890793650793636</v>
      </c>
      <c r="AT55">
        <v>1.4210854715202004E-14</v>
      </c>
      <c r="AU55">
        <v>-26.678095238095231</v>
      </c>
      <c r="AV55">
        <v>22.605079365079366</v>
      </c>
      <c r="AW55">
        <v>-1.4210854715202004E-14</v>
      </c>
      <c r="AX55">
        <v>-19.820952380952377</v>
      </c>
      <c r="AY55">
        <v>16.890793650793636</v>
      </c>
      <c r="AZ55">
        <v>0</v>
      </c>
      <c r="BA55">
        <v>-28.57095238095237</v>
      </c>
      <c r="BB55">
        <v>24.182460317460308</v>
      </c>
      <c r="BC55">
        <v>-1.4210854715202004E-14</v>
      </c>
      <c r="BD55">
        <v>-30.713809523809523</v>
      </c>
      <c r="BE55">
        <v>25.968174603174599</v>
      </c>
      <c r="BF55">
        <v>0</v>
      </c>
      <c r="BG55">
        <v>-28.57095238095237</v>
      </c>
      <c r="BH55">
        <v>24.182460317460308</v>
      </c>
      <c r="BI55">
        <v>-2.8421709430404007E-14</v>
      </c>
      <c r="BJ55">
        <v>-28.570952380952384</v>
      </c>
      <c r="BK55">
        <v>24.182460317460315</v>
      </c>
      <c r="BL55">
        <v>0</v>
      </c>
      <c r="BM55">
        <v>-30.713809523809516</v>
      </c>
      <c r="BN55">
        <v>25.968174603174592</v>
      </c>
      <c r="BO55">
        <v>-2.8421709430404007E-14</v>
      </c>
      <c r="BP55">
        <v>-28.570952380952384</v>
      </c>
      <c r="BQ55">
        <v>24.182460317460315</v>
      </c>
      <c r="BR55">
        <v>-1.4210854715202004E-14</v>
      </c>
      <c r="BS55">
        <v>-31.570952380952377</v>
      </c>
      <c r="BT55">
        <v>26.682460317460308</v>
      </c>
      <c r="BU55">
        <v>0</v>
      </c>
      <c r="BV55">
        <v>-31.57095238095237</v>
      </c>
      <c r="BW55">
        <v>26.682460317460301</v>
      </c>
      <c r="BX55">
        <v>0</v>
      </c>
      <c r="BY55">
        <v>-14.86571428571429</v>
      </c>
      <c r="BZ55">
        <v>12.668095238095237</v>
      </c>
      <c r="CA55">
        <v>1.4210854715202004E-14</v>
      </c>
      <c r="CB55">
        <v>-14.865714285714283</v>
      </c>
      <c r="CC55">
        <v>12.668095238095237</v>
      </c>
      <c r="CD55">
        <v>1.4210854715202004E-14</v>
      </c>
      <c r="CE55">
        <v>-14.865714285714283</v>
      </c>
      <c r="CF55">
        <v>12.668095238095237</v>
      </c>
      <c r="CG55">
        <v>0</v>
      </c>
      <c r="CH55">
        <v>-14.86571428571429</v>
      </c>
      <c r="CI55">
        <v>12.668095238095237</v>
      </c>
      <c r="CJ55">
        <f t="shared" si="1"/>
        <v>-14.865714285714283</v>
      </c>
      <c r="CK55">
        <f t="shared" si="2"/>
        <v>-49.963809523809509</v>
      </c>
      <c r="CL55">
        <f t="shared" si="3"/>
        <v>42.009841269841246</v>
      </c>
      <c r="CM55">
        <f t="shared" si="4"/>
        <v>12.668095238095237</v>
      </c>
    </row>
    <row r="56" spans="1:91" x14ac:dyDescent="0.25">
      <c r="A56" s="95" t="str">
        <f>Shear_Wall_Foundation!A452</f>
        <v>16-3S_Wp</v>
      </c>
      <c r="B56">
        <f>-0.5*(Shear_Wall_Foundation!B452+Shear_Wall_Foundation!D452)*ABS(Shear_Wall_Foundation!E452-Shear_Wall_Foundation!C452)</f>
        <v>-32.092857142857142</v>
      </c>
      <c r="C56">
        <v>0</v>
      </c>
      <c r="D56">
        <v>0</v>
      </c>
      <c r="E56">
        <f t="shared" si="6"/>
        <v>3.5</v>
      </c>
      <c r="F56" t="s">
        <v>177</v>
      </c>
      <c r="G56" t="str">
        <f t="shared" si="7"/>
        <v>16-3S_Wp</v>
      </c>
      <c r="L56">
        <f>Bf_ft/2</f>
        <v>1.75</v>
      </c>
      <c r="M56" cm="1">
        <f t="array" ref="M56:CI56">LRFD_Analysis(Lf_ft,L56,$B$4:$G$72,$J$4:$U$28)</f>
        <v>-1.4210854715202004E-14</v>
      </c>
      <c r="N56">
        <v>-24.15</v>
      </c>
      <c r="O56">
        <v>21.675694444444442</v>
      </c>
      <c r="P56">
        <v>0</v>
      </c>
      <c r="Q56">
        <v>-50.099999999999994</v>
      </c>
      <c r="R56">
        <v>44.304166666666681</v>
      </c>
      <c r="S56">
        <v>-2.8421709430404007E-14</v>
      </c>
      <c r="T56">
        <v>-52.350000000000009</v>
      </c>
      <c r="U56">
        <v>46.272916666666696</v>
      </c>
      <c r="V56">
        <v>0</v>
      </c>
      <c r="W56">
        <v>-50.099999999999994</v>
      </c>
      <c r="X56">
        <v>44.304166666666681</v>
      </c>
      <c r="Y56">
        <v>0</v>
      </c>
      <c r="Z56">
        <v>-29.887499999999999</v>
      </c>
      <c r="AA56">
        <v>26.618229166666666</v>
      </c>
      <c r="AB56">
        <v>0</v>
      </c>
      <c r="AC56">
        <v>-37.087499999999991</v>
      </c>
      <c r="AD56">
        <v>32.918229166666649</v>
      </c>
      <c r="AE56">
        <v>0</v>
      </c>
      <c r="AF56">
        <v>-29.887499999999999</v>
      </c>
      <c r="AG56">
        <v>26.618229166666666</v>
      </c>
      <c r="AH56">
        <v>-1.4210854715202004E-14</v>
      </c>
      <c r="AI56">
        <v>-20.700000000000006</v>
      </c>
      <c r="AJ56">
        <v>18.57916666666668</v>
      </c>
      <c r="AK56">
        <v>1.4210854715202004E-14</v>
      </c>
      <c r="AL56">
        <v>-27.899999999999995</v>
      </c>
      <c r="AM56">
        <v>24.879166666666649</v>
      </c>
      <c r="AN56">
        <v>-1.4210854715202004E-14</v>
      </c>
      <c r="AO56">
        <v>-20.700000000000006</v>
      </c>
      <c r="AP56">
        <v>18.57916666666668</v>
      </c>
      <c r="AQ56">
        <v>-1.4210854715202004E-14</v>
      </c>
      <c r="AR56">
        <v>-20.700000000000006</v>
      </c>
      <c r="AS56">
        <v>18.57916666666668</v>
      </c>
      <c r="AT56">
        <v>1.4210854715202004E-14</v>
      </c>
      <c r="AU56">
        <v>-27.899999999999995</v>
      </c>
      <c r="AV56">
        <v>24.879166666666649</v>
      </c>
      <c r="AW56">
        <v>-1.4210854715202004E-14</v>
      </c>
      <c r="AX56">
        <v>-20.700000000000006</v>
      </c>
      <c r="AY56">
        <v>18.57916666666668</v>
      </c>
      <c r="AZ56">
        <v>0</v>
      </c>
      <c r="BA56">
        <v>-29.887499999999999</v>
      </c>
      <c r="BB56">
        <v>26.618229166666666</v>
      </c>
      <c r="BC56">
        <v>-1.4210854715202004E-14</v>
      </c>
      <c r="BD56">
        <v>-32.137500000000003</v>
      </c>
      <c r="BE56">
        <v>28.586979166666673</v>
      </c>
      <c r="BF56">
        <v>0</v>
      </c>
      <c r="BG56">
        <v>-29.887499999999999</v>
      </c>
      <c r="BH56">
        <v>26.618229166666666</v>
      </c>
      <c r="BI56">
        <v>-2.8421709430404007E-14</v>
      </c>
      <c r="BJ56">
        <v>-29.887500000000014</v>
      </c>
      <c r="BK56">
        <v>26.618229166666673</v>
      </c>
      <c r="BL56">
        <v>0</v>
      </c>
      <c r="BM56">
        <v>-32.137500000000003</v>
      </c>
      <c r="BN56">
        <v>28.586979166666673</v>
      </c>
      <c r="BO56">
        <v>-2.8421709430404007E-14</v>
      </c>
      <c r="BP56">
        <v>-29.887500000000014</v>
      </c>
      <c r="BQ56">
        <v>26.618229166666673</v>
      </c>
      <c r="BR56">
        <v>-1.4210854715202004E-14</v>
      </c>
      <c r="BS56">
        <v>-33.037500000000009</v>
      </c>
      <c r="BT56">
        <v>29.374479166666667</v>
      </c>
      <c r="BU56">
        <v>0</v>
      </c>
      <c r="BV56">
        <v>-33.037499999999994</v>
      </c>
      <c r="BW56">
        <v>29.37447916666666</v>
      </c>
      <c r="BX56">
        <v>0</v>
      </c>
      <c r="BY56">
        <v>-15.524999999999999</v>
      </c>
      <c r="BZ56">
        <v>13.934374999999999</v>
      </c>
      <c r="CA56">
        <v>1.4210854715202004E-14</v>
      </c>
      <c r="CB56">
        <v>-15.524999999999991</v>
      </c>
      <c r="CC56">
        <v>13.934374999999992</v>
      </c>
      <c r="CD56">
        <v>1.4210854715202004E-14</v>
      </c>
      <c r="CE56">
        <v>-15.524999999999991</v>
      </c>
      <c r="CF56">
        <v>13.934374999999992</v>
      </c>
      <c r="CG56">
        <v>0</v>
      </c>
      <c r="CH56">
        <v>-15.524999999999999</v>
      </c>
      <c r="CI56">
        <v>13.934374999999999</v>
      </c>
      <c r="CJ56">
        <f t="shared" si="1"/>
        <v>-15.524999999999991</v>
      </c>
      <c r="CK56">
        <f t="shared" si="2"/>
        <v>-52.350000000000009</v>
      </c>
      <c r="CL56">
        <f t="shared" si="3"/>
        <v>46.272916666666696</v>
      </c>
      <c r="CM56">
        <f t="shared" si="4"/>
        <v>13.934374999999992</v>
      </c>
    </row>
    <row r="57" spans="1:91" x14ac:dyDescent="0.25">
      <c r="A57" s="95" t="str">
        <f>Shear_Wall_Foundation!A453</f>
        <v>16-3R_Wp</v>
      </c>
      <c r="B57">
        <f>-0.5*(Shear_Wall_Foundation!B453+Shear_Wall_Foundation!D453)*ABS(Shear_Wall_Foundation!E453-Shear_Wall_Foundation!C453)</f>
        <v>-27.978571428571431</v>
      </c>
      <c r="C57">
        <v>0</v>
      </c>
      <c r="D57">
        <v>0</v>
      </c>
      <c r="E57">
        <f t="shared" si="6"/>
        <v>3.5</v>
      </c>
      <c r="F57" t="s">
        <v>177</v>
      </c>
      <c r="G57" t="str">
        <f t="shared" si="7"/>
        <v>16-3R_Wp</v>
      </c>
      <c r="K57" t="s">
        <v>301</v>
      </c>
      <c r="L57">
        <f>(L63-L56)/5</f>
        <v>8.3333333333333301E-2</v>
      </c>
    </row>
    <row r="58" spans="1:91" x14ac:dyDescent="0.25">
      <c r="A58" s="95" t="str">
        <f>Shear_Wall_Foundation!A454</f>
        <v>16-3Lr_Wn</v>
      </c>
      <c r="B58">
        <f>-0.5*(Shear_Wall_Foundation!B454+Shear_Wall_Foundation!D454)*ABS(Shear_Wall_Foundation!E454-Shear_Wall_Foundation!C454)</f>
        <v>-27.978571428571431</v>
      </c>
      <c r="C58">
        <v>0</v>
      </c>
      <c r="D58">
        <v>0</v>
      </c>
      <c r="E58">
        <f t="shared" si="6"/>
        <v>3.5</v>
      </c>
      <c r="F58" t="s">
        <v>177</v>
      </c>
      <c r="G58" t="str">
        <f t="shared" si="7"/>
        <v>16-3Lr_Wn</v>
      </c>
      <c r="L58">
        <f>L59-L57</f>
        <v>1.75</v>
      </c>
      <c r="M58" cm="1">
        <f t="array" ref="M58:CI58">LRFD_Analysis(Lf_ft,L58,$B$4:$G$72,$J$4:$U$28)</f>
        <v>-1.4210854715202004E-14</v>
      </c>
      <c r="N58">
        <v>-24.15</v>
      </c>
      <c r="O58">
        <v>21.675694444444442</v>
      </c>
      <c r="P58">
        <v>0</v>
      </c>
      <c r="Q58">
        <v>-50.099999999999994</v>
      </c>
      <c r="R58">
        <v>44.304166666666681</v>
      </c>
      <c r="S58">
        <v>-2.8421709430404007E-14</v>
      </c>
      <c r="T58">
        <v>-52.350000000000009</v>
      </c>
      <c r="U58">
        <v>46.272916666666696</v>
      </c>
      <c r="V58">
        <v>0</v>
      </c>
      <c r="W58">
        <v>-50.099999999999994</v>
      </c>
      <c r="X58">
        <v>44.304166666666681</v>
      </c>
      <c r="Y58">
        <v>0</v>
      </c>
      <c r="Z58">
        <v>-29.887499999999999</v>
      </c>
      <c r="AA58">
        <v>26.618229166666666</v>
      </c>
      <c r="AB58">
        <v>0</v>
      </c>
      <c r="AC58">
        <v>-37.087499999999991</v>
      </c>
      <c r="AD58">
        <v>32.918229166666649</v>
      </c>
      <c r="AE58">
        <v>0</v>
      </c>
      <c r="AF58">
        <v>-29.887499999999999</v>
      </c>
      <c r="AG58">
        <v>26.618229166666666</v>
      </c>
      <c r="AH58">
        <v>-1.4210854715202004E-14</v>
      </c>
      <c r="AI58">
        <v>-20.700000000000006</v>
      </c>
      <c r="AJ58">
        <v>18.57916666666668</v>
      </c>
      <c r="AK58">
        <v>1.4210854715202004E-14</v>
      </c>
      <c r="AL58">
        <v>-27.899999999999995</v>
      </c>
      <c r="AM58">
        <v>24.879166666666649</v>
      </c>
      <c r="AN58">
        <v>-1.4210854715202004E-14</v>
      </c>
      <c r="AO58">
        <v>-20.700000000000006</v>
      </c>
      <c r="AP58">
        <v>18.57916666666668</v>
      </c>
      <c r="AQ58">
        <v>-1.4210854715202004E-14</v>
      </c>
      <c r="AR58">
        <v>-20.700000000000006</v>
      </c>
      <c r="AS58">
        <v>18.57916666666668</v>
      </c>
      <c r="AT58">
        <v>1.4210854715202004E-14</v>
      </c>
      <c r="AU58">
        <v>-27.899999999999995</v>
      </c>
      <c r="AV58">
        <v>24.879166666666649</v>
      </c>
      <c r="AW58">
        <v>-1.4210854715202004E-14</v>
      </c>
      <c r="AX58">
        <v>-20.700000000000006</v>
      </c>
      <c r="AY58">
        <v>18.57916666666668</v>
      </c>
      <c r="AZ58">
        <v>0</v>
      </c>
      <c r="BA58">
        <v>-29.887499999999999</v>
      </c>
      <c r="BB58">
        <v>26.618229166666666</v>
      </c>
      <c r="BC58">
        <v>-1.4210854715202004E-14</v>
      </c>
      <c r="BD58">
        <v>-32.137500000000003</v>
      </c>
      <c r="BE58">
        <v>28.586979166666673</v>
      </c>
      <c r="BF58">
        <v>0</v>
      </c>
      <c r="BG58">
        <v>-29.887499999999999</v>
      </c>
      <c r="BH58">
        <v>26.618229166666666</v>
      </c>
      <c r="BI58">
        <v>-2.8421709430404007E-14</v>
      </c>
      <c r="BJ58">
        <v>-29.887500000000014</v>
      </c>
      <c r="BK58">
        <v>26.618229166666673</v>
      </c>
      <c r="BL58">
        <v>0</v>
      </c>
      <c r="BM58">
        <v>-32.137500000000003</v>
      </c>
      <c r="BN58">
        <v>28.586979166666673</v>
      </c>
      <c r="BO58">
        <v>-2.8421709430404007E-14</v>
      </c>
      <c r="BP58">
        <v>-29.887500000000014</v>
      </c>
      <c r="BQ58">
        <v>26.618229166666673</v>
      </c>
      <c r="BR58">
        <v>-1.4210854715202004E-14</v>
      </c>
      <c r="BS58">
        <v>-33.037500000000009</v>
      </c>
      <c r="BT58">
        <v>29.374479166666667</v>
      </c>
      <c r="BU58">
        <v>0</v>
      </c>
      <c r="BV58">
        <v>-33.037499999999994</v>
      </c>
      <c r="BW58">
        <v>29.37447916666666</v>
      </c>
      <c r="BX58">
        <v>0</v>
      </c>
      <c r="BY58">
        <v>-15.524999999999999</v>
      </c>
      <c r="BZ58">
        <v>13.934374999999999</v>
      </c>
      <c r="CA58">
        <v>1.4210854715202004E-14</v>
      </c>
      <c r="CB58">
        <v>-15.524999999999991</v>
      </c>
      <c r="CC58">
        <v>13.934374999999992</v>
      </c>
      <c r="CD58">
        <v>1.4210854715202004E-14</v>
      </c>
      <c r="CE58">
        <v>-15.524999999999991</v>
      </c>
      <c r="CF58">
        <v>13.934374999999992</v>
      </c>
      <c r="CG58">
        <v>0</v>
      </c>
      <c r="CH58">
        <v>-15.524999999999999</v>
      </c>
      <c r="CI58">
        <v>13.934374999999999</v>
      </c>
      <c r="CJ58">
        <f t="shared" ref="CJ58" si="12">MAX(CH58,CE58,CB58,BY58,BV58,BS58,BP58,BM58,BJ58,BG58,BD58,BA58,AX58,AU58,AR58,AO58,AL58,AI58,AF58,AC58,Z58,W58,T58,Q58,N58)</f>
        <v>-15.524999999999991</v>
      </c>
      <c r="CK58">
        <f t="shared" ref="CK58" si="13">MIN(CH58,CE58,CB58,BY58,BV58,BS58,BP58,BM58,BJ58,BG58,BD58,BA58,AX58,AU58,AR58,AO58,AL58,AI58,AF58,AC58,Z58,W58,T58,Q58,N58)</f>
        <v>-52.350000000000009</v>
      </c>
      <c r="CL58">
        <f t="shared" ref="CL58" si="14">MAX(CI58,CF58,CC58,BZ58,BW58,BT58,BQ58,BN58,BK58,BH58,BE58,BB58,AY58,AV58,AS58,AP58,AM58,AJ58,AG58,AD58,AA58,X58,U58,R58,O58)</f>
        <v>46.272916666666696</v>
      </c>
      <c r="CM58">
        <f t="shared" ref="CM58" si="15">MIN(CI58,CF58,CC58,BZ58,BW58,BT58,BQ58,BN58,BK58,BH58,BE58,BB58,AY58,AV58,AS58,AP58,AM58,AJ58,AG58,AD58,AA58,X58,U58,R58,O58)</f>
        <v>13.934374999999992</v>
      </c>
    </row>
    <row r="59" spans="1:91" x14ac:dyDescent="0.25">
      <c r="A59" s="95" t="str">
        <f>Shear_Wall_Foundation!A455</f>
        <v>16-3S_Wn</v>
      </c>
      <c r="B59">
        <f>-0.5*(Shear_Wall_Foundation!B455+Shear_Wall_Foundation!D455)*ABS(Shear_Wall_Foundation!E455-Shear_Wall_Foundation!C455)</f>
        <v>-32.092857142857142</v>
      </c>
      <c r="C59">
        <v>0</v>
      </c>
      <c r="D59">
        <v>0</v>
      </c>
      <c r="E59">
        <f t="shared" si="6"/>
        <v>3.5</v>
      </c>
      <c r="F59" t="s">
        <v>177</v>
      </c>
      <c r="G59" t="str">
        <f t="shared" si="7"/>
        <v>16-3S_Wn</v>
      </c>
      <c r="L59">
        <f>L57+L56</f>
        <v>1.8333333333333333</v>
      </c>
      <c r="M59" cm="1">
        <f t="array" ref="M59:CI59">LRFD_Analysis(Lf_ft,L59,$B$4:$G$72,$J$4:$U$28)</f>
        <v>-1.4210854715202004E-14</v>
      </c>
      <c r="N59">
        <v>23.12444444444445</v>
      </c>
      <c r="O59">
        <v>19.705925925925932</v>
      </c>
      <c r="P59">
        <v>0</v>
      </c>
      <c r="Q59">
        <v>47.820952380952406</v>
      </c>
      <c r="R59">
        <v>40.224126984126983</v>
      </c>
      <c r="S59">
        <v>-2.8421709430404007E-14</v>
      </c>
      <c r="T59">
        <v>49.963809523809545</v>
      </c>
      <c r="U59">
        <v>42.009841269841274</v>
      </c>
      <c r="V59">
        <v>0</v>
      </c>
      <c r="W59">
        <v>47.820952380952406</v>
      </c>
      <c r="X59">
        <v>40.224126984126983</v>
      </c>
      <c r="Y59">
        <v>0</v>
      </c>
      <c r="Z59">
        <v>28.570952380952392</v>
      </c>
      <c r="AA59">
        <v>24.182460317460322</v>
      </c>
      <c r="AB59">
        <v>0</v>
      </c>
      <c r="AC59">
        <v>35.428095238095253</v>
      </c>
      <c r="AD59">
        <v>29.896746031746034</v>
      </c>
      <c r="AE59">
        <v>0</v>
      </c>
      <c r="AF59">
        <v>28.570952380952392</v>
      </c>
      <c r="AG59">
        <v>24.182460317460322</v>
      </c>
      <c r="AH59">
        <v>-1.4210854715202004E-14</v>
      </c>
      <c r="AI59">
        <v>19.820952380952384</v>
      </c>
      <c r="AJ59">
        <v>16.890793650793658</v>
      </c>
      <c r="AK59">
        <v>1.4210854715202004E-14</v>
      </c>
      <c r="AL59">
        <v>26.67809523809526</v>
      </c>
      <c r="AM59">
        <v>22.605079365079355</v>
      </c>
      <c r="AN59">
        <v>-1.4210854715202004E-14</v>
      </c>
      <c r="AO59">
        <v>19.820952380952384</v>
      </c>
      <c r="AP59">
        <v>16.890793650793658</v>
      </c>
      <c r="AQ59">
        <v>-1.4210854715202004E-14</v>
      </c>
      <c r="AR59">
        <v>19.820952380952384</v>
      </c>
      <c r="AS59">
        <v>16.890793650793658</v>
      </c>
      <c r="AT59">
        <v>1.4210854715202004E-14</v>
      </c>
      <c r="AU59">
        <v>26.67809523809526</v>
      </c>
      <c r="AV59">
        <v>22.605079365079355</v>
      </c>
      <c r="AW59">
        <v>-1.4210854715202004E-14</v>
      </c>
      <c r="AX59">
        <v>19.820952380952384</v>
      </c>
      <c r="AY59">
        <v>16.890793650793658</v>
      </c>
      <c r="AZ59">
        <v>0</v>
      </c>
      <c r="BA59">
        <v>28.570952380952392</v>
      </c>
      <c r="BB59">
        <v>24.182460317460322</v>
      </c>
      <c r="BC59">
        <v>-1.4210854715202004E-14</v>
      </c>
      <c r="BD59">
        <v>30.713809523809523</v>
      </c>
      <c r="BE59">
        <v>25.968174603174617</v>
      </c>
      <c r="BF59">
        <v>0</v>
      </c>
      <c r="BG59">
        <v>28.570952380952392</v>
      </c>
      <c r="BH59">
        <v>24.182460317460322</v>
      </c>
      <c r="BI59">
        <v>-2.8421709430404007E-14</v>
      </c>
      <c r="BJ59">
        <v>28.570952380952384</v>
      </c>
      <c r="BK59">
        <v>24.182460317460329</v>
      </c>
      <c r="BL59">
        <v>0</v>
      </c>
      <c r="BM59">
        <v>30.713809523809537</v>
      </c>
      <c r="BN59">
        <v>25.968174603174617</v>
      </c>
      <c r="BO59">
        <v>-2.8421709430404007E-14</v>
      </c>
      <c r="BP59">
        <v>28.570952380952384</v>
      </c>
      <c r="BQ59">
        <v>24.182460317460329</v>
      </c>
      <c r="BR59">
        <v>-1.4210854715202004E-14</v>
      </c>
      <c r="BS59">
        <v>31.570952380952377</v>
      </c>
      <c r="BT59">
        <v>26.682460317460325</v>
      </c>
      <c r="BU59">
        <v>0</v>
      </c>
      <c r="BV59">
        <v>31.570952380952392</v>
      </c>
      <c r="BW59">
        <v>26.682460317460325</v>
      </c>
      <c r="BX59">
        <v>0</v>
      </c>
      <c r="BY59">
        <v>14.865714285714283</v>
      </c>
      <c r="BZ59">
        <v>12.668095238095244</v>
      </c>
      <c r="CA59">
        <v>1.4210854715202004E-14</v>
      </c>
      <c r="CB59">
        <v>14.86571428571429</v>
      </c>
      <c r="CC59">
        <v>12.668095238095237</v>
      </c>
      <c r="CD59">
        <v>1.4210854715202004E-14</v>
      </c>
      <c r="CE59">
        <v>14.86571428571429</v>
      </c>
      <c r="CF59">
        <v>12.668095238095237</v>
      </c>
      <c r="CG59">
        <v>0</v>
      </c>
      <c r="CH59">
        <v>14.865714285714283</v>
      </c>
      <c r="CI59">
        <v>12.668095238095244</v>
      </c>
      <c r="CJ59">
        <f t="shared" si="1"/>
        <v>49.963809523809545</v>
      </c>
      <c r="CK59">
        <f t="shared" si="2"/>
        <v>14.865714285714283</v>
      </c>
      <c r="CL59">
        <f t="shared" si="3"/>
        <v>42.009841269841274</v>
      </c>
      <c r="CM59">
        <f t="shared" si="4"/>
        <v>12.668095238095237</v>
      </c>
    </row>
    <row r="60" spans="1:91" x14ac:dyDescent="0.25">
      <c r="A60" s="95" t="str">
        <f>Shear_Wall_Foundation!A456</f>
        <v>16-3R_Wn</v>
      </c>
      <c r="B60">
        <f>-0.5*(Shear_Wall_Foundation!B456+Shear_Wall_Foundation!D456)*ABS(Shear_Wall_Foundation!E456-Shear_Wall_Foundation!C456)</f>
        <v>-27.978571428571431</v>
      </c>
      <c r="C60">
        <v>0</v>
      </c>
      <c r="D60">
        <v>0</v>
      </c>
      <c r="E60">
        <f t="shared" si="6"/>
        <v>3.5</v>
      </c>
      <c r="F60" t="s">
        <v>177</v>
      </c>
      <c r="G60" t="str">
        <f t="shared" si="7"/>
        <v>16-3R_Wn</v>
      </c>
      <c r="L60">
        <f>L59+$L$57</f>
        <v>1.9166666666666665</v>
      </c>
      <c r="M60" cm="1">
        <f t="array" ref="M60:CI60">LRFD_Analysis(Lf_ft,L60,$B$4:$G$72,$J$4:$U$28)</f>
        <v>-1.4210854715202004E-14</v>
      </c>
      <c r="N60">
        <v>22.098888888888894</v>
      </c>
      <c r="O60">
        <v>17.821620370370375</v>
      </c>
      <c r="P60">
        <v>0</v>
      </c>
      <c r="Q60">
        <v>45.541904761904789</v>
      </c>
      <c r="R60">
        <v>36.33400793650793</v>
      </c>
      <c r="S60">
        <v>-2.8421709430404007E-14</v>
      </c>
      <c r="T60">
        <v>47.577619047619052</v>
      </c>
      <c r="U60">
        <v>37.945615079365083</v>
      </c>
      <c r="V60">
        <v>0</v>
      </c>
      <c r="W60">
        <v>45.541904761904789</v>
      </c>
      <c r="X60">
        <v>36.33400793650793</v>
      </c>
      <c r="Y60">
        <v>0</v>
      </c>
      <c r="Z60">
        <v>27.254404761904766</v>
      </c>
      <c r="AA60">
        <v>21.856403769841265</v>
      </c>
      <c r="AB60">
        <v>0</v>
      </c>
      <c r="AC60">
        <v>33.768690476190486</v>
      </c>
      <c r="AD60">
        <v>27.013546626984123</v>
      </c>
      <c r="AE60">
        <v>0</v>
      </c>
      <c r="AF60">
        <v>27.254404761904766</v>
      </c>
      <c r="AG60">
        <v>21.856403769841265</v>
      </c>
      <c r="AH60">
        <v>-1.4210854715202004E-14</v>
      </c>
      <c r="AI60">
        <v>18.941904761904759</v>
      </c>
      <c r="AJ60">
        <v>15.275674603174593</v>
      </c>
      <c r="AK60">
        <v>1.4210854715202004E-14</v>
      </c>
      <c r="AL60">
        <v>25.456190476190486</v>
      </c>
      <c r="AM60">
        <v>20.432817460317445</v>
      </c>
      <c r="AN60">
        <v>-1.4210854715202004E-14</v>
      </c>
      <c r="AO60">
        <v>18.941904761904759</v>
      </c>
      <c r="AP60">
        <v>15.275674603174593</v>
      </c>
      <c r="AQ60">
        <v>-1.4210854715202004E-14</v>
      </c>
      <c r="AR60">
        <v>18.941904761904759</v>
      </c>
      <c r="AS60">
        <v>15.275674603174593</v>
      </c>
      <c r="AT60">
        <v>1.4210854715202004E-14</v>
      </c>
      <c r="AU60">
        <v>25.456190476190486</v>
      </c>
      <c r="AV60">
        <v>20.432817460317445</v>
      </c>
      <c r="AW60">
        <v>-1.4210854715202004E-14</v>
      </c>
      <c r="AX60">
        <v>18.941904761904759</v>
      </c>
      <c r="AY60">
        <v>15.275674603174593</v>
      </c>
      <c r="AZ60">
        <v>0</v>
      </c>
      <c r="BA60">
        <v>27.254404761904766</v>
      </c>
      <c r="BB60">
        <v>21.856403769841265</v>
      </c>
      <c r="BC60">
        <v>-1.4210854715202004E-14</v>
      </c>
      <c r="BD60">
        <v>29.290119047619044</v>
      </c>
      <c r="BE60">
        <v>23.468010912698404</v>
      </c>
      <c r="BF60">
        <v>0</v>
      </c>
      <c r="BG60">
        <v>27.254404761904766</v>
      </c>
      <c r="BH60">
        <v>21.856403769841265</v>
      </c>
      <c r="BI60">
        <v>-2.8421709430404007E-14</v>
      </c>
      <c r="BJ60">
        <v>27.254404761904752</v>
      </c>
      <c r="BK60">
        <v>21.856403769841279</v>
      </c>
      <c r="BL60">
        <v>0</v>
      </c>
      <c r="BM60">
        <v>29.290119047619058</v>
      </c>
      <c r="BN60">
        <v>23.468010912698389</v>
      </c>
      <c r="BO60">
        <v>-2.8421709430404007E-14</v>
      </c>
      <c r="BP60">
        <v>27.254404761904752</v>
      </c>
      <c r="BQ60">
        <v>21.856403769841279</v>
      </c>
      <c r="BR60">
        <v>-1.4210854715202004E-14</v>
      </c>
      <c r="BS60">
        <v>30.104404761904746</v>
      </c>
      <c r="BT60">
        <v>24.11265376984128</v>
      </c>
      <c r="BU60">
        <v>0</v>
      </c>
      <c r="BV60">
        <v>30.10440476190476</v>
      </c>
      <c r="BW60">
        <v>24.112653769841266</v>
      </c>
      <c r="BX60">
        <v>0</v>
      </c>
      <c r="BY60">
        <v>14.206428571428575</v>
      </c>
      <c r="BZ60">
        <v>11.456755952380952</v>
      </c>
      <c r="CA60">
        <v>1.4210854715202004E-14</v>
      </c>
      <c r="CB60">
        <v>14.206428571428582</v>
      </c>
      <c r="CC60">
        <v>11.456755952380945</v>
      </c>
      <c r="CD60">
        <v>1.4210854715202004E-14</v>
      </c>
      <c r="CE60">
        <v>14.206428571428582</v>
      </c>
      <c r="CF60">
        <v>11.456755952380945</v>
      </c>
      <c r="CG60">
        <v>0</v>
      </c>
      <c r="CH60">
        <v>14.206428571428575</v>
      </c>
      <c r="CI60">
        <v>11.456755952380952</v>
      </c>
      <c r="CJ60">
        <f t="shared" si="1"/>
        <v>47.577619047619052</v>
      </c>
      <c r="CK60">
        <f t="shared" si="2"/>
        <v>14.206428571428575</v>
      </c>
      <c r="CL60">
        <f t="shared" si="3"/>
        <v>37.945615079365083</v>
      </c>
      <c r="CM60">
        <f t="shared" si="4"/>
        <v>11.456755952380945</v>
      </c>
    </row>
    <row r="61" spans="1:91" x14ac:dyDescent="0.25">
      <c r="A61" s="95" t="str">
        <f>Shear_Wall_Foundation!A457</f>
        <v>16-4Wp_Lr</v>
      </c>
      <c r="B61">
        <f>-0.5*(Shear_Wall_Foundation!B457+Shear_Wall_Foundation!D457)*ABS(Shear_Wall_Foundation!E457-Shear_Wall_Foundation!C457)</f>
        <v>-33.228571428571428</v>
      </c>
      <c r="C61">
        <v>0</v>
      </c>
      <c r="D61">
        <v>0</v>
      </c>
      <c r="E61">
        <f t="shared" si="6"/>
        <v>3.5</v>
      </c>
      <c r="F61" t="s">
        <v>177</v>
      </c>
      <c r="G61" t="str">
        <f t="shared" si="7"/>
        <v>16-4Wp_Lr</v>
      </c>
      <c r="L61">
        <f>L60+$L$57</f>
        <v>1.9999999999999998</v>
      </c>
      <c r="M61" cm="1">
        <f t="array" ref="M61:CI61">LRFD_Analysis(Lf_ft,L61,$B$4:$G$72,$J$4:$U$28)</f>
        <v>-1.4210854715202004E-14</v>
      </c>
      <c r="N61">
        <v>21.073333333333338</v>
      </c>
      <c r="O61">
        <v>16.022777777777755</v>
      </c>
      <c r="P61">
        <v>0</v>
      </c>
      <c r="Q61">
        <v>43.262857142857158</v>
      </c>
      <c r="R61">
        <v>32.633809523809504</v>
      </c>
      <c r="S61">
        <v>-2.8421709430404007E-14</v>
      </c>
      <c r="T61">
        <v>45.191428571428574</v>
      </c>
      <c r="U61">
        <v>34.080238095238087</v>
      </c>
      <c r="V61">
        <v>0</v>
      </c>
      <c r="W61">
        <v>43.262857142857158</v>
      </c>
      <c r="X61">
        <v>32.633809523809504</v>
      </c>
      <c r="Y61">
        <v>0</v>
      </c>
      <c r="Z61">
        <v>25.937857142857141</v>
      </c>
      <c r="AA61">
        <v>19.640059523809505</v>
      </c>
      <c r="AB61">
        <v>0</v>
      </c>
      <c r="AC61">
        <v>32.109285714285718</v>
      </c>
      <c r="AD61">
        <v>24.268630952380938</v>
      </c>
      <c r="AE61">
        <v>0</v>
      </c>
      <c r="AF61">
        <v>25.937857142857141</v>
      </c>
      <c r="AG61">
        <v>19.640059523809505</v>
      </c>
      <c r="AH61">
        <v>-1.4210854715202004E-14</v>
      </c>
      <c r="AI61">
        <v>18.062857142857126</v>
      </c>
      <c r="AJ61">
        <v>13.733809523809533</v>
      </c>
      <c r="AK61">
        <v>1.4210854715202004E-14</v>
      </c>
      <c r="AL61">
        <v>24.234285714285718</v>
      </c>
      <c r="AM61">
        <v>18.362380952380931</v>
      </c>
      <c r="AN61">
        <v>-1.4210854715202004E-14</v>
      </c>
      <c r="AO61">
        <v>18.062857142857126</v>
      </c>
      <c r="AP61">
        <v>13.733809523809533</v>
      </c>
      <c r="AQ61">
        <v>-1.4210854715202004E-14</v>
      </c>
      <c r="AR61">
        <v>18.062857142857126</v>
      </c>
      <c r="AS61">
        <v>13.733809523809533</v>
      </c>
      <c r="AT61">
        <v>1.4210854715202004E-14</v>
      </c>
      <c r="AU61">
        <v>24.234285714285718</v>
      </c>
      <c r="AV61">
        <v>18.362380952380931</v>
      </c>
      <c r="AW61">
        <v>-1.4210854715202004E-14</v>
      </c>
      <c r="AX61">
        <v>18.062857142857126</v>
      </c>
      <c r="AY61">
        <v>13.733809523809533</v>
      </c>
      <c r="AZ61">
        <v>0</v>
      </c>
      <c r="BA61">
        <v>25.937857142857141</v>
      </c>
      <c r="BB61">
        <v>19.640059523809505</v>
      </c>
      <c r="BC61">
        <v>-1.4210854715202004E-14</v>
      </c>
      <c r="BD61">
        <v>27.866428571428557</v>
      </c>
      <c r="BE61">
        <v>21.086488095238089</v>
      </c>
      <c r="BF61">
        <v>0</v>
      </c>
      <c r="BG61">
        <v>25.937857142857141</v>
      </c>
      <c r="BH61">
        <v>19.640059523809505</v>
      </c>
      <c r="BI61">
        <v>-2.8421709430404007E-14</v>
      </c>
      <c r="BJ61">
        <v>25.937857142857126</v>
      </c>
      <c r="BK61">
        <v>19.640059523809519</v>
      </c>
      <c r="BL61">
        <v>0</v>
      </c>
      <c r="BM61">
        <v>27.866428571428571</v>
      </c>
      <c r="BN61">
        <v>21.086488095238074</v>
      </c>
      <c r="BO61">
        <v>-2.8421709430404007E-14</v>
      </c>
      <c r="BP61">
        <v>25.937857142857126</v>
      </c>
      <c r="BQ61">
        <v>19.640059523809519</v>
      </c>
      <c r="BR61">
        <v>-1.4210854715202004E-14</v>
      </c>
      <c r="BS61">
        <v>28.637857142857129</v>
      </c>
      <c r="BT61">
        <v>21.665059523809518</v>
      </c>
      <c r="BU61">
        <v>0</v>
      </c>
      <c r="BV61">
        <v>28.637857142857143</v>
      </c>
      <c r="BW61">
        <v>21.665059523809504</v>
      </c>
      <c r="BX61">
        <v>0</v>
      </c>
      <c r="BY61">
        <v>13.547142857142859</v>
      </c>
      <c r="BZ61">
        <v>10.300357142857138</v>
      </c>
      <c r="CA61">
        <v>1.4210854715202004E-14</v>
      </c>
      <c r="CB61">
        <v>13.547142857142866</v>
      </c>
      <c r="CC61">
        <v>10.300357142857131</v>
      </c>
      <c r="CD61">
        <v>1.4210854715202004E-14</v>
      </c>
      <c r="CE61">
        <v>13.547142857142866</v>
      </c>
      <c r="CF61">
        <v>10.300357142857131</v>
      </c>
      <c r="CG61">
        <v>0</v>
      </c>
      <c r="CH61">
        <v>13.547142857142859</v>
      </c>
      <c r="CI61">
        <v>10.300357142857138</v>
      </c>
      <c r="CJ61">
        <f t="shared" si="1"/>
        <v>45.191428571428574</v>
      </c>
      <c r="CK61">
        <f t="shared" si="2"/>
        <v>13.547142857142859</v>
      </c>
      <c r="CL61">
        <f t="shared" si="3"/>
        <v>34.080238095238087</v>
      </c>
      <c r="CM61">
        <f t="shared" si="4"/>
        <v>10.300357142857131</v>
      </c>
    </row>
    <row r="62" spans="1:91" x14ac:dyDescent="0.25">
      <c r="A62" s="95" t="str">
        <f>Shear_Wall_Foundation!A458</f>
        <v>16-4Wp_S</v>
      </c>
      <c r="B62">
        <f>-0.5*(Shear_Wall_Foundation!B458+Shear_Wall_Foundation!D458)*ABS(Shear_Wall_Foundation!E458-Shear_Wall_Foundation!C458)</f>
        <v>-34.51428571428572</v>
      </c>
      <c r="C62">
        <v>0</v>
      </c>
      <c r="D62">
        <v>0</v>
      </c>
      <c r="E62">
        <f t="shared" si="6"/>
        <v>3.5</v>
      </c>
      <c r="F62" t="s">
        <v>177</v>
      </c>
      <c r="G62" t="str">
        <f t="shared" si="7"/>
        <v>16-4Wp_S</v>
      </c>
      <c r="L62">
        <f>L61+$L$57</f>
        <v>2.083333333333333</v>
      </c>
      <c r="M62" cm="1">
        <f t="array" ref="M62:CI62">LRFD_Analysis(Lf_ft,L62,$B$4:$G$72,$J$4:$U$28)</f>
        <v>-1.4210854715202004E-14</v>
      </c>
      <c r="N62">
        <v>20.047777777777782</v>
      </c>
      <c r="O62">
        <v>14.309398148148176</v>
      </c>
      <c r="P62">
        <v>0</v>
      </c>
      <c r="Q62">
        <v>40.983809523809555</v>
      </c>
      <c r="R62">
        <v>29.123531746031745</v>
      </c>
      <c r="S62">
        <v>-2.8421709430404007E-14</v>
      </c>
      <c r="T62">
        <v>42.80523809523811</v>
      </c>
      <c r="U62">
        <v>30.413710317460357</v>
      </c>
      <c r="V62">
        <v>0</v>
      </c>
      <c r="W62">
        <v>40.983809523809555</v>
      </c>
      <c r="X62">
        <v>29.123531746031745</v>
      </c>
      <c r="Y62">
        <v>0</v>
      </c>
      <c r="Z62">
        <v>24.621309523809529</v>
      </c>
      <c r="AA62">
        <v>17.533427579365089</v>
      </c>
      <c r="AB62">
        <v>0</v>
      </c>
      <c r="AC62">
        <v>30.449880952380965</v>
      </c>
      <c r="AD62">
        <v>21.661999007936537</v>
      </c>
      <c r="AE62">
        <v>0</v>
      </c>
      <c r="AF62">
        <v>24.621309523809529</v>
      </c>
      <c r="AG62">
        <v>17.533427579365089</v>
      </c>
      <c r="AH62">
        <v>-1.4210854715202004E-14</v>
      </c>
      <c r="AI62">
        <v>17.183809523809522</v>
      </c>
      <c r="AJ62">
        <v>12.265198412698425</v>
      </c>
      <c r="AK62">
        <v>1.4210854715202004E-14</v>
      </c>
      <c r="AL62">
        <v>23.012380952380965</v>
      </c>
      <c r="AM62">
        <v>16.393769841269844</v>
      </c>
      <c r="AN62">
        <v>-1.4210854715202004E-14</v>
      </c>
      <c r="AO62">
        <v>17.183809523809522</v>
      </c>
      <c r="AP62">
        <v>12.265198412698425</v>
      </c>
      <c r="AQ62">
        <v>-1.4210854715202004E-14</v>
      </c>
      <c r="AR62">
        <v>17.183809523809522</v>
      </c>
      <c r="AS62">
        <v>12.265198412698425</v>
      </c>
      <c r="AT62">
        <v>1.4210854715202004E-14</v>
      </c>
      <c r="AU62">
        <v>23.012380952380965</v>
      </c>
      <c r="AV62">
        <v>16.393769841269844</v>
      </c>
      <c r="AW62">
        <v>-1.4210854715202004E-14</v>
      </c>
      <c r="AX62">
        <v>17.183809523809522</v>
      </c>
      <c r="AY62">
        <v>12.265198412698425</v>
      </c>
      <c r="AZ62">
        <v>0</v>
      </c>
      <c r="BA62">
        <v>24.621309523809529</v>
      </c>
      <c r="BB62">
        <v>17.533427579365089</v>
      </c>
      <c r="BC62">
        <v>-1.4210854715202004E-14</v>
      </c>
      <c r="BD62">
        <v>26.442738095238084</v>
      </c>
      <c r="BE62">
        <v>18.823606150793672</v>
      </c>
      <c r="BF62">
        <v>0</v>
      </c>
      <c r="BG62">
        <v>24.621309523809529</v>
      </c>
      <c r="BH62">
        <v>17.533427579365089</v>
      </c>
      <c r="BI62">
        <v>-2.8421709430404007E-14</v>
      </c>
      <c r="BJ62">
        <v>24.621309523809515</v>
      </c>
      <c r="BK62">
        <v>17.533427579365103</v>
      </c>
      <c r="BL62">
        <v>0</v>
      </c>
      <c r="BM62">
        <v>26.442738095238113</v>
      </c>
      <c r="BN62">
        <v>18.82360615079363</v>
      </c>
      <c r="BO62">
        <v>-2.8421709430404007E-14</v>
      </c>
      <c r="BP62">
        <v>24.621309523809515</v>
      </c>
      <c r="BQ62">
        <v>17.533427579365103</v>
      </c>
      <c r="BR62">
        <v>-1.4210854715202004E-14</v>
      </c>
      <c r="BS62">
        <v>27.171309523809526</v>
      </c>
      <c r="BT62">
        <v>19.339677579365087</v>
      </c>
      <c r="BU62">
        <v>0</v>
      </c>
      <c r="BV62">
        <v>27.171309523809541</v>
      </c>
      <c r="BW62">
        <v>19.339677579365073</v>
      </c>
      <c r="BX62">
        <v>0</v>
      </c>
      <c r="BY62">
        <v>12.88785714285715</v>
      </c>
      <c r="BZ62">
        <v>9.1988988095238184</v>
      </c>
      <c r="CA62">
        <v>1.4210854715202004E-14</v>
      </c>
      <c r="CB62">
        <v>12.887857142857158</v>
      </c>
      <c r="CC62">
        <v>9.1988988095238113</v>
      </c>
      <c r="CD62">
        <v>1.4210854715202004E-14</v>
      </c>
      <c r="CE62">
        <v>12.887857142857158</v>
      </c>
      <c r="CF62">
        <v>9.1988988095238113</v>
      </c>
      <c r="CG62">
        <v>0</v>
      </c>
      <c r="CH62">
        <v>12.88785714285715</v>
      </c>
      <c r="CI62">
        <v>9.1988988095238184</v>
      </c>
      <c r="CJ62">
        <f t="shared" si="1"/>
        <v>42.80523809523811</v>
      </c>
      <c r="CK62">
        <f t="shared" si="2"/>
        <v>12.88785714285715</v>
      </c>
      <c r="CL62">
        <f t="shared" si="3"/>
        <v>30.413710317460357</v>
      </c>
      <c r="CM62">
        <f t="shared" si="4"/>
        <v>9.1988988095238113</v>
      </c>
    </row>
    <row r="63" spans="1:91" x14ac:dyDescent="0.25">
      <c r="A63" s="95" t="str">
        <f>Shear_Wall_Foundation!A459</f>
        <v>16-4Wp_R</v>
      </c>
      <c r="B63">
        <f>-0.5*(Shear_Wall_Foundation!B459+Shear_Wall_Foundation!D459)*ABS(Shear_Wall_Foundation!E459-Shear_Wall_Foundation!C459)</f>
        <v>-33.228571428571428</v>
      </c>
      <c r="C63">
        <v>0</v>
      </c>
      <c r="D63">
        <v>0</v>
      </c>
      <c r="E63">
        <f t="shared" si="6"/>
        <v>3.5</v>
      </c>
      <c r="F63" t="s">
        <v>177</v>
      </c>
      <c r="G63" t="str">
        <f t="shared" si="7"/>
        <v>16-4Wp_R</v>
      </c>
      <c r="L63">
        <f>E7</f>
        <v>2.1666666666666665</v>
      </c>
      <c r="M63" cm="1">
        <f t="array" ref="M63:CI63">LRFD_Analysis(Lf_ft,L63,$B$4:$G$72,$J$4:$U$28)</f>
        <v>-1.4210854715202004E-14</v>
      </c>
      <c r="N63">
        <v>19.02222222222224</v>
      </c>
      <c r="O63">
        <v>12.681481481481477</v>
      </c>
      <c r="P63">
        <v>0</v>
      </c>
      <c r="Q63">
        <v>38.704761904761909</v>
      </c>
      <c r="R63">
        <v>25.803174603174597</v>
      </c>
      <c r="S63">
        <v>-2.8421709430404007E-14</v>
      </c>
      <c r="T63">
        <v>40.419047619047618</v>
      </c>
      <c r="U63">
        <v>26.94603174603175</v>
      </c>
      <c r="V63">
        <v>0</v>
      </c>
      <c r="W63">
        <v>38.704761904761909</v>
      </c>
      <c r="X63">
        <v>25.803174603174597</v>
      </c>
      <c r="Y63">
        <v>0</v>
      </c>
      <c r="Z63">
        <v>23.304761904761904</v>
      </c>
      <c r="AA63">
        <v>15.536507936507931</v>
      </c>
      <c r="AB63">
        <v>0</v>
      </c>
      <c r="AC63">
        <v>28.790476190476198</v>
      </c>
      <c r="AD63">
        <v>19.193650793650789</v>
      </c>
      <c r="AE63">
        <v>0</v>
      </c>
      <c r="AF63">
        <v>23.304761904761904</v>
      </c>
      <c r="AG63">
        <v>15.536507936507931</v>
      </c>
      <c r="AH63">
        <v>-1.4210854715202004E-14</v>
      </c>
      <c r="AI63">
        <v>16.304761904761897</v>
      </c>
      <c r="AJ63">
        <v>10.869841269841274</v>
      </c>
      <c r="AK63">
        <v>1.4210854715202004E-14</v>
      </c>
      <c r="AL63">
        <v>21.790476190476198</v>
      </c>
      <c r="AM63">
        <v>14.526984126984118</v>
      </c>
      <c r="AN63">
        <v>-1.4210854715202004E-14</v>
      </c>
      <c r="AO63">
        <v>16.304761904761897</v>
      </c>
      <c r="AP63">
        <v>10.869841269841274</v>
      </c>
      <c r="AQ63">
        <v>-1.4210854715202004E-14</v>
      </c>
      <c r="AR63">
        <v>16.304761904761897</v>
      </c>
      <c r="AS63">
        <v>10.869841269841274</v>
      </c>
      <c r="AT63">
        <v>1.4210854715202004E-14</v>
      </c>
      <c r="AU63">
        <v>21.790476190476198</v>
      </c>
      <c r="AV63">
        <v>14.526984126984118</v>
      </c>
      <c r="AW63">
        <v>-1.4210854715202004E-14</v>
      </c>
      <c r="AX63">
        <v>16.304761904761897</v>
      </c>
      <c r="AY63">
        <v>10.869841269841274</v>
      </c>
      <c r="AZ63">
        <v>0</v>
      </c>
      <c r="BA63">
        <v>23.304761904761904</v>
      </c>
      <c r="BB63">
        <v>15.536507936507931</v>
      </c>
      <c r="BC63">
        <v>-1.4210854715202004E-14</v>
      </c>
      <c r="BD63">
        <v>25.019047619047612</v>
      </c>
      <c r="BE63">
        <v>16.679365079365084</v>
      </c>
      <c r="BF63">
        <v>0</v>
      </c>
      <c r="BG63">
        <v>23.304761904761904</v>
      </c>
      <c r="BH63">
        <v>15.536507936507931</v>
      </c>
      <c r="BI63">
        <v>-2.8421709430404007E-14</v>
      </c>
      <c r="BJ63">
        <v>23.304761904761889</v>
      </c>
      <c r="BK63">
        <v>15.536507936507945</v>
      </c>
      <c r="BL63">
        <v>0</v>
      </c>
      <c r="BM63">
        <v>25.019047619047626</v>
      </c>
      <c r="BN63">
        <v>16.67936507936507</v>
      </c>
      <c r="BO63">
        <v>-2.8421709430404007E-14</v>
      </c>
      <c r="BP63">
        <v>23.304761904761889</v>
      </c>
      <c r="BQ63">
        <v>15.536507936507945</v>
      </c>
      <c r="BR63">
        <v>-1.4210854715202004E-14</v>
      </c>
      <c r="BS63">
        <v>25.704761904761895</v>
      </c>
      <c r="BT63">
        <v>17.13650793650794</v>
      </c>
      <c r="BU63">
        <v>0</v>
      </c>
      <c r="BV63">
        <v>25.704761904761909</v>
      </c>
      <c r="BW63">
        <v>17.136507936507925</v>
      </c>
      <c r="BX63">
        <v>0</v>
      </c>
      <c r="BY63">
        <v>12.228571428571421</v>
      </c>
      <c r="BZ63">
        <v>8.1523809523809589</v>
      </c>
      <c r="CA63">
        <v>1.4210854715202004E-14</v>
      </c>
      <c r="CB63">
        <v>12.228571428571428</v>
      </c>
      <c r="CC63">
        <v>8.1523809523809518</v>
      </c>
      <c r="CD63">
        <v>1.4210854715202004E-14</v>
      </c>
      <c r="CE63">
        <v>12.228571428571428</v>
      </c>
      <c r="CF63">
        <v>8.1523809523809518</v>
      </c>
      <c r="CG63">
        <v>0</v>
      </c>
      <c r="CH63">
        <v>12.228571428571421</v>
      </c>
      <c r="CI63">
        <v>8.1523809523809589</v>
      </c>
      <c r="CJ63">
        <f t="shared" si="1"/>
        <v>40.419047619047618</v>
      </c>
      <c r="CK63">
        <f t="shared" si="2"/>
        <v>12.228571428571421</v>
      </c>
      <c r="CL63">
        <f t="shared" si="3"/>
        <v>26.94603174603175</v>
      </c>
      <c r="CM63">
        <f t="shared" si="4"/>
        <v>8.1523809523809518</v>
      </c>
    </row>
    <row r="64" spans="1:91" x14ac:dyDescent="0.25">
      <c r="A64" s="95" t="str">
        <f>Shear_Wall_Foundation!A460</f>
        <v>16-4Wn_Lr</v>
      </c>
      <c r="B64">
        <f>-0.5*(Shear_Wall_Foundation!B460+Shear_Wall_Foundation!D460)*ABS(Shear_Wall_Foundation!E460-Shear_Wall_Foundation!C460)</f>
        <v>-33.228571428571435</v>
      </c>
      <c r="C64">
        <v>0</v>
      </c>
      <c r="D64">
        <v>0</v>
      </c>
      <c r="E64">
        <f t="shared" si="6"/>
        <v>3.5</v>
      </c>
      <c r="F64" t="s">
        <v>177</v>
      </c>
      <c r="G64" t="str">
        <f t="shared" si="7"/>
        <v>16-4Wn_Lr</v>
      </c>
      <c r="K64" t="s">
        <v>301</v>
      </c>
      <c r="L64">
        <f>(L80-L63)/15</f>
        <v>8.8888888888888892E-2</v>
      </c>
    </row>
    <row r="65" spans="1:91" x14ac:dyDescent="0.25">
      <c r="A65" s="95" t="str">
        <f>Shear_Wall_Foundation!A461</f>
        <v>16-4Wn_S</v>
      </c>
      <c r="B65">
        <f>-0.5*(Shear_Wall_Foundation!B461+Shear_Wall_Foundation!D461)*ABS(Shear_Wall_Foundation!E461-Shear_Wall_Foundation!C461)</f>
        <v>-34.514285714285712</v>
      </c>
      <c r="C65">
        <v>0</v>
      </c>
      <c r="D65">
        <v>0</v>
      </c>
      <c r="E65">
        <f t="shared" si="6"/>
        <v>3.5</v>
      </c>
      <c r="F65" t="s">
        <v>177</v>
      </c>
      <c r="G65" t="str">
        <f t="shared" si="7"/>
        <v>16-4Wn_S</v>
      </c>
      <c r="L65">
        <f>L66-L64</f>
        <v>2.1666666666666665</v>
      </c>
      <c r="M65" cm="1">
        <f t="array" ref="M65:CI65">LRFD_Analysis(Lf_ft,L65,$B$4:$G$72,$J$4:$U$28)</f>
        <v>-1.4210854715202004E-14</v>
      </c>
      <c r="N65">
        <v>19.02222222222224</v>
      </c>
      <c r="O65">
        <v>12.681481481481477</v>
      </c>
      <c r="P65">
        <v>0</v>
      </c>
      <c r="Q65">
        <v>38.704761904761909</v>
      </c>
      <c r="R65">
        <v>25.803174603174597</v>
      </c>
      <c r="S65">
        <v>-2.8421709430404007E-14</v>
      </c>
      <c r="T65">
        <v>40.419047619047618</v>
      </c>
      <c r="U65">
        <v>26.94603174603175</v>
      </c>
      <c r="V65">
        <v>0</v>
      </c>
      <c r="W65">
        <v>38.704761904761909</v>
      </c>
      <c r="X65">
        <v>25.803174603174597</v>
      </c>
      <c r="Y65">
        <v>0</v>
      </c>
      <c r="Z65">
        <v>23.304761904761904</v>
      </c>
      <c r="AA65">
        <v>15.536507936507931</v>
      </c>
      <c r="AB65">
        <v>0</v>
      </c>
      <c r="AC65">
        <v>28.790476190476198</v>
      </c>
      <c r="AD65">
        <v>19.193650793650789</v>
      </c>
      <c r="AE65">
        <v>0</v>
      </c>
      <c r="AF65">
        <v>23.304761904761904</v>
      </c>
      <c r="AG65">
        <v>15.536507936507931</v>
      </c>
      <c r="AH65">
        <v>-1.4210854715202004E-14</v>
      </c>
      <c r="AI65">
        <v>16.304761904761897</v>
      </c>
      <c r="AJ65">
        <v>10.869841269841274</v>
      </c>
      <c r="AK65">
        <v>1.4210854715202004E-14</v>
      </c>
      <c r="AL65">
        <v>21.790476190476198</v>
      </c>
      <c r="AM65">
        <v>14.526984126984118</v>
      </c>
      <c r="AN65">
        <v>-1.4210854715202004E-14</v>
      </c>
      <c r="AO65">
        <v>16.304761904761897</v>
      </c>
      <c r="AP65">
        <v>10.869841269841274</v>
      </c>
      <c r="AQ65">
        <v>-1.4210854715202004E-14</v>
      </c>
      <c r="AR65">
        <v>16.304761904761897</v>
      </c>
      <c r="AS65">
        <v>10.869841269841274</v>
      </c>
      <c r="AT65">
        <v>1.4210854715202004E-14</v>
      </c>
      <c r="AU65">
        <v>21.790476190476198</v>
      </c>
      <c r="AV65">
        <v>14.526984126984118</v>
      </c>
      <c r="AW65">
        <v>-1.4210854715202004E-14</v>
      </c>
      <c r="AX65">
        <v>16.304761904761897</v>
      </c>
      <c r="AY65">
        <v>10.869841269841274</v>
      </c>
      <c r="AZ65">
        <v>0</v>
      </c>
      <c r="BA65">
        <v>23.304761904761904</v>
      </c>
      <c r="BB65">
        <v>15.536507936507931</v>
      </c>
      <c r="BC65">
        <v>-1.4210854715202004E-14</v>
      </c>
      <c r="BD65">
        <v>25.019047619047612</v>
      </c>
      <c r="BE65">
        <v>16.679365079365084</v>
      </c>
      <c r="BF65">
        <v>0</v>
      </c>
      <c r="BG65">
        <v>23.304761904761904</v>
      </c>
      <c r="BH65">
        <v>15.536507936507931</v>
      </c>
      <c r="BI65">
        <v>-2.8421709430404007E-14</v>
      </c>
      <c r="BJ65">
        <v>23.304761904761889</v>
      </c>
      <c r="BK65">
        <v>15.536507936507945</v>
      </c>
      <c r="BL65">
        <v>0</v>
      </c>
      <c r="BM65">
        <v>25.019047619047626</v>
      </c>
      <c r="BN65">
        <v>16.67936507936507</v>
      </c>
      <c r="BO65">
        <v>-2.8421709430404007E-14</v>
      </c>
      <c r="BP65">
        <v>23.304761904761889</v>
      </c>
      <c r="BQ65">
        <v>15.536507936507945</v>
      </c>
      <c r="BR65">
        <v>-1.4210854715202004E-14</v>
      </c>
      <c r="BS65">
        <v>25.704761904761895</v>
      </c>
      <c r="BT65">
        <v>17.13650793650794</v>
      </c>
      <c r="BU65">
        <v>0</v>
      </c>
      <c r="BV65">
        <v>25.704761904761909</v>
      </c>
      <c r="BW65">
        <v>17.136507936507925</v>
      </c>
      <c r="BX65">
        <v>0</v>
      </c>
      <c r="BY65">
        <v>12.228571428571421</v>
      </c>
      <c r="BZ65">
        <v>8.1523809523809589</v>
      </c>
      <c r="CA65">
        <v>1.4210854715202004E-14</v>
      </c>
      <c r="CB65">
        <v>12.228571428571428</v>
      </c>
      <c r="CC65">
        <v>8.1523809523809518</v>
      </c>
      <c r="CD65">
        <v>1.4210854715202004E-14</v>
      </c>
      <c r="CE65">
        <v>12.228571428571428</v>
      </c>
      <c r="CF65">
        <v>8.1523809523809518</v>
      </c>
      <c r="CG65">
        <v>0</v>
      </c>
      <c r="CH65">
        <v>12.228571428571421</v>
      </c>
      <c r="CI65">
        <v>8.1523809523809589</v>
      </c>
      <c r="CJ65">
        <f t="shared" ref="CJ65" si="16">MAX(CH65,CE65,CB65,BY65,BV65,BS65,BP65,BM65,BJ65,BG65,BD65,BA65,AX65,AU65,AR65,AO65,AL65,AI65,AF65,AC65,Z65,W65,T65,Q65,N65)</f>
        <v>40.419047619047618</v>
      </c>
      <c r="CK65">
        <f t="shared" ref="CK65" si="17">MIN(CH65,CE65,CB65,BY65,BV65,BS65,BP65,BM65,BJ65,BG65,BD65,BA65,AX65,AU65,AR65,AO65,AL65,AI65,AF65,AC65,Z65,W65,T65,Q65,N65)</f>
        <v>12.228571428571421</v>
      </c>
      <c r="CL65">
        <f t="shared" ref="CL65" si="18">MAX(CI65,CF65,CC65,BZ65,BW65,BT65,BQ65,BN65,BK65,BH65,BE65,BB65,AY65,AV65,AS65,AP65,AM65,AJ65,AG65,AD65,AA65,X65,U65,R65,O65)</f>
        <v>26.94603174603175</v>
      </c>
      <c r="CM65">
        <f t="shared" ref="CM65" si="19">MIN(CI65,CF65,CC65,BZ65,BW65,BT65,BQ65,BN65,BK65,BH65,BE65,BB65,AY65,AV65,AS65,AP65,AM65,AJ65,AG65,AD65,AA65,X65,U65,R65,O65)</f>
        <v>8.1523809523809518</v>
      </c>
    </row>
    <row r="66" spans="1:91" x14ac:dyDescent="0.25">
      <c r="A66" s="95" t="str">
        <f>Shear_Wall_Foundation!A462</f>
        <v>16-4Wn_R</v>
      </c>
      <c r="B66">
        <f>-0.5*(Shear_Wall_Foundation!B462+Shear_Wall_Foundation!D462)*ABS(Shear_Wall_Foundation!E462-Shear_Wall_Foundation!C462)</f>
        <v>-33.228571428571435</v>
      </c>
      <c r="C66">
        <v>0</v>
      </c>
      <c r="D66">
        <v>0</v>
      </c>
      <c r="E66">
        <f t="shared" si="6"/>
        <v>3.5</v>
      </c>
      <c r="F66" t="s">
        <v>177</v>
      </c>
      <c r="G66" t="str">
        <f t="shared" si="7"/>
        <v>16-4Wn_R</v>
      </c>
      <c r="L66">
        <f>L63+L64</f>
        <v>2.2555555555555555</v>
      </c>
      <c r="M66" cm="1">
        <f t="array" ref="M66:CI66">LRFD_Analysis(Lf_ft,L66,$B$4:$G$72,$J$4:$U$28)</f>
        <v>-1.4210854715202004E-14</v>
      </c>
      <c r="N66">
        <v>17.754074074074069</v>
      </c>
      <c r="O66">
        <v>11.046979423868336</v>
      </c>
      <c r="P66">
        <v>0</v>
      </c>
      <c r="Q66">
        <v>36.12444444444445</v>
      </c>
      <c r="R66">
        <v>22.477432098765419</v>
      </c>
      <c r="S66">
        <v>-2.8421709430404007E-14</v>
      </c>
      <c r="T66">
        <v>37.724444444444444</v>
      </c>
      <c r="U66">
        <v>23.472987654320974</v>
      </c>
      <c r="V66">
        <v>0</v>
      </c>
      <c r="W66">
        <v>36.12444444444445</v>
      </c>
      <c r="X66">
        <v>22.477432098765419</v>
      </c>
      <c r="Y66">
        <v>0</v>
      </c>
      <c r="Z66">
        <v>21.751111111111115</v>
      </c>
      <c r="AA66">
        <v>13.534024691358013</v>
      </c>
      <c r="AB66">
        <v>0</v>
      </c>
      <c r="AC66">
        <v>26.871111111111119</v>
      </c>
      <c r="AD66">
        <v>16.719802469135814</v>
      </c>
      <c r="AE66">
        <v>0</v>
      </c>
      <c r="AF66">
        <v>21.751111111111115</v>
      </c>
      <c r="AG66">
        <v>13.534024691358013</v>
      </c>
      <c r="AH66">
        <v>-1.4210854715202004E-14</v>
      </c>
      <c r="AI66">
        <v>15.217777777777776</v>
      </c>
      <c r="AJ66">
        <v>9.4688395061728414</v>
      </c>
      <c r="AK66">
        <v>1.4210854715202004E-14</v>
      </c>
      <c r="AL66">
        <v>20.337777777777788</v>
      </c>
      <c r="AM66">
        <v>12.654617283950614</v>
      </c>
      <c r="AN66">
        <v>-1.4210854715202004E-14</v>
      </c>
      <c r="AO66">
        <v>15.217777777777776</v>
      </c>
      <c r="AP66">
        <v>9.4688395061728414</v>
      </c>
      <c r="AQ66">
        <v>-1.4210854715202004E-14</v>
      </c>
      <c r="AR66">
        <v>15.217777777777776</v>
      </c>
      <c r="AS66">
        <v>9.4688395061728414</v>
      </c>
      <c r="AT66">
        <v>1.4210854715202004E-14</v>
      </c>
      <c r="AU66">
        <v>20.337777777777788</v>
      </c>
      <c r="AV66">
        <v>12.654617283950614</v>
      </c>
      <c r="AW66">
        <v>-1.4210854715202004E-14</v>
      </c>
      <c r="AX66">
        <v>15.217777777777776</v>
      </c>
      <c r="AY66">
        <v>9.4688395061728414</v>
      </c>
      <c r="AZ66">
        <v>0</v>
      </c>
      <c r="BA66">
        <v>21.751111111111115</v>
      </c>
      <c r="BB66">
        <v>13.534024691358013</v>
      </c>
      <c r="BC66">
        <v>-1.4210854715202004E-14</v>
      </c>
      <c r="BD66">
        <v>23.351111111111109</v>
      </c>
      <c r="BE66">
        <v>14.529580246913554</v>
      </c>
      <c r="BF66">
        <v>0</v>
      </c>
      <c r="BG66">
        <v>21.751111111111115</v>
      </c>
      <c r="BH66">
        <v>13.534024691358013</v>
      </c>
      <c r="BI66">
        <v>-2.8421709430404007E-14</v>
      </c>
      <c r="BJ66">
        <v>21.751111111111101</v>
      </c>
      <c r="BK66">
        <v>13.534024691358027</v>
      </c>
      <c r="BL66">
        <v>0</v>
      </c>
      <c r="BM66">
        <v>23.351111111111123</v>
      </c>
      <c r="BN66">
        <v>14.529580246913554</v>
      </c>
      <c r="BO66">
        <v>-2.8421709430404007E-14</v>
      </c>
      <c r="BP66">
        <v>21.751111111111101</v>
      </c>
      <c r="BQ66">
        <v>13.534024691358027</v>
      </c>
      <c r="BR66">
        <v>-1.4210854715202004E-14</v>
      </c>
      <c r="BS66">
        <v>23.99111111111111</v>
      </c>
      <c r="BT66">
        <v>14.927802469135798</v>
      </c>
      <c r="BU66">
        <v>0</v>
      </c>
      <c r="BV66">
        <v>23.991111111111124</v>
      </c>
      <c r="BW66">
        <v>14.927802469135784</v>
      </c>
      <c r="BX66">
        <v>0</v>
      </c>
      <c r="BY66">
        <v>11.413333333333334</v>
      </c>
      <c r="BZ66">
        <v>7.1016296296296204</v>
      </c>
      <c r="CA66">
        <v>1.4210854715202004E-14</v>
      </c>
      <c r="CB66">
        <v>11.413333333333341</v>
      </c>
      <c r="CC66">
        <v>7.1016296296296204</v>
      </c>
      <c r="CD66">
        <v>1.4210854715202004E-14</v>
      </c>
      <c r="CE66">
        <v>11.413333333333341</v>
      </c>
      <c r="CF66">
        <v>7.1016296296296204</v>
      </c>
      <c r="CG66">
        <v>0</v>
      </c>
      <c r="CH66">
        <v>11.413333333333334</v>
      </c>
      <c r="CI66">
        <v>7.1016296296296204</v>
      </c>
      <c r="CJ66">
        <f t="shared" si="1"/>
        <v>37.724444444444444</v>
      </c>
      <c r="CK66">
        <f t="shared" si="2"/>
        <v>11.413333333333334</v>
      </c>
      <c r="CL66">
        <f t="shared" si="3"/>
        <v>23.472987654320974</v>
      </c>
      <c r="CM66">
        <f t="shared" si="4"/>
        <v>7.1016296296296204</v>
      </c>
    </row>
    <row r="67" spans="1:91" x14ac:dyDescent="0.25">
      <c r="A67" s="95" t="str">
        <f>Shear_Wall_Foundation!A463</f>
        <v>16-5Ep</v>
      </c>
      <c r="B67">
        <f>-0.5*(Shear_Wall_Foundation!B463+Shear_Wall_Foundation!D463)*ABS(Shear_Wall_Foundation!E463-Shear_Wall_Foundation!C463)</f>
        <v>-35.028571428571432</v>
      </c>
      <c r="C67">
        <v>0</v>
      </c>
      <c r="D67">
        <v>0</v>
      </c>
      <c r="E67">
        <f t="shared" si="6"/>
        <v>3.5</v>
      </c>
      <c r="F67" t="s">
        <v>177</v>
      </c>
      <c r="G67" t="str">
        <f t="shared" si="7"/>
        <v>16-5Ep</v>
      </c>
      <c r="L67">
        <f t="shared" ref="L67:L79" si="20">L66+$L$64</f>
        <v>2.3444444444444446</v>
      </c>
      <c r="M67" cm="1">
        <f t="array" ref="M67:CI67">LRFD_Analysis(Lf_ft,L67,$B$4:$G$72,$J$4:$U$28)</f>
        <v>-1.4210854715202004E-14</v>
      </c>
      <c r="N67">
        <v>16.485925925925912</v>
      </c>
      <c r="O67">
        <v>9.5252016460905367</v>
      </c>
      <c r="P67">
        <v>0</v>
      </c>
      <c r="Q67">
        <v>33.54412698412699</v>
      </c>
      <c r="R67">
        <v>19.381051146384507</v>
      </c>
      <c r="S67">
        <v>-2.8421709430404007E-14</v>
      </c>
      <c r="T67">
        <v>35.02984126984127</v>
      </c>
      <c r="U67">
        <v>20.2394638447972</v>
      </c>
      <c r="V67">
        <v>0</v>
      </c>
      <c r="W67">
        <v>33.54412698412699</v>
      </c>
      <c r="X67">
        <v>19.381051146384507</v>
      </c>
      <c r="Y67">
        <v>0</v>
      </c>
      <c r="Z67">
        <v>20.197460317460312</v>
      </c>
      <c r="AA67">
        <v>11.669643738977086</v>
      </c>
      <c r="AB67">
        <v>0</v>
      </c>
      <c r="AC67">
        <v>24.951746031746026</v>
      </c>
      <c r="AD67">
        <v>14.416564373897714</v>
      </c>
      <c r="AE67">
        <v>0</v>
      </c>
      <c r="AF67">
        <v>20.197460317460312</v>
      </c>
      <c r="AG67">
        <v>11.669643738977086</v>
      </c>
      <c r="AH67">
        <v>-1.4210854715202004E-14</v>
      </c>
      <c r="AI67">
        <v>14.130793650793635</v>
      </c>
      <c r="AJ67">
        <v>8.1644585537919028</v>
      </c>
      <c r="AK67">
        <v>1.4210854715202004E-14</v>
      </c>
      <c r="AL67">
        <v>18.885079365079363</v>
      </c>
      <c r="AM67">
        <v>10.91137918871253</v>
      </c>
      <c r="AN67">
        <v>-1.4210854715202004E-14</v>
      </c>
      <c r="AO67">
        <v>14.130793650793635</v>
      </c>
      <c r="AP67">
        <v>8.1644585537919028</v>
      </c>
      <c r="AQ67">
        <v>-1.4210854715202004E-14</v>
      </c>
      <c r="AR67">
        <v>14.130793650793635</v>
      </c>
      <c r="AS67">
        <v>8.1644585537919028</v>
      </c>
      <c r="AT67">
        <v>1.4210854715202004E-14</v>
      </c>
      <c r="AU67">
        <v>18.885079365079363</v>
      </c>
      <c r="AV67">
        <v>10.91137918871253</v>
      </c>
      <c r="AW67">
        <v>-1.4210854715202004E-14</v>
      </c>
      <c r="AX67">
        <v>14.130793650793635</v>
      </c>
      <c r="AY67">
        <v>8.1644585537919028</v>
      </c>
      <c r="AZ67">
        <v>0</v>
      </c>
      <c r="BA67">
        <v>20.197460317460312</v>
      </c>
      <c r="BB67">
        <v>11.669643738977086</v>
      </c>
      <c r="BC67">
        <v>-1.4210854715202004E-14</v>
      </c>
      <c r="BD67">
        <v>21.683174603174578</v>
      </c>
      <c r="BE67">
        <v>12.528056437389822</v>
      </c>
      <c r="BF67">
        <v>0</v>
      </c>
      <c r="BG67">
        <v>20.197460317460312</v>
      </c>
      <c r="BH67">
        <v>11.669643738977086</v>
      </c>
      <c r="BI67">
        <v>-2.8421709430404007E-14</v>
      </c>
      <c r="BJ67">
        <v>20.197460317460298</v>
      </c>
      <c r="BK67">
        <v>11.669643738977101</v>
      </c>
      <c r="BL67">
        <v>0</v>
      </c>
      <c r="BM67">
        <v>21.683174603174592</v>
      </c>
      <c r="BN67">
        <v>12.528056437389807</v>
      </c>
      <c r="BO67">
        <v>-2.8421709430404007E-14</v>
      </c>
      <c r="BP67">
        <v>20.197460317460298</v>
      </c>
      <c r="BQ67">
        <v>11.669643738977101</v>
      </c>
      <c r="BR67">
        <v>-1.4210854715202004E-14</v>
      </c>
      <c r="BS67">
        <v>22.277460317460296</v>
      </c>
      <c r="BT67">
        <v>12.871421516754864</v>
      </c>
      <c r="BU67">
        <v>0</v>
      </c>
      <c r="BV67">
        <v>22.27746031746031</v>
      </c>
      <c r="BW67">
        <v>12.87142151675485</v>
      </c>
      <c r="BX67">
        <v>0</v>
      </c>
      <c r="BY67">
        <v>10.598095238095233</v>
      </c>
      <c r="BZ67">
        <v>6.1233439153439164</v>
      </c>
      <c r="CA67">
        <v>1.4210854715202004E-14</v>
      </c>
      <c r="CB67">
        <v>10.59809523809524</v>
      </c>
      <c r="CC67">
        <v>6.1233439153439093</v>
      </c>
      <c r="CD67">
        <v>1.4210854715202004E-14</v>
      </c>
      <c r="CE67">
        <v>10.59809523809524</v>
      </c>
      <c r="CF67">
        <v>6.1233439153439093</v>
      </c>
      <c r="CG67">
        <v>0</v>
      </c>
      <c r="CH67">
        <v>10.598095238095233</v>
      </c>
      <c r="CI67">
        <v>6.1233439153439164</v>
      </c>
      <c r="CJ67">
        <f t="shared" si="1"/>
        <v>35.02984126984127</v>
      </c>
      <c r="CK67">
        <f t="shared" si="2"/>
        <v>10.598095238095233</v>
      </c>
      <c r="CL67">
        <f t="shared" si="3"/>
        <v>20.2394638447972</v>
      </c>
      <c r="CM67">
        <f t="shared" si="4"/>
        <v>6.1233439153439093</v>
      </c>
    </row>
    <row r="68" spans="1:91" x14ac:dyDescent="0.25">
      <c r="A68" s="95" t="str">
        <f>Shear_Wall_Foundation!A464</f>
        <v>16-5En</v>
      </c>
      <c r="B68">
        <f>-0.5*(Shear_Wall_Foundation!B464+Shear_Wall_Foundation!D464)*ABS(Shear_Wall_Foundation!E464-Shear_Wall_Foundation!C464)</f>
        <v>-35.028571428571425</v>
      </c>
      <c r="C68">
        <v>0</v>
      </c>
      <c r="D68">
        <v>0</v>
      </c>
      <c r="E68">
        <f t="shared" si="6"/>
        <v>3.5</v>
      </c>
      <c r="F68" t="s">
        <v>177</v>
      </c>
      <c r="G68" t="str">
        <f t="shared" si="7"/>
        <v>16-5En</v>
      </c>
      <c r="L68">
        <f t="shared" si="20"/>
        <v>2.4333333333333336</v>
      </c>
      <c r="M68" cm="1">
        <f t="array" ref="M68:CI68">LRFD_Analysis(Lf_ft,L68,$B$4:$G$72,$J$4:$U$28)</f>
        <v>-1.4210854715202004E-14</v>
      </c>
      <c r="N68">
        <v>15.217777777777783</v>
      </c>
      <c r="O68">
        <v>8.116148148148099</v>
      </c>
      <c r="P68">
        <v>0</v>
      </c>
      <c r="Q68">
        <v>30.96380952380953</v>
      </c>
      <c r="R68">
        <v>16.514031746031719</v>
      </c>
      <c r="S68">
        <v>-2.8421709430404007E-14</v>
      </c>
      <c r="T68">
        <v>32.335238095238083</v>
      </c>
      <c r="U68">
        <v>17.245460317460314</v>
      </c>
      <c r="V68">
        <v>0</v>
      </c>
      <c r="W68">
        <v>30.96380952380953</v>
      </c>
      <c r="X68">
        <v>16.514031746031719</v>
      </c>
      <c r="Y68">
        <v>0</v>
      </c>
      <c r="Z68">
        <v>18.643809523809523</v>
      </c>
      <c r="AA68">
        <v>9.9433650793650372</v>
      </c>
      <c r="AB68">
        <v>0</v>
      </c>
      <c r="AC68">
        <v>23.032380952380947</v>
      </c>
      <c r="AD68">
        <v>12.283936507936488</v>
      </c>
      <c r="AE68">
        <v>0</v>
      </c>
      <c r="AF68">
        <v>18.643809523809523</v>
      </c>
      <c r="AG68">
        <v>9.9433650793650372</v>
      </c>
      <c r="AH68">
        <v>-1.4210854715202004E-14</v>
      </c>
      <c r="AI68">
        <v>13.043809523809514</v>
      </c>
      <c r="AJ68">
        <v>6.9566984126983868</v>
      </c>
      <c r="AK68">
        <v>1.4210854715202004E-14</v>
      </c>
      <c r="AL68">
        <v>17.432380952380953</v>
      </c>
      <c r="AM68">
        <v>9.2972698412698236</v>
      </c>
      <c r="AN68">
        <v>-1.4210854715202004E-14</v>
      </c>
      <c r="AO68">
        <v>13.043809523809514</v>
      </c>
      <c r="AP68">
        <v>6.9566984126983868</v>
      </c>
      <c r="AQ68">
        <v>-1.4210854715202004E-14</v>
      </c>
      <c r="AR68">
        <v>13.043809523809514</v>
      </c>
      <c r="AS68">
        <v>6.9566984126983868</v>
      </c>
      <c r="AT68">
        <v>1.4210854715202004E-14</v>
      </c>
      <c r="AU68">
        <v>17.432380952380953</v>
      </c>
      <c r="AV68">
        <v>9.2972698412698236</v>
      </c>
      <c r="AW68">
        <v>-1.4210854715202004E-14</v>
      </c>
      <c r="AX68">
        <v>13.043809523809514</v>
      </c>
      <c r="AY68">
        <v>6.9566984126983868</v>
      </c>
      <c r="AZ68">
        <v>0</v>
      </c>
      <c r="BA68">
        <v>18.643809523809523</v>
      </c>
      <c r="BB68">
        <v>9.9433650793650372</v>
      </c>
      <c r="BC68">
        <v>-1.4210854715202004E-14</v>
      </c>
      <c r="BD68">
        <v>20.015238095238075</v>
      </c>
      <c r="BE68">
        <v>10.674793650793646</v>
      </c>
      <c r="BF68">
        <v>0</v>
      </c>
      <c r="BG68">
        <v>18.643809523809523</v>
      </c>
      <c r="BH68">
        <v>9.9433650793650372</v>
      </c>
      <c r="BI68">
        <v>-2.8421709430404007E-14</v>
      </c>
      <c r="BJ68">
        <v>18.643809523809495</v>
      </c>
      <c r="BK68">
        <v>9.9433650793651083</v>
      </c>
      <c r="BL68">
        <v>0</v>
      </c>
      <c r="BM68">
        <v>20.015238095238089</v>
      </c>
      <c r="BN68">
        <v>10.674793650793632</v>
      </c>
      <c r="BO68">
        <v>-2.8421709430404007E-14</v>
      </c>
      <c r="BP68">
        <v>18.643809523809495</v>
      </c>
      <c r="BQ68">
        <v>9.9433650793651083</v>
      </c>
      <c r="BR68">
        <v>-1.4210854715202004E-14</v>
      </c>
      <c r="BS68">
        <v>20.56380952380951</v>
      </c>
      <c r="BT68">
        <v>10.967365079365067</v>
      </c>
      <c r="BU68">
        <v>0</v>
      </c>
      <c r="BV68">
        <v>20.563809523809525</v>
      </c>
      <c r="BW68">
        <v>10.967365079365024</v>
      </c>
      <c r="BX68">
        <v>0</v>
      </c>
      <c r="BY68">
        <v>9.7828571428571394</v>
      </c>
      <c r="BZ68">
        <v>5.2175238095237972</v>
      </c>
      <c r="CA68">
        <v>1.4210854715202004E-14</v>
      </c>
      <c r="CB68">
        <v>9.7828571428571465</v>
      </c>
      <c r="CC68">
        <v>5.2175238095237972</v>
      </c>
      <c r="CD68">
        <v>1.4210854715202004E-14</v>
      </c>
      <c r="CE68">
        <v>9.7828571428571465</v>
      </c>
      <c r="CF68">
        <v>5.2175238095237972</v>
      </c>
      <c r="CG68">
        <v>0</v>
      </c>
      <c r="CH68">
        <v>9.7828571428571394</v>
      </c>
      <c r="CI68">
        <v>5.2175238095237972</v>
      </c>
      <c r="CJ68">
        <f t="shared" si="1"/>
        <v>32.335238095238083</v>
      </c>
      <c r="CK68">
        <f t="shared" si="2"/>
        <v>9.7828571428571394</v>
      </c>
      <c r="CL68">
        <f t="shared" si="3"/>
        <v>17.245460317460314</v>
      </c>
      <c r="CM68">
        <f t="shared" si="4"/>
        <v>5.2175238095237972</v>
      </c>
    </row>
    <row r="69" spans="1:91" x14ac:dyDescent="0.25">
      <c r="A69" s="95" t="str">
        <f>Shear_Wall_Foundation!A465</f>
        <v>16-6Wp</v>
      </c>
      <c r="B69">
        <f>-0.5*(Shear_Wall_Foundation!B465+Shear_Wall_Foundation!D465)*ABS(Shear_Wall_Foundation!E465-Shear_Wall_Foundation!C465)</f>
        <v>-20.983928571428574</v>
      </c>
      <c r="C69">
        <v>0</v>
      </c>
      <c r="D69">
        <v>0</v>
      </c>
      <c r="E69">
        <f t="shared" si="6"/>
        <v>3.5</v>
      </c>
      <c r="F69" t="s">
        <v>177</v>
      </c>
      <c r="G69" t="str">
        <f t="shared" si="7"/>
        <v>16-6Wp</v>
      </c>
      <c r="L69">
        <f t="shared" si="20"/>
        <v>2.5222222222222226</v>
      </c>
      <c r="M69" cm="1">
        <f t="array" ref="M69:CI69">LRFD_Analysis(Lf_ft,L69,$B$4:$G$72,$J$4:$U$28)</f>
        <v>-1.4210854715202004E-14</v>
      </c>
      <c r="N69">
        <v>13.949629629629626</v>
      </c>
      <c r="O69">
        <v>6.8198189300411372</v>
      </c>
      <c r="P69">
        <v>0</v>
      </c>
      <c r="Q69">
        <v>28.383492063492071</v>
      </c>
      <c r="R69">
        <v>13.876373897707197</v>
      </c>
      <c r="S69">
        <v>-2.8421709430404007E-14</v>
      </c>
      <c r="T69">
        <v>29.640634920634909</v>
      </c>
      <c r="U69">
        <v>14.490977072310443</v>
      </c>
      <c r="V69">
        <v>0</v>
      </c>
      <c r="W69">
        <v>28.383492063492071</v>
      </c>
      <c r="X69">
        <v>13.876373897707197</v>
      </c>
      <c r="Y69">
        <v>0</v>
      </c>
      <c r="Z69">
        <v>17.09015873015872</v>
      </c>
      <c r="AA69">
        <v>8.3551887125220503</v>
      </c>
      <c r="AB69">
        <v>0</v>
      </c>
      <c r="AC69">
        <v>21.113015873015868</v>
      </c>
      <c r="AD69">
        <v>10.321918871252208</v>
      </c>
      <c r="AE69">
        <v>0</v>
      </c>
      <c r="AF69">
        <v>17.09015873015872</v>
      </c>
      <c r="AG69">
        <v>8.3551887125220503</v>
      </c>
      <c r="AH69">
        <v>-1.4210854715202004E-14</v>
      </c>
      <c r="AI69">
        <v>11.95682539682538</v>
      </c>
      <c r="AJ69">
        <v>5.8455590828924215</v>
      </c>
      <c r="AK69">
        <v>1.4210854715202004E-14</v>
      </c>
      <c r="AL69">
        <v>15.979682539682543</v>
      </c>
      <c r="AM69">
        <v>7.8122892416225653</v>
      </c>
      <c r="AN69">
        <v>-1.4210854715202004E-14</v>
      </c>
      <c r="AO69">
        <v>11.95682539682538</v>
      </c>
      <c r="AP69">
        <v>5.8455590828924215</v>
      </c>
      <c r="AQ69">
        <v>-1.4210854715202004E-14</v>
      </c>
      <c r="AR69">
        <v>11.95682539682538</v>
      </c>
      <c r="AS69">
        <v>5.8455590828924215</v>
      </c>
      <c r="AT69">
        <v>1.4210854715202004E-14</v>
      </c>
      <c r="AU69">
        <v>15.979682539682543</v>
      </c>
      <c r="AV69">
        <v>7.8122892416225653</v>
      </c>
      <c r="AW69">
        <v>-1.4210854715202004E-14</v>
      </c>
      <c r="AX69">
        <v>11.95682539682538</v>
      </c>
      <c r="AY69">
        <v>5.8455590828924215</v>
      </c>
      <c r="AZ69">
        <v>0</v>
      </c>
      <c r="BA69">
        <v>17.09015873015872</v>
      </c>
      <c r="BB69">
        <v>8.3551887125220503</v>
      </c>
      <c r="BC69">
        <v>-1.4210854715202004E-14</v>
      </c>
      <c r="BD69">
        <v>18.347301587301573</v>
      </c>
      <c r="BE69">
        <v>8.9697918871252114</v>
      </c>
      <c r="BF69">
        <v>0</v>
      </c>
      <c r="BG69">
        <v>17.09015873015872</v>
      </c>
      <c r="BH69">
        <v>8.3551887125220503</v>
      </c>
      <c r="BI69">
        <v>-2.8421709430404007E-14</v>
      </c>
      <c r="BJ69">
        <v>17.090158730158706</v>
      </c>
      <c r="BK69">
        <v>8.3551887125220503</v>
      </c>
      <c r="BL69">
        <v>0</v>
      </c>
      <c r="BM69">
        <v>18.347301587301587</v>
      </c>
      <c r="BN69">
        <v>8.9697918871251687</v>
      </c>
      <c r="BO69">
        <v>-2.8421709430404007E-14</v>
      </c>
      <c r="BP69">
        <v>17.090158730158706</v>
      </c>
      <c r="BQ69">
        <v>8.3551887125220503</v>
      </c>
      <c r="BR69">
        <v>-1.4210854715202004E-14</v>
      </c>
      <c r="BS69">
        <v>18.850158730158711</v>
      </c>
      <c r="BT69">
        <v>9.21563315696649</v>
      </c>
      <c r="BU69">
        <v>0</v>
      </c>
      <c r="BV69">
        <v>18.850158730158725</v>
      </c>
      <c r="BW69">
        <v>9.21563315696649</v>
      </c>
      <c r="BX69">
        <v>0</v>
      </c>
      <c r="BY69">
        <v>8.9676190476190456</v>
      </c>
      <c r="BZ69">
        <v>4.3841693121692984</v>
      </c>
      <c r="CA69">
        <v>1.4210854715202004E-14</v>
      </c>
      <c r="CB69">
        <v>8.9676190476190527</v>
      </c>
      <c r="CC69">
        <v>4.3841693121692842</v>
      </c>
      <c r="CD69">
        <v>1.4210854715202004E-14</v>
      </c>
      <c r="CE69">
        <v>8.9676190476190527</v>
      </c>
      <c r="CF69">
        <v>4.3841693121692842</v>
      </c>
      <c r="CG69">
        <v>0</v>
      </c>
      <c r="CH69">
        <v>8.9676190476190456</v>
      </c>
      <c r="CI69">
        <v>4.3841693121692984</v>
      </c>
      <c r="CJ69">
        <f t="shared" si="1"/>
        <v>29.640634920634909</v>
      </c>
      <c r="CK69">
        <f t="shared" si="2"/>
        <v>8.9676190476190456</v>
      </c>
      <c r="CL69">
        <f t="shared" si="3"/>
        <v>14.490977072310443</v>
      </c>
      <c r="CM69">
        <f t="shared" si="4"/>
        <v>4.3841693121692842</v>
      </c>
    </row>
    <row r="70" spans="1:91" x14ac:dyDescent="0.25">
      <c r="A70" s="95" t="str">
        <f>Shear_Wall_Foundation!A466</f>
        <v>16-6Wn</v>
      </c>
      <c r="B70">
        <f>-0.5*(Shear_Wall_Foundation!B466+Shear_Wall_Foundation!D466)*ABS(Shear_Wall_Foundation!E466-Shear_Wall_Foundation!C466)</f>
        <v>-20.983928571428571</v>
      </c>
      <c r="C70">
        <v>0</v>
      </c>
      <c r="D70">
        <v>0</v>
      </c>
      <c r="E70">
        <f t="shared" si="6"/>
        <v>3.5</v>
      </c>
      <c r="F70" t="s">
        <v>177</v>
      </c>
      <c r="G70" t="str">
        <f t="shared" si="7"/>
        <v>16-6Wn</v>
      </c>
      <c r="L70">
        <f t="shared" si="20"/>
        <v>2.6111111111111116</v>
      </c>
      <c r="M70" cm="1">
        <f t="array" ref="M70:CI70">LRFD_Analysis(Lf_ft,L70,$B$4:$G$72,$J$4:$U$28)</f>
        <v>-1.4210854715202004E-14</v>
      </c>
      <c r="N70">
        <v>12.68148148148147</v>
      </c>
      <c r="O70">
        <v>5.6362139917695657</v>
      </c>
      <c r="P70">
        <v>0</v>
      </c>
      <c r="Q70">
        <v>25.803174603174611</v>
      </c>
      <c r="R70">
        <v>11.468077601410897</v>
      </c>
      <c r="S70">
        <v>-2.8421709430404007E-14</v>
      </c>
      <c r="T70">
        <v>26.946031746031736</v>
      </c>
      <c r="U70">
        <v>11.976014109347432</v>
      </c>
      <c r="V70">
        <v>0</v>
      </c>
      <c r="W70">
        <v>25.803174603174611</v>
      </c>
      <c r="X70">
        <v>11.468077601410897</v>
      </c>
      <c r="Y70">
        <v>0</v>
      </c>
      <c r="Z70">
        <v>15.536507936507931</v>
      </c>
      <c r="AA70">
        <v>6.9051146384479836</v>
      </c>
      <c r="AB70">
        <v>0</v>
      </c>
      <c r="AC70">
        <v>19.193650793650789</v>
      </c>
      <c r="AD70">
        <v>8.530511463844789</v>
      </c>
      <c r="AE70">
        <v>0</v>
      </c>
      <c r="AF70">
        <v>15.536507936507931</v>
      </c>
      <c r="AG70">
        <v>6.9051146384479836</v>
      </c>
      <c r="AH70">
        <v>-1.4210854715202004E-14</v>
      </c>
      <c r="AI70">
        <v>10.86984126984126</v>
      </c>
      <c r="AJ70">
        <v>4.8310405643738932</v>
      </c>
      <c r="AK70">
        <v>1.4210854715202004E-14</v>
      </c>
      <c r="AL70">
        <v>14.526984126984132</v>
      </c>
      <c r="AM70">
        <v>6.4564373897707128</v>
      </c>
      <c r="AN70">
        <v>-1.4210854715202004E-14</v>
      </c>
      <c r="AO70">
        <v>10.86984126984126</v>
      </c>
      <c r="AP70">
        <v>4.8310405643738932</v>
      </c>
      <c r="AQ70">
        <v>-1.4210854715202004E-14</v>
      </c>
      <c r="AR70">
        <v>10.86984126984126</v>
      </c>
      <c r="AS70">
        <v>4.8310405643738932</v>
      </c>
      <c r="AT70">
        <v>1.4210854715202004E-14</v>
      </c>
      <c r="AU70">
        <v>14.526984126984132</v>
      </c>
      <c r="AV70">
        <v>6.4564373897707128</v>
      </c>
      <c r="AW70">
        <v>-1.4210854715202004E-14</v>
      </c>
      <c r="AX70">
        <v>10.86984126984126</v>
      </c>
      <c r="AY70">
        <v>4.8310405643738932</v>
      </c>
      <c r="AZ70">
        <v>0</v>
      </c>
      <c r="BA70">
        <v>15.536507936507931</v>
      </c>
      <c r="BB70">
        <v>6.9051146384479836</v>
      </c>
      <c r="BC70">
        <v>-1.4210854715202004E-14</v>
      </c>
      <c r="BD70">
        <v>16.679365079365056</v>
      </c>
      <c r="BE70">
        <v>7.4130511463844897</v>
      </c>
      <c r="BF70">
        <v>0</v>
      </c>
      <c r="BG70">
        <v>15.536507936507931</v>
      </c>
      <c r="BH70">
        <v>6.9051146384479836</v>
      </c>
      <c r="BI70">
        <v>-2.8421709430404007E-14</v>
      </c>
      <c r="BJ70">
        <v>15.536507936507917</v>
      </c>
      <c r="BK70">
        <v>6.9051146384479836</v>
      </c>
      <c r="BL70">
        <v>0</v>
      </c>
      <c r="BM70">
        <v>16.679365079365084</v>
      </c>
      <c r="BN70">
        <v>7.4130511463844613</v>
      </c>
      <c r="BO70">
        <v>-2.8421709430404007E-14</v>
      </c>
      <c r="BP70">
        <v>15.536507936507917</v>
      </c>
      <c r="BQ70">
        <v>6.9051146384479836</v>
      </c>
      <c r="BR70">
        <v>-1.4210854715202004E-14</v>
      </c>
      <c r="BS70">
        <v>17.136507936507925</v>
      </c>
      <c r="BT70">
        <v>7.6162257495590637</v>
      </c>
      <c r="BU70">
        <v>0</v>
      </c>
      <c r="BV70">
        <v>17.13650793650794</v>
      </c>
      <c r="BW70">
        <v>7.6162257495590637</v>
      </c>
      <c r="BX70">
        <v>0</v>
      </c>
      <c r="BY70">
        <v>8.1523809523809447</v>
      </c>
      <c r="BZ70">
        <v>3.6232804232804057</v>
      </c>
      <c r="CA70">
        <v>1.4210854715202004E-14</v>
      </c>
      <c r="CB70">
        <v>8.1523809523809518</v>
      </c>
      <c r="CC70">
        <v>3.6232804232804199</v>
      </c>
      <c r="CD70">
        <v>1.4210854715202004E-14</v>
      </c>
      <c r="CE70">
        <v>8.1523809523809518</v>
      </c>
      <c r="CF70">
        <v>3.6232804232804199</v>
      </c>
      <c r="CG70">
        <v>0</v>
      </c>
      <c r="CH70">
        <v>8.1523809523809447</v>
      </c>
      <c r="CI70">
        <v>3.6232804232804057</v>
      </c>
      <c r="CJ70">
        <f t="shared" si="1"/>
        <v>26.946031746031736</v>
      </c>
      <c r="CK70">
        <f t="shared" si="2"/>
        <v>8.1523809523809447</v>
      </c>
      <c r="CL70">
        <f t="shared" si="3"/>
        <v>11.976014109347432</v>
      </c>
      <c r="CM70">
        <f t="shared" si="4"/>
        <v>3.6232804232804057</v>
      </c>
    </row>
    <row r="71" spans="1:91" x14ac:dyDescent="0.25">
      <c r="A71" s="95" t="str">
        <f>Shear_Wall_Foundation!A467</f>
        <v>16-7Ep</v>
      </c>
      <c r="B71">
        <f>-0.5*(Shear_Wall_Foundation!B467+Shear_Wall_Foundation!D467)*ABS(Shear_Wall_Foundation!E467-Shear_Wall_Foundation!C467)</f>
        <v>-20.983928571428571</v>
      </c>
      <c r="C71">
        <v>0</v>
      </c>
      <c r="D71">
        <v>0</v>
      </c>
      <c r="E71">
        <f t="shared" si="6"/>
        <v>3.5</v>
      </c>
      <c r="F71" t="s">
        <v>177</v>
      </c>
      <c r="G71" t="str">
        <f t="shared" si="7"/>
        <v>16-7Ep</v>
      </c>
      <c r="L71">
        <f t="shared" si="20"/>
        <v>2.7000000000000006</v>
      </c>
      <c r="M71" cm="1">
        <f t="array" ref="M71:CI71">LRFD_Analysis(Lf_ft,L71,$B$4:$G$72,$J$4:$U$28)</f>
        <v>-1.4210854715202004E-14</v>
      </c>
      <c r="N71">
        <v>11.413333333333327</v>
      </c>
      <c r="O71">
        <v>4.5653333333333705</v>
      </c>
      <c r="P71">
        <v>0</v>
      </c>
      <c r="Q71">
        <v>23.222857142857123</v>
      </c>
      <c r="R71">
        <v>9.2891428571428492</v>
      </c>
      <c r="S71">
        <v>-2.8421709430404007E-14</v>
      </c>
      <c r="T71">
        <v>24.251428571428534</v>
      </c>
      <c r="U71">
        <v>9.7005714285714362</v>
      </c>
      <c r="V71">
        <v>0</v>
      </c>
      <c r="W71">
        <v>23.222857142857123</v>
      </c>
      <c r="X71">
        <v>9.2891428571428492</v>
      </c>
      <c r="Y71">
        <v>0</v>
      </c>
      <c r="Z71">
        <v>13.982857142857128</v>
      </c>
      <c r="AA71">
        <v>5.5931428571428796</v>
      </c>
      <c r="AB71">
        <v>0</v>
      </c>
      <c r="AC71">
        <v>17.274285714285696</v>
      </c>
      <c r="AD71">
        <v>6.9097142857143012</v>
      </c>
      <c r="AE71">
        <v>0</v>
      </c>
      <c r="AF71">
        <v>13.982857142857128</v>
      </c>
      <c r="AG71">
        <v>5.5931428571428796</v>
      </c>
      <c r="AH71">
        <v>-1.4210854715202004E-14</v>
      </c>
      <c r="AI71">
        <v>9.7828571428571252</v>
      </c>
      <c r="AJ71">
        <v>3.913142857142887</v>
      </c>
      <c r="AK71">
        <v>1.4210854715202004E-14</v>
      </c>
      <c r="AL71">
        <v>13.074285714285708</v>
      </c>
      <c r="AM71">
        <v>5.2297142857143086</v>
      </c>
      <c r="AN71">
        <v>-1.4210854715202004E-14</v>
      </c>
      <c r="AO71">
        <v>9.7828571428571252</v>
      </c>
      <c r="AP71">
        <v>3.913142857142887</v>
      </c>
      <c r="AQ71">
        <v>-1.4210854715202004E-14</v>
      </c>
      <c r="AR71">
        <v>9.7828571428571252</v>
      </c>
      <c r="AS71">
        <v>3.913142857142887</v>
      </c>
      <c r="AT71">
        <v>1.4210854715202004E-14</v>
      </c>
      <c r="AU71">
        <v>13.074285714285708</v>
      </c>
      <c r="AV71">
        <v>5.2297142857143086</v>
      </c>
      <c r="AW71">
        <v>-1.4210854715202004E-14</v>
      </c>
      <c r="AX71">
        <v>9.7828571428571252</v>
      </c>
      <c r="AY71">
        <v>3.913142857142887</v>
      </c>
      <c r="AZ71">
        <v>0</v>
      </c>
      <c r="BA71">
        <v>13.982857142857128</v>
      </c>
      <c r="BB71">
        <v>5.5931428571428796</v>
      </c>
      <c r="BC71">
        <v>-1.4210854715202004E-14</v>
      </c>
      <c r="BD71">
        <v>15.011428571428539</v>
      </c>
      <c r="BE71">
        <v>6.0045714285714666</v>
      </c>
      <c r="BF71">
        <v>0</v>
      </c>
      <c r="BG71">
        <v>13.982857142857128</v>
      </c>
      <c r="BH71">
        <v>5.5931428571428796</v>
      </c>
      <c r="BI71">
        <v>-2.8421709430404007E-14</v>
      </c>
      <c r="BJ71">
        <v>13.982857142857114</v>
      </c>
      <c r="BK71">
        <v>5.5931428571428796</v>
      </c>
      <c r="BL71">
        <v>0</v>
      </c>
      <c r="BM71">
        <v>15.011428571428553</v>
      </c>
      <c r="BN71">
        <v>6.0045714285714666</v>
      </c>
      <c r="BO71">
        <v>-2.8421709430404007E-14</v>
      </c>
      <c r="BP71">
        <v>13.982857142857114</v>
      </c>
      <c r="BQ71">
        <v>5.5931428571428796</v>
      </c>
      <c r="BR71">
        <v>-1.4210854715202004E-14</v>
      </c>
      <c r="BS71">
        <v>15.422857142857112</v>
      </c>
      <c r="BT71">
        <v>6.1691428571429014</v>
      </c>
      <c r="BU71">
        <v>0</v>
      </c>
      <c r="BV71">
        <v>15.422857142857126</v>
      </c>
      <c r="BW71">
        <v>6.169142857142873</v>
      </c>
      <c r="BX71">
        <v>0</v>
      </c>
      <c r="BY71">
        <v>7.3371428571428439</v>
      </c>
      <c r="BZ71">
        <v>2.9348571428571546</v>
      </c>
      <c r="CA71">
        <v>1.4210854715202004E-14</v>
      </c>
      <c r="CB71">
        <v>7.337142857142851</v>
      </c>
      <c r="CC71">
        <v>2.9348571428571404</v>
      </c>
      <c r="CD71">
        <v>1.4210854715202004E-14</v>
      </c>
      <c r="CE71">
        <v>7.337142857142851</v>
      </c>
      <c r="CF71">
        <v>2.9348571428571404</v>
      </c>
      <c r="CG71">
        <v>0</v>
      </c>
      <c r="CH71">
        <v>7.3371428571428439</v>
      </c>
      <c r="CI71">
        <v>2.9348571428571546</v>
      </c>
      <c r="CJ71">
        <f t="shared" si="1"/>
        <v>24.251428571428534</v>
      </c>
      <c r="CK71">
        <f t="shared" si="2"/>
        <v>7.3371428571428439</v>
      </c>
      <c r="CL71">
        <f t="shared" si="3"/>
        <v>9.7005714285714362</v>
      </c>
      <c r="CM71">
        <f t="shared" si="4"/>
        <v>2.9348571428571404</v>
      </c>
    </row>
    <row r="72" spans="1:91" x14ac:dyDescent="0.25">
      <c r="A72" s="95" t="str">
        <f>Shear_Wall_Foundation!A468</f>
        <v>16-7En</v>
      </c>
      <c r="B72">
        <f>-0.5*(Shear_Wall_Foundation!B468+Shear_Wall_Foundation!D468)*ABS(Shear_Wall_Foundation!E468-Shear_Wall_Foundation!C468)</f>
        <v>-20.983928571428574</v>
      </c>
      <c r="C72">
        <v>0</v>
      </c>
      <c r="D72">
        <v>0</v>
      </c>
      <c r="E72">
        <f t="shared" si="6"/>
        <v>3.5</v>
      </c>
      <c r="F72" t="s">
        <v>177</v>
      </c>
      <c r="G72" t="str">
        <f t="shared" si="7"/>
        <v>16-7En</v>
      </c>
      <c r="L72">
        <f t="shared" si="20"/>
        <v>2.7888888888888896</v>
      </c>
      <c r="M72" cm="1">
        <f t="array" ref="M72:CI72">LRFD_Analysis(Lf_ft,L72,$B$4:$G$72,$J$4:$U$28)</f>
        <v>-1.4210854715202004E-14</v>
      </c>
      <c r="N72">
        <v>10.14518518518517</v>
      </c>
      <c r="O72">
        <v>3.607176954732509</v>
      </c>
      <c r="P72">
        <v>0</v>
      </c>
      <c r="Q72">
        <v>20.642539682539692</v>
      </c>
      <c r="R72">
        <v>7.3395696649029958</v>
      </c>
      <c r="S72">
        <v>-2.8421709430404007E-14</v>
      </c>
      <c r="T72">
        <v>21.556825396825388</v>
      </c>
      <c r="U72">
        <v>7.6646490299823711</v>
      </c>
      <c r="V72">
        <v>0</v>
      </c>
      <c r="W72">
        <v>20.642539682539692</v>
      </c>
      <c r="X72">
        <v>7.3395696649029958</v>
      </c>
      <c r="Y72">
        <v>0</v>
      </c>
      <c r="Z72">
        <v>12.429206349206353</v>
      </c>
      <c r="AA72">
        <v>4.4192733686066958</v>
      </c>
      <c r="AB72">
        <v>0</v>
      </c>
      <c r="AC72">
        <v>15.354920634920646</v>
      </c>
      <c r="AD72">
        <v>5.459527336860674</v>
      </c>
      <c r="AE72">
        <v>0</v>
      </c>
      <c r="AF72">
        <v>12.429206349206353</v>
      </c>
      <c r="AG72">
        <v>4.4192733686066958</v>
      </c>
      <c r="AH72">
        <v>-1.4210854715202004E-14</v>
      </c>
      <c r="AI72">
        <v>8.6958730158730049</v>
      </c>
      <c r="AJ72">
        <v>3.0918659611993462</v>
      </c>
      <c r="AK72">
        <v>1.4210854715202004E-14</v>
      </c>
      <c r="AL72">
        <v>11.621587301587311</v>
      </c>
      <c r="AM72">
        <v>4.1321199294532676</v>
      </c>
      <c r="AN72">
        <v>-1.4210854715202004E-14</v>
      </c>
      <c r="AO72">
        <v>8.6958730158730049</v>
      </c>
      <c r="AP72">
        <v>3.0918659611993462</v>
      </c>
      <c r="AQ72">
        <v>-1.4210854715202004E-14</v>
      </c>
      <c r="AR72">
        <v>8.6958730158730049</v>
      </c>
      <c r="AS72">
        <v>3.0918659611993462</v>
      </c>
      <c r="AT72">
        <v>1.4210854715202004E-14</v>
      </c>
      <c r="AU72">
        <v>11.621587301587311</v>
      </c>
      <c r="AV72">
        <v>4.1321199294532676</v>
      </c>
      <c r="AW72">
        <v>-1.4210854715202004E-14</v>
      </c>
      <c r="AX72">
        <v>8.6958730158730049</v>
      </c>
      <c r="AY72">
        <v>3.0918659611993462</v>
      </c>
      <c r="AZ72">
        <v>0</v>
      </c>
      <c r="BA72">
        <v>12.429206349206353</v>
      </c>
      <c r="BB72">
        <v>4.4192733686066958</v>
      </c>
      <c r="BC72">
        <v>-1.4210854715202004E-14</v>
      </c>
      <c r="BD72">
        <v>13.34349206349205</v>
      </c>
      <c r="BE72">
        <v>4.7443527336860711</v>
      </c>
      <c r="BF72">
        <v>0</v>
      </c>
      <c r="BG72">
        <v>12.429206349206353</v>
      </c>
      <c r="BH72">
        <v>4.4192733686066958</v>
      </c>
      <c r="BI72">
        <v>-2.8421709430404007E-14</v>
      </c>
      <c r="BJ72">
        <v>12.429206349206325</v>
      </c>
      <c r="BK72">
        <v>4.4192733686067811</v>
      </c>
      <c r="BL72">
        <v>0</v>
      </c>
      <c r="BM72">
        <v>13.343492063492064</v>
      </c>
      <c r="BN72">
        <v>4.7443527336860711</v>
      </c>
      <c r="BO72">
        <v>-2.8421709430404007E-14</v>
      </c>
      <c r="BP72">
        <v>12.429206349206325</v>
      </c>
      <c r="BQ72">
        <v>4.4192733686067811</v>
      </c>
      <c r="BR72">
        <v>-1.4210854715202004E-14</v>
      </c>
      <c r="BS72">
        <v>13.70920634920634</v>
      </c>
      <c r="BT72">
        <v>4.8743844797177758</v>
      </c>
      <c r="BU72">
        <v>0</v>
      </c>
      <c r="BV72">
        <v>13.709206349206355</v>
      </c>
      <c r="BW72">
        <v>4.8743844797178042</v>
      </c>
      <c r="BX72">
        <v>0</v>
      </c>
      <c r="BY72">
        <v>6.5219047619047572</v>
      </c>
      <c r="BZ72">
        <v>2.3188994708994812</v>
      </c>
      <c r="CA72">
        <v>1.4210854715202004E-14</v>
      </c>
      <c r="CB72">
        <v>6.5219047619047643</v>
      </c>
      <c r="CC72">
        <v>2.318899470899467</v>
      </c>
      <c r="CD72">
        <v>1.4210854715202004E-14</v>
      </c>
      <c r="CE72">
        <v>6.5219047619047643</v>
      </c>
      <c r="CF72">
        <v>2.318899470899467</v>
      </c>
      <c r="CG72">
        <v>0</v>
      </c>
      <c r="CH72">
        <v>6.5219047619047572</v>
      </c>
      <c r="CI72">
        <v>2.3188994708994812</v>
      </c>
      <c r="CJ72">
        <f t="shared" si="1"/>
        <v>21.556825396825388</v>
      </c>
      <c r="CK72">
        <f t="shared" si="2"/>
        <v>6.5219047619047572</v>
      </c>
      <c r="CL72">
        <f t="shared" si="3"/>
        <v>7.6646490299823711</v>
      </c>
      <c r="CM72">
        <f t="shared" si="4"/>
        <v>2.318899470899467</v>
      </c>
    </row>
    <row r="73" spans="1:91" x14ac:dyDescent="0.25">
      <c r="L73">
        <f t="shared" si="20"/>
        <v>2.8777777777777787</v>
      </c>
      <c r="M73" cm="1">
        <f t="array" ref="M73:CI73">LRFD_Analysis(Lf_ft,L73,$B$4:$G$72,$J$4:$U$28)</f>
        <v>-1.4210854715202004E-14</v>
      </c>
      <c r="N73">
        <v>8.8770370370370415</v>
      </c>
      <c r="O73">
        <v>2.7617448559670663</v>
      </c>
      <c r="P73">
        <v>0</v>
      </c>
      <c r="Q73">
        <v>18.062222222222204</v>
      </c>
      <c r="R73">
        <v>5.6193580246913371</v>
      </c>
      <c r="S73">
        <v>-2.8421709430404007E-14</v>
      </c>
      <c r="T73">
        <v>18.862222222222186</v>
      </c>
      <c r="U73">
        <v>5.8682469135802364</v>
      </c>
      <c r="V73">
        <v>0</v>
      </c>
      <c r="W73">
        <v>18.062222222222204</v>
      </c>
      <c r="X73">
        <v>5.6193580246913371</v>
      </c>
      <c r="Y73">
        <v>0</v>
      </c>
      <c r="Z73">
        <v>10.875555555555536</v>
      </c>
      <c r="AA73">
        <v>3.3835061728395033</v>
      </c>
      <c r="AB73">
        <v>0</v>
      </c>
      <c r="AC73">
        <v>13.435555555555553</v>
      </c>
      <c r="AD73">
        <v>4.1799506172839358</v>
      </c>
      <c r="AE73">
        <v>0</v>
      </c>
      <c r="AF73">
        <v>10.875555555555536</v>
      </c>
      <c r="AG73">
        <v>3.3835061728395033</v>
      </c>
      <c r="AH73">
        <v>-1.4210854715202004E-14</v>
      </c>
      <c r="AI73">
        <v>7.6088888888888704</v>
      </c>
      <c r="AJ73">
        <v>2.3672098765432139</v>
      </c>
      <c r="AK73">
        <v>1.4210854715202004E-14</v>
      </c>
      <c r="AL73">
        <v>10.168888888888887</v>
      </c>
      <c r="AM73">
        <v>3.1636543209876322</v>
      </c>
      <c r="AN73">
        <v>-1.4210854715202004E-14</v>
      </c>
      <c r="AO73">
        <v>7.6088888888888704</v>
      </c>
      <c r="AP73">
        <v>2.3672098765432139</v>
      </c>
      <c r="AQ73">
        <v>-1.4210854715202004E-14</v>
      </c>
      <c r="AR73">
        <v>7.6088888888888704</v>
      </c>
      <c r="AS73">
        <v>2.3672098765432139</v>
      </c>
      <c r="AT73">
        <v>1.4210854715202004E-14</v>
      </c>
      <c r="AU73">
        <v>10.168888888888887</v>
      </c>
      <c r="AV73">
        <v>3.1636543209876322</v>
      </c>
      <c r="AW73">
        <v>-1.4210854715202004E-14</v>
      </c>
      <c r="AX73">
        <v>7.6088888888888704</v>
      </c>
      <c r="AY73">
        <v>2.3672098765432139</v>
      </c>
      <c r="AZ73">
        <v>0</v>
      </c>
      <c r="BA73">
        <v>10.875555555555536</v>
      </c>
      <c r="BB73">
        <v>3.3835061728395033</v>
      </c>
      <c r="BC73">
        <v>-1.4210854715202004E-14</v>
      </c>
      <c r="BD73">
        <v>11.675555555555519</v>
      </c>
      <c r="BE73">
        <v>3.6323950617284027</v>
      </c>
      <c r="BF73">
        <v>0</v>
      </c>
      <c r="BG73">
        <v>10.875555555555536</v>
      </c>
      <c r="BH73">
        <v>3.3835061728395033</v>
      </c>
      <c r="BI73">
        <v>-2.8421709430404007E-14</v>
      </c>
      <c r="BJ73">
        <v>10.875555555555522</v>
      </c>
      <c r="BK73">
        <v>3.3835061728395317</v>
      </c>
      <c r="BL73">
        <v>0</v>
      </c>
      <c r="BM73">
        <v>11.675555555555547</v>
      </c>
      <c r="BN73">
        <v>3.6323950617283742</v>
      </c>
      <c r="BO73">
        <v>-2.8421709430404007E-14</v>
      </c>
      <c r="BP73">
        <v>10.875555555555522</v>
      </c>
      <c r="BQ73">
        <v>3.3835061728395317</v>
      </c>
      <c r="BR73">
        <v>-1.4210854715202004E-14</v>
      </c>
      <c r="BS73">
        <v>11.995555555555526</v>
      </c>
      <c r="BT73">
        <v>3.7319506172839567</v>
      </c>
      <c r="BU73">
        <v>0</v>
      </c>
      <c r="BV73">
        <v>11.995555555555541</v>
      </c>
      <c r="BW73">
        <v>3.7319506172839283</v>
      </c>
      <c r="BX73">
        <v>0</v>
      </c>
      <c r="BY73">
        <v>5.7066666666666563</v>
      </c>
      <c r="BZ73">
        <v>1.775407407407414</v>
      </c>
      <c r="CA73">
        <v>1.4210854715202004E-14</v>
      </c>
      <c r="CB73">
        <v>5.7066666666666634</v>
      </c>
      <c r="CC73">
        <v>1.7754074074073998</v>
      </c>
      <c r="CD73">
        <v>1.4210854715202004E-14</v>
      </c>
      <c r="CE73">
        <v>5.7066666666666634</v>
      </c>
      <c r="CF73">
        <v>1.7754074074073998</v>
      </c>
      <c r="CG73">
        <v>0</v>
      </c>
      <c r="CH73">
        <v>5.7066666666666563</v>
      </c>
      <c r="CI73">
        <v>1.775407407407414</v>
      </c>
      <c r="CJ73">
        <f t="shared" si="1"/>
        <v>18.862222222222186</v>
      </c>
      <c r="CK73">
        <f t="shared" si="2"/>
        <v>5.7066666666666563</v>
      </c>
      <c r="CL73">
        <f t="shared" si="3"/>
        <v>5.8682469135802364</v>
      </c>
      <c r="CM73">
        <f t="shared" si="4"/>
        <v>1.7754074074073998</v>
      </c>
    </row>
    <row r="74" spans="1:91" x14ac:dyDescent="0.25">
      <c r="L74">
        <f t="shared" si="20"/>
        <v>2.9666666666666677</v>
      </c>
      <c r="M74" cm="1">
        <f t="array" ref="M74:CI74">LRFD_Analysis(Lf_ft,L74,$B$4:$G$72,$J$4:$U$28)</f>
        <v>-1.4210854715202004E-14</v>
      </c>
      <c r="N74">
        <v>7.6088888888888846</v>
      </c>
      <c r="O74">
        <v>2.0290370370370283</v>
      </c>
      <c r="P74">
        <v>0</v>
      </c>
      <c r="Q74">
        <v>15.481904761904758</v>
      </c>
      <c r="R74">
        <v>4.1285079365078445</v>
      </c>
      <c r="S74">
        <v>-2.8421709430404007E-14</v>
      </c>
      <c r="T74">
        <v>16.167619047619013</v>
      </c>
      <c r="U74">
        <v>4.3113650793650322</v>
      </c>
      <c r="V74">
        <v>0</v>
      </c>
      <c r="W74">
        <v>15.481904761904758</v>
      </c>
      <c r="X74">
        <v>4.1285079365078445</v>
      </c>
      <c r="Y74">
        <v>0</v>
      </c>
      <c r="Z74">
        <v>9.3219047619047473</v>
      </c>
      <c r="AA74">
        <v>2.4858412698412735</v>
      </c>
      <c r="AB74">
        <v>0</v>
      </c>
      <c r="AC74">
        <v>11.516190476190474</v>
      </c>
      <c r="AD74">
        <v>3.0709841269841149</v>
      </c>
      <c r="AE74">
        <v>0</v>
      </c>
      <c r="AF74">
        <v>9.3219047619047473</v>
      </c>
      <c r="AG74">
        <v>2.4858412698412735</v>
      </c>
      <c r="AH74">
        <v>-1.4210854715202004E-14</v>
      </c>
      <c r="AI74">
        <v>6.5219047619047501</v>
      </c>
      <c r="AJ74">
        <v>1.739174603174618</v>
      </c>
      <c r="AK74">
        <v>1.4210854715202004E-14</v>
      </c>
      <c r="AL74">
        <v>8.7161904761904765</v>
      </c>
      <c r="AM74">
        <v>2.3243174603174168</v>
      </c>
      <c r="AN74">
        <v>-1.4210854715202004E-14</v>
      </c>
      <c r="AO74">
        <v>6.5219047619047501</v>
      </c>
      <c r="AP74">
        <v>1.739174603174618</v>
      </c>
      <c r="AQ74">
        <v>-1.4210854715202004E-14</v>
      </c>
      <c r="AR74">
        <v>6.5219047619047501</v>
      </c>
      <c r="AS74">
        <v>1.739174603174618</v>
      </c>
      <c r="AT74">
        <v>1.4210854715202004E-14</v>
      </c>
      <c r="AU74">
        <v>8.7161904761904765</v>
      </c>
      <c r="AV74">
        <v>2.3243174603174168</v>
      </c>
      <c r="AW74">
        <v>-1.4210854715202004E-14</v>
      </c>
      <c r="AX74">
        <v>6.5219047619047501</v>
      </c>
      <c r="AY74">
        <v>1.739174603174618</v>
      </c>
      <c r="AZ74">
        <v>0</v>
      </c>
      <c r="BA74">
        <v>9.3219047619047473</v>
      </c>
      <c r="BB74">
        <v>2.4858412698412735</v>
      </c>
      <c r="BC74">
        <v>-1.4210854715202004E-14</v>
      </c>
      <c r="BD74">
        <v>10.007619047619016</v>
      </c>
      <c r="BE74">
        <v>2.6686984126984612</v>
      </c>
      <c r="BF74">
        <v>0</v>
      </c>
      <c r="BG74">
        <v>9.3219047619047473</v>
      </c>
      <c r="BH74">
        <v>2.4858412698412735</v>
      </c>
      <c r="BI74">
        <v>-2.8421709430404007E-14</v>
      </c>
      <c r="BJ74">
        <v>9.321904761904733</v>
      </c>
      <c r="BK74">
        <v>2.4858412698413019</v>
      </c>
      <c r="BL74">
        <v>0</v>
      </c>
      <c r="BM74">
        <v>10.007619047619045</v>
      </c>
      <c r="BN74">
        <v>2.6686984126984044</v>
      </c>
      <c r="BO74">
        <v>-2.8421709430404007E-14</v>
      </c>
      <c r="BP74">
        <v>9.321904761904733</v>
      </c>
      <c r="BQ74">
        <v>2.4858412698413019</v>
      </c>
      <c r="BR74">
        <v>-1.4210854715202004E-14</v>
      </c>
      <c r="BS74">
        <v>10.281904761904727</v>
      </c>
      <c r="BT74">
        <v>2.7418412698413022</v>
      </c>
      <c r="BU74">
        <v>0</v>
      </c>
      <c r="BV74">
        <v>10.281904761904755</v>
      </c>
      <c r="BW74">
        <v>2.7418412698412737</v>
      </c>
      <c r="BX74">
        <v>0</v>
      </c>
      <c r="BY74">
        <v>4.8914285714285697</v>
      </c>
      <c r="BZ74">
        <v>1.3043809523809529</v>
      </c>
      <c r="CA74">
        <v>1.4210854715202004E-14</v>
      </c>
      <c r="CB74">
        <v>4.8914285714285768</v>
      </c>
      <c r="CC74">
        <v>1.3043809523809387</v>
      </c>
      <c r="CD74">
        <v>1.4210854715202004E-14</v>
      </c>
      <c r="CE74">
        <v>4.8914285714285768</v>
      </c>
      <c r="CF74">
        <v>1.3043809523809387</v>
      </c>
      <c r="CG74">
        <v>0</v>
      </c>
      <c r="CH74">
        <v>4.8914285714285697</v>
      </c>
      <c r="CI74">
        <v>1.3043809523809529</v>
      </c>
      <c r="CJ74">
        <f t="shared" si="1"/>
        <v>16.167619047619013</v>
      </c>
      <c r="CK74">
        <f t="shared" si="2"/>
        <v>4.8914285714285697</v>
      </c>
      <c r="CL74">
        <f t="shared" si="3"/>
        <v>4.3113650793650322</v>
      </c>
      <c r="CM74">
        <f t="shared" si="4"/>
        <v>1.3043809523809387</v>
      </c>
    </row>
    <row r="75" spans="1:91" x14ac:dyDescent="0.25">
      <c r="L75">
        <f t="shared" si="20"/>
        <v>3.0555555555555567</v>
      </c>
      <c r="M75" cm="1">
        <f t="array" ref="M75:CI75">LRFD_Analysis(Lf_ft,L75,$B$4:$G$72,$J$4:$U$28)</f>
        <v>-1.4210854715202004E-14</v>
      </c>
      <c r="N75">
        <v>6.3407407407407135</v>
      </c>
      <c r="O75">
        <v>1.4090534979424376</v>
      </c>
      <c r="P75">
        <v>0</v>
      </c>
      <c r="Q75">
        <v>12.901587301587284</v>
      </c>
      <c r="R75">
        <v>2.8670194003527172</v>
      </c>
      <c r="S75">
        <v>-2.8421709430404007E-14</v>
      </c>
      <c r="T75">
        <v>13.473015873015839</v>
      </c>
      <c r="U75">
        <v>2.9940035273368721</v>
      </c>
      <c r="V75">
        <v>0</v>
      </c>
      <c r="W75">
        <v>12.901587301587284</v>
      </c>
      <c r="X75">
        <v>2.8670194003527172</v>
      </c>
      <c r="Y75">
        <v>0</v>
      </c>
      <c r="Z75">
        <v>7.7682539682539442</v>
      </c>
      <c r="AA75">
        <v>1.7262786596120065</v>
      </c>
      <c r="AB75">
        <v>0</v>
      </c>
      <c r="AC75">
        <v>9.5968253968253805</v>
      </c>
      <c r="AD75">
        <v>2.1326278659612115</v>
      </c>
      <c r="AE75">
        <v>0</v>
      </c>
      <c r="AF75">
        <v>7.7682539682539442</v>
      </c>
      <c r="AG75">
        <v>1.7262786596120065</v>
      </c>
      <c r="AH75">
        <v>-1.4210854715202004E-14</v>
      </c>
      <c r="AI75">
        <v>5.4349206349206014</v>
      </c>
      <c r="AJ75">
        <v>1.2077601410935017</v>
      </c>
      <c r="AK75">
        <v>1.4210854715202004E-14</v>
      </c>
      <c r="AL75">
        <v>7.2634920634920519</v>
      </c>
      <c r="AM75">
        <v>1.6141093474426782</v>
      </c>
      <c r="AN75">
        <v>-1.4210854715202004E-14</v>
      </c>
      <c r="AO75">
        <v>5.4349206349206014</v>
      </c>
      <c r="AP75">
        <v>1.2077601410935017</v>
      </c>
      <c r="AQ75">
        <v>-1.4210854715202004E-14</v>
      </c>
      <c r="AR75">
        <v>5.4349206349206014</v>
      </c>
      <c r="AS75">
        <v>1.2077601410935017</v>
      </c>
      <c r="AT75">
        <v>1.4210854715202004E-14</v>
      </c>
      <c r="AU75">
        <v>7.2634920634920519</v>
      </c>
      <c r="AV75">
        <v>1.6141093474426782</v>
      </c>
      <c r="AW75">
        <v>-1.4210854715202004E-14</v>
      </c>
      <c r="AX75">
        <v>5.4349206349206014</v>
      </c>
      <c r="AY75">
        <v>1.2077601410935017</v>
      </c>
      <c r="AZ75">
        <v>0</v>
      </c>
      <c r="BA75">
        <v>7.7682539682539442</v>
      </c>
      <c r="BB75">
        <v>1.7262786596120065</v>
      </c>
      <c r="BC75">
        <v>-1.4210854715202004E-14</v>
      </c>
      <c r="BD75">
        <v>8.3396825396824994</v>
      </c>
      <c r="BE75">
        <v>1.8532627865961615</v>
      </c>
      <c r="BF75">
        <v>0</v>
      </c>
      <c r="BG75">
        <v>7.7682539682539442</v>
      </c>
      <c r="BH75">
        <v>1.7262786596120065</v>
      </c>
      <c r="BI75">
        <v>-2.8421709430404007E-14</v>
      </c>
      <c r="BJ75">
        <v>7.7682539682539158</v>
      </c>
      <c r="BK75">
        <v>1.7262786596120918</v>
      </c>
      <c r="BL75">
        <v>0</v>
      </c>
      <c r="BM75">
        <v>8.3396825396825136</v>
      </c>
      <c r="BN75">
        <v>1.8532627865961331</v>
      </c>
      <c r="BO75">
        <v>-2.8421709430404007E-14</v>
      </c>
      <c r="BP75">
        <v>7.7682539682539158</v>
      </c>
      <c r="BQ75">
        <v>1.7262786596120918</v>
      </c>
      <c r="BR75">
        <v>-1.4210854715202004E-14</v>
      </c>
      <c r="BS75">
        <v>8.5682539682539272</v>
      </c>
      <c r="BT75">
        <v>1.9040564373898121</v>
      </c>
      <c r="BU75">
        <v>0</v>
      </c>
      <c r="BV75">
        <v>8.5682539682539414</v>
      </c>
      <c r="BW75">
        <v>1.9040564373897837</v>
      </c>
      <c r="BX75">
        <v>0</v>
      </c>
      <c r="BY75">
        <v>4.0761904761904617</v>
      </c>
      <c r="BZ75">
        <v>0.9058201058201405</v>
      </c>
      <c r="CA75">
        <v>1.4210854715202004E-14</v>
      </c>
      <c r="CB75">
        <v>4.0761904761904759</v>
      </c>
      <c r="CC75">
        <v>0.90582010582009787</v>
      </c>
      <c r="CD75">
        <v>1.4210854715202004E-14</v>
      </c>
      <c r="CE75">
        <v>4.0761904761904759</v>
      </c>
      <c r="CF75">
        <v>0.90582010582009787</v>
      </c>
      <c r="CG75">
        <v>0</v>
      </c>
      <c r="CH75">
        <v>4.0761904761904617</v>
      </c>
      <c r="CI75">
        <v>0.9058201058201405</v>
      </c>
      <c r="CJ75">
        <f t="shared" si="1"/>
        <v>13.473015873015839</v>
      </c>
      <c r="CK75">
        <f t="shared" si="2"/>
        <v>4.0761904761904617</v>
      </c>
      <c r="CL75">
        <f t="shared" si="3"/>
        <v>2.9940035273368721</v>
      </c>
      <c r="CM75">
        <f t="shared" si="4"/>
        <v>0.90582010582009787</v>
      </c>
    </row>
    <row r="76" spans="1:91" x14ac:dyDescent="0.25">
      <c r="L76">
        <f t="shared" si="20"/>
        <v>3.1444444444444457</v>
      </c>
      <c r="M76" cm="1">
        <f t="array" ref="M76:CI76">LRFD_Analysis(Lf_ft,L76,$B$4:$G$72,$J$4:$U$28)</f>
        <v>-1.4210854715202004E-14</v>
      </c>
      <c r="N76">
        <v>5.0725925925925566</v>
      </c>
      <c r="O76">
        <v>0.90179423868312369</v>
      </c>
      <c r="P76">
        <v>0</v>
      </c>
      <c r="Q76">
        <v>10.321269841269839</v>
      </c>
      <c r="R76">
        <v>1.8348924162256708</v>
      </c>
      <c r="S76">
        <v>-2.8421709430404007E-14</v>
      </c>
      <c r="T76">
        <v>10.778412698412666</v>
      </c>
      <c r="U76">
        <v>1.9161622574955857</v>
      </c>
      <c r="V76">
        <v>0</v>
      </c>
      <c r="W76">
        <v>10.321269841269839</v>
      </c>
      <c r="X76">
        <v>1.8348924162256708</v>
      </c>
      <c r="Y76">
        <v>0</v>
      </c>
      <c r="Z76">
        <v>6.2146031746031554</v>
      </c>
      <c r="AA76">
        <v>1.1048183421516455</v>
      </c>
      <c r="AB76">
        <v>0</v>
      </c>
      <c r="AC76">
        <v>7.6774603174603016</v>
      </c>
      <c r="AD76">
        <v>1.3648818342151401</v>
      </c>
      <c r="AE76">
        <v>0</v>
      </c>
      <c r="AF76">
        <v>6.2146031746031554</v>
      </c>
      <c r="AG76">
        <v>1.1048183421516455</v>
      </c>
      <c r="AH76">
        <v>-1.4210854715202004E-14</v>
      </c>
      <c r="AI76">
        <v>4.3479365079364811</v>
      </c>
      <c r="AJ76">
        <v>0.77296649029983655</v>
      </c>
      <c r="AK76">
        <v>1.4210854715202004E-14</v>
      </c>
      <c r="AL76">
        <v>5.8107936507936415</v>
      </c>
      <c r="AM76">
        <v>1.0330299823633027</v>
      </c>
      <c r="AN76">
        <v>-1.4210854715202004E-14</v>
      </c>
      <c r="AO76">
        <v>4.3479365079364811</v>
      </c>
      <c r="AP76">
        <v>0.77296649029983655</v>
      </c>
      <c r="AQ76">
        <v>-1.4210854715202004E-14</v>
      </c>
      <c r="AR76">
        <v>4.3479365079364811</v>
      </c>
      <c r="AS76">
        <v>0.77296649029983655</v>
      </c>
      <c r="AT76">
        <v>1.4210854715202004E-14</v>
      </c>
      <c r="AU76">
        <v>5.8107936507936415</v>
      </c>
      <c r="AV76">
        <v>1.0330299823633027</v>
      </c>
      <c r="AW76">
        <v>-1.4210854715202004E-14</v>
      </c>
      <c r="AX76">
        <v>4.3479365079364811</v>
      </c>
      <c r="AY76">
        <v>0.77296649029983655</v>
      </c>
      <c r="AZ76">
        <v>0</v>
      </c>
      <c r="BA76">
        <v>6.2146031746031554</v>
      </c>
      <c r="BB76">
        <v>1.1048183421516455</v>
      </c>
      <c r="BC76">
        <v>-1.4210854715202004E-14</v>
      </c>
      <c r="BD76">
        <v>6.6717460317459825</v>
      </c>
      <c r="BE76">
        <v>1.186088183421532</v>
      </c>
      <c r="BF76">
        <v>0</v>
      </c>
      <c r="BG76">
        <v>6.2146031746031554</v>
      </c>
      <c r="BH76">
        <v>1.1048183421516455</v>
      </c>
      <c r="BI76">
        <v>-2.8421709430404007E-14</v>
      </c>
      <c r="BJ76">
        <v>6.2146031746031269</v>
      </c>
      <c r="BK76">
        <v>1.1048183421517024</v>
      </c>
      <c r="BL76">
        <v>0</v>
      </c>
      <c r="BM76">
        <v>6.6717460317460109</v>
      </c>
      <c r="BN76">
        <v>1.1860881834215036</v>
      </c>
      <c r="BO76">
        <v>-2.8421709430404007E-14</v>
      </c>
      <c r="BP76">
        <v>6.2146031746031269</v>
      </c>
      <c r="BQ76">
        <v>1.1048183421517024</v>
      </c>
      <c r="BR76">
        <v>-1.4210854715202004E-14</v>
      </c>
      <c r="BS76">
        <v>6.8546031746031275</v>
      </c>
      <c r="BT76">
        <v>1.218596119929515</v>
      </c>
      <c r="BU76">
        <v>0</v>
      </c>
      <c r="BV76">
        <v>6.8546031746031559</v>
      </c>
      <c r="BW76">
        <v>1.2185961199294297</v>
      </c>
      <c r="BX76">
        <v>0</v>
      </c>
      <c r="BY76">
        <v>3.2609523809523608</v>
      </c>
      <c r="BZ76">
        <v>0.5797248677248632</v>
      </c>
      <c r="CA76">
        <v>1.4210854715202004E-14</v>
      </c>
      <c r="CB76">
        <v>3.2609523809523751</v>
      </c>
      <c r="CC76">
        <v>0.57972486772484899</v>
      </c>
      <c r="CD76">
        <v>1.4210854715202004E-14</v>
      </c>
      <c r="CE76">
        <v>3.2609523809523751</v>
      </c>
      <c r="CF76">
        <v>0.57972486772484899</v>
      </c>
      <c r="CG76">
        <v>0</v>
      </c>
      <c r="CH76">
        <v>3.2609523809523608</v>
      </c>
      <c r="CI76">
        <v>0.5797248677248632</v>
      </c>
      <c r="CJ76">
        <f t="shared" si="1"/>
        <v>10.778412698412666</v>
      </c>
      <c r="CK76">
        <f t="shared" si="2"/>
        <v>3.2609523809523608</v>
      </c>
      <c r="CL76">
        <f t="shared" si="3"/>
        <v>1.9161622574955857</v>
      </c>
      <c r="CM76">
        <f t="shared" si="4"/>
        <v>0.57972486772484899</v>
      </c>
    </row>
    <row r="77" spans="1:91" x14ac:dyDescent="0.25">
      <c r="L77">
        <f t="shared" si="20"/>
        <v>3.2333333333333347</v>
      </c>
      <c r="M77" cm="1">
        <f t="array" ref="M77:CI77">LRFD_Analysis(Lf_ft,L77,$B$4:$G$72,$J$4:$U$28)</f>
        <v>-1.4210854715202004E-14</v>
      </c>
      <c r="N77">
        <v>3.8044444444444281</v>
      </c>
      <c r="O77">
        <v>0.50725925925925708</v>
      </c>
      <c r="P77">
        <v>0</v>
      </c>
      <c r="Q77">
        <v>7.7409523809523648</v>
      </c>
      <c r="R77">
        <v>1.0321269841269327</v>
      </c>
      <c r="S77">
        <v>-2.8421709430404007E-14</v>
      </c>
      <c r="T77">
        <v>8.0838095238094922</v>
      </c>
      <c r="U77">
        <v>1.0778412698412581</v>
      </c>
      <c r="V77">
        <v>0</v>
      </c>
      <c r="W77">
        <v>7.7409523809523648</v>
      </c>
      <c r="X77">
        <v>1.0321269841269327</v>
      </c>
      <c r="Y77">
        <v>0</v>
      </c>
      <c r="Z77">
        <v>4.6609523809523665</v>
      </c>
      <c r="AA77">
        <v>0.62146031746030417</v>
      </c>
      <c r="AB77">
        <v>0</v>
      </c>
      <c r="AC77">
        <v>5.7580952380952226</v>
      </c>
      <c r="AD77">
        <v>0.76774603174601452</v>
      </c>
      <c r="AE77">
        <v>0</v>
      </c>
      <c r="AF77">
        <v>4.6609523809523665</v>
      </c>
      <c r="AG77">
        <v>0.62146031746030417</v>
      </c>
      <c r="AH77">
        <v>-1.4210854715202004E-14</v>
      </c>
      <c r="AI77">
        <v>3.2609523809523608</v>
      </c>
      <c r="AJ77">
        <v>0.43479365079360832</v>
      </c>
      <c r="AK77">
        <v>1.4210854715202004E-14</v>
      </c>
      <c r="AL77">
        <v>4.3580952380952311</v>
      </c>
      <c r="AM77">
        <v>0.5810793650793471</v>
      </c>
      <c r="AN77">
        <v>-1.4210854715202004E-14</v>
      </c>
      <c r="AO77">
        <v>3.2609523809523608</v>
      </c>
      <c r="AP77">
        <v>0.43479365079360832</v>
      </c>
      <c r="AQ77">
        <v>-1.4210854715202004E-14</v>
      </c>
      <c r="AR77">
        <v>3.2609523809523608</v>
      </c>
      <c r="AS77">
        <v>0.43479365079360832</v>
      </c>
      <c r="AT77">
        <v>1.4210854715202004E-14</v>
      </c>
      <c r="AU77">
        <v>4.3580952380952311</v>
      </c>
      <c r="AV77">
        <v>0.5810793650793471</v>
      </c>
      <c r="AW77">
        <v>-1.4210854715202004E-14</v>
      </c>
      <c r="AX77">
        <v>3.2609523809523608</v>
      </c>
      <c r="AY77">
        <v>0.43479365079360832</v>
      </c>
      <c r="AZ77">
        <v>0</v>
      </c>
      <c r="BA77">
        <v>4.6609523809523665</v>
      </c>
      <c r="BB77">
        <v>0.62146031746030417</v>
      </c>
      <c r="BC77">
        <v>-1.4210854715202004E-14</v>
      </c>
      <c r="BD77">
        <v>5.0038095238094797</v>
      </c>
      <c r="BE77">
        <v>0.66717460317460109</v>
      </c>
      <c r="BF77">
        <v>0</v>
      </c>
      <c r="BG77">
        <v>4.6609523809523665</v>
      </c>
      <c r="BH77">
        <v>0.62146031746030417</v>
      </c>
      <c r="BI77">
        <v>-2.8421709430404007E-14</v>
      </c>
      <c r="BJ77">
        <v>4.6609523809523381</v>
      </c>
      <c r="BK77">
        <v>0.62146031746033259</v>
      </c>
      <c r="BL77">
        <v>0</v>
      </c>
      <c r="BM77">
        <v>5.0038095238095082</v>
      </c>
      <c r="BN77">
        <v>0.66717460317457267</v>
      </c>
      <c r="BO77">
        <v>-2.8421709430404007E-14</v>
      </c>
      <c r="BP77">
        <v>4.6609523809523381</v>
      </c>
      <c r="BQ77">
        <v>0.62146031746033259</v>
      </c>
      <c r="BR77">
        <v>-1.4210854715202004E-14</v>
      </c>
      <c r="BS77">
        <v>5.1409523809523421</v>
      </c>
      <c r="BT77">
        <v>0.68546031746032554</v>
      </c>
      <c r="BU77">
        <v>0</v>
      </c>
      <c r="BV77">
        <v>5.1409523809523705</v>
      </c>
      <c r="BW77">
        <v>0.68546031746029712</v>
      </c>
      <c r="BX77">
        <v>0</v>
      </c>
      <c r="BY77">
        <v>2.44571428571426</v>
      </c>
      <c r="BZ77">
        <v>0.32609523809524887</v>
      </c>
      <c r="CA77">
        <v>1.4210854715202004E-14</v>
      </c>
      <c r="CB77">
        <v>2.4457142857142742</v>
      </c>
      <c r="CC77">
        <v>0.32609523809522045</v>
      </c>
      <c r="CD77">
        <v>1.4210854715202004E-14</v>
      </c>
      <c r="CE77">
        <v>2.4457142857142742</v>
      </c>
      <c r="CF77">
        <v>0.32609523809522045</v>
      </c>
      <c r="CG77">
        <v>0</v>
      </c>
      <c r="CH77">
        <v>2.44571428571426</v>
      </c>
      <c r="CI77">
        <v>0.32609523809524887</v>
      </c>
      <c r="CJ77">
        <f t="shared" si="1"/>
        <v>8.0838095238094922</v>
      </c>
      <c r="CK77">
        <f t="shared" si="2"/>
        <v>2.44571428571426</v>
      </c>
      <c r="CL77">
        <f t="shared" si="3"/>
        <v>1.0778412698412581</v>
      </c>
      <c r="CM77">
        <f t="shared" si="4"/>
        <v>0.32609523809522045</v>
      </c>
    </row>
    <row r="78" spans="1:91" x14ac:dyDescent="0.25">
      <c r="L78">
        <f t="shared" si="20"/>
        <v>3.3222222222222237</v>
      </c>
      <c r="M78" cm="1">
        <f t="array" ref="M78:CI78">LRFD_Analysis(Lf_ft,L78,$B$4:$G$72,$J$4:$U$28)</f>
        <v>-1.4210854715202004E-14</v>
      </c>
      <c r="N78">
        <v>2.5362962962962712</v>
      </c>
      <c r="O78">
        <v>0.2254485596707525</v>
      </c>
      <c r="P78">
        <v>0</v>
      </c>
      <c r="Q78">
        <v>5.1606349206348909</v>
      </c>
      <c r="R78">
        <v>0.45872310405644612</v>
      </c>
      <c r="S78">
        <v>-2.8421709430404007E-14</v>
      </c>
      <c r="T78">
        <v>5.3892063492063187</v>
      </c>
      <c r="U78">
        <v>0.47904056437386089</v>
      </c>
      <c r="V78">
        <v>0</v>
      </c>
      <c r="W78">
        <v>5.1606349206348909</v>
      </c>
      <c r="X78">
        <v>0.45872310405644612</v>
      </c>
      <c r="Y78">
        <v>0</v>
      </c>
      <c r="Z78">
        <v>3.1073015873015635</v>
      </c>
      <c r="AA78">
        <v>0.27620458553789717</v>
      </c>
      <c r="AB78">
        <v>0</v>
      </c>
      <c r="AC78">
        <v>3.8387301587301437</v>
      </c>
      <c r="AD78">
        <v>0.34122045855372107</v>
      </c>
      <c r="AE78">
        <v>0</v>
      </c>
      <c r="AF78">
        <v>3.1073015873015635</v>
      </c>
      <c r="AG78">
        <v>0.27620458553789717</v>
      </c>
      <c r="AH78">
        <v>-1.4210854715202004E-14</v>
      </c>
      <c r="AI78">
        <v>2.1739682539682263</v>
      </c>
      <c r="AJ78">
        <v>0.19324162257495914</v>
      </c>
      <c r="AK78">
        <v>1.4210854715202004E-14</v>
      </c>
      <c r="AL78">
        <v>2.9053968253968208</v>
      </c>
      <c r="AM78">
        <v>0.25825749559081146</v>
      </c>
      <c r="AN78">
        <v>-1.4210854715202004E-14</v>
      </c>
      <c r="AO78">
        <v>2.1739682539682263</v>
      </c>
      <c r="AP78">
        <v>0.19324162257495914</v>
      </c>
      <c r="AQ78">
        <v>-1.4210854715202004E-14</v>
      </c>
      <c r="AR78">
        <v>2.1739682539682263</v>
      </c>
      <c r="AS78">
        <v>0.19324162257495914</v>
      </c>
      <c r="AT78">
        <v>1.4210854715202004E-14</v>
      </c>
      <c r="AU78">
        <v>2.9053968253968208</v>
      </c>
      <c r="AV78">
        <v>0.25825749559081146</v>
      </c>
      <c r="AW78">
        <v>-1.4210854715202004E-14</v>
      </c>
      <c r="AX78">
        <v>2.1739682539682263</v>
      </c>
      <c r="AY78">
        <v>0.19324162257495914</v>
      </c>
      <c r="AZ78">
        <v>0</v>
      </c>
      <c r="BA78">
        <v>3.1073015873015635</v>
      </c>
      <c r="BB78">
        <v>0.27620458553789717</v>
      </c>
      <c r="BC78">
        <v>-1.4210854715202004E-14</v>
      </c>
      <c r="BD78">
        <v>3.335873015872977</v>
      </c>
      <c r="BE78">
        <v>0.29652204585536879</v>
      </c>
      <c r="BF78">
        <v>0</v>
      </c>
      <c r="BG78">
        <v>3.1073015873015635</v>
      </c>
      <c r="BH78">
        <v>0.27620458553789717</v>
      </c>
      <c r="BI78">
        <v>-2.8421709430404007E-14</v>
      </c>
      <c r="BJ78">
        <v>3.1073015873015493</v>
      </c>
      <c r="BK78">
        <v>0.2762045855379256</v>
      </c>
      <c r="BL78">
        <v>0</v>
      </c>
      <c r="BM78">
        <v>3.3358730158729912</v>
      </c>
      <c r="BN78">
        <v>0.29652204585534037</v>
      </c>
      <c r="BO78">
        <v>-2.8421709430404007E-14</v>
      </c>
      <c r="BP78">
        <v>3.1073015873015493</v>
      </c>
      <c r="BQ78">
        <v>0.2762045855379256</v>
      </c>
      <c r="BR78">
        <v>-1.4210854715202004E-14</v>
      </c>
      <c r="BS78">
        <v>3.4273015873015424</v>
      </c>
      <c r="BT78">
        <v>0.30464902998241428</v>
      </c>
      <c r="BU78">
        <v>0</v>
      </c>
      <c r="BV78">
        <v>3.4273015873015709</v>
      </c>
      <c r="BW78">
        <v>0.30464902998232901</v>
      </c>
      <c r="BX78">
        <v>0</v>
      </c>
      <c r="BY78">
        <v>1.6304761904761733</v>
      </c>
      <c r="BZ78">
        <v>0.14493121693124067</v>
      </c>
      <c r="CA78">
        <v>1.4210854715202004E-14</v>
      </c>
      <c r="CB78">
        <v>1.6304761904761875</v>
      </c>
      <c r="CC78">
        <v>0.14493121693119804</v>
      </c>
      <c r="CD78">
        <v>1.4210854715202004E-14</v>
      </c>
      <c r="CE78">
        <v>1.6304761904761875</v>
      </c>
      <c r="CF78">
        <v>0.14493121693119804</v>
      </c>
      <c r="CG78">
        <v>0</v>
      </c>
      <c r="CH78">
        <v>1.6304761904761733</v>
      </c>
      <c r="CI78">
        <v>0.14493121693124067</v>
      </c>
      <c r="CJ78">
        <f t="shared" si="1"/>
        <v>5.3892063492063187</v>
      </c>
      <c r="CK78">
        <f t="shared" si="2"/>
        <v>1.6304761904761733</v>
      </c>
      <c r="CL78">
        <f t="shared" si="3"/>
        <v>0.47904056437386089</v>
      </c>
      <c r="CM78">
        <f t="shared" si="4"/>
        <v>0.14493121693119804</v>
      </c>
    </row>
    <row r="79" spans="1:91" x14ac:dyDescent="0.25">
      <c r="L79">
        <f t="shared" si="20"/>
        <v>3.4111111111111128</v>
      </c>
      <c r="M79" cm="1">
        <f t="array" ref="M79:CI79">LRFD_Analysis(Lf_ft,L79,$B$4:$G$72,$J$4:$U$28)</f>
        <v>-1.4210854715202004E-14</v>
      </c>
      <c r="N79">
        <v>1.2681481481481285</v>
      </c>
      <c r="O79">
        <v>5.6362139917695231E-2</v>
      </c>
      <c r="P79">
        <v>0</v>
      </c>
      <c r="Q79">
        <v>2.5803174603174455</v>
      </c>
      <c r="R79">
        <v>0.11468077601409732</v>
      </c>
      <c r="S79">
        <v>-2.8421709430404007E-14</v>
      </c>
      <c r="T79">
        <v>2.6946031746031451</v>
      </c>
      <c r="U79">
        <v>0.11976014109347943</v>
      </c>
      <c r="V79">
        <v>0</v>
      </c>
      <c r="W79">
        <v>2.5803174603174455</v>
      </c>
      <c r="X79">
        <v>0.11468077601409732</v>
      </c>
      <c r="Y79">
        <v>0</v>
      </c>
      <c r="Z79">
        <v>1.5536507936507746</v>
      </c>
      <c r="AA79">
        <v>6.9051146384481399E-2</v>
      </c>
      <c r="AB79">
        <v>0</v>
      </c>
      <c r="AC79">
        <v>1.9193650793650647</v>
      </c>
      <c r="AD79">
        <v>8.5305114638401847E-2</v>
      </c>
      <c r="AE79">
        <v>0</v>
      </c>
      <c r="AF79">
        <v>1.5536507936507746</v>
      </c>
      <c r="AG79">
        <v>6.9051146384481399E-2</v>
      </c>
      <c r="AH79">
        <v>-1.4210854715202004E-14</v>
      </c>
      <c r="AI79">
        <v>1.0869841269841061</v>
      </c>
      <c r="AJ79">
        <v>4.831040564374689E-2</v>
      </c>
      <c r="AK79">
        <v>1.4210854715202004E-14</v>
      </c>
      <c r="AL79">
        <v>1.4526984126984104</v>
      </c>
      <c r="AM79">
        <v>6.4564373897667338E-2</v>
      </c>
      <c r="AN79">
        <v>-1.4210854715202004E-14</v>
      </c>
      <c r="AO79">
        <v>1.0869841269841061</v>
      </c>
      <c r="AP79">
        <v>4.831040564374689E-2</v>
      </c>
      <c r="AQ79">
        <v>-1.4210854715202004E-14</v>
      </c>
      <c r="AR79">
        <v>1.0869841269841061</v>
      </c>
      <c r="AS79">
        <v>4.831040564374689E-2</v>
      </c>
      <c r="AT79">
        <v>1.4210854715202004E-14</v>
      </c>
      <c r="AU79">
        <v>1.4526984126984104</v>
      </c>
      <c r="AV79">
        <v>6.4564373897667338E-2</v>
      </c>
      <c r="AW79">
        <v>-1.4210854715202004E-14</v>
      </c>
      <c r="AX79">
        <v>1.0869841269841061</v>
      </c>
      <c r="AY79">
        <v>4.831040564374689E-2</v>
      </c>
      <c r="AZ79">
        <v>0</v>
      </c>
      <c r="BA79">
        <v>1.5536507936507746</v>
      </c>
      <c r="BB79">
        <v>6.9051146384481399E-2</v>
      </c>
      <c r="BC79">
        <v>-1.4210854715202004E-14</v>
      </c>
      <c r="BD79">
        <v>1.6679365079364601</v>
      </c>
      <c r="BE79">
        <v>7.4130511463891935E-2</v>
      </c>
      <c r="BF79">
        <v>0</v>
      </c>
      <c r="BG79">
        <v>1.5536507936507746</v>
      </c>
      <c r="BH79">
        <v>6.9051146384481399E-2</v>
      </c>
      <c r="BI79">
        <v>-2.8421709430404007E-14</v>
      </c>
      <c r="BJ79">
        <v>1.5536507936507462</v>
      </c>
      <c r="BK79">
        <v>6.9051146384509821E-2</v>
      </c>
      <c r="BL79">
        <v>0</v>
      </c>
      <c r="BM79">
        <v>1.6679365079364885</v>
      </c>
      <c r="BN79">
        <v>7.4130511463835091E-2</v>
      </c>
      <c r="BO79">
        <v>-2.8421709430404007E-14</v>
      </c>
      <c r="BP79">
        <v>1.5536507936507462</v>
      </c>
      <c r="BQ79">
        <v>6.9051146384509821E-2</v>
      </c>
      <c r="BR79">
        <v>-1.4210854715202004E-14</v>
      </c>
      <c r="BS79">
        <v>1.713650793650757</v>
      </c>
      <c r="BT79">
        <v>7.6162257495610675E-2</v>
      </c>
      <c r="BU79">
        <v>0</v>
      </c>
      <c r="BV79">
        <v>1.7136507936507854</v>
      </c>
      <c r="BW79">
        <v>7.6162257495525409E-2</v>
      </c>
      <c r="BX79">
        <v>0</v>
      </c>
      <c r="BY79">
        <v>0.81523809523807245</v>
      </c>
      <c r="BZ79">
        <v>3.6232804232824378E-2</v>
      </c>
      <c r="CA79">
        <v>1.4210854715202004E-14</v>
      </c>
      <c r="CB79">
        <v>0.81523809523808666</v>
      </c>
      <c r="CC79">
        <v>3.6232804232781746E-2</v>
      </c>
      <c r="CD79">
        <v>1.4210854715202004E-14</v>
      </c>
      <c r="CE79">
        <v>0.81523809523808666</v>
      </c>
      <c r="CF79">
        <v>3.6232804232781746E-2</v>
      </c>
      <c r="CG79">
        <v>0</v>
      </c>
      <c r="CH79">
        <v>0.81523809523807245</v>
      </c>
      <c r="CI79">
        <v>3.6232804232824378E-2</v>
      </c>
      <c r="CJ79">
        <f t="shared" si="1"/>
        <v>2.6946031746031451</v>
      </c>
      <c r="CK79">
        <f t="shared" si="2"/>
        <v>0.81523809523807245</v>
      </c>
      <c r="CL79">
        <f t="shared" si="3"/>
        <v>0.11976014109347943</v>
      </c>
      <c r="CM79">
        <f t="shared" si="4"/>
        <v>3.6232804232781746E-2</v>
      </c>
    </row>
    <row r="80" spans="1:91" x14ac:dyDescent="0.25">
      <c r="L80">
        <f>E4</f>
        <v>3.5</v>
      </c>
      <c r="M80" cm="1">
        <f t="array" ref="M80:CI80">LRFD_Analysis(Lf_ft,L80,$B$4:$G$72,$J$4:$U$28)</f>
        <v>-1.4210854715202004E-14</v>
      </c>
      <c r="N80">
        <v>-1.4210854715202004E-14</v>
      </c>
      <c r="O80">
        <v>0</v>
      </c>
      <c r="P80">
        <v>0</v>
      </c>
      <c r="Q80">
        <v>0</v>
      </c>
      <c r="R80">
        <v>5.6843418860808015E-14</v>
      </c>
      <c r="S80">
        <v>-2.8421709430404007E-14</v>
      </c>
      <c r="T80">
        <v>-2.8421709430404007E-14</v>
      </c>
      <c r="U80">
        <v>1.1368683772161603E-13</v>
      </c>
      <c r="V80">
        <v>0</v>
      </c>
      <c r="W80">
        <v>0</v>
      </c>
      <c r="X80">
        <v>5.6843418860808015E-14</v>
      </c>
      <c r="Y80">
        <v>0</v>
      </c>
      <c r="Z80">
        <v>0</v>
      </c>
      <c r="AA80">
        <v>0</v>
      </c>
      <c r="AB80">
        <v>0</v>
      </c>
      <c r="AC80">
        <v>0</v>
      </c>
      <c r="AD80">
        <v>-8.5265128291212022E-14</v>
      </c>
      <c r="AE80">
        <v>0</v>
      </c>
      <c r="AF80">
        <v>0</v>
      </c>
      <c r="AG80">
        <v>0</v>
      </c>
      <c r="AH80">
        <v>-1.4210854715202004E-14</v>
      </c>
      <c r="AI80">
        <v>-1.4210854715202004E-14</v>
      </c>
      <c r="AJ80">
        <v>5.6843418860808015E-14</v>
      </c>
      <c r="AK80">
        <v>1.4210854715202004E-14</v>
      </c>
      <c r="AL80">
        <v>1.4210854715202004E-14</v>
      </c>
      <c r="AM80">
        <v>-8.5265128291212022E-14</v>
      </c>
      <c r="AN80">
        <v>-1.4210854715202004E-14</v>
      </c>
      <c r="AO80">
        <v>-1.4210854715202004E-14</v>
      </c>
      <c r="AP80">
        <v>5.6843418860808015E-14</v>
      </c>
      <c r="AQ80">
        <v>-1.4210854715202004E-14</v>
      </c>
      <c r="AR80">
        <v>-1.4210854715202004E-14</v>
      </c>
      <c r="AS80">
        <v>5.6843418860808015E-14</v>
      </c>
      <c r="AT80">
        <v>1.4210854715202004E-14</v>
      </c>
      <c r="AU80">
        <v>1.4210854715202004E-14</v>
      </c>
      <c r="AV80">
        <v>-8.5265128291212022E-14</v>
      </c>
      <c r="AW80">
        <v>-1.4210854715202004E-14</v>
      </c>
      <c r="AX80">
        <v>-1.4210854715202004E-14</v>
      </c>
      <c r="AY80">
        <v>5.6843418860808015E-14</v>
      </c>
      <c r="AZ80">
        <v>0</v>
      </c>
      <c r="BA80">
        <v>0</v>
      </c>
      <c r="BB80">
        <v>0</v>
      </c>
      <c r="BC80">
        <v>-1.4210854715202004E-14</v>
      </c>
      <c r="BD80">
        <v>-1.4210854715202004E-14</v>
      </c>
      <c r="BE80">
        <v>2.8421709430404007E-14</v>
      </c>
      <c r="BF80">
        <v>0</v>
      </c>
      <c r="BG80">
        <v>0</v>
      </c>
      <c r="BH80">
        <v>0</v>
      </c>
      <c r="BI80">
        <v>-2.8421709430404007E-14</v>
      </c>
      <c r="BJ80">
        <v>-2.8421709430404007E-14</v>
      </c>
      <c r="BK80">
        <v>2.8421709430404007E-14</v>
      </c>
      <c r="BL80">
        <v>0</v>
      </c>
      <c r="BM80">
        <v>0</v>
      </c>
      <c r="BN80">
        <v>2.8421709430404007E-14</v>
      </c>
      <c r="BO80">
        <v>-2.8421709430404007E-14</v>
      </c>
      <c r="BP80">
        <v>-2.8421709430404007E-14</v>
      </c>
      <c r="BQ80">
        <v>2.8421709430404007E-14</v>
      </c>
      <c r="BR80">
        <v>-1.4210854715202004E-14</v>
      </c>
      <c r="BS80">
        <v>-1.4210854715202004E-14</v>
      </c>
      <c r="BT80">
        <v>0</v>
      </c>
      <c r="BU80">
        <v>0</v>
      </c>
      <c r="BV80">
        <v>0</v>
      </c>
      <c r="BW80">
        <v>-2.8421709430404007E-14</v>
      </c>
      <c r="BX80">
        <v>0</v>
      </c>
      <c r="BY80">
        <v>0</v>
      </c>
      <c r="BZ80">
        <v>0</v>
      </c>
      <c r="CA80">
        <v>1.4210854715202004E-14</v>
      </c>
      <c r="CB80">
        <v>1.4210854715202004E-14</v>
      </c>
      <c r="CC80">
        <v>-2.8421709430404007E-14</v>
      </c>
      <c r="CD80">
        <v>1.4210854715202004E-14</v>
      </c>
      <c r="CE80">
        <v>1.4210854715202004E-14</v>
      </c>
      <c r="CF80">
        <v>-2.8421709430404007E-14</v>
      </c>
      <c r="CG80">
        <v>0</v>
      </c>
      <c r="CH80">
        <v>0</v>
      </c>
      <c r="CI80">
        <v>0</v>
      </c>
      <c r="CJ80">
        <f t="shared" si="1"/>
        <v>1.4210854715202004E-14</v>
      </c>
      <c r="CK80">
        <f t="shared" si="2"/>
        <v>-2.8421709430404007E-14</v>
      </c>
      <c r="CL80">
        <f t="shared" si="3"/>
        <v>1.1368683772161603E-13</v>
      </c>
      <c r="CM80">
        <f t="shared" si="4"/>
        <v>-8.5265128291212022E-14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2E3C2-445D-411A-8A0F-301D6A78EB1D}">
  <sheetPr codeName="Sheet3"/>
  <dimension ref="A2:Z111"/>
  <sheetViews>
    <sheetView topLeftCell="A88" workbookViewId="0">
      <selection activeCell="E107" sqref="E107"/>
    </sheetView>
  </sheetViews>
  <sheetFormatPr defaultRowHeight="15" x14ac:dyDescent="0.25"/>
  <cols>
    <col min="1" max="1" width="11.85546875" customWidth="1"/>
    <col min="4" max="4" width="12.140625" customWidth="1"/>
  </cols>
  <sheetData>
    <row r="2" spans="1:26" x14ac:dyDescent="0.25">
      <c r="A2" t="s">
        <v>5</v>
      </c>
      <c r="D2" t="s">
        <v>22</v>
      </c>
      <c r="G2" t="s">
        <v>38</v>
      </c>
      <c r="J2" t="s">
        <v>39</v>
      </c>
      <c r="M2" t="s">
        <v>40</v>
      </c>
      <c r="P2" t="s">
        <v>41</v>
      </c>
      <c r="S2" t="s">
        <v>42</v>
      </c>
      <c r="V2" t="s">
        <v>46</v>
      </c>
      <c r="Y2" t="s">
        <v>47</v>
      </c>
    </row>
    <row r="3" spans="1:26" x14ac:dyDescent="0.25">
      <c r="A3" s="1" t="s">
        <v>3</v>
      </c>
      <c r="B3" s="1" t="s">
        <v>4</v>
      </c>
      <c r="D3" t="s">
        <v>3</v>
      </c>
      <c r="E3" t="s">
        <v>4</v>
      </c>
      <c r="G3" t="s">
        <v>3</v>
      </c>
      <c r="H3" t="s">
        <v>4</v>
      </c>
      <c r="J3" s="1" t="s">
        <v>3</v>
      </c>
      <c r="K3" s="1" t="s">
        <v>4</v>
      </c>
      <c r="M3" t="s">
        <v>3</v>
      </c>
      <c r="N3" t="s">
        <v>4</v>
      </c>
      <c r="P3" t="s">
        <v>3</v>
      </c>
      <c r="Q3" t="s">
        <v>4</v>
      </c>
      <c r="S3" t="s">
        <v>3</v>
      </c>
      <c r="T3" t="s">
        <v>4</v>
      </c>
      <c r="V3" t="s">
        <v>3</v>
      </c>
      <c r="W3" t="s">
        <v>4</v>
      </c>
      <c r="Y3" t="s">
        <v>3</v>
      </c>
      <c r="Z3" t="s">
        <v>4</v>
      </c>
    </row>
    <row r="4" spans="1:26" x14ac:dyDescent="0.25">
      <c r="A4" s="1">
        <v>0</v>
      </c>
      <c r="B4" s="1">
        <v>0</v>
      </c>
      <c r="D4" s="1">
        <f>s_left_offset_ft</f>
        <v>7</v>
      </c>
      <c r="E4">
        <f>tf_in/12</f>
        <v>1.5</v>
      </c>
      <c r="G4">
        <f>w_left_offset_ft</f>
        <v>9.5</v>
      </c>
      <c r="H4">
        <f>[0]!tf_in/12+Hs_ft</f>
        <v>3.5</v>
      </c>
      <c r="J4">
        <f>G4</f>
        <v>9.5</v>
      </c>
      <c r="K4">
        <f>H6</f>
        <v>18.5</v>
      </c>
      <c r="M4">
        <f>J4</f>
        <v>9.5</v>
      </c>
      <c r="N4">
        <f>K6</f>
        <v>28.5</v>
      </c>
      <c r="P4">
        <f>M4</f>
        <v>9.5</v>
      </c>
      <c r="Q4">
        <f>N6</f>
        <v>38.5</v>
      </c>
      <c r="S4">
        <f>P4</f>
        <v>9.5</v>
      </c>
      <c r="T4">
        <f>Q6</f>
        <v>48.5</v>
      </c>
      <c r="V4" s="1">
        <f>S4+(Shear_Wall_Foundation!B37/12)</f>
        <v>10</v>
      </c>
      <c r="W4">
        <f>MIN(T4:T8,Q4:Q8,N4:N8,K4:K8,H4:H8)</f>
        <v>3.5</v>
      </c>
      <c r="Y4">
        <f>MAX(S4:S8)-(Shear_Wall_Foundation!B37/12)</f>
        <v>24</v>
      </c>
      <c r="Z4">
        <f>W4</f>
        <v>3.5</v>
      </c>
    </row>
    <row r="5" spans="1:26" x14ac:dyDescent="0.25">
      <c r="A5">
        <f>Lf_ft</f>
        <v>30</v>
      </c>
      <c r="B5">
        <v>0</v>
      </c>
      <c r="D5">
        <f>s_left_offset_ft+Ls_ft</f>
        <v>27</v>
      </c>
      <c r="E5">
        <f>E4</f>
        <v>1.5</v>
      </c>
      <c r="G5">
        <f>w_left_offset_ft+Lw_ft</f>
        <v>24.5</v>
      </c>
      <c r="H5">
        <f>H4</f>
        <v>3.5</v>
      </c>
      <c r="J5">
        <f>G5</f>
        <v>24.5</v>
      </c>
      <c r="K5">
        <f>K4</f>
        <v>18.5</v>
      </c>
      <c r="M5">
        <f t="shared" ref="M5:M8" si="0">J5</f>
        <v>24.5</v>
      </c>
      <c r="N5">
        <f>K6</f>
        <v>28.5</v>
      </c>
      <c r="P5">
        <f t="shared" ref="P5:P8" si="1">M5</f>
        <v>24.5</v>
      </c>
      <c r="Q5">
        <f>Q4</f>
        <v>38.5</v>
      </c>
      <c r="S5">
        <f t="shared" ref="S5:S8" si="2">P5</f>
        <v>24.5</v>
      </c>
      <c r="T5">
        <f>T4</f>
        <v>48.5</v>
      </c>
      <c r="V5" s="1">
        <f>V4</f>
        <v>10</v>
      </c>
      <c r="W5">
        <f>MAX(T4:T8,Q4:Q8,N4:N8,K4:K8,H4:H8)</f>
        <v>58.5</v>
      </c>
      <c r="Y5">
        <f>Y4</f>
        <v>24</v>
      </c>
      <c r="Z5">
        <f>W5</f>
        <v>58.5</v>
      </c>
    </row>
    <row r="6" spans="1:26" x14ac:dyDescent="0.25">
      <c r="A6">
        <f>Lf_ft</f>
        <v>30</v>
      </c>
      <c r="B6">
        <f>tf_in/12</f>
        <v>1.5</v>
      </c>
      <c r="D6">
        <f>D5</f>
        <v>27</v>
      </c>
      <c r="E6">
        <f>E5+Hs_ft</f>
        <v>3.5</v>
      </c>
      <c r="G6">
        <f>G5</f>
        <v>24.5</v>
      </c>
      <c r="H6">
        <f>H5+Lift_1_H_ft</f>
        <v>18.5</v>
      </c>
      <c r="J6">
        <f>J5</f>
        <v>24.5</v>
      </c>
      <c r="K6">
        <f>K5+Lift_2_H_ft</f>
        <v>28.5</v>
      </c>
      <c r="M6">
        <f t="shared" si="0"/>
        <v>24.5</v>
      </c>
      <c r="N6">
        <f>N5+Lift_3_H_ft</f>
        <v>38.5</v>
      </c>
      <c r="P6">
        <f t="shared" si="1"/>
        <v>24.5</v>
      </c>
      <c r="Q6">
        <f>Q5+Lift_4_h_ft</f>
        <v>48.5</v>
      </c>
      <c r="S6">
        <f t="shared" si="2"/>
        <v>24.5</v>
      </c>
      <c r="T6">
        <f>T5+Lift_5_H_ft</f>
        <v>58.5</v>
      </c>
    </row>
    <row r="7" spans="1:26" x14ac:dyDescent="0.25">
      <c r="A7">
        <v>0</v>
      </c>
      <c r="B7">
        <f>B6</f>
        <v>1.5</v>
      </c>
      <c r="D7">
        <f>D4</f>
        <v>7</v>
      </c>
      <c r="E7">
        <f>E6</f>
        <v>3.5</v>
      </c>
      <c r="G7">
        <f>G4</f>
        <v>9.5</v>
      </c>
      <c r="H7">
        <f>H6</f>
        <v>18.5</v>
      </c>
      <c r="J7">
        <f>J4</f>
        <v>9.5</v>
      </c>
      <c r="K7">
        <f>K6</f>
        <v>28.5</v>
      </c>
      <c r="M7">
        <f t="shared" si="0"/>
        <v>9.5</v>
      </c>
      <c r="N7">
        <f>N6</f>
        <v>38.5</v>
      </c>
      <c r="P7">
        <f t="shared" si="1"/>
        <v>9.5</v>
      </c>
      <c r="Q7">
        <f>Q6</f>
        <v>48.5</v>
      </c>
      <c r="S7">
        <f t="shared" si="2"/>
        <v>9.5</v>
      </c>
      <c r="T7">
        <f>T6</f>
        <v>58.5</v>
      </c>
      <c r="V7" t="s">
        <v>48</v>
      </c>
      <c r="Y7" t="s">
        <v>49</v>
      </c>
    </row>
    <row r="8" spans="1:26" x14ac:dyDescent="0.25">
      <c r="A8">
        <v>0</v>
      </c>
      <c r="B8">
        <v>0</v>
      </c>
      <c r="D8">
        <f>D4</f>
        <v>7</v>
      </c>
      <c r="E8">
        <f>E4</f>
        <v>1.5</v>
      </c>
      <c r="G8">
        <f>G4</f>
        <v>9.5</v>
      </c>
      <c r="H8">
        <f>H4</f>
        <v>3.5</v>
      </c>
      <c r="J8">
        <f>J4</f>
        <v>9.5</v>
      </c>
      <c r="K8">
        <f>K4</f>
        <v>18.5</v>
      </c>
      <c r="M8">
        <f t="shared" si="0"/>
        <v>9.5</v>
      </c>
      <c r="N8">
        <f>N4</f>
        <v>28.5</v>
      </c>
      <c r="P8">
        <f t="shared" si="1"/>
        <v>9.5</v>
      </c>
      <c r="Q8">
        <f>Q4</f>
        <v>38.5</v>
      </c>
      <c r="S8">
        <f t="shared" si="2"/>
        <v>9.5</v>
      </c>
      <c r="T8">
        <f>T4</f>
        <v>48.5</v>
      </c>
      <c r="V8" t="s">
        <v>3</v>
      </c>
      <c r="W8" t="s">
        <v>4</v>
      </c>
      <c r="Y8" t="s">
        <v>3</v>
      </c>
      <c r="Z8" t="s">
        <v>4</v>
      </c>
    </row>
    <row r="9" spans="1:26" x14ac:dyDescent="0.25">
      <c r="V9">
        <f>V4+(Shear_Wall_Foundation!B38/12)</f>
        <v>10.177083333333334</v>
      </c>
      <c r="W9">
        <f>MAX(E4:E8)+Hs_ft/2</f>
        <v>4.5</v>
      </c>
      <c r="Y9">
        <f>Y4-(Shear_Wall_Foundation!B38/12)</f>
        <v>23.822916666666668</v>
      </c>
      <c r="Z9">
        <f>W9</f>
        <v>4.5</v>
      </c>
    </row>
    <row r="10" spans="1:26" x14ac:dyDescent="0.25">
      <c r="V10">
        <f>V9</f>
        <v>10.177083333333334</v>
      </c>
      <c r="W10">
        <f>MAX(E4:E8)-(Hs_ft/2)</f>
        <v>2.5</v>
      </c>
      <c r="Y10">
        <f>Y9</f>
        <v>23.822916666666668</v>
      </c>
      <c r="Z10">
        <f>W10</f>
        <v>2.5</v>
      </c>
    </row>
    <row r="14" spans="1:26" x14ac:dyDescent="0.25">
      <c r="A14" t="s">
        <v>59</v>
      </c>
    </row>
    <row r="16" spans="1:26" x14ac:dyDescent="0.25">
      <c r="A16" t="s">
        <v>60</v>
      </c>
      <c r="B16" s="1">
        <f>MAX(Shear_Wall_Foundation!B48:C52)</f>
        <v>5</v>
      </c>
    </row>
    <row r="17" spans="1:14" x14ac:dyDescent="0.25">
      <c r="A17" t="s">
        <v>61</v>
      </c>
      <c r="B17" s="1">
        <v>0</v>
      </c>
    </row>
    <row r="18" spans="1:14" x14ac:dyDescent="0.25">
      <c r="A18" t="s">
        <v>62</v>
      </c>
      <c r="B18" s="2">
        <v>3</v>
      </c>
    </row>
    <row r="20" spans="1:14" x14ac:dyDescent="0.25">
      <c r="A20" t="s">
        <v>63</v>
      </c>
      <c r="B20" s="1">
        <f>MAX(G4:G8)+0.5</f>
        <v>25</v>
      </c>
    </row>
    <row r="22" spans="1:14" x14ac:dyDescent="0.25">
      <c r="A22" t="s">
        <v>64</v>
      </c>
      <c r="D22" t="s">
        <v>66</v>
      </c>
      <c r="G22" t="s">
        <v>68</v>
      </c>
      <c r="J22" t="s">
        <v>70</v>
      </c>
      <c r="M22" t="s">
        <v>72</v>
      </c>
    </row>
    <row r="23" spans="1:14" x14ac:dyDescent="0.25">
      <c r="A23" t="s">
        <v>3</v>
      </c>
      <c r="B23" t="s">
        <v>4</v>
      </c>
      <c r="D23" t="s">
        <v>3</v>
      </c>
      <c r="E23" t="s">
        <v>4</v>
      </c>
      <c r="G23" t="s">
        <v>3</v>
      </c>
      <c r="H23" t="s">
        <v>4</v>
      </c>
      <c r="J23" t="s">
        <v>3</v>
      </c>
      <c r="K23" t="s">
        <v>4</v>
      </c>
      <c r="M23" t="s">
        <v>3</v>
      </c>
      <c r="N23" t="s">
        <v>4</v>
      </c>
    </row>
    <row r="24" spans="1:14" x14ac:dyDescent="0.25">
      <c r="A24">
        <f>B20</f>
        <v>25</v>
      </c>
      <c r="B24">
        <f>MAX(H4:H8)</f>
        <v>18.5</v>
      </c>
      <c r="D24">
        <f>B20</f>
        <v>25</v>
      </c>
      <c r="E24">
        <f>MAX(K4:K8)</f>
        <v>28.5</v>
      </c>
      <c r="G24">
        <f>B20</f>
        <v>25</v>
      </c>
      <c r="H24">
        <f>MAX(N4:N8)</f>
        <v>38.5</v>
      </c>
      <c r="J24">
        <f>B20</f>
        <v>25</v>
      </c>
      <c r="K24">
        <f>MAX(Q4:Q8)</f>
        <v>48.5</v>
      </c>
      <c r="M24">
        <f>B20</f>
        <v>25</v>
      </c>
      <c r="N24">
        <f>MAX(T4:T8)</f>
        <v>58.5</v>
      </c>
    </row>
    <row r="25" spans="1:14" x14ac:dyDescent="0.25">
      <c r="A25">
        <f>((Shear_Wall_Foundation!B48-charting!B17)/(charting!B16-charting!B17)*B18)+A24</f>
        <v>25.6</v>
      </c>
      <c r="B25">
        <f>B24</f>
        <v>18.5</v>
      </c>
      <c r="D25">
        <f>((Shear_Wall_Foundation!B49-charting!$B$17)/(charting!$B$16-charting!$B$17)*$B$18)+$A$24</f>
        <v>26.2</v>
      </c>
      <c r="E25">
        <f>E24</f>
        <v>28.5</v>
      </c>
      <c r="G25">
        <f>((Shear_Wall_Foundation!B50-charting!$B$17)/(charting!$B$16-charting!$B$17)*$B$18)+$A$24</f>
        <v>26.8</v>
      </c>
      <c r="H25">
        <f>H24</f>
        <v>38.5</v>
      </c>
      <c r="J25">
        <f>((Shear_Wall_Foundation!B51-charting!$B$17)/(charting!$B$16-charting!$B$17)*$B$18)+$A$24</f>
        <v>27.4</v>
      </c>
      <c r="K25">
        <f>K24</f>
        <v>48.5</v>
      </c>
      <c r="M25">
        <f>((Shear_Wall_Foundation!B52-charting!$B$17)/(charting!$B$16-charting!$B$17)*$B$18)+$A$24</f>
        <v>28</v>
      </c>
      <c r="N25">
        <f>N24</f>
        <v>58.5</v>
      </c>
    </row>
    <row r="26" spans="1:14" x14ac:dyDescent="0.25">
      <c r="A26" t="s">
        <v>65</v>
      </c>
      <c r="D26" t="s">
        <v>67</v>
      </c>
      <c r="G26" t="s">
        <v>69</v>
      </c>
      <c r="J26" t="s">
        <v>71</v>
      </c>
      <c r="M26" t="s">
        <v>73</v>
      </c>
    </row>
    <row r="27" spans="1:14" x14ac:dyDescent="0.25">
      <c r="A27" t="s">
        <v>3</v>
      </c>
      <c r="B27" t="s">
        <v>4</v>
      </c>
      <c r="D27" t="s">
        <v>3</v>
      </c>
      <c r="E27" t="s">
        <v>4</v>
      </c>
      <c r="G27" t="s">
        <v>3</v>
      </c>
      <c r="H27" t="s">
        <v>4</v>
      </c>
      <c r="J27" t="s">
        <v>3</v>
      </c>
      <c r="K27" t="s">
        <v>4</v>
      </c>
      <c r="M27" t="s">
        <v>3</v>
      </c>
      <c r="N27" t="s">
        <v>4</v>
      </c>
    </row>
    <row r="28" spans="1:14" x14ac:dyDescent="0.25">
      <c r="A28">
        <f>A25</f>
        <v>25.6</v>
      </c>
      <c r="B28">
        <f>B25</f>
        <v>18.5</v>
      </c>
      <c r="D28">
        <f>D25</f>
        <v>26.2</v>
      </c>
      <c r="E28">
        <f>E25</f>
        <v>28.5</v>
      </c>
      <c r="G28">
        <f>G25</f>
        <v>26.8</v>
      </c>
      <c r="H28">
        <f>H25</f>
        <v>38.5</v>
      </c>
      <c r="J28">
        <f>J25</f>
        <v>27.4</v>
      </c>
      <c r="K28">
        <f>K25</f>
        <v>48.5</v>
      </c>
      <c r="M28">
        <f>M25</f>
        <v>28</v>
      </c>
      <c r="N28">
        <f>N25</f>
        <v>58.5</v>
      </c>
    </row>
    <row r="29" spans="1:14" x14ac:dyDescent="0.25">
      <c r="A29">
        <f>((Shear_Wall_Foundation!C48-charting!$B$17)/(charting!$B$16-charting!$B$17)*charting!$B$18)+charting!$A$28</f>
        <v>26.200000000000003</v>
      </c>
      <c r="B29">
        <f>B28</f>
        <v>18.5</v>
      </c>
      <c r="D29">
        <f>((Shear_Wall_Foundation!C49-charting!$B$17)/(charting!$B$16-charting!$B$17)*charting!$B$18)+charting!$D$28</f>
        <v>27.4</v>
      </c>
      <c r="E29">
        <f>E28</f>
        <v>28.5</v>
      </c>
      <c r="G29">
        <f>((Shear_Wall_Foundation!C50-charting!$B$17)/(charting!$B$16-charting!$B$17)*charting!$B$18)+charting!$G$28</f>
        <v>28.6</v>
      </c>
      <c r="H29">
        <f>H28</f>
        <v>38.5</v>
      </c>
      <c r="J29">
        <f>((Shear_Wall_Foundation!C51-charting!$B$17)/(charting!$B$16-charting!$B$17)*charting!$B$18)+charting!$J$28</f>
        <v>29.799999999999997</v>
      </c>
      <c r="K29">
        <f>K28</f>
        <v>48.5</v>
      </c>
      <c r="M29">
        <f>((Shear_Wall_Foundation!C52-charting!$B$17)/(charting!$B$16-charting!$B$17)*charting!$B$18)+charting!$M$28</f>
        <v>31</v>
      </c>
      <c r="N29">
        <f>N28</f>
        <v>58.5</v>
      </c>
    </row>
    <row r="32" spans="1:14" x14ac:dyDescent="0.25">
      <c r="A32" t="s">
        <v>207</v>
      </c>
    </row>
    <row r="34" spans="1:17" x14ac:dyDescent="0.25">
      <c r="A34" t="s">
        <v>273</v>
      </c>
      <c r="D34" s="72" t="str">
        <f>Shear_Wall_Foundation!A297</f>
        <v>16-8</v>
      </c>
      <c r="I34" s="72" t="str">
        <f>Shear_Wall_Foundation!A298</f>
        <v>16-9</v>
      </c>
      <c r="N34" s="72" t="str">
        <f>Shear_Wall_Foundation!A299</f>
        <v>16-10Lr</v>
      </c>
    </row>
    <row r="35" spans="1:17" x14ac:dyDescent="0.25">
      <c r="A35" t="s">
        <v>3</v>
      </c>
      <c r="B35" t="s">
        <v>4</v>
      </c>
      <c r="D35" s="1" t="s">
        <v>3</v>
      </c>
      <c r="E35" s="1" t="s">
        <v>4</v>
      </c>
      <c r="F35" t="s">
        <v>3</v>
      </c>
      <c r="G35" t="s">
        <v>4</v>
      </c>
      <c r="I35" s="1" t="s">
        <v>3</v>
      </c>
      <c r="J35" s="1" t="s">
        <v>4</v>
      </c>
      <c r="K35" t="s">
        <v>3</v>
      </c>
      <c r="L35" t="s">
        <v>4</v>
      </c>
      <c r="N35" s="1" t="s">
        <v>3</v>
      </c>
      <c r="O35" s="1" t="s">
        <v>4</v>
      </c>
      <c r="P35" t="s">
        <v>3</v>
      </c>
      <c r="Q35" t="s">
        <v>4</v>
      </c>
    </row>
    <row r="36" spans="1:17" x14ac:dyDescent="0.25">
      <c r="A36">
        <v>0</v>
      </c>
      <c r="B36">
        <f>Shear_Wall_Foundation!N9*-1</f>
        <v>-2185.0793650793648</v>
      </c>
      <c r="D36" s="70">
        <f ca="1">OFFSET(Shear_Wall_Foundation!$A$296,MATCH(charting!D34,Shear_Wall_Foundation!$A$297:$A$320,0),2)</f>
        <v>0</v>
      </c>
      <c r="E36" s="1">
        <v>0</v>
      </c>
      <c r="F36" s="71">
        <f ca="1">OFFSET(Shear_Wall_Foundation!$A$296,MATCH(charting!D34,Shear_Wall_Foundation!$A$297:$A$320,0)-32,4)</f>
        <v>15.874138371202452</v>
      </c>
      <c r="G36">
        <v>0</v>
      </c>
      <c r="I36" s="70">
        <f ca="1">OFFSET(Shear_Wall_Foundation!$A$296,MATCH(charting!I34,Shear_Wall_Foundation!$A$297:$A$320,0),2)</f>
        <v>0</v>
      </c>
      <c r="J36" s="1">
        <v>0</v>
      </c>
      <c r="K36" s="71">
        <f ca="1">OFFSET(Shear_Wall_Foundation!$A$296,MATCH(charting!I34,Shear_Wall_Foundation!$A$297:$A$320,0)-32,4)</f>
        <v>16.223728216863229</v>
      </c>
      <c r="L36">
        <v>0</v>
      </c>
      <c r="N36" s="70">
        <f ca="1">OFFSET(Shear_Wall_Foundation!$A$296,MATCH(charting!N34,Shear_Wall_Foundation!$A$297:$A$320,0),2)</f>
        <v>0</v>
      </c>
      <c r="O36" s="1">
        <v>0</v>
      </c>
      <c r="P36" s="71">
        <f ca="1">OFFSET(Shear_Wall_Foundation!$A$296,MATCH(charting!N34,Shear_Wall_Foundation!$A$297:$A$320,0)-32,4)</f>
        <v>15.874138371202452</v>
      </c>
      <c r="Q36">
        <v>0</v>
      </c>
    </row>
    <row r="37" spans="1:17" x14ac:dyDescent="0.25">
      <c r="A37">
        <f>A5</f>
        <v>30</v>
      </c>
      <c r="B37">
        <f>B36</f>
        <v>-2185.0793650793648</v>
      </c>
      <c r="D37" s="1">
        <f ca="1">D36</f>
        <v>0</v>
      </c>
      <c r="E37" s="70">
        <f ca="1">-1000*OFFSET(Shear_Wall_Foundation!$A$296,MATCH(charting!D34,Shear_Wall_Foundation!$A$297:$A$320,0),1)</f>
        <v>-641.30952380952374</v>
      </c>
      <c r="F37">
        <f ca="1">F36</f>
        <v>15.874138371202452</v>
      </c>
      <c r="G37" s="71">
        <f ca="1">OFFSET(Shear_Wall_Foundation!$A$296,MATCH(charting!D34,Shear_Wall_Foundation!$A$297:$A$320,0)-32,1)</f>
        <v>81.604166666666671</v>
      </c>
      <c r="I37" s="1">
        <f ca="1">I36</f>
        <v>0</v>
      </c>
      <c r="J37" s="70">
        <f ca="1">-1000*OFFSET(Shear_Wall_Foundation!$A$296,MATCH(charting!I34,Shear_Wall_Foundation!$A$297:$A$320,0),1)</f>
        <v>-851.30952380952374</v>
      </c>
      <c r="K37">
        <f ca="1">K36</f>
        <v>16.223728216863229</v>
      </c>
      <c r="L37" s="71">
        <f ca="1">OFFSET(Shear_Wall_Foundation!$A$296,MATCH(charting!I34,Shear_Wall_Foundation!$A$297:$A$320,0)-32,1)</f>
        <v>118.35416666666667</v>
      </c>
      <c r="N37" s="1">
        <f ca="1">N36</f>
        <v>0</v>
      </c>
      <c r="O37" s="70">
        <f ca="1">-1000*OFFSET(Shear_Wall_Foundation!$A$296,MATCH(charting!N34,Shear_Wall_Foundation!$A$297:$A$320,0),1)</f>
        <v>-641.30952380952374</v>
      </c>
      <c r="P37">
        <f ca="1">P36</f>
        <v>15.874138371202452</v>
      </c>
      <c r="Q37" s="71">
        <f ca="1">OFFSET(Shear_Wall_Foundation!$A$296,MATCH(charting!N34,Shear_Wall_Foundation!$A$297:$A$320,0)-32,1)</f>
        <v>81.604166666666671</v>
      </c>
    </row>
    <row r="38" spans="1:17" x14ac:dyDescent="0.25">
      <c r="D38" s="70">
        <f ca="1">OFFSET(Shear_Wall_Foundation!$A$296,MATCH(charting!D34,Shear_Wall_Foundation!$A$297:$A$320,0),4)</f>
        <v>30</v>
      </c>
      <c r="E38" s="70">
        <f ca="1">-1000*OFFSET(Shear_Wall_Foundation!$A$296,MATCH(charting!D34,Shear_Wall_Foundation!$A$297:$A$320,0),3)</f>
        <v>-913.05555555555577</v>
      </c>
      <c r="I38" s="70">
        <f ca="1">OFFSET(Shear_Wall_Foundation!$A$296,MATCH(charting!I34,Shear_Wall_Foundation!$A$297:$A$320,0),4)</f>
        <v>30</v>
      </c>
      <c r="J38" s="70">
        <f ca="1">-1000*OFFSET(Shear_Wall_Foundation!$A$296,MATCH(charting!I34,Shear_Wall_Foundation!$A$297:$A$320,0),3)</f>
        <v>-1403.0555555555557</v>
      </c>
      <c r="N38" s="70">
        <f ca="1">OFFSET(Shear_Wall_Foundation!$A$296,MATCH(charting!N34,Shear_Wall_Foundation!$A$297:$A$320,0),4)</f>
        <v>30</v>
      </c>
      <c r="O38" s="70">
        <f ca="1">-1000*OFFSET(Shear_Wall_Foundation!$A$296,MATCH(charting!N34,Shear_Wall_Foundation!$A$297:$A$320,0),3)</f>
        <v>-913.05555555555577</v>
      </c>
    </row>
    <row r="39" spans="1:17" x14ac:dyDescent="0.25">
      <c r="D39" s="1">
        <f ca="1">D38</f>
        <v>30</v>
      </c>
      <c r="E39" s="1">
        <v>0</v>
      </c>
      <c r="I39" s="1">
        <f ca="1">I38</f>
        <v>30</v>
      </c>
      <c r="J39" s="1">
        <v>0</v>
      </c>
      <c r="N39" s="1">
        <f ca="1">N38</f>
        <v>30</v>
      </c>
      <c r="O39" s="1">
        <v>0</v>
      </c>
    </row>
    <row r="41" spans="1:17" x14ac:dyDescent="0.25">
      <c r="D41" s="72" t="str">
        <f>Shear_Wall_Foundation!A268</f>
        <v>16-10S</v>
      </c>
      <c r="I41" s="72" t="str">
        <f>Shear_Wall_Foundation!A301</f>
        <v>16-10R</v>
      </c>
      <c r="N41" s="72" t="str">
        <f>Shear_Wall_Foundation!A302</f>
        <v>16-11Lr</v>
      </c>
    </row>
    <row r="42" spans="1:17" x14ac:dyDescent="0.25">
      <c r="A42" s="1"/>
      <c r="B42" s="1"/>
      <c r="D42" s="1" t="s">
        <v>3</v>
      </c>
      <c r="E42" s="1" t="s">
        <v>4</v>
      </c>
      <c r="F42" t="s">
        <v>3</v>
      </c>
      <c r="G42" t="s">
        <v>4</v>
      </c>
      <c r="I42" s="1" t="s">
        <v>3</v>
      </c>
      <c r="J42" s="1" t="s">
        <v>4</v>
      </c>
      <c r="K42" t="s">
        <v>3</v>
      </c>
      <c r="L42" t="s">
        <v>4</v>
      </c>
      <c r="N42" s="1" t="s">
        <v>3</v>
      </c>
      <c r="O42" s="1" t="s">
        <v>4</v>
      </c>
      <c r="P42" t="s">
        <v>3</v>
      </c>
      <c r="Q42" t="s">
        <v>4</v>
      </c>
    </row>
    <row r="43" spans="1:17" x14ac:dyDescent="0.25">
      <c r="D43" s="70">
        <f ca="1">OFFSET(Shear_Wall_Foundation!$A$296,MATCH(charting!D41,Shear_Wall_Foundation!$A$297:$A$320,0),2)</f>
        <v>0</v>
      </c>
      <c r="E43" s="1">
        <v>0</v>
      </c>
      <c r="F43" s="71">
        <f ca="1">OFFSET(Shear_Wall_Foundation!$A$296,MATCH(charting!D41,Shear_Wall_Foundation!$A$297:$A$320,0)-32,4)</f>
        <v>15.985973787077491</v>
      </c>
      <c r="G43">
        <v>0</v>
      </c>
      <c r="I43" s="70">
        <f ca="1">OFFSET(Shear_Wall_Foundation!$A$296,MATCH(charting!I41,Shear_Wall_Foundation!$A$297:$A$320,0),2)</f>
        <v>0</v>
      </c>
      <c r="J43" s="1">
        <v>0</v>
      </c>
      <c r="K43" s="71">
        <f ca="1">OFFSET(Shear_Wall_Foundation!$A$296,MATCH(charting!I41,Shear_Wall_Foundation!$A$297:$A$320,0)-32,4)</f>
        <v>15.874138371202452</v>
      </c>
      <c r="L43">
        <v>0</v>
      </c>
      <c r="N43" s="70">
        <f ca="1">OFFSET(Shear_Wall_Foundation!$A$296,MATCH(charting!N41,Shear_Wall_Foundation!$A$297:$A$320,0),2)</f>
        <v>0</v>
      </c>
      <c r="O43" s="1">
        <v>0</v>
      </c>
      <c r="P43" s="71">
        <f ca="1">OFFSET(Shear_Wall_Foundation!$A$296,MATCH(charting!N41,Shear_Wall_Foundation!$A$297:$A$320,0)-32,4)</f>
        <v>16.158396946564885</v>
      </c>
      <c r="Q43">
        <v>0</v>
      </c>
    </row>
    <row r="44" spans="1:17" x14ac:dyDescent="0.25">
      <c r="D44" s="1">
        <f ca="1">D43</f>
        <v>0</v>
      </c>
      <c r="E44" s="70">
        <f ca="1">-1000*OFFSET(Shear_Wall_Foundation!$A$296,MATCH(charting!D41,Shear_Wall_Foundation!$A$297:$A$320,0),1)</f>
        <v>-692.73809523809496</v>
      </c>
      <c r="F44">
        <f ca="1">F43</f>
        <v>15.985973787077491</v>
      </c>
      <c r="G44" s="71">
        <f ca="1">OFFSET(Shear_Wall_Foundation!$A$296,MATCH(charting!D41,Shear_Wall_Foundation!$A$297:$A$320,0)-32,1)</f>
        <v>90.604166666666671</v>
      </c>
      <c r="I44" s="1">
        <f ca="1">I43</f>
        <v>0</v>
      </c>
      <c r="J44" s="70">
        <f ca="1">-1000*OFFSET(Shear_Wall_Foundation!$A$296,MATCH(charting!I41,Shear_Wall_Foundation!$A$297:$A$320,0),1)</f>
        <v>-641.30952380952374</v>
      </c>
      <c r="K44">
        <f ca="1">K43</f>
        <v>15.874138371202452</v>
      </c>
      <c r="L44" s="71">
        <f ca="1">OFFSET(Shear_Wall_Foundation!$A$296,MATCH(charting!I41,Shear_Wall_Foundation!$A$297:$A$320,0)-32,1)</f>
        <v>81.604166666666671</v>
      </c>
      <c r="N44" s="1">
        <f ca="1">N43</f>
        <v>0</v>
      </c>
      <c r="O44" s="70">
        <f ca="1">-1000*OFFSET(Shear_Wall_Foundation!$A$296,MATCH(charting!N41,Shear_Wall_Foundation!$A$297:$A$320,0),1)</f>
        <v>-798.80952380952408</v>
      </c>
      <c r="P44">
        <f ca="1">P43</f>
        <v>16.158396946564885</v>
      </c>
      <c r="Q44" s="71">
        <f ca="1">OFFSET(Shear_Wall_Foundation!$A$296,MATCH(charting!N41,Shear_Wall_Foundation!$A$297:$A$320,0)-32,1)</f>
        <v>109.16666666666667</v>
      </c>
    </row>
    <row r="45" spans="1:17" x14ac:dyDescent="0.25">
      <c r="D45" s="70">
        <f ca="1">OFFSET(Shear_Wall_Foundation!$A$296,MATCH(charting!D41,Shear_Wall_Foundation!$A$297:$A$320,0),4)</f>
        <v>30</v>
      </c>
      <c r="E45" s="70">
        <f ca="1">-1000*OFFSET(Shear_Wall_Foundation!$A$296,MATCH(charting!D41,Shear_Wall_Foundation!$A$297:$A$320,0),3)</f>
        <v>-1033.0555555555559</v>
      </c>
      <c r="I45" s="70">
        <f ca="1">OFFSET(Shear_Wall_Foundation!$A$296,MATCH(charting!I41,Shear_Wall_Foundation!$A$297:$A$320,0),4)</f>
        <v>30</v>
      </c>
      <c r="J45" s="70">
        <f ca="1">-1000*OFFSET(Shear_Wall_Foundation!$A$296,MATCH(charting!I41,Shear_Wall_Foundation!$A$297:$A$320,0),3)</f>
        <v>-913.05555555555577</v>
      </c>
      <c r="N45" s="70">
        <f ca="1">OFFSET(Shear_Wall_Foundation!$A$296,MATCH(charting!N41,Shear_Wall_Foundation!$A$297:$A$320,0),4)</f>
        <v>30</v>
      </c>
      <c r="O45" s="70">
        <f ca="1">-1000*OFFSET(Shear_Wall_Foundation!$A$296,MATCH(charting!N41,Shear_Wall_Foundation!$A$297:$A$320,0),3)</f>
        <v>-1280.5555555555554</v>
      </c>
    </row>
    <row r="46" spans="1:17" x14ac:dyDescent="0.25">
      <c r="D46" s="1">
        <f ca="1">D45</f>
        <v>30</v>
      </c>
      <c r="E46" s="1">
        <v>0</v>
      </c>
      <c r="I46" s="1">
        <f ca="1">I45</f>
        <v>30</v>
      </c>
      <c r="J46" s="1">
        <v>0</v>
      </c>
      <c r="N46" s="1">
        <f ca="1">N45</f>
        <v>30</v>
      </c>
      <c r="O46" s="1">
        <v>0</v>
      </c>
    </row>
    <row r="48" spans="1:17" x14ac:dyDescent="0.25">
      <c r="D48" s="72" t="str">
        <f>Shear_Wall_Foundation!A303</f>
        <v>16-11S</v>
      </c>
      <c r="I48" s="72" t="str">
        <f>Shear_Wall_Foundation!A304</f>
        <v>16-11R</v>
      </c>
      <c r="N48" s="72" t="str">
        <f>Shear_Wall_Foundation!A305</f>
        <v>16-12Wp</v>
      </c>
    </row>
    <row r="49" spans="4:17" x14ac:dyDescent="0.25">
      <c r="D49" s="1" t="s">
        <v>3</v>
      </c>
      <c r="E49" s="1" t="s">
        <v>4</v>
      </c>
      <c r="F49" t="s">
        <v>3</v>
      </c>
      <c r="G49" t="s">
        <v>4</v>
      </c>
      <c r="I49" s="1" t="s">
        <v>3</v>
      </c>
      <c r="J49" s="1" t="s">
        <v>4</v>
      </c>
      <c r="K49" t="s">
        <v>3</v>
      </c>
      <c r="L49" t="s">
        <v>4</v>
      </c>
      <c r="N49" s="1" t="s">
        <v>3</v>
      </c>
      <c r="O49" s="1" t="s">
        <v>4</v>
      </c>
      <c r="P49" t="s">
        <v>3</v>
      </c>
      <c r="Q49" t="s">
        <v>4</v>
      </c>
    </row>
    <row r="50" spans="4:17" x14ac:dyDescent="0.25">
      <c r="D50" s="70">
        <f ca="1">OFFSET(Shear_Wall_Foundation!$A$296,MATCH(charting!D48,Shear_Wall_Foundation!$A$297:$A$320,0),2)</f>
        <v>0</v>
      </c>
      <c r="E50" s="1">
        <v>0</v>
      </c>
      <c r="F50" s="71">
        <f ca="1">OFFSET(Shear_Wall_Foundation!$A$296,MATCH(charting!D48,Shear_Wall_Foundation!$A$297:$A$320,0)-32,4)</f>
        <v>16.207404744787922</v>
      </c>
      <c r="G50">
        <v>0</v>
      </c>
      <c r="I50" s="70">
        <f ca="1">OFFSET(Shear_Wall_Foundation!$A$296,MATCH(charting!I48,Shear_Wall_Foundation!$A$297:$A$320,0),2)</f>
        <v>0</v>
      </c>
      <c r="J50" s="1">
        <v>0</v>
      </c>
      <c r="K50" s="71">
        <f ca="1">OFFSET(Shear_Wall_Foundation!$A$296,MATCH(charting!I48,Shear_Wall_Foundation!$A$297:$A$320,0)-32,4)</f>
        <v>16.158396946564885</v>
      </c>
      <c r="L50">
        <v>0</v>
      </c>
      <c r="N50" s="70">
        <f ca="1">OFFSET(Shear_Wall_Foundation!$A$296,MATCH(charting!N48,Shear_Wall_Foundation!$A$297:$A$320,0),2)</f>
        <v>2.5665049782997222</v>
      </c>
      <c r="O50" s="1">
        <v>0</v>
      </c>
      <c r="P50" s="71">
        <f ca="1">OFFSET(Shear_Wall_Foundation!$A$296,MATCH(charting!N48,Shear_Wall_Foundation!$A$297:$A$320,0)-32,4)</f>
        <v>20.855501659433241</v>
      </c>
      <c r="Q50">
        <v>0</v>
      </c>
    </row>
    <row r="51" spans="4:17" x14ac:dyDescent="0.25">
      <c r="D51" s="1">
        <f ca="1">D50</f>
        <v>0</v>
      </c>
      <c r="E51" s="70">
        <f ca="1">-1000*OFFSET(Shear_Wall_Foundation!$A$296,MATCH(charting!D48,Shear_Wall_Foundation!$A$297:$A$320,0),1)</f>
        <v>-837.38095238095241</v>
      </c>
      <c r="F51">
        <f ca="1">F50</f>
        <v>16.207404744787922</v>
      </c>
      <c r="G51" s="71">
        <f ca="1">OFFSET(Shear_Wall_Foundation!$A$296,MATCH(charting!D48,Shear_Wall_Foundation!$A$297:$A$320,0)-32,1)</f>
        <v>115.91666666666667</v>
      </c>
      <c r="I51" s="1">
        <f ca="1">I50</f>
        <v>0</v>
      </c>
      <c r="J51" s="70">
        <f ca="1">-1000*OFFSET(Shear_Wall_Foundation!$A$296,MATCH(charting!I48,Shear_Wall_Foundation!$A$297:$A$320,0),1)</f>
        <v>-798.80952380952408</v>
      </c>
      <c r="K51">
        <f ca="1">K50</f>
        <v>16.158396946564885</v>
      </c>
      <c r="L51" s="71">
        <f ca="1">OFFSET(Shear_Wall_Foundation!$A$296,MATCH(charting!I48,Shear_Wall_Foundation!$A$297:$A$320,0)-32,1)</f>
        <v>109.16666666666667</v>
      </c>
      <c r="N51" s="1">
        <f ca="1">N50</f>
        <v>2.5665049782997222</v>
      </c>
      <c r="O51" s="70">
        <f ca="1">-1000*OFFSET(Shear_Wall_Foundation!$A$296,MATCH(charting!N48,Shear_Wall_Foundation!$A$297:$A$320,0),1)</f>
        <v>0</v>
      </c>
      <c r="P51">
        <f ca="1">P50</f>
        <v>20.855501659433241</v>
      </c>
      <c r="Q51" s="71">
        <f ca="1">OFFSET(Shear_Wall_Foundation!$A$296,MATCH(charting!N48,Shear_Wall_Foundation!$A$297:$A$320,0)-32,1)</f>
        <v>81.604166666666671</v>
      </c>
    </row>
    <row r="52" spans="4:17" x14ac:dyDescent="0.25">
      <c r="D52" s="70">
        <f ca="1">OFFSET(Shear_Wall_Foundation!$A$296,MATCH(charting!D48,Shear_Wall_Foundation!$A$297:$A$320,0),4)</f>
        <v>30</v>
      </c>
      <c r="E52" s="70">
        <f ca="1">-1000*OFFSET(Shear_Wall_Foundation!$A$296,MATCH(charting!D48,Shear_Wall_Foundation!$A$297:$A$320,0),3)</f>
        <v>-1370.5555555555554</v>
      </c>
      <c r="I52" s="70">
        <f ca="1">OFFSET(Shear_Wall_Foundation!$A$296,MATCH(charting!I48,Shear_Wall_Foundation!$A$297:$A$320,0),4)</f>
        <v>30</v>
      </c>
      <c r="J52" s="70">
        <f ca="1">-1000*OFFSET(Shear_Wall_Foundation!$A$296,MATCH(charting!I48,Shear_Wall_Foundation!$A$297:$A$320,0),3)</f>
        <v>-1280.5555555555554</v>
      </c>
      <c r="N52" s="70">
        <f ca="1">OFFSET(Shear_Wall_Foundation!$A$296,MATCH(charting!N48,Shear_Wall_Foundation!$A$297:$A$320,0),4)</f>
        <v>30</v>
      </c>
      <c r="O52" s="70">
        <f ca="1">-1000*OFFSET(Shear_Wall_Foundation!$A$296,MATCH(charting!N48,Shear_Wall_Foundation!$A$297:$A$320,0),3)</f>
        <v>-1699.7816845453576</v>
      </c>
    </row>
    <row r="53" spans="4:17" x14ac:dyDescent="0.25">
      <c r="D53" s="1">
        <f ca="1">D52</f>
        <v>30</v>
      </c>
      <c r="E53" s="1">
        <v>0</v>
      </c>
      <c r="I53" s="1">
        <f ca="1">I52</f>
        <v>30</v>
      </c>
      <c r="J53" s="1">
        <v>0</v>
      </c>
      <c r="N53" s="1">
        <f ca="1">N52</f>
        <v>30</v>
      </c>
      <c r="O53" s="1">
        <v>0</v>
      </c>
    </row>
    <row r="55" spans="4:17" x14ac:dyDescent="0.25">
      <c r="D55" s="72" t="str">
        <f>Shear_Wall_Foundation!A306</f>
        <v>16-12Wn</v>
      </c>
      <c r="I55" s="72" t="str">
        <f>Shear_Wall_Foundation!A307</f>
        <v>16-12Ep</v>
      </c>
      <c r="N55" s="72" t="str">
        <f>Shear_Wall_Foundation!A308</f>
        <v>16-12En</v>
      </c>
    </row>
    <row r="56" spans="4:17" x14ac:dyDescent="0.25">
      <c r="D56" s="1" t="s">
        <v>3</v>
      </c>
      <c r="E56" s="1" t="s">
        <v>4</v>
      </c>
      <c r="F56" t="s">
        <v>3</v>
      </c>
      <c r="G56" t="s">
        <v>4</v>
      </c>
      <c r="I56" s="1" t="s">
        <v>3</v>
      </c>
      <c r="J56" s="1" t="s">
        <v>4</v>
      </c>
      <c r="K56" t="s">
        <v>3</v>
      </c>
      <c r="L56" t="s">
        <v>4</v>
      </c>
      <c r="N56" s="1" t="s">
        <v>3</v>
      </c>
      <c r="O56" s="1" t="s">
        <v>4</v>
      </c>
      <c r="P56" t="s">
        <v>3</v>
      </c>
      <c r="Q56" t="s">
        <v>4</v>
      </c>
    </row>
    <row r="57" spans="4:17" x14ac:dyDescent="0.25">
      <c r="D57" s="70">
        <f ca="1">OFFSET(Shear_Wall_Foundation!$A$296,MATCH(charting!D55,Shear_Wall_Foundation!$A$297:$A$320,0),2)</f>
        <v>0</v>
      </c>
      <c r="E57" s="1">
        <v>0</v>
      </c>
      <c r="F57" s="71">
        <f ca="1">OFFSET(Shear_Wall_Foundation!$A$296,MATCH(charting!D55,Shear_Wall_Foundation!$A$297:$A$320,0)-32,4)</f>
        <v>10.892775082971662</v>
      </c>
      <c r="G57">
        <v>0</v>
      </c>
      <c r="I57" s="70">
        <f ca="1">OFFSET(Shear_Wall_Foundation!$A$296,MATCH(charting!I55,Shear_Wall_Foundation!$A$297:$A$320,0),2)</f>
        <v>0.69849374521317031</v>
      </c>
      <c r="J57" s="1">
        <v>0</v>
      </c>
      <c r="K57" s="71">
        <f ca="1">OFFSET(Shear_Wall_Foundation!$A$296,MATCH(charting!I55,Shear_Wall_Foundation!$A$297:$A$320,0)-32,4)</f>
        <v>20.232831248404391</v>
      </c>
      <c r="L57">
        <v>0</v>
      </c>
      <c r="N57" s="70">
        <f ca="1">OFFSET(Shear_Wall_Foundation!$A$296,MATCH(charting!N55,Shear_Wall_Foundation!$A$297:$A$320,0),2)</f>
        <v>0</v>
      </c>
      <c r="O57" s="1">
        <v>0</v>
      </c>
      <c r="P57" s="71">
        <f ca="1">OFFSET(Shear_Wall_Foundation!$A$296,MATCH(charting!N55,Shear_Wall_Foundation!$A$297:$A$320,0)-32,4)</f>
        <v>11.51544549400051</v>
      </c>
      <c r="Q57">
        <v>0</v>
      </c>
    </row>
    <row r="58" spans="4:17" x14ac:dyDescent="0.25">
      <c r="D58" s="1">
        <f ca="1">D57</f>
        <v>0</v>
      </c>
      <c r="E58" s="70">
        <f ca="1">-1000*OFFSET(Shear_Wall_Foundation!$A$296,MATCH(charting!D55,Shear_Wall_Foundation!$A$297:$A$320,0),1)</f>
        <v>-1415.5952380952383</v>
      </c>
      <c r="F58">
        <f ca="1">F57</f>
        <v>10.892775082971662</v>
      </c>
      <c r="G58" s="71">
        <f ca="1">OFFSET(Shear_Wall_Foundation!$A$296,MATCH(charting!D55,Shear_Wall_Foundation!$A$297:$A$320,0)-32,1)</f>
        <v>81.604166666666671</v>
      </c>
      <c r="I58" s="1">
        <f ca="1">I57</f>
        <v>0.69849374521317031</v>
      </c>
      <c r="J58" s="70">
        <f ca="1">-1000*OFFSET(Shear_Wall_Foundation!$A$296,MATCH(charting!I55,Shear_Wall_Foundation!$A$297:$A$320,0),1)</f>
        <v>0</v>
      </c>
      <c r="K58">
        <f ca="1">K57</f>
        <v>20.232831248404391</v>
      </c>
      <c r="L58" s="71">
        <f ca="1">OFFSET(Shear_Wall_Foundation!$A$296,MATCH(charting!I55,Shear_Wall_Foundation!$A$297:$A$320,0)-32,1)</f>
        <v>81.604166666666671</v>
      </c>
      <c r="N58" s="1">
        <f ca="1">N57</f>
        <v>0</v>
      </c>
      <c r="O58" s="70">
        <f ca="1">-1000*OFFSET(Shear_Wall_Foundation!$A$296,MATCH(charting!N55,Shear_Wall_Foundation!$A$297:$A$320,0),1)</f>
        <v>-1318.8095238095241</v>
      </c>
      <c r="P58">
        <f ca="1">P57</f>
        <v>11.51544549400051</v>
      </c>
      <c r="Q58" s="71">
        <f ca="1">OFFSET(Shear_Wall_Foundation!$A$296,MATCH(charting!N55,Shear_Wall_Foundation!$A$297:$A$320,0)-32,1)</f>
        <v>81.604166666666671</v>
      </c>
    </row>
    <row r="59" spans="4:17" x14ac:dyDescent="0.25">
      <c r="D59" s="70">
        <f ca="1">OFFSET(Shear_Wall_Foundation!$A$296,MATCH(charting!D55,Shear_Wall_Foundation!$A$297:$A$320,0),4)</f>
        <v>30</v>
      </c>
      <c r="E59" s="70">
        <f ca="1">-1000*OFFSET(Shear_Wall_Foundation!$A$296,MATCH(charting!D55,Shear_Wall_Foundation!$A$297:$A$320,0),3)</f>
        <v>-138.76984126984127</v>
      </c>
      <c r="I59" s="70">
        <f ca="1">OFFSET(Shear_Wall_Foundation!$A$296,MATCH(charting!I55,Shear_Wall_Foundation!$A$297:$A$320,0),4)</f>
        <v>30</v>
      </c>
      <c r="J59" s="70">
        <f ca="1">-1000*OFFSET(Shear_Wall_Foundation!$A$296,MATCH(charting!I55,Shear_Wall_Foundation!$A$297:$A$320,0),3)</f>
        <v>-1591.4182696097589</v>
      </c>
      <c r="N59" s="70">
        <f ca="1">OFFSET(Shear_Wall_Foundation!$A$296,MATCH(charting!N55,Shear_Wall_Foundation!$A$297:$A$320,0),4)</f>
        <v>30</v>
      </c>
      <c r="O59" s="70">
        <f ca="1">-1000*OFFSET(Shear_Wall_Foundation!$A$296,MATCH(charting!N55,Shear_Wall_Foundation!$A$297:$A$320,0),3)</f>
        <v>-235.55555555555543</v>
      </c>
    </row>
    <row r="60" spans="4:17" x14ac:dyDescent="0.25">
      <c r="D60" s="1">
        <f ca="1">D59</f>
        <v>30</v>
      </c>
      <c r="E60" s="1">
        <v>0</v>
      </c>
      <c r="I60" s="1">
        <f ca="1">I59</f>
        <v>30</v>
      </c>
      <c r="J60" s="1">
        <v>0</v>
      </c>
      <c r="N60" s="1">
        <f ca="1">N59</f>
        <v>30</v>
      </c>
      <c r="O60" s="1">
        <v>0</v>
      </c>
    </row>
    <row r="62" spans="4:17" x14ac:dyDescent="0.25">
      <c r="D62" s="72" t="str">
        <f>Shear_Wall_Foundation!A309</f>
        <v>16-13Wp_Lr</v>
      </c>
      <c r="I62" s="72" t="str">
        <f>Shear_Wall_Foundation!A310</f>
        <v>16-13Wp_S</v>
      </c>
      <c r="N62" s="72" t="str">
        <f>Shear_Wall_Foundation!A311</f>
        <v>16-13Wp_R</v>
      </c>
    </row>
    <row r="63" spans="4:17" x14ac:dyDescent="0.25">
      <c r="D63" s="1" t="s">
        <v>3</v>
      </c>
      <c r="E63" s="1" t="s">
        <v>4</v>
      </c>
      <c r="F63" t="s">
        <v>3</v>
      </c>
      <c r="G63" t="s">
        <v>4</v>
      </c>
      <c r="I63" s="1" t="s">
        <v>3</v>
      </c>
      <c r="J63" s="1" t="s">
        <v>4</v>
      </c>
      <c r="K63" t="s">
        <v>3</v>
      </c>
      <c r="L63" t="s">
        <v>4</v>
      </c>
      <c r="N63" s="1" t="s">
        <v>3</v>
      </c>
      <c r="O63" s="1" t="s">
        <v>4</v>
      </c>
      <c r="P63" t="s">
        <v>3</v>
      </c>
      <c r="Q63" t="s">
        <v>4</v>
      </c>
    </row>
    <row r="64" spans="4:17" x14ac:dyDescent="0.25">
      <c r="D64" s="70">
        <f ca="1">OFFSET(Shear_Wall_Foundation!$A$296,MATCH(charting!D62,Shear_Wall_Foundation!$A$297:$A$320,0),2)</f>
        <v>0</v>
      </c>
      <c r="E64" s="1">
        <v>0</v>
      </c>
      <c r="F64" s="71">
        <f ca="1">OFFSET(Shear_Wall_Foundation!$A$296,MATCH(charting!D62,Shear_Wall_Foundation!$A$297:$A$320,0)-32,4)</f>
        <v>18.95114503816794</v>
      </c>
      <c r="G64">
        <v>0</v>
      </c>
      <c r="I64" s="70">
        <f ca="1">OFFSET(Shear_Wall_Foundation!$A$296,MATCH(charting!I62,Shear_Wall_Foundation!$A$297:$A$320,0),2)</f>
        <v>0</v>
      </c>
      <c r="J64" s="1">
        <v>0</v>
      </c>
      <c r="K64" s="71">
        <f ca="1">OFFSET(Shear_Wall_Foundation!$A$296,MATCH(charting!I62,Shear_Wall_Foundation!$A$297:$A$320,0)-32,4)</f>
        <v>18.837526959022288</v>
      </c>
      <c r="L64">
        <v>0</v>
      </c>
      <c r="N64" s="70">
        <f ca="1">OFFSET(Shear_Wall_Foundation!$A$296,MATCH(charting!N62,Shear_Wall_Foundation!$A$297:$A$320,0),2)</f>
        <v>0</v>
      </c>
      <c r="O64" s="1">
        <v>0</v>
      </c>
      <c r="P64" s="71">
        <f ca="1">OFFSET(Shear_Wall_Foundation!$A$296,MATCH(charting!N62,Shear_Wall_Foundation!$A$297:$A$320,0)-32,4)</f>
        <v>18.95114503816794</v>
      </c>
      <c r="Q64">
        <v>0</v>
      </c>
    </row>
    <row r="65" spans="4:17" x14ac:dyDescent="0.25">
      <c r="D65" s="1">
        <f ca="1">D64</f>
        <v>0</v>
      </c>
      <c r="E65" s="70">
        <f ca="1">-1000*OFFSET(Shear_Wall_Foundation!$A$296,MATCH(charting!D62,Shear_Wall_Foundation!$A$297:$A$320,0),1)</f>
        <v>-218.09523809523782</v>
      </c>
      <c r="F65">
        <f ca="1">F64</f>
        <v>18.95114503816794</v>
      </c>
      <c r="G65" s="71">
        <f ca="1">OFFSET(Shear_Wall_Foundation!$A$296,MATCH(charting!D62,Shear_Wall_Foundation!$A$297:$A$320,0)-32,1)</f>
        <v>109.16666666666667</v>
      </c>
      <c r="I65" s="1">
        <f ca="1">I64</f>
        <v>0</v>
      </c>
      <c r="J65" s="70">
        <f ca="1">-1000*OFFSET(Shear_Wall_Foundation!$A$296,MATCH(charting!I62,Shear_Wall_Foundation!$A$297:$A$320,0),1)</f>
        <v>-256.66666666666634</v>
      </c>
      <c r="K65">
        <f ca="1">K64</f>
        <v>18.837526959022288</v>
      </c>
      <c r="L65" s="71">
        <f ca="1">OFFSET(Shear_Wall_Foundation!$A$296,MATCH(charting!I62,Shear_Wall_Foundation!$A$297:$A$320,0)-32,1)</f>
        <v>115.91666666666667</v>
      </c>
      <c r="N65" s="1">
        <f ca="1">N64</f>
        <v>0</v>
      </c>
      <c r="O65" s="70">
        <f ca="1">-1000*OFFSET(Shear_Wall_Foundation!$A$296,MATCH(charting!N62,Shear_Wall_Foundation!$A$297:$A$320,0),1)</f>
        <v>-218.09523809523782</v>
      </c>
      <c r="P65">
        <f ca="1">P64</f>
        <v>18.95114503816794</v>
      </c>
      <c r="Q65" s="71">
        <f ca="1">OFFSET(Shear_Wall_Foundation!$A$296,MATCH(charting!N62,Shear_Wall_Foundation!$A$297:$A$320,0)-32,1)</f>
        <v>109.16666666666667</v>
      </c>
    </row>
    <row r="66" spans="4:17" x14ac:dyDescent="0.25">
      <c r="D66" s="70">
        <f ca="1">OFFSET(Shear_Wall_Foundation!$A$296,MATCH(charting!D62,Shear_Wall_Foundation!$A$297:$A$320,0),4)</f>
        <v>30</v>
      </c>
      <c r="E66" s="70">
        <f ca="1">-1000*OFFSET(Shear_Wall_Foundation!$A$296,MATCH(charting!D62,Shear_Wall_Foundation!$A$297:$A$320,0),3)</f>
        <v>-1861.2698412698417</v>
      </c>
      <c r="I66" s="70">
        <f ca="1">OFFSET(Shear_Wall_Foundation!$A$296,MATCH(charting!I62,Shear_Wall_Foundation!$A$297:$A$320,0),4)</f>
        <v>30</v>
      </c>
      <c r="J66" s="70">
        <f ca="1">-1000*OFFSET(Shear_Wall_Foundation!$A$296,MATCH(charting!I62,Shear_Wall_Foundation!$A$297:$A$320,0),3)</f>
        <v>-1951.2698412698417</v>
      </c>
      <c r="N66" s="70">
        <f ca="1">OFFSET(Shear_Wall_Foundation!$A$296,MATCH(charting!N62,Shear_Wall_Foundation!$A$297:$A$320,0),4)</f>
        <v>30</v>
      </c>
      <c r="O66" s="70">
        <f ca="1">-1000*OFFSET(Shear_Wall_Foundation!$A$296,MATCH(charting!N62,Shear_Wall_Foundation!$A$297:$A$320,0),3)</f>
        <v>-1861.2698412698417</v>
      </c>
    </row>
    <row r="67" spans="4:17" x14ac:dyDescent="0.25">
      <c r="D67" s="1">
        <f ca="1">D66</f>
        <v>30</v>
      </c>
      <c r="E67" s="1">
        <v>0</v>
      </c>
      <c r="I67" s="1">
        <f ca="1">I66</f>
        <v>30</v>
      </c>
      <c r="J67" s="1">
        <v>0</v>
      </c>
      <c r="N67" s="1">
        <f ca="1">N66</f>
        <v>30</v>
      </c>
      <c r="O67" s="1">
        <v>0</v>
      </c>
    </row>
    <row r="69" spans="4:17" x14ac:dyDescent="0.25">
      <c r="D69" s="72" t="str">
        <f>Shear_Wall_Foundation!A312</f>
        <v>16-13Wn_Lr</v>
      </c>
      <c r="I69" s="72" t="str">
        <f>Shear_Wall_Foundation!A313</f>
        <v>16-13Wn_S</v>
      </c>
      <c r="N69" s="72" t="str">
        <f>Shear_Wall_Foundation!A314</f>
        <v>16-13Wn_R</v>
      </c>
    </row>
    <row r="70" spans="4:17" x14ac:dyDescent="0.25">
      <c r="D70" s="1" t="s">
        <v>3</v>
      </c>
      <c r="E70" s="1" t="s">
        <v>4</v>
      </c>
      <c r="F70" t="s">
        <v>3</v>
      </c>
      <c r="G70" t="s">
        <v>4</v>
      </c>
      <c r="I70" s="1" t="s">
        <v>3</v>
      </c>
      <c r="J70" s="1" t="s">
        <v>4</v>
      </c>
      <c r="K70" t="s">
        <v>3</v>
      </c>
      <c r="L70" t="s">
        <v>4</v>
      </c>
      <c r="N70" s="1" t="s">
        <v>3</v>
      </c>
      <c r="O70" s="1" t="s">
        <v>4</v>
      </c>
      <c r="P70" t="s">
        <v>3</v>
      </c>
      <c r="Q70" t="s">
        <v>4</v>
      </c>
    </row>
    <row r="71" spans="4:17" x14ac:dyDescent="0.25">
      <c r="D71" s="70">
        <f ca="1">OFFSET(Shear_Wall_Foundation!$A$296,MATCH(charting!D69,Shear_Wall_Foundation!$A$297:$A$320,0),2)</f>
        <v>0</v>
      </c>
      <c r="E71" s="1">
        <v>0</v>
      </c>
      <c r="F71" s="71">
        <f ca="1">OFFSET(Shear_Wall_Foundation!$A$296,MATCH(charting!D69,Shear_Wall_Foundation!$A$297:$A$320,0)-32,4)</f>
        <v>13.365648854961833</v>
      </c>
      <c r="G71">
        <v>0</v>
      </c>
      <c r="I71" s="70">
        <f ca="1">OFFSET(Shear_Wall_Foundation!$A$296,MATCH(charting!I69,Shear_Wall_Foundation!$A$297:$A$320,0),2)</f>
        <v>0</v>
      </c>
      <c r="J71" s="1">
        <v>0</v>
      </c>
      <c r="K71" s="71">
        <f ca="1">OFFSET(Shear_Wall_Foundation!$A$296,MATCH(charting!I69,Shear_Wall_Foundation!$A$297:$A$320,0)-32,4)</f>
        <v>13.577282530553559</v>
      </c>
      <c r="L71">
        <v>0</v>
      </c>
      <c r="N71" s="70">
        <f ca="1">OFFSET(Shear_Wall_Foundation!$A$296,MATCH(charting!N69,Shear_Wall_Foundation!$A$297:$A$320,0),2)</f>
        <v>0</v>
      </c>
      <c r="O71" s="1">
        <v>0</v>
      </c>
      <c r="P71" s="71">
        <f ca="1">OFFSET(Shear_Wall_Foundation!$A$296,MATCH(charting!N69,Shear_Wall_Foundation!$A$297:$A$320,0)-32,4)</f>
        <v>13.365648854961833</v>
      </c>
      <c r="Q71">
        <v>0</v>
      </c>
    </row>
    <row r="72" spans="4:17" x14ac:dyDescent="0.25">
      <c r="D72" s="1">
        <f ca="1">D71</f>
        <v>0</v>
      </c>
      <c r="E72" s="70">
        <f ca="1">-1000*OFFSET(Shear_Wall_Foundation!$A$296,MATCH(charting!D69,Shear_Wall_Foundation!$A$297:$A$320,0),1)</f>
        <v>-1379.5238095238092</v>
      </c>
      <c r="F72">
        <f ca="1">F71</f>
        <v>13.365648854961833</v>
      </c>
      <c r="G72" s="71">
        <f ca="1">OFFSET(Shear_Wall_Foundation!$A$296,MATCH(charting!D69,Shear_Wall_Foundation!$A$297:$A$320,0)-32,1)</f>
        <v>109.16666666666667</v>
      </c>
      <c r="I72" s="1">
        <f ca="1">I71</f>
        <v>0</v>
      </c>
      <c r="J72" s="70">
        <f ca="1">-1000*OFFSET(Shear_Wall_Foundation!$A$296,MATCH(charting!I69,Shear_Wall_Foundation!$A$297:$A$320,0),1)</f>
        <v>-1418.0952380952381</v>
      </c>
      <c r="K72">
        <f ca="1">K71</f>
        <v>13.577282530553559</v>
      </c>
      <c r="L72" s="71">
        <f ca="1">OFFSET(Shear_Wall_Foundation!$A$296,MATCH(charting!I69,Shear_Wall_Foundation!$A$297:$A$320,0)-32,1)</f>
        <v>115.91666666666667</v>
      </c>
      <c r="N72" s="1">
        <f ca="1">N71</f>
        <v>0</v>
      </c>
      <c r="O72" s="70">
        <f ca="1">-1000*OFFSET(Shear_Wall_Foundation!$A$296,MATCH(charting!N69,Shear_Wall_Foundation!$A$297:$A$320,0),1)</f>
        <v>-1379.5238095238092</v>
      </c>
      <c r="P72">
        <f ca="1">P71</f>
        <v>13.365648854961833</v>
      </c>
      <c r="Q72" s="71">
        <f ca="1">OFFSET(Shear_Wall_Foundation!$A$296,MATCH(charting!N69,Shear_Wall_Foundation!$A$297:$A$320,0)-32,1)</f>
        <v>109.16666666666667</v>
      </c>
    </row>
    <row r="73" spans="4:17" x14ac:dyDescent="0.25">
      <c r="D73" s="70">
        <f ca="1">OFFSET(Shear_Wall_Foundation!$A$296,MATCH(charting!D69,Shear_Wall_Foundation!$A$297:$A$320,0),4)</f>
        <v>30</v>
      </c>
      <c r="E73" s="70">
        <f ca="1">-1000*OFFSET(Shear_Wall_Foundation!$A$296,MATCH(charting!D69,Shear_Wall_Foundation!$A$297:$A$320,0),3)</f>
        <v>-699.8412698412701</v>
      </c>
      <c r="I73" s="70">
        <f ca="1">OFFSET(Shear_Wall_Foundation!$A$296,MATCH(charting!I69,Shear_Wall_Foundation!$A$297:$A$320,0),4)</f>
        <v>30</v>
      </c>
      <c r="J73" s="70">
        <f ca="1">-1000*OFFSET(Shear_Wall_Foundation!$A$296,MATCH(charting!I69,Shear_Wall_Foundation!$A$297:$A$320,0),3)</f>
        <v>-789.84126984126988</v>
      </c>
      <c r="N73" s="70">
        <f ca="1">OFFSET(Shear_Wall_Foundation!$A$296,MATCH(charting!N69,Shear_Wall_Foundation!$A$297:$A$320,0),4)</f>
        <v>30</v>
      </c>
      <c r="O73" s="70">
        <f ca="1">-1000*OFFSET(Shear_Wall_Foundation!$A$296,MATCH(charting!N69,Shear_Wall_Foundation!$A$297:$A$320,0),3)</f>
        <v>-699.8412698412701</v>
      </c>
    </row>
    <row r="74" spans="4:17" x14ac:dyDescent="0.25">
      <c r="D74" s="1">
        <f ca="1">D73</f>
        <v>30</v>
      </c>
      <c r="E74" s="1">
        <v>0</v>
      </c>
      <c r="I74" s="1">
        <f ca="1">I73</f>
        <v>30</v>
      </c>
      <c r="J74" s="1">
        <v>0</v>
      </c>
      <c r="N74" s="1">
        <f ca="1">N73</f>
        <v>30</v>
      </c>
      <c r="O74" s="1">
        <v>0</v>
      </c>
    </row>
    <row r="76" spans="4:17" x14ac:dyDescent="0.25">
      <c r="D76" s="72" t="str">
        <f>Shear_Wall_Foundation!A315</f>
        <v>16-14Ep</v>
      </c>
      <c r="I76" s="72" t="str">
        <f>Shear_Wall_Foundation!A316</f>
        <v>16-14En</v>
      </c>
      <c r="N76" s="72" t="str">
        <f>Shear_Wall_Foundation!A317</f>
        <v>16-15Wp</v>
      </c>
    </row>
    <row r="77" spans="4:17" x14ac:dyDescent="0.25">
      <c r="D77" s="1" t="s">
        <v>3</v>
      </c>
      <c r="E77" s="1" t="s">
        <v>4</v>
      </c>
      <c r="F77" t="s">
        <v>3</v>
      </c>
      <c r="G77" t="s">
        <v>4</v>
      </c>
      <c r="I77" s="1" t="s">
        <v>3</v>
      </c>
      <c r="J77" s="1" t="s">
        <v>4</v>
      </c>
      <c r="K77" t="s">
        <v>3</v>
      </c>
      <c r="L77" t="s">
        <v>4</v>
      </c>
      <c r="N77" s="1" t="s">
        <v>3</v>
      </c>
      <c r="O77" s="1" t="s">
        <v>4</v>
      </c>
      <c r="P77" t="s">
        <v>3</v>
      </c>
      <c r="Q77" t="s">
        <v>4</v>
      </c>
    </row>
    <row r="78" spans="4:17" x14ac:dyDescent="0.25">
      <c r="D78" s="70">
        <f ca="1">OFFSET(Shear_Wall_Foundation!$A$296,MATCH(charting!D76,Shear_Wall_Foundation!$A$297:$A$320,0),2)</f>
        <v>0</v>
      </c>
      <c r="E78" s="1">
        <v>0</v>
      </c>
      <c r="F78" s="71">
        <f ca="1">OFFSET(Shear_Wall_Foundation!$A$296,MATCH(charting!D76,Shear_Wall_Foundation!$A$297:$A$320,0)-32,4)</f>
        <v>18.508761682242991</v>
      </c>
      <c r="G78">
        <v>0</v>
      </c>
      <c r="I78" s="70">
        <f ca="1">OFFSET(Shear_Wall_Foundation!$A$296,MATCH(charting!I76,Shear_Wall_Foundation!$A$297:$A$320,0),2)</f>
        <v>0</v>
      </c>
      <c r="J78" s="1">
        <v>0</v>
      </c>
      <c r="K78" s="71">
        <f ca="1">OFFSET(Shear_Wall_Foundation!$A$296,MATCH(charting!I76,Shear_Wall_Foundation!$A$297:$A$320,0)-32,4)</f>
        <v>13.906047807332854</v>
      </c>
      <c r="L78">
        <v>0</v>
      </c>
      <c r="N78" s="70">
        <f ca="1">OFFSET(Shear_Wall_Foundation!$A$296,MATCH(charting!N76,Shear_Wall_Foundation!$A$297:$A$320,0),2)</f>
        <v>12.52923155476131</v>
      </c>
      <c r="O78" s="1">
        <v>0</v>
      </c>
      <c r="P78" s="71">
        <f ca="1">OFFSET(Shear_Wall_Foundation!$A$296,MATCH(charting!N76,Shear_Wall_Foundation!$A$297:$A$320,0)-32,4)</f>
        <v>24.176410518253771</v>
      </c>
      <c r="Q78">
        <v>0</v>
      </c>
    </row>
    <row r="79" spans="4:17" x14ac:dyDescent="0.25">
      <c r="D79" s="1">
        <f ca="1">D78</f>
        <v>0</v>
      </c>
      <c r="E79" s="70">
        <f ca="1">-1000*OFFSET(Shear_Wall_Foundation!$A$296,MATCH(charting!D76,Shear_Wall_Foundation!$A$297:$A$320,0),1)</f>
        <v>-329.25595238095235</v>
      </c>
      <c r="F79">
        <f ca="1">F78</f>
        <v>18.508761682242991</v>
      </c>
      <c r="G79" s="71">
        <f ca="1">OFFSET(Shear_Wall_Foundation!$A$296,MATCH(charting!D76,Shear_Wall_Foundation!$A$297:$A$320,0)-32,1)</f>
        <v>115.91666666666667</v>
      </c>
      <c r="I79" s="1">
        <f ca="1">I78</f>
        <v>0</v>
      </c>
      <c r="J79" s="70">
        <f ca="1">-1000*OFFSET(Shear_Wall_Foundation!$A$296,MATCH(charting!I76,Shear_Wall_Foundation!$A$297:$A$320,0),1)</f>
        <v>-1345.5059523809525</v>
      </c>
      <c r="K79">
        <f ca="1">K78</f>
        <v>13.906047807332854</v>
      </c>
      <c r="L79" s="71">
        <f ca="1">OFFSET(Shear_Wall_Foundation!$A$296,MATCH(charting!I76,Shear_Wall_Foundation!$A$297:$A$320,0)-32,1)</f>
        <v>115.91666666666667</v>
      </c>
      <c r="N79" s="1">
        <f ca="1">N78</f>
        <v>12.52923155476131</v>
      </c>
      <c r="O79" s="70">
        <f ca="1">-1000*OFFSET(Shear_Wall_Foundation!$A$296,MATCH(charting!N76,Shear_Wall_Foundation!$A$297:$A$320,0),1)</f>
        <v>0</v>
      </c>
      <c r="P79">
        <f ca="1">P78</f>
        <v>24.176410518253771</v>
      </c>
      <c r="Q79" s="71">
        <f ca="1">OFFSET(Shear_Wall_Foundation!$A$296,MATCH(charting!N76,Shear_Wall_Foundation!$A$297:$A$320,0)-32,1)</f>
        <v>48.962499999999999</v>
      </c>
    </row>
    <row r="80" spans="4:17" x14ac:dyDescent="0.25">
      <c r="D80" s="70">
        <f ca="1">OFFSET(Shear_Wall_Foundation!$A$296,MATCH(charting!D76,Shear_Wall_Foundation!$A$297:$A$320,0),4)</f>
        <v>30</v>
      </c>
      <c r="E80" s="70">
        <f ca="1">-1000*OFFSET(Shear_Wall_Foundation!$A$296,MATCH(charting!D76,Shear_Wall_Foundation!$A$297:$A$320,0),3)</f>
        <v>-1878.6805555555559</v>
      </c>
      <c r="I80" s="70">
        <f ca="1">OFFSET(Shear_Wall_Foundation!$A$296,MATCH(charting!I76,Shear_Wall_Foundation!$A$297:$A$320,0),4)</f>
        <v>30</v>
      </c>
      <c r="J80" s="70">
        <f ca="1">-1000*OFFSET(Shear_Wall_Foundation!$A$296,MATCH(charting!I76,Shear_Wall_Foundation!$A$297:$A$320,0),3)</f>
        <v>-862.43055555555554</v>
      </c>
      <c r="N80" s="70">
        <f ca="1">OFFSET(Shear_Wall_Foundation!$A$296,MATCH(charting!N76,Shear_Wall_Foundation!$A$297:$A$320,0),4)</f>
        <v>30</v>
      </c>
      <c r="O80" s="70">
        <f ca="1">-1000*OFFSET(Shear_Wall_Foundation!$A$296,MATCH(charting!N76,Shear_Wall_Foundation!$A$297:$A$320,0),3)</f>
        <v>-1601.4505324290089</v>
      </c>
    </row>
    <row r="81" spans="3:17" x14ac:dyDescent="0.25">
      <c r="D81" s="1">
        <f ca="1">D80</f>
        <v>30</v>
      </c>
      <c r="E81" s="1">
        <v>0</v>
      </c>
      <c r="I81" s="1">
        <f ca="1">I80</f>
        <v>30</v>
      </c>
      <c r="J81" s="1">
        <v>0</v>
      </c>
      <c r="N81" s="1">
        <f ca="1">N80</f>
        <v>30</v>
      </c>
      <c r="O81" s="1">
        <v>0</v>
      </c>
    </row>
    <row r="83" spans="3:17" x14ac:dyDescent="0.25">
      <c r="D83" s="72" t="str">
        <f>Shear_Wall_Foundation!A318</f>
        <v>16-15Wn</v>
      </c>
      <c r="I83" s="72" t="str">
        <f>Shear_Wall_Foundation!A319</f>
        <v>16-16Ep</v>
      </c>
      <c r="N83" s="72" t="str">
        <f>Shear_Wall_Foundation!A320</f>
        <v>16-16En</v>
      </c>
    </row>
    <row r="84" spans="3:17" x14ac:dyDescent="0.25">
      <c r="D84" s="1" t="s">
        <v>3</v>
      </c>
      <c r="E84" s="1" t="s">
        <v>4</v>
      </c>
      <c r="F84" t="s">
        <v>3</v>
      </c>
      <c r="G84" t="s">
        <v>4</v>
      </c>
      <c r="I84" s="1" t="s">
        <v>3</v>
      </c>
      <c r="J84" s="1" t="s">
        <v>4</v>
      </c>
      <c r="K84" t="s">
        <v>3</v>
      </c>
      <c r="L84" t="s">
        <v>4</v>
      </c>
      <c r="N84" s="1" t="s">
        <v>3</v>
      </c>
      <c r="O84" s="1" t="s">
        <v>4</v>
      </c>
      <c r="P84" t="s">
        <v>3</v>
      </c>
      <c r="Q84" t="s">
        <v>4</v>
      </c>
    </row>
    <row r="85" spans="3:17" x14ac:dyDescent="0.25">
      <c r="D85" s="70">
        <f ca="1">OFFSET(Shear_Wall_Foundation!$A$296,MATCH(charting!D83,Shear_Wall_Foundation!$A$297:$A$320,0),2)</f>
        <v>0</v>
      </c>
      <c r="E85" s="1">
        <v>0</v>
      </c>
      <c r="F85" s="71">
        <f ca="1">OFFSET(Shear_Wall_Foundation!$A$296,MATCH(charting!D83,Shear_Wall_Foundation!$A$297:$A$320,0)-32,4)</f>
        <v>7.571866224151135</v>
      </c>
      <c r="G85">
        <v>0</v>
      </c>
      <c r="I85" s="70">
        <f ca="1">OFFSET(Shear_Wall_Foundation!$A$296,MATCH(charting!I83,Shear_Wall_Foundation!$A$297:$A$320,0),2)</f>
        <v>9.4158794996170663</v>
      </c>
      <c r="J85" s="1">
        <v>0</v>
      </c>
      <c r="K85" s="71">
        <f ca="1">OFFSET(Shear_Wall_Foundation!$A$296,MATCH(charting!I83,Shear_Wall_Foundation!$A$297:$A$320,0)-32,4)</f>
        <v>23.138626499872355</v>
      </c>
      <c r="L85">
        <v>0</v>
      </c>
      <c r="N85" s="70">
        <f ca="1">OFFSET(Shear_Wall_Foundation!$A$296,MATCH(charting!N83,Shear_Wall_Foundation!$A$297:$A$320,0),2)</f>
        <v>0</v>
      </c>
      <c r="O85" s="1">
        <v>0</v>
      </c>
      <c r="P85" s="71">
        <f ca="1">OFFSET(Shear_Wall_Foundation!$A$296,MATCH(charting!N83,Shear_Wall_Foundation!$A$297:$A$320,0)-32,4)</f>
        <v>8.609650242532549</v>
      </c>
      <c r="Q85">
        <v>0</v>
      </c>
    </row>
    <row r="86" spans="3:17" x14ac:dyDescent="0.25">
      <c r="D86" s="1">
        <f ca="1">D85</f>
        <v>0</v>
      </c>
      <c r="E86" s="70">
        <f ca="1">-1000*OFFSET(Shear_Wall_Foundation!$A$296,MATCH(charting!D83,Shear_Wall_Foundation!$A$297:$A$320,0),1)</f>
        <v>-1231.68981068944</v>
      </c>
      <c r="F86">
        <f ca="1">F85</f>
        <v>7.571866224151135</v>
      </c>
      <c r="G86" s="71">
        <f ca="1">OFFSET(Shear_Wall_Foundation!$A$296,MATCH(charting!D83,Shear_Wall_Foundation!$A$297:$A$320,0)-32,1)</f>
        <v>48.962499999999999</v>
      </c>
      <c r="I86" s="1">
        <f ca="1">I85</f>
        <v>9.4158794996170663</v>
      </c>
      <c r="J86" s="70">
        <f ca="1">-1000*OFFSET(Shear_Wall_Foundation!$A$296,MATCH(charting!I83,Shear_Wall_Foundation!$A$297:$A$320,0),1)</f>
        <v>0</v>
      </c>
      <c r="K86">
        <f ca="1">K85</f>
        <v>23.138626499872355</v>
      </c>
      <c r="L86" s="71">
        <f ca="1">OFFSET(Shear_Wall_Foundation!$A$296,MATCH(charting!I83,Shear_Wall_Foundation!$A$297:$A$320,0)-32,1)</f>
        <v>48.962499999999999</v>
      </c>
      <c r="N86" s="1">
        <f ca="1">N85</f>
        <v>0</v>
      </c>
      <c r="O86" s="70">
        <f ca="1">-1000*OFFSET(Shear_Wall_Foundation!$A$296,MATCH(charting!N83,Shear_Wall_Foundation!$A$297:$A$320,0),1)</f>
        <v>-1083.2252430090766</v>
      </c>
      <c r="P86">
        <f ca="1">P85</f>
        <v>8.609650242532549</v>
      </c>
      <c r="Q86" s="71">
        <f ca="1">OFFSET(Shear_Wall_Foundation!$A$296,MATCH(charting!N83,Shear_Wall_Foundation!$A$297:$A$320,0)-32,1)</f>
        <v>48.962499999999999</v>
      </c>
    </row>
    <row r="87" spans="3:17" x14ac:dyDescent="0.25">
      <c r="D87" s="70">
        <f ca="1">OFFSET(Shear_Wall_Foundation!$A$296,MATCH(charting!D83,Shear_Wall_Foundation!$A$297:$A$320,0),4)</f>
        <v>22.715598672453403</v>
      </c>
      <c r="E87" s="70">
        <f ca="1">-1000*OFFSET(Shear_Wall_Foundation!$A$296,MATCH(charting!D83,Shear_Wall_Foundation!$A$297:$A$320,0),3)</f>
        <v>0</v>
      </c>
      <c r="I87" s="70">
        <f ca="1">OFFSET(Shear_Wall_Foundation!$A$296,MATCH(charting!I83,Shear_Wall_Foundation!$A$297:$A$320,0),4)</f>
        <v>30</v>
      </c>
      <c r="J87" s="70">
        <f ca="1">-1000*OFFSET(Shear_Wall_Foundation!$A$296,MATCH(charting!I83,Shear_Wall_Foundation!$A$297:$A$320,0),3)</f>
        <v>-1359.2308414659217</v>
      </c>
      <c r="N87" s="70">
        <f ca="1">OFFSET(Shear_Wall_Foundation!$A$296,MATCH(charting!N83,Shear_Wall_Foundation!$A$297:$A$320,0),4)</f>
        <v>25.82895072759765</v>
      </c>
      <c r="O87" s="70">
        <f ca="1">-1000*OFFSET(Shear_Wall_Foundation!$A$296,MATCH(charting!N83,Shear_Wall_Foundation!$A$297:$A$320,0),3)</f>
        <v>0</v>
      </c>
    </row>
    <row r="88" spans="3:17" x14ac:dyDescent="0.25">
      <c r="D88" s="1">
        <f ca="1">D87</f>
        <v>22.715598672453403</v>
      </c>
      <c r="E88" s="1">
        <v>0</v>
      </c>
      <c r="I88" s="1">
        <f ca="1">I87</f>
        <v>30</v>
      </c>
      <c r="J88" s="1">
        <v>0</v>
      </c>
      <c r="N88" s="1">
        <f ca="1">N87</f>
        <v>25.82895072759765</v>
      </c>
      <c r="O88" s="1">
        <v>0</v>
      </c>
    </row>
    <row r="90" spans="3:17" x14ac:dyDescent="0.25">
      <c r="C90" t="s">
        <v>274</v>
      </c>
      <c r="D90" s="72" t="str">
        <f ca="1">OFFSET(Shear_Wall_Foundation!A296,MATCH(MAX(Shear_Wall_Foundation!F297:F320),Shear_Wall_Foundation!F297:F320,0),0)</f>
        <v>16-13Wp_S</v>
      </c>
      <c r="F90" t="str">
        <f ca="1">"Q,Max - Combo: "&amp;D90</f>
        <v>Q,Max - Combo: 16-13Wp_S</v>
      </c>
    </row>
    <row r="91" spans="3:17" x14ac:dyDescent="0.25">
      <c r="D91" s="1" t="s">
        <v>3</v>
      </c>
      <c r="E91" s="1" t="s">
        <v>4</v>
      </c>
      <c r="F91" t="s">
        <v>3</v>
      </c>
      <c r="G91" t="s">
        <v>4</v>
      </c>
    </row>
    <row r="92" spans="3:17" x14ac:dyDescent="0.25">
      <c r="D92" s="70">
        <f ca="1">OFFSET(Shear_Wall_Foundation!$A$296,MATCH(charting!D90,Shear_Wall_Foundation!$A$297:$A$320,0),2)</f>
        <v>0</v>
      </c>
      <c r="E92" s="1">
        <v>0</v>
      </c>
      <c r="F92" s="71">
        <f ca="1">OFFSET(Shear_Wall_Foundation!$A$296,MATCH(charting!D90,Shear_Wall_Foundation!$A$297:$A$320,0)-32,4)</f>
        <v>18.837526959022288</v>
      </c>
      <c r="G92">
        <v>0</v>
      </c>
    </row>
    <row r="93" spans="3:17" x14ac:dyDescent="0.25">
      <c r="D93" s="1">
        <f ca="1">D92</f>
        <v>0</v>
      </c>
      <c r="E93" s="70">
        <f ca="1">-1000*OFFSET(Shear_Wall_Foundation!$A$296,MATCH(charting!D90,Shear_Wall_Foundation!$A$297:$A$320,0),1)</f>
        <v>-256.66666666666634</v>
      </c>
      <c r="F93">
        <f ca="1">F92</f>
        <v>18.837526959022288</v>
      </c>
      <c r="G93" s="71">
        <f ca="1">OFFSET(Shear_Wall_Foundation!$A$296,MATCH(charting!D90,Shear_Wall_Foundation!$A$297:$A$320,0)-32,1)</f>
        <v>115.91666666666667</v>
      </c>
    </row>
    <row r="94" spans="3:17" x14ac:dyDescent="0.25">
      <c r="D94" s="70">
        <f ca="1">OFFSET(Shear_Wall_Foundation!$A$296,MATCH(charting!D90,Shear_Wall_Foundation!$A$297:$A$320,0),4)</f>
        <v>30</v>
      </c>
      <c r="E94" s="70">
        <f ca="1">-1000*OFFSET(Shear_Wall_Foundation!$A$296,MATCH(charting!D90,Shear_Wall_Foundation!$A$297:$A$320,0),3)</f>
        <v>-1951.2698412698417</v>
      </c>
    </row>
    <row r="95" spans="3:17" x14ac:dyDescent="0.25">
      <c r="D95" s="1">
        <f ca="1">D94</f>
        <v>30</v>
      </c>
      <c r="E95" s="1">
        <v>0</v>
      </c>
    </row>
    <row r="98" spans="1:22" x14ac:dyDescent="0.25">
      <c r="A98" t="s">
        <v>276</v>
      </c>
    </row>
    <row r="100" spans="1:22" x14ac:dyDescent="0.25">
      <c r="A100" t="s">
        <v>277</v>
      </c>
    </row>
    <row r="102" spans="1:22" x14ac:dyDescent="0.25">
      <c r="A102" t="s">
        <v>278</v>
      </c>
      <c r="B102" s="1">
        <f>(Lf_ft/2)*-1</f>
        <v>-15</v>
      </c>
      <c r="C102" t="s">
        <v>1</v>
      </c>
    </row>
    <row r="103" spans="1:22" x14ac:dyDescent="0.25">
      <c r="A103" t="s">
        <v>279</v>
      </c>
      <c r="B103" s="1">
        <f>(Bf_ft/2)*-1</f>
        <v>-1.75</v>
      </c>
      <c r="C103" t="s">
        <v>1</v>
      </c>
    </row>
    <row r="105" spans="1:22" x14ac:dyDescent="0.25">
      <c r="A105" s="1" t="s">
        <v>280</v>
      </c>
      <c r="D105" t="s">
        <v>281</v>
      </c>
      <c r="G105" t="s">
        <v>282</v>
      </c>
      <c r="H105" t="s">
        <v>283</v>
      </c>
      <c r="L105" t="s">
        <v>284</v>
      </c>
      <c r="O105" t="s">
        <v>285</v>
      </c>
      <c r="R105" t="s">
        <v>286</v>
      </c>
      <c r="U105" t="s">
        <v>287</v>
      </c>
    </row>
    <row r="106" spans="1:22" x14ac:dyDescent="0.25">
      <c r="A106" s="1" t="s">
        <v>3</v>
      </c>
      <c r="B106" s="1" t="s">
        <v>4</v>
      </c>
      <c r="D106" t="s">
        <v>3</v>
      </c>
      <c r="E106" t="s">
        <v>4</v>
      </c>
      <c r="G106" t="s">
        <v>3</v>
      </c>
      <c r="H106" t="s">
        <v>4</v>
      </c>
      <c r="L106" t="s">
        <v>3</v>
      </c>
      <c r="M106" t="s">
        <v>4</v>
      </c>
      <c r="O106" t="s">
        <v>3</v>
      </c>
      <c r="P106" t="s">
        <v>4</v>
      </c>
      <c r="R106" t="s">
        <v>3</v>
      </c>
      <c r="S106" t="s">
        <v>4</v>
      </c>
      <c r="U106" t="s">
        <v>3</v>
      </c>
      <c r="V106" t="s">
        <v>4</v>
      </c>
    </row>
    <row r="107" spans="1:22" x14ac:dyDescent="0.25">
      <c r="A107" s="1">
        <f>plan_xt_ft</f>
        <v>-15</v>
      </c>
      <c r="B107" s="1">
        <f>plan_yt_ft</f>
        <v>-1.75</v>
      </c>
      <c r="D107">
        <f>(s_left_offset_ft+plan_xt_ft)</f>
        <v>-8</v>
      </c>
      <c r="E107">
        <f>(ts_in/12)*-0.5</f>
        <v>-0.41666666666666669</v>
      </c>
      <c r="G107">
        <f>w_left_offset_ft+plan_xt_ft</f>
        <v>-5.5</v>
      </c>
      <c r="H107">
        <f>((5.5/12)*-0.5)</f>
        <v>-0.22916666666666666</v>
      </c>
      <c r="L107">
        <f>X_left_chord_ft+plan_xt_ft</f>
        <v>-5</v>
      </c>
      <c r="M107">
        <f>H107</f>
        <v>-0.22916666666666666</v>
      </c>
      <c r="O107">
        <f>x_right_chord_ft+plan_xt_ft</f>
        <v>9</v>
      </c>
      <c r="P107">
        <f>H107</f>
        <v>-0.22916666666666666</v>
      </c>
      <c r="R107">
        <f>X_left_anchor_ft+plan_xt_ft</f>
        <v>-4.8229166666666661</v>
      </c>
      <c r="S107">
        <v>0</v>
      </c>
      <c r="U107">
        <f>x_right_anchor_ft+plan_xt_ft</f>
        <v>8.8229166666666679</v>
      </c>
      <c r="V107">
        <v>0</v>
      </c>
    </row>
    <row r="108" spans="1:22" x14ac:dyDescent="0.25">
      <c r="A108" s="1">
        <f>A107+Lf_ft</f>
        <v>15</v>
      </c>
      <c r="B108" s="1">
        <f>B107</f>
        <v>-1.75</v>
      </c>
      <c r="D108">
        <f>D107+Ls_ft</f>
        <v>12</v>
      </c>
      <c r="E108">
        <f>E107</f>
        <v>-0.41666666666666669</v>
      </c>
      <c r="G108">
        <f>G107+Lw_ft</f>
        <v>9.5</v>
      </c>
      <c r="H108">
        <f>H107</f>
        <v>-0.22916666666666666</v>
      </c>
      <c r="L108">
        <f>L107</f>
        <v>-5</v>
      </c>
      <c r="M108">
        <f>H109</f>
        <v>0.22916666666666666</v>
      </c>
      <c r="O108">
        <f>O107</f>
        <v>9</v>
      </c>
      <c r="P108">
        <f>H109</f>
        <v>0.22916666666666666</v>
      </c>
    </row>
    <row r="109" spans="1:22" x14ac:dyDescent="0.25">
      <c r="A109" s="1">
        <f>A108</f>
        <v>15</v>
      </c>
      <c r="B109" s="1">
        <f>B108+Bf_ft</f>
        <v>1.75</v>
      </c>
      <c r="D109">
        <f>D108</f>
        <v>12</v>
      </c>
      <c r="E109">
        <f>E108*-1</f>
        <v>0.41666666666666669</v>
      </c>
      <c r="G109">
        <f>G108</f>
        <v>9.5</v>
      </c>
      <c r="H109">
        <f>H108*-1</f>
        <v>0.22916666666666666</v>
      </c>
    </row>
    <row r="110" spans="1:22" x14ac:dyDescent="0.25">
      <c r="A110" s="1">
        <f>A107</f>
        <v>-15</v>
      </c>
      <c r="B110" s="1">
        <f>B109</f>
        <v>1.75</v>
      </c>
      <c r="D110">
        <f>D107</f>
        <v>-8</v>
      </c>
      <c r="E110">
        <f>E109</f>
        <v>0.41666666666666669</v>
      </c>
      <c r="G110">
        <f>G107</f>
        <v>-5.5</v>
      </c>
      <c r="H110">
        <f>H109</f>
        <v>0.22916666666666666</v>
      </c>
    </row>
    <row r="111" spans="1:22" x14ac:dyDescent="0.25">
      <c r="A111" s="1">
        <f>A110</f>
        <v>-15</v>
      </c>
      <c r="B111" s="1">
        <f>B107</f>
        <v>-1.75</v>
      </c>
      <c r="D111">
        <f>D107</f>
        <v>-8</v>
      </c>
      <c r="E111">
        <f>E107</f>
        <v>-0.41666666666666669</v>
      </c>
      <c r="G111">
        <f>G107</f>
        <v>-5.5</v>
      </c>
      <c r="H111">
        <f>H107</f>
        <v>-0.22916666666666666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78</vt:i4>
      </vt:variant>
    </vt:vector>
  </HeadingPairs>
  <TitlesOfParts>
    <vt:vector size="82" baseType="lpstr">
      <vt:lpstr>Shear_Wall_Foundation</vt:lpstr>
      <vt:lpstr>Long_VandM</vt:lpstr>
      <vt:lpstr>Short_VandM</vt:lpstr>
      <vt:lpstr>charting</vt:lpstr>
      <vt:lpstr>bar_180hook_cost</vt:lpstr>
      <vt:lpstr>bar_90hook_cost</vt:lpstr>
      <vt:lpstr>bar_count_cost</vt:lpstr>
      <vt:lpstr>bar_length_cost</vt:lpstr>
      <vt:lpstr>bar_spacing_cost</vt:lpstr>
      <vt:lpstr>bar_weight_cost</vt:lpstr>
      <vt:lpstr>barsize_heading</vt:lpstr>
      <vt:lpstr>beta1</vt:lpstr>
      <vt:lpstr>Bf_ft</vt:lpstr>
      <vt:lpstr>bottom_cover</vt:lpstr>
      <vt:lpstr>C_chord_EQ_kips</vt:lpstr>
      <vt:lpstr>C_chord_Wind_kips</vt:lpstr>
      <vt:lpstr>D_toanchor_in</vt:lpstr>
      <vt:lpstr>ec</vt:lpstr>
      <vt:lpstr>EQ_Overturning_Reduction</vt:lpstr>
      <vt:lpstr>EQ_rho</vt:lpstr>
      <vt:lpstr>fc_fnd_psi</vt:lpstr>
      <vt:lpstr>fnd_density_pcf</vt:lpstr>
      <vt:lpstr>ftg_kern_ft</vt:lpstr>
      <vt:lpstr>Fy_psi</vt:lpstr>
      <vt:lpstr>Hoverburden_ft</vt:lpstr>
      <vt:lpstr>Hs_ft</vt:lpstr>
      <vt:lpstr>L_chord_to_anchor_ft</vt:lpstr>
      <vt:lpstr>L1_EQ_kips</vt:lpstr>
      <vt:lpstr>L1_W_kips</vt:lpstr>
      <vt:lpstr>L2_EQ_kips</vt:lpstr>
      <vt:lpstr>L2_W_kips</vt:lpstr>
      <vt:lpstr>L3_EQ_kips</vt:lpstr>
      <vt:lpstr>L3_W_kips</vt:lpstr>
      <vt:lpstr>L4_EQ_kips</vt:lpstr>
      <vt:lpstr>L4_W_kips</vt:lpstr>
      <vt:lpstr>L5_EQ_kips</vt:lpstr>
      <vt:lpstr>L5_W_kips</vt:lpstr>
      <vt:lpstr>Lf_ft</vt:lpstr>
      <vt:lpstr>Lift_1_H_ft</vt:lpstr>
      <vt:lpstr>Lift_2_H_ft</vt:lpstr>
      <vt:lpstr>Lift_3_H_ft</vt:lpstr>
      <vt:lpstr>Lift_4_h_ft</vt:lpstr>
      <vt:lpstr>Lift_5_H_ft</vt:lpstr>
      <vt:lpstr>LRFD_f1</vt:lpstr>
      <vt:lpstr>LRFD_f2</vt:lpstr>
      <vt:lpstr>Ls_ft</vt:lpstr>
      <vt:lpstr>Lw_ft</vt:lpstr>
      <vt:lpstr>Mum_left_ftkips</vt:lpstr>
      <vt:lpstr>Mum_right_ftkips</vt:lpstr>
      <vt:lpstr>Mup_left_ftkips</vt:lpstr>
      <vt:lpstr>Mup_right_ftkips</vt:lpstr>
      <vt:lpstr>phi_M_pc</vt:lpstr>
      <vt:lpstr>phi_M_rf</vt:lpstr>
      <vt:lpstr>phi_V_pc</vt:lpstr>
      <vt:lpstr>phi_V_rf</vt:lpstr>
      <vt:lpstr>plan_xt_ft</vt:lpstr>
      <vt:lpstr>plan_yt_ft</vt:lpstr>
      <vt:lpstr>q_allow_psf</vt:lpstr>
      <vt:lpstr>q_overburden_psf</vt:lpstr>
      <vt:lpstr>reinf_bars</vt:lpstr>
      <vt:lpstr>s_left_offset_ft</vt:lpstr>
      <vt:lpstr>soil_density_pcf</vt:lpstr>
      <vt:lpstr>soil_friction</vt:lpstr>
      <vt:lpstr>stem_density_pcf</vt:lpstr>
      <vt:lpstr>stem_fcfm_psi</vt:lpstr>
      <vt:lpstr>T_anchor_EQ_kips</vt:lpstr>
      <vt:lpstr>T_anchor_Wind_kips</vt:lpstr>
      <vt:lpstr>tf_in</vt:lpstr>
      <vt:lpstr>top_cover</vt:lpstr>
      <vt:lpstr>ts_in</vt:lpstr>
      <vt:lpstr>V_EQ_base_kips</vt:lpstr>
      <vt:lpstr>V_W_base_kips</vt:lpstr>
      <vt:lpstr>Vbase_EQ_kips</vt:lpstr>
      <vt:lpstr>Vbase_W_kips</vt:lpstr>
      <vt:lpstr>w_left_offset_ft</vt:lpstr>
      <vt:lpstr>Wchord_in</vt:lpstr>
      <vt:lpstr>X_left_anchor_ft</vt:lpstr>
      <vt:lpstr>X_left_chord_ft</vt:lpstr>
      <vt:lpstr>x_m_left</vt:lpstr>
      <vt:lpstr>x_m_right</vt:lpstr>
      <vt:lpstr>x_right_anchor_ft</vt:lpstr>
      <vt:lpstr>x_right_chord_ft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cp:lastPrinted>2021-03-16T15:06:47Z</cp:lastPrinted>
  <dcterms:created xsi:type="dcterms:W3CDTF">2020-04-14T18:39:54Z</dcterms:created>
  <dcterms:modified xsi:type="dcterms:W3CDTF">2021-04-20T14:01:53Z</dcterms:modified>
</cp:coreProperties>
</file>