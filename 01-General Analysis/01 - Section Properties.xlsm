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00F557D4-D0E6-4054-A583-D7C3D9ECA8F9}" xr6:coauthVersionLast="45" xr6:coauthVersionMax="45" xr10:uidLastSave="{00000000-0000-0000-0000-000000000000}"/>
  <bookViews>
    <workbookView xWindow="28680" yWindow="-120" windowWidth="29040" windowHeight="16440" xr2:uid="{48FCA081-34B6-C449-9F99-37B821A041A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1" i="1" l="1"/>
  <c r="V20" i="1"/>
  <c r="W15" i="1"/>
  <c r="W16" i="1"/>
  <c r="D491" i="1"/>
  <c r="E491" i="1"/>
  <c r="F491" i="1"/>
  <c r="G491" i="1"/>
  <c r="H491" i="1"/>
  <c r="I491" i="1"/>
  <c r="D492" i="1"/>
  <c r="E492" i="1"/>
  <c r="F492" i="1"/>
  <c r="G492" i="1"/>
  <c r="H492" i="1"/>
  <c r="I492" i="1"/>
  <c r="D493" i="1"/>
  <c r="E493" i="1"/>
  <c r="F493" i="1"/>
  <c r="G493" i="1"/>
  <c r="H493" i="1"/>
  <c r="I493" i="1"/>
  <c r="J493" i="1"/>
  <c r="D494" i="1"/>
  <c r="E494" i="1"/>
  <c r="F494" i="1"/>
  <c r="G494" i="1"/>
  <c r="H494" i="1"/>
  <c r="I494" i="1"/>
  <c r="D495" i="1"/>
  <c r="E495" i="1"/>
  <c r="F495" i="1"/>
  <c r="G495" i="1"/>
  <c r="H495" i="1"/>
  <c r="I495" i="1"/>
  <c r="D496" i="1"/>
  <c r="E496" i="1"/>
  <c r="F496" i="1"/>
  <c r="G496" i="1"/>
  <c r="H496" i="1"/>
  <c r="I496" i="1"/>
  <c r="D497" i="1"/>
  <c r="E497" i="1"/>
  <c r="F497" i="1"/>
  <c r="G497" i="1"/>
  <c r="H497" i="1"/>
  <c r="I497" i="1"/>
  <c r="D498" i="1"/>
  <c r="E498" i="1"/>
  <c r="F498" i="1"/>
  <c r="G498" i="1"/>
  <c r="H498" i="1"/>
  <c r="I498" i="1"/>
  <c r="J498" i="1"/>
  <c r="D499" i="1"/>
  <c r="E499" i="1"/>
  <c r="F499" i="1"/>
  <c r="G499" i="1"/>
  <c r="H499" i="1"/>
  <c r="I499" i="1"/>
  <c r="D500" i="1"/>
  <c r="E500" i="1"/>
  <c r="F500" i="1"/>
  <c r="G500" i="1"/>
  <c r="H500" i="1"/>
  <c r="I500" i="1"/>
  <c r="D501" i="1"/>
  <c r="E501" i="1"/>
  <c r="F501" i="1"/>
  <c r="G501" i="1"/>
  <c r="H501" i="1"/>
  <c r="I501" i="1"/>
  <c r="D502" i="1"/>
  <c r="E502" i="1"/>
  <c r="F502" i="1"/>
  <c r="G502" i="1"/>
  <c r="H502" i="1"/>
  <c r="I502" i="1"/>
  <c r="D503" i="1"/>
  <c r="E503" i="1"/>
  <c r="F503" i="1"/>
  <c r="G503" i="1"/>
  <c r="H503" i="1"/>
  <c r="I503" i="1"/>
  <c r="D504" i="1"/>
  <c r="E504" i="1"/>
  <c r="F504" i="1"/>
  <c r="G504" i="1"/>
  <c r="H504" i="1"/>
  <c r="I504" i="1"/>
  <c r="D505" i="1"/>
  <c r="E505" i="1"/>
  <c r="F505" i="1"/>
  <c r="G505" i="1"/>
  <c r="H505" i="1"/>
  <c r="I505" i="1"/>
  <c r="D506" i="1"/>
  <c r="E506" i="1"/>
  <c r="F506" i="1"/>
  <c r="G506" i="1"/>
  <c r="H506" i="1"/>
  <c r="I506" i="1"/>
  <c r="D107" i="1"/>
  <c r="E107" i="1"/>
  <c r="F107" i="1"/>
  <c r="G107" i="1"/>
  <c r="H107" i="1"/>
  <c r="I107" i="1"/>
  <c r="D108" i="1"/>
  <c r="E108" i="1"/>
  <c r="F108" i="1"/>
  <c r="G108" i="1"/>
  <c r="H108" i="1"/>
  <c r="I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D111" i="1"/>
  <c r="E111" i="1"/>
  <c r="F111" i="1"/>
  <c r="G111" i="1"/>
  <c r="H111" i="1"/>
  <c r="I111" i="1"/>
  <c r="D112" i="1"/>
  <c r="E112" i="1"/>
  <c r="F112" i="1"/>
  <c r="G112" i="1"/>
  <c r="H112" i="1"/>
  <c r="I112" i="1"/>
  <c r="D113" i="1"/>
  <c r="E113" i="1"/>
  <c r="F113" i="1"/>
  <c r="G113" i="1"/>
  <c r="H113" i="1"/>
  <c r="I113" i="1"/>
  <c r="D114" i="1"/>
  <c r="E114" i="1"/>
  <c r="F114" i="1"/>
  <c r="G114" i="1"/>
  <c r="H114" i="1"/>
  <c r="I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D117" i="1"/>
  <c r="E117" i="1"/>
  <c r="F117" i="1"/>
  <c r="G117" i="1"/>
  <c r="H117" i="1"/>
  <c r="I117" i="1"/>
  <c r="D118" i="1"/>
  <c r="E118" i="1"/>
  <c r="F118" i="1"/>
  <c r="G118" i="1"/>
  <c r="H118" i="1"/>
  <c r="I118" i="1"/>
  <c r="D119" i="1"/>
  <c r="E119" i="1"/>
  <c r="F119" i="1"/>
  <c r="G119" i="1"/>
  <c r="H119" i="1"/>
  <c r="I119" i="1"/>
  <c r="D120" i="1"/>
  <c r="E120" i="1"/>
  <c r="F120" i="1"/>
  <c r="G120" i="1"/>
  <c r="H120" i="1"/>
  <c r="I120" i="1"/>
  <c r="D121" i="1"/>
  <c r="E121" i="1"/>
  <c r="F121" i="1"/>
  <c r="G121" i="1"/>
  <c r="H121" i="1"/>
  <c r="I121" i="1"/>
  <c r="D122" i="1"/>
  <c r="E122" i="1"/>
  <c r="F122" i="1"/>
  <c r="G122" i="1"/>
  <c r="H122" i="1"/>
  <c r="I122" i="1"/>
  <c r="D123" i="1"/>
  <c r="E123" i="1"/>
  <c r="F123" i="1"/>
  <c r="G123" i="1"/>
  <c r="H123" i="1"/>
  <c r="I123" i="1"/>
  <c r="D124" i="1"/>
  <c r="E124" i="1"/>
  <c r="F124" i="1"/>
  <c r="G124" i="1"/>
  <c r="H124" i="1"/>
  <c r="I124" i="1"/>
  <c r="D125" i="1"/>
  <c r="E125" i="1"/>
  <c r="F125" i="1"/>
  <c r="G125" i="1"/>
  <c r="H125" i="1"/>
  <c r="I125" i="1"/>
  <c r="D126" i="1"/>
  <c r="E126" i="1"/>
  <c r="F126" i="1"/>
  <c r="G126" i="1"/>
  <c r="H126" i="1"/>
  <c r="I126" i="1"/>
  <c r="D127" i="1"/>
  <c r="E127" i="1"/>
  <c r="F127" i="1"/>
  <c r="G127" i="1"/>
  <c r="H127" i="1"/>
  <c r="I127" i="1"/>
  <c r="D128" i="1"/>
  <c r="E128" i="1"/>
  <c r="F128" i="1"/>
  <c r="G128" i="1"/>
  <c r="H128" i="1"/>
  <c r="I128" i="1"/>
  <c r="D129" i="1"/>
  <c r="E129" i="1"/>
  <c r="F129" i="1"/>
  <c r="G129" i="1"/>
  <c r="H129" i="1"/>
  <c r="I129" i="1"/>
  <c r="D130" i="1"/>
  <c r="E130" i="1"/>
  <c r="F130" i="1"/>
  <c r="G130" i="1"/>
  <c r="H130" i="1"/>
  <c r="I130" i="1"/>
  <c r="D131" i="1"/>
  <c r="E131" i="1"/>
  <c r="F131" i="1"/>
  <c r="G131" i="1"/>
  <c r="H131" i="1"/>
  <c r="I131" i="1"/>
  <c r="D132" i="1"/>
  <c r="E132" i="1"/>
  <c r="F132" i="1"/>
  <c r="G132" i="1"/>
  <c r="H132" i="1"/>
  <c r="I132" i="1"/>
  <c r="D133" i="1"/>
  <c r="E133" i="1"/>
  <c r="F133" i="1"/>
  <c r="G133" i="1"/>
  <c r="H133" i="1"/>
  <c r="I133" i="1"/>
  <c r="D134" i="1"/>
  <c r="E134" i="1"/>
  <c r="F134" i="1"/>
  <c r="G134" i="1"/>
  <c r="H134" i="1"/>
  <c r="I134" i="1"/>
  <c r="D135" i="1"/>
  <c r="E135" i="1"/>
  <c r="F135" i="1"/>
  <c r="G135" i="1"/>
  <c r="H135" i="1"/>
  <c r="I135" i="1"/>
  <c r="D136" i="1"/>
  <c r="E136" i="1"/>
  <c r="F136" i="1"/>
  <c r="G136" i="1"/>
  <c r="H136" i="1"/>
  <c r="I136" i="1"/>
  <c r="D137" i="1"/>
  <c r="E137" i="1"/>
  <c r="F137" i="1"/>
  <c r="G137" i="1"/>
  <c r="H137" i="1"/>
  <c r="I137" i="1"/>
  <c r="D138" i="1"/>
  <c r="E138" i="1"/>
  <c r="F138" i="1"/>
  <c r="G138" i="1"/>
  <c r="H138" i="1"/>
  <c r="I138" i="1"/>
  <c r="D139" i="1"/>
  <c r="E139" i="1"/>
  <c r="F139" i="1"/>
  <c r="G139" i="1"/>
  <c r="H139" i="1"/>
  <c r="I139" i="1"/>
  <c r="D140" i="1"/>
  <c r="E140" i="1"/>
  <c r="F140" i="1"/>
  <c r="G140" i="1"/>
  <c r="H140" i="1"/>
  <c r="I140" i="1"/>
  <c r="D141" i="1"/>
  <c r="E141" i="1"/>
  <c r="F141" i="1"/>
  <c r="G141" i="1"/>
  <c r="H141" i="1"/>
  <c r="I141" i="1"/>
  <c r="D142" i="1"/>
  <c r="E142" i="1"/>
  <c r="F142" i="1"/>
  <c r="G142" i="1"/>
  <c r="H142" i="1"/>
  <c r="I142" i="1"/>
  <c r="D143" i="1"/>
  <c r="E143" i="1"/>
  <c r="F143" i="1"/>
  <c r="G143" i="1"/>
  <c r="H143" i="1"/>
  <c r="I143" i="1"/>
  <c r="D144" i="1"/>
  <c r="E144" i="1"/>
  <c r="F144" i="1"/>
  <c r="G144" i="1"/>
  <c r="H144" i="1"/>
  <c r="I144" i="1"/>
  <c r="D145" i="1"/>
  <c r="E145" i="1"/>
  <c r="F145" i="1"/>
  <c r="G145" i="1"/>
  <c r="H145" i="1"/>
  <c r="I145" i="1"/>
  <c r="D146" i="1"/>
  <c r="E146" i="1"/>
  <c r="F146" i="1"/>
  <c r="G146" i="1"/>
  <c r="H146" i="1"/>
  <c r="I146" i="1"/>
  <c r="D147" i="1"/>
  <c r="E147" i="1"/>
  <c r="F147" i="1"/>
  <c r="G147" i="1"/>
  <c r="H147" i="1"/>
  <c r="I147" i="1"/>
  <c r="D148" i="1"/>
  <c r="E148" i="1"/>
  <c r="F148" i="1"/>
  <c r="G148" i="1"/>
  <c r="H148" i="1"/>
  <c r="I148" i="1"/>
  <c r="D149" i="1"/>
  <c r="E149" i="1"/>
  <c r="F149" i="1"/>
  <c r="G149" i="1"/>
  <c r="H149" i="1"/>
  <c r="I149" i="1"/>
  <c r="D150" i="1"/>
  <c r="E150" i="1"/>
  <c r="F150" i="1"/>
  <c r="G150" i="1"/>
  <c r="H150" i="1"/>
  <c r="I150" i="1"/>
  <c r="D151" i="1"/>
  <c r="E151" i="1"/>
  <c r="F151" i="1"/>
  <c r="G151" i="1"/>
  <c r="H151" i="1"/>
  <c r="I151" i="1"/>
  <c r="D152" i="1"/>
  <c r="E152" i="1"/>
  <c r="F152" i="1"/>
  <c r="G152" i="1"/>
  <c r="H152" i="1"/>
  <c r="I152" i="1"/>
  <c r="D153" i="1"/>
  <c r="E153" i="1"/>
  <c r="F153" i="1"/>
  <c r="G153" i="1"/>
  <c r="H153" i="1"/>
  <c r="I153" i="1"/>
  <c r="D154" i="1"/>
  <c r="E154" i="1"/>
  <c r="F154" i="1"/>
  <c r="G154" i="1"/>
  <c r="H154" i="1"/>
  <c r="I154" i="1"/>
  <c r="D155" i="1"/>
  <c r="E155" i="1"/>
  <c r="F155" i="1"/>
  <c r="G155" i="1"/>
  <c r="H155" i="1"/>
  <c r="I155" i="1"/>
  <c r="D156" i="1"/>
  <c r="E156" i="1"/>
  <c r="F156" i="1"/>
  <c r="G156" i="1"/>
  <c r="H156" i="1"/>
  <c r="I156" i="1"/>
  <c r="D157" i="1"/>
  <c r="E157" i="1"/>
  <c r="F157" i="1"/>
  <c r="G157" i="1"/>
  <c r="H157" i="1"/>
  <c r="I157" i="1"/>
  <c r="D158" i="1"/>
  <c r="E158" i="1"/>
  <c r="F158" i="1"/>
  <c r="G158" i="1"/>
  <c r="H158" i="1"/>
  <c r="I158" i="1"/>
  <c r="D159" i="1"/>
  <c r="E159" i="1"/>
  <c r="F159" i="1"/>
  <c r="G159" i="1"/>
  <c r="H159" i="1"/>
  <c r="I159" i="1"/>
  <c r="D160" i="1"/>
  <c r="E160" i="1"/>
  <c r="F160" i="1"/>
  <c r="G160" i="1"/>
  <c r="H160" i="1"/>
  <c r="I160" i="1"/>
  <c r="D161" i="1"/>
  <c r="E161" i="1"/>
  <c r="F161" i="1"/>
  <c r="G161" i="1"/>
  <c r="H161" i="1"/>
  <c r="I161" i="1"/>
  <c r="D162" i="1"/>
  <c r="E162" i="1"/>
  <c r="F162" i="1"/>
  <c r="G162" i="1"/>
  <c r="H162" i="1"/>
  <c r="I162" i="1"/>
  <c r="D163" i="1"/>
  <c r="E163" i="1"/>
  <c r="F163" i="1"/>
  <c r="G163" i="1"/>
  <c r="H163" i="1"/>
  <c r="I163" i="1"/>
  <c r="D164" i="1"/>
  <c r="E164" i="1"/>
  <c r="F164" i="1"/>
  <c r="G164" i="1"/>
  <c r="H164" i="1"/>
  <c r="I164" i="1"/>
  <c r="D165" i="1"/>
  <c r="E165" i="1"/>
  <c r="F165" i="1"/>
  <c r="G165" i="1"/>
  <c r="H165" i="1"/>
  <c r="I165" i="1"/>
  <c r="D166" i="1"/>
  <c r="E166" i="1"/>
  <c r="F166" i="1"/>
  <c r="G166" i="1"/>
  <c r="H166" i="1"/>
  <c r="I166" i="1"/>
  <c r="D167" i="1"/>
  <c r="E167" i="1"/>
  <c r="F167" i="1"/>
  <c r="G167" i="1"/>
  <c r="H167" i="1"/>
  <c r="I167" i="1"/>
  <c r="D168" i="1"/>
  <c r="E168" i="1"/>
  <c r="F168" i="1"/>
  <c r="G168" i="1"/>
  <c r="H168" i="1"/>
  <c r="I168" i="1"/>
  <c r="D169" i="1"/>
  <c r="E169" i="1"/>
  <c r="F169" i="1"/>
  <c r="G169" i="1"/>
  <c r="H169" i="1"/>
  <c r="I169" i="1"/>
  <c r="D170" i="1"/>
  <c r="E170" i="1"/>
  <c r="F170" i="1"/>
  <c r="G170" i="1"/>
  <c r="H170" i="1"/>
  <c r="I170" i="1"/>
  <c r="D171" i="1"/>
  <c r="E171" i="1"/>
  <c r="F171" i="1"/>
  <c r="G171" i="1"/>
  <c r="H171" i="1"/>
  <c r="I171" i="1"/>
  <c r="D172" i="1"/>
  <c r="E172" i="1"/>
  <c r="F172" i="1"/>
  <c r="G172" i="1"/>
  <c r="H172" i="1"/>
  <c r="I172" i="1"/>
  <c r="D173" i="1"/>
  <c r="E173" i="1"/>
  <c r="F173" i="1"/>
  <c r="G173" i="1"/>
  <c r="H173" i="1"/>
  <c r="I173" i="1"/>
  <c r="D174" i="1"/>
  <c r="E174" i="1"/>
  <c r="F174" i="1"/>
  <c r="G174" i="1"/>
  <c r="H174" i="1"/>
  <c r="I174" i="1"/>
  <c r="D175" i="1"/>
  <c r="E175" i="1"/>
  <c r="F175" i="1"/>
  <c r="G175" i="1"/>
  <c r="H175" i="1"/>
  <c r="I175" i="1"/>
  <c r="D176" i="1"/>
  <c r="E176" i="1"/>
  <c r="F176" i="1"/>
  <c r="G176" i="1"/>
  <c r="H176" i="1"/>
  <c r="I176" i="1"/>
  <c r="D177" i="1"/>
  <c r="E177" i="1"/>
  <c r="F177" i="1"/>
  <c r="G177" i="1"/>
  <c r="H177" i="1"/>
  <c r="I177" i="1"/>
  <c r="D178" i="1"/>
  <c r="E178" i="1"/>
  <c r="F178" i="1"/>
  <c r="G178" i="1"/>
  <c r="H178" i="1"/>
  <c r="I178" i="1"/>
  <c r="D179" i="1"/>
  <c r="E179" i="1"/>
  <c r="F179" i="1"/>
  <c r="G179" i="1"/>
  <c r="H179" i="1"/>
  <c r="I179" i="1"/>
  <c r="D180" i="1"/>
  <c r="E180" i="1"/>
  <c r="F180" i="1"/>
  <c r="G180" i="1"/>
  <c r="H180" i="1"/>
  <c r="I180" i="1"/>
  <c r="D181" i="1"/>
  <c r="E181" i="1"/>
  <c r="F181" i="1"/>
  <c r="G181" i="1"/>
  <c r="H181" i="1"/>
  <c r="I181" i="1"/>
  <c r="D182" i="1"/>
  <c r="E182" i="1"/>
  <c r="F182" i="1"/>
  <c r="G182" i="1"/>
  <c r="H182" i="1"/>
  <c r="I182" i="1"/>
  <c r="D183" i="1"/>
  <c r="E183" i="1"/>
  <c r="F183" i="1"/>
  <c r="G183" i="1"/>
  <c r="H183" i="1"/>
  <c r="I183" i="1"/>
  <c r="D184" i="1"/>
  <c r="E184" i="1"/>
  <c r="F184" i="1"/>
  <c r="G184" i="1"/>
  <c r="H184" i="1"/>
  <c r="I184" i="1"/>
  <c r="D185" i="1"/>
  <c r="E185" i="1"/>
  <c r="F185" i="1"/>
  <c r="G185" i="1"/>
  <c r="H185" i="1"/>
  <c r="I185" i="1"/>
  <c r="D186" i="1"/>
  <c r="E186" i="1"/>
  <c r="F186" i="1"/>
  <c r="G186" i="1"/>
  <c r="H186" i="1"/>
  <c r="I186" i="1"/>
  <c r="D187" i="1"/>
  <c r="E187" i="1"/>
  <c r="F187" i="1"/>
  <c r="G187" i="1"/>
  <c r="H187" i="1"/>
  <c r="I187" i="1"/>
  <c r="D188" i="1"/>
  <c r="E188" i="1"/>
  <c r="F188" i="1"/>
  <c r="G188" i="1"/>
  <c r="H188" i="1"/>
  <c r="I188" i="1"/>
  <c r="D189" i="1"/>
  <c r="E189" i="1"/>
  <c r="F189" i="1"/>
  <c r="G189" i="1"/>
  <c r="H189" i="1"/>
  <c r="I189" i="1"/>
  <c r="D190" i="1"/>
  <c r="E190" i="1"/>
  <c r="F190" i="1"/>
  <c r="G190" i="1"/>
  <c r="H190" i="1"/>
  <c r="I190" i="1"/>
  <c r="D191" i="1"/>
  <c r="E191" i="1"/>
  <c r="F191" i="1"/>
  <c r="G191" i="1"/>
  <c r="H191" i="1"/>
  <c r="I191" i="1"/>
  <c r="D192" i="1"/>
  <c r="E192" i="1"/>
  <c r="F192" i="1"/>
  <c r="G192" i="1"/>
  <c r="H192" i="1"/>
  <c r="I192" i="1"/>
  <c r="D193" i="1"/>
  <c r="E193" i="1"/>
  <c r="F193" i="1"/>
  <c r="G193" i="1"/>
  <c r="H193" i="1"/>
  <c r="I193" i="1"/>
  <c r="D194" i="1"/>
  <c r="E194" i="1"/>
  <c r="F194" i="1"/>
  <c r="G194" i="1"/>
  <c r="H194" i="1"/>
  <c r="I194" i="1"/>
  <c r="D195" i="1"/>
  <c r="E195" i="1"/>
  <c r="F195" i="1"/>
  <c r="G195" i="1"/>
  <c r="H195" i="1"/>
  <c r="I195" i="1"/>
  <c r="D196" i="1"/>
  <c r="E196" i="1"/>
  <c r="F196" i="1"/>
  <c r="G196" i="1"/>
  <c r="H196" i="1"/>
  <c r="I196" i="1"/>
  <c r="D197" i="1"/>
  <c r="E197" i="1"/>
  <c r="F197" i="1"/>
  <c r="G197" i="1"/>
  <c r="H197" i="1"/>
  <c r="I197" i="1"/>
  <c r="D198" i="1"/>
  <c r="E198" i="1"/>
  <c r="F198" i="1"/>
  <c r="G198" i="1"/>
  <c r="H198" i="1"/>
  <c r="I198" i="1"/>
  <c r="D199" i="1"/>
  <c r="E199" i="1"/>
  <c r="F199" i="1"/>
  <c r="G199" i="1"/>
  <c r="H199" i="1"/>
  <c r="I199" i="1"/>
  <c r="D200" i="1"/>
  <c r="E200" i="1"/>
  <c r="F200" i="1"/>
  <c r="G200" i="1"/>
  <c r="H200" i="1"/>
  <c r="I200" i="1"/>
  <c r="D201" i="1"/>
  <c r="E201" i="1"/>
  <c r="F201" i="1"/>
  <c r="G201" i="1"/>
  <c r="H201" i="1"/>
  <c r="I201" i="1"/>
  <c r="D202" i="1"/>
  <c r="E202" i="1"/>
  <c r="F202" i="1"/>
  <c r="G202" i="1"/>
  <c r="H202" i="1"/>
  <c r="I202" i="1"/>
  <c r="D203" i="1"/>
  <c r="E203" i="1"/>
  <c r="F203" i="1"/>
  <c r="G203" i="1"/>
  <c r="H203" i="1"/>
  <c r="I203" i="1"/>
  <c r="D204" i="1"/>
  <c r="E204" i="1"/>
  <c r="F204" i="1"/>
  <c r="G204" i="1"/>
  <c r="H204" i="1"/>
  <c r="I204" i="1"/>
  <c r="D205" i="1"/>
  <c r="E205" i="1"/>
  <c r="F205" i="1"/>
  <c r="G205" i="1"/>
  <c r="H205" i="1"/>
  <c r="I205" i="1"/>
  <c r="D206" i="1"/>
  <c r="E206" i="1"/>
  <c r="F206" i="1"/>
  <c r="G206" i="1"/>
  <c r="H206" i="1"/>
  <c r="I206" i="1"/>
  <c r="D207" i="1"/>
  <c r="E207" i="1"/>
  <c r="F207" i="1"/>
  <c r="G207" i="1"/>
  <c r="H207" i="1"/>
  <c r="I207" i="1"/>
  <c r="D208" i="1"/>
  <c r="E208" i="1"/>
  <c r="F208" i="1"/>
  <c r="G208" i="1"/>
  <c r="H208" i="1"/>
  <c r="I208" i="1"/>
  <c r="D209" i="1"/>
  <c r="E209" i="1"/>
  <c r="F209" i="1"/>
  <c r="G209" i="1"/>
  <c r="H209" i="1"/>
  <c r="I209" i="1"/>
  <c r="D210" i="1"/>
  <c r="E210" i="1"/>
  <c r="F210" i="1"/>
  <c r="G210" i="1"/>
  <c r="H210" i="1"/>
  <c r="I210" i="1"/>
  <c r="D211" i="1"/>
  <c r="E211" i="1"/>
  <c r="F211" i="1"/>
  <c r="G211" i="1"/>
  <c r="H211" i="1"/>
  <c r="I211" i="1"/>
  <c r="D212" i="1"/>
  <c r="E212" i="1"/>
  <c r="F212" i="1"/>
  <c r="G212" i="1"/>
  <c r="H212" i="1"/>
  <c r="I212" i="1"/>
  <c r="D213" i="1"/>
  <c r="E213" i="1"/>
  <c r="F213" i="1"/>
  <c r="G213" i="1"/>
  <c r="H213" i="1"/>
  <c r="I213" i="1"/>
  <c r="D214" i="1"/>
  <c r="E214" i="1"/>
  <c r="F214" i="1"/>
  <c r="G214" i="1"/>
  <c r="H214" i="1"/>
  <c r="I214" i="1"/>
  <c r="D215" i="1"/>
  <c r="E215" i="1"/>
  <c r="F215" i="1"/>
  <c r="G215" i="1"/>
  <c r="H215" i="1"/>
  <c r="I215" i="1"/>
  <c r="D216" i="1"/>
  <c r="E216" i="1"/>
  <c r="F216" i="1"/>
  <c r="G216" i="1"/>
  <c r="H216" i="1"/>
  <c r="I216" i="1"/>
  <c r="D217" i="1"/>
  <c r="E217" i="1"/>
  <c r="F217" i="1"/>
  <c r="G217" i="1"/>
  <c r="H217" i="1"/>
  <c r="I217" i="1"/>
  <c r="D218" i="1"/>
  <c r="E218" i="1"/>
  <c r="F218" i="1"/>
  <c r="G218" i="1"/>
  <c r="H218" i="1"/>
  <c r="I218" i="1"/>
  <c r="D219" i="1"/>
  <c r="E219" i="1"/>
  <c r="F219" i="1"/>
  <c r="G219" i="1"/>
  <c r="H219" i="1"/>
  <c r="I219" i="1"/>
  <c r="D220" i="1"/>
  <c r="E220" i="1"/>
  <c r="F220" i="1"/>
  <c r="G220" i="1"/>
  <c r="H220" i="1"/>
  <c r="I220" i="1"/>
  <c r="D221" i="1"/>
  <c r="E221" i="1"/>
  <c r="F221" i="1"/>
  <c r="G221" i="1"/>
  <c r="H221" i="1"/>
  <c r="I221" i="1"/>
  <c r="D222" i="1"/>
  <c r="E222" i="1"/>
  <c r="F222" i="1"/>
  <c r="G222" i="1"/>
  <c r="H222" i="1"/>
  <c r="I222" i="1"/>
  <c r="D223" i="1"/>
  <c r="E223" i="1"/>
  <c r="F223" i="1"/>
  <c r="G223" i="1"/>
  <c r="H223" i="1"/>
  <c r="I223" i="1"/>
  <c r="D224" i="1"/>
  <c r="E224" i="1"/>
  <c r="F224" i="1"/>
  <c r="G224" i="1"/>
  <c r="H224" i="1"/>
  <c r="I224" i="1"/>
  <c r="D225" i="1"/>
  <c r="E225" i="1"/>
  <c r="F225" i="1"/>
  <c r="G225" i="1"/>
  <c r="H225" i="1"/>
  <c r="I225" i="1"/>
  <c r="D226" i="1"/>
  <c r="E226" i="1"/>
  <c r="F226" i="1"/>
  <c r="G226" i="1"/>
  <c r="H226" i="1"/>
  <c r="I226" i="1"/>
  <c r="D227" i="1"/>
  <c r="E227" i="1"/>
  <c r="F227" i="1"/>
  <c r="G227" i="1"/>
  <c r="H227" i="1"/>
  <c r="I227" i="1"/>
  <c r="D228" i="1"/>
  <c r="E228" i="1"/>
  <c r="F228" i="1"/>
  <c r="G228" i="1"/>
  <c r="H228" i="1"/>
  <c r="I228" i="1"/>
  <c r="D229" i="1"/>
  <c r="E229" i="1"/>
  <c r="F229" i="1"/>
  <c r="G229" i="1"/>
  <c r="H229" i="1"/>
  <c r="I229" i="1"/>
  <c r="D230" i="1"/>
  <c r="E230" i="1"/>
  <c r="F230" i="1"/>
  <c r="G230" i="1"/>
  <c r="H230" i="1"/>
  <c r="I230" i="1"/>
  <c r="D231" i="1"/>
  <c r="E231" i="1"/>
  <c r="F231" i="1"/>
  <c r="G231" i="1"/>
  <c r="H231" i="1"/>
  <c r="I231" i="1"/>
  <c r="D232" i="1"/>
  <c r="E232" i="1"/>
  <c r="F232" i="1"/>
  <c r="G232" i="1"/>
  <c r="H232" i="1"/>
  <c r="I232" i="1"/>
  <c r="D233" i="1"/>
  <c r="E233" i="1"/>
  <c r="F233" i="1"/>
  <c r="G233" i="1"/>
  <c r="H233" i="1"/>
  <c r="I233" i="1"/>
  <c r="D234" i="1"/>
  <c r="E234" i="1"/>
  <c r="F234" i="1"/>
  <c r="G234" i="1"/>
  <c r="H234" i="1"/>
  <c r="I234" i="1"/>
  <c r="D235" i="1"/>
  <c r="E235" i="1"/>
  <c r="F235" i="1"/>
  <c r="G235" i="1"/>
  <c r="H235" i="1"/>
  <c r="I235" i="1"/>
  <c r="D236" i="1"/>
  <c r="E236" i="1"/>
  <c r="F236" i="1"/>
  <c r="G236" i="1"/>
  <c r="H236" i="1"/>
  <c r="I236" i="1"/>
  <c r="D237" i="1"/>
  <c r="E237" i="1"/>
  <c r="F237" i="1"/>
  <c r="G237" i="1"/>
  <c r="H237" i="1"/>
  <c r="I237" i="1"/>
  <c r="D238" i="1"/>
  <c r="E238" i="1"/>
  <c r="F238" i="1"/>
  <c r="G238" i="1"/>
  <c r="H238" i="1"/>
  <c r="I238" i="1"/>
  <c r="D239" i="1"/>
  <c r="E239" i="1"/>
  <c r="F239" i="1"/>
  <c r="G239" i="1"/>
  <c r="H239" i="1"/>
  <c r="I239" i="1"/>
  <c r="D240" i="1"/>
  <c r="E240" i="1"/>
  <c r="F240" i="1"/>
  <c r="G240" i="1"/>
  <c r="H240" i="1"/>
  <c r="I240" i="1"/>
  <c r="D241" i="1"/>
  <c r="E241" i="1"/>
  <c r="F241" i="1"/>
  <c r="G241" i="1"/>
  <c r="H241" i="1"/>
  <c r="I241" i="1"/>
  <c r="D242" i="1"/>
  <c r="E242" i="1"/>
  <c r="F242" i="1"/>
  <c r="G242" i="1"/>
  <c r="H242" i="1"/>
  <c r="I242" i="1"/>
  <c r="D243" i="1"/>
  <c r="E243" i="1"/>
  <c r="F243" i="1"/>
  <c r="G243" i="1"/>
  <c r="H243" i="1"/>
  <c r="I243" i="1"/>
  <c r="D244" i="1"/>
  <c r="E244" i="1"/>
  <c r="F244" i="1"/>
  <c r="G244" i="1"/>
  <c r="H244" i="1"/>
  <c r="I244" i="1"/>
  <c r="D245" i="1"/>
  <c r="E245" i="1"/>
  <c r="F245" i="1"/>
  <c r="G245" i="1"/>
  <c r="H245" i="1"/>
  <c r="I245" i="1"/>
  <c r="D246" i="1"/>
  <c r="E246" i="1"/>
  <c r="F246" i="1"/>
  <c r="G246" i="1"/>
  <c r="H246" i="1"/>
  <c r="I246" i="1"/>
  <c r="D247" i="1"/>
  <c r="E247" i="1"/>
  <c r="F247" i="1"/>
  <c r="G247" i="1"/>
  <c r="H247" i="1"/>
  <c r="I247" i="1"/>
  <c r="D248" i="1"/>
  <c r="E248" i="1"/>
  <c r="F248" i="1"/>
  <c r="G248" i="1"/>
  <c r="H248" i="1"/>
  <c r="I248" i="1"/>
  <c r="D249" i="1"/>
  <c r="E249" i="1"/>
  <c r="F249" i="1"/>
  <c r="G249" i="1"/>
  <c r="H249" i="1"/>
  <c r="I249" i="1"/>
  <c r="D250" i="1"/>
  <c r="E250" i="1"/>
  <c r="F250" i="1"/>
  <c r="G250" i="1"/>
  <c r="H250" i="1"/>
  <c r="I250" i="1"/>
  <c r="D251" i="1"/>
  <c r="E251" i="1"/>
  <c r="F251" i="1"/>
  <c r="G251" i="1"/>
  <c r="H251" i="1"/>
  <c r="I251" i="1"/>
  <c r="D252" i="1"/>
  <c r="E252" i="1"/>
  <c r="F252" i="1"/>
  <c r="G252" i="1"/>
  <c r="H252" i="1"/>
  <c r="I252" i="1"/>
  <c r="D253" i="1"/>
  <c r="E253" i="1"/>
  <c r="F253" i="1"/>
  <c r="G253" i="1"/>
  <c r="H253" i="1"/>
  <c r="I253" i="1"/>
  <c r="D254" i="1"/>
  <c r="E254" i="1"/>
  <c r="F254" i="1"/>
  <c r="G254" i="1"/>
  <c r="H254" i="1"/>
  <c r="I254" i="1"/>
  <c r="D255" i="1"/>
  <c r="E255" i="1"/>
  <c r="F255" i="1"/>
  <c r="G255" i="1"/>
  <c r="H255" i="1"/>
  <c r="I255" i="1"/>
  <c r="D256" i="1"/>
  <c r="E256" i="1"/>
  <c r="F256" i="1"/>
  <c r="G256" i="1"/>
  <c r="H256" i="1"/>
  <c r="I256" i="1"/>
  <c r="D257" i="1"/>
  <c r="E257" i="1"/>
  <c r="F257" i="1"/>
  <c r="G257" i="1"/>
  <c r="H257" i="1"/>
  <c r="I257" i="1"/>
  <c r="D258" i="1"/>
  <c r="E258" i="1"/>
  <c r="F258" i="1"/>
  <c r="G258" i="1"/>
  <c r="H258" i="1"/>
  <c r="I258" i="1"/>
  <c r="D259" i="1"/>
  <c r="E259" i="1"/>
  <c r="F259" i="1"/>
  <c r="G259" i="1"/>
  <c r="H259" i="1"/>
  <c r="I259" i="1"/>
  <c r="D260" i="1"/>
  <c r="E260" i="1"/>
  <c r="F260" i="1"/>
  <c r="G260" i="1"/>
  <c r="H260" i="1"/>
  <c r="I260" i="1"/>
  <c r="D261" i="1"/>
  <c r="E261" i="1"/>
  <c r="F261" i="1"/>
  <c r="G261" i="1"/>
  <c r="H261" i="1"/>
  <c r="I261" i="1"/>
  <c r="D262" i="1"/>
  <c r="E262" i="1"/>
  <c r="F262" i="1"/>
  <c r="G262" i="1"/>
  <c r="H262" i="1"/>
  <c r="I262" i="1"/>
  <c r="D263" i="1"/>
  <c r="E263" i="1"/>
  <c r="F263" i="1"/>
  <c r="G263" i="1"/>
  <c r="H263" i="1"/>
  <c r="I263" i="1"/>
  <c r="D264" i="1"/>
  <c r="E264" i="1"/>
  <c r="F264" i="1"/>
  <c r="G264" i="1"/>
  <c r="H264" i="1"/>
  <c r="I264" i="1"/>
  <c r="D265" i="1"/>
  <c r="E265" i="1"/>
  <c r="F265" i="1"/>
  <c r="G265" i="1"/>
  <c r="H265" i="1"/>
  <c r="I265" i="1"/>
  <c r="D266" i="1"/>
  <c r="E266" i="1"/>
  <c r="F266" i="1"/>
  <c r="G266" i="1"/>
  <c r="H266" i="1"/>
  <c r="I266" i="1"/>
  <c r="D267" i="1"/>
  <c r="E267" i="1"/>
  <c r="F267" i="1"/>
  <c r="G267" i="1"/>
  <c r="H267" i="1"/>
  <c r="I267" i="1"/>
  <c r="D268" i="1"/>
  <c r="E268" i="1"/>
  <c r="F268" i="1"/>
  <c r="G268" i="1"/>
  <c r="H268" i="1"/>
  <c r="I268" i="1"/>
  <c r="D269" i="1"/>
  <c r="E269" i="1"/>
  <c r="F269" i="1"/>
  <c r="G269" i="1"/>
  <c r="H269" i="1"/>
  <c r="I269" i="1"/>
  <c r="D270" i="1"/>
  <c r="E270" i="1"/>
  <c r="F270" i="1"/>
  <c r="G270" i="1"/>
  <c r="H270" i="1"/>
  <c r="I270" i="1"/>
  <c r="D271" i="1"/>
  <c r="E271" i="1"/>
  <c r="F271" i="1"/>
  <c r="G271" i="1"/>
  <c r="H271" i="1"/>
  <c r="I271" i="1"/>
  <c r="D272" i="1"/>
  <c r="E272" i="1"/>
  <c r="F272" i="1"/>
  <c r="G272" i="1"/>
  <c r="H272" i="1"/>
  <c r="I272" i="1"/>
  <c r="D273" i="1"/>
  <c r="E273" i="1"/>
  <c r="F273" i="1"/>
  <c r="G273" i="1"/>
  <c r="H273" i="1"/>
  <c r="I273" i="1"/>
  <c r="D274" i="1"/>
  <c r="E274" i="1"/>
  <c r="F274" i="1"/>
  <c r="G274" i="1"/>
  <c r="H274" i="1"/>
  <c r="I274" i="1"/>
  <c r="D275" i="1"/>
  <c r="E275" i="1"/>
  <c r="F275" i="1"/>
  <c r="G275" i="1"/>
  <c r="H275" i="1"/>
  <c r="I275" i="1"/>
  <c r="D276" i="1"/>
  <c r="E276" i="1"/>
  <c r="F276" i="1"/>
  <c r="G276" i="1"/>
  <c r="H276" i="1"/>
  <c r="I276" i="1"/>
  <c r="D277" i="1"/>
  <c r="E277" i="1"/>
  <c r="F277" i="1"/>
  <c r="G277" i="1"/>
  <c r="H277" i="1"/>
  <c r="I277" i="1"/>
  <c r="D278" i="1"/>
  <c r="E278" i="1"/>
  <c r="F278" i="1"/>
  <c r="G278" i="1"/>
  <c r="H278" i="1"/>
  <c r="I278" i="1"/>
  <c r="D279" i="1"/>
  <c r="E279" i="1"/>
  <c r="F279" i="1"/>
  <c r="G279" i="1"/>
  <c r="H279" i="1"/>
  <c r="I279" i="1"/>
  <c r="D280" i="1"/>
  <c r="E280" i="1"/>
  <c r="F280" i="1"/>
  <c r="G280" i="1"/>
  <c r="H280" i="1"/>
  <c r="I280" i="1"/>
  <c r="D281" i="1"/>
  <c r="E281" i="1"/>
  <c r="F281" i="1"/>
  <c r="G281" i="1"/>
  <c r="H281" i="1"/>
  <c r="I281" i="1"/>
  <c r="D282" i="1"/>
  <c r="E282" i="1"/>
  <c r="F282" i="1"/>
  <c r="G282" i="1"/>
  <c r="H282" i="1"/>
  <c r="I282" i="1"/>
  <c r="D283" i="1"/>
  <c r="E283" i="1"/>
  <c r="F283" i="1"/>
  <c r="G283" i="1"/>
  <c r="H283" i="1"/>
  <c r="I283" i="1"/>
  <c r="D284" i="1"/>
  <c r="E284" i="1"/>
  <c r="F284" i="1"/>
  <c r="G284" i="1"/>
  <c r="H284" i="1"/>
  <c r="I284" i="1"/>
  <c r="D285" i="1"/>
  <c r="E285" i="1"/>
  <c r="F285" i="1"/>
  <c r="G285" i="1"/>
  <c r="H285" i="1"/>
  <c r="I285" i="1"/>
  <c r="D286" i="1"/>
  <c r="E286" i="1"/>
  <c r="F286" i="1"/>
  <c r="G286" i="1"/>
  <c r="H286" i="1"/>
  <c r="I286" i="1"/>
  <c r="D287" i="1"/>
  <c r="E287" i="1"/>
  <c r="F287" i="1"/>
  <c r="G287" i="1"/>
  <c r="H287" i="1"/>
  <c r="I287" i="1"/>
  <c r="D288" i="1"/>
  <c r="E288" i="1"/>
  <c r="F288" i="1"/>
  <c r="G288" i="1"/>
  <c r="H288" i="1"/>
  <c r="I288" i="1"/>
  <c r="D289" i="1"/>
  <c r="E289" i="1"/>
  <c r="F289" i="1"/>
  <c r="G289" i="1"/>
  <c r="H289" i="1"/>
  <c r="I289" i="1"/>
  <c r="D290" i="1"/>
  <c r="E290" i="1"/>
  <c r="F290" i="1"/>
  <c r="G290" i="1"/>
  <c r="H290" i="1"/>
  <c r="I290" i="1"/>
  <c r="D291" i="1"/>
  <c r="E291" i="1"/>
  <c r="F291" i="1"/>
  <c r="G291" i="1"/>
  <c r="H291" i="1"/>
  <c r="I291" i="1"/>
  <c r="D292" i="1"/>
  <c r="E292" i="1"/>
  <c r="F292" i="1"/>
  <c r="G292" i="1"/>
  <c r="H292" i="1"/>
  <c r="I292" i="1"/>
  <c r="D293" i="1"/>
  <c r="E293" i="1"/>
  <c r="F293" i="1"/>
  <c r="G293" i="1"/>
  <c r="H293" i="1"/>
  <c r="I293" i="1"/>
  <c r="D294" i="1"/>
  <c r="E294" i="1"/>
  <c r="F294" i="1"/>
  <c r="G294" i="1"/>
  <c r="H294" i="1"/>
  <c r="I294" i="1"/>
  <c r="D295" i="1"/>
  <c r="E295" i="1"/>
  <c r="F295" i="1"/>
  <c r="G295" i="1"/>
  <c r="H295" i="1"/>
  <c r="I295" i="1"/>
  <c r="D296" i="1"/>
  <c r="E296" i="1"/>
  <c r="F296" i="1"/>
  <c r="G296" i="1"/>
  <c r="H296" i="1"/>
  <c r="I296" i="1"/>
  <c r="D297" i="1"/>
  <c r="E297" i="1"/>
  <c r="F297" i="1"/>
  <c r="G297" i="1"/>
  <c r="H297" i="1"/>
  <c r="I297" i="1"/>
  <c r="D298" i="1"/>
  <c r="E298" i="1"/>
  <c r="F298" i="1"/>
  <c r="G298" i="1"/>
  <c r="H298" i="1"/>
  <c r="I298" i="1"/>
  <c r="D299" i="1"/>
  <c r="E299" i="1"/>
  <c r="F299" i="1"/>
  <c r="G299" i="1"/>
  <c r="H299" i="1"/>
  <c r="I299" i="1"/>
  <c r="D300" i="1"/>
  <c r="E300" i="1"/>
  <c r="F300" i="1"/>
  <c r="G300" i="1"/>
  <c r="H300" i="1"/>
  <c r="I300" i="1"/>
  <c r="D301" i="1"/>
  <c r="E301" i="1"/>
  <c r="F301" i="1"/>
  <c r="G301" i="1"/>
  <c r="H301" i="1"/>
  <c r="I301" i="1"/>
  <c r="D302" i="1"/>
  <c r="E302" i="1"/>
  <c r="F302" i="1"/>
  <c r="G302" i="1"/>
  <c r="H302" i="1"/>
  <c r="I302" i="1"/>
  <c r="D303" i="1"/>
  <c r="E303" i="1"/>
  <c r="F303" i="1"/>
  <c r="G303" i="1"/>
  <c r="H303" i="1"/>
  <c r="I303" i="1"/>
  <c r="D304" i="1"/>
  <c r="E304" i="1"/>
  <c r="F304" i="1"/>
  <c r="G304" i="1"/>
  <c r="H304" i="1"/>
  <c r="I304" i="1"/>
  <c r="D305" i="1"/>
  <c r="E305" i="1"/>
  <c r="F305" i="1"/>
  <c r="G305" i="1"/>
  <c r="H305" i="1"/>
  <c r="I305" i="1"/>
  <c r="D306" i="1"/>
  <c r="E306" i="1"/>
  <c r="F306" i="1"/>
  <c r="G306" i="1"/>
  <c r="H306" i="1"/>
  <c r="I306" i="1"/>
  <c r="D307" i="1"/>
  <c r="E307" i="1"/>
  <c r="F307" i="1"/>
  <c r="G307" i="1"/>
  <c r="H307" i="1"/>
  <c r="I307" i="1"/>
  <c r="D308" i="1"/>
  <c r="E308" i="1"/>
  <c r="F308" i="1"/>
  <c r="G308" i="1"/>
  <c r="H308" i="1"/>
  <c r="I308" i="1"/>
  <c r="D309" i="1"/>
  <c r="E309" i="1"/>
  <c r="F309" i="1"/>
  <c r="G309" i="1"/>
  <c r="H309" i="1"/>
  <c r="I309" i="1"/>
  <c r="D310" i="1"/>
  <c r="E310" i="1"/>
  <c r="F310" i="1"/>
  <c r="G310" i="1"/>
  <c r="H310" i="1"/>
  <c r="I310" i="1"/>
  <c r="D311" i="1"/>
  <c r="E311" i="1"/>
  <c r="F311" i="1"/>
  <c r="G311" i="1"/>
  <c r="H311" i="1"/>
  <c r="I311" i="1"/>
  <c r="D312" i="1"/>
  <c r="E312" i="1"/>
  <c r="F312" i="1"/>
  <c r="G312" i="1"/>
  <c r="H312" i="1"/>
  <c r="I312" i="1"/>
  <c r="D313" i="1"/>
  <c r="E313" i="1"/>
  <c r="F313" i="1"/>
  <c r="G313" i="1"/>
  <c r="H313" i="1"/>
  <c r="I313" i="1"/>
  <c r="D314" i="1"/>
  <c r="E314" i="1"/>
  <c r="F314" i="1"/>
  <c r="G314" i="1"/>
  <c r="H314" i="1"/>
  <c r="I314" i="1"/>
  <c r="D315" i="1"/>
  <c r="E315" i="1"/>
  <c r="F315" i="1"/>
  <c r="G315" i="1"/>
  <c r="H315" i="1"/>
  <c r="I315" i="1"/>
  <c r="D316" i="1"/>
  <c r="E316" i="1"/>
  <c r="F316" i="1"/>
  <c r="G316" i="1"/>
  <c r="H316" i="1"/>
  <c r="I316" i="1"/>
  <c r="D317" i="1"/>
  <c r="E317" i="1"/>
  <c r="F317" i="1"/>
  <c r="G317" i="1"/>
  <c r="H317" i="1"/>
  <c r="I317" i="1"/>
  <c r="D318" i="1"/>
  <c r="E318" i="1"/>
  <c r="F318" i="1"/>
  <c r="G318" i="1"/>
  <c r="H318" i="1"/>
  <c r="I318" i="1"/>
  <c r="D319" i="1"/>
  <c r="E319" i="1"/>
  <c r="F319" i="1"/>
  <c r="G319" i="1"/>
  <c r="H319" i="1"/>
  <c r="I319" i="1"/>
  <c r="D320" i="1"/>
  <c r="E320" i="1"/>
  <c r="F320" i="1"/>
  <c r="G320" i="1"/>
  <c r="H320" i="1"/>
  <c r="I320" i="1"/>
  <c r="D321" i="1"/>
  <c r="E321" i="1"/>
  <c r="F321" i="1"/>
  <c r="G321" i="1"/>
  <c r="H321" i="1"/>
  <c r="I321" i="1"/>
  <c r="D322" i="1"/>
  <c r="E322" i="1"/>
  <c r="F322" i="1"/>
  <c r="G322" i="1"/>
  <c r="H322" i="1"/>
  <c r="I322" i="1"/>
  <c r="D323" i="1"/>
  <c r="E323" i="1"/>
  <c r="F323" i="1"/>
  <c r="G323" i="1"/>
  <c r="H323" i="1"/>
  <c r="I323" i="1"/>
  <c r="D324" i="1"/>
  <c r="E324" i="1"/>
  <c r="F324" i="1"/>
  <c r="G324" i="1"/>
  <c r="H324" i="1"/>
  <c r="I324" i="1"/>
  <c r="D325" i="1"/>
  <c r="E325" i="1"/>
  <c r="F325" i="1"/>
  <c r="G325" i="1"/>
  <c r="H325" i="1"/>
  <c r="I325" i="1"/>
  <c r="D326" i="1"/>
  <c r="E326" i="1"/>
  <c r="F326" i="1"/>
  <c r="G326" i="1"/>
  <c r="H326" i="1"/>
  <c r="I326" i="1"/>
  <c r="D327" i="1"/>
  <c r="E327" i="1"/>
  <c r="F327" i="1"/>
  <c r="G327" i="1"/>
  <c r="H327" i="1"/>
  <c r="I327" i="1"/>
  <c r="D328" i="1"/>
  <c r="E328" i="1"/>
  <c r="F328" i="1"/>
  <c r="G328" i="1"/>
  <c r="H328" i="1"/>
  <c r="I328" i="1"/>
  <c r="D329" i="1"/>
  <c r="E329" i="1"/>
  <c r="F329" i="1"/>
  <c r="G329" i="1"/>
  <c r="H329" i="1"/>
  <c r="I329" i="1"/>
  <c r="D330" i="1"/>
  <c r="E330" i="1"/>
  <c r="F330" i="1"/>
  <c r="G330" i="1"/>
  <c r="H330" i="1"/>
  <c r="I330" i="1"/>
  <c r="D331" i="1"/>
  <c r="E331" i="1"/>
  <c r="F331" i="1"/>
  <c r="G331" i="1"/>
  <c r="H331" i="1"/>
  <c r="I331" i="1"/>
  <c r="D332" i="1"/>
  <c r="E332" i="1"/>
  <c r="F332" i="1"/>
  <c r="G332" i="1"/>
  <c r="H332" i="1"/>
  <c r="I332" i="1"/>
  <c r="D333" i="1"/>
  <c r="E333" i="1"/>
  <c r="F333" i="1"/>
  <c r="G333" i="1"/>
  <c r="H333" i="1"/>
  <c r="I333" i="1"/>
  <c r="D334" i="1"/>
  <c r="E334" i="1"/>
  <c r="F334" i="1"/>
  <c r="G334" i="1"/>
  <c r="H334" i="1"/>
  <c r="I334" i="1"/>
  <c r="D335" i="1"/>
  <c r="E335" i="1"/>
  <c r="F335" i="1"/>
  <c r="G335" i="1"/>
  <c r="H335" i="1"/>
  <c r="I335" i="1"/>
  <c r="D336" i="1"/>
  <c r="E336" i="1"/>
  <c r="F336" i="1"/>
  <c r="G336" i="1"/>
  <c r="H336" i="1"/>
  <c r="I336" i="1"/>
  <c r="D337" i="1"/>
  <c r="E337" i="1"/>
  <c r="F337" i="1"/>
  <c r="G337" i="1"/>
  <c r="H337" i="1"/>
  <c r="I337" i="1"/>
  <c r="D338" i="1"/>
  <c r="E338" i="1"/>
  <c r="F338" i="1"/>
  <c r="G338" i="1"/>
  <c r="H338" i="1"/>
  <c r="I338" i="1"/>
  <c r="D339" i="1"/>
  <c r="E339" i="1"/>
  <c r="F339" i="1"/>
  <c r="G339" i="1"/>
  <c r="H339" i="1"/>
  <c r="I339" i="1"/>
  <c r="D340" i="1"/>
  <c r="E340" i="1"/>
  <c r="F340" i="1"/>
  <c r="G340" i="1"/>
  <c r="H340" i="1"/>
  <c r="I340" i="1"/>
  <c r="D341" i="1"/>
  <c r="E341" i="1"/>
  <c r="F341" i="1"/>
  <c r="G341" i="1"/>
  <c r="H341" i="1"/>
  <c r="I341" i="1"/>
  <c r="D342" i="1"/>
  <c r="E342" i="1"/>
  <c r="F342" i="1"/>
  <c r="G342" i="1"/>
  <c r="H342" i="1"/>
  <c r="I342" i="1"/>
  <c r="D343" i="1"/>
  <c r="E343" i="1"/>
  <c r="F343" i="1"/>
  <c r="G343" i="1"/>
  <c r="H343" i="1"/>
  <c r="I343" i="1"/>
  <c r="D344" i="1"/>
  <c r="E344" i="1"/>
  <c r="F344" i="1"/>
  <c r="G344" i="1"/>
  <c r="H344" i="1"/>
  <c r="I344" i="1"/>
  <c r="D345" i="1"/>
  <c r="E345" i="1"/>
  <c r="F345" i="1"/>
  <c r="G345" i="1"/>
  <c r="H345" i="1"/>
  <c r="I345" i="1"/>
  <c r="D346" i="1"/>
  <c r="E346" i="1"/>
  <c r="F346" i="1"/>
  <c r="G346" i="1"/>
  <c r="H346" i="1"/>
  <c r="I346" i="1"/>
  <c r="D347" i="1"/>
  <c r="E347" i="1"/>
  <c r="F347" i="1"/>
  <c r="G347" i="1"/>
  <c r="H347" i="1"/>
  <c r="I347" i="1"/>
  <c r="D348" i="1"/>
  <c r="E348" i="1"/>
  <c r="F348" i="1"/>
  <c r="G348" i="1"/>
  <c r="H348" i="1"/>
  <c r="I348" i="1"/>
  <c r="D349" i="1"/>
  <c r="E349" i="1"/>
  <c r="F349" i="1"/>
  <c r="G349" i="1"/>
  <c r="H349" i="1"/>
  <c r="I349" i="1"/>
  <c r="D350" i="1"/>
  <c r="E350" i="1"/>
  <c r="F350" i="1"/>
  <c r="G350" i="1"/>
  <c r="H350" i="1"/>
  <c r="I350" i="1"/>
  <c r="D351" i="1"/>
  <c r="E351" i="1"/>
  <c r="F351" i="1"/>
  <c r="G351" i="1"/>
  <c r="H351" i="1"/>
  <c r="I351" i="1"/>
  <c r="D352" i="1"/>
  <c r="E352" i="1"/>
  <c r="F352" i="1"/>
  <c r="G352" i="1"/>
  <c r="H352" i="1"/>
  <c r="I352" i="1"/>
  <c r="D353" i="1"/>
  <c r="E353" i="1"/>
  <c r="F353" i="1"/>
  <c r="G353" i="1"/>
  <c r="H353" i="1"/>
  <c r="I353" i="1"/>
  <c r="D354" i="1"/>
  <c r="E354" i="1"/>
  <c r="F354" i="1"/>
  <c r="G354" i="1"/>
  <c r="H354" i="1"/>
  <c r="I354" i="1"/>
  <c r="D355" i="1"/>
  <c r="E355" i="1"/>
  <c r="F355" i="1"/>
  <c r="G355" i="1"/>
  <c r="H355" i="1"/>
  <c r="I355" i="1"/>
  <c r="D356" i="1"/>
  <c r="E356" i="1"/>
  <c r="F356" i="1"/>
  <c r="G356" i="1"/>
  <c r="H356" i="1"/>
  <c r="I356" i="1"/>
  <c r="D357" i="1"/>
  <c r="E357" i="1"/>
  <c r="F357" i="1"/>
  <c r="G357" i="1"/>
  <c r="H357" i="1"/>
  <c r="I357" i="1"/>
  <c r="D358" i="1"/>
  <c r="E358" i="1"/>
  <c r="F358" i="1"/>
  <c r="G358" i="1"/>
  <c r="H358" i="1"/>
  <c r="I358" i="1"/>
  <c r="D359" i="1"/>
  <c r="E359" i="1"/>
  <c r="F359" i="1"/>
  <c r="G359" i="1"/>
  <c r="H359" i="1"/>
  <c r="I359" i="1"/>
  <c r="D360" i="1"/>
  <c r="E360" i="1"/>
  <c r="F360" i="1"/>
  <c r="G360" i="1"/>
  <c r="H360" i="1"/>
  <c r="I360" i="1"/>
  <c r="D361" i="1"/>
  <c r="E361" i="1"/>
  <c r="F361" i="1"/>
  <c r="G361" i="1"/>
  <c r="H361" i="1"/>
  <c r="I361" i="1"/>
  <c r="D362" i="1"/>
  <c r="E362" i="1"/>
  <c r="F362" i="1"/>
  <c r="G362" i="1"/>
  <c r="H362" i="1"/>
  <c r="I362" i="1"/>
  <c r="D363" i="1"/>
  <c r="E363" i="1"/>
  <c r="F363" i="1"/>
  <c r="G363" i="1"/>
  <c r="H363" i="1"/>
  <c r="I363" i="1"/>
  <c r="D364" i="1"/>
  <c r="E364" i="1"/>
  <c r="F364" i="1"/>
  <c r="G364" i="1"/>
  <c r="H364" i="1"/>
  <c r="I364" i="1"/>
  <c r="D365" i="1"/>
  <c r="E365" i="1"/>
  <c r="F365" i="1"/>
  <c r="G365" i="1"/>
  <c r="H365" i="1"/>
  <c r="I365" i="1"/>
  <c r="D366" i="1"/>
  <c r="E366" i="1"/>
  <c r="F366" i="1"/>
  <c r="G366" i="1"/>
  <c r="H366" i="1"/>
  <c r="I366" i="1"/>
  <c r="D367" i="1"/>
  <c r="E367" i="1"/>
  <c r="F367" i="1"/>
  <c r="G367" i="1"/>
  <c r="H367" i="1"/>
  <c r="I367" i="1"/>
  <c r="D368" i="1"/>
  <c r="E368" i="1"/>
  <c r="F368" i="1"/>
  <c r="G368" i="1"/>
  <c r="H368" i="1"/>
  <c r="I368" i="1"/>
  <c r="D369" i="1"/>
  <c r="E369" i="1"/>
  <c r="F369" i="1"/>
  <c r="G369" i="1"/>
  <c r="H369" i="1"/>
  <c r="I369" i="1"/>
  <c r="D370" i="1"/>
  <c r="E370" i="1"/>
  <c r="F370" i="1"/>
  <c r="G370" i="1"/>
  <c r="H370" i="1"/>
  <c r="I370" i="1"/>
  <c r="D371" i="1"/>
  <c r="E371" i="1"/>
  <c r="F371" i="1"/>
  <c r="G371" i="1"/>
  <c r="H371" i="1"/>
  <c r="I371" i="1"/>
  <c r="D372" i="1"/>
  <c r="E372" i="1"/>
  <c r="F372" i="1"/>
  <c r="G372" i="1"/>
  <c r="H372" i="1"/>
  <c r="I372" i="1"/>
  <c r="D373" i="1"/>
  <c r="E373" i="1"/>
  <c r="F373" i="1"/>
  <c r="G373" i="1"/>
  <c r="H373" i="1"/>
  <c r="I373" i="1"/>
  <c r="D374" i="1"/>
  <c r="E374" i="1"/>
  <c r="F374" i="1"/>
  <c r="G374" i="1"/>
  <c r="H374" i="1"/>
  <c r="I374" i="1"/>
  <c r="D375" i="1"/>
  <c r="E375" i="1"/>
  <c r="F375" i="1"/>
  <c r="G375" i="1"/>
  <c r="H375" i="1"/>
  <c r="I375" i="1"/>
  <c r="D376" i="1"/>
  <c r="E376" i="1"/>
  <c r="F376" i="1"/>
  <c r="G376" i="1"/>
  <c r="H376" i="1"/>
  <c r="I376" i="1"/>
  <c r="D377" i="1"/>
  <c r="E377" i="1"/>
  <c r="F377" i="1"/>
  <c r="G377" i="1"/>
  <c r="H377" i="1"/>
  <c r="I377" i="1"/>
  <c r="D378" i="1"/>
  <c r="E378" i="1"/>
  <c r="F378" i="1"/>
  <c r="G378" i="1"/>
  <c r="H378" i="1"/>
  <c r="I378" i="1"/>
  <c r="D379" i="1"/>
  <c r="E379" i="1"/>
  <c r="F379" i="1"/>
  <c r="G379" i="1"/>
  <c r="H379" i="1"/>
  <c r="I379" i="1"/>
  <c r="D380" i="1"/>
  <c r="E380" i="1"/>
  <c r="F380" i="1"/>
  <c r="G380" i="1"/>
  <c r="H380" i="1"/>
  <c r="I380" i="1"/>
  <c r="D381" i="1"/>
  <c r="E381" i="1"/>
  <c r="F381" i="1"/>
  <c r="G381" i="1"/>
  <c r="H381" i="1"/>
  <c r="I381" i="1"/>
  <c r="D382" i="1"/>
  <c r="E382" i="1"/>
  <c r="F382" i="1"/>
  <c r="G382" i="1"/>
  <c r="H382" i="1"/>
  <c r="I382" i="1"/>
  <c r="D383" i="1"/>
  <c r="E383" i="1"/>
  <c r="F383" i="1"/>
  <c r="G383" i="1"/>
  <c r="H383" i="1"/>
  <c r="I383" i="1"/>
  <c r="D384" i="1"/>
  <c r="E384" i="1"/>
  <c r="F384" i="1"/>
  <c r="G384" i="1"/>
  <c r="H384" i="1"/>
  <c r="I384" i="1"/>
  <c r="D385" i="1"/>
  <c r="E385" i="1"/>
  <c r="F385" i="1"/>
  <c r="G385" i="1"/>
  <c r="H385" i="1"/>
  <c r="I385" i="1"/>
  <c r="D386" i="1"/>
  <c r="E386" i="1"/>
  <c r="F386" i="1"/>
  <c r="G386" i="1"/>
  <c r="H386" i="1"/>
  <c r="I386" i="1"/>
  <c r="D387" i="1"/>
  <c r="E387" i="1"/>
  <c r="F387" i="1"/>
  <c r="G387" i="1"/>
  <c r="H387" i="1"/>
  <c r="I387" i="1"/>
  <c r="D388" i="1"/>
  <c r="E388" i="1"/>
  <c r="F388" i="1"/>
  <c r="G388" i="1"/>
  <c r="H388" i="1"/>
  <c r="I388" i="1"/>
  <c r="D389" i="1"/>
  <c r="E389" i="1"/>
  <c r="F389" i="1"/>
  <c r="G389" i="1"/>
  <c r="H389" i="1"/>
  <c r="I389" i="1"/>
  <c r="D390" i="1"/>
  <c r="E390" i="1"/>
  <c r="F390" i="1"/>
  <c r="G390" i="1"/>
  <c r="H390" i="1"/>
  <c r="I390" i="1"/>
  <c r="D391" i="1"/>
  <c r="E391" i="1"/>
  <c r="F391" i="1"/>
  <c r="G391" i="1"/>
  <c r="H391" i="1"/>
  <c r="I391" i="1"/>
  <c r="D392" i="1"/>
  <c r="E392" i="1"/>
  <c r="F392" i="1"/>
  <c r="G392" i="1"/>
  <c r="H392" i="1"/>
  <c r="I392" i="1"/>
  <c r="D393" i="1"/>
  <c r="E393" i="1"/>
  <c r="F393" i="1"/>
  <c r="G393" i="1"/>
  <c r="H393" i="1"/>
  <c r="I393" i="1"/>
  <c r="D394" i="1"/>
  <c r="E394" i="1"/>
  <c r="F394" i="1"/>
  <c r="G394" i="1"/>
  <c r="H394" i="1"/>
  <c r="I394" i="1"/>
  <c r="D395" i="1"/>
  <c r="E395" i="1"/>
  <c r="F395" i="1"/>
  <c r="G395" i="1"/>
  <c r="H395" i="1"/>
  <c r="I395" i="1"/>
  <c r="D396" i="1"/>
  <c r="E396" i="1"/>
  <c r="F396" i="1"/>
  <c r="G396" i="1"/>
  <c r="H396" i="1"/>
  <c r="I396" i="1"/>
  <c r="D397" i="1"/>
  <c r="E397" i="1"/>
  <c r="F397" i="1"/>
  <c r="G397" i="1"/>
  <c r="H397" i="1"/>
  <c r="I397" i="1"/>
  <c r="D398" i="1"/>
  <c r="E398" i="1"/>
  <c r="F398" i="1"/>
  <c r="G398" i="1"/>
  <c r="H398" i="1"/>
  <c r="I398" i="1"/>
  <c r="D399" i="1"/>
  <c r="E399" i="1"/>
  <c r="F399" i="1"/>
  <c r="G399" i="1"/>
  <c r="H399" i="1"/>
  <c r="I399" i="1"/>
  <c r="D400" i="1"/>
  <c r="E400" i="1"/>
  <c r="F400" i="1"/>
  <c r="G400" i="1"/>
  <c r="H400" i="1"/>
  <c r="I400" i="1"/>
  <c r="D401" i="1"/>
  <c r="E401" i="1"/>
  <c r="F401" i="1"/>
  <c r="G401" i="1"/>
  <c r="H401" i="1"/>
  <c r="I401" i="1"/>
  <c r="D402" i="1"/>
  <c r="E402" i="1"/>
  <c r="F402" i="1"/>
  <c r="G402" i="1"/>
  <c r="H402" i="1"/>
  <c r="I402" i="1"/>
  <c r="D403" i="1"/>
  <c r="E403" i="1"/>
  <c r="F403" i="1"/>
  <c r="G403" i="1"/>
  <c r="H403" i="1"/>
  <c r="I403" i="1"/>
  <c r="D404" i="1"/>
  <c r="E404" i="1"/>
  <c r="F404" i="1"/>
  <c r="G404" i="1"/>
  <c r="H404" i="1"/>
  <c r="I404" i="1"/>
  <c r="D405" i="1"/>
  <c r="E405" i="1"/>
  <c r="F405" i="1"/>
  <c r="G405" i="1"/>
  <c r="H405" i="1"/>
  <c r="I405" i="1"/>
  <c r="D406" i="1"/>
  <c r="E406" i="1"/>
  <c r="F406" i="1"/>
  <c r="G406" i="1"/>
  <c r="H406" i="1"/>
  <c r="I406" i="1"/>
  <c r="D407" i="1"/>
  <c r="E407" i="1"/>
  <c r="F407" i="1"/>
  <c r="G407" i="1"/>
  <c r="H407" i="1"/>
  <c r="I407" i="1"/>
  <c r="D408" i="1"/>
  <c r="E408" i="1"/>
  <c r="F408" i="1"/>
  <c r="G408" i="1"/>
  <c r="H408" i="1"/>
  <c r="I408" i="1"/>
  <c r="D409" i="1"/>
  <c r="E409" i="1"/>
  <c r="F409" i="1"/>
  <c r="G409" i="1"/>
  <c r="H409" i="1"/>
  <c r="I409" i="1"/>
  <c r="D410" i="1"/>
  <c r="E410" i="1"/>
  <c r="F410" i="1"/>
  <c r="G410" i="1"/>
  <c r="H410" i="1"/>
  <c r="I410" i="1"/>
  <c r="D411" i="1"/>
  <c r="E411" i="1"/>
  <c r="F411" i="1"/>
  <c r="G411" i="1"/>
  <c r="H411" i="1"/>
  <c r="I411" i="1"/>
  <c r="D412" i="1"/>
  <c r="E412" i="1"/>
  <c r="F412" i="1"/>
  <c r="G412" i="1"/>
  <c r="H412" i="1"/>
  <c r="I412" i="1"/>
  <c r="D413" i="1"/>
  <c r="E413" i="1"/>
  <c r="F413" i="1"/>
  <c r="G413" i="1"/>
  <c r="H413" i="1"/>
  <c r="I413" i="1"/>
  <c r="D414" i="1"/>
  <c r="E414" i="1"/>
  <c r="F414" i="1"/>
  <c r="G414" i="1"/>
  <c r="H414" i="1"/>
  <c r="I414" i="1"/>
  <c r="D415" i="1"/>
  <c r="E415" i="1"/>
  <c r="F415" i="1"/>
  <c r="G415" i="1"/>
  <c r="H415" i="1"/>
  <c r="I415" i="1"/>
  <c r="D416" i="1"/>
  <c r="E416" i="1"/>
  <c r="F416" i="1"/>
  <c r="G416" i="1"/>
  <c r="H416" i="1"/>
  <c r="I416" i="1"/>
  <c r="D417" i="1"/>
  <c r="E417" i="1"/>
  <c r="F417" i="1"/>
  <c r="G417" i="1"/>
  <c r="H417" i="1"/>
  <c r="I417" i="1"/>
  <c r="D418" i="1"/>
  <c r="E418" i="1"/>
  <c r="F418" i="1"/>
  <c r="G418" i="1"/>
  <c r="H418" i="1"/>
  <c r="I418" i="1"/>
  <c r="D419" i="1"/>
  <c r="E419" i="1"/>
  <c r="F419" i="1"/>
  <c r="G419" i="1"/>
  <c r="H419" i="1"/>
  <c r="I419" i="1"/>
  <c r="D420" i="1"/>
  <c r="E420" i="1"/>
  <c r="F420" i="1"/>
  <c r="G420" i="1"/>
  <c r="H420" i="1"/>
  <c r="I420" i="1"/>
  <c r="D421" i="1"/>
  <c r="E421" i="1"/>
  <c r="F421" i="1"/>
  <c r="G421" i="1"/>
  <c r="H421" i="1"/>
  <c r="I421" i="1"/>
  <c r="D422" i="1"/>
  <c r="E422" i="1"/>
  <c r="F422" i="1"/>
  <c r="G422" i="1"/>
  <c r="H422" i="1"/>
  <c r="I422" i="1"/>
  <c r="D423" i="1"/>
  <c r="E423" i="1"/>
  <c r="F423" i="1"/>
  <c r="G423" i="1"/>
  <c r="H423" i="1"/>
  <c r="I423" i="1"/>
  <c r="D424" i="1"/>
  <c r="E424" i="1"/>
  <c r="F424" i="1"/>
  <c r="G424" i="1"/>
  <c r="H424" i="1"/>
  <c r="I424" i="1"/>
  <c r="D425" i="1"/>
  <c r="E425" i="1"/>
  <c r="F425" i="1"/>
  <c r="G425" i="1"/>
  <c r="H425" i="1"/>
  <c r="I425" i="1"/>
  <c r="D426" i="1"/>
  <c r="E426" i="1"/>
  <c r="F426" i="1"/>
  <c r="G426" i="1"/>
  <c r="H426" i="1"/>
  <c r="I426" i="1"/>
  <c r="D427" i="1"/>
  <c r="E427" i="1"/>
  <c r="F427" i="1"/>
  <c r="G427" i="1"/>
  <c r="H427" i="1"/>
  <c r="I427" i="1"/>
  <c r="D428" i="1"/>
  <c r="E428" i="1"/>
  <c r="F428" i="1"/>
  <c r="G428" i="1"/>
  <c r="H428" i="1"/>
  <c r="I428" i="1"/>
  <c r="D429" i="1"/>
  <c r="E429" i="1"/>
  <c r="F429" i="1"/>
  <c r="G429" i="1"/>
  <c r="H429" i="1"/>
  <c r="I429" i="1"/>
  <c r="D430" i="1"/>
  <c r="E430" i="1"/>
  <c r="F430" i="1"/>
  <c r="G430" i="1"/>
  <c r="H430" i="1"/>
  <c r="I430" i="1"/>
  <c r="D431" i="1"/>
  <c r="E431" i="1"/>
  <c r="F431" i="1"/>
  <c r="G431" i="1"/>
  <c r="H431" i="1"/>
  <c r="I431" i="1"/>
  <c r="D432" i="1"/>
  <c r="E432" i="1"/>
  <c r="F432" i="1"/>
  <c r="G432" i="1"/>
  <c r="H432" i="1"/>
  <c r="I432" i="1"/>
  <c r="D433" i="1"/>
  <c r="E433" i="1"/>
  <c r="F433" i="1"/>
  <c r="G433" i="1"/>
  <c r="H433" i="1"/>
  <c r="I433" i="1"/>
  <c r="D434" i="1"/>
  <c r="E434" i="1"/>
  <c r="F434" i="1"/>
  <c r="G434" i="1"/>
  <c r="H434" i="1"/>
  <c r="I434" i="1"/>
  <c r="D435" i="1"/>
  <c r="E435" i="1"/>
  <c r="F435" i="1"/>
  <c r="G435" i="1"/>
  <c r="H435" i="1"/>
  <c r="I435" i="1"/>
  <c r="D436" i="1"/>
  <c r="E436" i="1"/>
  <c r="F436" i="1"/>
  <c r="G436" i="1"/>
  <c r="H436" i="1"/>
  <c r="I436" i="1"/>
  <c r="D437" i="1"/>
  <c r="E437" i="1"/>
  <c r="F437" i="1"/>
  <c r="G437" i="1"/>
  <c r="H437" i="1"/>
  <c r="I437" i="1"/>
  <c r="D438" i="1"/>
  <c r="E438" i="1"/>
  <c r="F438" i="1"/>
  <c r="G438" i="1"/>
  <c r="H438" i="1"/>
  <c r="I438" i="1"/>
  <c r="D439" i="1"/>
  <c r="E439" i="1"/>
  <c r="F439" i="1"/>
  <c r="G439" i="1"/>
  <c r="H439" i="1"/>
  <c r="I439" i="1"/>
  <c r="D440" i="1"/>
  <c r="E440" i="1"/>
  <c r="F440" i="1"/>
  <c r="G440" i="1"/>
  <c r="H440" i="1"/>
  <c r="I440" i="1"/>
  <c r="D441" i="1"/>
  <c r="E441" i="1"/>
  <c r="F441" i="1"/>
  <c r="G441" i="1"/>
  <c r="H441" i="1"/>
  <c r="I441" i="1"/>
  <c r="D442" i="1"/>
  <c r="E442" i="1"/>
  <c r="F442" i="1"/>
  <c r="G442" i="1"/>
  <c r="H442" i="1"/>
  <c r="I442" i="1"/>
  <c r="D443" i="1"/>
  <c r="E443" i="1"/>
  <c r="F443" i="1"/>
  <c r="G443" i="1"/>
  <c r="H443" i="1"/>
  <c r="I443" i="1"/>
  <c r="D444" i="1"/>
  <c r="E444" i="1"/>
  <c r="F444" i="1"/>
  <c r="G444" i="1"/>
  <c r="J444" i="1" s="1"/>
  <c r="H444" i="1"/>
  <c r="I444" i="1"/>
  <c r="D445" i="1"/>
  <c r="E445" i="1"/>
  <c r="F445" i="1"/>
  <c r="G445" i="1"/>
  <c r="H445" i="1"/>
  <c r="I445" i="1"/>
  <c r="D446" i="1"/>
  <c r="E446" i="1"/>
  <c r="F446" i="1"/>
  <c r="G446" i="1"/>
  <c r="H446" i="1"/>
  <c r="I446" i="1"/>
  <c r="D447" i="1"/>
  <c r="E447" i="1"/>
  <c r="F447" i="1"/>
  <c r="G447" i="1"/>
  <c r="H447" i="1"/>
  <c r="I447" i="1"/>
  <c r="D448" i="1"/>
  <c r="E448" i="1"/>
  <c r="F448" i="1"/>
  <c r="G448" i="1"/>
  <c r="H448" i="1"/>
  <c r="I448" i="1"/>
  <c r="D449" i="1"/>
  <c r="E449" i="1"/>
  <c r="F449" i="1"/>
  <c r="G449" i="1"/>
  <c r="H449" i="1"/>
  <c r="I449" i="1"/>
  <c r="D450" i="1"/>
  <c r="E450" i="1"/>
  <c r="F450" i="1"/>
  <c r="G450" i="1"/>
  <c r="H450" i="1"/>
  <c r="I450" i="1"/>
  <c r="D451" i="1"/>
  <c r="E451" i="1"/>
  <c r="F451" i="1"/>
  <c r="G451" i="1"/>
  <c r="H451" i="1"/>
  <c r="I451" i="1"/>
  <c r="D452" i="1"/>
  <c r="E452" i="1"/>
  <c r="F452" i="1"/>
  <c r="G452" i="1"/>
  <c r="H452" i="1"/>
  <c r="I452" i="1"/>
  <c r="D453" i="1"/>
  <c r="E453" i="1"/>
  <c r="F453" i="1"/>
  <c r="G453" i="1"/>
  <c r="H453" i="1"/>
  <c r="I453" i="1"/>
  <c r="D454" i="1"/>
  <c r="E454" i="1"/>
  <c r="F454" i="1"/>
  <c r="G454" i="1"/>
  <c r="H454" i="1"/>
  <c r="I454" i="1"/>
  <c r="D455" i="1"/>
  <c r="E455" i="1"/>
  <c r="F455" i="1"/>
  <c r="G455" i="1"/>
  <c r="H455" i="1"/>
  <c r="I455" i="1"/>
  <c r="D456" i="1"/>
  <c r="E456" i="1"/>
  <c r="F456" i="1"/>
  <c r="G456" i="1"/>
  <c r="H456" i="1"/>
  <c r="I456" i="1"/>
  <c r="D457" i="1"/>
  <c r="E457" i="1"/>
  <c r="F457" i="1"/>
  <c r="G457" i="1"/>
  <c r="H457" i="1"/>
  <c r="I457" i="1"/>
  <c r="D458" i="1"/>
  <c r="E458" i="1"/>
  <c r="F458" i="1"/>
  <c r="G458" i="1"/>
  <c r="H458" i="1"/>
  <c r="I458" i="1"/>
  <c r="D459" i="1"/>
  <c r="E459" i="1"/>
  <c r="F459" i="1"/>
  <c r="G459" i="1"/>
  <c r="H459" i="1"/>
  <c r="I459" i="1"/>
  <c r="D460" i="1"/>
  <c r="E460" i="1"/>
  <c r="F460" i="1"/>
  <c r="G460" i="1"/>
  <c r="H460" i="1"/>
  <c r="I460" i="1"/>
  <c r="D461" i="1"/>
  <c r="E461" i="1"/>
  <c r="F461" i="1"/>
  <c r="G461" i="1"/>
  <c r="H461" i="1"/>
  <c r="I461" i="1"/>
  <c r="D462" i="1"/>
  <c r="E462" i="1"/>
  <c r="F462" i="1"/>
  <c r="G462" i="1"/>
  <c r="H462" i="1"/>
  <c r="I462" i="1"/>
  <c r="D463" i="1"/>
  <c r="E463" i="1"/>
  <c r="F463" i="1"/>
  <c r="G463" i="1"/>
  <c r="H463" i="1"/>
  <c r="I463" i="1"/>
  <c r="D464" i="1"/>
  <c r="E464" i="1"/>
  <c r="F464" i="1"/>
  <c r="G464" i="1"/>
  <c r="H464" i="1"/>
  <c r="I464" i="1"/>
  <c r="D465" i="1"/>
  <c r="E465" i="1"/>
  <c r="F465" i="1"/>
  <c r="G465" i="1"/>
  <c r="H465" i="1"/>
  <c r="I465" i="1"/>
  <c r="D466" i="1"/>
  <c r="E466" i="1"/>
  <c r="F466" i="1"/>
  <c r="G466" i="1"/>
  <c r="H466" i="1"/>
  <c r="I466" i="1"/>
  <c r="D467" i="1"/>
  <c r="E467" i="1"/>
  <c r="F467" i="1"/>
  <c r="G467" i="1"/>
  <c r="H467" i="1"/>
  <c r="I467" i="1"/>
  <c r="D468" i="1"/>
  <c r="E468" i="1"/>
  <c r="F468" i="1"/>
  <c r="G468" i="1"/>
  <c r="H468" i="1"/>
  <c r="I468" i="1"/>
  <c r="D469" i="1"/>
  <c r="E469" i="1"/>
  <c r="F469" i="1"/>
  <c r="G469" i="1"/>
  <c r="H469" i="1"/>
  <c r="I469" i="1"/>
  <c r="D470" i="1"/>
  <c r="E470" i="1"/>
  <c r="F470" i="1"/>
  <c r="G470" i="1"/>
  <c r="H470" i="1"/>
  <c r="I470" i="1"/>
  <c r="D471" i="1"/>
  <c r="E471" i="1"/>
  <c r="F471" i="1"/>
  <c r="G471" i="1"/>
  <c r="H471" i="1"/>
  <c r="I471" i="1"/>
  <c r="D472" i="1"/>
  <c r="E472" i="1"/>
  <c r="F472" i="1"/>
  <c r="G472" i="1"/>
  <c r="H472" i="1"/>
  <c r="I472" i="1"/>
  <c r="D473" i="1"/>
  <c r="E473" i="1"/>
  <c r="F473" i="1"/>
  <c r="G473" i="1"/>
  <c r="H473" i="1"/>
  <c r="I473" i="1"/>
  <c r="D474" i="1"/>
  <c r="E474" i="1"/>
  <c r="F474" i="1"/>
  <c r="G474" i="1"/>
  <c r="H474" i="1"/>
  <c r="I474" i="1"/>
  <c r="D475" i="1"/>
  <c r="E475" i="1"/>
  <c r="F475" i="1"/>
  <c r="G475" i="1"/>
  <c r="H475" i="1"/>
  <c r="I475" i="1"/>
  <c r="D476" i="1"/>
  <c r="E476" i="1"/>
  <c r="F476" i="1"/>
  <c r="G476" i="1"/>
  <c r="H476" i="1"/>
  <c r="I476" i="1"/>
  <c r="D477" i="1"/>
  <c r="E477" i="1"/>
  <c r="F477" i="1"/>
  <c r="G477" i="1"/>
  <c r="H477" i="1"/>
  <c r="I477" i="1"/>
  <c r="D478" i="1"/>
  <c r="E478" i="1"/>
  <c r="F478" i="1"/>
  <c r="G478" i="1"/>
  <c r="H478" i="1"/>
  <c r="I478" i="1"/>
  <c r="D479" i="1"/>
  <c r="E479" i="1"/>
  <c r="F479" i="1"/>
  <c r="G479" i="1"/>
  <c r="H479" i="1"/>
  <c r="I479" i="1"/>
  <c r="D480" i="1"/>
  <c r="E480" i="1"/>
  <c r="F480" i="1"/>
  <c r="G480" i="1"/>
  <c r="H480" i="1"/>
  <c r="I480" i="1"/>
  <c r="D481" i="1"/>
  <c r="E481" i="1"/>
  <c r="F481" i="1"/>
  <c r="G481" i="1"/>
  <c r="H481" i="1"/>
  <c r="I481" i="1"/>
  <c r="D482" i="1"/>
  <c r="E482" i="1"/>
  <c r="F482" i="1"/>
  <c r="G482" i="1"/>
  <c r="H482" i="1"/>
  <c r="I482" i="1"/>
  <c r="D483" i="1"/>
  <c r="E483" i="1"/>
  <c r="F483" i="1"/>
  <c r="G483" i="1"/>
  <c r="H483" i="1"/>
  <c r="I483" i="1"/>
  <c r="D484" i="1"/>
  <c r="E484" i="1"/>
  <c r="F484" i="1"/>
  <c r="G484" i="1"/>
  <c r="H484" i="1"/>
  <c r="I484" i="1"/>
  <c r="D485" i="1"/>
  <c r="E485" i="1"/>
  <c r="F485" i="1"/>
  <c r="G485" i="1"/>
  <c r="H485" i="1"/>
  <c r="I485" i="1"/>
  <c r="D486" i="1"/>
  <c r="E486" i="1"/>
  <c r="F486" i="1"/>
  <c r="G486" i="1"/>
  <c r="H486" i="1"/>
  <c r="I486" i="1"/>
  <c r="D487" i="1"/>
  <c r="E487" i="1"/>
  <c r="F487" i="1"/>
  <c r="G487" i="1"/>
  <c r="H487" i="1"/>
  <c r="I487" i="1"/>
  <c r="D488" i="1"/>
  <c r="E488" i="1"/>
  <c r="F488" i="1"/>
  <c r="G488" i="1"/>
  <c r="H488" i="1"/>
  <c r="I488" i="1"/>
  <c r="D489" i="1"/>
  <c r="E489" i="1"/>
  <c r="F489" i="1"/>
  <c r="G489" i="1"/>
  <c r="H489" i="1"/>
  <c r="I489" i="1"/>
  <c r="D490" i="1"/>
  <c r="E490" i="1"/>
  <c r="F490" i="1"/>
  <c r="G490" i="1"/>
  <c r="H490" i="1"/>
  <c r="I490" i="1"/>
  <c r="D27" i="1"/>
  <c r="E27" i="1"/>
  <c r="F27" i="1"/>
  <c r="G27" i="1"/>
  <c r="H27" i="1"/>
  <c r="I27" i="1"/>
  <c r="D28" i="1"/>
  <c r="E28" i="1"/>
  <c r="F28" i="1"/>
  <c r="G28" i="1"/>
  <c r="H28" i="1"/>
  <c r="I28" i="1"/>
  <c r="D29" i="1"/>
  <c r="E29" i="1"/>
  <c r="F29" i="1"/>
  <c r="G29" i="1"/>
  <c r="H29" i="1"/>
  <c r="I29" i="1"/>
  <c r="D30" i="1"/>
  <c r="E30" i="1"/>
  <c r="F30" i="1"/>
  <c r="G30" i="1"/>
  <c r="H30" i="1"/>
  <c r="I30" i="1"/>
  <c r="D31" i="1"/>
  <c r="E31" i="1"/>
  <c r="F31" i="1"/>
  <c r="G31" i="1"/>
  <c r="H31" i="1"/>
  <c r="I31" i="1"/>
  <c r="D32" i="1"/>
  <c r="E32" i="1"/>
  <c r="F32" i="1"/>
  <c r="G32" i="1"/>
  <c r="H32" i="1"/>
  <c r="I32" i="1"/>
  <c r="D33" i="1"/>
  <c r="E33" i="1"/>
  <c r="F33" i="1"/>
  <c r="G33" i="1"/>
  <c r="H33" i="1"/>
  <c r="I33" i="1"/>
  <c r="D34" i="1"/>
  <c r="E34" i="1"/>
  <c r="F34" i="1"/>
  <c r="G34" i="1"/>
  <c r="H34" i="1"/>
  <c r="I34" i="1"/>
  <c r="D35" i="1"/>
  <c r="E35" i="1"/>
  <c r="F35" i="1"/>
  <c r="G35" i="1"/>
  <c r="H35" i="1"/>
  <c r="I35" i="1"/>
  <c r="D36" i="1"/>
  <c r="E36" i="1"/>
  <c r="F36" i="1"/>
  <c r="G36" i="1"/>
  <c r="H36" i="1"/>
  <c r="I36" i="1"/>
  <c r="D37" i="1"/>
  <c r="E37" i="1"/>
  <c r="F37" i="1"/>
  <c r="G37" i="1"/>
  <c r="H37" i="1"/>
  <c r="I37" i="1"/>
  <c r="D38" i="1"/>
  <c r="E38" i="1"/>
  <c r="F38" i="1"/>
  <c r="G38" i="1"/>
  <c r="H38" i="1"/>
  <c r="I38" i="1"/>
  <c r="D39" i="1"/>
  <c r="E39" i="1"/>
  <c r="F39" i="1"/>
  <c r="G39" i="1"/>
  <c r="H39" i="1"/>
  <c r="I39" i="1"/>
  <c r="D40" i="1"/>
  <c r="E40" i="1"/>
  <c r="F40" i="1"/>
  <c r="G40" i="1"/>
  <c r="H40" i="1"/>
  <c r="I40" i="1"/>
  <c r="D41" i="1"/>
  <c r="E41" i="1"/>
  <c r="F41" i="1"/>
  <c r="G41" i="1"/>
  <c r="H41" i="1"/>
  <c r="I41" i="1"/>
  <c r="D42" i="1"/>
  <c r="E42" i="1"/>
  <c r="F42" i="1"/>
  <c r="G42" i="1"/>
  <c r="H42" i="1"/>
  <c r="I42" i="1"/>
  <c r="D43" i="1"/>
  <c r="E43" i="1"/>
  <c r="F43" i="1"/>
  <c r="G43" i="1"/>
  <c r="H43" i="1"/>
  <c r="I43" i="1"/>
  <c r="D44" i="1"/>
  <c r="E44" i="1"/>
  <c r="F44" i="1"/>
  <c r="G44" i="1"/>
  <c r="H44" i="1"/>
  <c r="I44" i="1"/>
  <c r="D45" i="1"/>
  <c r="E45" i="1"/>
  <c r="F45" i="1"/>
  <c r="G45" i="1"/>
  <c r="H45" i="1"/>
  <c r="I45" i="1"/>
  <c r="D46" i="1"/>
  <c r="E46" i="1"/>
  <c r="F46" i="1"/>
  <c r="G46" i="1"/>
  <c r="H46" i="1"/>
  <c r="I46" i="1"/>
  <c r="D47" i="1"/>
  <c r="E47" i="1"/>
  <c r="F47" i="1"/>
  <c r="G47" i="1"/>
  <c r="H47" i="1"/>
  <c r="I47" i="1"/>
  <c r="D48" i="1"/>
  <c r="E48" i="1"/>
  <c r="F48" i="1"/>
  <c r="G48" i="1"/>
  <c r="H48" i="1"/>
  <c r="I48" i="1"/>
  <c r="D49" i="1"/>
  <c r="E49" i="1"/>
  <c r="F49" i="1"/>
  <c r="G49" i="1"/>
  <c r="H49" i="1"/>
  <c r="I49" i="1"/>
  <c r="D50" i="1"/>
  <c r="E50" i="1"/>
  <c r="F50" i="1"/>
  <c r="G50" i="1"/>
  <c r="H50" i="1"/>
  <c r="I50" i="1"/>
  <c r="D51" i="1"/>
  <c r="E51" i="1"/>
  <c r="F51" i="1"/>
  <c r="G51" i="1"/>
  <c r="H51" i="1"/>
  <c r="I51" i="1"/>
  <c r="D52" i="1"/>
  <c r="E52" i="1"/>
  <c r="F52" i="1"/>
  <c r="G52" i="1"/>
  <c r="H52" i="1"/>
  <c r="I52" i="1"/>
  <c r="D53" i="1"/>
  <c r="E53" i="1"/>
  <c r="F53" i="1"/>
  <c r="G53" i="1"/>
  <c r="H53" i="1"/>
  <c r="I53" i="1"/>
  <c r="D54" i="1"/>
  <c r="E54" i="1"/>
  <c r="F54" i="1"/>
  <c r="G54" i="1"/>
  <c r="H54" i="1"/>
  <c r="I54" i="1"/>
  <c r="D55" i="1"/>
  <c r="E55" i="1"/>
  <c r="F55" i="1"/>
  <c r="G55" i="1"/>
  <c r="H55" i="1"/>
  <c r="I55" i="1"/>
  <c r="D56" i="1"/>
  <c r="E56" i="1"/>
  <c r="F56" i="1"/>
  <c r="G56" i="1"/>
  <c r="H56" i="1"/>
  <c r="I56" i="1"/>
  <c r="D57" i="1"/>
  <c r="E57" i="1"/>
  <c r="F57" i="1"/>
  <c r="G57" i="1"/>
  <c r="H57" i="1"/>
  <c r="I57" i="1"/>
  <c r="D58" i="1"/>
  <c r="E58" i="1"/>
  <c r="F58" i="1"/>
  <c r="G58" i="1"/>
  <c r="H58" i="1"/>
  <c r="I58" i="1"/>
  <c r="D59" i="1"/>
  <c r="E59" i="1"/>
  <c r="F59" i="1"/>
  <c r="G59" i="1"/>
  <c r="H59" i="1"/>
  <c r="I59" i="1"/>
  <c r="D60" i="1"/>
  <c r="E60" i="1"/>
  <c r="F60" i="1"/>
  <c r="G60" i="1"/>
  <c r="H60" i="1"/>
  <c r="I60" i="1"/>
  <c r="D61" i="1"/>
  <c r="E61" i="1"/>
  <c r="F61" i="1"/>
  <c r="G61" i="1"/>
  <c r="H61" i="1"/>
  <c r="I61" i="1"/>
  <c r="D62" i="1"/>
  <c r="E62" i="1"/>
  <c r="F62" i="1"/>
  <c r="G62" i="1"/>
  <c r="H62" i="1"/>
  <c r="I62" i="1"/>
  <c r="D63" i="1"/>
  <c r="E63" i="1"/>
  <c r="F63" i="1"/>
  <c r="G63" i="1"/>
  <c r="H63" i="1"/>
  <c r="I63" i="1"/>
  <c r="D64" i="1"/>
  <c r="E64" i="1"/>
  <c r="F64" i="1"/>
  <c r="G64" i="1"/>
  <c r="H64" i="1"/>
  <c r="I64" i="1"/>
  <c r="D65" i="1"/>
  <c r="E65" i="1"/>
  <c r="F65" i="1"/>
  <c r="G65" i="1"/>
  <c r="H65" i="1"/>
  <c r="I65" i="1"/>
  <c r="D66" i="1"/>
  <c r="E66" i="1"/>
  <c r="F66" i="1"/>
  <c r="G66" i="1"/>
  <c r="H66" i="1"/>
  <c r="I66" i="1"/>
  <c r="D67" i="1"/>
  <c r="E67" i="1"/>
  <c r="F67" i="1"/>
  <c r="G67" i="1"/>
  <c r="H67" i="1"/>
  <c r="I67" i="1"/>
  <c r="D68" i="1"/>
  <c r="E68" i="1"/>
  <c r="F68" i="1"/>
  <c r="G68" i="1"/>
  <c r="H68" i="1"/>
  <c r="I68" i="1"/>
  <c r="D69" i="1"/>
  <c r="E69" i="1"/>
  <c r="F69" i="1"/>
  <c r="G69" i="1"/>
  <c r="H69" i="1"/>
  <c r="I69" i="1"/>
  <c r="D70" i="1"/>
  <c r="E70" i="1"/>
  <c r="F70" i="1"/>
  <c r="G70" i="1"/>
  <c r="H70" i="1"/>
  <c r="I70" i="1"/>
  <c r="D71" i="1"/>
  <c r="E71" i="1"/>
  <c r="F71" i="1"/>
  <c r="G71" i="1"/>
  <c r="H71" i="1"/>
  <c r="I71" i="1"/>
  <c r="D72" i="1"/>
  <c r="E72" i="1"/>
  <c r="F72" i="1"/>
  <c r="G72" i="1"/>
  <c r="H72" i="1"/>
  <c r="I72" i="1"/>
  <c r="D73" i="1"/>
  <c r="E73" i="1"/>
  <c r="F73" i="1"/>
  <c r="G73" i="1"/>
  <c r="H73" i="1"/>
  <c r="I73" i="1"/>
  <c r="D74" i="1"/>
  <c r="E74" i="1"/>
  <c r="F74" i="1"/>
  <c r="G74" i="1"/>
  <c r="H74" i="1"/>
  <c r="I74" i="1"/>
  <c r="D75" i="1"/>
  <c r="E75" i="1"/>
  <c r="F75" i="1"/>
  <c r="G75" i="1"/>
  <c r="H75" i="1"/>
  <c r="I75" i="1"/>
  <c r="D76" i="1"/>
  <c r="E76" i="1"/>
  <c r="F76" i="1"/>
  <c r="G76" i="1"/>
  <c r="H76" i="1"/>
  <c r="I76" i="1"/>
  <c r="D77" i="1"/>
  <c r="E77" i="1"/>
  <c r="F77" i="1"/>
  <c r="G77" i="1"/>
  <c r="H77" i="1"/>
  <c r="I77" i="1"/>
  <c r="D78" i="1"/>
  <c r="E78" i="1"/>
  <c r="F78" i="1"/>
  <c r="G78" i="1"/>
  <c r="H78" i="1"/>
  <c r="I78" i="1"/>
  <c r="D79" i="1"/>
  <c r="E79" i="1"/>
  <c r="F79" i="1"/>
  <c r="G79" i="1"/>
  <c r="H79" i="1"/>
  <c r="I79" i="1"/>
  <c r="D80" i="1"/>
  <c r="E80" i="1"/>
  <c r="F80" i="1"/>
  <c r="G80" i="1"/>
  <c r="H80" i="1"/>
  <c r="I80" i="1"/>
  <c r="D81" i="1"/>
  <c r="E81" i="1"/>
  <c r="F81" i="1"/>
  <c r="G81" i="1"/>
  <c r="H81" i="1"/>
  <c r="I81" i="1"/>
  <c r="D82" i="1"/>
  <c r="E82" i="1"/>
  <c r="F82" i="1"/>
  <c r="G82" i="1"/>
  <c r="H82" i="1"/>
  <c r="I82" i="1"/>
  <c r="D83" i="1"/>
  <c r="E83" i="1"/>
  <c r="F83" i="1"/>
  <c r="G83" i="1"/>
  <c r="H83" i="1"/>
  <c r="I83" i="1"/>
  <c r="D84" i="1"/>
  <c r="E84" i="1"/>
  <c r="F84" i="1"/>
  <c r="G84" i="1"/>
  <c r="H84" i="1"/>
  <c r="I84" i="1"/>
  <c r="D85" i="1"/>
  <c r="E85" i="1"/>
  <c r="F85" i="1"/>
  <c r="G85" i="1"/>
  <c r="H85" i="1"/>
  <c r="I85" i="1"/>
  <c r="D86" i="1"/>
  <c r="E86" i="1"/>
  <c r="F86" i="1"/>
  <c r="G86" i="1"/>
  <c r="H86" i="1"/>
  <c r="I86" i="1"/>
  <c r="D87" i="1"/>
  <c r="E87" i="1"/>
  <c r="F87" i="1"/>
  <c r="G87" i="1"/>
  <c r="H87" i="1"/>
  <c r="I87" i="1"/>
  <c r="D88" i="1"/>
  <c r="E88" i="1"/>
  <c r="F88" i="1"/>
  <c r="G88" i="1"/>
  <c r="H88" i="1"/>
  <c r="I88" i="1"/>
  <c r="D89" i="1"/>
  <c r="E89" i="1"/>
  <c r="F89" i="1"/>
  <c r="G89" i="1"/>
  <c r="H89" i="1"/>
  <c r="I89" i="1"/>
  <c r="D90" i="1"/>
  <c r="E90" i="1"/>
  <c r="F90" i="1"/>
  <c r="G90" i="1"/>
  <c r="H90" i="1"/>
  <c r="I90" i="1"/>
  <c r="D91" i="1"/>
  <c r="E91" i="1"/>
  <c r="F91" i="1"/>
  <c r="G91" i="1"/>
  <c r="H91" i="1"/>
  <c r="I91" i="1"/>
  <c r="D92" i="1"/>
  <c r="E92" i="1"/>
  <c r="F92" i="1"/>
  <c r="G92" i="1"/>
  <c r="H92" i="1"/>
  <c r="I92" i="1"/>
  <c r="D93" i="1"/>
  <c r="E93" i="1"/>
  <c r="F93" i="1"/>
  <c r="G93" i="1"/>
  <c r="H93" i="1"/>
  <c r="I93" i="1"/>
  <c r="D94" i="1"/>
  <c r="E94" i="1"/>
  <c r="F94" i="1"/>
  <c r="G94" i="1"/>
  <c r="H94" i="1"/>
  <c r="I94" i="1"/>
  <c r="D95" i="1"/>
  <c r="E95" i="1"/>
  <c r="F95" i="1"/>
  <c r="G95" i="1"/>
  <c r="H95" i="1"/>
  <c r="I95" i="1"/>
  <c r="D96" i="1"/>
  <c r="E96" i="1"/>
  <c r="F96" i="1"/>
  <c r="G96" i="1"/>
  <c r="H96" i="1"/>
  <c r="I96" i="1"/>
  <c r="D97" i="1"/>
  <c r="E97" i="1"/>
  <c r="F97" i="1"/>
  <c r="G97" i="1"/>
  <c r="H97" i="1"/>
  <c r="I97" i="1"/>
  <c r="D98" i="1"/>
  <c r="E98" i="1"/>
  <c r="F98" i="1"/>
  <c r="G98" i="1"/>
  <c r="H98" i="1"/>
  <c r="I98" i="1"/>
  <c r="D99" i="1"/>
  <c r="E99" i="1"/>
  <c r="F99" i="1"/>
  <c r="G99" i="1"/>
  <c r="H99" i="1"/>
  <c r="I99" i="1"/>
  <c r="D100" i="1"/>
  <c r="E100" i="1"/>
  <c r="F100" i="1"/>
  <c r="G100" i="1"/>
  <c r="H100" i="1"/>
  <c r="I100" i="1"/>
  <c r="D101" i="1"/>
  <c r="E101" i="1"/>
  <c r="F101" i="1"/>
  <c r="G101" i="1"/>
  <c r="H101" i="1"/>
  <c r="I101" i="1"/>
  <c r="D102" i="1"/>
  <c r="E102" i="1"/>
  <c r="F102" i="1"/>
  <c r="G102" i="1"/>
  <c r="H102" i="1"/>
  <c r="I102" i="1"/>
  <c r="D103" i="1"/>
  <c r="E103" i="1"/>
  <c r="F103" i="1"/>
  <c r="G103" i="1"/>
  <c r="H103" i="1"/>
  <c r="I103" i="1"/>
  <c r="D104" i="1"/>
  <c r="E104" i="1"/>
  <c r="F104" i="1"/>
  <c r="G104" i="1"/>
  <c r="H104" i="1"/>
  <c r="I104" i="1"/>
  <c r="D105" i="1"/>
  <c r="E105" i="1"/>
  <c r="F105" i="1"/>
  <c r="G105" i="1"/>
  <c r="H105" i="1"/>
  <c r="I105" i="1"/>
  <c r="D106" i="1"/>
  <c r="E106" i="1"/>
  <c r="F106" i="1"/>
  <c r="G106" i="1"/>
  <c r="H106" i="1"/>
  <c r="I106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8" i="1"/>
  <c r="G9" i="1"/>
  <c r="G10" i="1"/>
  <c r="G11" i="1"/>
  <c r="G12" i="1"/>
  <c r="G13" i="1"/>
  <c r="G8" i="1"/>
  <c r="F9" i="1"/>
  <c r="F10" i="1"/>
  <c r="F11" i="1"/>
  <c r="F12" i="1"/>
  <c r="F13" i="1"/>
  <c r="F8" i="1"/>
  <c r="E9" i="1"/>
  <c r="E10" i="1"/>
  <c r="E11" i="1"/>
  <c r="E12" i="1"/>
  <c r="E13" i="1"/>
  <c r="E8" i="1"/>
  <c r="D9" i="1"/>
  <c r="D10" i="1"/>
  <c r="D11" i="1"/>
  <c r="D12" i="1"/>
  <c r="D13" i="1"/>
  <c r="D8" i="1"/>
  <c r="J401" i="1" l="1"/>
  <c r="J492" i="1"/>
  <c r="J494" i="1"/>
  <c r="J496" i="1"/>
  <c r="J500" i="1"/>
  <c r="I5" i="1"/>
  <c r="J503" i="1"/>
  <c r="J499" i="1"/>
  <c r="J497" i="1"/>
  <c r="J446" i="1"/>
  <c r="J459" i="1"/>
  <c r="J451" i="1"/>
  <c r="J495" i="1"/>
  <c r="J506" i="1"/>
  <c r="J489" i="1"/>
  <c r="J445" i="1"/>
  <c r="J491" i="1"/>
  <c r="J504" i="1"/>
  <c r="J421" i="1"/>
  <c r="J405" i="1"/>
  <c r="J411" i="1"/>
  <c r="J407" i="1"/>
  <c r="J403" i="1"/>
  <c r="J475" i="1"/>
  <c r="J467" i="1"/>
  <c r="J463" i="1"/>
  <c r="J461" i="1"/>
  <c r="J431" i="1"/>
  <c r="J425" i="1"/>
  <c r="J423" i="1"/>
  <c r="J385" i="1"/>
  <c r="J357" i="1"/>
  <c r="J341" i="1"/>
  <c r="J333" i="1"/>
  <c r="J329" i="1"/>
  <c r="J313" i="1"/>
  <c r="J309" i="1"/>
  <c r="J305" i="1"/>
  <c r="J301" i="1"/>
  <c r="J297" i="1"/>
  <c r="J293" i="1"/>
  <c r="J232" i="1"/>
  <c r="J224" i="1"/>
  <c r="J220" i="1"/>
  <c r="J218" i="1"/>
  <c r="J216" i="1"/>
  <c r="J192" i="1"/>
  <c r="J184" i="1"/>
  <c r="J180" i="1"/>
  <c r="J174" i="1"/>
  <c r="J156" i="1"/>
  <c r="J148" i="1"/>
  <c r="J140" i="1"/>
  <c r="J124" i="1"/>
  <c r="J118" i="1"/>
  <c r="J114" i="1"/>
  <c r="J112" i="1"/>
  <c r="J110" i="1"/>
  <c r="J502" i="1"/>
  <c r="J483" i="1"/>
  <c r="J479" i="1"/>
  <c r="J477" i="1"/>
  <c r="J455" i="1"/>
  <c r="J453" i="1"/>
  <c r="J439" i="1"/>
  <c r="J435" i="1"/>
  <c r="J433" i="1"/>
  <c r="J417" i="1"/>
  <c r="J415" i="1"/>
  <c r="J413" i="1"/>
  <c r="J393" i="1"/>
  <c r="J389" i="1"/>
  <c r="J387" i="1"/>
  <c r="J108" i="1"/>
  <c r="D5" i="1"/>
  <c r="E5" i="1" s="1"/>
  <c r="H5" i="1"/>
  <c r="J487" i="1"/>
  <c r="J485" i="1"/>
  <c r="J471" i="1"/>
  <c r="J469" i="1"/>
  <c r="J457" i="1"/>
  <c r="J448" i="1"/>
  <c r="J447" i="1"/>
  <c r="J442" i="1"/>
  <c r="J441" i="1"/>
  <c r="J427" i="1"/>
  <c r="J419" i="1"/>
  <c r="J409" i="1"/>
  <c r="J397" i="1"/>
  <c r="J395" i="1"/>
  <c r="J381" i="1"/>
  <c r="J365" i="1"/>
  <c r="J361" i="1"/>
  <c r="J359" i="1"/>
  <c r="J505" i="1"/>
  <c r="J501" i="1"/>
  <c r="J481" i="1"/>
  <c r="J473" i="1"/>
  <c r="J465" i="1"/>
  <c r="J449" i="1"/>
  <c r="J443" i="1"/>
  <c r="J437" i="1"/>
  <c r="J429" i="1"/>
  <c r="J399" i="1"/>
  <c r="J391" i="1"/>
  <c r="J383" i="1"/>
  <c r="J349" i="1"/>
  <c r="J345" i="1"/>
  <c r="J343" i="1"/>
  <c r="J105" i="1"/>
  <c r="J103" i="1"/>
  <c r="J101" i="1"/>
  <c r="J99" i="1"/>
  <c r="J97" i="1"/>
  <c r="J95" i="1"/>
  <c r="J93" i="1"/>
  <c r="J91" i="1"/>
  <c r="J82" i="1"/>
  <c r="J58" i="1"/>
  <c r="J50" i="1"/>
  <c r="J46" i="1"/>
  <c r="J42" i="1"/>
  <c r="J34" i="1"/>
  <c r="J30" i="1"/>
  <c r="J369" i="1"/>
  <c r="J367" i="1"/>
  <c r="J353" i="1"/>
  <c r="J351" i="1"/>
  <c r="J337" i="1"/>
  <c r="J335" i="1"/>
  <c r="J28" i="1"/>
  <c r="J379" i="1"/>
  <c r="J371" i="1"/>
  <c r="J363" i="1"/>
  <c r="J355" i="1"/>
  <c r="J347" i="1"/>
  <c r="J339" i="1"/>
  <c r="J331" i="1"/>
  <c r="J285" i="1"/>
  <c r="J279" i="1"/>
  <c r="J275" i="1"/>
  <c r="J271" i="1"/>
  <c r="J249" i="1"/>
  <c r="J244" i="1"/>
  <c r="J242" i="1"/>
  <c r="J236" i="1"/>
  <c r="J234" i="1"/>
  <c r="J233" i="1"/>
  <c r="J144" i="1"/>
  <c r="J142" i="1"/>
  <c r="J8" i="1"/>
  <c r="J295" i="1"/>
  <c r="J164" i="1"/>
  <c r="J160" i="1"/>
  <c r="J158" i="1"/>
  <c r="J132" i="1"/>
  <c r="J128" i="1"/>
  <c r="J126" i="1"/>
  <c r="J490" i="1"/>
  <c r="J486" i="1"/>
  <c r="J482" i="1"/>
  <c r="J478" i="1"/>
  <c r="J474" i="1"/>
  <c r="J470" i="1"/>
  <c r="J466" i="1"/>
  <c r="J462" i="1"/>
  <c r="J458" i="1"/>
  <c r="J454" i="1"/>
  <c r="J450" i="1"/>
  <c r="J438" i="1"/>
  <c r="J434" i="1"/>
  <c r="J430" i="1"/>
  <c r="J426" i="1"/>
  <c r="J422" i="1"/>
  <c r="J418" i="1"/>
  <c r="J414" i="1"/>
  <c r="J410" i="1"/>
  <c r="J406" i="1"/>
  <c r="J402" i="1"/>
  <c r="J398" i="1"/>
  <c r="J394" i="1"/>
  <c r="J390" i="1"/>
  <c r="J386" i="1"/>
  <c r="J382" i="1"/>
  <c r="J375" i="1"/>
  <c r="J325" i="1"/>
  <c r="J321" i="1"/>
  <c r="J317" i="1"/>
  <c r="J289" i="1"/>
  <c r="J287" i="1"/>
  <c r="J202" i="1"/>
  <c r="J198" i="1"/>
  <c r="J107" i="1"/>
  <c r="J488" i="1"/>
  <c r="J484" i="1"/>
  <c r="J480" i="1"/>
  <c r="J476" i="1"/>
  <c r="J472" i="1"/>
  <c r="J468" i="1"/>
  <c r="J464" i="1"/>
  <c r="J460" i="1"/>
  <c r="J456" i="1"/>
  <c r="J452" i="1"/>
  <c r="J440" i="1"/>
  <c r="J436" i="1"/>
  <c r="J432" i="1"/>
  <c r="J428" i="1"/>
  <c r="J424" i="1"/>
  <c r="J420" i="1"/>
  <c r="J416" i="1"/>
  <c r="J412" i="1"/>
  <c r="J408" i="1"/>
  <c r="J404" i="1"/>
  <c r="J400" i="1"/>
  <c r="J396" i="1"/>
  <c r="J392" i="1"/>
  <c r="J388" i="1"/>
  <c r="J384" i="1"/>
  <c r="J263" i="1"/>
  <c r="J259" i="1"/>
  <c r="J253" i="1"/>
  <c r="J228" i="1"/>
  <c r="J226" i="1"/>
  <c r="J225" i="1"/>
  <c r="J168" i="1"/>
  <c r="J166" i="1"/>
  <c r="J152" i="1"/>
  <c r="J150" i="1"/>
  <c r="J136" i="1"/>
  <c r="J134" i="1"/>
  <c r="J122" i="1"/>
  <c r="J120" i="1"/>
  <c r="J373" i="1"/>
  <c r="J327" i="1"/>
  <c r="J319" i="1"/>
  <c r="J311" i="1"/>
  <c r="J303" i="1"/>
  <c r="J294" i="1"/>
  <c r="J286" i="1"/>
  <c r="J273" i="1"/>
  <c r="J257" i="1"/>
  <c r="J246" i="1"/>
  <c r="J212" i="1"/>
  <c r="J206" i="1"/>
  <c r="J204" i="1"/>
  <c r="J188" i="1"/>
  <c r="J377" i="1"/>
  <c r="J323" i="1"/>
  <c r="J315" i="1"/>
  <c r="J307" i="1"/>
  <c r="J306" i="1"/>
  <c r="J299" i="1"/>
  <c r="J298" i="1"/>
  <c r="J291" i="1"/>
  <c r="J290" i="1"/>
  <c r="J283" i="1"/>
  <c r="J281" i="1"/>
  <c r="J267" i="1"/>
  <c r="J265" i="1"/>
  <c r="J251" i="1"/>
  <c r="J238" i="1"/>
  <c r="J230" i="1"/>
  <c r="J229" i="1"/>
  <c r="J222" i="1"/>
  <c r="J221" i="1"/>
  <c r="J162" i="1"/>
  <c r="J154" i="1"/>
  <c r="J146" i="1"/>
  <c r="J138" i="1"/>
  <c r="J130" i="1"/>
  <c r="J116" i="1"/>
  <c r="J78" i="1"/>
  <c r="J74" i="1"/>
  <c r="J66" i="1"/>
  <c r="J62" i="1"/>
  <c r="J380" i="1"/>
  <c r="J376" i="1"/>
  <c r="J372" i="1"/>
  <c r="J368" i="1"/>
  <c r="J364" i="1"/>
  <c r="J360" i="1"/>
  <c r="J356" i="1"/>
  <c r="J352" i="1"/>
  <c r="J348" i="1"/>
  <c r="J344" i="1"/>
  <c r="J340" i="1"/>
  <c r="J336" i="1"/>
  <c r="J332" i="1"/>
  <c r="J328" i="1"/>
  <c r="J324" i="1"/>
  <c r="J320" i="1"/>
  <c r="J316" i="1"/>
  <c r="J312" i="1"/>
  <c r="J308" i="1"/>
  <c r="J304" i="1"/>
  <c r="J300" i="1"/>
  <c r="J296" i="1"/>
  <c r="J292" i="1"/>
  <c r="J288" i="1"/>
  <c r="J277" i="1"/>
  <c r="J269" i="1"/>
  <c r="J261" i="1"/>
  <c r="J252" i="1"/>
  <c r="J247" i="1"/>
  <c r="J243" i="1"/>
  <c r="J237" i="1"/>
  <c r="J214" i="1"/>
  <c r="J194" i="1"/>
  <c r="J186" i="1"/>
  <c r="J178" i="1"/>
  <c r="J176" i="1"/>
  <c r="J175" i="1"/>
  <c r="J167" i="1"/>
  <c r="J163" i="1"/>
  <c r="J159" i="1"/>
  <c r="J155" i="1"/>
  <c r="J151" i="1"/>
  <c r="J147" i="1"/>
  <c r="J143" i="1"/>
  <c r="J139" i="1"/>
  <c r="J135" i="1"/>
  <c r="J131" i="1"/>
  <c r="J127" i="1"/>
  <c r="J123" i="1"/>
  <c r="J119" i="1"/>
  <c r="J115" i="1"/>
  <c r="J111" i="1"/>
  <c r="J378" i="1"/>
  <c r="J374" i="1"/>
  <c r="J370" i="1"/>
  <c r="J366" i="1"/>
  <c r="J362" i="1"/>
  <c r="J358" i="1"/>
  <c r="J354" i="1"/>
  <c r="J350" i="1"/>
  <c r="J346" i="1"/>
  <c r="J342" i="1"/>
  <c r="J338" i="1"/>
  <c r="J334" i="1"/>
  <c r="J330" i="1"/>
  <c r="J326" i="1"/>
  <c r="J322" i="1"/>
  <c r="J318" i="1"/>
  <c r="J314" i="1"/>
  <c r="J310" i="1"/>
  <c r="J302" i="1"/>
  <c r="J255" i="1"/>
  <c r="J250" i="1"/>
  <c r="J245" i="1"/>
  <c r="J239" i="1"/>
  <c r="J235" i="1"/>
  <c r="J231" i="1"/>
  <c r="J227" i="1"/>
  <c r="J223" i="1"/>
  <c r="J219" i="1"/>
  <c r="J210" i="1"/>
  <c r="J208" i="1"/>
  <c r="J200" i="1"/>
  <c r="J190" i="1"/>
  <c r="J182" i="1"/>
  <c r="J169" i="1"/>
  <c r="J165" i="1"/>
  <c r="J161" i="1"/>
  <c r="J157" i="1"/>
  <c r="J153" i="1"/>
  <c r="J149" i="1"/>
  <c r="J145" i="1"/>
  <c r="J141" i="1"/>
  <c r="J137" i="1"/>
  <c r="J133" i="1"/>
  <c r="J129" i="1"/>
  <c r="J125" i="1"/>
  <c r="J121" i="1"/>
  <c r="J117" i="1"/>
  <c r="J113" i="1"/>
  <c r="J109" i="1"/>
  <c r="J76" i="1"/>
  <c r="J44" i="1"/>
  <c r="J241" i="1"/>
  <c r="J240" i="1"/>
  <c r="J89" i="1"/>
  <c r="J87" i="1"/>
  <c r="J85" i="1"/>
  <c r="J70" i="1"/>
  <c r="J54" i="1"/>
  <c r="J38" i="1"/>
  <c r="J36" i="1"/>
  <c r="J196" i="1"/>
  <c r="J172" i="1"/>
  <c r="J171" i="1"/>
  <c r="J80" i="1"/>
  <c r="J72" i="1"/>
  <c r="J64" i="1"/>
  <c r="J56" i="1"/>
  <c r="J48" i="1"/>
  <c r="J47" i="1"/>
  <c r="J40" i="1"/>
  <c r="J39" i="1"/>
  <c r="J32" i="1"/>
  <c r="J31" i="1"/>
  <c r="J284" i="1"/>
  <c r="J280" i="1"/>
  <c r="J276" i="1"/>
  <c r="J272" i="1"/>
  <c r="J268" i="1"/>
  <c r="J264" i="1"/>
  <c r="J260" i="1"/>
  <c r="J256" i="1"/>
  <c r="J248" i="1"/>
  <c r="J215" i="1"/>
  <c r="J211" i="1"/>
  <c r="J207" i="1"/>
  <c r="J203" i="1"/>
  <c r="J199" i="1"/>
  <c r="J195" i="1"/>
  <c r="J191" i="1"/>
  <c r="J187" i="1"/>
  <c r="J183" i="1"/>
  <c r="J179" i="1"/>
  <c r="J170" i="1"/>
  <c r="G5" i="1"/>
  <c r="J68" i="1"/>
  <c r="J60" i="1"/>
  <c r="J52" i="1"/>
  <c r="J43" i="1"/>
  <c r="J35" i="1"/>
  <c r="J27" i="1"/>
  <c r="J282" i="1"/>
  <c r="J278" i="1"/>
  <c r="J274" i="1"/>
  <c r="J270" i="1"/>
  <c r="J266" i="1"/>
  <c r="J262" i="1"/>
  <c r="J258" i="1"/>
  <c r="J254" i="1"/>
  <c r="J217" i="1"/>
  <c r="J213" i="1"/>
  <c r="J209" i="1"/>
  <c r="J205" i="1"/>
  <c r="J201" i="1"/>
  <c r="J197" i="1"/>
  <c r="J193" i="1"/>
  <c r="J189" i="1"/>
  <c r="J185" i="1"/>
  <c r="J181" i="1"/>
  <c r="J177" i="1"/>
  <c r="J173" i="1"/>
  <c r="J14" i="1"/>
  <c r="J83" i="1"/>
  <c r="J79" i="1"/>
  <c r="J75" i="1"/>
  <c r="J71" i="1"/>
  <c r="J67" i="1"/>
  <c r="J63" i="1"/>
  <c r="J59" i="1"/>
  <c r="J55" i="1"/>
  <c r="J51" i="1"/>
  <c r="J106" i="1"/>
  <c r="J104" i="1"/>
  <c r="J102" i="1"/>
  <c r="J100" i="1"/>
  <c r="J98" i="1"/>
  <c r="J96" i="1"/>
  <c r="J94" i="1"/>
  <c r="J92" i="1"/>
  <c r="J90" i="1"/>
  <c r="J88" i="1"/>
  <c r="J86" i="1"/>
  <c r="J84" i="1"/>
  <c r="J81" i="1"/>
  <c r="J77" i="1"/>
  <c r="J73" i="1"/>
  <c r="J69" i="1"/>
  <c r="J65" i="1"/>
  <c r="J61" i="1"/>
  <c r="J57" i="1"/>
  <c r="J53" i="1"/>
  <c r="J49" i="1"/>
  <c r="J45" i="1"/>
  <c r="J41" i="1"/>
  <c r="J37" i="1"/>
  <c r="J33" i="1"/>
  <c r="J29" i="1"/>
  <c r="J13" i="1"/>
  <c r="J12" i="1"/>
  <c r="J11" i="1"/>
  <c r="J10" i="1"/>
  <c r="J9" i="1"/>
  <c r="J26" i="1"/>
  <c r="J25" i="1"/>
  <c r="J24" i="1"/>
  <c r="J23" i="1"/>
  <c r="J22" i="1"/>
  <c r="J21" i="1"/>
  <c r="J20" i="1"/>
  <c r="J19" i="1"/>
  <c r="J18" i="1"/>
  <c r="J17" i="1"/>
  <c r="J16" i="1"/>
  <c r="J15" i="1"/>
  <c r="O5" i="1" l="1"/>
  <c r="F5" i="1"/>
  <c r="W20" i="1" s="1"/>
  <c r="W21" i="1" s="1"/>
  <c r="J5" i="1"/>
  <c r="M5" i="1" s="1"/>
  <c r="L5" i="1"/>
  <c r="K5" i="1"/>
  <c r="P5" i="1" l="1"/>
  <c r="S5" i="1"/>
  <c r="N5" i="1"/>
  <c r="V15" i="1"/>
  <c r="V16" i="1" s="1"/>
  <c r="O9" i="1" l="1"/>
  <c r="Q5" i="1"/>
  <c r="T5" i="1" s="1"/>
  <c r="N9" i="1"/>
  <c r="P9" i="1"/>
  <c r="R5" i="1"/>
  <c r="S9" i="1" l="1"/>
  <c r="U9" i="1"/>
  <c r="Q9" i="1"/>
  <c r="T9" i="1"/>
  <c r="R9" i="1"/>
  <c r="W9" i="1" l="1"/>
  <c r="AD8" i="1" s="1"/>
  <c r="AC9" i="1" s="1"/>
  <c r="V9" i="1"/>
  <c r="W31" i="1" s="1"/>
  <c r="AC8" i="1" l="1"/>
  <c r="AD9" i="1" s="1"/>
  <c r="V25" i="1"/>
  <c r="V30" i="1"/>
  <c r="W30" i="1"/>
  <c r="Z8" i="1"/>
  <c r="AA9" i="1" s="1"/>
  <c r="V26" i="1"/>
  <c r="W25" i="1"/>
  <c r="AA8" i="1"/>
  <c r="Z9" i="1" s="1"/>
  <c r="W26" i="1"/>
  <c r="V31" i="1"/>
</calcChain>
</file>

<file path=xl/sharedStrings.xml><?xml version="1.0" encoding="utf-8"?>
<sst xmlns="http://schemas.openxmlformats.org/spreadsheetml/2006/main" count="51" uniqueCount="45">
  <si>
    <t>Section Properties by Shape Vertex Coordinates</t>
  </si>
  <si>
    <t>Note: Last Coordinate must equal the start coordinate</t>
  </si>
  <si>
    <t>Shape Definition:</t>
  </si>
  <si>
    <t>x</t>
  </si>
  <si>
    <t>Vertex</t>
  </si>
  <si>
    <t>y</t>
  </si>
  <si>
    <t>A</t>
  </si>
  <si>
    <t>Properties about global x,y axis</t>
  </si>
  <si>
    <t>Properties about shape centroid</t>
  </si>
  <si>
    <t>Principle Axis</t>
  </si>
  <si>
    <t>2Θ</t>
  </si>
  <si>
    <t>x (in)</t>
  </si>
  <si>
    <t>y (in)</t>
  </si>
  <si>
    <t>A (in2)</t>
  </si>
  <si>
    <t>Cx (in)</t>
  </si>
  <si>
    <t>Cy (in)</t>
  </si>
  <si>
    <t>Ix (in4)</t>
  </si>
  <si>
    <t>Iy (in4)</t>
  </si>
  <si>
    <t>Ixy (in4)</t>
  </si>
  <si>
    <t>Jz (in4)</t>
  </si>
  <si>
    <t>B</t>
  </si>
  <si>
    <t>I1</t>
  </si>
  <si>
    <t>I2</t>
  </si>
  <si>
    <t>Ixx (in4)</t>
  </si>
  <si>
    <t>Iyy (in4)</t>
  </si>
  <si>
    <t>Ixxyy (in4)</t>
  </si>
  <si>
    <t>Jzz (in4)</t>
  </si>
  <si>
    <t>Θv (degrees)</t>
  </si>
  <si>
    <t>Θu (degrees)</t>
  </si>
  <si>
    <t>Global Tolerance:</t>
  </si>
  <si>
    <t>Centroid Axis - y</t>
  </si>
  <si>
    <t>Centroid Axis - x</t>
  </si>
  <si>
    <t>Principal Axis - u</t>
  </si>
  <si>
    <t>u transform matrix</t>
  </si>
  <si>
    <t>v transform matrix</t>
  </si>
  <si>
    <t>Principal Axis - v</t>
  </si>
  <si>
    <t>Iuu (in4)</t>
  </si>
  <si>
    <t>Ivv (in4)</t>
  </si>
  <si>
    <t>Iuuvv (in4)</t>
  </si>
  <si>
    <t>rx (in)</t>
  </si>
  <si>
    <t>ry (in)</t>
  </si>
  <si>
    <t>rz (in)</t>
  </si>
  <si>
    <t>rxx (in)</t>
  </si>
  <si>
    <t>ryy (in)</t>
  </si>
  <si>
    <t>rzz (in)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</si>
</sst>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1" fontId="0" fillId="3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164" fontId="0" fillId="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0" fontId="2" fillId="0" borderId="0" xfId="0" applyFont="1" applyAlignment="1">
      <alignment horizontal="left"/>
    </xf>
    <xf numFmtId="165" fontId="0" fillId="0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4" fontId="1" fillId="4" borderId="4" xfId="0" applyNumberFormat="1" applyFont="1" applyFill="1" applyBorder="1" applyAlignment="1">
      <alignment horizontal="center"/>
    </xf>
    <xf numFmtId="164" fontId="1" fillId="4" borderId="0" xfId="0" applyNumberFormat="1" applyFont="1" applyFill="1" applyBorder="1" applyAlignment="1">
      <alignment horizontal="center"/>
    </xf>
    <xf numFmtId="164" fontId="1" fillId="4" borderId="5" xfId="0" applyNumberFormat="1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164" fontId="1" fillId="5" borderId="4" xfId="0" applyNumberFormat="1" applyFont="1" applyFill="1" applyBorder="1" applyAlignment="1">
      <alignment horizontal="center"/>
    </xf>
    <xf numFmtId="164" fontId="1" fillId="5" borderId="0" xfId="0" applyNumberFormat="1" applyFont="1" applyFill="1" applyBorder="1" applyAlignment="1">
      <alignment horizontal="center"/>
    </xf>
    <xf numFmtId="164" fontId="1" fillId="5" borderId="5" xfId="0" applyNumberFormat="1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164" fontId="1" fillId="6" borderId="7" xfId="0" applyNumberFormat="1" applyFont="1" applyFill="1" applyBorder="1" applyAlignment="1">
      <alignment horizontal="center"/>
    </xf>
    <xf numFmtId="164" fontId="1" fillId="6" borderId="8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0" fillId="6" borderId="4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164" fontId="0" fillId="6" borderId="6" xfId="0" applyNumberFormat="1" applyFont="1" applyFill="1" applyBorder="1" applyAlignment="1">
      <alignment horizontal="center"/>
    </xf>
    <xf numFmtId="164" fontId="0" fillId="6" borderId="7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Geometric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6"/>
            <c:spPr>
              <a:noFill/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Sheet1!$E$5</c:f>
              <c:numCache>
                <c:formatCode>0.0000</c:formatCode>
                <c:ptCount val="1"/>
                <c:pt idx="0">
                  <c:v>1.6479255859869768</c:v>
                </c:pt>
              </c:numCache>
            </c:numRef>
          </c:xVal>
          <c:yVal>
            <c:numRef>
              <c:f>Sheet1!$F$5</c:f>
              <c:numCache>
                <c:formatCode>0.0000</c:formatCode>
                <c:ptCount val="1"/>
                <c:pt idx="0">
                  <c:v>2.6438063623001771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FA-8848-A898-BF96BFD9A017}"/>
            </c:ext>
          </c:extLst>
        </c:ser>
        <c:ser>
          <c:idx val="2"/>
          <c:order val="1"/>
          <c:tx>
            <c:strRef>
              <c:f>Sheet1!$V$13</c:f>
              <c:strCache>
                <c:ptCount val="1"/>
                <c:pt idx="0">
                  <c:v>Centroid Axis - y</c:v>
                </c:pt>
              </c:strCache>
            </c:strRef>
          </c:tx>
          <c:spPr>
            <a:ln w="15875" cap="rnd">
              <a:solidFill>
                <a:srgbClr val="00B0F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Sheet1!$V$15:$V$16</c:f>
              <c:numCache>
                <c:formatCode>0.0000</c:formatCode>
                <c:ptCount val="2"/>
                <c:pt idx="0">
                  <c:v>1.6479255859869768</c:v>
                </c:pt>
                <c:pt idx="1">
                  <c:v>1.6479255859869768</c:v>
                </c:pt>
              </c:numCache>
            </c:numRef>
          </c:xVal>
          <c:yVal>
            <c:numRef>
              <c:f>Sheet1!$W$15:$W$16</c:f>
              <c:numCache>
                <c:formatCode>0.000</c:formatCode>
                <c:ptCount val="2"/>
                <c:pt idx="0">
                  <c:v>-1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FA-8848-A898-BF96BFD9A017}"/>
            </c:ext>
          </c:extLst>
        </c:ser>
        <c:ser>
          <c:idx val="3"/>
          <c:order val="2"/>
          <c:tx>
            <c:strRef>
              <c:f>Sheet1!$V$18</c:f>
              <c:strCache>
                <c:ptCount val="1"/>
                <c:pt idx="0">
                  <c:v>Centroid Axis - x</c:v>
                </c:pt>
              </c:strCache>
            </c:strRef>
          </c:tx>
          <c:spPr>
            <a:ln w="15875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Sheet1!$V$20:$V$21</c:f>
              <c:numCache>
                <c:formatCode>0.000</c:formatCode>
                <c:ptCount val="2"/>
                <c:pt idx="0">
                  <c:v>-1</c:v>
                </c:pt>
                <c:pt idx="1">
                  <c:v>7</c:v>
                </c:pt>
              </c:numCache>
            </c:numRef>
          </c:xVal>
          <c:yVal>
            <c:numRef>
              <c:f>Sheet1!$W$20:$W$21</c:f>
              <c:numCache>
                <c:formatCode>0.0000</c:formatCode>
                <c:ptCount val="2"/>
                <c:pt idx="0">
                  <c:v>2.6438063623001771</c:v>
                </c:pt>
                <c:pt idx="1">
                  <c:v>2.6438063623001771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FA-8848-A898-BF96BFD9A017}"/>
            </c:ext>
          </c:extLst>
        </c:ser>
        <c:ser>
          <c:idx val="4"/>
          <c:order val="3"/>
          <c:tx>
            <c:strRef>
              <c:f>Sheet1!$V$23</c:f>
              <c:strCache>
                <c:ptCount val="1"/>
                <c:pt idx="0">
                  <c:v>Principal Axis - u</c:v>
                </c:pt>
              </c:strCache>
            </c:strRef>
          </c:tx>
          <c:spPr>
            <a:ln w="15875" cap="rnd">
              <a:solidFill>
                <a:srgbClr val="00B05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Sheet1!$V$25:$V$26</c:f>
              <c:numCache>
                <c:formatCode>0.000</c:formatCode>
                <c:ptCount val="2"/>
                <c:pt idx="0">
                  <c:v>-0.68076161032337512</c:v>
                </c:pt>
                <c:pt idx="1">
                  <c:v>6.3547448514410831</c:v>
                </c:pt>
              </c:numCache>
            </c:numRef>
          </c:xVal>
          <c:yVal>
            <c:numRef>
              <c:f>Sheet1!$W$25:$W$26</c:f>
              <c:numCache>
                <c:formatCode>General</c:formatCode>
                <c:ptCount val="2"/>
                <c:pt idx="0">
                  <c:v>1.3833596753416579</c:v>
                </c:pt>
                <c:pt idx="1">
                  <c:v>5.1914627236415001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FA-8848-A898-BF96BFD9A017}"/>
            </c:ext>
          </c:extLst>
        </c:ser>
        <c:ser>
          <c:idx val="5"/>
          <c:order val="4"/>
          <c:tx>
            <c:strRef>
              <c:f>Sheet1!$V$28</c:f>
              <c:strCache>
                <c:ptCount val="1"/>
                <c:pt idx="0">
                  <c:v>Principal Axis - v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Sheet1!$V$30:$V$31</c:f>
              <c:numCache>
                <c:formatCode>General</c:formatCode>
                <c:ptCount val="2"/>
                <c:pt idx="0">
                  <c:v>3.3824243504481846</c:v>
                </c:pt>
                <c:pt idx="1">
                  <c:v>-1.3777044599266179</c:v>
                </c:pt>
              </c:numCache>
            </c:numRef>
          </c:xVal>
          <c:yVal>
            <c:numRef>
              <c:f>Sheet1!$W$30:$W$31</c:f>
              <c:numCache>
                <c:formatCode>0.000</c:formatCode>
                <c:ptCount val="2"/>
                <c:pt idx="0">
                  <c:v>-0.56069653862249069</c:v>
                </c:pt>
                <c:pt idx="1">
                  <c:v>8.2336865385830826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BFA-8848-A898-BF96BFD9A017}"/>
            </c:ext>
          </c:extLst>
        </c:ser>
        <c:ser>
          <c:idx val="0"/>
          <c:order val="5"/>
          <c:tx>
            <c:v>Shape</c:v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Sheet1!$B$7:$B$506</c:f>
              <c:numCache>
                <c:formatCode>0.0000</c:formatCode>
                <c:ptCount val="500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5.9999619237899999</c:v>
                </c:pt>
                <c:pt idx="4">
                  <c:v>5.9998477067499998</c:v>
                </c:pt>
                <c:pt idx="5">
                  <c:v>5.9996573836899998</c:v>
                </c:pt>
                <c:pt idx="6">
                  <c:v>5.9993910125600003</c:v>
                </c:pt>
                <c:pt idx="7">
                  <c:v>5.99904867452</c:v>
                </c:pt>
                <c:pt idx="8">
                  <c:v>5.9986304738399996</c:v>
                </c:pt>
                <c:pt idx="9">
                  <c:v>5.9981365379099998</c:v>
                </c:pt>
                <c:pt idx="10">
                  <c:v>5.9975670171899997</c:v>
                </c:pt>
                <c:pt idx="11">
                  <c:v>5.9969220851499996</c:v>
                </c:pt>
                <c:pt idx="12">
                  <c:v>5.9962019382499996</c:v>
                </c:pt>
                <c:pt idx="13">
                  <c:v>5.9954067958600001</c:v>
                </c:pt>
                <c:pt idx="14">
                  <c:v>5.99453690018</c:v>
                </c:pt>
                <c:pt idx="15">
                  <c:v>5.9935925161999997</c:v>
                </c:pt>
                <c:pt idx="16">
                  <c:v>5.99257393157</c:v>
                </c:pt>
                <c:pt idx="17">
                  <c:v>5.9914814565699999</c:v>
                </c:pt>
                <c:pt idx="18">
                  <c:v>5.9903154239800003</c:v>
                </c:pt>
                <c:pt idx="19">
                  <c:v>5.9890761889900004</c:v>
                </c:pt>
                <c:pt idx="20">
                  <c:v>5.9877641290700003</c:v>
                </c:pt>
                <c:pt idx="21">
                  <c:v>5.9863796439000003</c:v>
                </c:pt>
                <c:pt idx="22">
                  <c:v>5.9849231551999997</c:v>
                </c:pt>
                <c:pt idx="23">
                  <c:v>5.9833951066199997</c:v>
                </c:pt>
                <c:pt idx="24">
                  <c:v>5.9817959636399998</c:v>
                </c:pt>
                <c:pt idx="25">
                  <c:v>5.9801262133600002</c:v>
                </c:pt>
                <c:pt idx="26">
                  <c:v>5.9783863644100004</c:v>
                </c:pt>
                <c:pt idx="27">
                  <c:v>5.9765769467599998</c:v>
                </c:pt>
                <c:pt idx="28">
                  <c:v>5.9746985115699998</c:v>
                </c:pt>
                <c:pt idx="29">
                  <c:v>5.9727516310500004</c:v>
                </c:pt>
                <c:pt idx="30">
                  <c:v>5.9707368982100002</c:v>
                </c:pt>
                <c:pt idx="31">
                  <c:v>5.9686549267800002</c:v>
                </c:pt>
                <c:pt idx="32">
                  <c:v>5.9665063509499996</c:v>
                </c:pt>
                <c:pt idx="33">
                  <c:v>5.9642918251800001</c:v>
                </c:pt>
                <c:pt idx="34">
                  <c:v>5.9620120240399999</c:v>
                </c:pt>
                <c:pt idx="35">
                  <c:v>5.9596676419900003</c:v>
                </c:pt>
                <c:pt idx="36">
                  <c:v>5.9572593931400002</c:v>
                </c:pt>
                <c:pt idx="37">
                  <c:v>5.9547880110699998</c:v>
                </c:pt>
                <c:pt idx="38">
                  <c:v>5.9522542485900001</c:v>
                </c:pt>
                <c:pt idx="39">
                  <c:v>5.9496588775100001</c:v>
                </c:pt>
                <c:pt idx="40">
                  <c:v>5.9470026883999996</c:v>
                </c:pt>
                <c:pt idx="41">
                  <c:v>5.9442864903599997</c:v>
                </c:pt>
                <c:pt idx="42">
                  <c:v>5.9415111107799996</c:v>
                </c:pt>
                <c:pt idx="43">
                  <c:v>5.93867739506</c:v>
                </c:pt>
                <c:pt idx="44">
                  <c:v>5.9357862063700004</c:v>
                </c:pt>
                <c:pt idx="45">
                  <c:v>5.9328384253999999</c:v>
                </c:pt>
                <c:pt idx="46">
                  <c:v>5.9298349500800001</c:v>
                </c:pt>
                <c:pt idx="47">
                  <c:v>5.9267766953000001</c:v>
                </c:pt>
                <c:pt idx="48">
                  <c:v>5.9236645926099998</c:v>
                </c:pt>
                <c:pt idx="49">
                  <c:v>5.9204995900200004</c:v>
                </c:pt>
                <c:pt idx="50">
                  <c:v>5.9172826515899999</c:v>
                </c:pt>
                <c:pt idx="51">
                  <c:v>5.9140147572500004</c:v>
                </c:pt>
                <c:pt idx="52">
                  <c:v>5.9106969024199998</c:v>
                </c:pt>
                <c:pt idx="53">
                  <c:v>5.9073300977600001</c:v>
                </c:pt>
                <c:pt idx="54">
                  <c:v>5.9039153688299999</c:v>
                </c:pt>
                <c:pt idx="55">
                  <c:v>5.9004537557900001</c:v>
                </c:pt>
                <c:pt idx="56">
                  <c:v>5.8969463130699999</c:v>
                </c:pt>
                <c:pt idx="57">
                  <c:v>5.8933941090899999</c:v>
                </c:pt>
                <c:pt idx="58">
                  <c:v>5.8897982258699999</c:v>
                </c:pt>
                <c:pt idx="59">
                  <c:v>5.8861597587499999</c:v>
                </c:pt>
                <c:pt idx="60">
                  <c:v>5.88247981606</c:v>
                </c:pt>
                <c:pt idx="61">
                  <c:v>5.8787595187299999</c:v>
                </c:pt>
                <c:pt idx="62">
                  <c:v>5.875</c:v>
                </c:pt>
                <c:pt idx="63">
                  <c:v>5.87120240506</c:v>
                </c:pt>
                <c:pt idx="64">
                  <c:v>5.8673678906999998</c:v>
                </c:pt>
                <c:pt idx="65">
                  <c:v>5.8634976249299999</c:v>
                </c:pt>
                <c:pt idx="66">
                  <c:v>5.8595927867000004</c:v>
                </c:pt>
                <c:pt idx="67">
                  <c:v>5.8556545654400001</c:v>
                </c:pt>
                <c:pt idx="68">
                  <c:v>5.8516841607699996</c:v>
                </c:pt>
                <c:pt idx="69">
                  <c:v>5.8476827821199997</c:v>
                </c:pt>
                <c:pt idx="70">
                  <c:v>5.8436516483499998</c:v>
                </c:pt>
                <c:pt idx="71">
                  <c:v>5.8395919873900004</c:v>
                </c:pt>
                <c:pt idx="72">
                  <c:v>5.8355050358299998</c:v>
                </c:pt>
                <c:pt idx="73">
                  <c:v>5.8313920386099998</c:v>
                </c:pt>
                <c:pt idx="74">
                  <c:v>5.8272542485900001</c:v>
                </c:pt>
                <c:pt idx="75">
                  <c:v>5.8230929261800002</c:v>
                </c:pt>
                <c:pt idx="76">
                  <c:v>5.8189093389500002</c:v>
                </c:pt>
                <c:pt idx="77">
                  <c:v>5.8147047612799998</c:v>
                </c:pt>
                <c:pt idx="78">
                  <c:v>5.8104804739000002</c:v>
                </c:pt>
                <c:pt idx="79">
                  <c:v>5.8062377635900004</c:v>
                </c:pt>
                <c:pt idx="80">
                  <c:v>5.8019779226999999</c:v>
                </c:pt>
                <c:pt idx="81">
                  <c:v>5.7977022488400003</c:v>
                </c:pt>
                <c:pt idx="82">
                  <c:v>5.7934120444200001</c:v>
                </c:pt>
                <c:pt idx="83">
                  <c:v>5.7891086162600001</c:v>
                </c:pt>
                <c:pt idx="84">
                  <c:v>5.7847932752400002</c:v>
                </c:pt>
                <c:pt idx="85">
                  <c:v>5.7804673358500001</c:v>
                </c:pt>
                <c:pt idx="86">
                  <c:v>5.7761321158200003</c:v>
                </c:pt>
                <c:pt idx="87">
                  <c:v>5.7717889356900001</c:v>
                </c:pt>
                <c:pt idx="88">
                  <c:v>5.7674391184399996</c:v>
                </c:pt>
                <c:pt idx="89">
                  <c:v>5.7630839890600001</c:v>
                </c:pt>
                <c:pt idx="90">
                  <c:v>5.7587248741800003</c:v>
                </c:pt>
                <c:pt idx="91">
                  <c:v>5.7543631016100001</c:v>
                </c:pt>
                <c:pt idx="92">
                  <c:v>5.75</c:v>
                </c:pt>
                <c:pt idx="93">
                  <c:v>1.5</c:v>
                </c:pt>
                <c:pt idx="94">
                  <c:v>1.49127379678</c:v>
                </c:pt>
                <c:pt idx="95">
                  <c:v>1.48255025165</c:v>
                </c:pt>
                <c:pt idx="96">
                  <c:v>1.4738320218800001</c:v>
                </c:pt>
                <c:pt idx="97">
                  <c:v>1.46512176313</c:v>
                </c:pt>
                <c:pt idx="98">
                  <c:v>1.4564221286300001</c:v>
                </c:pt>
                <c:pt idx="99">
                  <c:v>1.4477357683700001</c:v>
                </c:pt>
                <c:pt idx="100">
                  <c:v>1.4390653282999999</c:v>
                </c:pt>
                <c:pt idx="101">
                  <c:v>1.43041344952</c:v>
                </c:pt>
                <c:pt idx="102">
                  <c:v>1.4217827674800001</c:v>
                </c:pt>
                <c:pt idx="103">
                  <c:v>1.41317591117</c:v>
                </c:pt>
                <c:pt idx="104">
                  <c:v>1.4045955023100001</c:v>
                </c:pt>
                <c:pt idx="105">
                  <c:v>1.39604415459</c:v>
                </c:pt>
                <c:pt idx="106">
                  <c:v>1.38752447283</c:v>
                </c:pt>
                <c:pt idx="107">
                  <c:v>1.3790390522</c:v>
                </c:pt>
                <c:pt idx="108">
                  <c:v>1.37059047745</c:v>
                </c:pt>
                <c:pt idx="109">
                  <c:v>1.3621813220900001</c:v>
                </c:pt>
                <c:pt idx="110">
                  <c:v>1.3538141476400001</c:v>
                </c:pt>
                <c:pt idx="111">
                  <c:v>1.3454915028100001</c:v>
                </c:pt>
                <c:pt idx="112">
                  <c:v>1.33721592277</c:v>
                </c:pt>
                <c:pt idx="113">
                  <c:v>1.32898992834</c:v>
                </c:pt>
                <c:pt idx="114">
                  <c:v>1.3208160252300001</c:v>
                </c:pt>
                <c:pt idx="115">
                  <c:v>1.3126967032900001</c:v>
                </c:pt>
                <c:pt idx="116">
                  <c:v>1.3046344357599999</c:v>
                </c:pt>
                <c:pt idx="117">
                  <c:v>1.29663167846</c:v>
                </c:pt>
                <c:pt idx="118">
                  <c:v>1.2886908691300001</c:v>
                </c:pt>
                <c:pt idx="119">
                  <c:v>1.2808144266099999</c:v>
                </c:pt>
                <c:pt idx="120">
                  <c:v>1.2730047501299999</c:v>
                </c:pt>
                <c:pt idx="121">
                  <c:v>1.26526421861</c:v>
                </c:pt>
                <c:pt idx="122">
                  <c:v>1.25759518988</c:v>
                </c:pt>
                <c:pt idx="123">
                  <c:v>1.25</c:v>
                </c:pt>
                <c:pt idx="124">
                  <c:v>1.24248096254</c:v>
                </c:pt>
                <c:pt idx="125">
                  <c:v>1.2350403678799999</c:v>
                </c:pt>
                <c:pt idx="126">
                  <c:v>1.2276804824900001</c:v>
                </c:pt>
                <c:pt idx="127">
                  <c:v>1.22040354826</c:v>
                </c:pt>
                <c:pt idx="128">
                  <c:v>1.2132117818199999</c:v>
                </c:pt>
                <c:pt idx="129">
                  <c:v>1.2061073738500001</c:v>
                </c:pt>
                <c:pt idx="130">
                  <c:v>1.19909248842</c:v>
                </c:pt>
                <c:pt idx="131">
                  <c:v>1.19216926234</c:v>
                </c:pt>
                <c:pt idx="132">
                  <c:v>1.1853398044800001</c:v>
                </c:pt>
                <c:pt idx="133">
                  <c:v>1.17860619516</c:v>
                </c:pt>
                <c:pt idx="134">
                  <c:v>1.1719704854999999</c:v>
                </c:pt>
                <c:pt idx="135">
                  <c:v>1.16543469682</c:v>
                </c:pt>
                <c:pt idx="136">
                  <c:v>1.1590008199699999</c:v>
                </c:pt>
                <c:pt idx="137">
                  <c:v>1.15267081477</c:v>
                </c:pt>
                <c:pt idx="138">
                  <c:v>1.1464466094100001</c:v>
                </c:pt>
                <c:pt idx="139">
                  <c:v>1.1403300998300001</c:v>
                </c:pt>
                <c:pt idx="140">
                  <c:v>1.1343231491900001</c:v>
                </c:pt>
                <c:pt idx="141">
                  <c:v>1.12842758726</c:v>
                </c:pt>
                <c:pt idx="142">
                  <c:v>1.1226452098899999</c:v>
                </c:pt>
                <c:pt idx="143">
                  <c:v>1.1169777784399999</c:v>
                </c:pt>
                <c:pt idx="144">
                  <c:v>1.11142701927</c:v>
                </c:pt>
                <c:pt idx="145">
                  <c:v>1.1059946232</c:v>
                </c:pt>
                <c:pt idx="146">
                  <c:v>1.10068224498</c:v>
                </c:pt>
                <c:pt idx="147">
                  <c:v>1.0954915028100001</c:v>
                </c:pt>
                <c:pt idx="148">
                  <c:v>1.09042397786</c:v>
                </c:pt>
                <c:pt idx="149">
                  <c:v>1.0854812137200001</c:v>
                </c:pt>
                <c:pt idx="150">
                  <c:v>1.08066471603</c:v>
                </c:pt>
                <c:pt idx="151">
                  <c:v>1.0759759519200001</c:v>
                </c:pt>
                <c:pt idx="152">
                  <c:v>1.07141634965</c:v>
                </c:pt>
                <c:pt idx="153">
                  <c:v>1.0669872981099999</c:v>
                </c:pt>
                <c:pt idx="154">
                  <c:v>1.06269014643</c:v>
                </c:pt>
                <c:pt idx="155">
                  <c:v>1.05852620357</c:v>
                </c:pt>
                <c:pt idx="156">
                  <c:v>1.0544967379100001</c:v>
                </c:pt>
                <c:pt idx="157">
                  <c:v>1.05060297685</c:v>
                </c:pt>
                <c:pt idx="158">
                  <c:v>1.0468461064800001</c:v>
                </c:pt>
                <c:pt idx="159">
                  <c:v>1.0432272711799999</c:v>
                </c:pt>
                <c:pt idx="160">
                  <c:v>1.0397475732699999</c:v>
                </c:pt>
                <c:pt idx="161">
                  <c:v>1.03640807272</c:v>
                </c:pt>
                <c:pt idx="162">
                  <c:v>1.0332097867500001</c:v>
                </c:pt>
                <c:pt idx="163">
                  <c:v>1.0301536896100001</c:v>
                </c:pt>
                <c:pt idx="164">
                  <c:v>1.0272407122</c:v>
                </c:pt>
                <c:pt idx="165">
                  <c:v>1.02447174185</c:v>
                </c:pt>
                <c:pt idx="166">
                  <c:v>1.0218476220199999</c:v>
                </c:pt>
                <c:pt idx="167">
                  <c:v>1.0193691520299999</c:v>
                </c:pt>
                <c:pt idx="168">
                  <c:v>1.0170370868600001</c:v>
                </c:pt>
                <c:pt idx="169">
                  <c:v>1.0148521368600001</c:v>
                </c:pt>
                <c:pt idx="170">
                  <c:v>1.01281496761</c:v>
                </c:pt>
                <c:pt idx="171">
                  <c:v>1.0109261996300001</c:v>
                </c:pt>
                <c:pt idx="172">
                  <c:v>1.0091864082799999</c:v>
                </c:pt>
                <c:pt idx="173">
                  <c:v>1.0075961234899999</c:v>
                </c:pt>
                <c:pt idx="174">
                  <c:v>1.0061558296999999</c:v>
                </c:pt>
                <c:pt idx="175">
                  <c:v>1.0048659656300001</c:v>
                </c:pt>
                <c:pt idx="176">
                  <c:v>1.00372692418</c:v>
                </c:pt>
                <c:pt idx="177">
                  <c:v>1.0027390523199999</c:v>
                </c:pt>
                <c:pt idx="178">
                  <c:v>1.00190265095</c:v>
                </c:pt>
                <c:pt idx="179">
                  <c:v>1.0012179748700001</c:v>
                </c:pt>
                <c:pt idx="180">
                  <c:v>1.00068523262</c:v>
                </c:pt>
                <c:pt idx="181">
                  <c:v>1.00030458649</c:v>
                </c:pt>
                <c:pt idx="182">
                  <c:v>1.0000761524199999</c:v>
                </c:pt>
                <c:pt idx="183">
                  <c:v>1</c:v>
                </c:pt>
                <c:pt idx="184">
                  <c:v>1</c:v>
                </c:pt>
                <c:pt idx="185">
                  <c:v>0.99996192378899995</c:v>
                </c:pt>
                <c:pt idx="186">
                  <c:v>0.99984770675500001</c:v>
                </c:pt>
                <c:pt idx="187">
                  <c:v>0.99965738368900003</c:v>
                </c:pt>
                <c:pt idx="188">
                  <c:v>0.99939101256499996</c:v>
                </c:pt>
                <c:pt idx="189">
                  <c:v>0.99904867452299995</c:v>
                </c:pt>
                <c:pt idx="190">
                  <c:v>0.99863047384199999</c:v>
                </c:pt>
                <c:pt idx="191">
                  <c:v>0.99813653791000001</c:v>
                </c:pt>
                <c:pt idx="192">
                  <c:v>0.99756701718499996</c:v>
                </c:pt>
                <c:pt idx="193">
                  <c:v>0.99692208514900005</c:v>
                </c:pt>
                <c:pt idx="194">
                  <c:v>0.99620193825299996</c:v>
                </c:pt>
                <c:pt idx="195">
                  <c:v>0.99540679586199998</c:v>
                </c:pt>
                <c:pt idx="196">
                  <c:v>0.99453690018300001</c:v>
                </c:pt>
                <c:pt idx="197">
                  <c:v>0.99359251619599998</c:v>
                </c:pt>
                <c:pt idx="198">
                  <c:v>0.99257393156899998</c:v>
                </c:pt>
                <c:pt idx="199">
                  <c:v>0.99148145657200004</c:v>
                </c:pt>
                <c:pt idx="200">
                  <c:v>0.99031542398500005</c:v>
                </c:pt>
                <c:pt idx="201">
                  <c:v>0.98907618899100003</c:v>
                </c:pt>
                <c:pt idx="202">
                  <c:v>0.98776412907400002</c:v>
                </c:pt>
                <c:pt idx="203">
                  <c:v>0.98637964389999999</c:v>
                </c:pt>
                <c:pt idx="204">
                  <c:v>0.98492315519600004</c:v>
                </c:pt>
                <c:pt idx="205">
                  <c:v>0.98339510662399998</c:v>
                </c:pt>
                <c:pt idx="206">
                  <c:v>0.98179596364199995</c:v>
                </c:pt>
                <c:pt idx="207">
                  <c:v>0.98012621336299999</c:v>
                </c:pt>
                <c:pt idx="208">
                  <c:v>0.97838636441100002</c:v>
                </c:pt>
                <c:pt idx="209">
                  <c:v>0.97657694675899998</c:v>
                </c:pt>
                <c:pt idx="210">
                  <c:v>0.97469851157499998</c:v>
                </c:pt>
                <c:pt idx="211">
                  <c:v>0.97275163104700002</c:v>
                </c:pt>
                <c:pt idx="212">
                  <c:v>0.97073689821499998</c:v>
                </c:pt>
                <c:pt idx="213">
                  <c:v>0.96865492678499998</c:v>
                </c:pt>
                <c:pt idx="214">
                  <c:v>0.96650635094600001</c:v>
                </c:pt>
                <c:pt idx="215">
                  <c:v>0.96429182517599998</c:v>
                </c:pt>
                <c:pt idx="216">
                  <c:v>0.96201202403899999</c:v>
                </c:pt>
                <c:pt idx="217">
                  <c:v>0.95966764198599996</c:v>
                </c:pt>
                <c:pt idx="218">
                  <c:v>0.95725939313899999</c:v>
                </c:pt>
                <c:pt idx="219">
                  <c:v>0.95478801107199995</c:v>
                </c:pt>
                <c:pt idx="220">
                  <c:v>0.95225424859399999</c:v>
                </c:pt>
                <c:pt idx="221">
                  <c:v>0.94965887751199995</c:v>
                </c:pt>
                <c:pt idx="222">
                  <c:v>0.94700268840199997</c:v>
                </c:pt>
                <c:pt idx="223">
                  <c:v>0.94428649036400003</c:v>
                </c:pt>
                <c:pt idx="224">
                  <c:v>0.94151111078000005</c:v>
                </c:pt>
                <c:pt idx="225">
                  <c:v>0.93867739505600001</c:v>
                </c:pt>
                <c:pt idx="226">
                  <c:v>0.93578620636900001</c:v>
                </c:pt>
                <c:pt idx="227">
                  <c:v>0.93283842540499995</c:v>
                </c:pt>
                <c:pt idx="228">
                  <c:v>0.92983495008499994</c:v>
                </c:pt>
                <c:pt idx="229">
                  <c:v>0.92677669529700002</c:v>
                </c:pt>
                <c:pt idx="230">
                  <c:v>0.923664592615</c:v>
                </c:pt>
                <c:pt idx="231">
                  <c:v>0.92049959001600001</c:v>
                </c:pt>
                <c:pt idx="232">
                  <c:v>0.91728265159</c:v>
                </c:pt>
                <c:pt idx="233">
                  <c:v>0.91401475724799996</c:v>
                </c:pt>
                <c:pt idx="234">
                  <c:v>0.91069690242199997</c:v>
                </c:pt>
                <c:pt idx="235">
                  <c:v>0.90733009776200002</c:v>
                </c:pt>
                <c:pt idx="236">
                  <c:v>0.90391536883099999</c:v>
                </c:pt>
                <c:pt idx="237">
                  <c:v>0.90045375578800002</c:v>
                </c:pt>
                <c:pt idx="238">
                  <c:v>0.89694631307299999</c:v>
                </c:pt>
                <c:pt idx="239">
                  <c:v>0.89339410908799999</c:v>
                </c:pt>
                <c:pt idx="240">
                  <c:v>0.88979822586799995</c:v>
                </c:pt>
                <c:pt idx="241">
                  <c:v>0.88615975875399999</c:v>
                </c:pt>
                <c:pt idx="242">
                  <c:v>0.88247981605799997</c:v>
                </c:pt>
                <c:pt idx="243">
                  <c:v>0.87875951872799996</c:v>
                </c:pt>
                <c:pt idx="244">
                  <c:v>0.875</c:v>
                </c:pt>
                <c:pt idx="245">
                  <c:v>0.87120240506199997</c:v>
                </c:pt>
                <c:pt idx="246">
                  <c:v>0.86736789069599995</c:v>
                </c:pt>
                <c:pt idx="247">
                  <c:v>0.86349762493500004</c:v>
                </c:pt>
                <c:pt idx="248">
                  <c:v>0.85959278669700001</c:v>
                </c:pt>
                <c:pt idx="249">
                  <c:v>0.85565456543499996</c:v>
                </c:pt>
                <c:pt idx="250">
                  <c:v>0.851684160769</c:v>
                </c:pt>
                <c:pt idx="251">
                  <c:v>0.84768278212199999</c:v>
                </c:pt>
                <c:pt idx="252">
                  <c:v>0.84365164835399997</c:v>
                </c:pt>
                <c:pt idx="253">
                  <c:v>0.83959198738600005</c:v>
                </c:pt>
                <c:pt idx="254">
                  <c:v>0.835505035831</c:v>
                </c:pt>
                <c:pt idx="255">
                  <c:v>0.83139203861400002</c:v>
                </c:pt>
                <c:pt idx="256">
                  <c:v>0.82725424859399999</c:v>
                </c:pt>
                <c:pt idx="257">
                  <c:v>0.82309292618100005</c:v>
                </c:pt>
                <c:pt idx="258">
                  <c:v>0.81890933895399998</c:v>
                </c:pt>
                <c:pt idx="259">
                  <c:v>0.814704761276</c:v>
                </c:pt>
                <c:pt idx="260">
                  <c:v>0.8104804739</c:v>
                </c:pt>
                <c:pt idx="261">
                  <c:v>0.80623776358599997</c:v>
                </c:pt>
                <c:pt idx="262">
                  <c:v>0.80197792270400003</c:v>
                </c:pt>
                <c:pt idx="263">
                  <c:v>0.79770224884399998</c:v>
                </c:pt>
                <c:pt idx="264">
                  <c:v>0.79341204441699997</c:v>
                </c:pt>
                <c:pt idx="265">
                  <c:v>0.78910861625999995</c:v>
                </c:pt>
                <c:pt idx="266">
                  <c:v>0.78479327523999998</c:v>
                </c:pt>
                <c:pt idx="267">
                  <c:v>0.78046733585100003</c:v>
                </c:pt>
                <c:pt idx="268">
                  <c:v>0.77613211581700003</c:v>
                </c:pt>
                <c:pt idx="269">
                  <c:v>0.77178893568700002</c:v>
                </c:pt>
                <c:pt idx="270">
                  <c:v>0.76743911843599999</c:v>
                </c:pt>
                <c:pt idx="271">
                  <c:v>0.76308398906099995</c:v>
                </c:pt>
                <c:pt idx="272">
                  <c:v>0.75872487417599999</c:v>
                </c:pt>
                <c:pt idx="273">
                  <c:v>0.754363101609</c:v>
                </c:pt>
                <c:pt idx="274">
                  <c:v>0.75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xVal>
          <c:yVal>
            <c:numRef>
              <c:f>Sheet1!$C$7:$C$506</c:f>
              <c:numCache>
                <c:formatCode>0.000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0.75</c:v>
                </c:pt>
                <c:pt idx="3">
                  <c:v>0.754363101609</c:v>
                </c:pt>
                <c:pt idx="4">
                  <c:v>0.75872487417599999</c:v>
                </c:pt>
                <c:pt idx="5">
                  <c:v>0.76308398906099995</c:v>
                </c:pt>
                <c:pt idx="6">
                  <c:v>0.76743911843599999</c:v>
                </c:pt>
                <c:pt idx="7">
                  <c:v>0.77178893568700002</c:v>
                </c:pt>
                <c:pt idx="8">
                  <c:v>0.77613211581700003</c:v>
                </c:pt>
                <c:pt idx="9">
                  <c:v>0.78046733585100003</c:v>
                </c:pt>
                <c:pt idx="10">
                  <c:v>0.78479327523999998</c:v>
                </c:pt>
                <c:pt idx="11">
                  <c:v>0.78910861625999995</c:v>
                </c:pt>
                <c:pt idx="12">
                  <c:v>0.79341204441699997</c:v>
                </c:pt>
                <c:pt idx="13">
                  <c:v>0.79770224884399998</c:v>
                </c:pt>
                <c:pt idx="14">
                  <c:v>0.80197792270400003</c:v>
                </c:pt>
                <c:pt idx="15">
                  <c:v>0.80623776358599997</c:v>
                </c:pt>
                <c:pt idx="16">
                  <c:v>0.8104804739</c:v>
                </c:pt>
                <c:pt idx="17">
                  <c:v>0.814704761276</c:v>
                </c:pt>
                <c:pt idx="18">
                  <c:v>0.81890933895399998</c:v>
                </c:pt>
                <c:pt idx="19">
                  <c:v>0.82309292618100005</c:v>
                </c:pt>
                <c:pt idx="20">
                  <c:v>0.82725424859399999</c:v>
                </c:pt>
                <c:pt idx="21">
                  <c:v>0.83139203861400002</c:v>
                </c:pt>
                <c:pt idx="22">
                  <c:v>0.835505035831</c:v>
                </c:pt>
                <c:pt idx="23">
                  <c:v>0.83959198738600005</c:v>
                </c:pt>
                <c:pt idx="24">
                  <c:v>0.84365164835399997</c:v>
                </c:pt>
                <c:pt idx="25">
                  <c:v>0.84768278212199999</c:v>
                </c:pt>
                <c:pt idx="26">
                  <c:v>0.851684160769</c:v>
                </c:pt>
                <c:pt idx="27">
                  <c:v>0.85565456543499996</c:v>
                </c:pt>
                <c:pt idx="28">
                  <c:v>0.85959278669700001</c:v>
                </c:pt>
                <c:pt idx="29">
                  <c:v>0.86349762493500004</c:v>
                </c:pt>
                <c:pt idx="30">
                  <c:v>0.86736789069599995</c:v>
                </c:pt>
                <c:pt idx="31">
                  <c:v>0.87120240506199997</c:v>
                </c:pt>
                <c:pt idx="32">
                  <c:v>0.875</c:v>
                </c:pt>
                <c:pt idx="33">
                  <c:v>0.87875951872799996</c:v>
                </c:pt>
                <c:pt idx="34">
                  <c:v>0.88247981605799997</c:v>
                </c:pt>
                <c:pt idx="35">
                  <c:v>0.88615975875399999</c:v>
                </c:pt>
                <c:pt idx="36">
                  <c:v>0.88979822586799995</c:v>
                </c:pt>
                <c:pt idx="37">
                  <c:v>0.89339410908799999</c:v>
                </c:pt>
                <c:pt idx="38">
                  <c:v>0.89694631307299999</c:v>
                </c:pt>
                <c:pt idx="39">
                  <c:v>0.90045375578800002</c:v>
                </c:pt>
                <c:pt idx="40">
                  <c:v>0.90391536883099999</c:v>
                </c:pt>
                <c:pt idx="41">
                  <c:v>0.90733009776200002</c:v>
                </c:pt>
                <c:pt idx="42">
                  <c:v>0.91069690242199997</c:v>
                </c:pt>
                <c:pt idx="43">
                  <c:v>0.91401475724799996</c:v>
                </c:pt>
                <c:pt idx="44">
                  <c:v>0.91728265159</c:v>
                </c:pt>
                <c:pt idx="45">
                  <c:v>0.92049959001600001</c:v>
                </c:pt>
                <c:pt idx="46">
                  <c:v>0.923664592615</c:v>
                </c:pt>
                <c:pt idx="47">
                  <c:v>0.92677669529700002</c:v>
                </c:pt>
                <c:pt idx="48">
                  <c:v>0.92983495008499994</c:v>
                </c:pt>
                <c:pt idx="49">
                  <c:v>0.93283842540499995</c:v>
                </c:pt>
                <c:pt idx="50">
                  <c:v>0.93578620636900001</c:v>
                </c:pt>
                <c:pt idx="51">
                  <c:v>0.93867739505600001</c:v>
                </c:pt>
                <c:pt idx="52">
                  <c:v>0.94151111078000005</c:v>
                </c:pt>
                <c:pt idx="53">
                  <c:v>0.94428649036400003</c:v>
                </c:pt>
                <c:pt idx="54">
                  <c:v>0.94700268840199997</c:v>
                </c:pt>
                <c:pt idx="55">
                  <c:v>0.94965887751199995</c:v>
                </c:pt>
                <c:pt idx="56">
                  <c:v>0.95225424859399999</c:v>
                </c:pt>
                <c:pt idx="57">
                  <c:v>0.95478801107199995</c:v>
                </c:pt>
                <c:pt idx="58">
                  <c:v>0.95725939313899999</c:v>
                </c:pt>
                <c:pt idx="59">
                  <c:v>0.95966764198599996</c:v>
                </c:pt>
                <c:pt idx="60">
                  <c:v>0.96201202403899999</c:v>
                </c:pt>
                <c:pt idx="61">
                  <c:v>0.96429182517599998</c:v>
                </c:pt>
                <c:pt idx="62">
                  <c:v>0.96650635094600001</c:v>
                </c:pt>
                <c:pt idx="63">
                  <c:v>0.96865492678499998</c:v>
                </c:pt>
                <c:pt idx="64">
                  <c:v>0.97073689821499998</c:v>
                </c:pt>
                <c:pt idx="65">
                  <c:v>0.97275163104700002</c:v>
                </c:pt>
                <c:pt idx="66">
                  <c:v>0.97469851157499998</c:v>
                </c:pt>
                <c:pt idx="67">
                  <c:v>0.97657694675899998</c:v>
                </c:pt>
                <c:pt idx="68">
                  <c:v>0.97838636441100002</c:v>
                </c:pt>
                <c:pt idx="69">
                  <c:v>0.98012621336299999</c:v>
                </c:pt>
                <c:pt idx="70">
                  <c:v>0.98179596364199995</c:v>
                </c:pt>
                <c:pt idx="71">
                  <c:v>0.98339510662399998</c:v>
                </c:pt>
                <c:pt idx="72">
                  <c:v>0.98492315519600004</c:v>
                </c:pt>
                <c:pt idx="73">
                  <c:v>0.98637964389999999</c:v>
                </c:pt>
                <c:pt idx="74">
                  <c:v>0.98776412907400002</c:v>
                </c:pt>
                <c:pt idx="75">
                  <c:v>0.98907618899100003</c:v>
                </c:pt>
                <c:pt idx="76">
                  <c:v>0.99031542398500005</c:v>
                </c:pt>
                <c:pt idx="77">
                  <c:v>0.99148145657200004</c:v>
                </c:pt>
                <c:pt idx="78">
                  <c:v>0.99257393156899998</c:v>
                </c:pt>
                <c:pt idx="79">
                  <c:v>0.99359251619599998</c:v>
                </c:pt>
                <c:pt idx="80">
                  <c:v>0.99453690018300001</c:v>
                </c:pt>
                <c:pt idx="81">
                  <c:v>0.99540679586199998</c:v>
                </c:pt>
                <c:pt idx="82">
                  <c:v>0.99620193825299996</c:v>
                </c:pt>
                <c:pt idx="83">
                  <c:v>0.99692208514900005</c:v>
                </c:pt>
                <c:pt idx="84">
                  <c:v>0.99756701718499996</c:v>
                </c:pt>
                <c:pt idx="85">
                  <c:v>0.99813653791000001</c:v>
                </c:pt>
                <c:pt idx="86">
                  <c:v>0.99863047384199999</c:v>
                </c:pt>
                <c:pt idx="87">
                  <c:v>0.99904867452299995</c:v>
                </c:pt>
                <c:pt idx="88">
                  <c:v>0.99939101256499996</c:v>
                </c:pt>
                <c:pt idx="89">
                  <c:v>0.99965738368900003</c:v>
                </c:pt>
                <c:pt idx="90">
                  <c:v>0.99984770675500001</c:v>
                </c:pt>
                <c:pt idx="91">
                  <c:v>0.99996192378899995</c:v>
                </c:pt>
                <c:pt idx="92">
                  <c:v>1</c:v>
                </c:pt>
                <c:pt idx="93">
                  <c:v>1</c:v>
                </c:pt>
                <c:pt idx="94">
                  <c:v>1.0000761524199999</c:v>
                </c:pt>
                <c:pt idx="95">
                  <c:v>1.00030458649</c:v>
                </c:pt>
                <c:pt idx="96">
                  <c:v>1.00068523262</c:v>
                </c:pt>
                <c:pt idx="97">
                  <c:v>1.0012179748700001</c:v>
                </c:pt>
                <c:pt idx="98">
                  <c:v>1.00190265095</c:v>
                </c:pt>
                <c:pt idx="99">
                  <c:v>1.0027390523199999</c:v>
                </c:pt>
                <c:pt idx="100">
                  <c:v>1.00372692418</c:v>
                </c:pt>
                <c:pt idx="101">
                  <c:v>1.0048659656300001</c:v>
                </c:pt>
                <c:pt idx="102">
                  <c:v>1.0061558296999999</c:v>
                </c:pt>
                <c:pt idx="103">
                  <c:v>1.0075961234899999</c:v>
                </c:pt>
                <c:pt idx="104">
                  <c:v>1.0091864082799999</c:v>
                </c:pt>
                <c:pt idx="105">
                  <c:v>1.0109261996300001</c:v>
                </c:pt>
                <c:pt idx="106">
                  <c:v>1.01281496761</c:v>
                </c:pt>
                <c:pt idx="107">
                  <c:v>1.0148521368600001</c:v>
                </c:pt>
                <c:pt idx="108">
                  <c:v>1.0170370868600001</c:v>
                </c:pt>
                <c:pt idx="109">
                  <c:v>1.0193691520299999</c:v>
                </c:pt>
                <c:pt idx="110">
                  <c:v>1.0218476220199999</c:v>
                </c:pt>
                <c:pt idx="111">
                  <c:v>1.02447174185</c:v>
                </c:pt>
                <c:pt idx="112">
                  <c:v>1.0272407122</c:v>
                </c:pt>
                <c:pt idx="113">
                  <c:v>1.0301536896100001</c:v>
                </c:pt>
                <c:pt idx="114">
                  <c:v>1.0332097867500001</c:v>
                </c:pt>
                <c:pt idx="115">
                  <c:v>1.03640807272</c:v>
                </c:pt>
                <c:pt idx="116">
                  <c:v>1.0397475732699999</c:v>
                </c:pt>
                <c:pt idx="117">
                  <c:v>1.0432272711799999</c:v>
                </c:pt>
                <c:pt idx="118">
                  <c:v>1.0468461064800001</c:v>
                </c:pt>
                <c:pt idx="119">
                  <c:v>1.05060297685</c:v>
                </c:pt>
                <c:pt idx="120">
                  <c:v>1.0544967379100001</c:v>
                </c:pt>
                <c:pt idx="121">
                  <c:v>1.05852620357</c:v>
                </c:pt>
                <c:pt idx="122">
                  <c:v>1.06269014643</c:v>
                </c:pt>
                <c:pt idx="123">
                  <c:v>1.0669872981099999</c:v>
                </c:pt>
                <c:pt idx="124">
                  <c:v>1.07141634965</c:v>
                </c:pt>
                <c:pt idx="125">
                  <c:v>1.0759759519200001</c:v>
                </c:pt>
                <c:pt idx="126">
                  <c:v>1.08066471603</c:v>
                </c:pt>
                <c:pt idx="127">
                  <c:v>1.0854812137200001</c:v>
                </c:pt>
                <c:pt idx="128">
                  <c:v>1.09042397786</c:v>
                </c:pt>
                <c:pt idx="129">
                  <c:v>1.0954915028100001</c:v>
                </c:pt>
                <c:pt idx="130">
                  <c:v>1.10068224498</c:v>
                </c:pt>
                <c:pt idx="131">
                  <c:v>1.1059946232</c:v>
                </c:pt>
                <c:pt idx="132">
                  <c:v>1.11142701927</c:v>
                </c:pt>
                <c:pt idx="133">
                  <c:v>1.1169777784399999</c:v>
                </c:pt>
                <c:pt idx="134">
                  <c:v>1.1226452098899999</c:v>
                </c:pt>
                <c:pt idx="135">
                  <c:v>1.12842758726</c:v>
                </c:pt>
                <c:pt idx="136">
                  <c:v>1.1343231491900001</c:v>
                </c:pt>
                <c:pt idx="137">
                  <c:v>1.1403300998300001</c:v>
                </c:pt>
                <c:pt idx="138">
                  <c:v>1.1464466094100001</c:v>
                </c:pt>
                <c:pt idx="139">
                  <c:v>1.15267081477</c:v>
                </c:pt>
                <c:pt idx="140">
                  <c:v>1.1590008199699999</c:v>
                </c:pt>
                <c:pt idx="141">
                  <c:v>1.16543469682</c:v>
                </c:pt>
                <c:pt idx="142">
                  <c:v>1.1719704854999999</c:v>
                </c:pt>
                <c:pt idx="143">
                  <c:v>1.17860619516</c:v>
                </c:pt>
                <c:pt idx="144">
                  <c:v>1.1853398044800001</c:v>
                </c:pt>
                <c:pt idx="145">
                  <c:v>1.19216926234</c:v>
                </c:pt>
                <c:pt idx="146">
                  <c:v>1.19909248842</c:v>
                </c:pt>
                <c:pt idx="147">
                  <c:v>1.2061073738500001</c:v>
                </c:pt>
                <c:pt idx="148">
                  <c:v>1.2132117818199999</c:v>
                </c:pt>
                <c:pt idx="149">
                  <c:v>1.22040354826</c:v>
                </c:pt>
                <c:pt idx="150">
                  <c:v>1.2276804824900001</c:v>
                </c:pt>
                <c:pt idx="151">
                  <c:v>1.2350403678799999</c:v>
                </c:pt>
                <c:pt idx="152">
                  <c:v>1.24248096254</c:v>
                </c:pt>
                <c:pt idx="153">
                  <c:v>1.25</c:v>
                </c:pt>
                <c:pt idx="154">
                  <c:v>1.25759518988</c:v>
                </c:pt>
                <c:pt idx="155">
                  <c:v>1.26526421861</c:v>
                </c:pt>
                <c:pt idx="156">
                  <c:v>1.2730047501299999</c:v>
                </c:pt>
                <c:pt idx="157">
                  <c:v>1.2808144266099999</c:v>
                </c:pt>
                <c:pt idx="158">
                  <c:v>1.2886908691300001</c:v>
                </c:pt>
                <c:pt idx="159">
                  <c:v>1.29663167846</c:v>
                </c:pt>
                <c:pt idx="160">
                  <c:v>1.3046344357599999</c:v>
                </c:pt>
                <c:pt idx="161">
                  <c:v>1.3126967032900001</c:v>
                </c:pt>
                <c:pt idx="162">
                  <c:v>1.3208160252300001</c:v>
                </c:pt>
                <c:pt idx="163">
                  <c:v>1.32898992834</c:v>
                </c:pt>
                <c:pt idx="164">
                  <c:v>1.33721592277</c:v>
                </c:pt>
                <c:pt idx="165">
                  <c:v>1.3454915028100001</c:v>
                </c:pt>
                <c:pt idx="166">
                  <c:v>1.3538141476400001</c:v>
                </c:pt>
                <c:pt idx="167">
                  <c:v>1.3621813220900001</c:v>
                </c:pt>
                <c:pt idx="168">
                  <c:v>1.37059047745</c:v>
                </c:pt>
                <c:pt idx="169">
                  <c:v>1.3790390522</c:v>
                </c:pt>
                <c:pt idx="170">
                  <c:v>1.38752447283</c:v>
                </c:pt>
                <c:pt idx="171">
                  <c:v>1.39604415459</c:v>
                </c:pt>
                <c:pt idx="172">
                  <c:v>1.4045955023100001</c:v>
                </c:pt>
                <c:pt idx="173">
                  <c:v>1.41317591117</c:v>
                </c:pt>
                <c:pt idx="174">
                  <c:v>1.4217827674800001</c:v>
                </c:pt>
                <c:pt idx="175">
                  <c:v>1.43041344952</c:v>
                </c:pt>
                <c:pt idx="176">
                  <c:v>1.4390653282999999</c:v>
                </c:pt>
                <c:pt idx="177">
                  <c:v>1.4477357683700001</c:v>
                </c:pt>
                <c:pt idx="178">
                  <c:v>1.4564221286300001</c:v>
                </c:pt>
                <c:pt idx="179">
                  <c:v>1.46512176313</c:v>
                </c:pt>
                <c:pt idx="180">
                  <c:v>1.4738320218800001</c:v>
                </c:pt>
                <c:pt idx="181">
                  <c:v>1.48255025165</c:v>
                </c:pt>
                <c:pt idx="182">
                  <c:v>1.49127379678</c:v>
                </c:pt>
                <c:pt idx="183">
                  <c:v>1.5</c:v>
                </c:pt>
                <c:pt idx="184">
                  <c:v>7.75</c:v>
                </c:pt>
                <c:pt idx="185">
                  <c:v>7.7543631016100001</c:v>
                </c:pt>
                <c:pt idx="186">
                  <c:v>7.7587248741800003</c:v>
                </c:pt>
                <c:pt idx="187">
                  <c:v>7.7630839890600001</c:v>
                </c:pt>
                <c:pt idx="188">
                  <c:v>7.7674391184399996</c:v>
                </c:pt>
                <c:pt idx="189">
                  <c:v>7.7717889356900001</c:v>
                </c:pt>
                <c:pt idx="190">
                  <c:v>7.7761321158200003</c:v>
                </c:pt>
                <c:pt idx="191">
                  <c:v>7.7804673358500001</c:v>
                </c:pt>
                <c:pt idx="192">
                  <c:v>7.7847932752400002</c:v>
                </c:pt>
                <c:pt idx="193">
                  <c:v>7.7891086162600001</c:v>
                </c:pt>
                <c:pt idx="194">
                  <c:v>7.7934120444200001</c:v>
                </c:pt>
                <c:pt idx="195">
                  <c:v>7.7977022488400003</c:v>
                </c:pt>
                <c:pt idx="196">
                  <c:v>7.8019779226999999</c:v>
                </c:pt>
                <c:pt idx="197">
                  <c:v>7.8062377635900004</c:v>
                </c:pt>
                <c:pt idx="198">
                  <c:v>7.8104804739000002</c:v>
                </c:pt>
                <c:pt idx="199">
                  <c:v>7.8147047612799998</c:v>
                </c:pt>
                <c:pt idx="200">
                  <c:v>7.8189093389500002</c:v>
                </c:pt>
                <c:pt idx="201">
                  <c:v>7.8230929261800002</c:v>
                </c:pt>
                <c:pt idx="202">
                  <c:v>7.8272542485900001</c:v>
                </c:pt>
                <c:pt idx="203">
                  <c:v>7.8313920386099998</c:v>
                </c:pt>
                <c:pt idx="204">
                  <c:v>7.8355050358299998</c:v>
                </c:pt>
                <c:pt idx="205">
                  <c:v>7.8395919873900004</c:v>
                </c:pt>
                <c:pt idx="206">
                  <c:v>7.8436516483499998</c:v>
                </c:pt>
                <c:pt idx="207">
                  <c:v>7.8476827821199997</c:v>
                </c:pt>
                <c:pt idx="208">
                  <c:v>7.8516841607699996</c:v>
                </c:pt>
                <c:pt idx="209">
                  <c:v>7.8556545654400001</c:v>
                </c:pt>
                <c:pt idx="210">
                  <c:v>7.8595927867000004</c:v>
                </c:pt>
                <c:pt idx="211">
                  <c:v>7.8634976249299999</c:v>
                </c:pt>
                <c:pt idx="212">
                  <c:v>7.8673678906999998</c:v>
                </c:pt>
                <c:pt idx="213">
                  <c:v>7.87120240506</c:v>
                </c:pt>
                <c:pt idx="214">
                  <c:v>7.875</c:v>
                </c:pt>
                <c:pt idx="215">
                  <c:v>7.8787595187299999</c:v>
                </c:pt>
                <c:pt idx="216">
                  <c:v>7.88247981606</c:v>
                </c:pt>
                <c:pt idx="217">
                  <c:v>7.8861597587499999</c:v>
                </c:pt>
                <c:pt idx="218">
                  <c:v>7.8897982258699999</c:v>
                </c:pt>
                <c:pt idx="219">
                  <c:v>7.8933941090899999</c:v>
                </c:pt>
                <c:pt idx="220">
                  <c:v>7.8969463130699999</c:v>
                </c:pt>
                <c:pt idx="221">
                  <c:v>7.9004537557900001</c:v>
                </c:pt>
                <c:pt idx="222">
                  <c:v>7.9039153688299999</c:v>
                </c:pt>
                <c:pt idx="223">
                  <c:v>7.9073300977600001</c:v>
                </c:pt>
                <c:pt idx="224">
                  <c:v>7.9106969024199998</c:v>
                </c:pt>
                <c:pt idx="225">
                  <c:v>7.9140147572500004</c:v>
                </c:pt>
                <c:pt idx="226">
                  <c:v>7.9172826515899999</c:v>
                </c:pt>
                <c:pt idx="227">
                  <c:v>7.9204995900200004</c:v>
                </c:pt>
                <c:pt idx="228">
                  <c:v>7.9236645926099998</c:v>
                </c:pt>
                <c:pt idx="229">
                  <c:v>7.9267766953000001</c:v>
                </c:pt>
                <c:pt idx="230">
                  <c:v>7.9298349500800001</c:v>
                </c:pt>
                <c:pt idx="231">
                  <c:v>7.9328384253999999</c:v>
                </c:pt>
                <c:pt idx="232">
                  <c:v>7.9357862063700004</c:v>
                </c:pt>
                <c:pt idx="233">
                  <c:v>7.93867739506</c:v>
                </c:pt>
                <c:pt idx="234">
                  <c:v>7.9415111107799996</c:v>
                </c:pt>
                <c:pt idx="235">
                  <c:v>7.9442864903599997</c:v>
                </c:pt>
                <c:pt idx="236">
                  <c:v>7.9470026883999996</c:v>
                </c:pt>
                <c:pt idx="237">
                  <c:v>7.9496588775100001</c:v>
                </c:pt>
                <c:pt idx="238">
                  <c:v>7.9522542485900001</c:v>
                </c:pt>
                <c:pt idx="239">
                  <c:v>7.9547880110699998</c:v>
                </c:pt>
                <c:pt idx="240">
                  <c:v>7.9572593931400002</c:v>
                </c:pt>
                <c:pt idx="241">
                  <c:v>7.9596676419900003</c:v>
                </c:pt>
                <c:pt idx="242">
                  <c:v>7.9620120240399999</c:v>
                </c:pt>
                <c:pt idx="243">
                  <c:v>7.9642918251800001</c:v>
                </c:pt>
                <c:pt idx="244">
                  <c:v>7.9665063509499996</c:v>
                </c:pt>
                <c:pt idx="245">
                  <c:v>7.9686549267800002</c:v>
                </c:pt>
                <c:pt idx="246">
                  <c:v>7.9707368982100002</c:v>
                </c:pt>
                <c:pt idx="247">
                  <c:v>7.9727516310500004</c:v>
                </c:pt>
                <c:pt idx="248">
                  <c:v>7.9746985115699998</c:v>
                </c:pt>
                <c:pt idx="249">
                  <c:v>7.9765769467599998</c:v>
                </c:pt>
                <c:pt idx="250">
                  <c:v>7.9783863644100004</c:v>
                </c:pt>
                <c:pt idx="251">
                  <c:v>7.9801262133600002</c:v>
                </c:pt>
                <c:pt idx="252">
                  <c:v>7.9817959636399998</c:v>
                </c:pt>
                <c:pt idx="253">
                  <c:v>7.9833951066199997</c:v>
                </c:pt>
                <c:pt idx="254">
                  <c:v>7.9849231551999997</c:v>
                </c:pt>
                <c:pt idx="255">
                  <c:v>7.9863796439000003</c:v>
                </c:pt>
                <c:pt idx="256">
                  <c:v>7.9877641290700003</c:v>
                </c:pt>
                <c:pt idx="257">
                  <c:v>7.9890761889900004</c:v>
                </c:pt>
                <c:pt idx="258">
                  <c:v>7.9903154239800003</c:v>
                </c:pt>
                <c:pt idx="259">
                  <c:v>7.9914814565699999</c:v>
                </c:pt>
                <c:pt idx="260">
                  <c:v>7.99257393157</c:v>
                </c:pt>
                <c:pt idx="261">
                  <c:v>7.9935925161999997</c:v>
                </c:pt>
                <c:pt idx="262">
                  <c:v>7.99453690018</c:v>
                </c:pt>
                <c:pt idx="263">
                  <c:v>7.9954067958600001</c:v>
                </c:pt>
                <c:pt idx="264">
                  <c:v>7.9962019382499996</c:v>
                </c:pt>
                <c:pt idx="265">
                  <c:v>7.9969220851499996</c:v>
                </c:pt>
                <c:pt idx="266">
                  <c:v>7.9975670171899997</c:v>
                </c:pt>
                <c:pt idx="267">
                  <c:v>7.9981365379099998</c:v>
                </c:pt>
                <c:pt idx="268">
                  <c:v>7.9986304738399996</c:v>
                </c:pt>
                <c:pt idx="269">
                  <c:v>7.99904867452</c:v>
                </c:pt>
                <c:pt idx="270">
                  <c:v>7.9993910125600003</c:v>
                </c:pt>
                <c:pt idx="271">
                  <c:v>7.9996573836899998</c:v>
                </c:pt>
                <c:pt idx="272">
                  <c:v>7.9998477067499998</c:v>
                </c:pt>
                <c:pt idx="273">
                  <c:v>7.9999619237899999</c:v>
                </c:pt>
                <c:pt idx="274">
                  <c:v>8</c:v>
                </c:pt>
                <c:pt idx="275">
                  <c:v>8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BFA-8848-A898-BF96BFD9A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68736"/>
        <c:axId val="878629968"/>
      </c:scatterChart>
      <c:valAx>
        <c:axId val="87766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629968"/>
        <c:crosses val="autoZero"/>
        <c:crossBetween val="midCat"/>
      </c:valAx>
      <c:valAx>
        <c:axId val="878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68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565150</xdr:colOff>
      <xdr:row>10</xdr:row>
      <xdr:rowOff>95250</xdr:rowOff>
    </xdr:from>
    <xdr:to>
      <xdr:col>19</xdr:col>
      <xdr:colOff>825500</xdr:colOff>
      <xdr:row>46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2</xdr:row>
          <xdr:rowOff>104775</xdr:rowOff>
        </xdr:from>
        <xdr:to>
          <xdr:col>2</xdr:col>
          <xdr:colOff>771525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Coords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5C15F-D062-EA43-8572-BA750C18D6E3}">
  <sheetPr codeName="Sheet1"/>
  <dimension ref="A1:AD550"/>
  <sheetViews>
    <sheetView tabSelected="1" zoomScale="90" zoomScaleNormal="90" workbookViewId="0">
      <selection activeCell="D10" sqref="D10"/>
    </sheetView>
  </sheetViews>
  <sheetFormatPr defaultColWidth="11" defaultRowHeight="15.75" x14ac:dyDescent="0.25"/>
  <cols>
    <col min="1" max="3" width="10.875" style="1"/>
    <col min="4" max="4" width="13.625" style="1" bestFit="1" customWidth="1"/>
    <col min="5" max="6" width="11.625" style="1" bestFit="1" customWidth="1"/>
    <col min="7" max="10" width="14.625" style="1" bestFit="1" customWidth="1"/>
    <col min="11" max="13" width="11.625" style="1" bestFit="1" customWidth="1"/>
    <col min="14" max="15" width="12.625" style="1" bestFit="1" customWidth="1"/>
    <col min="16" max="16" width="11" style="1" bestFit="1" customWidth="1"/>
    <col min="17" max="17" width="13.625" style="1" bestFit="1" customWidth="1"/>
    <col min="18" max="20" width="11" style="1" bestFit="1" customWidth="1"/>
    <col min="21" max="21" width="12.875" style="1" bestFit="1" customWidth="1"/>
    <col min="22" max="22" width="11.625" style="1" bestFit="1" customWidth="1"/>
    <col min="23" max="23" width="11.5" style="1" bestFit="1" customWidth="1"/>
  </cols>
  <sheetData>
    <row r="1" spans="1:30" x14ac:dyDescent="0.25">
      <c r="A1" s="11" t="s">
        <v>0</v>
      </c>
      <c r="G1" s="2" t="s">
        <v>29</v>
      </c>
      <c r="H1" s="3">
        <v>1E-14</v>
      </c>
    </row>
    <row r="2" spans="1:30" ht="16.5" thickBot="1" x14ac:dyDescent="0.3">
      <c r="A2" s="5" t="s">
        <v>1</v>
      </c>
    </row>
    <row r="3" spans="1:30" x14ac:dyDescent="0.25">
      <c r="D3" s="41" t="s">
        <v>7</v>
      </c>
      <c r="E3" s="14"/>
      <c r="F3" s="14"/>
      <c r="G3" s="14"/>
      <c r="H3" s="14"/>
      <c r="I3" s="14"/>
      <c r="J3" s="14"/>
      <c r="K3" s="14"/>
      <c r="L3" s="14"/>
      <c r="M3" s="15"/>
      <c r="N3" s="39" t="s">
        <v>8</v>
      </c>
      <c r="O3" s="25"/>
      <c r="P3" s="25"/>
      <c r="Q3" s="25"/>
      <c r="R3" s="25"/>
      <c r="S3" s="25"/>
      <c r="T3" s="26"/>
    </row>
    <row r="4" spans="1:30" x14ac:dyDescent="0.25">
      <c r="A4" s="5" t="s">
        <v>2</v>
      </c>
      <c r="D4" s="16"/>
      <c r="E4" s="17"/>
      <c r="F4" s="17"/>
      <c r="G4" s="17"/>
      <c r="H4" s="17"/>
      <c r="I4" s="17"/>
      <c r="J4" s="17"/>
      <c r="K4" s="17"/>
      <c r="L4" s="17"/>
      <c r="M4" s="18"/>
      <c r="N4" s="27" t="s">
        <v>23</v>
      </c>
      <c r="O4" s="28" t="s">
        <v>24</v>
      </c>
      <c r="P4" s="28" t="s">
        <v>25</v>
      </c>
      <c r="Q4" s="28" t="s">
        <v>26</v>
      </c>
      <c r="R4" s="28" t="s">
        <v>42</v>
      </c>
      <c r="S4" s="28" t="s">
        <v>43</v>
      </c>
      <c r="T4" s="29" t="s">
        <v>44</v>
      </c>
    </row>
    <row r="5" spans="1:30" x14ac:dyDescent="0.25">
      <c r="D5" s="19">
        <f>SUM(D8:D506)</f>
        <v>13.02683021379001</v>
      </c>
      <c r="E5" s="20">
        <f>SUM(E8:E506)/D5</f>
        <v>1.6479255859869768</v>
      </c>
      <c r="F5" s="20">
        <f>SUM(F8:F506)/D5</f>
        <v>2.6438063623001771</v>
      </c>
      <c r="G5" s="20">
        <f>SUM(G8:G506)</f>
        <v>171.54148373622874</v>
      </c>
      <c r="H5" s="20">
        <f>SUM(H8:H506)</f>
        <v>73.914109875577211</v>
      </c>
      <c r="I5" s="20">
        <f>SUM(I8:I506)</f>
        <v>24.640166667878145</v>
      </c>
      <c r="J5" s="20">
        <f>SUM(J8:J506)</f>
        <v>245.45559361180611</v>
      </c>
      <c r="K5" s="20">
        <f>SQRT(G5/D5)</f>
        <v>3.6288181469230532</v>
      </c>
      <c r="L5" s="20">
        <f>SQRT(H5/D5)</f>
        <v>2.3820139426622342</v>
      </c>
      <c r="M5" s="21">
        <f>SQRT(J5/D5)</f>
        <v>4.3407731530771514</v>
      </c>
      <c r="N5" s="30">
        <f>G5-(D5*F5*F5)</f>
        <v>80.48769120935016</v>
      </c>
      <c r="O5" s="31">
        <f>ABS(H5-(D5*E5*E5))</f>
        <v>38.537684590727345</v>
      </c>
      <c r="P5" s="31">
        <f>I5-(D5*E5*F5)</f>
        <v>-32.115077039019468</v>
      </c>
      <c r="Q5" s="31">
        <f>N5+O5</f>
        <v>119.02537580007751</v>
      </c>
      <c r="R5" s="31">
        <f>SQRT(N5/D5)</f>
        <v>2.4856808045481551</v>
      </c>
      <c r="S5" s="31">
        <f>SQRT(O5/D5)</f>
        <v>1.7199801411896474</v>
      </c>
      <c r="T5" s="32">
        <f>SQRT(Q5/D5)</f>
        <v>3.022737293941689</v>
      </c>
    </row>
    <row r="6" spans="1:30" ht="16.5" thickBot="1" x14ac:dyDescent="0.3">
      <c r="A6" s="1" t="s">
        <v>4</v>
      </c>
      <c r="B6" s="1" t="s">
        <v>11</v>
      </c>
      <c r="C6" s="1" t="s">
        <v>12</v>
      </c>
      <c r="D6" s="22" t="s">
        <v>13</v>
      </c>
      <c r="E6" s="23" t="s">
        <v>14</v>
      </c>
      <c r="F6" s="23" t="s">
        <v>15</v>
      </c>
      <c r="G6" s="23" t="s">
        <v>16</v>
      </c>
      <c r="H6" s="23" t="s">
        <v>17</v>
      </c>
      <c r="I6" s="23" t="s">
        <v>18</v>
      </c>
      <c r="J6" s="23" t="s">
        <v>19</v>
      </c>
      <c r="K6" s="23" t="s">
        <v>39</v>
      </c>
      <c r="L6" s="23" t="s">
        <v>40</v>
      </c>
      <c r="M6" s="24" t="s">
        <v>41</v>
      </c>
      <c r="N6" s="27"/>
      <c r="O6" s="28"/>
      <c r="P6" s="28"/>
      <c r="Q6" s="28"/>
      <c r="R6" s="28"/>
      <c r="S6" s="28"/>
      <c r="T6" s="29"/>
    </row>
    <row r="7" spans="1:30" x14ac:dyDescent="0.25">
      <c r="A7" s="1">
        <v>1</v>
      </c>
      <c r="B7" s="13">
        <v>0</v>
      </c>
      <c r="C7" s="10">
        <v>0</v>
      </c>
      <c r="D7" s="4"/>
      <c r="E7" s="4"/>
      <c r="F7" s="4"/>
      <c r="G7" s="4"/>
      <c r="H7" s="4"/>
      <c r="I7" s="4"/>
      <c r="J7" s="4"/>
      <c r="N7" s="40" t="s">
        <v>9</v>
      </c>
      <c r="O7" s="33"/>
      <c r="P7" s="33"/>
      <c r="Q7" s="33"/>
      <c r="R7" s="33"/>
      <c r="S7" s="33"/>
      <c r="T7" s="33"/>
      <c r="U7" s="33"/>
      <c r="V7" s="33"/>
      <c r="W7" s="34"/>
      <c r="Z7" t="s">
        <v>33</v>
      </c>
      <c r="AC7" t="s">
        <v>34</v>
      </c>
    </row>
    <row r="8" spans="1:30" x14ac:dyDescent="0.25">
      <c r="A8" s="1">
        <v>2</v>
      </c>
      <c r="B8" s="6">
        <v>6</v>
      </c>
      <c r="C8" s="8">
        <v>0</v>
      </c>
      <c r="D8" s="9">
        <f>((B7*C8)-(B8*C7))*0.5</f>
        <v>0</v>
      </c>
      <c r="E8" s="9">
        <f>(B8+B7)*((B7*C8)-(B8*C7))*(1/6)</f>
        <v>0</v>
      </c>
      <c r="F8" s="9">
        <f>(C8+C7)*((B7*C8)-(B8*C7))*(1/6)</f>
        <v>0</v>
      </c>
      <c r="G8" s="9">
        <f>(((C7*C7)+(C7*C8)+(C8*C8))*((B7*C8)-(B8*C7)))/12</f>
        <v>0</v>
      </c>
      <c r="H8" s="9">
        <f>(((B7*B7)+(B7*B8)+(B8*B8))*((B7*C8)-(B8*C7)))/12</f>
        <v>0</v>
      </c>
      <c r="I8" s="9">
        <f>(((B7*C8)+(2*B7*C7)+(2*B8*C8)+(B8*C7))*((B7*C8)-(B8*C7)))/24</f>
        <v>0</v>
      </c>
      <c r="J8" s="9">
        <f>G8+H8</f>
        <v>0</v>
      </c>
      <c r="N8" s="42" t="s">
        <v>10</v>
      </c>
      <c r="O8" s="43" t="s">
        <v>6</v>
      </c>
      <c r="P8" s="43" t="s">
        <v>20</v>
      </c>
      <c r="Q8" s="43" t="s">
        <v>21</v>
      </c>
      <c r="R8" s="43" t="s">
        <v>22</v>
      </c>
      <c r="S8" s="35" t="s">
        <v>36</v>
      </c>
      <c r="T8" s="35" t="s">
        <v>37</v>
      </c>
      <c r="U8" s="35" t="s">
        <v>38</v>
      </c>
      <c r="V8" s="35" t="s">
        <v>28</v>
      </c>
      <c r="W8" s="36" t="s">
        <v>27</v>
      </c>
      <c r="Z8">
        <f>COS(RADIANS(V9))</f>
        <v>0.87943830772055731</v>
      </c>
      <c r="AA8">
        <f>SIN(RADIANS(V9))</f>
        <v>0.47601288103748024</v>
      </c>
      <c r="AC8">
        <f>COS(RADIANS(W9))</f>
        <v>-0.47601288103748041</v>
      </c>
      <c r="AD8">
        <f>SIN(RADIANS(W9))</f>
        <v>0.8794383077205572</v>
      </c>
    </row>
    <row r="9" spans="1:30" ht="16.5" thickBot="1" x14ac:dyDescent="0.3">
      <c r="A9" s="1">
        <v>3</v>
      </c>
      <c r="B9" s="6">
        <v>6</v>
      </c>
      <c r="C9" s="8">
        <v>0.75</v>
      </c>
      <c r="D9" s="9">
        <f t="shared" ref="D9:D26" si="0">((B8*C9)-(B9*C8))*0.5</f>
        <v>2.25</v>
      </c>
      <c r="E9" s="9">
        <f t="shared" ref="E9:E26" si="1">(B9+B8)*((B8*C9)-(B9*C8))*(1/6)</f>
        <v>9</v>
      </c>
      <c r="F9" s="9">
        <f t="shared" ref="F9:F26" si="2">(C9+C8)*((B8*C9)-(B9*C8))*(1/6)</f>
        <v>0.5625</v>
      </c>
      <c r="G9" s="9">
        <f t="shared" ref="G9:G26" si="3">(((C8*C8)+(C8*C9)+(C9*C9))*((B8*C9)-(B9*C8)))/12</f>
        <v>0.2109375</v>
      </c>
      <c r="H9" s="9">
        <f t="shared" ref="H9:H26" si="4">(((B8*B8)+(B8*B9)+(B9*B9))*((B8*C9)-(B9*C8)))/12</f>
        <v>40.5</v>
      </c>
      <c r="I9" s="9">
        <f t="shared" ref="I9:I26" si="5">(((B8*C9)+(2*B8*C8)+(2*B9*C9)+(B9*C8))*((B8*C9)-(B9*C8)))/24</f>
        <v>2.53125</v>
      </c>
      <c r="J9" s="9">
        <f t="shared" ref="J9:J26" si="6">G9+H9</f>
        <v>40.7109375</v>
      </c>
      <c r="N9" s="44">
        <f>ATAN2(H1+(N5-O5),-1*2*P5)</f>
        <v>0.99223081903165289</v>
      </c>
      <c r="O9" s="45">
        <f>(N5+O5)/2</f>
        <v>59.512687900038756</v>
      </c>
      <c r="P9" s="45">
        <f>(N5-O5)/2</f>
        <v>20.975003309311408</v>
      </c>
      <c r="Q9" s="45">
        <f>O9+SQRT((P9*P9)+(P5*P5))</f>
        <v>97.870593695947122</v>
      </c>
      <c r="R9" s="45">
        <f>O9-SQRT((P9*P9)+(P5*P5))</f>
        <v>21.154782104130398</v>
      </c>
      <c r="S9" s="37">
        <f>O9+(P9*COS(N9))-(P5*SIN(N9))</f>
        <v>97.870593695947122</v>
      </c>
      <c r="T9" s="37">
        <f>O9-(P9*COS(N9))+(P5*SIN(N9))</f>
        <v>21.154782104130401</v>
      </c>
      <c r="U9" s="37">
        <f>(P9*SIN(N9))+(P5*COS(N9))</f>
        <v>0</v>
      </c>
      <c r="V9" s="37">
        <f>IF(AND((Q9-H1)&lt;=S9,(Q9+H1)&gt;=S9),DEGREES(N9/2),DEGREES(N9/2)+90)</f>
        <v>28.425319116661335</v>
      </c>
      <c r="W9" s="38">
        <f>IF(AND((Q9-H1)&lt;=S9,(Q9+H1)&gt;=S9),DEGREES(N9/2)+90,DEGREES(N9/2))</f>
        <v>118.42531911666134</v>
      </c>
      <c r="Z9">
        <f>-1*AA8</f>
        <v>-0.47601288103748024</v>
      </c>
      <c r="AA9">
        <f>Z8</f>
        <v>0.87943830772055731</v>
      </c>
      <c r="AC9">
        <f>-1*AD8</f>
        <v>-0.8794383077205572</v>
      </c>
      <c r="AD9">
        <f>AC8</f>
        <v>-0.47601288103748041</v>
      </c>
    </row>
    <row r="10" spans="1:30" x14ac:dyDescent="0.25">
      <c r="A10" s="1">
        <v>4</v>
      </c>
      <c r="B10" s="6">
        <v>5.9999619237899999</v>
      </c>
      <c r="C10" s="8">
        <v>0.754363101609</v>
      </c>
      <c r="D10" s="9">
        <f t="shared" si="0"/>
        <v>1.3103583405750019E-2</v>
      </c>
      <c r="E10" s="9">
        <f t="shared" si="1"/>
        <v>5.2414167311402235E-2</v>
      </c>
      <c r="F10" s="9">
        <f t="shared" si="2"/>
        <v>6.5708491248221076E-3</v>
      </c>
      <c r="G10" s="9">
        <f t="shared" si="3"/>
        <v>3.7068640072918583E-3</v>
      </c>
      <c r="H10" s="9">
        <f t="shared" si="4"/>
        <v>0.23586300450228612</v>
      </c>
      <c r="I10" s="9">
        <f t="shared" si="5"/>
        <v>2.95687271486085E-2</v>
      </c>
      <c r="J10" s="9">
        <f t="shared" si="6"/>
        <v>0.23956986850957798</v>
      </c>
    </row>
    <row r="11" spans="1:30" x14ac:dyDescent="0.25">
      <c r="A11" s="1">
        <v>5</v>
      </c>
      <c r="B11" s="6">
        <v>5.9998477067499998</v>
      </c>
      <c r="C11" s="8">
        <v>0.75872487417599999</v>
      </c>
      <c r="D11" s="9">
        <f t="shared" si="0"/>
        <v>1.3128315221391684E-2</v>
      </c>
      <c r="E11" s="9">
        <f t="shared" si="1"/>
        <v>5.2512427808806925E-2</v>
      </c>
      <c r="F11" s="9">
        <f t="shared" si="2"/>
        <v>6.6214319679343148E-3</v>
      </c>
      <c r="G11" s="9">
        <f t="shared" si="3"/>
        <v>3.7570638168925928E-3</v>
      </c>
      <c r="H11" s="9">
        <f t="shared" si="4"/>
        <v>0.23630217636082029</v>
      </c>
      <c r="I11" s="9">
        <f t="shared" si="5"/>
        <v>2.979597088877807E-2</v>
      </c>
      <c r="J11" s="9">
        <f t="shared" si="6"/>
        <v>0.24005924017771288</v>
      </c>
    </row>
    <row r="12" spans="1:30" x14ac:dyDescent="0.25">
      <c r="A12" s="1">
        <v>6</v>
      </c>
      <c r="B12" s="6">
        <v>5.9996573836899998</v>
      </c>
      <c r="C12" s="8">
        <v>0.76308398906099995</v>
      </c>
      <c r="D12" s="9">
        <f t="shared" si="0"/>
        <v>1.3149214142988974E-2</v>
      </c>
      <c r="E12" s="9">
        <f t="shared" si="1"/>
        <v>5.2594687348027275E-2</v>
      </c>
      <c r="F12" s="9">
        <f t="shared" si="2"/>
        <v>6.6701968758006444E-3</v>
      </c>
      <c r="G12" s="9">
        <f t="shared" si="3"/>
        <v>3.8065471827494033E-3</v>
      </c>
      <c r="H12" s="9">
        <f t="shared" si="4"/>
        <v>0.2366663319808785</v>
      </c>
      <c r="I12" s="9">
        <f t="shared" si="5"/>
        <v>3.0014647557481091E-2</v>
      </c>
      <c r="J12" s="9">
        <f t="shared" si="6"/>
        <v>0.24047287916362789</v>
      </c>
    </row>
    <row r="13" spans="1:30" x14ac:dyDescent="0.25">
      <c r="A13" s="1">
        <v>7</v>
      </c>
      <c r="B13" s="6">
        <v>5.9993910125600003</v>
      </c>
      <c r="C13" s="8">
        <v>0.76743911843599999</v>
      </c>
      <c r="D13" s="9">
        <f t="shared" si="0"/>
        <v>1.3166273828047359E-2</v>
      </c>
      <c r="E13" s="9">
        <f t="shared" si="1"/>
        <v>5.2660918953673336E-2</v>
      </c>
      <c r="F13" s="9">
        <f t="shared" si="2"/>
        <v>6.7170954444864869E-3</v>
      </c>
      <c r="G13" s="9">
        <f t="shared" si="3"/>
        <v>3.8552615776733298E-3</v>
      </c>
      <c r="H13" s="9">
        <f t="shared" si="4"/>
        <v>0.23695534320747172</v>
      </c>
      <c r="I13" s="9">
        <f t="shared" si="5"/>
        <v>3.0224531858819726E-2</v>
      </c>
      <c r="J13" s="9">
        <f t="shared" si="6"/>
        <v>0.24081060478514504</v>
      </c>
      <c r="V13" s="1" t="s">
        <v>30</v>
      </c>
    </row>
    <row r="14" spans="1:30" x14ac:dyDescent="0.25">
      <c r="A14" s="1">
        <v>8</v>
      </c>
      <c r="B14" s="6">
        <v>5.99904867452</v>
      </c>
      <c r="C14" s="8">
        <v>0.77178893568700002</v>
      </c>
      <c r="D14" s="9">
        <f t="shared" si="0"/>
        <v>1.3179489062776106E-2</v>
      </c>
      <c r="E14" s="9">
        <f t="shared" si="1"/>
        <v>5.2711101542083208E-2</v>
      </c>
      <c r="F14" s="9">
        <f t="shared" si="2"/>
        <v>6.7620797681440751E-3</v>
      </c>
      <c r="G14" s="9">
        <f t="shared" si="3"/>
        <v>3.9031539715846733E-3</v>
      </c>
      <c r="H14" s="9">
        <f t="shared" si="4"/>
        <v>0.2371691148239454</v>
      </c>
      <c r="I14" s="9">
        <f t="shared" si="5"/>
        <v>3.0425401528750996E-2</v>
      </c>
      <c r="J14" s="9">
        <f t="shared" si="6"/>
        <v>0.24107226879553006</v>
      </c>
      <c r="V14" s="1" t="s">
        <v>3</v>
      </c>
      <c r="W14" s="1" t="s">
        <v>5</v>
      </c>
    </row>
    <row r="15" spans="1:30" x14ac:dyDescent="0.25">
      <c r="A15" s="1">
        <v>9</v>
      </c>
      <c r="B15" s="6">
        <v>5.9986304738399996</v>
      </c>
      <c r="C15" s="8">
        <v>0.77613211581700003</v>
      </c>
      <c r="D15" s="9">
        <f t="shared" si="0"/>
        <v>1.3188855829899371E-2</v>
      </c>
      <c r="E15" s="9">
        <f t="shared" si="1"/>
        <v>5.2745220193703299E-2</v>
      </c>
      <c r="F15" s="9">
        <f t="shared" si="2"/>
        <v>6.805102528117498E-3</v>
      </c>
      <c r="G15" s="9">
        <f t="shared" si="3"/>
        <v>3.9501709138521123E-3</v>
      </c>
      <c r="H15" s="9">
        <f t="shared" si="4"/>
        <v>0.23730758578122835</v>
      </c>
      <c r="I15" s="9">
        <f t="shared" si="5"/>
        <v>3.0617037765884609E-2</v>
      </c>
      <c r="J15" s="9">
        <f t="shared" si="6"/>
        <v>0.24125775669508046</v>
      </c>
      <c r="V15" s="7">
        <f>E5</f>
        <v>1.6479255859869768</v>
      </c>
      <c r="W15" s="9">
        <f>MIN(C7:C506)-1</f>
        <v>-1</v>
      </c>
    </row>
    <row r="16" spans="1:30" x14ac:dyDescent="0.25">
      <c r="A16" s="1">
        <v>10</v>
      </c>
      <c r="B16" s="6">
        <v>5.9981365379099998</v>
      </c>
      <c r="C16" s="8">
        <v>0.78046733585100003</v>
      </c>
      <c r="D16" s="9">
        <f t="shared" si="0"/>
        <v>1.3194371272591265E-2</v>
      </c>
      <c r="E16" s="9">
        <f t="shared" si="1"/>
        <v>5.2763266007934913E-2</v>
      </c>
      <c r="F16" s="9">
        <f t="shared" si="2"/>
        <v>6.8461170293398592E-3</v>
      </c>
      <c r="G16" s="9">
        <f t="shared" si="3"/>
        <v>3.9962585875872331E-3</v>
      </c>
      <c r="H16" s="9">
        <f t="shared" si="4"/>
        <v>0.23737072853769667</v>
      </c>
      <c r="I16" s="9">
        <f t="shared" si="5"/>
        <v>3.0799225423837302E-2</v>
      </c>
      <c r="J16" s="9">
        <f t="shared" si="6"/>
        <v>0.2413669871252839</v>
      </c>
      <c r="V16" s="7">
        <f>V15</f>
        <v>1.6479255859869768</v>
      </c>
      <c r="W16" s="9">
        <f>MAX(C7:C506)+1</f>
        <v>9</v>
      </c>
    </row>
    <row r="17" spans="1:23" x14ac:dyDescent="0.25">
      <c r="A17" s="1">
        <v>11</v>
      </c>
      <c r="B17" s="6">
        <v>5.9975670171899997</v>
      </c>
      <c r="C17" s="8">
        <v>0.78479327523999998</v>
      </c>
      <c r="D17" s="9">
        <f t="shared" si="0"/>
        <v>1.3196033714497624E-2</v>
      </c>
      <c r="E17" s="9">
        <f t="shared" si="1"/>
        <v>5.2765236180739535E-2</v>
      </c>
      <c r="F17" s="9">
        <f t="shared" si="2"/>
        <v>6.8850772653106622E-3</v>
      </c>
      <c r="G17" s="9">
        <f t="shared" si="3"/>
        <v>4.0413628823615542E-3</v>
      </c>
      <c r="H17" s="9">
        <f t="shared" si="4"/>
        <v>0.23735854939296161</v>
      </c>
      <c r="I17" s="9">
        <f t="shared" si="5"/>
        <v>3.0971753331099982E-2</v>
      </c>
      <c r="J17" s="9">
        <f t="shared" si="6"/>
        <v>0.24139991227532318</v>
      </c>
    </row>
    <row r="18" spans="1:23" x14ac:dyDescent="0.25">
      <c r="A18" s="1">
        <v>12</v>
      </c>
      <c r="B18" s="6">
        <v>5.9969220851499996</v>
      </c>
      <c r="C18" s="8">
        <v>0.78910861625999995</v>
      </c>
      <c r="D18" s="9">
        <f t="shared" si="0"/>
        <v>1.3193842648729248E-2</v>
      </c>
      <c r="E18" s="9">
        <f t="shared" si="1"/>
        <v>5.2751133956057225E-2</v>
      </c>
      <c r="F18" s="9">
        <f t="shared" si="2"/>
        <v>6.9219379669961095E-3</v>
      </c>
      <c r="G18" s="9">
        <f t="shared" si="3"/>
        <v>4.0854294595776474E-3</v>
      </c>
      <c r="H18" s="9">
        <f t="shared" si="4"/>
        <v>0.23727108824316104</v>
      </c>
      <c r="I18" s="9">
        <f t="shared" si="5"/>
        <v>3.1134414537086222E-2</v>
      </c>
      <c r="J18" s="9">
        <f t="shared" si="6"/>
        <v>0.24135651770273869</v>
      </c>
      <c r="V18" s="1" t="s">
        <v>31</v>
      </c>
    </row>
    <row r="19" spans="1:23" x14ac:dyDescent="0.25">
      <c r="A19" s="1">
        <v>13</v>
      </c>
      <c r="B19" s="6">
        <v>5.9962019382499996</v>
      </c>
      <c r="C19" s="8">
        <v>0.79341204441699997</v>
      </c>
      <c r="D19" s="9">
        <f t="shared" si="0"/>
        <v>1.3187798740166734E-2</v>
      </c>
      <c r="E19" s="9">
        <f t="shared" si="1"/>
        <v>5.2720968628819295E-2</v>
      </c>
      <c r="F19" s="9">
        <f t="shared" si="2"/>
        <v>6.9566546583879896E-3</v>
      </c>
      <c r="G19" s="9">
        <f t="shared" si="3"/>
        <v>4.1284038235918068E-3</v>
      </c>
      <c r="H19" s="9">
        <f t="shared" si="4"/>
        <v>0.2371084185596766</v>
      </c>
      <c r="I19" s="9">
        <f t="shared" si="5"/>
        <v>3.1287006586824227E-2</v>
      </c>
      <c r="J19" s="9">
        <f t="shared" si="6"/>
        <v>0.24123682238326841</v>
      </c>
      <c r="V19" s="1" t="s">
        <v>3</v>
      </c>
      <c r="W19" s="1" t="s">
        <v>5</v>
      </c>
    </row>
    <row r="20" spans="1:23" x14ac:dyDescent="0.25">
      <c r="A20" s="1">
        <v>14</v>
      </c>
      <c r="B20" s="6">
        <v>5.9954067958600001</v>
      </c>
      <c r="C20" s="8">
        <v>0.79770224884399998</v>
      </c>
      <c r="D20" s="9">
        <f t="shared" si="0"/>
        <v>1.3177903824959536E-2</v>
      </c>
      <c r="E20" s="9">
        <f t="shared" si="1"/>
        <v>5.2674755534882108E-2</v>
      </c>
      <c r="F20" s="9">
        <f t="shared" si="2"/>
        <v>6.9891837103706403E-3</v>
      </c>
      <c r="G20" s="9">
        <f t="shared" si="3"/>
        <v>4.1702313936980515E-3</v>
      </c>
      <c r="H20" s="9">
        <f t="shared" si="4"/>
        <v>0.23687064729935672</v>
      </c>
      <c r="I20" s="9">
        <f t="shared" si="5"/>
        <v>3.142933178650531E-2</v>
      </c>
      <c r="J20" s="9">
        <f t="shared" si="6"/>
        <v>0.24104087869305477</v>
      </c>
      <c r="V20" s="9">
        <f>MIN(B7:B506)-1</f>
        <v>-1</v>
      </c>
      <c r="W20" s="7">
        <f>F5</f>
        <v>2.6438063623001771</v>
      </c>
    </row>
    <row r="21" spans="1:23" x14ac:dyDescent="0.25">
      <c r="A21" s="1">
        <v>15</v>
      </c>
      <c r="B21" s="6">
        <v>5.99453690018</v>
      </c>
      <c r="C21" s="8">
        <v>0.80197792270400003</v>
      </c>
      <c r="D21" s="9">
        <f t="shared" si="0"/>
        <v>1.3164160928660795E-2</v>
      </c>
      <c r="E21" s="9">
        <f t="shared" si="1"/>
        <v>5.261251611341753E-2</v>
      </c>
      <c r="F21" s="9">
        <f t="shared" si="2"/>
        <v>7.0194824042151931E-3</v>
      </c>
      <c r="G21" s="9">
        <f t="shared" si="3"/>
        <v>4.2108575836707525E-3</v>
      </c>
      <c r="H21" s="9">
        <f t="shared" si="4"/>
        <v>0.23655791513014268</v>
      </c>
      <c r="I21" s="9">
        <f t="shared" si="5"/>
        <v>3.1561197510595905E-2</v>
      </c>
      <c r="J21" s="9">
        <f t="shared" si="6"/>
        <v>0.24076877271381344</v>
      </c>
      <c r="V21" s="9">
        <f>MAX(B7:B506)+1</f>
        <v>7</v>
      </c>
      <c r="W21" s="7">
        <f>W20</f>
        <v>2.6438063623001771</v>
      </c>
    </row>
    <row r="22" spans="1:23" x14ac:dyDescent="0.25">
      <c r="A22" s="1">
        <v>16</v>
      </c>
      <c r="B22" s="6">
        <v>5.9935925161999997</v>
      </c>
      <c r="C22" s="8">
        <v>0.80623776358599997</v>
      </c>
      <c r="D22" s="9">
        <f t="shared" si="0"/>
        <v>1.3146574229280006E-2</v>
      </c>
      <c r="E22" s="9">
        <f t="shared" si="1"/>
        <v>5.2534277747551622E-2</v>
      </c>
      <c r="F22" s="9">
        <f t="shared" si="2"/>
        <v>7.0475089655013231E-3</v>
      </c>
      <c r="G22" s="9">
        <f t="shared" si="3"/>
        <v>4.2502278653852475E-3</v>
      </c>
      <c r="H22" s="9">
        <f t="shared" si="4"/>
        <v>0.23617039565117606</v>
      </c>
      <c r="I22" s="9">
        <f t="shared" si="5"/>
        <v>3.1682416374419389E-2</v>
      </c>
      <c r="J22" s="9">
        <f t="shared" si="6"/>
        <v>0.24042062351656132</v>
      </c>
    </row>
    <row r="23" spans="1:23" x14ac:dyDescent="0.25">
      <c r="A23" s="1">
        <v>17</v>
      </c>
      <c r="B23" s="6">
        <v>5.99257393157</v>
      </c>
      <c r="C23" s="8">
        <v>0.8104804739</v>
      </c>
      <c r="D23" s="9">
        <f t="shared" si="0"/>
        <v>1.3125149090254862E-2</v>
      </c>
      <c r="E23" s="9">
        <f t="shared" si="1"/>
        <v>5.2440073882530587E-2</v>
      </c>
      <c r="F23" s="9">
        <f t="shared" si="2"/>
        <v>7.0732226346459379E-3</v>
      </c>
      <c r="G23" s="9">
        <f t="shared" si="3"/>
        <v>4.2882878558964934E-3</v>
      </c>
      <c r="H23" s="9">
        <f t="shared" si="4"/>
        <v>0.23570829585091024</v>
      </c>
      <c r="I23" s="9">
        <f t="shared" si="5"/>
        <v>3.1792806569495471E-2</v>
      </c>
      <c r="J23" s="9">
        <f t="shared" si="6"/>
        <v>0.23999658370680674</v>
      </c>
      <c r="V23" s="1" t="s">
        <v>32</v>
      </c>
    </row>
    <row r="24" spans="1:23" x14ac:dyDescent="0.25">
      <c r="A24" s="1">
        <v>18</v>
      </c>
      <c r="B24" s="6">
        <v>5.9914814565699999</v>
      </c>
      <c r="C24" s="8">
        <v>0.814704761276</v>
      </c>
      <c r="D24" s="9">
        <f t="shared" si="0"/>
        <v>1.3099892032300886E-2</v>
      </c>
      <c r="E24" s="9">
        <f t="shared" si="1"/>
        <v>5.2329943897915898E-2</v>
      </c>
      <c r="F24" s="9">
        <f t="shared" si="2"/>
        <v>7.0965837044317083E-3</v>
      </c>
      <c r="G24" s="9">
        <f t="shared" si="3"/>
        <v>4.3249833863366963E-3</v>
      </c>
      <c r="H24" s="9">
        <f t="shared" si="4"/>
        <v>0.23517185545052868</v>
      </c>
      <c r="I24" s="9">
        <f t="shared" si="5"/>
        <v>3.1892192048719535E-2</v>
      </c>
      <c r="J24" s="9">
        <f t="shared" si="6"/>
        <v>0.23949683883686537</v>
      </c>
      <c r="V24" s="1" t="s">
        <v>3</v>
      </c>
      <c r="W24" s="1" t="s">
        <v>5</v>
      </c>
    </row>
    <row r="25" spans="1:23" x14ac:dyDescent="0.25">
      <c r="A25" s="1">
        <v>19</v>
      </c>
      <c r="B25" s="6">
        <v>5.9903154239800003</v>
      </c>
      <c r="C25" s="8">
        <v>0.81890933895399998</v>
      </c>
      <c r="D25" s="9">
        <f t="shared" si="0"/>
        <v>1.3070810746660388E-2</v>
      </c>
      <c r="E25" s="9">
        <f t="shared" si="1"/>
        <v>5.2203933143531618E-2</v>
      </c>
      <c r="F25" s="9">
        <f t="shared" si="2"/>
        <v>7.1175535790607408E-3</v>
      </c>
      <c r="G25" s="9">
        <f t="shared" si="3"/>
        <v>4.3602605852102469E-3</v>
      </c>
      <c r="H25" s="9">
        <f t="shared" si="4"/>
        <v>0.2345613469748318</v>
      </c>
      <c r="I25" s="9">
        <f t="shared" si="5"/>
        <v>3.1980402806446061E-2</v>
      </c>
      <c r="J25" s="9">
        <f t="shared" si="6"/>
        <v>0.23892160756004205</v>
      </c>
      <c r="V25" s="9">
        <f>(COS(RADIANS(V9))*(V20-E5))-(SIN(RADIANS(V9))*(W20-F5))+E5</f>
        <v>-0.68076161032337512</v>
      </c>
      <c r="W25" s="1">
        <f>(SIN(RADIANS(V9))*(V20-E5))+(COS(RADIANS(V9))*(W20-F5))+F5</f>
        <v>1.3833596753416579</v>
      </c>
    </row>
    <row r="26" spans="1:23" x14ac:dyDescent="0.25">
      <c r="A26" s="1">
        <v>20</v>
      </c>
      <c r="B26" s="6">
        <v>5.9890761889900004</v>
      </c>
      <c r="C26" s="8">
        <v>0.82309292618100005</v>
      </c>
      <c r="D26" s="9">
        <f t="shared" si="0"/>
        <v>1.3037914099966574E-2</v>
      </c>
      <c r="E26" s="9">
        <f t="shared" si="1"/>
        <v>5.2062092939920965E-2</v>
      </c>
      <c r="F26" s="9">
        <f t="shared" si="2"/>
        <v>7.1360948282602234E-3</v>
      </c>
      <c r="G26" s="9">
        <f t="shared" si="3"/>
        <v>4.3940659602003324E-3</v>
      </c>
      <c r="H26" s="9">
        <f t="shared" si="4"/>
        <v>0.2338770756535731</v>
      </c>
      <c r="I26" s="9">
        <f t="shared" si="5"/>
        <v>3.205727513419953E-2</v>
      </c>
      <c r="J26" s="9">
        <f t="shared" si="6"/>
        <v>0.23827114161377344</v>
      </c>
      <c r="V26" s="9">
        <f>(COS(RADIANS(V9))*(V21-E5))-(SIN(RADIANS(V9))*(W21-F5))+E5</f>
        <v>6.3547448514410831</v>
      </c>
      <c r="W26" s="1">
        <f>(SIN(RADIANS(V9))*(V21-E5))+(COS(RADIANS(V9))*(W21-F5))+F5</f>
        <v>5.1914627236415001</v>
      </c>
    </row>
    <row r="27" spans="1:23" x14ac:dyDescent="0.25">
      <c r="A27" s="1">
        <v>21</v>
      </c>
      <c r="B27" s="6">
        <v>5.9877641290700003</v>
      </c>
      <c r="C27" s="8">
        <v>0.82725424859399999</v>
      </c>
      <c r="D27" s="9">
        <f t="shared" ref="D27:D90" si="7">((B26*C27)-(B27*C26))*0.5</f>
        <v>1.3001212108643134E-2</v>
      </c>
      <c r="E27" s="9">
        <f t="shared" ref="E27:E90" si="8">(B27+B26)*((B26*C27)-(B27*C26))*(1/6)</f>
        <v>5.1904480455482321E-2</v>
      </c>
      <c r="F27" s="9">
        <f t="shared" ref="F27:F90" si="9">(C27+C26)*((B26*C27)-(B27*C26))*(1/6)</f>
        <v>7.1521712240499059E-3</v>
      </c>
      <c r="G27" s="9">
        <f t="shared" ref="G27:G90" si="10">(((C26*C26)+(C26*C27)+(C27*C27))*((B26*C27)-(B27*C26)))/12</f>
        <v>4.4263464706210363E-3</v>
      </c>
      <c r="H27" s="9">
        <f t="shared" ref="H27:H90" si="11">(((B26*B26)+(B26*B27)+(B27*B27))*((B26*C27)-(B27*C26)))/12</f>
        <v>0.23311937876025854</v>
      </c>
      <c r="I27" s="9">
        <f t="shared" ref="I27:I90" si="12">(((B26*C27)+(2*B26*C26)+(2*B27*C27)+(B27*C26))*((B26*C27)-(B27*C26)))/24</f>
        <v>3.2122651796477102E-2</v>
      </c>
      <c r="J27" s="9">
        <f t="shared" ref="J27:J90" si="13">G27+H27</f>
        <v>0.23754572523087958</v>
      </c>
    </row>
    <row r="28" spans="1:23" x14ac:dyDescent="0.25">
      <c r="A28" s="1">
        <v>22</v>
      </c>
      <c r="B28" s="6">
        <v>5.9863796439000003</v>
      </c>
      <c r="C28" s="8">
        <v>0.83139203861400002</v>
      </c>
      <c r="D28" s="9">
        <f t="shared" si="7"/>
        <v>1.2960715947188728E-2</v>
      </c>
      <c r="E28" s="9">
        <f t="shared" si="8"/>
        <v>5.1731158717420962E-2</v>
      </c>
      <c r="F28" s="9">
        <f t="shared" si="9"/>
        <v>7.1657477951207003E-3</v>
      </c>
      <c r="G28" s="9">
        <f t="shared" si="10"/>
        <v>4.4570496118083213E-3</v>
      </c>
      <c r="H28" s="9">
        <f t="shared" si="11"/>
        <v>0.23228862554440211</v>
      </c>
      <c r="I28" s="9">
        <f t="shared" si="12"/>
        <v>3.217638228368306E-2</v>
      </c>
      <c r="J28" s="9">
        <f t="shared" si="13"/>
        <v>0.23674567515621042</v>
      </c>
      <c r="V28" s="1" t="s">
        <v>35</v>
      </c>
    </row>
    <row r="29" spans="1:23" x14ac:dyDescent="0.25">
      <c r="A29" s="1">
        <v>23</v>
      </c>
      <c r="B29" s="6">
        <v>5.9849231551999997</v>
      </c>
      <c r="C29" s="8">
        <v>0.835505035831</v>
      </c>
      <c r="D29" s="9">
        <f t="shared" si="7"/>
        <v>1.2916437962389171E-2</v>
      </c>
      <c r="E29" s="9">
        <f t="shared" si="8"/>
        <v>5.1542196644516994E-2</v>
      </c>
      <c r="F29" s="9">
        <f t="shared" si="9"/>
        <v>7.1767908839189482E-3</v>
      </c>
      <c r="G29" s="9">
        <f t="shared" si="10"/>
        <v>4.4861235024530833E-3</v>
      </c>
      <c r="H29" s="9">
        <f t="shared" si="11"/>
        <v>0.23138521725253444</v>
      </c>
      <c r="I29" s="9">
        <f t="shared" si="12"/>
        <v>3.2218323074940332E-2</v>
      </c>
      <c r="J29" s="9">
        <f t="shared" si="13"/>
        <v>0.23587134075498753</v>
      </c>
      <c r="V29" s="1" t="s">
        <v>3</v>
      </c>
      <c r="W29" s="1" t="s">
        <v>5</v>
      </c>
    </row>
    <row r="30" spans="1:23" x14ac:dyDescent="0.25">
      <c r="A30" s="1">
        <v>24</v>
      </c>
      <c r="B30" s="6">
        <v>5.9833951066199997</v>
      </c>
      <c r="C30" s="8">
        <v>0.83959198738600005</v>
      </c>
      <c r="D30" s="9">
        <f t="shared" si="7"/>
        <v>1.2868391639642596E-2</v>
      </c>
      <c r="E30" s="9">
        <f t="shared" si="8"/>
        <v>5.1337668886995425E-2</v>
      </c>
      <c r="F30" s="9">
        <f t="shared" si="9"/>
        <v>7.1852681763852804E-3</v>
      </c>
      <c r="G30" s="9">
        <f t="shared" si="10"/>
        <v>4.5135169559367243E-3</v>
      </c>
      <c r="H30" s="9">
        <f t="shared" si="11"/>
        <v>0.230409586274262</v>
      </c>
      <c r="I30" s="9">
        <f t="shared" si="12"/>
        <v>3.2248337775819577E-2</v>
      </c>
      <c r="J30" s="9">
        <f t="shared" si="13"/>
        <v>0.23492310323019872</v>
      </c>
      <c r="V30" s="1">
        <f>(COS(RADIANS(V9))*(V15-E5))-(SIN(RADIANS(V9))*(W15-F5))+E5</f>
        <v>3.3824243504481846</v>
      </c>
      <c r="W30" s="9">
        <f>(SIN(RADIANS(V9))*(V15-E5))+(COS(RADIANS(V9))*(W15-F5))+F5</f>
        <v>-0.56069653862249069</v>
      </c>
    </row>
    <row r="31" spans="1:23" x14ac:dyDescent="0.25">
      <c r="A31" s="1">
        <v>25</v>
      </c>
      <c r="B31" s="6">
        <v>5.9817959636399998</v>
      </c>
      <c r="C31" s="8">
        <v>0.84365164835399997</v>
      </c>
      <c r="D31" s="9">
        <f t="shared" si="7"/>
        <v>1.2816591601580107E-2</v>
      </c>
      <c r="E31" s="9">
        <f t="shared" si="8"/>
        <v>5.1117655794131862E-2</v>
      </c>
      <c r="F31" s="9">
        <f t="shared" si="9"/>
        <v>7.1911487484128166E-3</v>
      </c>
      <c r="G31" s="9">
        <f t="shared" si="10"/>
        <v>4.539179562838223E-3</v>
      </c>
      <c r="H31" s="9">
        <f t="shared" si="11"/>
        <v>0.22936219585585305</v>
      </c>
      <c r="I31" s="9">
        <f t="shared" si="12"/>
        <v>3.2266297329156188E-2</v>
      </c>
      <c r="J31" s="9">
        <f t="shared" si="13"/>
        <v>0.23390137541869127</v>
      </c>
      <c r="V31" s="1">
        <f>(COS(RADIANS(V9))*(V16-E5))-(SIN(RADIANS(V9))*(W16-F5))+E5</f>
        <v>-1.3777044599266179</v>
      </c>
      <c r="W31" s="9">
        <f>(SIN(RADIANS(V9))*(V16-E5))+(COS(RADIANS(V9))*(W16-F5))+F5</f>
        <v>8.2336865385830826</v>
      </c>
    </row>
    <row r="32" spans="1:23" x14ac:dyDescent="0.25">
      <c r="A32" s="1">
        <v>26</v>
      </c>
      <c r="B32" s="6">
        <v>5.9801262133600002</v>
      </c>
      <c r="C32" s="8">
        <v>0.84768278212199999</v>
      </c>
      <c r="D32" s="9">
        <f t="shared" si="7"/>
        <v>1.2761053639188447E-2</v>
      </c>
      <c r="E32" s="9">
        <f t="shared" si="8"/>
        <v>5.0882243509498278E-2</v>
      </c>
      <c r="F32" s="9">
        <f t="shared" si="9"/>
        <v>7.194403129703493E-3</v>
      </c>
      <c r="G32" s="9">
        <f t="shared" si="10"/>
        <v>4.5630617853146425E-3</v>
      </c>
      <c r="H32" s="9">
        <f t="shared" si="11"/>
        <v>0.22824354037686234</v>
      </c>
      <c r="I32" s="9">
        <f t="shared" si="12"/>
        <v>3.2272080301367627E-2</v>
      </c>
      <c r="J32" s="9">
        <f t="shared" si="13"/>
        <v>0.232806602162177</v>
      </c>
    </row>
    <row r="33" spans="1:10" x14ac:dyDescent="0.25">
      <c r="A33" s="1">
        <v>27</v>
      </c>
      <c r="B33" s="6">
        <v>5.9783863644100004</v>
      </c>
      <c r="C33" s="8">
        <v>0.851684160769</v>
      </c>
      <c r="D33" s="9">
        <f t="shared" si="7"/>
        <v>1.270179466745569E-2</v>
      </c>
      <c r="E33" s="9">
        <f t="shared" si="8"/>
        <v>5.0631523763673594E-2</v>
      </c>
      <c r="F33" s="9">
        <f t="shared" si="9"/>
        <v>7.1950033244211273E-3</v>
      </c>
      <c r="G33" s="9">
        <f t="shared" si="10"/>
        <v>4.5851150250182564E-3</v>
      </c>
      <c r="H33" s="9">
        <f t="shared" si="11"/>
        <v>0.22705414426188497</v>
      </c>
      <c r="I33" s="9">
        <f t="shared" si="12"/>
        <v>3.2265572972599986E-2</v>
      </c>
      <c r="J33" s="9">
        <f t="shared" si="13"/>
        <v>0.23163925928690324</v>
      </c>
    </row>
    <row r="34" spans="1:10" x14ac:dyDescent="0.25">
      <c r="A34" s="1">
        <v>28</v>
      </c>
      <c r="B34" s="6">
        <v>5.9765769467599998</v>
      </c>
      <c r="C34" s="8">
        <v>0.85565456543499996</v>
      </c>
      <c r="D34" s="9">
        <f t="shared" si="7"/>
        <v>1.2638832734562566E-2</v>
      </c>
      <c r="E34" s="9">
        <f t="shared" si="8"/>
        <v>5.0365593879236628E-2</v>
      </c>
      <c r="F34" s="9">
        <f t="shared" si="9"/>
        <v>7.1929228605778234E-3</v>
      </c>
      <c r="G34" s="9">
        <f t="shared" si="10"/>
        <v>4.6052917095897187E-3</v>
      </c>
      <c r="H34" s="9">
        <f t="shared" si="11"/>
        <v>0.22579456183847915</v>
      </c>
      <c r="I34" s="9">
        <f t="shared" si="12"/>
        <v>3.2246669553569161E-2</v>
      </c>
      <c r="J34" s="9">
        <f t="shared" si="13"/>
        <v>0.23039985354806888</v>
      </c>
    </row>
    <row r="35" spans="1:10" x14ac:dyDescent="0.25">
      <c r="A35" s="1">
        <v>29</v>
      </c>
      <c r="B35" s="6">
        <v>5.9746985115699998</v>
      </c>
      <c r="C35" s="8">
        <v>0.85959278669700001</v>
      </c>
      <c r="D35" s="9">
        <f t="shared" si="7"/>
        <v>1.2572187025953419E-2</v>
      </c>
      <c r="E35" s="9">
        <f t="shared" si="8"/>
        <v>5.0084556753603966E-2</v>
      </c>
      <c r="F35" s="9">
        <f t="shared" si="9"/>
        <v>7.1881368355916284E-3</v>
      </c>
      <c r="G35" s="9">
        <f t="shared" si="10"/>
        <v>4.623545377313504E-3</v>
      </c>
      <c r="H35" s="9">
        <f t="shared" si="11"/>
        <v>0.22446537708738945</v>
      </c>
      <c r="I35" s="9">
        <f t="shared" si="12"/>
        <v>3.2215272382655487E-2</v>
      </c>
      <c r="J35" s="9">
        <f t="shared" si="13"/>
        <v>0.22908892246470294</v>
      </c>
    </row>
    <row r="36" spans="1:10" x14ac:dyDescent="0.25">
      <c r="A36" s="1">
        <v>30</v>
      </c>
      <c r="B36" s="6">
        <v>5.9727516310500004</v>
      </c>
      <c r="C36" s="8">
        <v>0.86349762493500004</v>
      </c>
      <c r="D36" s="9">
        <f t="shared" si="7"/>
        <v>1.250187783002632E-2</v>
      </c>
      <c r="E36" s="9">
        <f t="shared" si="8"/>
        <v>4.9788520687788586E-2</v>
      </c>
      <c r="F36" s="9">
        <f t="shared" si="9"/>
        <v>7.1806219387710087E-3</v>
      </c>
      <c r="G36" s="9">
        <f t="shared" si="10"/>
        <v>4.6398307473295786E-3</v>
      </c>
      <c r="H36" s="9">
        <f t="shared" si="11"/>
        <v>0.22306720269649341</v>
      </c>
      <c r="I36" s="9">
        <f t="shared" si="12"/>
        <v>3.2171292017324403E-2</v>
      </c>
      <c r="J36" s="9">
        <f t="shared" si="13"/>
        <v>0.22770703344382298</v>
      </c>
    </row>
    <row r="37" spans="1:10" x14ac:dyDescent="0.25">
      <c r="A37" s="1">
        <v>31</v>
      </c>
      <c r="B37" s="6">
        <v>5.9707368982100002</v>
      </c>
      <c r="C37" s="8">
        <v>0.86736789069599995</v>
      </c>
      <c r="D37" s="9">
        <f t="shared" si="7"/>
        <v>1.2427926579413828E-2</v>
      </c>
      <c r="E37" s="9">
        <f t="shared" si="8"/>
        <v>4.9477599514571514E-2</v>
      </c>
      <c r="F37" s="9">
        <f t="shared" si="9"/>
        <v>7.1703565157004417E-3</v>
      </c>
      <c r="G37" s="9">
        <f t="shared" si="10"/>
        <v>4.6541038169846706E-3</v>
      </c>
      <c r="H37" s="9">
        <f t="shared" si="11"/>
        <v>0.22160068044855186</v>
      </c>
      <c r="I37" s="9">
        <f t="shared" si="12"/>
        <v>3.2114647510681604E-2</v>
      </c>
      <c r="J37" s="9">
        <f t="shared" si="13"/>
        <v>0.22625478426553652</v>
      </c>
    </row>
    <row r="38" spans="1:10" x14ac:dyDescent="0.25">
      <c r="A38" s="1">
        <v>32</v>
      </c>
      <c r="B38" s="6">
        <v>5.9686549267800002</v>
      </c>
      <c r="C38" s="8">
        <v>0.87120240506199997</v>
      </c>
      <c r="D38" s="9">
        <f t="shared" si="7"/>
        <v>1.2350355789760847E-2</v>
      </c>
      <c r="E38" s="9">
        <f t="shared" si="8"/>
        <v>4.9151912317329523E-2</v>
      </c>
      <c r="F38" s="9">
        <f t="shared" si="9"/>
        <v>7.1573205727070138E-3</v>
      </c>
      <c r="G38" s="9">
        <f t="shared" si="10"/>
        <v>4.6663219207415015E-3</v>
      </c>
      <c r="H38" s="9">
        <f t="shared" si="11"/>
        <v>0.22006647976963578</v>
      </c>
      <c r="I38" s="9">
        <f t="shared" si="12"/>
        <v>3.2045266417262207E-2</v>
      </c>
      <c r="J38" s="9">
        <f t="shared" si="13"/>
        <v>0.22473280169037729</v>
      </c>
    </row>
    <row r="39" spans="1:10" x14ac:dyDescent="0.25">
      <c r="A39" s="1">
        <v>33</v>
      </c>
      <c r="B39" s="6">
        <v>5.9665063509499996</v>
      </c>
      <c r="C39" s="8">
        <v>0.875</v>
      </c>
      <c r="D39" s="9">
        <f t="shared" si="7"/>
        <v>1.2269189083581988E-2</v>
      </c>
      <c r="E39" s="9">
        <f t="shared" si="8"/>
        <v>4.881158348650512E-2</v>
      </c>
      <c r="F39" s="9">
        <f t="shared" si="9"/>
        <v>7.1414958286371011E-3</v>
      </c>
      <c r="G39" s="9">
        <f t="shared" si="10"/>
        <v>4.6764438195106848E-3</v>
      </c>
      <c r="H39" s="9">
        <f t="shared" si="11"/>
        <v>0.21846529778477519</v>
      </c>
      <c r="I39" s="9">
        <f t="shared" si="12"/>
        <v>3.19630850084043E-2</v>
      </c>
      <c r="J39" s="9">
        <f t="shared" si="13"/>
        <v>0.22314174160428588</v>
      </c>
    </row>
    <row r="40" spans="1:10" x14ac:dyDescent="0.25">
      <c r="A40" s="1">
        <v>34</v>
      </c>
      <c r="B40" s="6">
        <v>5.9642918251800001</v>
      </c>
      <c r="C40" s="8">
        <v>0.87875951872799996</v>
      </c>
      <c r="D40" s="9">
        <f t="shared" si="7"/>
        <v>1.2184451207938096E-2</v>
      </c>
      <c r="E40" s="9">
        <f t="shared" si="8"/>
        <v>4.8456742749604272E-2</v>
      </c>
      <c r="F40" s="9">
        <f t="shared" si="9"/>
        <v>7.1228657621327709E-3</v>
      </c>
      <c r="G40" s="9">
        <f t="shared" si="10"/>
        <v>4.6844297872275726E-3</v>
      </c>
      <c r="H40" s="9">
        <f t="shared" si="11"/>
        <v>0.21679785924656989</v>
      </c>
      <c r="I40" s="9">
        <f t="shared" si="12"/>
        <v>3.1868048464615877E-2</v>
      </c>
      <c r="J40" s="9">
        <f t="shared" si="13"/>
        <v>0.22148228903379746</v>
      </c>
    </row>
    <row r="41" spans="1:10" x14ac:dyDescent="0.25">
      <c r="A41" s="1">
        <v>35</v>
      </c>
      <c r="B41" s="6">
        <v>5.9620120240399999</v>
      </c>
      <c r="C41" s="8">
        <v>0.88247981605799997</v>
      </c>
      <c r="D41" s="9">
        <f t="shared" si="7"/>
        <v>1.2096167952569736E-2</v>
      </c>
      <c r="E41" s="9">
        <f t="shared" si="8"/>
        <v>4.8087524804514684E-2</v>
      </c>
      <c r="F41" s="9">
        <f t="shared" si="9"/>
        <v>7.1014155994145508E-3</v>
      </c>
      <c r="G41" s="9">
        <f t="shared" si="10"/>
        <v>4.690241658147346E-3</v>
      </c>
      <c r="H41" s="9">
        <f t="shared" si="11"/>
        <v>0.21506491468540259</v>
      </c>
      <c r="I41" s="9">
        <f t="shared" si="12"/>
        <v>3.1760110799573714E-2</v>
      </c>
      <c r="J41" s="9">
        <f t="shared" si="13"/>
        <v>0.21975515634354995</v>
      </c>
    </row>
    <row r="42" spans="1:10" x14ac:dyDescent="0.25">
      <c r="A42" s="1">
        <v>36</v>
      </c>
      <c r="B42" s="6">
        <v>5.9596676419900003</v>
      </c>
      <c r="C42" s="8">
        <v>0.88615975875399999</v>
      </c>
      <c r="D42" s="9">
        <f t="shared" si="7"/>
        <v>1.2004366220791596E-2</v>
      </c>
      <c r="E42" s="9">
        <f t="shared" si="8"/>
        <v>4.7704069559329522E-2</v>
      </c>
      <c r="F42" s="9">
        <f t="shared" si="9"/>
        <v>7.0771323895427946E-3</v>
      </c>
      <c r="G42" s="9">
        <f t="shared" si="10"/>
        <v>4.6938429310762102E-3</v>
      </c>
      <c r="H42" s="9">
        <f t="shared" si="11"/>
        <v>0.21326724126869076</v>
      </c>
      <c r="I42" s="9">
        <f t="shared" si="12"/>
        <v>3.1639235173165178E-2</v>
      </c>
      <c r="J42" s="9">
        <f t="shared" si="13"/>
        <v>0.21796108419976698</v>
      </c>
    </row>
    <row r="43" spans="1:10" x14ac:dyDescent="0.25">
      <c r="A43" s="1">
        <v>37</v>
      </c>
      <c r="B43" s="6">
        <v>5.9572593931400002</v>
      </c>
      <c r="C43" s="8">
        <v>0.88979822586799995</v>
      </c>
      <c r="D43" s="9">
        <f t="shared" si="7"/>
        <v>1.1909073972843132E-2</v>
      </c>
      <c r="E43" s="9">
        <f t="shared" si="8"/>
        <v>4.7306521863445784E-2</v>
      </c>
      <c r="F43" s="9">
        <f t="shared" si="9"/>
        <v>7.0500050038416005E-3</v>
      </c>
      <c r="G43" s="9">
        <f t="shared" si="10"/>
        <v>4.6951988233905895E-3</v>
      </c>
      <c r="H43" s="9">
        <f t="shared" si="11"/>
        <v>0.21140564137753334</v>
      </c>
      <c r="I43" s="9">
        <f t="shared" si="12"/>
        <v>3.1505393862560384E-2</v>
      </c>
      <c r="J43" s="9">
        <f t="shared" si="13"/>
        <v>0.21610084020092393</v>
      </c>
    </row>
    <row r="44" spans="1:10" x14ac:dyDescent="0.25">
      <c r="A44" s="1">
        <v>38</v>
      </c>
      <c r="B44" s="6">
        <v>5.9547880110699998</v>
      </c>
      <c r="C44" s="8">
        <v>0.89339410908799999</v>
      </c>
      <c r="D44" s="9">
        <f t="shared" si="7"/>
        <v>1.1810320235154048E-2</v>
      </c>
      <c r="E44" s="9">
        <f t="shared" si="8"/>
        <v>4.6895031500018537E-2</v>
      </c>
      <c r="F44" s="9">
        <f t="shared" si="9"/>
        <v>7.0200241722341468E-3</v>
      </c>
      <c r="G44" s="9">
        <f t="shared" si="10"/>
        <v>4.6942763486702834E-3</v>
      </c>
      <c r="H44" s="9">
        <f t="shared" si="11"/>
        <v>0.20948094234939654</v>
      </c>
      <c r="I44" s="9">
        <f t="shared" si="12"/>
        <v>3.1358568396217069E-2</v>
      </c>
      <c r="J44" s="9">
        <f t="shared" si="13"/>
        <v>0.21417521869806683</v>
      </c>
    </row>
    <row r="45" spans="1:10" x14ac:dyDescent="0.25">
      <c r="A45" s="1">
        <v>39</v>
      </c>
      <c r="B45" s="6">
        <v>5.9522542485900001</v>
      </c>
      <c r="C45" s="8">
        <v>0.89694631307299999</v>
      </c>
      <c r="D45" s="9">
        <f t="shared" si="7"/>
        <v>1.170813508810653E-2</v>
      </c>
      <c r="E45" s="9">
        <f t="shared" si="8"/>
        <v>4.6469753091964168E-2</v>
      </c>
      <c r="F45" s="9">
        <f t="shared" si="9"/>
        <v>6.9871825054528868E-3</v>
      </c>
      <c r="G45" s="9">
        <f t="shared" si="10"/>
        <v>4.6910443843249149E-3</v>
      </c>
      <c r="H45" s="9">
        <f t="shared" si="11"/>
        <v>0.2074939958301466</v>
      </c>
      <c r="I45" s="9">
        <f t="shared" si="12"/>
        <v>3.1198749622378331E-2</v>
      </c>
      <c r="J45" s="9">
        <f t="shared" si="13"/>
        <v>0.21218504021447152</v>
      </c>
    </row>
    <row r="46" spans="1:10" x14ac:dyDescent="0.25">
      <c r="A46" s="1">
        <v>40</v>
      </c>
      <c r="B46" s="6">
        <v>5.9496588775100001</v>
      </c>
      <c r="C46" s="8">
        <v>0.90045375578800002</v>
      </c>
      <c r="D46" s="9">
        <f t="shared" si="7"/>
        <v>1.160254966165386E-2</v>
      </c>
      <c r="E46" s="9">
        <f t="shared" si="8"/>
        <v>4.6030846038088394E-2</v>
      </c>
      <c r="F46" s="9">
        <f t="shared" si="9"/>
        <v>6.9514745202732733E-3</v>
      </c>
      <c r="G46" s="9">
        <f t="shared" si="10"/>
        <v>4.685473740382474E-3</v>
      </c>
      <c r="H46" s="9">
        <f t="shared" si="11"/>
        <v>0.20544567725625495</v>
      </c>
      <c r="I46" s="9">
        <f t="shared" si="12"/>
        <v>3.1025937788665137E-2</v>
      </c>
      <c r="J46" s="9">
        <f t="shared" si="13"/>
        <v>0.21013115099663743</v>
      </c>
    </row>
    <row r="47" spans="1:10" x14ac:dyDescent="0.25">
      <c r="A47" s="1">
        <v>41</v>
      </c>
      <c r="B47" s="6">
        <v>5.9470026883999996</v>
      </c>
      <c r="C47" s="8">
        <v>0.90391536883099999</v>
      </c>
      <c r="D47" s="9">
        <f t="shared" si="7"/>
        <v>1.1493596115986104E-2</v>
      </c>
      <c r="E47" s="9">
        <f t="shared" si="8"/>
        <v>4.5578474389048114E-2</v>
      </c>
      <c r="F47" s="9">
        <f t="shared" si="9"/>
        <v>6.9128966541753944E-3</v>
      </c>
      <c r="G47" s="9">
        <f t="shared" si="10"/>
        <v>4.6775372202226793E-3</v>
      </c>
      <c r="H47" s="9">
        <f t="shared" si="11"/>
        <v>0.20333688506517719</v>
      </c>
      <c r="I47" s="9">
        <f t="shared" si="12"/>
        <v>3.0840142572223794E-2</v>
      </c>
      <c r="J47" s="9">
        <f t="shared" si="13"/>
        <v>0.20801442228539987</v>
      </c>
    </row>
    <row r="48" spans="1:10" x14ac:dyDescent="0.25">
      <c r="A48" s="1">
        <v>42</v>
      </c>
      <c r="B48" s="6">
        <v>5.9442864903599997</v>
      </c>
      <c r="C48" s="8">
        <v>0.90733009776200002</v>
      </c>
      <c r="D48" s="9">
        <f t="shared" si="7"/>
        <v>1.1381307642979621E-2</v>
      </c>
      <c r="E48" s="9">
        <f t="shared" si="8"/>
        <v>4.5112806805034017E-2</v>
      </c>
      <c r="F48" s="9">
        <f t="shared" si="9"/>
        <v>6.8714472907490335E-3</v>
      </c>
      <c r="G48" s="9">
        <f t="shared" si="10"/>
        <v>4.6672096874590605E-3</v>
      </c>
      <c r="H48" s="9">
        <f t="shared" si="11"/>
        <v>0.20116854026774825</v>
      </c>
      <c r="I48" s="9">
        <f t="shared" si="12"/>
        <v>3.0641383155649751E-2</v>
      </c>
      <c r="J48" s="9">
        <f t="shared" si="13"/>
        <v>0.20583574995520731</v>
      </c>
    </row>
    <row r="49" spans="1:10" x14ac:dyDescent="0.25">
      <c r="A49" s="1">
        <v>43</v>
      </c>
      <c r="B49" s="6">
        <v>5.9415111107799996</v>
      </c>
      <c r="C49" s="8">
        <v>0.91069690242199997</v>
      </c>
      <c r="D49" s="9">
        <f t="shared" si="7"/>
        <v>1.1265718440883532E-2</v>
      </c>
      <c r="E49" s="9">
        <f t="shared" si="8"/>
        <v>4.4634016406590711E-2</v>
      </c>
      <c r="F49" s="9">
        <f t="shared" si="9"/>
        <v>6.8271267673323515E-3</v>
      </c>
      <c r="G49" s="9">
        <f t="shared" si="10"/>
        <v>4.6544681196387392E-3</v>
      </c>
      <c r="H49" s="9">
        <f t="shared" si="11"/>
        <v>0.19894158554121258</v>
      </c>
      <c r="I49" s="9">
        <f t="shared" si="12"/>
        <v>3.0429688221493837E-2</v>
      </c>
      <c r="J49" s="9">
        <f t="shared" si="13"/>
        <v>0.20359605366085132</v>
      </c>
    </row>
    <row r="50" spans="1:10" x14ac:dyDescent="0.25">
      <c r="A50" s="1">
        <v>44</v>
      </c>
      <c r="B50" s="6">
        <v>5.93867739506</v>
      </c>
      <c r="C50" s="8">
        <v>0.91401475724799996</v>
      </c>
      <c r="D50" s="9">
        <f t="shared" si="7"/>
        <v>1.1146863720590705E-2</v>
      </c>
      <c r="E50" s="9">
        <f t="shared" si="8"/>
        <v>4.4142280749842194E-2</v>
      </c>
      <c r="F50" s="9">
        <f t="shared" si="9"/>
        <v>6.7799373999047913E-3</v>
      </c>
      <c r="G50" s="9">
        <f t="shared" si="10"/>
        <v>4.6392916723090559E-3</v>
      </c>
      <c r="H50" s="9">
        <f t="shared" si="11"/>
        <v>0.19665698487421823</v>
      </c>
      <c r="I50" s="9">
        <f t="shared" si="12"/>
        <v>3.0205096021531239E-2</v>
      </c>
      <c r="J50" s="9">
        <f t="shared" si="13"/>
        <v>0.20129627654652729</v>
      </c>
    </row>
    <row r="51" spans="1:10" x14ac:dyDescent="0.25">
      <c r="A51" s="1">
        <v>45</v>
      </c>
      <c r="B51" s="6">
        <v>5.9357862063700004</v>
      </c>
      <c r="C51" s="8">
        <v>0.91728265159</v>
      </c>
      <c r="D51" s="9">
        <f t="shared" si="7"/>
        <v>1.1024779693463937E-2</v>
      </c>
      <c r="E51" s="9">
        <f t="shared" si="8"/>
        <v>4.3637781727940708E-2</v>
      </c>
      <c r="F51" s="9">
        <f t="shared" si="9"/>
        <v>6.7298834952167694E-3</v>
      </c>
      <c r="G51" s="9">
        <f t="shared" si="10"/>
        <v>4.6216617330934262E-3</v>
      </c>
      <c r="H51" s="9">
        <f t="shared" si="11"/>
        <v>0.1943157228806682</v>
      </c>
      <c r="I51" s="9">
        <f t="shared" si="12"/>
        <v>2.9967654387047193E-2</v>
      </c>
      <c r="J51" s="9">
        <f t="shared" si="13"/>
        <v>0.19893738461376162</v>
      </c>
    </row>
    <row r="52" spans="1:10" x14ac:dyDescent="0.25">
      <c r="A52" s="1">
        <v>46</v>
      </c>
      <c r="B52" s="6">
        <v>5.9328384253999999</v>
      </c>
      <c r="C52" s="8">
        <v>0.92049959001600001</v>
      </c>
      <c r="D52" s="9">
        <f t="shared" si="7"/>
        <v>1.0899503540130251E-2</v>
      </c>
      <c r="E52" s="9">
        <f t="shared" si="8"/>
        <v>4.3120705396818067E-2</v>
      </c>
      <c r="F52" s="9">
        <f t="shared" si="9"/>
        <v>6.6769713494577009E-3</v>
      </c>
      <c r="G52" s="9">
        <f t="shared" si="10"/>
        <v>4.6015619649717896E-3</v>
      </c>
      <c r="H52" s="9">
        <f t="shared" si="11"/>
        <v>0.19191880377575155</v>
      </c>
      <c r="I52" s="9">
        <f t="shared" si="12"/>
        <v>2.971742067733452E-2</v>
      </c>
      <c r="J52" s="9">
        <f t="shared" si="13"/>
        <v>0.19652036574072335</v>
      </c>
    </row>
    <row r="53" spans="1:10" x14ac:dyDescent="0.25">
      <c r="A53" s="1">
        <v>47</v>
      </c>
      <c r="B53" s="6">
        <v>5.9298349500800001</v>
      </c>
      <c r="C53" s="8">
        <v>0.923664592615</v>
      </c>
      <c r="D53" s="9">
        <f t="shared" si="7"/>
        <v>1.0771073418260446E-2</v>
      </c>
      <c r="E53" s="9">
        <f t="shared" si="8"/>
        <v>4.2591241954712845E-2</v>
      </c>
      <c r="F53" s="9">
        <f t="shared" si="9"/>
        <v>6.621209268814922E-3</v>
      </c>
      <c r="G53" s="9">
        <f t="shared" si="10"/>
        <v>4.5789783629049579E-3</v>
      </c>
      <c r="H53" s="9">
        <f t="shared" si="11"/>
        <v>0.18946725103531578</v>
      </c>
      <c r="I53" s="9">
        <f t="shared" si="12"/>
        <v>2.9454461823748678E-2</v>
      </c>
      <c r="J53" s="9">
        <f t="shared" si="13"/>
        <v>0.19404622939822075</v>
      </c>
    </row>
    <row r="54" spans="1:10" x14ac:dyDescent="0.25">
      <c r="A54" s="1">
        <v>48</v>
      </c>
      <c r="B54" s="6">
        <v>5.9267766953000001</v>
      </c>
      <c r="C54" s="8">
        <v>0.92677669529700002</v>
      </c>
      <c r="D54" s="9">
        <f t="shared" si="7"/>
        <v>1.0639528453721514E-2</v>
      </c>
      <c r="E54" s="9">
        <f t="shared" si="8"/>
        <v>4.2049585655248786E-2</v>
      </c>
      <c r="F54" s="9">
        <f t="shared" si="9"/>
        <v>6.5626075782269366E-3</v>
      </c>
      <c r="G54" s="9">
        <f t="shared" si="10"/>
        <v>4.5538993007424563E-3</v>
      </c>
      <c r="H54" s="9">
        <f t="shared" si="11"/>
        <v>0.18696210675756342</v>
      </c>
      <c r="I54" s="9">
        <f t="shared" si="12"/>
        <v>2.9178854319240579E-2</v>
      </c>
      <c r="J54" s="9">
        <f t="shared" si="13"/>
        <v>0.19151600605830588</v>
      </c>
    </row>
    <row r="55" spans="1:10" x14ac:dyDescent="0.25">
      <c r="A55" s="1">
        <v>49</v>
      </c>
      <c r="B55" s="6">
        <v>5.9236645926099998</v>
      </c>
      <c r="C55" s="8">
        <v>0.92983495008499994</v>
      </c>
      <c r="D55" s="9">
        <f t="shared" si="7"/>
        <v>1.0504908726135298E-2</v>
      </c>
      <c r="E55" s="9">
        <f t="shared" si="8"/>
        <v>4.1495934697973261E-2</v>
      </c>
      <c r="F55" s="9">
        <f t="shared" si="9"/>
        <v>6.5011786248725945E-3</v>
      </c>
      <c r="G55" s="9">
        <f t="shared" si="10"/>
        <v>4.5263155726841071E-3</v>
      </c>
      <c r="H55" s="9">
        <f t="shared" si="11"/>
        <v>0.18440443092372835</v>
      </c>
      <c r="I55" s="9">
        <f t="shared" si="12"/>
        <v>2.8890684182702631E-2</v>
      </c>
      <c r="J55" s="9">
        <f t="shared" si="13"/>
        <v>0.18893074649641245</v>
      </c>
    </row>
    <row r="56" spans="1:10" x14ac:dyDescent="0.25">
      <c r="A56" s="1">
        <v>50</v>
      </c>
      <c r="B56" s="6">
        <v>5.9204995900200004</v>
      </c>
      <c r="C56" s="8">
        <v>0.93283842540499995</v>
      </c>
      <c r="D56" s="9">
        <f t="shared" si="7"/>
        <v>1.0367255216576332E-2</v>
      </c>
      <c r="E56" s="9">
        <f t="shared" si="8"/>
        <v>4.0930490969452463E-2</v>
      </c>
      <c r="F56" s="9">
        <f t="shared" si="9"/>
        <v>6.436936756275516E-3</v>
      </c>
      <c r="G56" s="9">
        <f t="shared" si="10"/>
        <v>4.4962204150935684E-3</v>
      </c>
      <c r="H56" s="9">
        <f t="shared" si="11"/>
        <v>0.18179529999633104</v>
      </c>
      <c r="I56" s="9">
        <f t="shared" si="12"/>
        <v>2.8590046809149779E-2</v>
      </c>
      <c r="J56" s="9">
        <f t="shared" si="13"/>
        <v>0.1862915204114246</v>
      </c>
    </row>
    <row r="57" spans="1:10" x14ac:dyDescent="0.25">
      <c r="A57" s="1">
        <v>51</v>
      </c>
      <c r="B57" s="6">
        <v>5.9172826515899999</v>
      </c>
      <c r="C57" s="8">
        <v>0.93578620636900001</v>
      </c>
      <c r="D57" s="9">
        <f t="shared" si="7"/>
        <v>1.0226609884248727E-2</v>
      </c>
      <c r="E57" s="9">
        <f t="shared" si="8"/>
        <v>4.0353460293210963E-2</v>
      </c>
      <c r="F57" s="9">
        <f t="shared" si="9"/>
        <v>6.3698983764168757E-3</v>
      </c>
      <c r="G57" s="9">
        <f t="shared" si="10"/>
        <v>4.463609580660873E-3</v>
      </c>
      <c r="H57" s="9">
        <f t="shared" si="11"/>
        <v>0.17913580777710117</v>
      </c>
      <c r="I57" s="9">
        <f t="shared" si="12"/>
        <v>2.827704716473629E-2</v>
      </c>
      <c r="J57" s="9">
        <f t="shared" si="13"/>
        <v>0.18359941735776203</v>
      </c>
    </row>
    <row r="58" spans="1:10" x14ac:dyDescent="0.25">
      <c r="A58" s="1">
        <v>52</v>
      </c>
      <c r="B58" s="6">
        <v>5.9140147572500004</v>
      </c>
      <c r="C58" s="8">
        <v>0.93867739505600001</v>
      </c>
      <c r="D58" s="9">
        <f t="shared" si="7"/>
        <v>1.0083015553650654E-2</v>
      </c>
      <c r="E58" s="9">
        <f t="shared" si="8"/>
        <v>3.9765051931066803E-2</v>
      </c>
      <c r="F58" s="9">
        <f t="shared" si="9"/>
        <v>6.3000818826400972E-3</v>
      </c>
      <c r="G58" s="9">
        <f t="shared" si="10"/>
        <v>4.4284813274457708E-3</v>
      </c>
      <c r="H58" s="9">
        <f t="shared" si="11"/>
        <v>0.17642706293948485</v>
      </c>
      <c r="I58" s="9">
        <f t="shared" si="12"/>
        <v>2.7951799450696081E-2</v>
      </c>
      <c r="J58" s="9">
        <f t="shared" si="13"/>
        <v>0.18085554426693062</v>
      </c>
    </row>
    <row r="59" spans="1:10" x14ac:dyDescent="0.25">
      <c r="A59" s="1">
        <v>53</v>
      </c>
      <c r="B59" s="6">
        <v>5.9106969024199998</v>
      </c>
      <c r="C59" s="8">
        <v>0.94151111078000005</v>
      </c>
      <c r="D59" s="9">
        <f t="shared" si="7"/>
        <v>9.9365159692932359E-3</v>
      </c>
      <c r="E59" s="9">
        <f t="shared" si="8"/>
        <v>3.9165478746199626E-2</v>
      </c>
      <c r="F59" s="9">
        <f t="shared" si="9"/>
        <v>6.2275077045070015E-3</v>
      </c>
      <c r="G59" s="9">
        <f t="shared" si="10"/>
        <v>4.3908364768269819E-3</v>
      </c>
      <c r="H59" s="9">
        <f t="shared" si="11"/>
        <v>0.17367018950264432</v>
      </c>
      <c r="I59" s="9">
        <f t="shared" si="12"/>
        <v>2.7614427218992165E-2</v>
      </c>
      <c r="J59" s="9">
        <f t="shared" si="13"/>
        <v>0.17806102597947129</v>
      </c>
    </row>
    <row r="60" spans="1:10" x14ac:dyDescent="0.25">
      <c r="A60" s="1">
        <v>54</v>
      </c>
      <c r="B60" s="6">
        <v>5.9073300977600001</v>
      </c>
      <c r="C60" s="8">
        <v>0.94428649036400003</v>
      </c>
      <c r="D60" s="9">
        <f t="shared" si="7"/>
        <v>9.7871557527020592E-3</v>
      </c>
      <c r="E60" s="9">
        <f t="shared" si="8"/>
        <v>3.8554956980133309E-2</v>
      </c>
      <c r="F60" s="9">
        <f t="shared" si="9"/>
        <v>6.1521982801560808E-3</v>
      </c>
      <c r="G60" s="9">
        <f t="shared" si="10"/>
        <v>4.350678425590059E-3</v>
      </c>
      <c r="H60" s="9">
        <f t="shared" si="11"/>
        <v>0.17086632559079215</v>
      </c>
      <c r="I60" s="9">
        <f t="shared" si="12"/>
        <v>2.726506320897298E-2</v>
      </c>
      <c r="J60" s="9">
        <f t="shared" si="13"/>
        <v>0.17521700401638221</v>
      </c>
    </row>
    <row r="61" spans="1:10" x14ac:dyDescent="0.25">
      <c r="A61" s="1">
        <v>55</v>
      </c>
      <c r="B61" s="6">
        <v>5.9039153688299999</v>
      </c>
      <c r="C61" s="8">
        <v>0.94700268840199997</v>
      </c>
      <c r="D61" s="9">
        <f t="shared" si="7"/>
        <v>9.6349804091042657E-3</v>
      </c>
      <c r="E61" s="9">
        <f t="shared" si="8"/>
        <v>3.7933706225905403E-2</v>
      </c>
      <c r="F61" s="9">
        <f t="shared" si="9"/>
        <v>6.074178061787101E-3</v>
      </c>
      <c r="G61" s="9">
        <f t="shared" si="10"/>
        <v>4.3080131761543006E-3</v>
      </c>
      <c r="H61" s="9">
        <f t="shared" si="11"/>
        <v>0.16801662306552545</v>
      </c>
      <c r="I61" s="9">
        <f t="shared" si="12"/>
        <v>2.6903849312278155E-2</v>
      </c>
      <c r="J61" s="9">
        <f t="shared" si="13"/>
        <v>0.17232463624167976</v>
      </c>
    </row>
    <row r="62" spans="1:10" x14ac:dyDescent="0.25">
      <c r="A62" s="1">
        <v>56</v>
      </c>
      <c r="B62" s="6">
        <v>5.9004537557900001</v>
      </c>
      <c r="C62" s="8">
        <v>0.94965887751199995</v>
      </c>
      <c r="D62" s="9">
        <f t="shared" si="7"/>
        <v>9.4800362820675055E-3</v>
      </c>
      <c r="E62" s="9">
        <f t="shared" si="8"/>
        <v>3.7301949196105008E-2</v>
      </c>
      <c r="F62" s="9">
        <f t="shared" si="9"/>
        <v>5.9934734865558963E-3</v>
      </c>
      <c r="G62" s="9">
        <f t="shared" si="10"/>
        <v>4.2628493399733784E-3</v>
      </c>
      <c r="H62" s="9">
        <f t="shared" si="11"/>
        <v>0.16512224625020241</v>
      </c>
      <c r="I62" s="9">
        <f t="shared" si="12"/>
        <v>2.6530936383303422E-2</v>
      </c>
      <c r="J62" s="9">
        <f t="shared" si="13"/>
        <v>0.16938509559017578</v>
      </c>
    </row>
    <row r="63" spans="1:10" x14ac:dyDescent="0.25">
      <c r="A63" s="1">
        <v>57</v>
      </c>
      <c r="B63" s="6">
        <v>5.8969463130699999</v>
      </c>
      <c r="C63" s="8">
        <v>0.95225424859399999</v>
      </c>
      <c r="D63" s="9">
        <f t="shared" si="7"/>
        <v>9.3223705824345693E-3</v>
      </c>
      <c r="E63" s="9">
        <f t="shared" si="8"/>
        <v>3.6659911783717344E-2</v>
      </c>
      <c r="F63" s="9">
        <f t="shared" si="9"/>
        <v>5.9101129923855803E-3</v>
      </c>
      <c r="G63" s="9">
        <f t="shared" si="10"/>
        <v>4.2151981703300685E-3</v>
      </c>
      <c r="H63" s="9">
        <f t="shared" si="11"/>
        <v>0.16218437195416247</v>
      </c>
      <c r="I63" s="9">
        <f t="shared" si="12"/>
        <v>2.6146484247810211E-2</v>
      </c>
      <c r="J63" s="9">
        <f t="shared" si="13"/>
        <v>0.16639957012449252</v>
      </c>
    </row>
    <row r="64" spans="1:10" x14ac:dyDescent="0.25">
      <c r="A64" s="1">
        <v>58</v>
      </c>
      <c r="B64" s="6">
        <v>5.8933941090899999</v>
      </c>
      <c r="C64" s="8">
        <v>0.95478801107199995</v>
      </c>
      <c r="D64" s="9">
        <f t="shared" si="7"/>
        <v>9.1620313173321755E-3</v>
      </c>
      <c r="E64" s="9">
        <f t="shared" si="8"/>
        <v>3.6007822729945793E-2</v>
      </c>
      <c r="F64" s="9">
        <f t="shared" si="9"/>
        <v>5.8241269688452703E-3</v>
      </c>
      <c r="G64" s="9">
        <f t="shared" si="10"/>
        <v>4.1650735465433063E-3</v>
      </c>
      <c r="H64" s="9">
        <f t="shared" si="11"/>
        <v>0.15920418775956574</v>
      </c>
      <c r="I64" s="9">
        <f t="shared" si="12"/>
        <v>2.5750661423283066E-2</v>
      </c>
      <c r="J64" s="9">
        <f t="shared" si="13"/>
        <v>0.16336926130610904</v>
      </c>
    </row>
    <row r="65" spans="1:10" x14ac:dyDescent="0.25">
      <c r="A65" s="1">
        <v>59</v>
      </c>
      <c r="B65" s="6">
        <v>5.8897982258699999</v>
      </c>
      <c r="C65" s="8">
        <v>0.95725939313899999</v>
      </c>
      <c r="D65" s="9">
        <f t="shared" si="7"/>
        <v>8.9990673513198338E-3</v>
      </c>
      <c r="E65" s="9">
        <f t="shared" si="8"/>
        <v>3.5345913811953546E-2</v>
      </c>
      <c r="F65" s="9">
        <f t="shared" si="9"/>
        <v>5.7355477898036822E-3</v>
      </c>
      <c r="G65" s="9">
        <f t="shared" si="10"/>
        <v>4.1124920138694973E-3</v>
      </c>
      <c r="H65" s="9">
        <f t="shared" si="11"/>
        <v>0.15618289261132651</v>
      </c>
      <c r="I65" s="9">
        <f t="shared" si="12"/>
        <v>2.5343645200399171E-2</v>
      </c>
      <c r="J65" s="9">
        <f t="shared" si="13"/>
        <v>0.16029538462519599</v>
      </c>
    </row>
    <row r="66" spans="1:10" x14ac:dyDescent="0.25">
      <c r="A66" s="1">
        <v>60</v>
      </c>
      <c r="B66" s="6">
        <v>5.8861597587499999</v>
      </c>
      <c r="C66" s="8">
        <v>0.95966764198599996</v>
      </c>
      <c r="D66" s="9">
        <f t="shared" si="7"/>
        <v>8.833528306881E-3</v>
      </c>
      <c r="E66" s="9">
        <f t="shared" si="8"/>
        <v>3.4674419399260699E-2</v>
      </c>
      <c r="F66" s="9">
        <f t="shared" si="9"/>
        <v>5.6444097423340523E-3</v>
      </c>
      <c r="G66" s="9">
        <f t="shared" si="10"/>
        <v>4.0574727467962771E-3</v>
      </c>
      <c r="H66" s="9">
        <f t="shared" si="11"/>
        <v>0.15312169461763503</v>
      </c>
      <c r="I66" s="9">
        <f t="shared" si="12"/>
        <v>2.4925621265042611E-2</v>
      </c>
      <c r="J66" s="9">
        <f t="shared" si="13"/>
        <v>0.1571791673644313</v>
      </c>
    </row>
    <row r="67" spans="1:10" x14ac:dyDescent="0.25">
      <c r="A67" s="1">
        <v>61</v>
      </c>
      <c r="B67" s="6">
        <v>5.88247981606</v>
      </c>
      <c r="C67" s="8">
        <v>0.96201202403899999</v>
      </c>
      <c r="D67" s="9">
        <f t="shared" si="7"/>
        <v>8.6654646117301226E-3</v>
      </c>
      <c r="E67" s="9">
        <f t="shared" si="8"/>
        <v>3.399357658790756E-2</v>
      </c>
      <c r="F67" s="9">
        <f t="shared" si="9"/>
        <v>5.5507490470069996E-3</v>
      </c>
      <c r="G67" s="9">
        <f t="shared" si="10"/>
        <v>4.0000375750027005E-3</v>
      </c>
      <c r="H67" s="9">
        <f t="shared" si="11"/>
        <v>0.15002181141014939</v>
      </c>
      <c r="I67" s="9">
        <f t="shared" si="12"/>
        <v>2.4496783724224407E-2</v>
      </c>
      <c r="J67" s="9">
        <f t="shared" si="13"/>
        <v>0.15402184898515209</v>
      </c>
    </row>
    <row r="68" spans="1:10" x14ac:dyDescent="0.25">
      <c r="A68" s="1">
        <v>62</v>
      </c>
      <c r="B68" s="6">
        <v>5.8787595187299999</v>
      </c>
      <c r="C68" s="8">
        <v>0.96429182517599998</v>
      </c>
      <c r="D68" s="9">
        <f t="shared" si="7"/>
        <v>8.4949274687464715E-3</v>
      </c>
      <c r="E68" s="9">
        <f t="shared" si="8"/>
        <v>3.3303625030536348E-2</v>
      </c>
      <c r="F68" s="9">
        <f t="shared" si="9"/>
        <v>5.4546038272828539E-3</v>
      </c>
      <c r="G68" s="9">
        <f t="shared" si="10"/>
        <v>3.9402109703445196E-3</v>
      </c>
      <c r="H68" s="9">
        <f t="shared" si="11"/>
        <v>0.14688446916154854</v>
      </c>
      <c r="I68" s="9">
        <f t="shared" si="12"/>
        <v>2.4057334906340242E-2</v>
      </c>
      <c r="J68" s="9">
        <f t="shared" si="13"/>
        <v>0.15082468013189307</v>
      </c>
    </row>
    <row r="69" spans="1:10" x14ac:dyDescent="0.25">
      <c r="A69" s="1">
        <v>63</v>
      </c>
      <c r="B69" s="6">
        <v>5.875</v>
      </c>
      <c r="C69" s="8">
        <v>0.96650635094600001</v>
      </c>
      <c r="D69" s="9">
        <f t="shared" si="7"/>
        <v>8.3219688138980175E-3</v>
      </c>
      <c r="E69" s="9">
        <f t="shared" si="8"/>
        <v>3.260480672030934E-2</v>
      </c>
      <c r="F69" s="9">
        <f t="shared" si="9"/>
        <v>5.3560140692061513E-3</v>
      </c>
      <c r="G69" s="9">
        <f t="shared" si="10"/>
        <v>3.878020024038887E-3</v>
      </c>
      <c r="H69" s="9">
        <f t="shared" si="11"/>
        <v>0.14371090140538498</v>
      </c>
      <c r="I69" s="9">
        <f t="shared" si="12"/>
        <v>2.3607485118769828E-2</v>
      </c>
      <c r="J69" s="9">
        <f t="shared" si="13"/>
        <v>0.14758892142942387</v>
      </c>
    </row>
    <row r="70" spans="1:10" x14ac:dyDescent="0.25">
      <c r="A70" s="1">
        <v>64</v>
      </c>
      <c r="B70" s="6">
        <v>5.87120240506</v>
      </c>
      <c r="C70" s="8">
        <v>0.96865492678499998</v>
      </c>
      <c r="D70" s="9">
        <f t="shared" si="7"/>
        <v>8.1466413409772009E-3</v>
      </c>
      <c r="E70" s="9">
        <f t="shared" si="8"/>
        <v>3.1897366037515876E-2</v>
      </c>
      <c r="F70" s="9">
        <f t="shared" si="9"/>
        <v>5.2550216222072088E-3</v>
      </c>
      <c r="G70" s="9">
        <f t="shared" si="10"/>
        <v>3.8134944508494916E-3</v>
      </c>
      <c r="H70" s="9">
        <f t="shared" si="11"/>
        <v>0.14050234901971556</v>
      </c>
      <c r="I70" s="9">
        <f t="shared" si="12"/>
        <v>2.3147452586868306E-2</v>
      </c>
      <c r="J70" s="9">
        <f t="shared" si="13"/>
        <v>0.14431584347056506</v>
      </c>
    </row>
    <row r="71" spans="1:10" x14ac:dyDescent="0.25">
      <c r="A71" s="1">
        <v>65</v>
      </c>
      <c r="B71" s="6">
        <v>5.8673678906999998</v>
      </c>
      <c r="C71" s="8">
        <v>0.97073689821499998</v>
      </c>
      <c r="D71" s="9">
        <f t="shared" si="7"/>
        <v>7.9689984468624964E-3</v>
      </c>
      <c r="E71" s="9">
        <f t="shared" si="8"/>
        <v>3.1181549485099221E-2</v>
      </c>
      <c r="F71" s="9">
        <f t="shared" si="9"/>
        <v>5.1516701470942739E-3</v>
      </c>
      <c r="G71" s="9">
        <f t="shared" si="10"/>
        <v>3.746666552408393E-3</v>
      </c>
      <c r="H71" s="9">
        <f t="shared" si="11"/>
        <v>0.13726005884275744</v>
      </c>
      <c r="I71" s="9">
        <f t="shared" si="12"/>
        <v>2.267746316003379E-2</v>
      </c>
      <c r="J71" s="9">
        <f t="shared" si="13"/>
        <v>0.14100672539516584</v>
      </c>
    </row>
    <row r="72" spans="1:10" x14ac:dyDescent="0.25">
      <c r="A72" s="1">
        <v>66</v>
      </c>
      <c r="B72" s="6">
        <v>5.8634976249299999</v>
      </c>
      <c r="C72" s="8">
        <v>0.97275163104700002</v>
      </c>
      <c r="D72" s="9">
        <f t="shared" si="7"/>
        <v>7.7890942578267008E-3</v>
      </c>
      <c r="E72" s="9">
        <f t="shared" si="8"/>
        <v>3.0457605742376964E-2</v>
      </c>
      <c r="F72" s="9">
        <f t="shared" si="9"/>
        <v>5.0460051144755672E-3</v>
      </c>
      <c r="G72" s="9">
        <f t="shared" si="10"/>
        <v>3.6775712143464687E-3</v>
      </c>
      <c r="H72" s="9">
        <f t="shared" si="11"/>
        <v>0.13398528369581861</v>
      </c>
      <c r="I72" s="9">
        <f t="shared" si="12"/>
        <v>2.2197750240249281E-2</v>
      </c>
      <c r="J72" s="9">
        <f t="shared" si="13"/>
        <v>0.13766285491016508</v>
      </c>
    </row>
    <row r="73" spans="1:10" x14ac:dyDescent="0.25">
      <c r="A73" s="1">
        <v>67</v>
      </c>
      <c r="B73" s="6">
        <v>5.8595927867000004</v>
      </c>
      <c r="C73" s="8">
        <v>0.97469851157499998</v>
      </c>
      <c r="D73" s="9">
        <f t="shared" si="7"/>
        <v>7.6069835545782283E-3</v>
      </c>
      <c r="E73" s="9">
        <f t="shared" si="8"/>
        <v>2.9725785323367705E-2</v>
      </c>
      <c r="F73" s="9">
        <f t="shared" si="9"/>
        <v>4.938073736095526E-3</v>
      </c>
      <c r="G73" s="9">
        <f t="shared" si="10"/>
        <v>3.6062458519923973E-3</v>
      </c>
      <c r="H73" s="9">
        <f t="shared" si="11"/>
        <v>0.13067928067134857</v>
      </c>
      <c r="I73" s="9">
        <f t="shared" si="12"/>
        <v>2.1708554415736381E-2</v>
      </c>
      <c r="J73" s="9">
        <f t="shared" si="13"/>
        <v>0.13428552652334097</v>
      </c>
    </row>
    <row r="74" spans="1:10" x14ac:dyDescent="0.25">
      <c r="A74" s="1">
        <v>68</v>
      </c>
      <c r="B74" s="6">
        <v>5.8556545654400001</v>
      </c>
      <c r="C74" s="8">
        <v>0.97657694675899998</v>
      </c>
      <c r="D74" s="9">
        <f t="shared" si="7"/>
        <v>7.4227218274125484E-3</v>
      </c>
      <c r="E74" s="9">
        <f t="shared" si="8"/>
        <v>2.8986340744755548E-2</v>
      </c>
      <c r="F74" s="9">
        <f t="shared" si="9"/>
        <v>4.8279249786234019E-3</v>
      </c>
      <c r="G74" s="9">
        <f t="shared" si="10"/>
        <v>3.5327304133501245E-3</v>
      </c>
      <c r="H74" s="9">
        <f t="shared" si="11"/>
        <v>0.12734331166864063</v>
      </c>
      <c r="I74" s="9">
        <f t="shared" si="12"/>
        <v>2.121012345784647E-2</v>
      </c>
      <c r="J74" s="9">
        <f t="shared" si="13"/>
        <v>0.13087604208199075</v>
      </c>
    </row>
    <row r="75" spans="1:10" x14ac:dyDescent="0.25">
      <c r="A75" s="1">
        <v>69</v>
      </c>
      <c r="B75" s="6">
        <v>5.8516841607699996</v>
      </c>
      <c r="C75" s="8">
        <v>0.97838636441100002</v>
      </c>
      <c r="D75" s="9">
        <f t="shared" si="7"/>
        <v>7.2363652023739178E-3</v>
      </c>
      <c r="E75" s="9">
        <f t="shared" si="8"/>
        <v>2.8239526190250209E-2</v>
      </c>
      <c r="F75" s="9">
        <f t="shared" si="9"/>
        <v>4.7156094922894271E-3</v>
      </c>
      <c r="G75" s="9">
        <f t="shared" si="10"/>
        <v>3.4570673173700377E-3</v>
      </c>
      <c r="H75" s="9">
        <f t="shared" si="11"/>
        <v>0.12397864171947169</v>
      </c>
      <c r="I75" s="9">
        <f t="shared" si="12"/>
        <v>2.0702711943914719E-2</v>
      </c>
      <c r="J75" s="9">
        <f t="shared" si="13"/>
        <v>0.12743570903684173</v>
      </c>
    </row>
    <row r="76" spans="1:10" x14ac:dyDescent="0.25">
      <c r="A76" s="1">
        <v>70</v>
      </c>
      <c r="B76" s="6">
        <v>5.8476827821199997</v>
      </c>
      <c r="C76" s="8">
        <v>0.98012621336299999</v>
      </c>
      <c r="D76" s="9">
        <f t="shared" si="7"/>
        <v>7.0479704322781167E-3</v>
      </c>
      <c r="E76" s="9">
        <f t="shared" si="8"/>
        <v>2.7485597429953577E-2</v>
      </c>
      <c r="F76" s="9">
        <f t="shared" si="9"/>
        <v>4.6011795797986487E-3</v>
      </c>
      <c r="G76" s="9">
        <f t="shared" si="10"/>
        <v>3.3793014188093153E-3</v>
      </c>
      <c r="H76" s="9">
        <f t="shared" si="11"/>
        <v>0.12058653844347934</v>
      </c>
      <c r="I76" s="9">
        <f t="shared" si="12"/>
        <v>2.0186581058385413E-2</v>
      </c>
      <c r="J76" s="9">
        <f t="shared" si="13"/>
        <v>0.12396583986228867</v>
      </c>
    </row>
    <row r="77" spans="1:10" x14ac:dyDescent="0.25">
      <c r="A77" s="1">
        <v>71</v>
      </c>
      <c r="B77" s="6">
        <v>5.8436516483499998</v>
      </c>
      <c r="C77" s="8">
        <v>0.98179596364199995</v>
      </c>
      <c r="D77" s="9">
        <f t="shared" si="7"/>
        <v>6.8575949172489103E-3</v>
      </c>
      <c r="E77" s="9">
        <f t="shared" si="8"/>
        <v>2.6724811855416086E-2</v>
      </c>
      <c r="F77" s="9">
        <f t="shared" si="9"/>
        <v>4.4846891830224679E-3</v>
      </c>
      <c r="G77" s="9">
        <f t="shared" si="10"/>
        <v>3.2994799835726306E-3</v>
      </c>
      <c r="H77" s="9">
        <f t="shared" si="11"/>
        <v>0.11716827201557158</v>
      </c>
      <c r="I77" s="9">
        <f t="shared" si="12"/>
        <v>1.9661998472519256E-2</v>
      </c>
      <c r="J77" s="9">
        <f t="shared" si="13"/>
        <v>0.12046775199914421</v>
      </c>
    </row>
    <row r="78" spans="1:10" x14ac:dyDescent="0.25">
      <c r="A78" s="1">
        <v>72</v>
      </c>
      <c r="B78" s="6">
        <v>5.8395919873900004</v>
      </c>
      <c r="C78" s="8">
        <v>0.98339510662399998</v>
      </c>
      <c r="D78" s="9">
        <f t="shared" si="7"/>
        <v>6.6652966334972419E-3</v>
      </c>
      <c r="E78" s="9">
        <f t="shared" si="8"/>
        <v>2.5957428157875301E-2</v>
      </c>
      <c r="F78" s="9">
        <f t="shared" si="9"/>
        <v>4.3661938082742704E-3</v>
      </c>
      <c r="G78" s="9">
        <f t="shared" si="10"/>
        <v>3.2176526163552768E-3</v>
      </c>
      <c r="H78" s="9">
        <f t="shared" si="11"/>
        <v>0.11372511357420036</v>
      </c>
      <c r="I78" s="9">
        <f t="shared" si="12"/>
        <v>1.9129237955641192E-2</v>
      </c>
      <c r="J78" s="9">
        <f t="shared" si="13"/>
        <v>0.11694276619055563</v>
      </c>
    </row>
    <row r="79" spans="1:10" x14ac:dyDescent="0.25">
      <c r="A79" s="1">
        <v>73</v>
      </c>
      <c r="B79" s="6">
        <v>5.8355050358299998</v>
      </c>
      <c r="C79" s="8">
        <v>0.98492315519600004</v>
      </c>
      <c r="D79" s="9">
        <f t="shared" si="7"/>
        <v>6.4711341812544454E-3</v>
      </c>
      <c r="E79" s="9">
        <f t="shared" si="8"/>
        <v>2.5183706472140327E-2</v>
      </c>
      <c r="F79" s="9">
        <f t="shared" si="9"/>
        <v>4.2457505278835793E-3</v>
      </c>
      <c r="G79" s="9">
        <f t="shared" si="10"/>
        <v>3.1338712417561458E-3</v>
      </c>
      <c r="H79" s="9">
        <f t="shared" si="11"/>
        <v>0.11025833567863581</v>
      </c>
      <c r="I79" s="9">
        <f t="shared" si="12"/>
        <v>1.8588579322176273E-2</v>
      </c>
      <c r="J79" s="9">
        <f t="shared" si="13"/>
        <v>0.11339220692039195</v>
      </c>
    </row>
    <row r="80" spans="1:10" x14ac:dyDescent="0.25">
      <c r="A80" s="1">
        <v>74</v>
      </c>
      <c r="B80" s="6">
        <v>5.8313920386099998</v>
      </c>
      <c r="C80" s="8">
        <v>0.98637964389999999</v>
      </c>
      <c r="D80" s="9">
        <f t="shared" si="7"/>
        <v>6.2751666830278552E-3</v>
      </c>
      <c r="E80" s="9">
        <f t="shared" si="8"/>
        <v>2.4403907938613679E-2</v>
      </c>
      <c r="F80" s="9">
        <f t="shared" si="9"/>
        <v>4.1234178823489238E-3</v>
      </c>
      <c r="G80" s="9">
        <f t="shared" si="10"/>
        <v>3.0481900096556622E-3</v>
      </c>
      <c r="H80" s="9">
        <f t="shared" si="11"/>
        <v>0.10676921022335988</v>
      </c>
      <c r="I80" s="9">
        <f t="shared" si="12"/>
        <v>1.8040307944284704E-2</v>
      </c>
      <c r="J80" s="9">
        <f t="shared" si="13"/>
        <v>0.10981740023301553</v>
      </c>
    </row>
    <row r="81" spans="1:10" x14ac:dyDescent="0.25">
      <c r="A81" s="1">
        <v>75</v>
      </c>
      <c r="B81" s="6">
        <v>5.8272542485900001</v>
      </c>
      <c r="C81" s="8">
        <v>0.98776412907400002</v>
      </c>
      <c r="D81" s="9">
        <f t="shared" si="7"/>
        <v>6.0774538338486117E-3</v>
      </c>
      <c r="E81" s="9">
        <f t="shared" si="8"/>
        <v>2.3618294858542839E-2</v>
      </c>
      <c r="F81" s="9">
        <f t="shared" si="9"/>
        <v>3.9992558805430666E-3</v>
      </c>
      <c r="G81" s="9">
        <f t="shared" si="10"/>
        <v>2.9606652702996814E-3</v>
      </c>
      <c r="H81" s="9">
        <f t="shared" si="11"/>
        <v>0.10325900895903568</v>
      </c>
      <c r="I81" s="9">
        <f t="shared" si="12"/>
        <v>1.7484714695555899E-2</v>
      </c>
      <c r="J81" s="9">
        <f t="shared" si="13"/>
        <v>0.10621967422933537</v>
      </c>
    </row>
    <row r="82" spans="1:10" x14ac:dyDescent="0.25">
      <c r="A82" s="1">
        <v>76</v>
      </c>
      <c r="B82" s="6">
        <v>5.8230929261800002</v>
      </c>
      <c r="C82" s="8">
        <v>0.98907618899100003</v>
      </c>
      <c r="D82" s="9">
        <f t="shared" si="7"/>
        <v>5.8780558659261573E-3</v>
      </c>
      <c r="E82" s="9">
        <f t="shared" si="8"/>
        <v>2.2827130516911015E-2</v>
      </c>
      <c r="F82" s="9">
        <f t="shared" si="9"/>
        <v>3.8733259425337676E-3</v>
      </c>
      <c r="G82" s="9">
        <f t="shared" si="10"/>
        <v>2.8713555047063005E-3</v>
      </c>
      <c r="H82" s="9">
        <f t="shared" si="11"/>
        <v>9.9729002563340372E-2</v>
      </c>
      <c r="I82" s="9">
        <f t="shared" si="12"/>
        <v>1.6922095644601336E-2</v>
      </c>
      <c r="J82" s="9">
        <f t="shared" si="13"/>
        <v>0.10260035806804667</v>
      </c>
    </row>
    <row r="83" spans="1:10" x14ac:dyDescent="0.25">
      <c r="A83" s="1">
        <v>77</v>
      </c>
      <c r="B83" s="6">
        <v>5.8189093389500002</v>
      </c>
      <c r="C83" s="8">
        <v>0.99031542398500005</v>
      </c>
      <c r="D83" s="9">
        <f t="shared" si="7"/>
        <v>5.6770335205977851E-3</v>
      </c>
      <c r="E83" s="9">
        <f t="shared" si="8"/>
        <v>2.2030679035339451E-2</v>
      </c>
      <c r="F83" s="9">
        <f t="shared" si="9"/>
        <v>3.7456908457516231E-3</v>
      </c>
      <c r="G83" s="9">
        <f t="shared" si="10"/>
        <v>2.7803212550906336E-3</v>
      </c>
      <c r="H83" s="9">
        <f t="shared" si="11"/>
        <v>9.6180459851987019E-2</v>
      </c>
      <c r="I83" s="9">
        <f t="shared" si="12"/>
        <v>1.6352751765173774E-2</v>
      </c>
      <c r="J83" s="9">
        <f t="shared" si="13"/>
        <v>9.896078110707765E-2</v>
      </c>
    </row>
    <row r="84" spans="1:10" x14ac:dyDescent="0.25">
      <c r="A84" s="1">
        <v>78</v>
      </c>
      <c r="B84" s="6">
        <v>5.8147047612799998</v>
      </c>
      <c r="C84" s="8">
        <v>0.99148145657200004</v>
      </c>
      <c r="D84" s="9">
        <f t="shared" si="7"/>
        <v>5.4744480139792273E-3</v>
      </c>
      <c r="E84" s="9">
        <f t="shared" si="8"/>
        <v>2.1229205202134952E-2</v>
      </c>
      <c r="F84" s="9">
        <f t="shared" si="9"/>
        <v>3.6164146656251653E-3</v>
      </c>
      <c r="G84" s="9">
        <f t="shared" si="10"/>
        <v>2.6876250488109803E-3</v>
      </c>
      <c r="H84" s="9">
        <f t="shared" si="11"/>
        <v>9.261464689858262E-2</v>
      </c>
      <c r="I84" s="9">
        <f t="shared" si="12"/>
        <v>1.5776988624050931E-2</v>
      </c>
      <c r="J84" s="9">
        <f t="shared" si="13"/>
        <v>9.5302271947393602E-2</v>
      </c>
    </row>
    <row r="85" spans="1:10" x14ac:dyDescent="0.25">
      <c r="A85" s="1">
        <v>79</v>
      </c>
      <c r="B85" s="6">
        <v>5.8104804739000002</v>
      </c>
      <c r="C85" s="8">
        <v>0.99257393156899998</v>
      </c>
      <c r="D85" s="9">
        <f t="shared" si="7"/>
        <v>5.2703610855679983E-3</v>
      </c>
      <c r="E85" s="9">
        <f t="shared" si="8"/>
        <v>2.0422974625337442E-2</v>
      </c>
      <c r="F85" s="9">
        <f t="shared" si="9"/>
        <v>3.485562769756612E-3</v>
      </c>
      <c r="G85" s="9">
        <f t="shared" si="10"/>
        <v>2.5933313598557484E-3</v>
      </c>
      <c r="H85" s="9">
        <f t="shared" si="11"/>
        <v>8.9032827570994302E-2</v>
      </c>
      <c r="I85" s="9">
        <f t="shared" si="12"/>
        <v>1.5195116304294596E-2</v>
      </c>
      <c r="J85" s="9">
        <f t="shared" si="13"/>
        <v>9.1626158930850049E-2</v>
      </c>
    </row>
    <row r="86" spans="1:10" x14ac:dyDescent="0.25">
      <c r="A86" s="1">
        <v>80</v>
      </c>
      <c r="B86" s="6">
        <v>5.8062377635900004</v>
      </c>
      <c r="C86" s="8">
        <v>0.99359251619599998</v>
      </c>
      <c r="D86" s="9">
        <f t="shared" si="7"/>
        <v>5.0648348695516709E-3</v>
      </c>
      <c r="E86" s="9">
        <f t="shared" si="8"/>
        <v>1.9612253199665395E-2</v>
      </c>
      <c r="F86" s="9">
        <f t="shared" si="9"/>
        <v>3.3532016937912494E-3</v>
      </c>
      <c r="G86" s="9">
        <f t="shared" si="10"/>
        <v>2.497506480250536E-3</v>
      </c>
      <c r="H86" s="9">
        <f t="shared" si="11"/>
        <v>8.5436261082310061E-2</v>
      </c>
      <c r="I86" s="9">
        <f t="shared" si="12"/>
        <v>1.4607448814343305E-2</v>
      </c>
      <c r="J86" s="9">
        <f t="shared" si="13"/>
        <v>8.7933767562560591E-2</v>
      </c>
    </row>
    <row r="87" spans="1:10" x14ac:dyDescent="0.25">
      <c r="A87" s="1">
        <v>81</v>
      </c>
      <c r="B87" s="6">
        <v>5.8019779226999999</v>
      </c>
      <c r="C87" s="8">
        <v>0.99453690018300001</v>
      </c>
      <c r="D87" s="9">
        <f t="shared" si="7"/>
        <v>4.8579319985697644E-3</v>
      </c>
      <c r="E87" s="9">
        <f t="shared" si="8"/>
        <v>1.8797307476242555E-2</v>
      </c>
      <c r="F87" s="9">
        <f t="shared" si="9"/>
        <v>3.2193991697084577E-3</v>
      </c>
      <c r="G87" s="9">
        <f t="shared" si="10"/>
        <v>2.4002185026613448E-3</v>
      </c>
      <c r="H87" s="9">
        <f t="shared" si="11"/>
        <v>8.1826203487701574E-2</v>
      </c>
      <c r="I87" s="9">
        <f t="shared" si="12"/>
        <v>1.4014304164043747E-2</v>
      </c>
      <c r="J87" s="9">
        <f t="shared" si="13"/>
        <v>8.4226421990362912E-2</v>
      </c>
    </row>
    <row r="88" spans="1:10" x14ac:dyDescent="0.25">
      <c r="A88" s="1">
        <v>82</v>
      </c>
      <c r="B88" s="6">
        <v>5.7977022488400003</v>
      </c>
      <c r="C88" s="8">
        <v>0.99540679586199998</v>
      </c>
      <c r="D88" s="9">
        <f t="shared" si="7"/>
        <v>4.6497154757636494E-3</v>
      </c>
      <c r="E88" s="9">
        <f t="shared" si="8"/>
        <v>1.7978404135839426E-2</v>
      </c>
      <c r="F88" s="9">
        <f t="shared" si="9"/>
        <v>3.0842239997995839E-3</v>
      </c>
      <c r="G88" s="9">
        <f t="shared" si="10"/>
        <v>2.301537186202191E-3</v>
      </c>
      <c r="H88" s="9">
        <f t="shared" si="11"/>
        <v>7.8203905280712999E-2</v>
      </c>
      <c r="I88" s="9">
        <f t="shared" si="12"/>
        <v>1.3416003770060874E-2</v>
      </c>
      <c r="J88" s="9">
        <f t="shared" si="13"/>
        <v>8.0505442466915184E-2</v>
      </c>
    </row>
    <row r="89" spans="1:10" x14ac:dyDescent="0.25">
      <c r="A89" s="1">
        <v>83</v>
      </c>
      <c r="B89" s="6">
        <v>5.7934120444200001</v>
      </c>
      <c r="C89" s="8">
        <v>0.99620193825299996</v>
      </c>
      <c r="D89" s="9">
        <f t="shared" si="7"/>
        <v>4.4402487318766504E-3</v>
      </c>
      <c r="E89" s="9">
        <f t="shared" si="8"/>
        <v>1.7155810180561677E-2</v>
      </c>
      <c r="F89" s="9">
        <f t="shared" si="9"/>
        <v>2.9477460520161963E-3</v>
      </c>
      <c r="G89" s="9">
        <f t="shared" si="10"/>
        <v>2.2015339106537407E-3</v>
      </c>
      <c r="H89" s="9">
        <f t="shared" si="11"/>
        <v>7.457061212891021E-2</v>
      </c>
      <c r="I89" s="9">
        <f t="shared" si="12"/>
        <v>1.2812872392529444E-2</v>
      </c>
      <c r="J89" s="9">
        <f t="shared" si="13"/>
        <v>7.6772146039563949E-2</v>
      </c>
    </row>
    <row r="90" spans="1:10" x14ac:dyDescent="0.25">
      <c r="A90" s="1">
        <v>84</v>
      </c>
      <c r="B90" s="6">
        <v>5.7891086162600001</v>
      </c>
      <c r="C90" s="8">
        <v>0.99692208514900005</v>
      </c>
      <c r="D90" s="9">
        <f t="shared" si="7"/>
        <v>4.229595587581958E-3</v>
      </c>
      <c r="E90" s="9">
        <f t="shared" si="8"/>
        <v>1.6329792759829664E-2</v>
      </c>
      <c r="F90" s="9">
        <f t="shared" si="9"/>
        <v>2.8100361916282325E-3</v>
      </c>
      <c r="G90" s="9">
        <f t="shared" si="10"/>
        <v>2.1002815814577837E-3</v>
      </c>
      <c r="H90" s="9">
        <f t="shared" si="11"/>
        <v>7.092756402325491E-2</v>
      </c>
      <c r="I90" s="9">
        <f t="shared" si="12"/>
        <v>1.2205237796382979E-2</v>
      </c>
      <c r="J90" s="9">
        <f t="shared" si="13"/>
        <v>7.3027845604712691E-2</v>
      </c>
    </row>
    <row r="91" spans="1:10" x14ac:dyDescent="0.25">
      <c r="A91" s="1">
        <v>85</v>
      </c>
      <c r="B91" s="6">
        <v>5.7847932752400002</v>
      </c>
      <c r="C91" s="8">
        <v>0.99756701718499996</v>
      </c>
      <c r="D91" s="9">
        <f t="shared" ref="D91:D106" si="14">((B90*C91)-(B91*C90))*0.5</f>
        <v>4.0178201871481356E-3</v>
      </c>
      <c r="E91" s="9">
        <f t="shared" ref="E91:E106" si="15">(B91+B90)*((B90*C91)-(B91*C90))*(1/6)</f>
        <v>1.5500618887913563E-2</v>
      </c>
      <c r="F91" s="9">
        <f t="shared" ref="F91:F106" si="16">(C91+C90)*((B90*C91)-(B91*C90))*(1/6)</f>
        <v>2.6711661928015031E-3</v>
      </c>
      <c r="G91" s="9">
        <f t="shared" ref="G91:G106" si="17">(((C90*C90)+(C90*C91)+(C91*C91))*((B90*C91)-(B91*C90)))/12</f>
        <v>1.9978545179063245E-3</v>
      </c>
      <c r="H91" s="9">
        <f t="shared" ref="H91:H106" si="18">(((B90*B90)+(B90*B91)+(B91*B91))*((B90*C91)-(B91*C90)))/12</f>
        <v>6.7275993967363071E-2</v>
      </c>
      <c r="I91" s="9">
        <f t="shared" ref="I91:I106" si="19">(((B90*C91)+(2*B90*C90)+(2*B91*C91)+(B91*C90))*((B90*C91)-(B91*C90)))/24</f>
        <v>1.159343032834931E-2</v>
      </c>
      <c r="J91" s="9">
        <f t="shared" ref="J91:J106" si="20">G91+H91</f>
        <v>6.9273848485269393E-2</v>
      </c>
    </row>
    <row r="92" spans="1:10" x14ac:dyDescent="0.25">
      <c r="A92" s="1">
        <v>86</v>
      </c>
      <c r="B92" s="6">
        <v>5.7804673358500001</v>
      </c>
      <c r="C92" s="8">
        <v>0.99813653791000001</v>
      </c>
      <c r="D92" s="9">
        <f t="shared" si="14"/>
        <v>3.8049870569478728E-3</v>
      </c>
      <c r="E92" s="9">
        <f t="shared" si="15"/>
        <v>1.4668555645142165E-2</v>
      </c>
      <c r="F92" s="9">
        <f t="shared" si="16"/>
        <v>2.5312087322137767E-3</v>
      </c>
      <c r="G92" s="9">
        <f t="shared" si="17"/>
        <v>1.8943284010108795E-3</v>
      </c>
      <c r="H92" s="9">
        <f t="shared" si="18"/>
        <v>6.3617128776028473E-2</v>
      </c>
      <c r="I92" s="9">
        <f t="shared" si="19"/>
        <v>1.0977782852819943E-2</v>
      </c>
      <c r="J92" s="9">
        <f t="shared" si="20"/>
        <v>6.5511457177039351E-2</v>
      </c>
    </row>
    <row r="93" spans="1:10" x14ac:dyDescent="0.25">
      <c r="A93" s="1">
        <v>87</v>
      </c>
      <c r="B93" s="6">
        <v>5.7761321158200003</v>
      </c>
      <c r="C93" s="8">
        <v>0.99863047384199999</v>
      </c>
      <c r="D93" s="9">
        <f t="shared" si="14"/>
        <v>3.5911610163754659E-3</v>
      </c>
      <c r="E93" s="9">
        <f t="shared" si="15"/>
        <v>1.383386981090113E-2</v>
      </c>
      <c r="F93" s="9">
        <f t="shared" si="16"/>
        <v>2.3902372837961046E-3</v>
      </c>
      <c r="G93" s="9">
        <f t="shared" si="17"/>
        <v>1.7897801459599647E-3</v>
      </c>
      <c r="H93" s="9">
        <f t="shared" si="18"/>
        <v>5.9952187413873502E-2</v>
      </c>
      <c r="I93" s="9">
        <f t="shared" si="19"/>
        <v>1.0358630260820208E-2</v>
      </c>
      <c r="J93" s="9">
        <f t="shared" si="20"/>
        <v>6.1741967559833466E-2</v>
      </c>
    </row>
    <row r="94" spans="1:10" x14ac:dyDescent="0.25">
      <c r="A94" s="1">
        <v>88</v>
      </c>
      <c r="B94" s="6">
        <v>5.7717889356900001</v>
      </c>
      <c r="C94" s="8">
        <v>0.99904867452299995</v>
      </c>
      <c r="D94" s="9">
        <f t="shared" si="14"/>
        <v>3.3764072077926421E-3</v>
      </c>
      <c r="E94" s="9">
        <f t="shared" si="15"/>
        <v>1.2996827957779584E-2</v>
      </c>
      <c r="F94" s="9">
        <f t="shared" si="16"/>
        <v>2.2483260917988842E-3</v>
      </c>
      <c r="G94" s="9">
        <f t="shared" si="17"/>
        <v>1.6842878317212668E-3</v>
      </c>
      <c r="H94" s="9">
        <f t="shared" si="18"/>
        <v>5.6282381344931652E-2</v>
      </c>
      <c r="I94" s="9">
        <f t="shared" si="19"/>
        <v>9.7363093217772041E-3</v>
      </c>
      <c r="J94" s="9">
        <f t="shared" si="20"/>
        <v>5.796666917665292E-2</v>
      </c>
    </row>
    <row r="95" spans="1:10" x14ac:dyDescent="0.25">
      <c r="A95" s="1">
        <v>89</v>
      </c>
      <c r="B95" s="6">
        <v>5.7674391184399996</v>
      </c>
      <c r="C95" s="8">
        <v>0.99939101256499996</v>
      </c>
      <c r="D95" s="9">
        <f t="shared" si="14"/>
        <v>3.1607910405559991E-3</v>
      </c>
      <c r="E95" s="9">
        <f t="shared" si="15"/>
        <v>1.2157696216142178E-2</v>
      </c>
      <c r="F95" s="9">
        <f t="shared" si="16"/>
        <v>2.1055500860130945E-3</v>
      </c>
      <c r="G95" s="9">
        <f t="shared" si="17"/>
        <v>1.5779305860746272E-3</v>
      </c>
      <c r="H95" s="9">
        <f t="shared" si="18"/>
        <v>5.2608913460963545E-2</v>
      </c>
      <c r="I95" s="9">
        <f t="shared" si="19"/>
        <v>9.1111582870968422E-3</v>
      </c>
      <c r="J95" s="9">
        <f t="shared" si="20"/>
        <v>5.418684404703817E-2</v>
      </c>
    </row>
    <row r="96" spans="1:10" x14ac:dyDescent="0.25">
      <c r="A96" s="1">
        <v>90</v>
      </c>
      <c r="B96" s="6">
        <v>5.7630839890600001</v>
      </c>
      <c r="C96" s="8">
        <v>0.99965738368900003</v>
      </c>
      <c r="D96" s="9">
        <f t="shared" si="14"/>
        <v>2.9443782007549935E-3</v>
      </c>
      <c r="E96" s="9">
        <f t="shared" si="15"/>
        <v>1.1316740293674906E-2</v>
      </c>
      <c r="F96" s="9">
        <f t="shared" si="16"/>
        <v>1.9619848400615025E-3</v>
      </c>
      <c r="G96" s="9">
        <f t="shared" si="17"/>
        <v>1.4707885017046097E-3</v>
      </c>
      <c r="H96" s="9">
        <f t="shared" si="18"/>
        <v>4.8932978123609271E-2</v>
      </c>
      <c r="I96" s="9">
        <f t="shared" si="19"/>
        <v>8.4835166832636765E-3</v>
      </c>
      <c r="J96" s="9">
        <f t="shared" si="20"/>
        <v>5.040376662531388E-2</v>
      </c>
    </row>
    <row r="97" spans="1:10" x14ac:dyDescent="0.25">
      <c r="A97" s="1">
        <v>91</v>
      </c>
      <c r="B97" s="6">
        <v>5.7587248741800003</v>
      </c>
      <c r="C97" s="8">
        <v>0.99984770675500001</v>
      </c>
      <c r="D97" s="9">
        <f t="shared" si="14"/>
        <v>2.7272345952766841E-3</v>
      </c>
      <c r="E97" s="9">
        <f t="shared" si="15"/>
        <v>1.0474225243997885E-2</v>
      </c>
      <c r="F97" s="9">
        <f t="shared" si="16"/>
        <v>1.8177064853635704E-3</v>
      </c>
      <c r="G97" s="9">
        <f t="shared" si="17"/>
        <v>1.3629425180227521E-3</v>
      </c>
      <c r="H97" s="9">
        <f t="shared" si="18"/>
        <v>4.5255760128724759E-2</v>
      </c>
      <c r="I97" s="9">
        <f t="shared" si="19"/>
        <v>7.8537249159105916E-3</v>
      </c>
      <c r="J97" s="9">
        <f t="shared" si="20"/>
        <v>4.6618702646747515E-2</v>
      </c>
    </row>
    <row r="98" spans="1:10" x14ac:dyDescent="0.25">
      <c r="A98" s="1">
        <v>92</v>
      </c>
      <c r="B98" s="6">
        <v>5.7543631016100001</v>
      </c>
      <c r="C98" s="8">
        <v>0.99996192378899995</v>
      </c>
      <c r="D98" s="9">
        <f t="shared" si="14"/>
        <v>2.5094263881260126E-3</v>
      </c>
      <c r="E98" s="9">
        <f t="shared" si="15"/>
        <v>9.6304155917545757E-3</v>
      </c>
      <c r="F98" s="9">
        <f t="shared" si="16"/>
        <v>1.6727916860385483E-3</v>
      </c>
      <c r="G98" s="9">
        <f t="shared" si="17"/>
        <v>1.2544743477267176E-3</v>
      </c>
      <c r="H98" s="9">
        <f t="shared" si="18"/>
        <v>4.1578435220983277E-2</v>
      </c>
      <c r="I98" s="9">
        <f t="shared" si="19"/>
        <v>7.2221241403591305E-3</v>
      </c>
      <c r="J98" s="9">
        <f t="shared" si="20"/>
        <v>4.2832909568709998E-2</v>
      </c>
    </row>
    <row r="99" spans="1:10" x14ac:dyDescent="0.25">
      <c r="A99" s="1">
        <v>93</v>
      </c>
      <c r="B99" s="6">
        <v>5.75</v>
      </c>
      <c r="C99" s="8">
        <v>1</v>
      </c>
      <c r="D99" s="9">
        <f t="shared" si="14"/>
        <v>2.2910199116252805E-3</v>
      </c>
      <c r="E99" s="9">
        <f t="shared" si="15"/>
        <v>8.7855749787852273E-3</v>
      </c>
      <c r="F99" s="9">
        <f t="shared" si="16"/>
        <v>1.5273175299643333E-3</v>
      </c>
      <c r="G99" s="9">
        <f t="shared" si="17"/>
        <v>1.1454663396874459E-3</v>
      </c>
      <c r="H99" s="9">
        <f t="shared" si="18"/>
        <v>3.7902168546860023E-2</v>
      </c>
      <c r="I99" s="9">
        <f t="shared" si="19"/>
        <v>6.5890557727027602E-3</v>
      </c>
      <c r="J99" s="9">
        <f t="shared" si="20"/>
        <v>3.9047634886547465E-2</v>
      </c>
    </row>
    <row r="100" spans="1:10" x14ac:dyDescent="0.25">
      <c r="A100" s="1">
        <v>94</v>
      </c>
      <c r="B100" s="6">
        <v>1.5</v>
      </c>
      <c r="C100" s="8">
        <v>1</v>
      </c>
      <c r="D100" s="9">
        <f t="shared" si="14"/>
        <v>2.125</v>
      </c>
      <c r="E100" s="9">
        <f t="shared" si="15"/>
        <v>5.1354166666666661</v>
      </c>
      <c r="F100" s="9">
        <f t="shared" si="16"/>
        <v>1.4166666666666665</v>
      </c>
      <c r="G100" s="9">
        <f t="shared" si="17"/>
        <v>1.0625</v>
      </c>
      <c r="H100" s="9">
        <f t="shared" si="18"/>
        <v>15.561197916666666</v>
      </c>
      <c r="I100" s="9">
        <f t="shared" si="19"/>
        <v>3.8515625</v>
      </c>
      <c r="J100" s="9">
        <f t="shared" si="20"/>
        <v>16.623697916666664</v>
      </c>
    </row>
    <row r="101" spans="1:10" x14ac:dyDescent="0.25">
      <c r="A101" s="1">
        <v>95</v>
      </c>
      <c r="B101" s="6">
        <v>1.49127379678</v>
      </c>
      <c r="C101" s="8">
        <v>1.0000761524199999</v>
      </c>
      <c r="D101" s="9">
        <f t="shared" si="14"/>
        <v>4.4202159249998596E-3</v>
      </c>
      <c r="E101" s="9">
        <f t="shared" si="15"/>
        <v>4.4073586908539159E-3</v>
      </c>
      <c r="F101" s="9">
        <f t="shared" si="16"/>
        <v>2.9469228200464438E-3</v>
      </c>
      <c r="G101" s="9">
        <f t="shared" si="17"/>
        <v>2.2102762718420148E-3</v>
      </c>
      <c r="H101" s="9">
        <f t="shared" si="18"/>
        <v>4.9438702362154729E-3</v>
      </c>
      <c r="I101" s="9">
        <f t="shared" si="19"/>
        <v>3.3056447573880442E-3</v>
      </c>
      <c r="J101" s="9">
        <f t="shared" si="20"/>
        <v>7.1541465080574877E-3</v>
      </c>
    </row>
    <row r="102" spans="1:10" x14ac:dyDescent="0.25">
      <c r="A102" s="1">
        <v>96</v>
      </c>
      <c r="B102" s="6">
        <v>1.48255025165</v>
      </c>
      <c r="C102" s="8">
        <v>1.00030458649</v>
      </c>
      <c r="D102" s="9">
        <f t="shared" si="14"/>
        <v>4.5324335959777695E-3</v>
      </c>
      <c r="E102" s="9">
        <f t="shared" si="15"/>
        <v>4.4928866752102512E-3</v>
      </c>
      <c r="F102" s="9">
        <f t="shared" si="16"/>
        <v>3.0221976219275055E-3</v>
      </c>
      <c r="G102" s="9">
        <f t="shared" si="17"/>
        <v>2.2670797268859381E-3</v>
      </c>
      <c r="H102" s="9">
        <f t="shared" si="18"/>
        <v>5.0104097872408901E-3</v>
      </c>
      <c r="I102" s="9">
        <f t="shared" si="19"/>
        <v>3.370306111363935E-3</v>
      </c>
      <c r="J102" s="9">
        <f t="shared" si="20"/>
        <v>7.2774895141268277E-3</v>
      </c>
    </row>
    <row r="103" spans="1:10" x14ac:dyDescent="0.25">
      <c r="A103" s="1">
        <v>97</v>
      </c>
      <c r="B103" s="6">
        <v>1.4738320218800001</v>
      </c>
      <c r="C103" s="8">
        <v>1.00068523262</v>
      </c>
      <c r="D103" s="9">
        <f t="shared" si="14"/>
        <v>4.6426061204127844E-3</v>
      </c>
      <c r="E103" s="9">
        <f t="shared" si="15"/>
        <v>4.5751061457900803E-3</v>
      </c>
      <c r="F103" s="9">
        <f t="shared" si="16"/>
        <v>3.0966025270279187E-3</v>
      </c>
      <c r="G103" s="9">
        <f t="shared" si="17"/>
        <v>2.3236013269330217E-3</v>
      </c>
      <c r="H103" s="9">
        <f t="shared" si="18"/>
        <v>5.0721757188922105E-3</v>
      </c>
      <c r="I103" s="9">
        <f t="shared" si="19"/>
        <v>3.4330271652038727E-3</v>
      </c>
      <c r="J103" s="9">
        <f t="shared" si="20"/>
        <v>7.3957770458252317E-3</v>
      </c>
    </row>
    <row r="104" spans="1:10" x14ac:dyDescent="0.25">
      <c r="A104" s="1">
        <v>98</v>
      </c>
      <c r="B104" s="6">
        <v>1.46512176313</v>
      </c>
      <c r="C104" s="8">
        <v>1.0012179748700001</v>
      </c>
      <c r="D104" s="9">
        <f t="shared" si="14"/>
        <v>4.7506999454414167E-3</v>
      </c>
      <c r="E104" s="9">
        <f t="shared" si="15"/>
        <v>4.6540291953672836E-3</v>
      </c>
      <c r="F104" s="9">
        <f t="shared" si="16"/>
        <v>3.1701471528672465E-3</v>
      </c>
      <c r="G104" s="9">
        <f t="shared" si="17"/>
        <v>2.3798729637574457E-3</v>
      </c>
      <c r="H104" s="9">
        <f t="shared" si="18"/>
        <v>5.1292562876014578E-3</v>
      </c>
      <c r="I104" s="9">
        <f t="shared" si="19"/>
        <v>3.4938425717016396E-3</v>
      </c>
      <c r="J104" s="9">
        <f t="shared" si="20"/>
        <v>7.509129251358904E-3</v>
      </c>
    </row>
    <row r="105" spans="1:10" x14ac:dyDescent="0.25">
      <c r="A105" s="1">
        <v>99</v>
      </c>
      <c r="B105" s="6">
        <v>1.4564221286300001</v>
      </c>
      <c r="C105" s="8">
        <v>1.00190265095</v>
      </c>
      <c r="D105" s="9">
        <f t="shared" si="14"/>
        <v>4.8566821308507757E-3</v>
      </c>
      <c r="E105" s="9">
        <f t="shared" si="15"/>
        <v>4.729670004535674E-3</v>
      </c>
      <c r="F105" s="9">
        <f t="shared" si="16"/>
        <v>3.2428400497862058E-3</v>
      </c>
      <c r="G105" s="9">
        <f t="shared" si="17"/>
        <v>2.4359250160991279E-3</v>
      </c>
      <c r="H105" s="9">
        <f t="shared" si="18"/>
        <v>5.1817422573962211E-3</v>
      </c>
      <c r="I105" s="9">
        <f t="shared" si="19"/>
        <v>3.5527861219238795E-3</v>
      </c>
      <c r="J105" s="9">
        <f t="shared" si="20"/>
        <v>7.6176672734953495E-3</v>
      </c>
    </row>
    <row r="106" spans="1:10" x14ac:dyDescent="0.25">
      <c r="A106" s="1">
        <v>100</v>
      </c>
      <c r="B106" s="6">
        <v>1.4477357683700001</v>
      </c>
      <c r="C106" s="8">
        <v>1.0027390523199999</v>
      </c>
      <c r="D106" s="9">
        <f t="shared" si="14"/>
        <v>4.960520417642611E-3</v>
      </c>
      <c r="E106" s="9">
        <f t="shared" si="15"/>
        <v>4.8020448480421756E-3</v>
      </c>
      <c r="F106" s="9">
        <f t="shared" si="16"/>
        <v>3.3146886997095647E-3</v>
      </c>
      <c r="G106" s="9">
        <f t="shared" si="17"/>
        <v>2.4917863448907529E-3</v>
      </c>
      <c r="H106" s="9">
        <f t="shared" si="18"/>
        <v>5.2297267704222621E-3</v>
      </c>
      <c r="I106" s="9">
        <f t="shared" si="19"/>
        <v>3.6098907596098339E-3</v>
      </c>
      <c r="J106" s="9">
        <f t="shared" si="20"/>
        <v>7.7215131153130154E-3</v>
      </c>
    </row>
    <row r="107" spans="1:10" x14ac:dyDescent="0.25">
      <c r="A107" s="1">
        <v>101</v>
      </c>
      <c r="B107" s="6">
        <v>1.4390653282999999</v>
      </c>
      <c r="C107" s="8">
        <v>1.00372692418</v>
      </c>
      <c r="D107" s="9">
        <f t="shared" ref="D107:D170" si="21">((B106*C107)-(B107*C106))*0.5</f>
        <v>5.062183142638732E-3</v>
      </c>
      <c r="E107" s="9">
        <f t="shared" ref="E107:E170" si="22">(B107+B106)*((B106*C107)-(B107*C106))*(1/6)</f>
        <v>4.8711719492379596E-3</v>
      </c>
      <c r="F107" s="9">
        <f t="shared" ref="F107:F170" si="23">(C107+C106)*((B106*C107)-(B107*C106))*(1/6)</f>
        <v>3.3856994141721539E-3</v>
      </c>
      <c r="G107" s="9">
        <f t="shared" ref="G107:G170" si="24">(((C106*C106)+(C106*C107)+(C107*C107))*((B106*C107)-(B107*C106)))/12</f>
        <v>2.5474842112862372E-3</v>
      </c>
      <c r="H107" s="9">
        <f t="shared" ref="H107:H170" si="25">(((B106*B106)+(B106*B107)+(B107*B107))*((B106*C107)-(B107*C106)))/12</f>
        <v>5.2733050534801056E-3</v>
      </c>
      <c r="I107" s="9">
        <f t="shared" ref="I107:I170" si="26">(((B106*C107)+(2*B106*C106)+(2*B107*C107)+(B107*C106))*((B106*C107)-(B107*C106)))/24</f>
        <v>3.6651884865587202E-3</v>
      </c>
      <c r="J107" s="9">
        <f t="shared" ref="J107:J170" si="27">G107+H107</f>
        <v>7.8207892647663424E-3</v>
      </c>
    </row>
    <row r="108" spans="1:10" x14ac:dyDescent="0.25">
      <c r="A108" s="1">
        <v>102</v>
      </c>
      <c r="B108" s="6">
        <v>1.43041344952</v>
      </c>
      <c r="C108" s="8">
        <v>1.0048659656300001</v>
      </c>
      <c r="D108" s="9">
        <f t="shared" si="21"/>
        <v>5.1616393672095917E-3</v>
      </c>
      <c r="E108" s="9">
        <f t="shared" si="22"/>
        <v>4.9370715409893916E-3</v>
      </c>
      <c r="F108" s="9">
        <f t="shared" si="23"/>
        <v>3.4558773775801911E-3</v>
      </c>
      <c r="G108" s="9">
        <f t="shared" si="24"/>
        <v>2.6030443022814894E-3</v>
      </c>
      <c r="H108" s="9">
        <f t="shared" si="25"/>
        <v>5.3125743532325548E-3</v>
      </c>
      <c r="I108" s="9">
        <f t="shared" si="26"/>
        <v>3.718710428177379E-3</v>
      </c>
      <c r="J108" s="9">
        <f t="shared" si="27"/>
        <v>7.9156186555140451E-3</v>
      </c>
    </row>
    <row r="109" spans="1:10" x14ac:dyDescent="0.25">
      <c r="A109" s="1">
        <v>103</v>
      </c>
      <c r="B109" s="6">
        <v>1.4217827674800001</v>
      </c>
      <c r="C109" s="8">
        <v>1.0061558296999999</v>
      </c>
      <c r="D109" s="9">
        <f t="shared" si="21"/>
        <v>5.2588587779752727E-3</v>
      </c>
      <c r="E109" s="9">
        <f t="shared" si="22"/>
        <v>4.9997657040927717E-3</v>
      </c>
      <c r="F109" s="9">
        <f t="shared" si="23"/>
        <v>3.5252265403569209E-3</v>
      </c>
      <c r="G109" s="9">
        <f t="shared" si="24"/>
        <v>2.6584906418593568E-3</v>
      </c>
      <c r="H109" s="9">
        <f t="shared" si="25"/>
        <v>5.3476336320544514E-3</v>
      </c>
      <c r="I109" s="9">
        <f t="shared" si="26"/>
        <v>3.7704867366046483E-3</v>
      </c>
      <c r="J109" s="9">
        <f t="shared" si="27"/>
        <v>8.0061242739138082E-3</v>
      </c>
    </row>
    <row r="110" spans="1:10" x14ac:dyDescent="0.25">
      <c r="A110" s="1">
        <v>104</v>
      </c>
      <c r="B110" s="6">
        <v>1.41317591117</v>
      </c>
      <c r="C110" s="8">
        <v>1.0075961234899999</v>
      </c>
      <c r="D110" s="9">
        <f t="shared" si="21"/>
        <v>5.3538117712136346E-3</v>
      </c>
      <c r="E110" s="9">
        <f t="shared" si="22"/>
        <v>5.0592783815535409E-3</v>
      </c>
      <c r="F110" s="9">
        <f t="shared" si="23"/>
        <v>3.5937496370976895E-3</v>
      </c>
      <c r="G110" s="9">
        <f t="shared" si="24"/>
        <v>2.7138455943761012E-3</v>
      </c>
      <c r="H110" s="9">
        <f t="shared" si="25"/>
        <v>5.3785834582900536E-3</v>
      </c>
      <c r="I110" s="9">
        <f t="shared" si="26"/>
        <v>3.8205466306361312E-3</v>
      </c>
      <c r="J110" s="9">
        <f t="shared" si="27"/>
        <v>8.0924290526661544E-3</v>
      </c>
    </row>
    <row r="111" spans="1:10" x14ac:dyDescent="0.25">
      <c r="A111" s="1">
        <v>105</v>
      </c>
      <c r="B111" s="6">
        <v>1.4045955023100001</v>
      </c>
      <c r="C111" s="8">
        <v>1.0091864082799999</v>
      </c>
      <c r="D111" s="9">
        <f t="shared" si="21"/>
        <v>5.4464694312116313E-3</v>
      </c>
      <c r="E111" s="9">
        <f t="shared" si="22"/>
        <v>5.1156352892202696E-3</v>
      </c>
      <c r="F111" s="9">
        <f t="shared" si="23"/>
        <v>3.6614481362289676E-3</v>
      </c>
      <c r="G111" s="9">
        <f t="shared" si="24"/>
        <v>2.7691298147211655E-3</v>
      </c>
      <c r="H111" s="9">
        <f t="shared" si="25"/>
        <v>5.4055257877281297E-3</v>
      </c>
      <c r="I111" s="9">
        <f t="shared" si="26"/>
        <v>3.8689183622156449E-3</v>
      </c>
      <c r="J111" s="9">
        <f t="shared" si="27"/>
        <v>8.1746556024492947E-3</v>
      </c>
    </row>
    <row r="112" spans="1:10" x14ac:dyDescent="0.25">
      <c r="A112" s="1">
        <v>106</v>
      </c>
      <c r="B112" s="6">
        <v>1.39604415459</v>
      </c>
      <c r="C112" s="8">
        <v>1.0109261996300001</v>
      </c>
      <c r="D112" s="9">
        <f t="shared" si="21"/>
        <v>5.5368034983341863E-3</v>
      </c>
      <c r="E112" s="9">
        <f t="shared" si="22"/>
        <v>5.1688638166324579E-3</v>
      </c>
      <c r="F112" s="9">
        <f t="shared" si="23"/>
        <v>3.7283221848350276E-3</v>
      </c>
      <c r="G112" s="9">
        <f t="shared" si="24"/>
        <v>2.824362192776183E-3</v>
      </c>
      <c r="H112" s="9">
        <f t="shared" si="25"/>
        <v>5.4285637398156757E-3</v>
      </c>
      <c r="I112" s="9">
        <f t="shared" si="26"/>
        <v>3.9156291794504436E-3</v>
      </c>
      <c r="J112" s="9">
        <f t="shared" si="27"/>
        <v>8.2529259325918591E-3</v>
      </c>
    </row>
    <row r="113" spans="1:10" x14ac:dyDescent="0.25">
      <c r="A113" s="1">
        <v>107</v>
      </c>
      <c r="B113" s="6">
        <v>1.38752447283</v>
      </c>
      <c r="C113" s="8">
        <v>1.01281496761</v>
      </c>
      <c r="D113" s="9">
        <f t="shared" si="21"/>
        <v>5.6247865007748032E-3</v>
      </c>
      <c r="E113" s="9">
        <f t="shared" si="22"/>
        <v>5.2189930798307547E-3</v>
      </c>
      <c r="F113" s="9">
        <f t="shared" si="23"/>
        <v>3.794370666184598E-3</v>
      </c>
      <c r="G113" s="9">
        <f t="shared" si="24"/>
        <v>2.8795598814351786E-3</v>
      </c>
      <c r="H113" s="9">
        <f t="shared" si="25"/>
        <v>5.4478015378604657E-3</v>
      </c>
      <c r="I113" s="9">
        <f t="shared" si="26"/>
        <v>3.9607054088482826E-3</v>
      </c>
      <c r="J113" s="9">
        <f t="shared" si="27"/>
        <v>8.3273614192956452E-3</v>
      </c>
    </row>
    <row r="114" spans="1:10" x14ac:dyDescent="0.25">
      <c r="A114" s="1">
        <v>108</v>
      </c>
      <c r="B114" s="6">
        <v>1.3790390522</v>
      </c>
      <c r="C114" s="8">
        <v>1.0148521368600001</v>
      </c>
      <c r="D114" s="9">
        <f t="shared" si="21"/>
        <v>5.7103916051012282E-3</v>
      </c>
      <c r="E114" s="9">
        <f t="shared" si="22"/>
        <v>5.2660537094368579E-3</v>
      </c>
      <c r="F114" s="9">
        <f t="shared" si="23"/>
        <v>3.8595910704351342E-3</v>
      </c>
      <c r="G114" s="9">
        <f t="shared" si="24"/>
        <v>2.9347381812711171E-3</v>
      </c>
      <c r="H114" s="9">
        <f t="shared" si="25"/>
        <v>5.4633441742534677E-3</v>
      </c>
      <c r="I114" s="9">
        <f t="shared" si="26"/>
        <v>4.004172340907824E-3</v>
      </c>
      <c r="J114" s="9">
        <f t="shared" si="27"/>
        <v>8.3980823555245849E-3</v>
      </c>
    </row>
    <row r="115" spans="1:10" x14ac:dyDescent="0.25">
      <c r="A115" s="1">
        <v>109</v>
      </c>
      <c r="B115" s="6">
        <v>1.37059047745</v>
      </c>
      <c r="C115" s="8">
        <v>1.0170370868600001</v>
      </c>
      <c r="D115" s="9">
        <f t="shared" si="21"/>
        <v>5.7935927577816848E-3</v>
      </c>
      <c r="E115" s="9">
        <f t="shared" si="22"/>
        <v>5.3100779098543003E-3</v>
      </c>
      <c r="F115" s="9">
        <f t="shared" si="23"/>
        <v>3.9239795637196137E-3</v>
      </c>
      <c r="G115" s="9">
        <f t="shared" si="24"/>
        <v>2.9899105735510007E-3</v>
      </c>
      <c r="H115" s="9">
        <f t="shared" si="25"/>
        <v>5.4752973653569908E-3</v>
      </c>
      <c r="I115" s="9">
        <f t="shared" si="26"/>
        <v>4.0460543246357214E-3</v>
      </c>
      <c r="J115" s="9">
        <f t="shared" si="27"/>
        <v>8.4652079389079919E-3</v>
      </c>
    </row>
    <row r="116" spans="1:10" x14ac:dyDescent="0.25">
      <c r="A116" s="1">
        <v>110</v>
      </c>
      <c r="B116" s="6">
        <v>1.3621813220900001</v>
      </c>
      <c r="C116" s="8">
        <v>1.0193691520299999</v>
      </c>
      <c r="D116" s="9">
        <f t="shared" si="21"/>
        <v>5.8743645925410926E-3</v>
      </c>
      <c r="E116" s="9">
        <f t="shared" si="22"/>
        <v>5.3510992995708601E-3</v>
      </c>
      <c r="F116" s="9">
        <f t="shared" si="23"/>
        <v>3.9875309019217304E-3</v>
      </c>
      <c r="G116" s="9">
        <f t="shared" si="24"/>
        <v>3.0450886335773673E-3</v>
      </c>
      <c r="H116" s="9">
        <f t="shared" si="25"/>
        <v>5.4837672817018247E-3</v>
      </c>
      <c r="I116" s="9">
        <f t="shared" si="26"/>
        <v>4.086374699445925E-3</v>
      </c>
      <c r="J116" s="9">
        <f t="shared" si="27"/>
        <v>8.5288559152791911E-3</v>
      </c>
    </row>
    <row r="117" spans="1:10" x14ac:dyDescent="0.25">
      <c r="A117" s="1">
        <v>111</v>
      </c>
      <c r="B117" s="6">
        <v>1.3538141476400001</v>
      </c>
      <c r="C117" s="8">
        <v>1.0218476220199999</v>
      </c>
      <c r="D117" s="9">
        <f t="shared" si="21"/>
        <v>5.9526825258611193E-3</v>
      </c>
      <c r="E117" s="9">
        <f t="shared" si="22"/>
        <v>5.3891529243265783E-3</v>
      </c>
      <c r="F117" s="9">
        <f t="shared" si="23"/>
        <v>4.0502384741273453E-3</v>
      </c>
      <c r="G117" s="9">
        <f t="shared" si="24"/>
        <v>3.1002820407017195E-3</v>
      </c>
      <c r="H117" s="9">
        <f t="shared" si="25"/>
        <v>5.4888604624312642E-3</v>
      </c>
      <c r="I117" s="9">
        <f t="shared" si="26"/>
        <v>4.1251558615841418E-3</v>
      </c>
      <c r="J117" s="9">
        <f t="shared" si="27"/>
        <v>8.5891425031329842E-3</v>
      </c>
    </row>
    <row r="118" spans="1:10" x14ac:dyDescent="0.25">
      <c r="A118" s="1">
        <v>112</v>
      </c>
      <c r="B118" s="6">
        <v>1.3454915028100001</v>
      </c>
      <c r="C118" s="8">
        <v>1.02447174185</v>
      </c>
      <c r="D118" s="9">
        <f t="shared" si="21"/>
        <v>6.0285226897046629E-3</v>
      </c>
      <c r="E118" s="9">
        <f t="shared" si="22"/>
        <v>5.4242751200619431E-3</v>
      </c>
      <c r="F118" s="9">
        <f t="shared" si="23"/>
        <v>4.112094238490769E-3</v>
      </c>
      <c r="G118" s="9">
        <f t="shared" si="24"/>
        <v>3.1554985045405826E-3</v>
      </c>
      <c r="H118" s="9">
        <f t="shared" si="25"/>
        <v>5.4906835793655552E-3</v>
      </c>
      <c r="I118" s="9">
        <f t="shared" si="26"/>
        <v>4.162419219068356E-3</v>
      </c>
      <c r="J118" s="9">
        <f t="shared" si="27"/>
        <v>8.6461820839061378E-3</v>
      </c>
    </row>
    <row r="119" spans="1:10" x14ac:dyDescent="0.25">
      <c r="A119" s="1">
        <v>113</v>
      </c>
      <c r="B119" s="6">
        <v>1.33721592277</v>
      </c>
      <c r="C119" s="8">
        <v>1.0272407122</v>
      </c>
      <c r="D119" s="9">
        <f t="shared" si="21"/>
        <v>6.1018619879278369E-3</v>
      </c>
      <c r="E119" s="9">
        <f t="shared" si="22"/>
        <v>5.4565034882927835E-3</v>
      </c>
      <c r="F119" s="9">
        <f t="shared" si="23"/>
        <v>4.1730887445086112E-3</v>
      </c>
      <c r="G119" s="9">
        <f t="shared" si="24"/>
        <v>3.2107437552022695E-3</v>
      </c>
      <c r="H119" s="9">
        <f t="shared" si="25"/>
        <v>5.4893433216294642E-3</v>
      </c>
      <c r="I119" s="9">
        <f t="shared" si="26"/>
        <v>4.1981852349713697E-3</v>
      </c>
      <c r="J119" s="9">
        <f t="shared" si="27"/>
        <v>8.7000870768317341E-3</v>
      </c>
    </row>
    <row r="120" spans="1:10" x14ac:dyDescent="0.25">
      <c r="A120" s="1">
        <v>114</v>
      </c>
      <c r="B120" s="6">
        <v>1.32898992834</v>
      </c>
      <c r="C120" s="8">
        <v>1.0301536896100001</v>
      </c>
      <c r="D120" s="9">
        <f t="shared" si="21"/>
        <v>6.172678076074023E-3</v>
      </c>
      <c r="E120" s="9">
        <f t="shared" si="22"/>
        <v>5.4858768011489924E-3</v>
      </c>
      <c r="F120" s="9">
        <f t="shared" si="23"/>
        <v>4.2332111059633377E-3</v>
      </c>
      <c r="G120" s="9">
        <f t="shared" si="24"/>
        <v>3.2660214940697248E-3</v>
      </c>
      <c r="H120" s="9">
        <f t="shared" si="25"/>
        <v>5.4849462132391382E-3</v>
      </c>
      <c r="I120" s="9">
        <f t="shared" si="26"/>
        <v>4.2324734194490983E-3</v>
      </c>
      <c r="J120" s="9">
        <f t="shared" si="27"/>
        <v>8.7509677073088626E-3</v>
      </c>
    </row>
    <row r="121" spans="1:10" x14ac:dyDescent="0.25">
      <c r="A121" s="1">
        <v>115</v>
      </c>
      <c r="B121" s="6">
        <v>1.3208160252300001</v>
      </c>
      <c r="C121" s="8">
        <v>1.0332097867500001</v>
      </c>
      <c r="D121" s="9">
        <f t="shared" si="21"/>
        <v>6.2409493831848684E-3</v>
      </c>
      <c r="E121" s="9">
        <f t="shared" si="22"/>
        <v>5.512434943830761E-3</v>
      </c>
      <c r="F121" s="9">
        <f t="shared" si="23"/>
        <v>4.2924490050250431E-3</v>
      </c>
      <c r="G121" s="9">
        <f t="shared" si="24"/>
        <v>3.3213333666141237E-3</v>
      </c>
      <c r="H121" s="9">
        <f t="shared" si="25"/>
        <v>5.4775984737541585E-3</v>
      </c>
      <c r="I121" s="9">
        <f t="shared" si="26"/>
        <v>4.2653023524905605E-3</v>
      </c>
      <c r="J121" s="9">
        <f t="shared" si="27"/>
        <v>8.7989318403682813E-3</v>
      </c>
    </row>
    <row r="122" spans="1:10" x14ac:dyDescent="0.25">
      <c r="A122" s="1">
        <v>116</v>
      </c>
      <c r="B122" s="6">
        <v>1.3126967032900001</v>
      </c>
      <c r="C122" s="8">
        <v>1.03640807272</v>
      </c>
      <c r="D122" s="9">
        <f t="shared" si="21"/>
        <v>6.30665512631301E-3</v>
      </c>
      <c r="E122" s="9">
        <f t="shared" si="22"/>
        <v>5.5362188498437404E-3</v>
      </c>
      <c r="F122" s="9">
        <f t="shared" si="23"/>
        <v>4.3507886943118116E-3</v>
      </c>
      <c r="G122" s="9">
        <f t="shared" si="24"/>
        <v>3.3766789321556388E-3</v>
      </c>
      <c r="H122" s="9">
        <f t="shared" si="25"/>
        <v>5.4674058765208471E-3</v>
      </c>
      <c r="I122" s="9">
        <f t="shared" si="26"/>
        <v>4.2966897033110477E-3</v>
      </c>
      <c r="J122" s="9">
        <f t="shared" si="27"/>
        <v>8.8440848086764855E-3</v>
      </c>
    </row>
    <row r="123" spans="1:10" x14ac:dyDescent="0.25">
      <c r="A123" s="1">
        <v>117</v>
      </c>
      <c r="B123" s="6">
        <v>1.3046344357599999</v>
      </c>
      <c r="C123" s="8">
        <v>1.0397475732699999</v>
      </c>
      <c r="D123" s="9">
        <f t="shared" si="21"/>
        <v>6.3697752575702093E-3</v>
      </c>
      <c r="E123" s="9">
        <f t="shared" si="22"/>
        <v>5.5572703767962474E-3</v>
      </c>
      <c r="F123" s="9">
        <f t="shared" si="23"/>
        <v>4.408214954897266E-3</v>
      </c>
      <c r="G123" s="9">
        <f t="shared" si="24"/>
        <v>3.4320555976475996E-3</v>
      </c>
      <c r="H123" s="9">
        <f t="shared" si="25"/>
        <v>5.4544735535073724E-3</v>
      </c>
      <c r="I123" s="9">
        <f t="shared" si="26"/>
        <v>4.3266522050923349E-3</v>
      </c>
      <c r="J123" s="9">
        <f t="shared" si="27"/>
        <v>8.8865291511549711E-3</v>
      </c>
    </row>
    <row r="124" spans="1:10" x14ac:dyDescent="0.25">
      <c r="A124" s="1">
        <v>118</v>
      </c>
      <c r="B124" s="6">
        <v>1.29663167846</v>
      </c>
      <c r="C124" s="8">
        <v>1.0432272711799999</v>
      </c>
      <c r="D124" s="9">
        <f t="shared" si="21"/>
        <v>6.4302906007859262E-3</v>
      </c>
      <c r="E124" s="9">
        <f t="shared" si="22"/>
        <v>5.5756323481372643E-3</v>
      </c>
      <c r="F124" s="9">
        <f t="shared" si="23"/>
        <v>4.4647111879801199E-3</v>
      </c>
      <c r="G124" s="9">
        <f t="shared" si="24"/>
        <v>3.4874586537727279E-3</v>
      </c>
      <c r="H124" s="9">
        <f t="shared" si="25"/>
        <v>5.4389059689731838E-3</v>
      </c>
      <c r="I124" s="9">
        <f t="shared" si="26"/>
        <v>4.3552057600916025E-3</v>
      </c>
      <c r="J124" s="9">
        <f t="shared" si="27"/>
        <v>8.9263646227459113E-3</v>
      </c>
    </row>
    <row r="125" spans="1:10" x14ac:dyDescent="0.25">
      <c r="A125" s="1">
        <v>119</v>
      </c>
      <c r="B125" s="6">
        <v>1.2886908691300001</v>
      </c>
      <c r="C125" s="8">
        <v>1.0468461064800001</v>
      </c>
      <c r="D125" s="9">
        <f t="shared" si="21"/>
        <v>6.4881826687029909E-3</v>
      </c>
      <c r="E125" s="9">
        <f t="shared" si="22"/>
        <v>5.5913483154268343E-3</v>
      </c>
      <c r="F125" s="9">
        <f t="shared" si="23"/>
        <v>4.5202592884170441E-3</v>
      </c>
      <c r="G125" s="9">
        <f t="shared" si="24"/>
        <v>3.5428811399419095E-3</v>
      </c>
      <c r="H125" s="9">
        <f t="shared" si="25"/>
        <v>5.4208066234793968E-3</v>
      </c>
      <c r="I125" s="9">
        <f t="shared" si="26"/>
        <v>4.3823653285891967E-3</v>
      </c>
      <c r="J125" s="9">
        <f t="shared" si="27"/>
        <v>8.9636877634213068E-3</v>
      </c>
    </row>
    <row r="126" spans="1:10" x14ac:dyDescent="0.25">
      <c r="A126" s="1">
        <v>120</v>
      </c>
      <c r="B126" s="6">
        <v>1.2808144266099999</v>
      </c>
      <c r="C126" s="8">
        <v>1.05060297685</v>
      </c>
      <c r="D126" s="9">
        <f t="shared" si="21"/>
        <v>6.5434338636498612E-3</v>
      </c>
      <c r="E126" s="9">
        <f t="shared" si="22"/>
        <v>5.6044626549909219E-3</v>
      </c>
      <c r="F126" s="9">
        <f t="shared" si="23"/>
        <v>4.5748397863809602E-3</v>
      </c>
      <c r="G126" s="9">
        <f t="shared" si="24"/>
        <v>3.5983139167272246E-3</v>
      </c>
      <c r="H126" s="9">
        <f t="shared" si="25"/>
        <v>5.4002780912418835E-3</v>
      </c>
      <c r="I126" s="9">
        <f t="shared" si="26"/>
        <v>4.4081450791309098E-3</v>
      </c>
      <c r="J126" s="9">
        <f t="shared" si="27"/>
        <v>8.9985920079691077E-3</v>
      </c>
    </row>
    <row r="127" spans="1:10" x14ac:dyDescent="0.25">
      <c r="A127" s="1">
        <v>121</v>
      </c>
      <c r="B127" s="6">
        <v>1.2730047501299999</v>
      </c>
      <c r="C127" s="8">
        <v>1.0544967379100001</v>
      </c>
      <c r="D127" s="9">
        <f t="shared" si="21"/>
        <v>6.596027348771849E-3</v>
      </c>
      <c r="E127" s="9">
        <f t="shared" si="22"/>
        <v>5.6150203778650154E-3</v>
      </c>
      <c r="F127" s="9">
        <f t="shared" si="23"/>
        <v>4.6284317634829259E-3</v>
      </c>
      <c r="G127" s="9">
        <f t="shared" si="24"/>
        <v>3.6537455612788215E-3</v>
      </c>
      <c r="H127" s="9">
        <f t="shared" si="25"/>
        <v>5.3774217819837593E-3</v>
      </c>
      <c r="I127" s="9">
        <f t="shared" si="26"/>
        <v>4.4325583159853322E-3</v>
      </c>
      <c r="J127" s="9">
        <f t="shared" si="27"/>
        <v>9.0311673432625812E-3</v>
      </c>
    </row>
    <row r="128" spans="1:10" x14ac:dyDescent="0.25">
      <c r="A128" s="1">
        <v>122</v>
      </c>
      <c r="B128" s="6">
        <v>1.26526421861</v>
      </c>
      <c r="C128" s="8">
        <v>1.05852620357</v>
      </c>
      <c r="D128" s="9">
        <f t="shared" si="21"/>
        <v>6.6459470815976029E-3</v>
      </c>
      <c r="E128" s="9">
        <f t="shared" si="22"/>
        <v>5.6230670817024528E-3</v>
      </c>
      <c r="F128" s="9">
        <f t="shared" si="23"/>
        <v>4.6810128837592628E-3</v>
      </c>
      <c r="G128" s="9">
        <f t="shared" si="24"/>
        <v>3.7091623509275923E-3</v>
      </c>
      <c r="H128" s="9">
        <f t="shared" si="25"/>
        <v>5.3523378475450909E-3</v>
      </c>
      <c r="I128" s="9">
        <f t="shared" si="26"/>
        <v>4.4556175174002618E-3</v>
      </c>
      <c r="J128" s="9">
        <f t="shared" si="27"/>
        <v>9.0615001984726828E-3</v>
      </c>
    </row>
    <row r="129" spans="1:10" x14ac:dyDescent="0.25">
      <c r="A129" s="1">
        <v>123</v>
      </c>
      <c r="B129" s="6">
        <v>1.25759518988</v>
      </c>
      <c r="C129" s="8">
        <v>1.06269014643</v>
      </c>
      <c r="D129" s="9">
        <f t="shared" si="21"/>
        <v>6.6931778878654979E-3</v>
      </c>
      <c r="E129" s="9">
        <f t="shared" si="22"/>
        <v>5.6286489356995664E-3</v>
      </c>
      <c r="F129" s="9">
        <f t="shared" si="23"/>
        <v>4.7325594563995873E-3</v>
      </c>
      <c r="G129" s="9">
        <f t="shared" si="24"/>
        <v>3.7645482714786481E-3</v>
      </c>
      <c r="H129" s="9">
        <f t="shared" si="25"/>
        <v>5.3251251238844695E-3</v>
      </c>
      <c r="I129" s="9">
        <f t="shared" si="26"/>
        <v>4.4773344008931107E-3</v>
      </c>
      <c r="J129" s="9">
        <f t="shared" si="27"/>
        <v>9.0896733953631167E-3</v>
      </c>
    </row>
    <row r="130" spans="1:10" x14ac:dyDescent="0.25">
      <c r="A130" s="1">
        <v>124</v>
      </c>
      <c r="B130" s="6">
        <v>1.25</v>
      </c>
      <c r="C130" s="8">
        <v>1.0669872981099999</v>
      </c>
      <c r="D130" s="9">
        <f t="shared" si="21"/>
        <v>6.7377053643467022E-3</v>
      </c>
      <c r="E130" s="9">
        <f t="shared" si="22"/>
        <v>5.6318125208214874E-3</v>
      </c>
      <c r="F130" s="9">
        <f t="shared" si="23"/>
        <v>4.7830463808017781E-3</v>
      </c>
      <c r="G130" s="9">
        <f t="shared" si="24"/>
        <v>3.8198849314842946E-3</v>
      </c>
      <c r="H130" s="9">
        <f t="shared" si="25"/>
        <v>5.2958809402108174E-3</v>
      </c>
      <c r="I130" s="9">
        <f t="shared" si="26"/>
        <v>4.4977198739229928E-3</v>
      </c>
      <c r="J130" s="9">
        <f t="shared" si="27"/>
        <v>9.1157658716951116E-3</v>
      </c>
    </row>
    <row r="131" spans="1:10" x14ac:dyDescent="0.25">
      <c r="A131" s="1">
        <v>125</v>
      </c>
      <c r="B131" s="6">
        <v>1.24248096254</v>
      </c>
      <c r="C131" s="8">
        <v>1.07141634965</v>
      </c>
      <c r="D131" s="9">
        <f t="shared" si="21"/>
        <v>6.7795159444167252E-3</v>
      </c>
      <c r="E131" s="9">
        <f t="shared" si="22"/>
        <v>5.6326048088983591E-3</v>
      </c>
      <c r="F131" s="9">
        <f t="shared" si="23"/>
        <v>4.8324472085292678E-3</v>
      </c>
      <c r="G131" s="9">
        <f t="shared" si="24"/>
        <v>3.8751515681373929E-3</v>
      </c>
      <c r="H131" s="9">
        <f t="shared" si="25"/>
        <v>5.264701066142255E-3</v>
      </c>
      <c r="I131" s="9">
        <f t="shared" si="26"/>
        <v>4.5167840939509549E-3</v>
      </c>
      <c r="J131" s="9">
        <f t="shared" si="27"/>
        <v>9.1398526342796483E-3</v>
      </c>
    </row>
    <row r="132" spans="1:10" x14ac:dyDescent="0.25">
      <c r="A132" s="1">
        <v>126</v>
      </c>
      <c r="B132" s="6">
        <v>1.2350403678799999</v>
      </c>
      <c r="C132" s="8">
        <v>1.0759759519200001</v>
      </c>
      <c r="D132" s="9">
        <f t="shared" si="21"/>
        <v>6.818596893535811E-3</v>
      </c>
      <c r="E132" s="9">
        <f t="shared" si="22"/>
        <v>5.6310730824235067E-3</v>
      </c>
      <c r="F132" s="9">
        <f t="shared" si="23"/>
        <v>4.8807341588959722E-3</v>
      </c>
      <c r="G132" s="9">
        <f t="shared" si="24"/>
        <v>3.9303250161604507E-3</v>
      </c>
      <c r="H132" s="9">
        <f t="shared" si="25"/>
        <v>5.2316796069977198E-3</v>
      </c>
      <c r="I132" s="9">
        <f t="shared" si="26"/>
        <v>4.5345364813421636E-3</v>
      </c>
      <c r="J132" s="9">
        <f t="shared" si="27"/>
        <v>9.1620046231581705E-3</v>
      </c>
    </row>
    <row r="133" spans="1:10" x14ac:dyDescent="0.25">
      <c r="A133" s="1">
        <v>127</v>
      </c>
      <c r="B133" s="6">
        <v>1.2276804824900001</v>
      </c>
      <c r="C133" s="8">
        <v>1.08066471603</v>
      </c>
      <c r="D133" s="9">
        <f t="shared" si="21"/>
        <v>6.854936319922067E-3</v>
      </c>
      <c r="E133" s="9">
        <f t="shared" si="22"/>
        <v>5.6272648676768903E-3</v>
      </c>
      <c r="F133" s="9">
        <f t="shared" si="23"/>
        <v>4.9278781479171474E-3</v>
      </c>
      <c r="G133" s="9">
        <f t="shared" si="24"/>
        <v>3.9853796869546085E-3</v>
      </c>
      <c r="H133" s="9">
        <f t="shared" si="25"/>
        <v>5.1969089166348332E-3</v>
      </c>
      <c r="I133" s="9">
        <f t="shared" si="26"/>
        <v>4.5509857421344871E-3</v>
      </c>
      <c r="J133" s="9">
        <f t="shared" si="27"/>
        <v>9.1822886035894426E-3</v>
      </c>
    </row>
    <row r="134" spans="1:10" x14ac:dyDescent="0.25">
      <c r="A134" s="1">
        <v>128</v>
      </c>
      <c r="B134" s="6">
        <v>1.22040354826</v>
      </c>
      <c r="C134" s="8">
        <v>1.0854812137200001</v>
      </c>
      <c r="D134" s="9">
        <f t="shared" si="21"/>
        <v>6.8885231356016208E-3</v>
      </c>
      <c r="E134" s="9">
        <f t="shared" si="22"/>
        <v>5.6212278279060808E-3</v>
      </c>
      <c r="F134" s="9">
        <f t="shared" si="23"/>
        <v>4.9738487840573853E-3</v>
      </c>
      <c r="G134" s="9">
        <f t="shared" si="24"/>
        <v>4.0402875205599277E-3</v>
      </c>
      <c r="H134" s="9">
        <f t="shared" si="25"/>
        <v>5.1604794784008987E-3</v>
      </c>
      <c r="I134" s="9">
        <f t="shared" si="26"/>
        <v>4.5661398574323971E-3</v>
      </c>
      <c r="J134" s="9">
        <f t="shared" si="27"/>
        <v>9.2007669989608264E-3</v>
      </c>
    </row>
    <row r="135" spans="1:10" x14ac:dyDescent="0.25">
      <c r="A135" s="1">
        <v>129</v>
      </c>
      <c r="B135" s="6">
        <v>1.2132117818199999</v>
      </c>
      <c r="C135" s="8">
        <v>1.09042397786</v>
      </c>
      <c r="D135" s="9">
        <f t="shared" si="21"/>
        <v>6.9193471293751418E-3</v>
      </c>
      <c r="E135" s="9">
        <f t="shared" si="22"/>
        <v>5.6130097493974612E-3</v>
      </c>
      <c r="F135" s="9">
        <f t="shared" si="23"/>
        <v>5.018614447050514E-3</v>
      </c>
      <c r="G135" s="9">
        <f t="shared" si="24"/>
        <v>4.0950180047865927E-3</v>
      </c>
      <c r="H135" s="9">
        <f t="shared" si="25"/>
        <v>5.1224798768851392E-3</v>
      </c>
      <c r="I135" s="9">
        <f t="shared" si="26"/>
        <v>4.5800061468114642E-3</v>
      </c>
      <c r="J135" s="9">
        <f t="shared" si="27"/>
        <v>9.217497881671732E-3</v>
      </c>
    </row>
    <row r="136" spans="1:10" x14ac:dyDescent="0.25">
      <c r="A136" s="1">
        <v>130</v>
      </c>
      <c r="B136" s="6">
        <v>1.2061073738500001</v>
      </c>
      <c r="C136" s="8">
        <v>1.0954915028100001</v>
      </c>
      <c r="D136" s="9">
        <f t="shared" si="21"/>
        <v>6.9473988864972025E-3</v>
      </c>
      <c r="E136" s="9">
        <f t="shared" si="22"/>
        <v>5.6026584027277036E-3</v>
      </c>
      <c r="F136" s="9">
        <f t="shared" si="23"/>
        <v>5.0621422587945851E-3</v>
      </c>
      <c r="G136" s="9">
        <f t="shared" si="24"/>
        <v>4.149538106981385E-3</v>
      </c>
      <c r="H136" s="9">
        <f t="shared" si="25"/>
        <v>5.0829966592051742E-3</v>
      </c>
      <c r="I136" s="9">
        <f t="shared" si="26"/>
        <v>4.5925912291764782E-3</v>
      </c>
      <c r="J136" s="9">
        <f t="shared" si="27"/>
        <v>9.2325347661865592E-3</v>
      </c>
    </row>
    <row r="137" spans="1:10" x14ac:dyDescent="0.25">
      <c r="A137" s="1">
        <v>131</v>
      </c>
      <c r="B137" s="6">
        <v>1.19909248842</v>
      </c>
      <c r="C137" s="8">
        <v>1.10068224498</v>
      </c>
      <c r="D137" s="9">
        <f t="shared" si="21"/>
        <v>6.9726698943708421E-3</v>
      </c>
      <c r="E137" s="9">
        <f t="shared" si="22"/>
        <v>5.5902215565316413E-3</v>
      </c>
      <c r="F137" s="9">
        <f t="shared" si="23"/>
        <v>5.1043981913409722E-3</v>
      </c>
      <c r="G137" s="9">
        <f t="shared" si="24"/>
        <v>4.2038123177108805E-3</v>
      </c>
      <c r="H137" s="9">
        <f t="shared" si="25"/>
        <v>5.0421143406626946E-3</v>
      </c>
      <c r="I137" s="9">
        <f t="shared" si="26"/>
        <v>4.6039011062077488E-3</v>
      </c>
      <c r="J137" s="9">
        <f t="shared" si="27"/>
        <v>9.2459266583735759E-3</v>
      </c>
    </row>
    <row r="138" spans="1:10" x14ac:dyDescent="0.25">
      <c r="A138" s="1">
        <v>132</v>
      </c>
      <c r="B138" s="6">
        <v>1.19216926234</v>
      </c>
      <c r="C138" s="8">
        <v>1.1059946232</v>
      </c>
      <c r="D138" s="9">
        <f t="shared" si="21"/>
        <v>6.9951524217432004E-3</v>
      </c>
      <c r="E138" s="9">
        <f t="shared" si="22"/>
        <v>5.5757468089502327E-3</v>
      </c>
      <c r="F138" s="9">
        <f t="shared" si="23"/>
        <v>5.1453470128180086E-3</v>
      </c>
      <c r="G138" s="9">
        <f t="shared" si="24"/>
        <v>4.2578025625096784E-3</v>
      </c>
      <c r="H138" s="9">
        <f t="shared" si="25"/>
        <v>4.9999152487728874E-3</v>
      </c>
      <c r="I138" s="9">
        <f t="shared" si="26"/>
        <v>4.6139410950820992E-3</v>
      </c>
      <c r="J138" s="9">
        <f t="shared" si="27"/>
        <v>9.2577178112825658E-3</v>
      </c>
    </row>
    <row r="139" spans="1:10" x14ac:dyDescent="0.25">
      <c r="A139" s="1">
        <v>133</v>
      </c>
      <c r="B139" s="6">
        <v>1.1853398044800001</v>
      </c>
      <c r="C139" s="8">
        <v>1.11142701927</v>
      </c>
      <c r="D139" s="9">
        <f t="shared" si="21"/>
        <v>7.0148396440207206E-3</v>
      </c>
      <c r="E139" s="9">
        <f t="shared" si="22"/>
        <v>5.5592816186492144E-3</v>
      </c>
      <c r="F139" s="9">
        <f t="shared" si="23"/>
        <v>5.1849524150360312E-3</v>
      </c>
      <c r="G139" s="9">
        <f t="shared" si="24"/>
        <v>4.311468263205125E-3</v>
      </c>
      <c r="H139" s="9">
        <f t="shared" si="25"/>
        <v>4.9564795526126785E-3</v>
      </c>
      <c r="I139" s="9">
        <f t="shared" si="26"/>
        <v>4.6227159228004154E-3</v>
      </c>
      <c r="J139" s="9">
        <f t="shared" si="27"/>
        <v>9.2679478158178043E-3</v>
      </c>
    </row>
    <row r="140" spans="1:10" x14ac:dyDescent="0.25">
      <c r="A140" s="1">
        <v>134</v>
      </c>
      <c r="B140" s="6">
        <v>1.17860619516</v>
      </c>
      <c r="C140" s="8">
        <v>1.1169777784399999</v>
      </c>
      <c r="D140" s="9">
        <f t="shared" si="21"/>
        <v>7.0317255623697505E-3</v>
      </c>
      <c r="E140" s="9">
        <f t="shared" si="22"/>
        <v>5.5408731712434343E-3</v>
      </c>
      <c r="F140" s="9">
        <f t="shared" si="23"/>
        <v>5.2231769931215992E-3</v>
      </c>
      <c r="G140" s="9">
        <f t="shared" si="24"/>
        <v>4.3647662787846464E-3</v>
      </c>
      <c r="H140" s="9">
        <f t="shared" si="25"/>
        <v>4.9118851474169748E-3</v>
      </c>
      <c r="I140" s="9">
        <f t="shared" si="26"/>
        <v>4.6302296834338586E-3</v>
      </c>
      <c r="J140" s="9">
        <f t="shared" si="27"/>
        <v>9.2766514262016212E-3</v>
      </c>
    </row>
    <row r="141" spans="1:10" x14ac:dyDescent="0.25">
      <c r="A141" s="1">
        <v>135</v>
      </c>
      <c r="B141" s="6">
        <v>1.1719704854999999</v>
      </c>
      <c r="C141" s="8">
        <v>1.1226452098899999</v>
      </c>
      <c r="D141" s="9">
        <f t="shared" si="21"/>
        <v>7.045805026007268E-3</v>
      </c>
      <c r="E141" s="9">
        <f t="shared" si="22"/>
        <v>5.5205683302032345E-3</v>
      </c>
      <c r="F141" s="9">
        <f t="shared" si="23"/>
        <v>5.2599823025123102E-3</v>
      </c>
      <c r="G141" s="9">
        <f t="shared" si="24"/>
        <v>4.4176509106642415E-3</v>
      </c>
      <c r="H141" s="9">
        <f t="shared" si="25"/>
        <v>4.8662076197544899E-3</v>
      </c>
      <c r="I141" s="9">
        <f t="shared" si="26"/>
        <v>4.636485862254622E-3</v>
      </c>
      <c r="J141" s="9">
        <f t="shared" si="27"/>
        <v>9.2838585304187322E-3</v>
      </c>
    </row>
    <row r="142" spans="1:10" x14ac:dyDescent="0.25">
      <c r="A142" s="1">
        <v>136</v>
      </c>
      <c r="B142" s="6">
        <v>1.16543469682</v>
      </c>
      <c r="C142" s="8">
        <v>1.12842758726</v>
      </c>
      <c r="D142" s="9">
        <f t="shared" si="21"/>
        <v>7.0570737340591716E-3</v>
      </c>
      <c r="E142" s="9">
        <f t="shared" si="22"/>
        <v>5.4984135726680872E-3</v>
      </c>
      <c r="F142" s="9">
        <f t="shared" si="23"/>
        <v>5.2953289034074584E-3</v>
      </c>
      <c r="G142" s="9">
        <f t="shared" si="24"/>
        <v>4.4700738990554731E-3</v>
      </c>
      <c r="H142" s="9">
        <f t="shared" si="25"/>
        <v>4.8195202028068701E-3</v>
      </c>
      <c r="I142" s="9">
        <f t="shared" si="26"/>
        <v>4.6414873451871737E-3</v>
      </c>
      <c r="J142" s="9">
        <f t="shared" si="27"/>
        <v>9.2895941018623432E-3</v>
      </c>
    </row>
    <row r="143" spans="1:10" x14ac:dyDescent="0.25">
      <c r="A143" s="1">
        <v>137</v>
      </c>
      <c r="B143" s="6">
        <v>1.1590008199699999</v>
      </c>
      <c r="C143" s="8">
        <v>1.1343231491900001</v>
      </c>
      <c r="D143" s="9">
        <f t="shared" si="21"/>
        <v>7.0655282805233144E-3</v>
      </c>
      <c r="E143" s="9">
        <f t="shared" si="22"/>
        <v>5.4744549600441901E-3</v>
      </c>
      <c r="F143" s="9">
        <f t="shared" si="23"/>
        <v>5.3291764400541439E-3</v>
      </c>
      <c r="G143" s="9">
        <f t="shared" si="24"/>
        <v>4.5219844504501205E-3</v>
      </c>
      <c r="H143" s="9">
        <f t="shared" si="25"/>
        <v>4.7718937655696859E-3</v>
      </c>
      <c r="I143" s="9">
        <f t="shared" si="26"/>
        <v>4.6452364553212933E-3</v>
      </c>
      <c r="J143" s="9">
        <f t="shared" si="27"/>
        <v>9.2938782160198064E-3</v>
      </c>
    </row>
    <row r="144" spans="1:10" x14ac:dyDescent="0.25">
      <c r="A144" s="1">
        <v>138</v>
      </c>
      <c r="B144" s="6">
        <v>1.15267081477</v>
      </c>
      <c r="C144" s="8">
        <v>1.1403300998300001</v>
      </c>
      <c r="D144" s="9">
        <f t="shared" si="21"/>
        <v>7.0711660750660821E-3</v>
      </c>
      <c r="E144" s="9">
        <f t="shared" si="22"/>
        <v>5.4487380134220125E-3</v>
      </c>
      <c r="F144" s="9">
        <f t="shared" si="23"/>
        <v>5.3614836290030209E-3</v>
      </c>
      <c r="G144" s="9">
        <f t="shared" si="24"/>
        <v>4.5733291899426364E-3</v>
      </c>
      <c r="H144" s="9">
        <f t="shared" si="25"/>
        <v>4.7233967221302952E-3</v>
      </c>
      <c r="I144" s="9">
        <f t="shared" si="26"/>
        <v>4.6477349063908362E-3</v>
      </c>
      <c r="J144" s="9">
        <f t="shared" si="27"/>
        <v>9.2967259120729315E-3</v>
      </c>
    </row>
    <row r="145" spans="1:10" x14ac:dyDescent="0.25">
      <c r="A145" s="1">
        <v>139</v>
      </c>
      <c r="B145" s="6">
        <v>1.1464466094100001</v>
      </c>
      <c r="C145" s="8">
        <v>1.1464466094100001</v>
      </c>
      <c r="D145" s="9">
        <f t="shared" si="21"/>
        <v>7.0739854003291081E-3</v>
      </c>
      <c r="E145" s="9">
        <f t="shared" si="22"/>
        <v>5.4213076974305285E-3</v>
      </c>
      <c r="F145" s="9">
        <f t="shared" si="23"/>
        <v>5.3922083516588001E-3</v>
      </c>
      <c r="G145" s="9">
        <f t="shared" si="24"/>
        <v>4.6240522033012387E-3</v>
      </c>
      <c r="H145" s="9">
        <f t="shared" si="25"/>
        <v>4.6740950396836787E-3</v>
      </c>
      <c r="I145" s="9">
        <f t="shared" si="26"/>
        <v>4.648983844809682E-3</v>
      </c>
      <c r="J145" s="9">
        <f t="shared" si="27"/>
        <v>9.2981472429849166E-3</v>
      </c>
    </row>
    <row r="146" spans="1:10" x14ac:dyDescent="0.25">
      <c r="A146" s="1">
        <v>140</v>
      </c>
      <c r="B146" s="6">
        <v>1.1403300998300001</v>
      </c>
      <c r="C146" s="8">
        <v>1.15267081477</v>
      </c>
      <c r="D146" s="9">
        <f t="shared" si="21"/>
        <v>7.0739854003291081E-3</v>
      </c>
      <c r="E146" s="9">
        <f t="shared" si="22"/>
        <v>5.3922083516588001E-3</v>
      </c>
      <c r="F146" s="9">
        <f t="shared" si="23"/>
        <v>5.4213076974305285E-3</v>
      </c>
      <c r="G146" s="9">
        <f t="shared" si="24"/>
        <v>4.6740950396836787E-3</v>
      </c>
      <c r="H146" s="9">
        <f t="shared" si="25"/>
        <v>4.6240522033012396E-3</v>
      </c>
      <c r="I146" s="9">
        <f t="shared" si="26"/>
        <v>4.648983844809682E-3</v>
      </c>
      <c r="J146" s="9">
        <f t="shared" si="27"/>
        <v>9.2981472429849183E-3</v>
      </c>
    </row>
    <row r="147" spans="1:10" x14ac:dyDescent="0.25">
      <c r="A147" s="1">
        <v>141</v>
      </c>
      <c r="B147" s="6">
        <v>1.1343231491900001</v>
      </c>
      <c r="C147" s="8">
        <v>1.1590008199699999</v>
      </c>
      <c r="D147" s="9">
        <f t="shared" si="21"/>
        <v>7.0711660750660821E-3</v>
      </c>
      <c r="E147" s="9">
        <f t="shared" si="22"/>
        <v>5.3614836290030209E-3</v>
      </c>
      <c r="F147" s="9">
        <f t="shared" si="23"/>
        <v>5.4487380134220125E-3</v>
      </c>
      <c r="G147" s="9">
        <f t="shared" si="24"/>
        <v>4.7233967221302952E-3</v>
      </c>
      <c r="H147" s="9">
        <f t="shared" si="25"/>
        <v>4.5733291899426364E-3</v>
      </c>
      <c r="I147" s="9">
        <f t="shared" si="26"/>
        <v>4.6477349063908354E-3</v>
      </c>
      <c r="J147" s="9">
        <f t="shared" si="27"/>
        <v>9.2967259120729315E-3</v>
      </c>
    </row>
    <row r="148" spans="1:10" x14ac:dyDescent="0.25">
      <c r="A148" s="1">
        <v>142</v>
      </c>
      <c r="B148" s="6">
        <v>1.12842758726</v>
      </c>
      <c r="C148" s="8">
        <v>1.16543469682</v>
      </c>
      <c r="D148" s="9">
        <f t="shared" si="21"/>
        <v>7.0655282805233144E-3</v>
      </c>
      <c r="E148" s="9">
        <f t="shared" si="22"/>
        <v>5.3291764400541439E-3</v>
      </c>
      <c r="F148" s="9">
        <f t="shared" si="23"/>
        <v>5.4744549600441901E-3</v>
      </c>
      <c r="G148" s="9">
        <f t="shared" si="24"/>
        <v>4.7718937655696876E-3</v>
      </c>
      <c r="H148" s="9">
        <f t="shared" si="25"/>
        <v>4.5219844504501205E-3</v>
      </c>
      <c r="I148" s="9">
        <f t="shared" si="26"/>
        <v>4.6452364553212933E-3</v>
      </c>
      <c r="J148" s="9">
        <f t="shared" si="27"/>
        <v>9.2938782160198082E-3</v>
      </c>
    </row>
    <row r="149" spans="1:10" x14ac:dyDescent="0.25">
      <c r="A149" s="1">
        <v>143</v>
      </c>
      <c r="B149" s="6">
        <v>1.1226452098899999</v>
      </c>
      <c r="C149" s="8">
        <v>1.1719704854999999</v>
      </c>
      <c r="D149" s="9">
        <f t="shared" si="21"/>
        <v>7.0570737340591716E-3</v>
      </c>
      <c r="E149" s="9">
        <f t="shared" si="22"/>
        <v>5.2953289034074584E-3</v>
      </c>
      <c r="F149" s="9">
        <f t="shared" si="23"/>
        <v>5.4984135726680872E-3</v>
      </c>
      <c r="G149" s="9">
        <f t="shared" si="24"/>
        <v>4.8195202028068701E-3</v>
      </c>
      <c r="H149" s="9">
        <f t="shared" si="25"/>
        <v>4.4700738990554731E-3</v>
      </c>
      <c r="I149" s="9">
        <f t="shared" si="26"/>
        <v>4.6414873451871737E-3</v>
      </c>
      <c r="J149" s="9">
        <f t="shared" si="27"/>
        <v>9.2895941018623432E-3</v>
      </c>
    </row>
    <row r="150" spans="1:10" x14ac:dyDescent="0.25">
      <c r="A150" s="1">
        <v>144</v>
      </c>
      <c r="B150" s="6">
        <v>1.1169777784399999</v>
      </c>
      <c r="C150" s="8">
        <v>1.17860619516</v>
      </c>
      <c r="D150" s="9">
        <f t="shared" si="21"/>
        <v>7.045805026007268E-3</v>
      </c>
      <c r="E150" s="9">
        <f t="shared" si="22"/>
        <v>5.2599823025123102E-3</v>
      </c>
      <c r="F150" s="9">
        <f t="shared" si="23"/>
        <v>5.5205683302032345E-3</v>
      </c>
      <c r="G150" s="9">
        <f t="shared" si="24"/>
        <v>4.8662076197544899E-3</v>
      </c>
      <c r="H150" s="9">
        <f t="shared" si="25"/>
        <v>4.4176509106642415E-3</v>
      </c>
      <c r="I150" s="9">
        <f t="shared" si="26"/>
        <v>4.636485862254622E-3</v>
      </c>
      <c r="J150" s="9">
        <f t="shared" si="27"/>
        <v>9.2838585304187322E-3</v>
      </c>
    </row>
    <row r="151" spans="1:10" x14ac:dyDescent="0.25">
      <c r="A151" s="1">
        <v>145</v>
      </c>
      <c r="B151" s="6">
        <v>1.11142701927</v>
      </c>
      <c r="C151" s="8">
        <v>1.1853398044800001</v>
      </c>
      <c r="D151" s="9">
        <f t="shared" si="21"/>
        <v>7.0317255623697505E-3</v>
      </c>
      <c r="E151" s="9">
        <f t="shared" si="22"/>
        <v>5.2231769931215992E-3</v>
      </c>
      <c r="F151" s="9">
        <f t="shared" si="23"/>
        <v>5.5408731712434343E-3</v>
      </c>
      <c r="G151" s="9">
        <f t="shared" si="24"/>
        <v>4.9118851474169748E-3</v>
      </c>
      <c r="H151" s="9">
        <f t="shared" si="25"/>
        <v>4.3647662787846464E-3</v>
      </c>
      <c r="I151" s="9">
        <f t="shared" si="26"/>
        <v>4.6302296834338586E-3</v>
      </c>
      <c r="J151" s="9">
        <f t="shared" si="27"/>
        <v>9.2766514262016212E-3</v>
      </c>
    </row>
    <row r="152" spans="1:10" x14ac:dyDescent="0.25">
      <c r="A152" s="1">
        <v>146</v>
      </c>
      <c r="B152" s="6">
        <v>1.1059946232</v>
      </c>
      <c r="C152" s="8">
        <v>1.19216926234</v>
      </c>
      <c r="D152" s="9">
        <f t="shared" si="21"/>
        <v>7.0148396440207206E-3</v>
      </c>
      <c r="E152" s="9">
        <f t="shared" si="22"/>
        <v>5.1849524150360312E-3</v>
      </c>
      <c r="F152" s="9">
        <f t="shared" si="23"/>
        <v>5.5592816186492144E-3</v>
      </c>
      <c r="G152" s="9">
        <f t="shared" si="24"/>
        <v>4.9564795526126785E-3</v>
      </c>
      <c r="H152" s="9">
        <f t="shared" si="25"/>
        <v>4.311468263205125E-3</v>
      </c>
      <c r="I152" s="9">
        <f t="shared" si="26"/>
        <v>4.6227159228004154E-3</v>
      </c>
      <c r="J152" s="9">
        <f t="shared" si="27"/>
        <v>9.2679478158178043E-3</v>
      </c>
    </row>
    <row r="153" spans="1:10" x14ac:dyDescent="0.25">
      <c r="A153" s="1">
        <v>147</v>
      </c>
      <c r="B153" s="6">
        <v>1.10068224498</v>
      </c>
      <c r="C153" s="8">
        <v>1.19909248842</v>
      </c>
      <c r="D153" s="9">
        <f t="shared" si="21"/>
        <v>6.9951524217432004E-3</v>
      </c>
      <c r="E153" s="9">
        <f t="shared" si="22"/>
        <v>5.1453470128180086E-3</v>
      </c>
      <c r="F153" s="9">
        <f t="shared" si="23"/>
        <v>5.5757468089502327E-3</v>
      </c>
      <c r="G153" s="9">
        <f t="shared" si="24"/>
        <v>4.9999152487728874E-3</v>
      </c>
      <c r="H153" s="9">
        <f t="shared" si="25"/>
        <v>4.2578025625096784E-3</v>
      </c>
      <c r="I153" s="9">
        <f t="shared" si="26"/>
        <v>4.6139410950820992E-3</v>
      </c>
      <c r="J153" s="9">
        <f t="shared" si="27"/>
        <v>9.2577178112825658E-3</v>
      </c>
    </row>
    <row r="154" spans="1:10" x14ac:dyDescent="0.25">
      <c r="A154" s="1">
        <v>148</v>
      </c>
      <c r="B154" s="6">
        <v>1.0954915028100001</v>
      </c>
      <c r="C154" s="8">
        <v>1.2061073738500001</v>
      </c>
      <c r="D154" s="9">
        <f t="shared" si="21"/>
        <v>6.9726698943708421E-3</v>
      </c>
      <c r="E154" s="9">
        <f t="shared" si="22"/>
        <v>5.1043981913409722E-3</v>
      </c>
      <c r="F154" s="9">
        <f t="shared" si="23"/>
        <v>5.5902215565316413E-3</v>
      </c>
      <c r="G154" s="9">
        <f t="shared" si="24"/>
        <v>5.0421143406626946E-3</v>
      </c>
      <c r="H154" s="9">
        <f t="shared" si="25"/>
        <v>4.2038123177108797E-3</v>
      </c>
      <c r="I154" s="9">
        <f t="shared" si="26"/>
        <v>4.6039011062077488E-3</v>
      </c>
      <c r="J154" s="9">
        <f t="shared" si="27"/>
        <v>9.2459266583735742E-3</v>
      </c>
    </row>
    <row r="155" spans="1:10" x14ac:dyDescent="0.25">
      <c r="A155" s="1">
        <v>149</v>
      </c>
      <c r="B155" s="6">
        <v>1.09042397786</v>
      </c>
      <c r="C155" s="8">
        <v>1.2132117818199999</v>
      </c>
      <c r="D155" s="9">
        <f t="shared" si="21"/>
        <v>6.9473988864972025E-3</v>
      </c>
      <c r="E155" s="9">
        <f t="shared" si="22"/>
        <v>5.0621422587945851E-3</v>
      </c>
      <c r="F155" s="9">
        <f t="shared" si="23"/>
        <v>5.6026584027277036E-3</v>
      </c>
      <c r="G155" s="9">
        <f t="shared" si="24"/>
        <v>5.0829966592051742E-3</v>
      </c>
      <c r="H155" s="9">
        <f t="shared" si="25"/>
        <v>4.1495381069813859E-3</v>
      </c>
      <c r="I155" s="9">
        <f t="shared" si="26"/>
        <v>4.5925912291764782E-3</v>
      </c>
      <c r="J155" s="9">
        <f t="shared" si="27"/>
        <v>9.2325347661865592E-3</v>
      </c>
    </row>
    <row r="156" spans="1:10" x14ac:dyDescent="0.25">
      <c r="A156" s="1">
        <v>150</v>
      </c>
      <c r="B156" s="6">
        <v>1.0854812137200001</v>
      </c>
      <c r="C156" s="8">
        <v>1.22040354826</v>
      </c>
      <c r="D156" s="9">
        <f t="shared" si="21"/>
        <v>6.9193471293751418E-3</v>
      </c>
      <c r="E156" s="9">
        <f t="shared" si="22"/>
        <v>5.018614447050514E-3</v>
      </c>
      <c r="F156" s="9">
        <f t="shared" si="23"/>
        <v>5.6130097493974612E-3</v>
      </c>
      <c r="G156" s="9">
        <f t="shared" si="24"/>
        <v>5.1224798768851392E-3</v>
      </c>
      <c r="H156" s="9">
        <f t="shared" si="25"/>
        <v>4.0950180047865927E-3</v>
      </c>
      <c r="I156" s="9">
        <f t="shared" si="26"/>
        <v>4.5800061468114642E-3</v>
      </c>
      <c r="J156" s="9">
        <f t="shared" si="27"/>
        <v>9.217497881671732E-3</v>
      </c>
    </row>
    <row r="157" spans="1:10" x14ac:dyDescent="0.25">
      <c r="A157" s="1">
        <v>151</v>
      </c>
      <c r="B157" s="6">
        <v>1.08066471603</v>
      </c>
      <c r="C157" s="8">
        <v>1.2276804824900001</v>
      </c>
      <c r="D157" s="9">
        <f t="shared" si="21"/>
        <v>6.8885231356016208E-3</v>
      </c>
      <c r="E157" s="9">
        <f t="shared" si="22"/>
        <v>4.9738487840573853E-3</v>
      </c>
      <c r="F157" s="9">
        <f t="shared" si="23"/>
        <v>5.6212278279060808E-3</v>
      </c>
      <c r="G157" s="9">
        <f t="shared" si="24"/>
        <v>5.1604794784008987E-3</v>
      </c>
      <c r="H157" s="9">
        <f t="shared" si="25"/>
        <v>4.0402875205599277E-3</v>
      </c>
      <c r="I157" s="9">
        <f t="shared" si="26"/>
        <v>4.5661398574323971E-3</v>
      </c>
      <c r="J157" s="9">
        <f t="shared" si="27"/>
        <v>9.2007669989608264E-3</v>
      </c>
    </row>
    <row r="158" spans="1:10" x14ac:dyDescent="0.25">
      <c r="A158" s="1">
        <v>152</v>
      </c>
      <c r="B158" s="6">
        <v>1.0759759519200001</v>
      </c>
      <c r="C158" s="8">
        <v>1.2350403678799999</v>
      </c>
      <c r="D158" s="9">
        <f t="shared" si="21"/>
        <v>6.854936319922067E-3</v>
      </c>
      <c r="E158" s="9">
        <f t="shared" si="22"/>
        <v>4.9278781479171474E-3</v>
      </c>
      <c r="F158" s="9">
        <f t="shared" si="23"/>
        <v>5.6272648676768903E-3</v>
      </c>
      <c r="G158" s="9">
        <f t="shared" si="24"/>
        <v>5.1969089166348332E-3</v>
      </c>
      <c r="H158" s="9">
        <f t="shared" si="25"/>
        <v>3.9853796869546085E-3</v>
      </c>
      <c r="I158" s="9">
        <f t="shared" si="26"/>
        <v>4.5509857421344871E-3</v>
      </c>
      <c r="J158" s="9">
        <f t="shared" si="27"/>
        <v>9.1822886035894426E-3</v>
      </c>
    </row>
    <row r="159" spans="1:10" x14ac:dyDescent="0.25">
      <c r="A159" s="1">
        <v>153</v>
      </c>
      <c r="B159" s="6">
        <v>1.07141634965</v>
      </c>
      <c r="C159" s="8">
        <v>1.24248096254</v>
      </c>
      <c r="D159" s="9">
        <f t="shared" si="21"/>
        <v>6.818596893535811E-3</v>
      </c>
      <c r="E159" s="9">
        <f t="shared" si="22"/>
        <v>4.8807341588959722E-3</v>
      </c>
      <c r="F159" s="9">
        <f t="shared" si="23"/>
        <v>5.6310730824235067E-3</v>
      </c>
      <c r="G159" s="9">
        <f t="shared" si="24"/>
        <v>5.2316796069977198E-3</v>
      </c>
      <c r="H159" s="9">
        <f t="shared" si="25"/>
        <v>3.9303250161604516E-3</v>
      </c>
      <c r="I159" s="9">
        <f t="shared" si="26"/>
        <v>4.5345364813421636E-3</v>
      </c>
      <c r="J159" s="9">
        <f t="shared" si="27"/>
        <v>9.1620046231581723E-3</v>
      </c>
    </row>
    <row r="160" spans="1:10" x14ac:dyDescent="0.25">
      <c r="A160" s="1">
        <v>154</v>
      </c>
      <c r="B160" s="6">
        <v>1.0669872981099999</v>
      </c>
      <c r="C160" s="8">
        <v>1.25</v>
      </c>
      <c r="D160" s="9">
        <f t="shared" si="21"/>
        <v>6.7795159444167252E-3</v>
      </c>
      <c r="E160" s="9">
        <f t="shared" si="22"/>
        <v>4.8324472085292678E-3</v>
      </c>
      <c r="F160" s="9">
        <f t="shared" si="23"/>
        <v>5.6326048088983591E-3</v>
      </c>
      <c r="G160" s="9">
        <f t="shared" si="24"/>
        <v>5.264701066142255E-3</v>
      </c>
      <c r="H160" s="9">
        <f t="shared" si="25"/>
        <v>3.8751515681373929E-3</v>
      </c>
      <c r="I160" s="9">
        <f t="shared" si="26"/>
        <v>4.5167840939509549E-3</v>
      </c>
      <c r="J160" s="9">
        <f t="shared" si="27"/>
        <v>9.1398526342796483E-3</v>
      </c>
    </row>
    <row r="161" spans="1:10" x14ac:dyDescent="0.25">
      <c r="A161" s="1">
        <v>155</v>
      </c>
      <c r="B161" s="6">
        <v>1.06269014643</v>
      </c>
      <c r="C161" s="8">
        <v>1.25759518988</v>
      </c>
      <c r="D161" s="9">
        <f t="shared" si="21"/>
        <v>6.7377053643467022E-3</v>
      </c>
      <c r="E161" s="9">
        <f t="shared" si="22"/>
        <v>4.7830463808017781E-3</v>
      </c>
      <c r="F161" s="9">
        <f t="shared" si="23"/>
        <v>5.6318125208214874E-3</v>
      </c>
      <c r="G161" s="9">
        <f t="shared" si="24"/>
        <v>5.2958809402108174E-3</v>
      </c>
      <c r="H161" s="9">
        <f t="shared" si="25"/>
        <v>3.8198849314842946E-3</v>
      </c>
      <c r="I161" s="9">
        <f t="shared" si="26"/>
        <v>4.4977198739229928E-3</v>
      </c>
      <c r="J161" s="9">
        <f t="shared" si="27"/>
        <v>9.1157658716951116E-3</v>
      </c>
    </row>
    <row r="162" spans="1:10" x14ac:dyDescent="0.25">
      <c r="A162" s="1">
        <v>156</v>
      </c>
      <c r="B162" s="6">
        <v>1.05852620357</v>
      </c>
      <c r="C162" s="8">
        <v>1.26526421861</v>
      </c>
      <c r="D162" s="9">
        <f t="shared" si="21"/>
        <v>6.6931778878654979E-3</v>
      </c>
      <c r="E162" s="9">
        <f t="shared" si="22"/>
        <v>4.7325594563995873E-3</v>
      </c>
      <c r="F162" s="9">
        <f t="shared" si="23"/>
        <v>5.6286489356995664E-3</v>
      </c>
      <c r="G162" s="9">
        <f t="shared" si="24"/>
        <v>5.3251251238844695E-3</v>
      </c>
      <c r="H162" s="9">
        <f t="shared" si="25"/>
        <v>3.7645482714786481E-3</v>
      </c>
      <c r="I162" s="9">
        <f t="shared" si="26"/>
        <v>4.4773344008931107E-3</v>
      </c>
      <c r="J162" s="9">
        <f t="shared" si="27"/>
        <v>9.0896733953631167E-3</v>
      </c>
    </row>
    <row r="163" spans="1:10" x14ac:dyDescent="0.25">
      <c r="A163" s="1">
        <v>157</v>
      </c>
      <c r="B163" s="6">
        <v>1.0544967379100001</v>
      </c>
      <c r="C163" s="8">
        <v>1.2730047501299999</v>
      </c>
      <c r="D163" s="9">
        <f t="shared" si="21"/>
        <v>6.6459470815976029E-3</v>
      </c>
      <c r="E163" s="9">
        <f t="shared" si="22"/>
        <v>4.6810128837592628E-3</v>
      </c>
      <c r="F163" s="9">
        <f t="shared" si="23"/>
        <v>5.6230670817024528E-3</v>
      </c>
      <c r="G163" s="9">
        <f t="shared" si="24"/>
        <v>5.3523378475450909E-3</v>
      </c>
      <c r="H163" s="9">
        <f t="shared" si="25"/>
        <v>3.7091623509275923E-3</v>
      </c>
      <c r="I163" s="9">
        <f t="shared" si="26"/>
        <v>4.4556175174002618E-3</v>
      </c>
      <c r="J163" s="9">
        <f t="shared" si="27"/>
        <v>9.0615001984726828E-3</v>
      </c>
    </row>
    <row r="164" spans="1:10" x14ac:dyDescent="0.25">
      <c r="A164" s="1">
        <v>158</v>
      </c>
      <c r="B164" s="6">
        <v>1.05060297685</v>
      </c>
      <c r="C164" s="8">
        <v>1.2808144266099999</v>
      </c>
      <c r="D164" s="9">
        <f t="shared" si="21"/>
        <v>6.596027348771849E-3</v>
      </c>
      <c r="E164" s="9">
        <f t="shared" si="22"/>
        <v>4.6284317634829259E-3</v>
      </c>
      <c r="F164" s="9">
        <f t="shared" si="23"/>
        <v>5.6150203778650154E-3</v>
      </c>
      <c r="G164" s="9">
        <f t="shared" si="24"/>
        <v>5.3774217819837593E-3</v>
      </c>
      <c r="H164" s="9">
        <f t="shared" si="25"/>
        <v>3.6537455612788215E-3</v>
      </c>
      <c r="I164" s="9">
        <f t="shared" si="26"/>
        <v>4.4325583159853322E-3</v>
      </c>
      <c r="J164" s="9">
        <f t="shared" si="27"/>
        <v>9.0311673432625812E-3</v>
      </c>
    </row>
    <row r="165" spans="1:10" x14ac:dyDescent="0.25">
      <c r="A165" s="1">
        <v>159</v>
      </c>
      <c r="B165" s="6">
        <v>1.0468461064800001</v>
      </c>
      <c r="C165" s="8">
        <v>1.2886908691300001</v>
      </c>
      <c r="D165" s="9">
        <f t="shared" si="21"/>
        <v>6.5434338636498612E-3</v>
      </c>
      <c r="E165" s="9">
        <f t="shared" si="22"/>
        <v>4.5748397863809602E-3</v>
      </c>
      <c r="F165" s="9">
        <f t="shared" si="23"/>
        <v>5.6044626549909219E-3</v>
      </c>
      <c r="G165" s="9">
        <f t="shared" si="24"/>
        <v>5.4002780912418844E-3</v>
      </c>
      <c r="H165" s="9">
        <f t="shared" si="25"/>
        <v>3.5983139167272246E-3</v>
      </c>
      <c r="I165" s="9">
        <f t="shared" si="26"/>
        <v>4.4081450791309098E-3</v>
      </c>
      <c r="J165" s="9">
        <f t="shared" si="27"/>
        <v>8.9985920079691094E-3</v>
      </c>
    </row>
    <row r="166" spans="1:10" x14ac:dyDescent="0.25">
      <c r="A166" s="1">
        <v>160</v>
      </c>
      <c r="B166" s="6">
        <v>1.0432272711799999</v>
      </c>
      <c r="C166" s="8">
        <v>1.29663167846</v>
      </c>
      <c r="D166" s="9">
        <f t="shared" si="21"/>
        <v>6.4881826687029909E-3</v>
      </c>
      <c r="E166" s="9">
        <f t="shared" si="22"/>
        <v>4.5202592884170441E-3</v>
      </c>
      <c r="F166" s="9">
        <f t="shared" si="23"/>
        <v>5.5913483154268343E-3</v>
      </c>
      <c r="G166" s="9">
        <f t="shared" si="24"/>
        <v>5.4208066234793968E-3</v>
      </c>
      <c r="H166" s="9">
        <f t="shared" si="25"/>
        <v>3.5428811399419095E-3</v>
      </c>
      <c r="I166" s="9">
        <f t="shared" si="26"/>
        <v>4.3823653285891958E-3</v>
      </c>
      <c r="J166" s="9">
        <f t="shared" si="27"/>
        <v>8.9636877634213068E-3</v>
      </c>
    </row>
    <row r="167" spans="1:10" x14ac:dyDescent="0.25">
      <c r="A167" s="1">
        <v>161</v>
      </c>
      <c r="B167" s="6">
        <v>1.0397475732699999</v>
      </c>
      <c r="C167" s="8">
        <v>1.3046344357599999</v>
      </c>
      <c r="D167" s="9">
        <f t="shared" si="21"/>
        <v>6.4302906007859262E-3</v>
      </c>
      <c r="E167" s="9">
        <f t="shared" si="22"/>
        <v>4.4647111879801199E-3</v>
      </c>
      <c r="F167" s="9">
        <f t="shared" si="23"/>
        <v>5.5756323481372643E-3</v>
      </c>
      <c r="G167" s="9">
        <f t="shared" si="24"/>
        <v>5.4389059689731838E-3</v>
      </c>
      <c r="H167" s="9">
        <f t="shared" si="25"/>
        <v>3.4874586537727279E-3</v>
      </c>
      <c r="I167" s="9">
        <f t="shared" si="26"/>
        <v>4.3552057600916025E-3</v>
      </c>
      <c r="J167" s="9">
        <f t="shared" si="27"/>
        <v>8.9263646227459113E-3</v>
      </c>
    </row>
    <row r="168" spans="1:10" x14ac:dyDescent="0.25">
      <c r="A168" s="1">
        <v>162</v>
      </c>
      <c r="B168" s="6">
        <v>1.03640807272</v>
      </c>
      <c r="C168" s="8">
        <v>1.3126967032900001</v>
      </c>
      <c r="D168" s="9">
        <f t="shared" si="21"/>
        <v>6.3697752575702093E-3</v>
      </c>
      <c r="E168" s="9">
        <f t="shared" si="22"/>
        <v>4.408214954897266E-3</v>
      </c>
      <c r="F168" s="9">
        <f t="shared" si="23"/>
        <v>5.5572703767962474E-3</v>
      </c>
      <c r="G168" s="9">
        <f t="shared" si="24"/>
        <v>5.4544735535073724E-3</v>
      </c>
      <c r="H168" s="9">
        <f t="shared" si="25"/>
        <v>3.4320555976475996E-3</v>
      </c>
      <c r="I168" s="9">
        <f t="shared" si="26"/>
        <v>4.3266522050923349E-3</v>
      </c>
      <c r="J168" s="9">
        <f t="shared" si="27"/>
        <v>8.8865291511549711E-3</v>
      </c>
    </row>
    <row r="169" spans="1:10" x14ac:dyDescent="0.25">
      <c r="A169" s="1">
        <v>163</v>
      </c>
      <c r="B169" s="6">
        <v>1.0332097867500001</v>
      </c>
      <c r="C169" s="8">
        <v>1.3208160252300001</v>
      </c>
      <c r="D169" s="9">
        <f t="shared" si="21"/>
        <v>6.30665512631301E-3</v>
      </c>
      <c r="E169" s="9">
        <f t="shared" si="22"/>
        <v>4.3507886943118116E-3</v>
      </c>
      <c r="F169" s="9">
        <f t="shared" si="23"/>
        <v>5.5362188498437404E-3</v>
      </c>
      <c r="G169" s="9">
        <f t="shared" si="24"/>
        <v>5.4674058765208471E-3</v>
      </c>
      <c r="H169" s="9">
        <f t="shared" si="25"/>
        <v>3.3766789321556384E-3</v>
      </c>
      <c r="I169" s="9">
        <f t="shared" si="26"/>
        <v>4.2966897033110477E-3</v>
      </c>
      <c r="J169" s="9">
        <f t="shared" si="27"/>
        <v>8.8440848086764855E-3</v>
      </c>
    </row>
    <row r="170" spans="1:10" x14ac:dyDescent="0.25">
      <c r="A170" s="1">
        <v>164</v>
      </c>
      <c r="B170" s="6">
        <v>1.0301536896100001</v>
      </c>
      <c r="C170" s="8">
        <v>1.32898992834</v>
      </c>
      <c r="D170" s="9">
        <f t="shared" si="21"/>
        <v>6.2409493831848684E-3</v>
      </c>
      <c r="E170" s="9">
        <f t="shared" si="22"/>
        <v>4.2924490050250431E-3</v>
      </c>
      <c r="F170" s="9">
        <f t="shared" si="23"/>
        <v>5.512434943830761E-3</v>
      </c>
      <c r="G170" s="9">
        <f t="shared" si="24"/>
        <v>5.4775984737541576E-3</v>
      </c>
      <c r="H170" s="9">
        <f t="shared" si="25"/>
        <v>3.3213333666141237E-3</v>
      </c>
      <c r="I170" s="9">
        <f t="shared" si="26"/>
        <v>4.2653023524905596E-3</v>
      </c>
      <c r="J170" s="9">
        <f t="shared" si="27"/>
        <v>8.7989318403682813E-3</v>
      </c>
    </row>
    <row r="171" spans="1:10" x14ac:dyDescent="0.25">
      <c r="A171" s="1">
        <v>165</v>
      </c>
      <c r="B171" s="6">
        <v>1.0272407122</v>
      </c>
      <c r="C171" s="8">
        <v>1.33721592277</v>
      </c>
      <c r="D171" s="9">
        <f t="shared" ref="D171:D234" si="28">((B170*C171)-(B171*C170))*0.5</f>
        <v>6.172678076074023E-3</v>
      </c>
      <c r="E171" s="9">
        <f t="shared" ref="E171:E234" si="29">(B171+B170)*((B170*C171)-(B171*C170))*(1/6)</f>
        <v>4.2332111059633377E-3</v>
      </c>
      <c r="F171" s="9">
        <f t="shared" ref="F171:F234" si="30">(C171+C170)*((B170*C171)-(B171*C170))*(1/6)</f>
        <v>5.4858768011489924E-3</v>
      </c>
      <c r="G171" s="9">
        <f t="shared" ref="G171:G234" si="31">(((C170*C170)+(C170*C171)+(C171*C171))*((B170*C171)-(B171*C170)))/12</f>
        <v>5.4849462132391382E-3</v>
      </c>
      <c r="H171" s="9">
        <f t="shared" ref="H171:H234" si="32">(((B170*B170)+(B170*B171)+(B171*B171))*((B170*C171)-(B171*C170)))/12</f>
        <v>3.2660214940697248E-3</v>
      </c>
      <c r="I171" s="9">
        <f t="shared" ref="I171:I234" si="33">(((B170*C171)+(2*B170*C170)+(2*B171*C171)+(B171*C170))*((B170*C171)-(B171*C170)))/24</f>
        <v>4.2324734194490983E-3</v>
      </c>
      <c r="J171" s="9">
        <f t="shared" ref="J171:J234" si="34">G171+H171</f>
        <v>8.7509677073088626E-3</v>
      </c>
    </row>
    <row r="172" spans="1:10" x14ac:dyDescent="0.25">
      <c r="A172" s="1">
        <v>166</v>
      </c>
      <c r="B172" s="6">
        <v>1.02447174185</v>
      </c>
      <c r="C172" s="8">
        <v>1.3454915028100001</v>
      </c>
      <c r="D172" s="9">
        <f t="shared" si="28"/>
        <v>6.1018619879278369E-3</v>
      </c>
      <c r="E172" s="9">
        <f t="shared" si="29"/>
        <v>4.1730887445086112E-3</v>
      </c>
      <c r="F172" s="9">
        <f t="shared" si="30"/>
        <v>5.4565034882927835E-3</v>
      </c>
      <c r="G172" s="9">
        <f t="shared" si="31"/>
        <v>5.4893433216294642E-3</v>
      </c>
      <c r="H172" s="9">
        <f t="shared" si="32"/>
        <v>3.2107437552022695E-3</v>
      </c>
      <c r="I172" s="9">
        <f t="shared" si="33"/>
        <v>4.1981852349713697E-3</v>
      </c>
      <c r="J172" s="9">
        <f t="shared" si="34"/>
        <v>8.7000870768317341E-3</v>
      </c>
    </row>
    <row r="173" spans="1:10" x14ac:dyDescent="0.25">
      <c r="A173" s="1">
        <v>167</v>
      </c>
      <c r="B173" s="6">
        <v>1.0218476220199999</v>
      </c>
      <c r="C173" s="8">
        <v>1.3538141476400001</v>
      </c>
      <c r="D173" s="9">
        <f t="shared" si="28"/>
        <v>6.0285226897046629E-3</v>
      </c>
      <c r="E173" s="9">
        <f t="shared" si="29"/>
        <v>4.112094238490769E-3</v>
      </c>
      <c r="F173" s="9">
        <f t="shared" si="30"/>
        <v>5.4242751200619431E-3</v>
      </c>
      <c r="G173" s="9">
        <f t="shared" si="31"/>
        <v>5.4906835793655552E-3</v>
      </c>
      <c r="H173" s="9">
        <f t="shared" si="32"/>
        <v>3.1554985045405826E-3</v>
      </c>
      <c r="I173" s="9">
        <f t="shared" si="33"/>
        <v>4.1624192190683569E-3</v>
      </c>
      <c r="J173" s="9">
        <f t="shared" si="34"/>
        <v>8.6461820839061378E-3</v>
      </c>
    </row>
    <row r="174" spans="1:10" x14ac:dyDescent="0.25">
      <c r="A174" s="1">
        <v>168</v>
      </c>
      <c r="B174" s="6">
        <v>1.0193691520299999</v>
      </c>
      <c r="C174" s="8">
        <v>1.3621813220900001</v>
      </c>
      <c r="D174" s="9">
        <f t="shared" si="28"/>
        <v>5.9526825258611193E-3</v>
      </c>
      <c r="E174" s="9">
        <f t="shared" si="29"/>
        <v>4.0502384741273453E-3</v>
      </c>
      <c r="F174" s="9">
        <f t="shared" si="30"/>
        <v>5.3891529243265783E-3</v>
      </c>
      <c r="G174" s="9">
        <f t="shared" si="31"/>
        <v>5.4888604624312651E-3</v>
      </c>
      <c r="H174" s="9">
        <f t="shared" si="32"/>
        <v>3.1002820407017191E-3</v>
      </c>
      <c r="I174" s="9">
        <f t="shared" si="33"/>
        <v>4.1251558615841418E-3</v>
      </c>
      <c r="J174" s="9">
        <f t="shared" si="34"/>
        <v>8.5891425031329842E-3</v>
      </c>
    </row>
    <row r="175" spans="1:10" x14ac:dyDescent="0.25">
      <c r="A175" s="1">
        <v>169</v>
      </c>
      <c r="B175" s="6">
        <v>1.0170370868600001</v>
      </c>
      <c r="C175" s="8">
        <v>1.37059047745</v>
      </c>
      <c r="D175" s="9">
        <f t="shared" si="28"/>
        <v>5.8743645925410926E-3</v>
      </c>
      <c r="E175" s="9">
        <f t="shared" si="29"/>
        <v>3.9875309019217304E-3</v>
      </c>
      <c r="F175" s="9">
        <f t="shared" si="30"/>
        <v>5.3510992995708601E-3</v>
      </c>
      <c r="G175" s="9">
        <f t="shared" si="31"/>
        <v>5.4837672817018247E-3</v>
      </c>
      <c r="H175" s="9">
        <f t="shared" si="32"/>
        <v>3.0450886335773668E-3</v>
      </c>
      <c r="I175" s="9">
        <f t="shared" si="33"/>
        <v>4.086374699445925E-3</v>
      </c>
      <c r="J175" s="9">
        <f t="shared" si="34"/>
        <v>8.5288559152791911E-3</v>
      </c>
    </row>
    <row r="176" spans="1:10" x14ac:dyDescent="0.25">
      <c r="A176" s="1">
        <v>170</v>
      </c>
      <c r="B176" s="6">
        <v>1.0148521368600001</v>
      </c>
      <c r="C176" s="8">
        <v>1.3790390522</v>
      </c>
      <c r="D176" s="9">
        <f t="shared" si="28"/>
        <v>5.7935927577816848E-3</v>
      </c>
      <c r="E176" s="9">
        <f t="shared" si="29"/>
        <v>3.9239795637196137E-3</v>
      </c>
      <c r="F176" s="9">
        <f t="shared" si="30"/>
        <v>5.3100779098543003E-3</v>
      </c>
      <c r="G176" s="9">
        <f t="shared" si="31"/>
        <v>5.4752973653569908E-3</v>
      </c>
      <c r="H176" s="9">
        <f t="shared" si="32"/>
        <v>2.9899105735510007E-3</v>
      </c>
      <c r="I176" s="9">
        <f t="shared" si="33"/>
        <v>4.0460543246357205E-3</v>
      </c>
      <c r="J176" s="9">
        <f t="shared" si="34"/>
        <v>8.4652079389079919E-3</v>
      </c>
    </row>
    <row r="177" spans="1:10" x14ac:dyDescent="0.25">
      <c r="A177" s="1">
        <v>171</v>
      </c>
      <c r="B177" s="6">
        <v>1.01281496761</v>
      </c>
      <c r="C177" s="8">
        <v>1.38752447283</v>
      </c>
      <c r="D177" s="9">
        <f t="shared" si="28"/>
        <v>5.7103916051012282E-3</v>
      </c>
      <c r="E177" s="9">
        <f t="shared" si="29"/>
        <v>3.8595910704351342E-3</v>
      </c>
      <c r="F177" s="9">
        <f t="shared" si="30"/>
        <v>5.2660537094368579E-3</v>
      </c>
      <c r="G177" s="9">
        <f t="shared" si="31"/>
        <v>5.4633441742534677E-3</v>
      </c>
      <c r="H177" s="9">
        <f t="shared" si="32"/>
        <v>2.9347381812711171E-3</v>
      </c>
      <c r="I177" s="9">
        <f t="shared" si="33"/>
        <v>4.004172340907824E-3</v>
      </c>
      <c r="J177" s="9">
        <f t="shared" si="34"/>
        <v>8.3980823555245849E-3</v>
      </c>
    </row>
    <row r="178" spans="1:10" x14ac:dyDescent="0.25">
      <c r="A178" s="1">
        <v>172</v>
      </c>
      <c r="B178" s="6">
        <v>1.0109261996300001</v>
      </c>
      <c r="C178" s="8">
        <v>1.39604415459</v>
      </c>
      <c r="D178" s="9">
        <f t="shared" si="28"/>
        <v>5.6247865007748032E-3</v>
      </c>
      <c r="E178" s="9">
        <f t="shared" si="29"/>
        <v>3.794370666184598E-3</v>
      </c>
      <c r="F178" s="9">
        <f t="shared" si="30"/>
        <v>5.2189930798307547E-3</v>
      </c>
      <c r="G178" s="9">
        <f t="shared" si="31"/>
        <v>5.4478015378604657E-3</v>
      </c>
      <c r="H178" s="9">
        <f t="shared" si="32"/>
        <v>2.8795598814351786E-3</v>
      </c>
      <c r="I178" s="9">
        <f t="shared" si="33"/>
        <v>3.9607054088482826E-3</v>
      </c>
      <c r="J178" s="9">
        <f t="shared" si="34"/>
        <v>8.3273614192956452E-3</v>
      </c>
    </row>
    <row r="179" spans="1:10" x14ac:dyDescent="0.25">
      <c r="A179" s="1">
        <v>173</v>
      </c>
      <c r="B179" s="6">
        <v>1.0091864082799999</v>
      </c>
      <c r="C179" s="8">
        <v>1.4045955023100001</v>
      </c>
      <c r="D179" s="9">
        <f t="shared" si="28"/>
        <v>5.5368034983341863E-3</v>
      </c>
      <c r="E179" s="9">
        <f t="shared" si="29"/>
        <v>3.7283221848350276E-3</v>
      </c>
      <c r="F179" s="9">
        <f t="shared" si="30"/>
        <v>5.1688638166324579E-3</v>
      </c>
      <c r="G179" s="9">
        <f t="shared" si="31"/>
        <v>5.4285637398156757E-3</v>
      </c>
      <c r="H179" s="9">
        <f t="shared" si="32"/>
        <v>2.8243621927761839E-3</v>
      </c>
      <c r="I179" s="9">
        <f t="shared" si="33"/>
        <v>3.9156291794504436E-3</v>
      </c>
      <c r="J179" s="9">
        <f t="shared" si="34"/>
        <v>8.2529259325918591E-3</v>
      </c>
    </row>
    <row r="180" spans="1:10" x14ac:dyDescent="0.25">
      <c r="A180" s="1">
        <v>174</v>
      </c>
      <c r="B180" s="6">
        <v>1.0075961234899999</v>
      </c>
      <c r="C180" s="8">
        <v>1.41317591117</v>
      </c>
      <c r="D180" s="9">
        <f t="shared" si="28"/>
        <v>5.4464694312116313E-3</v>
      </c>
      <c r="E180" s="9">
        <f t="shared" si="29"/>
        <v>3.6614481362289676E-3</v>
      </c>
      <c r="F180" s="9">
        <f t="shared" si="30"/>
        <v>5.1156352892202696E-3</v>
      </c>
      <c r="G180" s="9">
        <f t="shared" si="31"/>
        <v>5.4055257877281297E-3</v>
      </c>
      <c r="H180" s="9">
        <f t="shared" si="32"/>
        <v>2.7691298147211646E-3</v>
      </c>
      <c r="I180" s="9">
        <f t="shared" si="33"/>
        <v>3.8689183622156449E-3</v>
      </c>
      <c r="J180" s="9">
        <f t="shared" si="34"/>
        <v>8.1746556024492947E-3</v>
      </c>
    </row>
    <row r="181" spans="1:10" x14ac:dyDescent="0.25">
      <c r="A181" s="1">
        <v>175</v>
      </c>
      <c r="B181" s="6">
        <v>1.0061558296999999</v>
      </c>
      <c r="C181" s="8">
        <v>1.4217827674800001</v>
      </c>
      <c r="D181" s="9">
        <f t="shared" si="28"/>
        <v>5.3538117712136346E-3</v>
      </c>
      <c r="E181" s="9">
        <f t="shared" si="29"/>
        <v>3.5937496370976895E-3</v>
      </c>
      <c r="F181" s="9">
        <f t="shared" si="30"/>
        <v>5.0592783815535409E-3</v>
      </c>
      <c r="G181" s="9">
        <f t="shared" si="31"/>
        <v>5.3785834582900536E-3</v>
      </c>
      <c r="H181" s="9">
        <f t="shared" si="32"/>
        <v>2.7138455943761012E-3</v>
      </c>
      <c r="I181" s="9">
        <f t="shared" si="33"/>
        <v>3.8205466306361299E-3</v>
      </c>
      <c r="J181" s="9">
        <f t="shared" si="34"/>
        <v>8.0924290526661544E-3</v>
      </c>
    </row>
    <row r="182" spans="1:10" x14ac:dyDescent="0.25">
      <c r="A182" s="1">
        <v>176</v>
      </c>
      <c r="B182" s="6">
        <v>1.0048659656300001</v>
      </c>
      <c r="C182" s="8">
        <v>1.43041344952</v>
      </c>
      <c r="D182" s="9">
        <f t="shared" si="28"/>
        <v>5.2588587779752727E-3</v>
      </c>
      <c r="E182" s="9">
        <f t="shared" si="29"/>
        <v>3.5252265403569209E-3</v>
      </c>
      <c r="F182" s="9">
        <f t="shared" si="30"/>
        <v>4.9997657040927717E-3</v>
      </c>
      <c r="G182" s="9">
        <f t="shared" si="31"/>
        <v>5.3476336320544514E-3</v>
      </c>
      <c r="H182" s="9">
        <f t="shared" si="32"/>
        <v>2.6584906418593568E-3</v>
      </c>
      <c r="I182" s="9">
        <f t="shared" si="33"/>
        <v>3.7704867366046488E-3</v>
      </c>
      <c r="J182" s="9">
        <f t="shared" si="34"/>
        <v>8.0061242739138082E-3</v>
      </c>
    </row>
    <row r="183" spans="1:10" x14ac:dyDescent="0.25">
      <c r="A183" s="1">
        <v>177</v>
      </c>
      <c r="B183" s="6">
        <v>1.00372692418</v>
      </c>
      <c r="C183" s="8">
        <v>1.4390653282999999</v>
      </c>
      <c r="D183" s="9">
        <f t="shared" si="28"/>
        <v>5.1616393672095917E-3</v>
      </c>
      <c r="E183" s="9">
        <f t="shared" si="29"/>
        <v>3.4558773775801911E-3</v>
      </c>
      <c r="F183" s="9">
        <f t="shared" si="30"/>
        <v>4.9370715409893916E-3</v>
      </c>
      <c r="G183" s="9">
        <f t="shared" si="31"/>
        <v>5.3125743532325548E-3</v>
      </c>
      <c r="H183" s="9">
        <f t="shared" si="32"/>
        <v>2.603044302281489E-3</v>
      </c>
      <c r="I183" s="9">
        <f t="shared" si="33"/>
        <v>3.718710428177379E-3</v>
      </c>
      <c r="J183" s="9">
        <f t="shared" si="34"/>
        <v>7.9156186555140434E-3</v>
      </c>
    </row>
    <row r="184" spans="1:10" x14ac:dyDescent="0.25">
      <c r="A184" s="1">
        <v>178</v>
      </c>
      <c r="B184" s="6">
        <v>1.0027390523199999</v>
      </c>
      <c r="C184" s="8">
        <v>1.4477357683700001</v>
      </c>
      <c r="D184" s="9">
        <f t="shared" si="28"/>
        <v>5.062183142638732E-3</v>
      </c>
      <c r="E184" s="9">
        <f t="shared" si="29"/>
        <v>3.3856994141721539E-3</v>
      </c>
      <c r="F184" s="9">
        <f t="shared" si="30"/>
        <v>4.8711719492379596E-3</v>
      </c>
      <c r="G184" s="9">
        <f t="shared" si="31"/>
        <v>5.2733050534801056E-3</v>
      </c>
      <c r="H184" s="9">
        <f t="shared" si="32"/>
        <v>2.5474842112862372E-3</v>
      </c>
      <c r="I184" s="9">
        <f t="shared" si="33"/>
        <v>3.6651884865587202E-3</v>
      </c>
      <c r="J184" s="9">
        <f t="shared" si="34"/>
        <v>7.8207892647663424E-3</v>
      </c>
    </row>
    <row r="185" spans="1:10" x14ac:dyDescent="0.25">
      <c r="A185" s="1">
        <v>179</v>
      </c>
      <c r="B185" s="6">
        <v>1.00190265095</v>
      </c>
      <c r="C185" s="8">
        <v>1.4564221286300001</v>
      </c>
      <c r="D185" s="9">
        <f t="shared" si="28"/>
        <v>4.960520417642611E-3</v>
      </c>
      <c r="E185" s="9">
        <f t="shared" si="29"/>
        <v>3.3146886997095647E-3</v>
      </c>
      <c r="F185" s="9">
        <f t="shared" si="30"/>
        <v>4.8020448480421756E-3</v>
      </c>
      <c r="G185" s="9">
        <f t="shared" si="31"/>
        <v>5.2297267704222638E-3</v>
      </c>
      <c r="H185" s="9">
        <f t="shared" si="32"/>
        <v>2.4917863448907529E-3</v>
      </c>
      <c r="I185" s="9">
        <f t="shared" si="33"/>
        <v>3.6098907596098339E-3</v>
      </c>
      <c r="J185" s="9">
        <f t="shared" si="34"/>
        <v>7.7215131153130171E-3</v>
      </c>
    </row>
    <row r="186" spans="1:10" x14ac:dyDescent="0.25">
      <c r="A186" s="1">
        <v>180</v>
      </c>
      <c r="B186" s="6">
        <v>1.0012179748700001</v>
      </c>
      <c r="C186" s="8">
        <v>1.46512176313</v>
      </c>
      <c r="D186" s="9">
        <f t="shared" si="28"/>
        <v>4.8566821308507757E-3</v>
      </c>
      <c r="E186" s="9">
        <f t="shared" si="29"/>
        <v>3.2428400497862058E-3</v>
      </c>
      <c r="F186" s="9">
        <f t="shared" si="30"/>
        <v>4.729670004535674E-3</v>
      </c>
      <c r="G186" s="9">
        <f t="shared" si="31"/>
        <v>5.1817422573962211E-3</v>
      </c>
      <c r="H186" s="9">
        <f t="shared" si="32"/>
        <v>2.4359250160991279E-3</v>
      </c>
      <c r="I186" s="9">
        <f t="shared" si="33"/>
        <v>3.5527861219238799E-3</v>
      </c>
      <c r="J186" s="9">
        <f t="shared" si="34"/>
        <v>7.6176672734953495E-3</v>
      </c>
    </row>
    <row r="187" spans="1:10" x14ac:dyDescent="0.25">
      <c r="A187" s="1">
        <v>181</v>
      </c>
      <c r="B187" s="6">
        <v>1.00068523262</v>
      </c>
      <c r="C187" s="8">
        <v>1.4738320218800001</v>
      </c>
      <c r="D187" s="9">
        <f t="shared" si="28"/>
        <v>4.7506999454414167E-3</v>
      </c>
      <c r="E187" s="9">
        <f t="shared" si="29"/>
        <v>3.1701471528672465E-3</v>
      </c>
      <c r="F187" s="9">
        <f t="shared" si="30"/>
        <v>4.6540291953672836E-3</v>
      </c>
      <c r="G187" s="9">
        <f t="shared" si="31"/>
        <v>5.1292562876014578E-3</v>
      </c>
      <c r="H187" s="9">
        <f t="shared" si="32"/>
        <v>2.3798729637574457E-3</v>
      </c>
      <c r="I187" s="9">
        <f t="shared" si="33"/>
        <v>3.4938425717016396E-3</v>
      </c>
      <c r="J187" s="9">
        <f t="shared" si="34"/>
        <v>7.509129251358904E-3</v>
      </c>
    </row>
    <row r="188" spans="1:10" x14ac:dyDescent="0.25">
      <c r="A188" s="1">
        <v>182</v>
      </c>
      <c r="B188" s="6">
        <v>1.00030458649</v>
      </c>
      <c r="C188" s="8">
        <v>1.48255025165</v>
      </c>
      <c r="D188" s="9">
        <f t="shared" si="28"/>
        <v>4.6426061204127844E-3</v>
      </c>
      <c r="E188" s="9">
        <f t="shared" si="29"/>
        <v>3.0966025270279187E-3</v>
      </c>
      <c r="F188" s="9">
        <f t="shared" si="30"/>
        <v>4.5751061457900803E-3</v>
      </c>
      <c r="G188" s="9">
        <f t="shared" si="31"/>
        <v>5.0721757188922113E-3</v>
      </c>
      <c r="H188" s="9">
        <f t="shared" si="32"/>
        <v>2.3236013269330217E-3</v>
      </c>
      <c r="I188" s="9">
        <f t="shared" si="33"/>
        <v>3.4330271652038727E-3</v>
      </c>
      <c r="J188" s="9">
        <f t="shared" si="34"/>
        <v>7.3957770458252334E-3</v>
      </c>
    </row>
    <row r="189" spans="1:10" x14ac:dyDescent="0.25">
      <c r="A189" s="1">
        <v>183</v>
      </c>
      <c r="B189" s="6">
        <v>1.0000761524199999</v>
      </c>
      <c r="C189" s="8">
        <v>1.49127379678</v>
      </c>
      <c r="D189" s="9">
        <f t="shared" si="28"/>
        <v>4.5324335959777695E-3</v>
      </c>
      <c r="E189" s="9">
        <f t="shared" si="29"/>
        <v>3.0221976219275055E-3</v>
      </c>
      <c r="F189" s="9">
        <f t="shared" si="30"/>
        <v>4.4928866752102512E-3</v>
      </c>
      <c r="G189" s="9">
        <f t="shared" si="31"/>
        <v>5.0104097872408901E-3</v>
      </c>
      <c r="H189" s="9">
        <f t="shared" si="32"/>
        <v>2.2670797268859381E-3</v>
      </c>
      <c r="I189" s="9">
        <f t="shared" si="33"/>
        <v>3.370306111363935E-3</v>
      </c>
      <c r="J189" s="9">
        <f t="shared" si="34"/>
        <v>7.2774895141268277E-3</v>
      </c>
    </row>
    <row r="190" spans="1:10" x14ac:dyDescent="0.25">
      <c r="A190" s="1">
        <v>184</v>
      </c>
      <c r="B190" s="6">
        <v>1</v>
      </c>
      <c r="C190" s="8">
        <v>1.5</v>
      </c>
      <c r="D190" s="9">
        <f t="shared" si="28"/>
        <v>4.4202159249998596E-3</v>
      </c>
      <c r="E190" s="9">
        <f t="shared" si="29"/>
        <v>2.9469228200464438E-3</v>
      </c>
      <c r="F190" s="9">
        <f t="shared" si="30"/>
        <v>4.4073586908539159E-3</v>
      </c>
      <c r="G190" s="9">
        <f t="shared" si="31"/>
        <v>4.9438702362154729E-3</v>
      </c>
      <c r="H190" s="9">
        <f t="shared" si="32"/>
        <v>2.2102762718420148E-3</v>
      </c>
      <c r="I190" s="9">
        <f t="shared" si="33"/>
        <v>3.3056447573880442E-3</v>
      </c>
      <c r="J190" s="9">
        <f t="shared" si="34"/>
        <v>7.1541465080574877E-3</v>
      </c>
    </row>
    <row r="191" spans="1:10" x14ac:dyDescent="0.25">
      <c r="A191" s="1">
        <v>185</v>
      </c>
      <c r="B191" s="6">
        <v>1</v>
      </c>
      <c r="C191" s="8">
        <v>7.75</v>
      </c>
      <c r="D191" s="9">
        <f t="shared" si="28"/>
        <v>3.125</v>
      </c>
      <c r="E191" s="9">
        <f t="shared" si="29"/>
        <v>2.083333333333333</v>
      </c>
      <c r="F191" s="9">
        <f t="shared" si="30"/>
        <v>9.6354166666666661</v>
      </c>
      <c r="G191" s="9">
        <f t="shared" si="31"/>
        <v>38.509114583333336</v>
      </c>
      <c r="H191" s="9">
        <f t="shared" si="32"/>
        <v>1.5625</v>
      </c>
      <c r="I191" s="9">
        <f t="shared" si="33"/>
        <v>7.2265625</v>
      </c>
      <c r="J191" s="9">
        <f t="shared" si="34"/>
        <v>40.071614583333336</v>
      </c>
    </row>
    <row r="192" spans="1:10" x14ac:dyDescent="0.25">
      <c r="A192" s="1">
        <v>186</v>
      </c>
      <c r="B192" s="6">
        <v>0.99996192378899995</v>
      </c>
      <c r="C192" s="8">
        <v>7.7543631016100001</v>
      </c>
      <c r="D192" s="9">
        <f t="shared" si="28"/>
        <v>2.3290961226254403E-3</v>
      </c>
      <c r="E192" s="9">
        <f t="shared" si="29"/>
        <v>1.5527011873651584E-3</v>
      </c>
      <c r="F192" s="9">
        <f t="shared" si="30"/>
        <v>1.2037050661245597E-2</v>
      </c>
      <c r="G192" s="9">
        <f t="shared" si="31"/>
        <v>6.9985053394084978E-2</v>
      </c>
      <c r="H192" s="9">
        <f t="shared" si="32"/>
        <v>1.1645037202978042E-3</v>
      </c>
      <c r="I192" s="9">
        <f t="shared" si="33"/>
        <v>9.0276161078316677E-3</v>
      </c>
      <c r="J192" s="9">
        <f t="shared" si="34"/>
        <v>7.1149557114382783E-2</v>
      </c>
    </row>
    <row r="193" spans="1:10" x14ac:dyDescent="0.25">
      <c r="A193" s="1">
        <v>187</v>
      </c>
      <c r="B193" s="6">
        <v>0.99984770675500001</v>
      </c>
      <c r="C193" s="8">
        <v>7.7587248741800003</v>
      </c>
      <c r="D193" s="9">
        <f t="shared" si="28"/>
        <v>2.6236434221260652E-3</v>
      </c>
      <c r="E193" s="9">
        <f t="shared" si="29"/>
        <v>1.7489291275603739E-3</v>
      </c>
      <c r="F193" s="9">
        <f t="shared" si="30"/>
        <v>1.3566937074848129E-2</v>
      </c>
      <c r="G193" s="9">
        <f t="shared" si="31"/>
        <v>7.8924410231337838E-2</v>
      </c>
      <c r="H193" s="9">
        <f t="shared" si="32"/>
        <v>1.3115719935889246E-3</v>
      </c>
      <c r="I193" s="9">
        <f t="shared" si="33"/>
        <v>1.0174234227763418E-2</v>
      </c>
      <c r="J193" s="9">
        <f t="shared" si="34"/>
        <v>8.0235982224926769E-2</v>
      </c>
    </row>
    <row r="194" spans="1:10" x14ac:dyDescent="0.25">
      <c r="A194" s="1">
        <v>188</v>
      </c>
      <c r="B194" s="6">
        <v>0.99965738368900003</v>
      </c>
      <c r="C194" s="8">
        <v>7.7630839890600001</v>
      </c>
      <c r="D194" s="9">
        <f t="shared" si="28"/>
        <v>2.9175576612767706E-3</v>
      </c>
      <c r="E194" s="9">
        <f t="shared" si="29"/>
        <v>1.9445571317955978E-3</v>
      </c>
      <c r="F194" s="9">
        <f t="shared" si="30"/>
        <v>1.5095257455273181E-2</v>
      </c>
      <c r="G194" s="9">
        <f t="shared" si="31"/>
        <v>8.786464017076788E-2</v>
      </c>
      <c r="H194" s="9">
        <f t="shared" si="32"/>
        <v>1.4580569607851107E-3</v>
      </c>
      <c r="I194" s="9">
        <f t="shared" si="33"/>
        <v>1.1318641445412933E-2</v>
      </c>
      <c r="J194" s="9">
        <f t="shared" si="34"/>
        <v>8.9322697131552997E-2</v>
      </c>
    </row>
    <row r="195" spans="1:10" x14ac:dyDescent="0.25">
      <c r="A195" s="1">
        <v>189</v>
      </c>
      <c r="B195" s="6">
        <v>0.99939101256499996</v>
      </c>
      <c r="C195" s="8">
        <v>7.7674391184399996</v>
      </c>
      <c r="D195" s="9">
        <f t="shared" si="28"/>
        <v>3.210749324755291E-3</v>
      </c>
      <c r="E195" s="9">
        <f t="shared" si="29"/>
        <v>2.1394810961418926E-3</v>
      </c>
      <c r="F195" s="9">
        <f t="shared" si="30"/>
        <v>1.6621538860167352E-2</v>
      </c>
      <c r="G195" s="9">
        <f t="shared" si="31"/>
        <v>9.6802950043713143E-2</v>
      </c>
      <c r="H195" s="9">
        <f t="shared" si="32"/>
        <v>1.6038473547640812E-3</v>
      </c>
      <c r="I195" s="9">
        <f t="shared" si="33"/>
        <v>1.2460222570437144E-2</v>
      </c>
      <c r="J195" s="9">
        <f t="shared" si="34"/>
        <v>9.8406797398477228E-2</v>
      </c>
    </row>
    <row r="196" spans="1:10" x14ac:dyDescent="0.25">
      <c r="A196" s="1">
        <v>190</v>
      </c>
      <c r="B196" s="6">
        <v>0.99904867452299995</v>
      </c>
      <c r="C196" s="8">
        <v>7.7717889356900001</v>
      </c>
      <c r="D196" s="9">
        <f t="shared" si="28"/>
        <v>3.5031290825555672E-3</v>
      </c>
      <c r="E196" s="9">
        <f t="shared" si="29"/>
        <v>2.3335973958570734E-3</v>
      </c>
      <c r="F196" s="9">
        <f t="shared" si="30"/>
        <v>1.8145307238962051E-2</v>
      </c>
      <c r="G196" s="9">
        <f t="shared" si="31"/>
        <v>0.105736527998699</v>
      </c>
      <c r="H196" s="9">
        <f t="shared" si="32"/>
        <v>1.748832635693509E-3</v>
      </c>
      <c r="I196" s="9">
        <f t="shared" si="33"/>
        <v>1.3598363077924384E-2</v>
      </c>
      <c r="J196" s="9">
        <f t="shared" si="34"/>
        <v>0.1074853606343925</v>
      </c>
    </row>
    <row r="197" spans="1:10" x14ac:dyDescent="0.25">
      <c r="A197" s="1">
        <v>191</v>
      </c>
      <c r="B197" s="6">
        <v>0.99863047384199999</v>
      </c>
      <c r="C197" s="8">
        <v>7.7761321158200003</v>
      </c>
      <c r="D197" s="9">
        <f t="shared" si="28"/>
        <v>3.7946078887922674E-3</v>
      </c>
      <c r="E197" s="9">
        <f t="shared" si="29"/>
        <v>2.5268030185538826E-3</v>
      </c>
      <c r="F197" s="9">
        <f t="shared" si="30"/>
        <v>1.9666087958793071E-2</v>
      </c>
      <c r="G197" s="9">
        <f t="shared" si="31"/>
        <v>0.11466254659819976</v>
      </c>
      <c r="H197" s="9">
        <f t="shared" si="32"/>
        <v>1.8929031659734715E-3</v>
      </c>
      <c r="I197" s="9">
        <f t="shared" si="33"/>
        <v>1.4732449904771279E-2</v>
      </c>
      <c r="J197" s="9">
        <f t="shared" si="34"/>
        <v>0.11655544976417323</v>
      </c>
    </row>
    <row r="198" spans="1:10" x14ac:dyDescent="0.25">
      <c r="A198" s="1">
        <v>192</v>
      </c>
      <c r="B198" s="6">
        <v>0.99813653791000001</v>
      </c>
      <c r="C198" s="8">
        <v>7.7804673358500001</v>
      </c>
      <c r="D198" s="9">
        <f t="shared" si="28"/>
        <v>4.0850969483749999E-3</v>
      </c>
      <c r="E198" s="9">
        <f t="shared" si="29"/>
        <v>2.718995608774654E-3</v>
      </c>
      <c r="F198" s="9">
        <f t="shared" si="30"/>
        <v>2.1183405649036438E-2</v>
      </c>
      <c r="G198" s="9">
        <f t="shared" si="31"/>
        <v>0.12357816196310771</v>
      </c>
      <c r="H198" s="9">
        <f t="shared" si="32"/>
        <v>2.0359503177895893E-3</v>
      </c>
      <c r="I198" s="9">
        <f t="shared" si="33"/>
        <v>1.5861871734229527E-2</v>
      </c>
      <c r="J198" s="9">
        <f t="shared" si="34"/>
        <v>0.12561411228089731</v>
      </c>
    </row>
    <row r="199" spans="1:10" x14ac:dyDescent="0.25">
      <c r="A199" s="1">
        <v>193</v>
      </c>
      <c r="B199" s="6">
        <v>0.99756701718499996</v>
      </c>
      <c r="C199" s="8">
        <v>7.7847932752400002</v>
      </c>
      <c r="D199" s="9">
        <f t="shared" si="28"/>
        <v>4.3745077819479228E-3</v>
      </c>
      <c r="E199" s="9">
        <f t="shared" si="29"/>
        <v>2.9100735774080706E-3</v>
      </c>
      <c r="F199" s="9">
        <f t="shared" si="30"/>
        <v>2.2696784557086895E-2</v>
      </c>
      <c r="G199" s="9">
        <f t="shared" si="31"/>
        <v>0.13248051591028484</v>
      </c>
      <c r="H199" s="9">
        <f t="shared" si="32"/>
        <v>2.1778666281283446E-3</v>
      </c>
      <c r="I199" s="9">
        <f t="shared" si="33"/>
        <v>1.6986019662112693E-2</v>
      </c>
      <c r="J199" s="9">
        <f t="shared" si="34"/>
        <v>0.1346583825384132</v>
      </c>
    </row>
    <row r="200" spans="1:10" x14ac:dyDescent="0.25">
      <c r="A200" s="1">
        <v>194</v>
      </c>
      <c r="B200" s="6">
        <v>0.99692208514900005</v>
      </c>
      <c r="C200" s="8">
        <v>7.7891086162600001</v>
      </c>
      <c r="D200" s="9">
        <f t="shared" si="28"/>
        <v>4.6627522231483809E-3</v>
      </c>
      <c r="E200" s="9">
        <f t="shared" si="29"/>
        <v>3.099936165317692E-3</v>
      </c>
      <c r="F200" s="9">
        <f t="shared" si="30"/>
        <v>2.4205748555895468E-2</v>
      </c>
      <c r="G200" s="9">
        <f t="shared" si="31"/>
        <v>0.1413667360753775</v>
      </c>
      <c r="H200" s="9">
        <f t="shared" si="32"/>
        <v>2.3185459181803082E-3</v>
      </c>
      <c r="I200" s="9">
        <f t="shared" si="33"/>
        <v>1.8104287600009195E-2</v>
      </c>
      <c r="J200" s="9">
        <f t="shared" si="34"/>
        <v>0.14368528199355782</v>
      </c>
    </row>
    <row r="201" spans="1:10" x14ac:dyDescent="0.25">
      <c r="A201" s="1">
        <v>195</v>
      </c>
      <c r="B201" s="6">
        <v>0.99620193825299996</v>
      </c>
      <c r="C201" s="8">
        <v>7.7934120444200001</v>
      </c>
      <c r="D201" s="9">
        <f t="shared" si="28"/>
        <v>4.9497424835815984E-3</v>
      </c>
      <c r="E201" s="9">
        <f t="shared" si="29"/>
        <v>3.2884835512266546E-3</v>
      </c>
      <c r="F201" s="9">
        <f t="shared" si="30"/>
        <v>2.5709821505151931E-2</v>
      </c>
      <c r="G201" s="9">
        <f t="shared" si="31"/>
        <v>0.15023393811435629</v>
      </c>
      <c r="H201" s="9">
        <f t="shared" si="32"/>
        <v>2.4578834444001305E-3</v>
      </c>
      <c r="I201" s="9">
        <f t="shared" si="33"/>
        <v>1.9216072940579667E-2</v>
      </c>
      <c r="J201" s="9">
        <f t="shared" si="34"/>
        <v>0.15269182155875641</v>
      </c>
    </row>
    <row r="202" spans="1:10" x14ac:dyDescent="0.25">
      <c r="A202" s="1">
        <v>196</v>
      </c>
      <c r="B202" s="6">
        <v>0.99540679586199998</v>
      </c>
      <c r="C202" s="8">
        <v>7.7977022488400003</v>
      </c>
      <c r="D202" s="9">
        <f t="shared" si="28"/>
        <v>5.2353911228770755E-3</v>
      </c>
      <c r="E202" s="9">
        <f t="shared" si="29"/>
        <v>3.4756168956100401E-3</v>
      </c>
      <c r="F202" s="9">
        <f t="shared" si="30"/>
        <v>2.7208527122231766E-2</v>
      </c>
      <c r="G202" s="9">
        <f t="shared" si="31"/>
        <v>0.15907922505781938</v>
      </c>
      <c r="H202" s="9">
        <f t="shared" si="32"/>
        <v>2.5957760000706273E-3</v>
      </c>
      <c r="I202" s="9">
        <f t="shared" si="33"/>
        <v>2.0320776852990104E-2</v>
      </c>
      <c r="J202" s="9">
        <f t="shared" si="34"/>
        <v>0.16167500105789001</v>
      </c>
    </row>
    <row r="203" spans="1:10" x14ac:dyDescent="0.25">
      <c r="A203" s="1">
        <v>197</v>
      </c>
      <c r="B203" s="6">
        <v>0.99453690018300001</v>
      </c>
      <c r="C203" s="8">
        <v>7.8019779226999999</v>
      </c>
      <c r="D203" s="9">
        <f t="shared" si="28"/>
        <v>5.5196111547637372E-3</v>
      </c>
      <c r="E203" s="9">
        <f t="shared" si="29"/>
        <v>3.6612384740139208E-3</v>
      </c>
      <c r="F203" s="9">
        <f t="shared" si="30"/>
        <v>2.8701389561859626E-2</v>
      </c>
      <c r="G203" s="9">
        <f t="shared" si="31"/>
        <v>0.16789969082084286</v>
      </c>
      <c r="H203" s="9">
        <f t="shared" si="32"/>
        <v>2.7321220819385241E-3</v>
      </c>
      <c r="I203" s="9">
        <f t="shared" si="33"/>
        <v>2.1417805104483382E-2</v>
      </c>
      <c r="J203" s="9">
        <f t="shared" si="34"/>
        <v>0.17063181290278137</v>
      </c>
    </row>
    <row r="204" spans="1:10" x14ac:dyDescent="0.25">
      <c r="A204" s="1">
        <v>198</v>
      </c>
      <c r="B204" s="6">
        <v>0.99359251619599998</v>
      </c>
      <c r="C204" s="8">
        <v>7.8062377635900004</v>
      </c>
      <c r="D204" s="9">
        <f t="shared" si="28"/>
        <v>5.8023159855697948E-3</v>
      </c>
      <c r="E204" s="9">
        <f t="shared" si="29"/>
        <v>3.8452516980124725E-3</v>
      </c>
      <c r="F204" s="9">
        <f t="shared" si="30"/>
        <v>3.0187933127593897E-2</v>
      </c>
      <c r="G204" s="9">
        <f t="shared" si="31"/>
        <v>0.17669241865413773</v>
      </c>
      <c r="H204" s="9">
        <f t="shared" si="32"/>
        <v>2.8668219709441275E-3</v>
      </c>
      <c r="I204" s="9">
        <f t="shared" si="33"/>
        <v>2.2506568228899116E-2</v>
      </c>
      <c r="J204" s="9">
        <f t="shared" si="34"/>
        <v>0.17955924062508186</v>
      </c>
    </row>
    <row r="205" spans="1:10" x14ac:dyDescent="0.25">
      <c r="A205" s="1">
        <v>199</v>
      </c>
      <c r="B205" s="6">
        <v>0.99257393156899998</v>
      </c>
      <c r="C205" s="8">
        <v>7.8104804739000002</v>
      </c>
      <c r="D205" s="9">
        <f t="shared" si="28"/>
        <v>6.0834194965515564E-3</v>
      </c>
      <c r="E205" s="9">
        <f t="shared" si="29"/>
        <v>4.0275612305767164E-3</v>
      </c>
      <c r="F205" s="9">
        <f t="shared" si="30"/>
        <v>3.166768273269964E-2</v>
      </c>
      <c r="G205" s="9">
        <f t="shared" si="31"/>
        <v>0.18545448398926354</v>
      </c>
      <c r="H205" s="9">
        <f t="shared" si="32"/>
        <v>2.9997778814188376E-3</v>
      </c>
      <c r="I205" s="9">
        <f t="shared" si="33"/>
        <v>2.3586482250397351E-2</v>
      </c>
      <c r="J205" s="9">
        <f t="shared" si="34"/>
        <v>0.18845426187068237</v>
      </c>
    </row>
    <row r="206" spans="1:10" x14ac:dyDescent="0.25">
      <c r="A206" s="1">
        <v>200</v>
      </c>
      <c r="B206" s="6">
        <v>0.99148145657200004</v>
      </c>
      <c r="C206" s="8">
        <v>7.8147047612799998</v>
      </c>
      <c r="D206" s="9">
        <f t="shared" si="28"/>
        <v>6.3628360825678243E-3</v>
      </c>
      <c r="E206" s="9">
        <f t="shared" si="29"/>
        <v>4.2080730711588875E-3</v>
      </c>
      <c r="F206" s="9">
        <f t="shared" si="30"/>
        <v>3.3140164137069772E-2</v>
      </c>
      <c r="G206" s="9">
        <f t="shared" si="31"/>
        <v>0.1941829559931729</v>
      </c>
      <c r="H206" s="9">
        <f t="shared" si="32"/>
        <v>3.1308940853654044E-3</v>
      </c>
      <c r="I206" s="9">
        <f t="shared" si="33"/>
        <v>2.4656969234010048E-2</v>
      </c>
      <c r="J206" s="9">
        <f t="shared" si="34"/>
        <v>0.1973138500785383</v>
      </c>
    </row>
    <row r="207" spans="1:10" x14ac:dyDescent="0.25">
      <c r="A207" s="1">
        <v>201</v>
      </c>
      <c r="B207" s="6">
        <v>0.99031542398500005</v>
      </c>
      <c r="C207" s="8">
        <v>7.8189093389500002</v>
      </c>
      <c r="D207" s="9">
        <f t="shared" si="28"/>
        <v>6.640480600979437E-3</v>
      </c>
      <c r="E207" s="9">
        <f t="shared" si="29"/>
        <v>4.386694580140107E-3</v>
      </c>
      <c r="F207" s="9">
        <f t="shared" si="30"/>
        <v>3.460490371859197E-2</v>
      </c>
      <c r="G207" s="9">
        <f t="shared" si="31"/>
        <v>0.20287489640842868</v>
      </c>
      <c r="H207" s="9">
        <f t="shared" si="32"/>
        <v>3.2600769892713148E-3</v>
      </c>
      <c r="I207" s="9">
        <f t="shared" si="33"/>
        <v>2.5717457484050531E-2</v>
      </c>
      <c r="J207" s="9">
        <f t="shared" si="34"/>
        <v>0.20613497339769998</v>
      </c>
    </row>
    <row r="208" spans="1:10" x14ac:dyDescent="0.25">
      <c r="A208" s="1">
        <v>202</v>
      </c>
      <c r="B208" s="6">
        <v>0.98907618899100003</v>
      </c>
      <c r="C208" s="8">
        <v>7.8230929261800002</v>
      </c>
      <c r="D208" s="9">
        <f t="shared" si="28"/>
        <v>6.916268514598034E-3</v>
      </c>
      <c r="E208" s="9">
        <f t="shared" si="29"/>
        <v>4.5633346302951083E-3</v>
      </c>
      <c r="F208" s="9">
        <f t="shared" si="30"/>
        <v>3.6061429257196576E-2</v>
      </c>
      <c r="G208" s="9">
        <f t="shared" si="31"/>
        <v>0.21152736434064001</v>
      </c>
      <c r="H208" s="9">
        <f t="shared" si="32"/>
        <v>3.3872353029591059E-3</v>
      </c>
      <c r="I208" s="9">
        <f t="shared" si="33"/>
        <v>2.676738248981533E-2</v>
      </c>
      <c r="J208" s="9">
        <f t="shared" si="34"/>
        <v>0.21491459964359913</v>
      </c>
    </row>
    <row r="209" spans="1:10" x14ac:dyDescent="0.25">
      <c r="A209" s="1">
        <v>203</v>
      </c>
      <c r="B209" s="6">
        <v>0.98776412907400002</v>
      </c>
      <c r="C209" s="8">
        <v>7.8272542485900001</v>
      </c>
      <c r="D209" s="9">
        <f t="shared" si="28"/>
        <v>7.1901157829263873E-3</v>
      </c>
      <c r="E209" s="9">
        <f t="shared" si="29"/>
        <v>4.7379035904147916E-3</v>
      </c>
      <c r="F209" s="9">
        <f t="shared" si="30"/>
        <v>3.7509269409863724E-2</v>
      </c>
      <c r="G209" s="9">
        <f t="shared" si="31"/>
        <v>0.22013741338897988</v>
      </c>
      <c r="H209" s="9">
        <f t="shared" si="32"/>
        <v>3.5122800809802117E-3</v>
      </c>
      <c r="I209" s="9">
        <f t="shared" si="33"/>
        <v>2.7806186890745113E-2</v>
      </c>
      <c r="J209" s="9">
        <f t="shared" si="34"/>
        <v>0.22364969346996008</v>
      </c>
    </row>
    <row r="210" spans="1:10" x14ac:dyDescent="0.25">
      <c r="A210" s="1">
        <v>204</v>
      </c>
      <c r="B210" s="6">
        <v>0.98637964389999999</v>
      </c>
      <c r="C210" s="8">
        <v>7.8313920386099998</v>
      </c>
      <c r="D210" s="9">
        <f t="shared" si="28"/>
        <v>7.4619390078489722E-3</v>
      </c>
      <c r="E210" s="9">
        <f t="shared" si="29"/>
        <v>4.9103134755522793E-3</v>
      </c>
      <c r="F210" s="9">
        <f t="shared" si="30"/>
        <v>3.8947954513522384E-2</v>
      </c>
      <c r="G210" s="9">
        <f t="shared" si="31"/>
        <v>0.22870209657470664</v>
      </c>
      <c r="H210" s="9">
        <f t="shared" si="32"/>
        <v>3.6351248851268902E-3</v>
      </c>
      <c r="I210" s="9">
        <f t="shared" si="33"/>
        <v>2.8833321421217781E-2</v>
      </c>
      <c r="J210" s="9">
        <f t="shared" si="34"/>
        <v>0.23233722145983352</v>
      </c>
    </row>
    <row r="211" spans="1:10" x14ac:dyDescent="0.25">
      <c r="A211" s="1">
        <v>205</v>
      </c>
      <c r="B211" s="6">
        <v>0.98492315519600004</v>
      </c>
      <c r="C211" s="8">
        <v>7.8355050358299998</v>
      </c>
      <c r="D211" s="9">
        <f t="shared" si="28"/>
        <v>7.7316553870279137E-3</v>
      </c>
      <c r="E211" s="9">
        <f t="shared" si="29"/>
        <v>5.0804779686979308E-3</v>
      </c>
      <c r="F211" s="9">
        <f t="shared" si="30"/>
        <v>4.0377016387868628E-2</v>
      </c>
      <c r="G211" s="9">
        <f t="shared" si="31"/>
        <v>0.23721846542041189</v>
      </c>
      <c r="H211" s="9">
        <f t="shared" si="32"/>
        <v>3.7556858485657311E-3</v>
      </c>
      <c r="I211" s="9">
        <f t="shared" si="33"/>
        <v>2.9848245104342086E-2</v>
      </c>
      <c r="J211" s="9">
        <f t="shared" si="34"/>
        <v>0.24097415126897762</v>
      </c>
    </row>
    <row r="212" spans="1:10" x14ac:dyDescent="0.25">
      <c r="A212" s="1">
        <v>206</v>
      </c>
      <c r="B212" s="6">
        <v>0.98339510662399998</v>
      </c>
      <c r="C212" s="8">
        <v>7.8395919873900004</v>
      </c>
      <c r="D212" s="9">
        <f t="shared" si="28"/>
        <v>7.9991827532541748E-3</v>
      </c>
      <c r="E212" s="9">
        <f t="shared" si="29"/>
        <v>5.2483124976219261E-3</v>
      </c>
      <c r="F212" s="9">
        <f t="shared" si="30"/>
        <v>4.1795988587909096E-2</v>
      </c>
      <c r="G212" s="9">
        <f t="shared" si="31"/>
        <v>0.24568357167848218</v>
      </c>
      <c r="H212" s="9">
        <f t="shared" si="32"/>
        <v>3.8738817780340686E-3</v>
      </c>
      <c r="I212" s="9">
        <f t="shared" si="33"/>
        <v>3.0850425771676491E-2</v>
      </c>
      <c r="J212" s="9">
        <f t="shared" si="34"/>
        <v>0.24955745345651625</v>
      </c>
    </row>
    <row r="213" spans="1:10" x14ac:dyDescent="0.25">
      <c r="A213" s="1">
        <v>207</v>
      </c>
      <c r="B213" s="6">
        <v>0.98179596364199995</v>
      </c>
      <c r="C213" s="8">
        <v>7.8436516483499998</v>
      </c>
      <c r="D213" s="9">
        <f t="shared" si="28"/>
        <v>8.2644396154973876E-3</v>
      </c>
      <c r="E213" s="9">
        <f t="shared" si="29"/>
        <v>5.4137343110426794E-3</v>
      </c>
      <c r="F213" s="9">
        <f t="shared" si="30"/>
        <v>4.320440666756898E-2</v>
      </c>
      <c r="G213" s="9">
        <f t="shared" si="31"/>
        <v>0.2540944691396097</v>
      </c>
      <c r="H213" s="9">
        <f t="shared" si="32"/>
        <v>3.9896342524162577E-3</v>
      </c>
      <c r="I213" s="9">
        <f t="shared" si="33"/>
        <v>3.1839340581694318E-2</v>
      </c>
      <c r="J213" s="9">
        <f t="shared" si="34"/>
        <v>0.25808410339202598</v>
      </c>
    </row>
    <row r="214" spans="1:10" x14ac:dyDescent="0.25">
      <c r="A214" s="1">
        <v>208</v>
      </c>
      <c r="B214" s="6">
        <v>0.98012621336299999</v>
      </c>
      <c r="C214" s="8">
        <v>7.8476827821199997</v>
      </c>
      <c r="D214" s="9">
        <f t="shared" si="28"/>
        <v>8.52734519624887E-3</v>
      </c>
      <c r="E214" s="9">
        <f t="shared" si="29"/>
        <v>5.5766625504992369E-3</v>
      </c>
      <c r="F214" s="9">
        <f t="shared" si="30"/>
        <v>4.4601808426134287E-2</v>
      </c>
      <c r="G214" s="9">
        <f t="shared" si="31"/>
        <v>0.26244821535557278</v>
      </c>
      <c r="H214" s="9">
        <f t="shared" si="32"/>
        <v>4.1028677149283592E-3</v>
      </c>
      <c r="I214" s="9">
        <f t="shared" si="33"/>
        <v>3.281447651560019E-2</v>
      </c>
      <c r="J214" s="9">
        <f t="shared" si="34"/>
        <v>0.26655108307050113</v>
      </c>
    </row>
    <row r="215" spans="1:10" x14ac:dyDescent="0.25">
      <c r="A215" s="1">
        <v>209</v>
      </c>
      <c r="B215" s="6">
        <v>0.97838636441100002</v>
      </c>
      <c r="C215" s="8">
        <v>7.8516841607699996</v>
      </c>
      <c r="D215" s="9">
        <f t="shared" si="28"/>
        <v>8.7878193842780838E-3</v>
      </c>
      <c r="E215" s="9">
        <f t="shared" si="29"/>
        <v>5.7370182651049319E-3</v>
      </c>
      <c r="F215" s="9">
        <f t="shared" si="30"/>
        <v>4.5987733713874421E-2</v>
      </c>
      <c r="G215" s="9">
        <f t="shared" si="31"/>
        <v>0.27074187077984596</v>
      </c>
      <c r="H215" s="9">
        <f t="shared" si="32"/>
        <v>4.2135095200636456E-3</v>
      </c>
      <c r="I215" s="9">
        <f t="shared" si="33"/>
        <v>3.3775330539104517E-2</v>
      </c>
      <c r="J215" s="9">
        <f t="shared" si="34"/>
        <v>0.27495538029990962</v>
      </c>
    </row>
    <row r="216" spans="1:10" x14ac:dyDescent="0.25">
      <c r="A216" s="1">
        <v>210</v>
      </c>
      <c r="B216" s="6">
        <v>0.97657694675899998</v>
      </c>
      <c r="C216" s="8">
        <v>7.8556545654400001</v>
      </c>
      <c r="D216" s="9">
        <f t="shared" si="28"/>
        <v>9.0457828543741847E-3</v>
      </c>
      <c r="E216" s="9">
        <f t="shared" si="29"/>
        <v>5.8947245337040571E-3</v>
      </c>
      <c r="F216" s="9">
        <f t="shared" si="30"/>
        <v>4.7361725112466016E-2</v>
      </c>
      <c r="G216" s="9">
        <f t="shared" si="31"/>
        <v>0.27897250306629567</v>
      </c>
      <c r="H216" s="9">
        <f t="shared" si="32"/>
        <v>4.3214900563095385E-3</v>
      </c>
      <c r="I216" s="9">
        <f t="shared" si="33"/>
        <v>3.4721410397971546E-2</v>
      </c>
      <c r="J216" s="9">
        <f t="shared" si="34"/>
        <v>0.28329399312260523</v>
      </c>
    </row>
    <row r="217" spans="1:10" x14ac:dyDescent="0.25">
      <c r="A217" s="1">
        <v>211</v>
      </c>
      <c r="B217" s="6">
        <v>0.97469851157499998</v>
      </c>
      <c r="C217" s="8">
        <v>7.8595927867000004</v>
      </c>
      <c r="D217" s="9">
        <f t="shared" si="28"/>
        <v>9.3011570114125419E-3</v>
      </c>
      <c r="E217" s="9">
        <f t="shared" si="29"/>
        <v>6.0497064701601679E-3</v>
      </c>
      <c r="F217" s="9">
        <f t="shared" si="30"/>
        <v>4.8723327698479785E-2</v>
      </c>
      <c r="G217" s="9">
        <f t="shared" si="31"/>
        <v>0.28713718598608151</v>
      </c>
      <c r="H217" s="9">
        <f t="shared" si="32"/>
        <v>4.4267427794765979E-3</v>
      </c>
      <c r="I217" s="9">
        <f t="shared" si="33"/>
        <v>3.5652234727940491E-2</v>
      </c>
      <c r="J217" s="9">
        <f t="shared" si="34"/>
        <v>0.29156392876555809</v>
      </c>
    </row>
    <row r="218" spans="1:10" x14ac:dyDescent="0.25">
      <c r="A218" s="1">
        <v>212</v>
      </c>
      <c r="B218" s="6">
        <v>0.97275163104700002</v>
      </c>
      <c r="C218" s="8">
        <v>7.8634976249299999</v>
      </c>
      <c r="D218" s="9">
        <f t="shared" si="28"/>
        <v>9.5538640825787446E-3</v>
      </c>
      <c r="E218" s="9">
        <f t="shared" si="29"/>
        <v>6.2018913234030597E-3</v>
      </c>
      <c r="F218" s="9">
        <f t="shared" si="30"/>
        <v>5.0072089583603374E-2</v>
      </c>
      <c r="G218" s="9">
        <f t="shared" si="31"/>
        <v>0.29523300292813065</v>
      </c>
      <c r="H218" s="9">
        <f t="shared" si="32"/>
        <v>4.5292043122090123E-3</v>
      </c>
      <c r="I218" s="9">
        <f t="shared" si="33"/>
        <v>3.6567333724076362E-2</v>
      </c>
      <c r="J218" s="9">
        <f t="shared" si="34"/>
        <v>0.29976220724033964</v>
      </c>
    </row>
    <row r="219" spans="1:10" x14ac:dyDescent="0.25">
      <c r="A219" s="1">
        <v>213</v>
      </c>
      <c r="B219" s="6">
        <v>0.97073689821499998</v>
      </c>
      <c r="C219" s="8">
        <v>7.8673678906999998</v>
      </c>
      <c r="D219" s="9">
        <f t="shared" si="28"/>
        <v>9.8038270898266333E-3</v>
      </c>
      <c r="E219" s="9">
        <f t="shared" si="29"/>
        <v>6.3512084973153717E-3</v>
      </c>
      <c r="F219" s="9">
        <f t="shared" si="30"/>
        <v>5.1407561829517667E-2</v>
      </c>
      <c r="G219" s="9">
        <f t="shared" si="31"/>
        <v>0.30325704672876225</v>
      </c>
      <c r="H219" s="9">
        <f t="shared" si="32"/>
        <v>4.6288144811892839E-3</v>
      </c>
      <c r="I219" s="9">
        <f t="shared" si="33"/>
        <v>3.7466249339629366E-2</v>
      </c>
      <c r="J219" s="9">
        <f t="shared" si="34"/>
        <v>0.30788586120995154</v>
      </c>
    </row>
    <row r="220" spans="1:10" x14ac:dyDescent="0.25">
      <c r="A220" s="1">
        <v>214</v>
      </c>
      <c r="B220" s="6">
        <v>0.96865492678499998</v>
      </c>
      <c r="C220" s="8">
        <v>7.87120240506</v>
      </c>
      <c r="D220" s="9">
        <f t="shared" si="28"/>
        <v>1.0050969876862048E-2</v>
      </c>
      <c r="E220" s="9">
        <f t="shared" si="29"/>
        <v>6.4975896041691711E-3</v>
      </c>
      <c r="F220" s="9">
        <f t="shared" si="30"/>
        <v>5.2729298649186518E-2</v>
      </c>
      <c r="G220" s="9">
        <f t="shared" si="31"/>
        <v>0.31120642119631431</v>
      </c>
      <c r="H220" s="9">
        <f t="shared" si="32"/>
        <v>4.7255163754900305E-3</v>
      </c>
      <c r="I220" s="9">
        <f t="shared" si="33"/>
        <v>3.8348535683480796E-2</v>
      </c>
      <c r="J220" s="9">
        <f t="shared" si="34"/>
        <v>0.31593193757180432</v>
      </c>
    </row>
    <row r="221" spans="1:10" x14ac:dyDescent="0.25">
      <c r="A221" s="1">
        <v>215</v>
      </c>
      <c r="B221" s="6">
        <v>0.96650635094600001</v>
      </c>
      <c r="C221" s="8">
        <v>7.875</v>
      </c>
      <c r="D221" s="9">
        <f t="shared" si="28"/>
        <v>1.0295217179977723E-2</v>
      </c>
      <c r="E221" s="9">
        <f t="shared" si="29"/>
        <v>6.6409685441746096E-3</v>
      </c>
      <c r="F221" s="9">
        <f t="shared" si="30"/>
        <v>5.4036857839993409E-2</v>
      </c>
      <c r="G221" s="9">
        <f t="shared" si="31"/>
        <v>0.31907824401719675</v>
      </c>
      <c r="H221" s="9">
        <f t="shared" si="32"/>
        <v>4.8192564202692656E-3</v>
      </c>
      <c r="I221" s="9">
        <f t="shared" si="33"/>
        <v>3.9213759573203416E-2</v>
      </c>
      <c r="J221" s="9">
        <f t="shared" si="34"/>
        <v>0.32389750043746601</v>
      </c>
    </row>
    <row r="222" spans="1:10" x14ac:dyDescent="0.25">
      <c r="A222" s="1">
        <v>216</v>
      </c>
      <c r="B222" s="6">
        <v>0.96429182517599998</v>
      </c>
      <c r="C222" s="8">
        <v>7.8787595187299999</v>
      </c>
      <c r="D222" s="9">
        <f t="shared" si="28"/>
        <v>1.0536494583897493E-2</v>
      </c>
      <c r="E222" s="9">
        <f t="shared" si="29"/>
        <v>6.781281508436203E-3</v>
      </c>
      <c r="F222" s="9">
        <f t="shared" si="30"/>
        <v>5.5329800615040739E-2</v>
      </c>
      <c r="G222" s="9">
        <f t="shared" si="31"/>
        <v>0.32686964612084562</v>
      </c>
      <c r="H222" s="9">
        <f t="shared" si="32"/>
        <v>4.9099843911085935E-3</v>
      </c>
      <c r="I222" s="9">
        <f t="shared" si="33"/>
        <v>4.0061500637179462E-2</v>
      </c>
      <c r="J222" s="9">
        <f t="shared" si="34"/>
        <v>0.33177963051195419</v>
      </c>
    </row>
    <row r="223" spans="1:10" x14ac:dyDescent="0.25">
      <c r="A223" s="1">
        <v>217</v>
      </c>
      <c r="B223" s="6">
        <v>0.96201202403899999</v>
      </c>
      <c r="C223" s="8">
        <v>7.88247981606</v>
      </c>
      <c r="D223" s="9">
        <f t="shared" si="28"/>
        <v>1.0774728605746908E-2</v>
      </c>
      <c r="E223" s="9">
        <f t="shared" si="29"/>
        <v>6.9184670624990799E-3</v>
      </c>
      <c r="F223" s="9">
        <f t="shared" si="30"/>
        <v>5.660769210752839E-2</v>
      </c>
      <c r="G223" s="9">
        <f t="shared" si="31"/>
        <v>0.33457777502502339</v>
      </c>
      <c r="H223" s="9">
        <f t="shared" si="32"/>
        <v>4.9976534833338108E-3</v>
      </c>
      <c r="I223" s="9">
        <f t="shared" si="33"/>
        <v>4.0891351892954779E-2</v>
      </c>
      <c r="J223" s="9">
        <f t="shared" si="34"/>
        <v>0.3395754285083572</v>
      </c>
    </row>
    <row r="224" spans="1:10" x14ac:dyDescent="0.25">
      <c r="A224" s="1">
        <v>218</v>
      </c>
      <c r="B224" s="6">
        <v>0.95966764198599996</v>
      </c>
      <c r="C224" s="8">
        <v>7.8861597587499999</v>
      </c>
      <c r="D224" s="9">
        <f t="shared" si="28"/>
        <v>1.1009846664730372E-2</v>
      </c>
      <c r="E224" s="9">
        <f t="shared" si="29"/>
        <v>7.0524661538885064E-3</v>
      </c>
      <c r="F224" s="9">
        <f t="shared" si="30"/>
        <v>5.7870101276685737E-2</v>
      </c>
      <c r="G224" s="9">
        <f t="shared" si="31"/>
        <v>0.3421997946584745</v>
      </c>
      <c r="H224" s="9">
        <f t="shared" si="32"/>
        <v>5.0822203225346476E-3</v>
      </c>
      <c r="I224" s="9">
        <f t="shared" si="33"/>
        <v>4.1702919877661365E-2</v>
      </c>
      <c r="J224" s="9">
        <f t="shared" si="34"/>
        <v>0.34728201498100914</v>
      </c>
    </row>
    <row r="225" spans="1:10" x14ac:dyDescent="0.25">
      <c r="A225" s="1">
        <v>219</v>
      </c>
      <c r="B225" s="6">
        <v>0.95725939313899999</v>
      </c>
      <c r="C225" s="8">
        <v>7.8897982258699999</v>
      </c>
      <c r="D225" s="9">
        <f t="shared" si="28"/>
        <v>1.1241777153880861E-2</v>
      </c>
      <c r="E225" s="9">
        <f t="shared" si="29"/>
        <v>7.1832221830415996E-3</v>
      </c>
      <c r="F225" s="9">
        <f t="shared" si="30"/>
        <v>5.9116601350695158E-2</v>
      </c>
      <c r="G225" s="9">
        <f t="shared" si="31"/>
        <v>0.34973288836427069</v>
      </c>
      <c r="H225" s="9">
        <f t="shared" si="32"/>
        <v>5.1636450173480021E-3</v>
      </c>
      <c r="I225" s="9">
        <f t="shared" si="33"/>
        <v>4.2495825153353449E-2</v>
      </c>
      <c r="J225" s="9">
        <f t="shared" si="34"/>
        <v>0.3548965333816187</v>
      </c>
    </row>
    <row r="226" spans="1:10" x14ac:dyDescent="0.25">
      <c r="A226" s="1">
        <v>220</v>
      </c>
      <c r="B226" s="6">
        <v>0.95478801107199995</v>
      </c>
      <c r="C226" s="8">
        <v>7.8933941090899999</v>
      </c>
      <c r="D226" s="9">
        <f t="shared" si="28"/>
        <v>1.1470449418319983E-2</v>
      </c>
      <c r="E226" s="9">
        <f t="shared" si="29"/>
        <v>7.3106810118107671E-3</v>
      </c>
      <c r="F226" s="9">
        <f t="shared" si="30"/>
        <v>6.0346769779258111E-2</v>
      </c>
      <c r="G226" s="9">
        <f t="shared" si="31"/>
        <v>0.35717425901222782</v>
      </c>
      <c r="H226" s="9">
        <f t="shared" si="32"/>
        <v>5.2418911634677934E-3</v>
      </c>
      <c r="I226" s="9">
        <f t="shared" si="33"/>
        <v>4.3269702443539122E-2</v>
      </c>
      <c r="J226" s="9">
        <f t="shared" si="34"/>
        <v>0.36241615017569562</v>
      </c>
    </row>
    <row r="227" spans="1:10" x14ac:dyDescent="0.25">
      <c r="A227" s="1">
        <v>221</v>
      </c>
      <c r="B227" s="6">
        <v>0.95225424859399999</v>
      </c>
      <c r="C227" s="8">
        <v>7.8969463130699999</v>
      </c>
      <c r="D227" s="9">
        <f t="shared" si="28"/>
        <v>1.1695793795332143E-2</v>
      </c>
      <c r="E227" s="9">
        <f t="shared" si="29"/>
        <v>7.4347910093459308E-3</v>
      </c>
      <c r="F227" s="9">
        <f t="shared" si="30"/>
        <v>6.1560188511893751E-2</v>
      </c>
      <c r="G227" s="9">
        <f t="shared" si="31"/>
        <v>0.36452113104481781</v>
      </c>
      <c r="H227" s="9">
        <f t="shared" si="32"/>
        <v>5.3169258710794136E-3</v>
      </c>
      <c r="I227" s="9">
        <f t="shared" si="33"/>
        <v>4.4024200990807387E-2</v>
      </c>
      <c r="J227" s="9">
        <f t="shared" si="34"/>
        <v>0.36983805691589722</v>
      </c>
    </row>
    <row r="228" spans="1:10" x14ac:dyDescent="0.25">
      <c r="A228" s="1">
        <v>222</v>
      </c>
      <c r="B228" s="6">
        <v>0.94965887751199995</v>
      </c>
      <c r="C228" s="8">
        <v>7.9004537557900001</v>
      </c>
      <c r="D228" s="9">
        <f t="shared" si="28"/>
        <v>1.1917741664434267E-2</v>
      </c>
      <c r="E228" s="9">
        <f t="shared" si="29"/>
        <v>7.5555031017092997E-3</v>
      </c>
      <c r="F228" s="9">
        <f t="shared" si="30"/>
        <v>6.2756444330129862E-2</v>
      </c>
      <c r="G228" s="9">
        <f t="shared" si="31"/>
        <v>0.37177075285223826</v>
      </c>
      <c r="H228" s="9">
        <f t="shared" si="32"/>
        <v>5.3887197911918388E-3</v>
      </c>
      <c r="I228" s="9">
        <f t="shared" si="33"/>
        <v>4.4758984936848011E-2</v>
      </c>
      <c r="J228" s="9">
        <f t="shared" si="34"/>
        <v>0.37715947264343008</v>
      </c>
    </row>
    <row r="229" spans="1:10" x14ac:dyDescent="0.25">
      <c r="A229" s="1">
        <v>223</v>
      </c>
      <c r="B229" s="6">
        <v>0.94700268840199997</v>
      </c>
      <c r="C229" s="8">
        <v>7.9039153688299999</v>
      </c>
      <c r="D229" s="9">
        <f t="shared" si="28"/>
        <v>1.2136225392067157E-2</v>
      </c>
      <c r="E229" s="9">
        <f t="shared" si="29"/>
        <v>7.6727707521344474E-3</v>
      </c>
      <c r="F229" s="9">
        <f t="shared" si="30"/>
        <v>6.39351286252718E-2</v>
      </c>
      <c r="G229" s="9">
        <f t="shared" si="31"/>
        <v>0.37892039586834264</v>
      </c>
      <c r="H229" s="9">
        <f t="shared" si="32"/>
        <v>5.4572470888327382E-3</v>
      </c>
      <c r="I229" s="9">
        <f t="shared" si="33"/>
        <v>4.5473733291206318E-2</v>
      </c>
      <c r="J229" s="9">
        <f t="shared" si="34"/>
        <v>0.38437764295717536</v>
      </c>
    </row>
    <row r="230" spans="1:10" x14ac:dyDescent="0.25">
      <c r="A230" s="1">
        <v>224</v>
      </c>
      <c r="B230" s="6">
        <v>0.94428649036400003</v>
      </c>
      <c r="C230" s="8">
        <v>7.9073300977600001</v>
      </c>
      <c r="D230" s="9">
        <f t="shared" si="28"/>
        <v>1.2351178447103983E-2</v>
      </c>
      <c r="E230" s="9">
        <f t="shared" si="29"/>
        <v>7.7865500473385365E-3</v>
      </c>
      <c r="F230" s="9">
        <f t="shared" si="30"/>
        <v>6.5095838076272311E-2</v>
      </c>
      <c r="G230" s="9">
        <f t="shared" si="31"/>
        <v>0.38596735900480805</v>
      </c>
      <c r="H230" s="9">
        <f t="shared" si="32"/>
        <v>5.5224854884892973E-3</v>
      </c>
      <c r="I230" s="9">
        <f t="shared" si="33"/>
        <v>4.6168140527877079E-2</v>
      </c>
      <c r="J230" s="9">
        <f t="shared" si="34"/>
        <v>0.39148984449329732</v>
      </c>
    </row>
    <row r="231" spans="1:10" x14ac:dyDescent="0.25">
      <c r="A231" s="1">
        <v>225</v>
      </c>
      <c r="B231" s="6">
        <v>0.94151111078000005</v>
      </c>
      <c r="C231" s="8">
        <v>7.9106969024199998</v>
      </c>
      <c r="D231" s="9">
        <f t="shared" si="28"/>
        <v>1.2562535336702041E-2</v>
      </c>
      <c r="E231" s="9">
        <f t="shared" si="29"/>
        <v>7.8967996674131468E-3</v>
      </c>
      <c r="F231" s="9">
        <f t="shared" si="30"/>
        <v>6.6238174382222736E-2</v>
      </c>
      <c r="G231" s="9">
        <f t="shared" si="31"/>
        <v>0.39290896749111276</v>
      </c>
      <c r="H231" s="9">
        <f t="shared" si="32"/>
        <v>5.5844162329809557E-3</v>
      </c>
      <c r="I231" s="9">
        <f t="shared" si="33"/>
        <v>4.6841916491709608E-2</v>
      </c>
      <c r="J231" s="9">
        <f t="shared" si="34"/>
        <v>0.39849338372409371</v>
      </c>
    </row>
    <row r="232" spans="1:10" x14ac:dyDescent="0.25">
      <c r="A232" s="1">
        <v>226</v>
      </c>
      <c r="B232" s="6">
        <v>0.93867739505600001</v>
      </c>
      <c r="C232" s="8">
        <v>7.9140147572500004</v>
      </c>
      <c r="D232" s="9">
        <f t="shared" si="28"/>
        <v>1.2770231693293166E-2</v>
      </c>
      <c r="E232" s="9">
        <f t="shared" si="29"/>
        <v>8.0034809488641369E-3</v>
      </c>
      <c r="F232" s="9">
        <f t="shared" si="30"/>
        <v>6.7361744791181247E-2</v>
      </c>
      <c r="G232" s="9">
        <f t="shared" si="31"/>
        <v>0.39974257643713534</v>
      </c>
      <c r="H232" s="9">
        <f t="shared" si="32"/>
        <v>5.6430241052017258E-3</v>
      </c>
      <c r="I232" s="9">
        <f t="shared" si="33"/>
        <v>4.7494786855876499E-2</v>
      </c>
      <c r="J232" s="9">
        <f t="shared" si="34"/>
        <v>0.40538560054233708</v>
      </c>
    </row>
    <row r="233" spans="1:10" x14ac:dyDescent="0.25">
      <c r="A233" s="1">
        <v>227</v>
      </c>
      <c r="B233" s="6">
        <v>0.93578620636900001</v>
      </c>
      <c r="C233" s="8">
        <v>7.9172826515899999</v>
      </c>
      <c r="D233" s="9">
        <f t="shared" si="28"/>
        <v>1.2974204240650433E-2</v>
      </c>
      <c r="E233" s="9">
        <f t="shared" si="29"/>
        <v>8.1065578688510401E-3</v>
      </c>
      <c r="F233" s="9">
        <f t="shared" si="30"/>
        <v>6.8466161992256719E-2</v>
      </c>
      <c r="G233" s="9">
        <f t="shared" si="31"/>
        <v>0.4064655706260149</v>
      </c>
      <c r="H233" s="9">
        <f t="shared" si="32"/>
        <v>5.6982973905446051E-3</v>
      </c>
      <c r="I233" s="9">
        <f t="shared" si="33"/>
        <v>4.8126493111342039E-2</v>
      </c>
      <c r="J233" s="9">
        <f t="shared" si="34"/>
        <v>0.41216386801655952</v>
      </c>
    </row>
    <row r="234" spans="1:10" x14ac:dyDescent="0.25">
      <c r="A234" s="1">
        <v>228</v>
      </c>
      <c r="B234" s="6">
        <v>0.93283842540499995</v>
      </c>
      <c r="C234" s="8">
        <v>7.9204995900200004</v>
      </c>
      <c r="D234" s="9">
        <f t="shared" si="28"/>
        <v>1.3174390848249118E-2</v>
      </c>
      <c r="E234" s="9">
        <f t="shared" si="29"/>
        <v>8.2059970825520863E-3</v>
      </c>
      <c r="F234" s="9">
        <f t="shared" si="30"/>
        <v>6.9551044473476389E-2</v>
      </c>
      <c r="G234" s="9">
        <f t="shared" si="31"/>
        <v>0.41307536707353293</v>
      </c>
      <c r="H234" s="9">
        <f t="shared" si="32"/>
        <v>5.7502278736758219E-3</v>
      </c>
      <c r="I234" s="9">
        <f t="shared" si="33"/>
        <v>4.8736792870342299E-2</v>
      </c>
      <c r="J234" s="9">
        <f t="shared" si="34"/>
        <v>0.41882559494720872</v>
      </c>
    </row>
    <row r="235" spans="1:10" x14ac:dyDescent="0.25">
      <c r="A235" s="1">
        <v>229</v>
      </c>
      <c r="B235" s="6">
        <v>0.92983495008499994</v>
      </c>
      <c r="C235" s="8">
        <v>7.9236645926099998</v>
      </c>
      <c r="D235" s="9">
        <f t="shared" ref="D235:D298" si="35">((B234*C235)-(B235*C234))*0.5</f>
        <v>1.3370730536576225E-2</v>
      </c>
      <c r="E235" s="9">
        <f t="shared" ref="E235:E298" si="36">(B235+B234)*((B234*C235)-(B235*C234))*(1/6)</f>
        <v>8.3017679271105514E-3</v>
      </c>
      <c r="F235" s="9">
        <f t="shared" ref="F235:F298" si="37">(C235+C234)*((B234*C235)-(B235*C234))*(1/6)</f>
        <v>7.0616016621072739E-2</v>
      </c>
      <c r="G235" s="9">
        <f t="shared" ref="G235:G298" si="38">(((C234*C234)+(C234*C235)+(C235*C235))*((B234*C235)-(B235*C234)))/12</f>
        <v>0.41956941605609521</v>
      </c>
      <c r="H235" s="9">
        <f t="shared" ref="H235:H298" si="39">(((B234*B234)+(B234*B235)+(B235*B235))*((B234*C235)-(B235*C234)))/12</f>
        <v>5.7988108083946834E-3</v>
      </c>
      <c r="I235" s="9">
        <f t="shared" ref="I235:I298" si="40">(((B234*C235)+(2*B234*C234)+(2*B235*C235)+(B235*C234))*((B234*C235)-(B235*C234)))/24</f>
        <v>4.9325459970284306E-2</v>
      </c>
      <c r="J235" s="9">
        <f t="shared" ref="J235:J298" si="41">G235+H235</f>
        <v>0.42536822686448988</v>
      </c>
    </row>
    <row r="236" spans="1:10" x14ac:dyDescent="0.25">
      <c r="A236" s="1">
        <v>230</v>
      </c>
      <c r="B236" s="6">
        <v>0.92677669529700002</v>
      </c>
      <c r="C236" s="8">
        <v>7.9267766953000001</v>
      </c>
      <c r="D236" s="9">
        <f t="shared" si="35"/>
        <v>1.3563163514135557E-2</v>
      </c>
      <c r="E236" s="9">
        <f t="shared" si="36"/>
        <v>8.393842442854774E-3</v>
      </c>
      <c r="F236" s="9">
        <f t="shared" si="37"/>
        <v>7.1660708986376234E-2</v>
      </c>
      <c r="G236" s="9">
        <f t="shared" si="38"/>
        <v>0.42594520313786549</v>
      </c>
      <c r="H236" s="9">
        <f t="shared" si="39"/>
        <v>5.8440448964736658E-3</v>
      </c>
      <c r="I236" s="9">
        <f t="shared" si="40"/>
        <v>4.9892284678963533E-2</v>
      </c>
      <c r="J236" s="9">
        <f t="shared" si="41"/>
        <v>0.43178924803433916</v>
      </c>
    </row>
    <row r="237" spans="1:10" x14ac:dyDescent="0.25">
      <c r="A237" s="1">
        <v>231</v>
      </c>
      <c r="B237" s="6">
        <v>0.923664592615</v>
      </c>
      <c r="C237" s="8">
        <v>7.9298349500800001</v>
      </c>
      <c r="D237" s="9">
        <f t="shared" si="35"/>
        <v>1.3751631135721532E-2</v>
      </c>
      <c r="E237" s="9">
        <f t="shared" si="36"/>
        <v>8.4821953432251025E-3</v>
      </c>
      <c r="F237" s="9">
        <f t="shared" si="37"/>
        <v>7.2684758136550731E-2</v>
      </c>
      <c r="G237" s="9">
        <f t="shared" si="38"/>
        <v>0.43220024872520296</v>
      </c>
      <c r="H237" s="9">
        <f t="shared" si="39"/>
        <v>5.8859322276755494E-3</v>
      </c>
      <c r="I237" s="9">
        <f t="shared" si="40"/>
        <v>5.0437073593224004E-2</v>
      </c>
      <c r="J237" s="9">
        <f t="shared" si="41"/>
        <v>0.43808618095287849</v>
      </c>
    </row>
    <row r="238" spans="1:10" x14ac:dyDescent="0.25">
      <c r="A238" s="1">
        <v>232</v>
      </c>
      <c r="B238" s="6">
        <v>0.92049959001600001</v>
      </c>
      <c r="C238" s="8">
        <v>7.9328384253999999</v>
      </c>
      <c r="D238" s="9">
        <f t="shared" si="35"/>
        <v>1.3936076017260657E-2</v>
      </c>
      <c r="E238" s="9">
        <f t="shared" si="36"/>
        <v>8.56680407915166E-3</v>
      </c>
      <c r="F238" s="9">
        <f t="shared" si="37"/>
        <v>7.3687807332555325E-2</v>
      </c>
      <c r="G238" s="9">
        <f t="shared" si="38"/>
        <v>0.43833211254000309</v>
      </c>
      <c r="H238" s="9">
        <f t="shared" si="39"/>
        <v>5.924478282605671E-3</v>
      </c>
      <c r="I238" s="9">
        <f t="shared" si="40"/>
        <v>5.095965009739057E-2</v>
      </c>
      <c r="J238" s="9">
        <f t="shared" si="41"/>
        <v>0.44425659082260877</v>
      </c>
    </row>
    <row r="239" spans="1:10" x14ac:dyDescent="0.25">
      <c r="A239" s="1">
        <v>233</v>
      </c>
      <c r="B239" s="6">
        <v>0.91728265159</v>
      </c>
      <c r="C239" s="8">
        <v>7.9357862063700004</v>
      </c>
      <c r="D239" s="9">
        <f t="shared" si="35"/>
        <v>1.4116441966130377E-2</v>
      </c>
      <c r="E239" s="9">
        <f t="shared" si="36"/>
        <v>8.6476487866720304E-3</v>
      </c>
      <c r="F239" s="9">
        <f t="shared" si="37"/>
        <v>7.4669506232229413E-2</v>
      </c>
      <c r="G239" s="9">
        <f t="shared" si="38"/>
        <v>0.44433839230055511</v>
      </c>
      <c r="H239" s="9">
        <f t="shared" si="39"/>
        <v>5.959691851368569E-3</v>
      </c>
      <c r="I239" s="9">
        <f t="shared" si="40"/>
        <v>5.1459854125995845E-2</v>
      </c>
      <c r="J239" s="9">
        <f t="shared" si="41"/>
        <v>0.45029808415192368</v>
      </c>
    </row>
    <row r="240" spans="1:10" x14ac:dyDescent="0.25">
      <c r="A240" s="1">
        <v>234</v>
      </c>
      <c r="B240" s="6">
        <v>0.91401475724799996</v>
      </c>
      <c r="C240" s="8">
        <v>7.93867739506</v>
      </c>
      <c r="D240" s="9">
        <f t="shared" si="35"/>
        <v>1.4292674035464525E-2</v>
      </c>
      <c r="E240" s="9">
        <f t="shared" si="36"/>
        <v>8.7247123088374477E-3</v>
      </c>
      <c r="F240" s="9">
        <f t="shared" si="37"/>
        <v>7.5629511247695083E-2</v>
      </c>
      <c r="G240" s="9">
        <f t="shared" si="38"/>
        <v>0.45021672628880621</v>
      </c>
      <c r="H240" s="9">
        <f t="shared" si="39"/>
        <v>5.9915850012355132E-3</v>
      </c>
      <c r="I240" s="9">
        <f t="shared" si="40"/>
        <v>5.1937542365737242E-2</v>
      </c>
      <c r="J240" s="9">
        <f t="shared" si="41"/>
        <v>0.45620831129004175</v>
      </c>
    </row>
    <row r="241" spans="1:10" x14ac:dyDescent="0.25">
      <c r="A241" s="1">
        <v>235</v>
      </c>
      <c r="B241" s="6">
        <v>0.91069690242199997</v>
      </c>
      <c r="C241" s="8">
        <v>7.9415111107799996</v>
      </c>
      <c r="D241" s="9">
        <f t="shared" si="35"/>
        <v>1.4464718546590927E-2</v>
      </c>
      <c r="E241" s="9">
        <f t="shared" si="36"/>
        <v>8.7979801952697868E-3</v>
      </c>
      <c r="F241" s="9">
        <f t="shared" si="37"/>
        <v>7.6567485734594626E-2</v>
      </c>
      <c r="G241" s="9">
        <f t="shared" si="38"/>
        <v>0.45596479492096215</v>
      </c>
      <c r="H241" s="9">
        <f t="shared" si="39"/>
        <v>6.0201730260265067E-3</v>
      </c>
      <c r="I241" s="9">
        <f t="shared" si="40"/>
        <v>5.2392588322856676E-2</v>
      </c>
      <c r="J241" s="9">
        <f t="shared" si="41"/>
        <v>0.46198496794698868</v>
      </c>
    </row>
    <row r="242" spans="1:10" x14ac:dyDescent="0.25">
      <c r="A242" s="1">
        <v>236</v>
      </c>
      <c r="B242" s="6">
        <v>0.90733009776200002</v>
      </c>
      <c r="C242" s="8">
        <v>7.9442864903599997</v>
      </c>
      <c r="D242" s="9">
        <f t="shared" si="35"/>
        <v>1.4632523100883255E-2</v>
      </c>
      <c r="E242" s="9">
        <f t="shared" si="36"/>
        <v>8.8674406927406208E-3</v>
      </c>
      <c r="F242" s="9">
        <f t="shared" si="37"/>
        <v>7.748310012487894E-2</v>
      </c>
      <c r="G242" s="9">
        <f t="shared" si="38"/>
        <v>0.46158032198102633</v>
      </c>
      <c r="H242" s="9">
        <f t="shared" si="39"/>
        <v>6.0454743867713002E-3</v>
      </c>
      <c r="I242" s="9">
        <f t="shared" si="40"/>
        <v>5.2824882334844225E-2</v>
      </c>
      <c r="J242" s="9">
        <f t="shared" si="41"/>
        <v>0.46762579636779761</v>
      </c>
    </row>
    <row r="243" spans="1:10" x14ac:dyDescent="0.25">
      <c r="A243" s="1">
        <v>237</v>
      </c>
      <c r="B243" s="6">
        <v>0.90391536883099999</v>
      </c>
      <c r="C243" s="8">
        <v>7.9470026883999996</v>
      </c>
      <c r="D243" s="9">
        <f t="shared" si="35"/>
        <v>1.4796036573979876E-2</v>
      </c>
      <c r="E243" s="9">
        <f t="shared" si="36"/>
        <v>8.9330847227217583E-3</v>
      </c>
      <c r="F243" s="9">
        <f t="shared" si="37"/>
        <v>7.8376031965541187E-2</v>
      </c>
      <c r="G243" s="9">
        <f t="shared" si="38"/>
        <v>0.46706107529144009</v>
      </c>
      <c r="H243" s="9">
        <f t="shared" si="39"/>
        <v>6.0675106411585029E-3</v>
      </c>
      <c r="I243" s="9">
        <f t="shared" si="40"/>
        <v>5.3234331502074468E-2</v>
      </c>
      <c r="J243" s="9">
        <f t="shared" si="41"/>
        <v>0.4731285859325986</v>
      </c>
    </row>
    <row r="244" spans="1:10" x14ac:dyDescent="0.25">
      <c r="A244" s="1">
        <v>238</v>
      </c>
      <c r="B244" s="6">
        <v>0.90045375578800002</v>
      </c>
      <c r="C244" s="8">
        <v>7.9496588775100001</v>
      </c>
      <c r="D244" s="9">
        <f t="shared" si="35"/>
        <v>1.4955209158986182E-2</v>
      </c>
      <c r="E244" s="9">
        <f t="shared" si="36"/>
        <v>8.994905886231315E-3</v>
      </c>
      <c r="F244" s="9">
        <f t="shared" si="37"/>
        <v>7.9245966215933605E-2</v>
      </c>
      <c r="G244" s="9">
        <f t="shared" si="38"/>
        <v>0.4724048689207585</v>
      </c>
      <c r="H244" s="9">
        <f t="shared" si="39"/>
        <v>6.0863063893533418E-3</v>
      </c>
      <c r="I244" s="9">
        <f t="shared" si="40"/>
        <v>5.3620859779459761E-2</v>
      </c>
      <c r="J244" s="9">
        <f t="shared" si="41"/>
        <v>0.47849117531011187</v>
      </c>
    </row>
    <row r="245" spans="1:10" x14ac:dyDescent="0.25">
      <c r="A245" s="1">
        <v>239</v>
      </c>
      <c r="B245" s="6">
        <v>0.89694631307299999</v>
      </c>
      <c r="C245" s="8">
        <v>7.9522542485900001</v>
      </c>
      <c r="D245" s="9">
        <f t="shared" si="35"/>
        <v>1.5109992376653558E-2</v>
      </c>
      <c r="E245" s="9">
        <f t="shared" si="36"/>
        <v>9.0529004460954306E-3</v>
      </c>
      <c r="F245" s="9">
        <f t="shared" si="37"/>
        <v>8.0092595369859382E-2</v>
      </c>
      <c r="G245" s="9">
        <f t="shared" si="38"/>
        <v>0.47760956434660901</v>
      </c>
      <c r="H245" s="9">
        <f t="shared" si="39"/>
        <v>6.1018892021788554E-3</v>
      </c>
      <c r="I245" s="9">
        <f t="shared" si="40"/>
        <v>5.3984407931223721E-2</v>
      </c>
      <c r="J245" s="9">
        <f t="shared" si="41"/>
        <v>0.48371145354878786</v>
      </c>
    </row>
    <row r="246" spans="1:10" x14ac:dyDescent="0.25">
      <c r="A246" s="1">
        <v>240</v>
      </c>
      <c r="B246" s="6">
        <v>0.89339410908799999</v>
      </c>
      <c r="C246" s="8">
        <v>7.9547880110699998</v>
      </c>
      <c r="D246" s="9">
        <f t="shared" si="35"/>
        <v>1.5260339073106532E-2</v>
      </c>
      <c r="E246" s="9">
        <f t="shared" si="36"/>
        <v>9.1070672994885173E-3</v>
      </c>
      <c r="F246" s="9">
        <f t="shared" si="37"/>
        <v>8.0915619510882095E-2</v>
      </c>
      <c r="G246" s="9">
        <f t="shared" si="38"/>
        <v>0.48267307121692443</v>
      </c>
      <c r="H246" s="9">
        <f t="shared" si="39"/>
        <v>6.1142895408262407E-3</v>
      </c>
      <c r="I246" s="9">
        <f t="shared" si="40"/>
        <v>5.432493342504164E-2</v>
      </c>
      <c r="J246" s="9">
        <f t="shared" si="41"/>
        <v>0.4887873607577507</v>
      </c>
    </row>
    <row r="247" spans="1:10" x14ac:dyDescent="0.25">
      <c r="A247" s="1">
        <v>241</v>
      </c>
      <c r="B247" s="6">
        <v>0.88979822586799995</v>
      </c>
      <c r="C247" s="8">
        <v>7.9572593931400002</v>
      </c>
      <c r="D247" s="9">
        <f t="shared" si="35"/>
        <v>1.5406203455154088E-2</v>
      </c>
      <c r="E247" s="9">
        <f t="shared" si="36"/>
        <v>9.1574079706678042E-3</v>
      </c>
      <c r="F247" s="9">
        <f t="shared" si="37"/>
        <v>8.1714746565771906E-2</v>
      </c>
      <c r="G247" s="9">
        <f t="shared" si="38"/>
        <v>0.48759334928729342</v>
      </c>
      <c r="H247" s="9">
        <f t="shared" si="39"/>
        <v>6.1235406883434875E-3</v>
      </c>
      <c r="I247" s="9">
        <f t="shared" si="40"/>
        <v>5.4642410443697505E-2</v>
      </c>
      <c r="J247" s="9">
        <f t="shared" si="41"/>
        <v>0.4937168899756369</v>
      </c>
    </row>
    <row r="248" spans="1:10" x14ac:dyDescent="0.25">
      <c r="A248" s="1">
        <v>242</v>
      </c>
      <c r="B248" s="6">
        <v>0.88615975875399999</v>
      </c>
      <c r="C248" s="8">
        <v>7.9596676419900003</v>
      </c>
      <c r="D248" s="9">
        <f t="shared" si="35"/>
        <v>1.5547541086843086E-2</v>
      </c>
      <c r="E248" s="9">
        <f t="shared" si="36"/>
        <v>9.2039265781391939E-3</v>
      </c>
      <c r="F248" s="9">
        <f t="shared" si="37"/>
        <v>8.2489692351655736E-2</v>
      </c>
      <c r="G248" s="9">
        <f t="shared" si="38"/>
        <v>0.49236840912396335</v>
      </c>
      <c r="H248" s="9">
        <f t="shared" si="39"/>
        <v>6.1296786621718351E-3</v>
      </c>
      <c r="I248" s="9">
        <f t="shared" si="40"/>
        <v>5.4936829741486087E-2</v>
      </c>
      <c r="J248" s="9">
        <f t="shared" si="41"/>
        <v>0.49849808778613519</v>
      </c>
    </row>
    <row r="249" spans="1:10" x14ac:dyDescent="0.25">
      <c r="A249" s="1">
        <v>243</v>
      </c>
      <c r="B249" s="6">
        <v>0.88247981605799997</v>
      </c>
      <c r="C249" s="8">
        <v>7.9620120240399999</v>
      </c>
      <c r="D249" s="9">
        <f t="shared" si="35"/>
        <v>1.5684308916791956E-2</v>
      </c>
      <c r="E249" s="9">
        <f t="shared" si="36"/>
        <v>9.2466298179383274E-3</v>
      </c>
      <c r="F249" s="9">
        <f t="shared" si="37"/>
        <v>8.3240180785406487E-2</v>
      </c>
      <c r="G249" s="9">
        <f t="shared" si="38"/>
        <v>0.49699631376966535</v>
      </c>
      <c r="H249" s="9">
        <f t="shared" si="39"/>
        <v>6.1327421359729925E-3</v>
      </c>
      <c r="I249" s="9">
        <f t="shared" si="40"/>
        <v>5.5208198593860003E-2</v>
      </c>
      <c r="J249" s="9">
        <f t="shared" si="41"/>
        <v>0.50312905590563839</v>
      </c>
    </row>
    <row r="250" spans="1:10" x14ac:dyDescent="0.25">
      <c r="A250" s="1">
        <v>244</v>
      </c>
      <c r="B250" s="6">
        <v>0.87875951872799996</v>
      </c>
      <c r="C250" s="8">
        <v>7.9642918251800001</v>
      </c>
      <c r="D250" s="9">
        <f t="shared" si="35"/>
        <v>1.5816465282570302E-2</v>
      </c>
      <c r="E250" s="9">
        <f t="shared" si="36"/>
        <v>9.2855269309799933E-3</v>
      </c>
      <c r="F250" s="9">
        <f t="shared" si="37"/>
        <v>8.3965943970284632E-2</v>
      </c>
      <c r="G250" s="9">
        <f t="shared" si="38"/>
        <v>0.50147517967174948</v>
      </c>
      <c r="H250" s="9">
        <f t="shared" si="39"/>
        <v>6.1327723493780385E-3</v>
      </c>
      <c r="I250" s="9">
        <f t="shared" si="40"/>
        <v>5.5456540649090467E-2</v>
      </c>
      <c r="J250" s="9">
        <f t="shared" si="41"/>
        <v>0.50760795202112752</v>
      </c>
    </row>
    <row r="251" spans="1:10" x14ac:dyDescent="0.25">
      <c r="A251" s="1">
        <v>245</v>
      </c>
      <c r="B251" s="6">
        <v>0.875</v>
      </c>
      <c r="C251" s="8">
        <v>7.9665063509499996</v>
      </c>
      <c r="D251" s="9">
        <f t="shared" si="35"/>
        <v>1.5943969935938274E-2</v>
      </c>
      <c r="E251" s="9">
        <f t="shared" si="36"/>
        <v>9.3206296804882686E-3</v>
      </c>
      <c r="F251" s="9">
        <f t="shared" si="37"/>
        <v>8.4666722391905661E-2</v>
      </c>
      <c r="G251" s="9">
        <f t="shared" si="38"/>
        <v>0.50580317825542065</v>
      </c>
      <c r="H251" s="9">
        <f t="shared" si="39"/>
        <v>6.1298130231676818E-3</v>
      </c>
      <c r="I251" s="9">
        <f t="shared" si="40"/>
        <v>5.5681895836933927E-2</v>
      </c>
      <c r="J251" s="9">
        <f t="shared" si="41"/>
        <v>0.51193299127858838</v>
      </c>
    </row>
    <row r="252" spans="1:10" x14ac:dyDescent="0.25">
      <c r="A252" s="1">
        <v>246</v>
      </c>
      <c r="B252" s="6">
        <v>0.87120240506199997</v>
      </c>
      <c r="C252" s="8">
        <v>7.9686549267800002</v>
      </c>
      <c r="D252" s="9">
        <f t="shared" si="35"/>
        <v>1.6066784021581793E-2</v>
      </c>
      <c r="E252" s="9">
        <f t="shared" si="36"/>
        <v>9.3519523000326118E-3</v>
      </c>
      <c r="F252" s="9">
        <f t="shared" si="37"/>
        <v>8.5342264866120413E-2</v>
      </c>
      <c r="G252" s="9">
        <f t="shared" si="38"/>
        <v>0.50997853600857357</v>
      </c>
      <c r="H252" s="9">
        <f t="shared" si="39"/>
        <v>6.1239102539940166E-3</v>
      </c>
      <c r="I252" s="9">
        <f t="shared" si="40"/>
        <v>5.5884320098677893E-2</v>
      </c>
      <c r="J252" s="9">
        <f t="shared" si="41"/>
        <v>0.51610244626256763</v>
      </c>
    </row>
    <row r="253" spans="1:10" x14ac:dyDescent="0.25">
      <c r="A253" s="1">
        <v>247</v>
      </c>
      <c r="B253" s="6">
        <v>0.86736789069599995</v>
      </c>
      <c r="C253" s="8">
        <v>7.9707368982100002</v>
      </c>
      <c r="D253" s="9">
        <f t="shared" si="35"/>
        <v>1.6184870155760311E-2</v>
      </c>
      <c r="E253" s="9">
        <f t="shared" si="36"/>
        <v>9.3795114978350094E-3</v>
      </c>
      <c r="F253" s="9">
        <f t="shared" si="37"/>
        <v>8.5992329016416846E-2</v>
      </c>
      <c r="G253" s="9">
        <f t="shared" si="38"/>
        <v>0.51399953772417273</v>
      </c>
      <c r="H253" s="9">
        <f t="shared" si="39"/>
        <v>6.1151124451647642E-3</v>
      </c>
      <c r="I253" s="9">
        <f t="shared" si="40"/>
        <v>5.6063885450393619E-2</v>
      </c>
      <c r="J253" s="9">
        <f t="shared" si="41"/>
        <v>0.52011465016933744</v>
      </c>
    </row>
    <row r="254" spans="1:10" x14ac:dyDescent="0.25">
      <c r="A254" s="1">
        <v>248</v>
      </c>
      <c r="B254" s="6">
        <v>0.86349762493500004</v>
      </c>
      <c r="C254" s="8">
        <v>7.9727516310500004</v>
      </c>
      <c r="D254" s="9">
        <f t="shared" si="35"/>
        <v>1.6298192340413742E-2</v>
      </c>
      <c r="E254" s="9">
        <f t="shared" si="36"/>
        <v>9.4033263630478141E-3</v>
      </c>
      <c r="F254" s="9">
        <f t="shared" si="37"/>
        <v>8.6616680875686552E-2</v>
      </c>
      <c r="G254" s="9">
        <f t="shared" si="38"/>
        <v>0.51786452450056364</v>
      </c>
      <c r="H254" s="9">
        <f t="shared" si="39"/>
        <v>6.1034701723388851E-3</v>
      </c>
      <c r="I254" s="9">
        <f t="shared" si="40"/>
        <v>5.6220679457053106E-2</v>
      </c>
      <c r="J254" s="9">
        <f t="shared" si="41"/>
        <v>0.52396799467290256</v>
      </c>
    </row>
    <row r="255" spans="1:10" x14ac:dyDescent="0.25">
      <c r="A255" s="1">
        <v>249</v>
      </c>
      <c r="B255" s="6">
        <v>0.85959278669700001</v>
      </c>
      <c r="C255" s="8">
        <v>7.9746985115699998</v>
      </c>
      <c r="D255" s="9">
        <f t="shared" si="35"/>
        <v>1.6406716068026572E-2</v>
      </c>
      <c r="E255" s="9">
        <f t="shared" si="36"/>
        <v>9.423418381061751E-3</v>
      </c>
      <c r="F255" s="9">
        <f t="shared" si="37"/>
        <v>8.7215095499658724E-2</v>
      </c>
      <c r="G255" s="9">
        <f t="shared" si="38"/>
        <v>0.5215718977778725</v>
      </c>
      <c r="H255" s="9">
        <f t="shared" si="39"/>
        <v>6.0890361200222724E-3</v>
      </c>
      <c r="I255" s="9">
        <f t="shared" si="40"/>
        <v>5.635480535488608E-2</v>
      </c>
      <c r="J255" s="9">
        <f t="shared" si="41"/>
        <v>0.52766093389789481</v>
      </c>
    </row>
    <row r="256" spans="1:10" x14ac:dyDescent="0.25">
      <c r="A256" s="1">
        <v>250</v>
      </c>
      <c r="B256" s="6">
        <v>0.85565456543499996</v>
      </c>
      <c r="C256" s="8">
        <v>7.9765769467599998</v>
      </c>
      <c r="D256" s="9">
        <f t="shared" si="35"/>
        <v>1.6510408287953471E-2</v>
      </c>
      <c r="E256" s="9">
        <f t="shared" si="36"/>
        <v>9.4398113661768052E-3</v>
      </c>
      <c r="F256" s="9">
        <f t="shared" si="37"/>
        <v>8.7787356843546799E-2</v>
      </c>
      <c r="G256" s="9">
        <f t="shared" si="38"/>
        <v>0.52512011896618438</v>
      </c>
      <c r="H256" s="9">
        <f t="shared" si="39"/>
        <v>6.0718649634896602E-3</v>
      </c>
      <c r="I256" s="9">
        <f t="shared" si="40"/>
        <v>5.6466381677087812E-2</v>
      </c>
      <c r="J256" s="9">
        <f t="shared" si="41"/>
        <v>0.53119198392967404</v>
      </c>
    </row>
    <row r="257" spans="1:10" x14ac:dyDescent="0.25">
      <c r="A257" s="1">
        <v>251</v>
      </c>
      <c r="B257" s="6">
        <v>0.851684160769</v>
      </c>
      <c r="C257" s="8">
        <v>7.9783863644100004</v>
      </c>
      <c r="D257" s="9">
        <f t="shared" si="35"/>
        <v>1.6609237400562638E-2</v>
      </c>
      <c r="E257" s="9">
        <f t="shared" si="36"/>
        <v>9.452531408898816E-3</v>
      </c>
      <c r="F257" s="9">
        <f t="shared" si="37"/>
        <v>8.8333257784163149E-2</v>
      </c>
      <c r="G257" s="9">
        <f t="shared" si="38"/>
        <v>0.52850770992918827</v>
      </c>
      <c r="H257" s="9">
        <f t="shared" si="39"/>
        <v>6.0520132602313419E-3</v>
      </c>
      <c r="I257" s="9">
        <f t="shared" si="40"/>
        <v>5.6555541963216882E-2</v>
      </c>
      <c r="J257" s="9">
        <f t="shared" si="41"/>
        <v>0.53455972318941958</v>
      </c>
    </row>
    <row r="258" spans="1:10" x14ac:dyDescent="0.25">
      <c r="A258" s="1">
        <v>252</v>
      </c>
      <c r="B258" s="6">
        <v>0.84768278212199999</v>
      </c>
      <c r="C258" s="8">
        <v>7.9801262133600002</v>
      </c>
      <c r="D258" s="9">
        <f t="shared" si="35"/>
        <v>1.670317331445581E-2</v>
      </c>
      <c r="E258" s="9">
        <f t="shared" si="36"/>
        <v>9.4616068573217665E-3</v>
      </c>
      <c r="F258" s="9">
        <f t="shared" si="37"/>
        <v>8.8852600475805094E-2</v>
      </c>
      <c r="G258" s="9">
        <f t="shared" si="38"/>
        <v>0.53173325545450512</v>
      </c>
      <c r="H258" s="9">
        <f t="shared" si="39"/>
        <v>6.0295393631124052E-3</v>
      </c>
      <c r="I258" s="9">
        <f t="shared" si="40"/>
        <v>5.6622434669262499E-2</v>
      </c>
      <c r="J258" s="9">
        <f t="shared" si="41"/>
        <v>0.53776279481761757</v>
      </c>
    </row>
    <row r="259" spans="1:10" x14ac:dyDescent="0.25">
      <c r="A259" s="1">
        <v>253</v>
      </c>
      <c r="B259" s="6">
        <v>0.84365164835399997</v>
      </c>
      <c r="C259" s="8">
        <v>7.9817959636399998</v>
      </c>
      <c r="D259" s="9">
        <f t="shared" si="35"/>
        <v>1.6792187407188575E-2</v>
      </c>
      <c r="E259" s="9">
        <f t="shared" si="36"/>
        <v>9.4670682415945156E-3</v>
      </c>
      <c r="F259" s="9">
        <f t="shared" si="37"/>
        <v>8.9345196191714465E-2</v>
      </c>
      <c r="G259" s="9">
        <f t="shared" si="38"/>
        <v>0.53479540263859227</v>
      </c>
      <c r="H259" s="9">
        <f t="shared" si="39"/>
        <v>6.0045032969908369E-3</v>
      </c>
      <c r="I259" s="9">
        <f t="shared" si="40"/>
        <v>5.666722273425534E-2</v>
      </c>
      <c r="J259" s="9">
        <f t="shared" si="41"/>
        <v>0.54079990593558314</v>
      </c>
    </row>
    <row r="260" spans="1:10" x14ac:dyDescent="0.25">
      <c r="A260" s="1">
        <v>254</v>
      </c>
      <c r="B260" s="6">
        <v>0.83959198738600005</v>
      </c>
      <c r="C260" s="8">
        <v>7.9833951066199997</v>
      </c>
      <c r="D260" s="9">
        <f t="shared" si="35"/>
        <v>1.6876252569579808E-2</v>
      </c>
      <c r="E260" s="9">
        <f t="shared" si="36"/>
        <v>9.468948244295344E-3</v>
      </c>
      <c r="F260" s="9">
        <f t="shared" si="37"/>
        <v>8.9810865607769311E-2</v>
      </c>
      <c r="G260" s="9">
        <f t="shared" si="38"/>
        <v>0.53769286290326046</v>
      </c>
      <c r="H260" s="9">
        <f t="shared" si="39"/>
        <v>5.9769666649664059E-3</v>
      </c>
      <c r="I260" s="9">
        <f t="shared" si="40"/>
        <v>5.6690083417955707E-2</v>
      </c>
      <c r="J260" s="9">
        <f t="shared" si="41"/>
        <v>0.54366982956822685</v>
      </c>
    </row>
    <row r="261" spans="1:10" x14ac:dyDescent="0.25">
      <c r="A261" s="1">
        <v>255</v>
      </c>
      <c r="B261" s="6">
        <v>0.835505035831</v>
      </c>
      <c r="C261" s="8">
        <v>7.9849231551999997</v>
      </c>
      <c r="D261" s="9">
        <f t="shared" si="35"/>
        <v>1.6955343194642758E-2</v>
      </c>
      <c r="E261" s="9">
        <f t="shared" si="36"/>
        <v>9.4672816376562344E-3</v>
      </c>
      <c r="F261" s="9">
        <f t="shared" si="37"/>
        <v>9.0249438790146463E-2</v>
      </c>
      <c r="G261" s="9">
        <f t="shared" si="38"/>
        <v>0.54042441223145421</v>
      </c>
      <c r="H261" s="9">
        <f t="shared" si="39"/>
        <v>5.9469925337827167E-3</v>
      </c>
      <c r="I261" s="9">
        <f t="shared" si="40"/>
        <v>5.669120793717785E-2</v>
      </c>
      <c r="J261" s="9">
        <f t="shared" si="41"/>
        <v>0.54637140476523693</v>
      </c>
    </row>
    <row r="262" spans="1:10" x14ac:dyDescent="0.25">
      <c r="A262" s="1">
        <v>256</v>
      </c>
      <c r="B262" s="6">
        <v>0.83139203861400002</v>
      </c>
      <c r="C262" s="8">
        <v>7.9863796439000003</v>
      </c>
      <c r="D262" s="9">
        <f t="shared" si="35"/>
        <v>1.702943517938893E-2</v>
      </c>
      <c r="E262" s="9">
        <f t="shared" si="36"/>
        <v>9.4621052266580553E-3</v>
      </c>
      <c r="F262" s="9">
        <f t="shared" si="37"/>
        <v>9.0660755249222139E-2</v>
      </c>
      <c r="G262" s="9">
        <f t="shared" si="38"/>
        <v>0.54298889178538945</v>
      </c>
      <c r="H262" s="9">
        <f t="shared" si="39"/>
        <v>5.9146453235956178E-3</v>
      </c>
      <c r="I262" s="9">
        <f t="shared" si="40"/>
        <v>5.6670801133821384E-2</v>
      </c>
      <c r="J262" s="9">
        <f t="shared" si="41"/>
        <v>0.5489035371089851</v>
      </c>
    </row>
    <row r="263" spans="1:10" x14ac:dyDescent="0.25">
      <c r="A263" s="1">
        <v>257</v>
      </c>
      <c r="B263" s="6">
        <v>0.82725424859399999</v>
      </c>
      <c r="C263" s="8">
        <v>7.9877641290700003</v>
      </c>
      <c r="D263" s="9">
        <f t="shared" si="35"/>
        <v>1.7098505967188871E-2</v>
      </c>
      <c r="E263" s="9">
        <f t="shared" si="36"/>
        <v>9.4534578130938841E-3</v>
      </c>
      <c r="F263" s="9">
        <f t="shared" si="37"/>
        <v>9.1044664207620155E-2</v>
      </c>
      <c r="G263" s="9">
        <f t="shared" si="38"/>
        <v>0.54538520979596272</v>
      </c>
      <c r="H263" s="9">
        <f t="shared" si="39"/>
        <v>5.87999071147699E-3</v>
      </c>
      <c r="I263" s="9">
        <f t="shared" si="40"/>
        <v>5.6629081265427123E-2</v>
      </c>
      <c r="J263" s="9">
        <f t="shared" si="41"/>
        <v>0.55126520050743966</v>
      </c>
    </row>
    <row r="264" spans="1:10" x14ac:dyDescent="0.25">
      <c r="A264" s="1">
        <v>258</v>
      </c>
      <c r="B264" s="6">
        <v>0.82309292618100005</v>
      </c>
      <c r="C264" s="8">
        <v>7.9890761889900004</v>
      </c>
      <c r="D264" s="9">
        <f t="shared" si="35"/>
        <v>1.7162534521642847E-2</v>
      </c>
      <c r="E264" s="9">
        <f t="shared" si="36"/>
        <v>9.4413801199238929E-3</v>
      </c>
      <c r="F264" s="9">
        <f t="shared" si="37"/>
        <v>9.1401024501826689E-2</v>
      </c>
      <c r="G264" s="9">
        <f t="shared" si="38"/>
        <v>0.54761234124584568</v>
      </c>
      <c r="H264" s="9">
        <f t="shared" si="39"/>
        <v>5.843095510785711E-3</v>
      </c>
      <c r="I264" s="9">
        <f t="shared" si="40"/>
        <v>5.6566279554890631E-2</v>
      </c>
      <c r="J264" s="9">
        <f t="shared" si="41"/>
        <v>0.55345543675663134</v>
      </c>
    </row>
    <row r="265" spans="1:10" x14ac:dyDescent="0.25">
      <c r="A265" s="1">
        <v>259</v>
      </c>
      <c r="B265" s="6">
        <v>0.81890933895399998</v>
      </c>
      <c r="C265" s="8">
        <v>7.9903154239800003</v>
      </c>
      <c r="D265" s="9">
        <f t="shared" si="35"/>
        <v>1.7221501326966759E-2</v>
      </c>
      <c r="E265" s="9">
        <f t="shared" si="36"/>
        <v>9.4259147293016075E-3</v>
      </c>
      <c r="F265" s="9">
        <f t="shared" si="37"/>
        <v>9.1729704622294794E-2</v>
      </c>
      <c r="G265" s="9">
        <f t="shared" si="38"/>
        <v>0.54966932836510562</v>
      </c>
      <c r="H265" s="9">
        <f t="shared" si="39"/>
        <v>5.8040275602493406E-3</v>
      </c>
      <c r="I265" s="9">
        <f t="shared" si="40"/>
        <v>5.6482639818574182E-2</v>
      </c>
      <c r="J265" s="9">
        <f t="shared" si="41"/>
        <v>0.55547335592535496</v>
      </c>
    </row>
    <row r="266" spans="1:10" x14ac:dyDescent="0.25">
      <c r="A266" s="1">
        <v>260</v>
      </c>
      <c r="B266" s="6">
        <v>0.814704761276</v>
      </c>
      <c r="C266" s="8">
        <v>7.9914814565699999</v>
      </c>
      <c r="D266" s="9">
        <f t="shared" si="35"/>
        <v>1.7275388424660143E-2</v>
      </c>
      <c r="E266" s="9">
        <f t="shared" si="36"/>
        <v>9.4071060391583104E-3</v>
      </c>
      <c r="F266" s="9">
        <f t="shared" si="37"/>
        <v>9.2030582945174355E-2</v>
      </c>
      <c r="G266" s="9">
        <f t="shared" si="38"/>
        <v>0.55155528226431827</v>
      </c>
      <c r="H266" s="9">
        <f t="shared" si="39"/>
        <v>5.7628556255769096E-3</v>
      </c>
      <c r="I266" s="9">
        <f t="shared" si="40"/>
        <v>5.6378418202875098E-2</v>
      </c>
      <c r="J266" s="9">
        <f t="shared" si="41"/>
        <v>0.55731813788989515</v>
      </c>
    </row>
    <row r="267" spans="1:10" x14ac:dyDescent="0.25">
      <c r="A267" s="1">
        <v>261</v>
      </c>
      <c r="B267" s="6">
        <v>0.8104804739</v>
      </c>
      <c r="C267" s="8">
        <v>7.99257393157</v>
      </c>
      <c r="D267" s="9">
        <f t="shared" si="35"/>
        <v>1.7324179408300999E-2</v>
      </c>
      <c r="E267" s="9">
        <f t="shared" si="36"/>
        <v>9.3850001953036249E-3</v>
      </c>
      <c r="F267" s="9">
        <f t="shared" si="37"/>
        <v>9.2303547738785865E-2</v>
      </c>
      <c r="G267" s="9">
        <f t="shared" si="38"/>
        <v>0.55326938320348507</v>
      </c>
      <c r="H267" s="9">
        <f t="shared" si="39"/>
        <v>5.7196492870375112E-3</v>
      </c>
      <c r="I267" s="9">
        <f t="shared" si="40"/>
        <v>5.6253882771045587E-2</v>
      </c>
      <c r="J267" s="9">
        <f t="shared" si="41"/>
        <v>0.55898903249052256</v>
      </c>
    </row>
    <row r="268" spans="1:10" x14ac:dyDescent="0.25">
      <c r="A268" s="1">
        <v>262</v>
      </c>
      <c r="B268" s="6">
        <v>0.80623776358599997</v>
      </c>
      <c r="C268" s="8">
        <v>7.9935925161999997</v>
      </c>
      <c r="D268" s="9">
        <f t="shared" si="35"/>
        <v>1.736785940425456E-2</v>
      </c>
      <c r="E268" s="9">
        <f t="shared" si="36"/>
        <v>9.3596450149836929E-3</v>
      </c>
      <c r="F268" s="9">
        <f t="shared" si="37"/>
        <v>9.2548497092626969E-2</v>
      </c>
      <c r="G268" s="9">
        <f t="shared" si="38"/>
        <v>0.55481088038094339</v>
      </c>
      <c r="H268" s="9">
        <f t="shared" si="39"/>
        <v>5.6744788233667465E-3</v>
      </c>
      <c r="I268" s="9">
        <f t="shared" si="40"/>
        <v>5.6109313035745532E-2</v>
      </c>
      <c r="J268" s="9">
        <f t="shared" si="41"/>
        <v>0.5604853592043102</v>
      </c>
    </row>
    <row r="269" spans="1:10" x14ac:dyDescent="0.25">
      <c r="A269" s="1">
        <v>263</v>
      </c>
      <c r="B269" s="6">
        <v>0.80197792270400003</v>
      </c>
      <c r="C269" s="8">
        <v>7.99453690018</v>
      </c>
      <c r="D269" s="9">
        <f t="shared" si="35"/>
        <v>1.7406415111279827E-2</v>
      </c>
      <c r="E269" s="9">
        <f t="shared" si="36"/>
        <v>9.3310899413451692E-3</v>
      </c>
      <c r="F269" s="9">
        <f t="shared" si="37"/>
        <v>9.2765339158124765E-2</v>
      </c>
      <c r="G269" s="9">
        <f t="shared" si="38"/>
        <v>0.55617909357726858</v>
      </c>
      <c r="H269" s="9">
        <f t="shared" si="39"/>
        <v>5.6274151160728737E-3</v>
      </c>
      <c r="I269" s="9">
        <f t="shared" si="40"/>
        <v>5.5944999674094303E-2</v>
      </c>
      <c r="J269" s="9">
        <f t="shared" si="41"/>
        <v>0.56180650869334148</v>
      </c>
    </row>
    <row r="270" spans="1:10" x14ac:dyDescent="0.25">
      <c r="A270" s="1">
        <v>264</v>
      </c>
      <c r="B270" s="6">
        <v>0.79770224884399998</v>
      </c>
      <c r="C270" s="8">
        <v>7.9954067958600001</v>
      </c>
      <c r="D270" s="9">
        <f t="shared" si="35"/>
        <v>1.7439834788660402E-2</v>
      </c>
      <c r="E270" s="9">
        <f t="shared" si="36"/>
        <v>9.2993859688310157E-3</v>
      </c>
      <c r="F270" s="9">
        <f t="shared" si="37"/>
        <v>9.2953992112973172E-2</v>
      </c>
      <c r="G270" s="9">
        <f t="shared" si="38"/>
        <v>0.55737341312809707</v>
      </c>
      <c r="H270" s="9">
        <f t="shared" si="39"/>
        <v>5.578529537565176E-3</v>
      </c>
      <c r="I270" s="9">
        <f t="shared" si="40"/>
        <v>5.5761244065775838E-2</v>
      </c>
      <c r="J270" s="9">
        <f t="shared" si="41"/>
        <v>0.56295194266566229</v>
      </c>
    </row>
    <row r="271" spans="1:10" x14ac:dyDescent="0.25">
      <c r="A271" s="1">
        <v>265</v>
      </c>
      <c r="B271" s="6">
        <v>0.79341204441699997</v>
      </c>
      <c r="C271" s="8">
        <v>7.9962019382499996</v>
      </c>
      <c r="D271" s="9">
        <f t="shared" si="35"/>
        <v>1.7468108251958991E-2</v>
      </c>
      <c r="E271" s="9">
        <f t="shared" si="36"/>
        <v>9.2645855719741231E-3</v>
      </c>
      <c r="F271" s="9">
        <f t="shared" si="37"/>
        <v>9.3114384163468789E-2</v>
      </c>
      <c r="G271" s="9">
        <f t="shared" si="38"/>
        <v>0.55839330010760213</v>
      </c>
      <c r="H271" s="9">
        <f t="shared" si="39"/>
        <v>5.5278938432424818E-3</v>
      </c>
      <c r="I271" s="9">
        <f t="shared" si="40"/>
        <v>5.5558357848618817E-2</v>
      </c>
      <c r="J271" s="9">
        <f t="shared" si="41"/>
        <v>0.56392119395084461</v>
      </c>
    </row>
    <row r="272" spans="1:10" x14ac:dyDescent="0.25">
      <c r="A272" s="1">
        <v>266</v>
      </c>
      <c r="B272" s="6">
        <v>0.78910861625999995</v>
      </c>
      <c r="C272" s="8">
        <v>7.9969220851499996</v>
      </c>
      <c r="D272" s="9">
        <f t="shared" si="35"/>
        <v>1.7491226897166534E-2</v>
      </c>
      <c r="E272" s="9">
        <f t="shared" si="36"/>
        <v>9.2267426484517641E-3</v>
      </c>
      <c r="F272" s="9">
        <f t="shared" si="37"/>
        <v>9.3246453695938106E-2</v>
      </c>
      <c r="G272" s="9">
        <f t="shared" si="38"/>
        <v>0.55923828739097592</v>
      </c>
      <c r="H272" s="9">
        <f t="shared" si="39"/>
        <v>5.4755800739996136E-3</v>
      </c>
      <c r="I272" s="9">
        <f t="shared" si="40"/>
        <v>5.5336662557128345E-2</v>
      </c>
      <c r="J272" s="9">
        <f t="shared" si="41"/>
        <v>0.56471386746497554</v>
      </c>
    </row>
    <row r="273" spans="1:10" x14ac:dyDescent="0.25">
      <c r="A273" s="1">
        <v>267</v>
      </c>
      <c r="B273" s="6">
        <v>0.78479327523999998</v>
      </c>
      <c r="C273" s="8">
        <v>7.9975670171899997</v>
      </c>
      <c r="D273" s="9">
        <f t="shared" si="35"/>
        <v>1.7509183668728667E-2</v>
      </c>
      <c r="E273" s="9">
        <f t="shared" si="36"/>
        <v>9.185912431610984E-3</v>
      </c>
      <c r="F273" s="9">
        <f t="shared" si="37"/>
        <v>9.3350149126783383E-2</v>
      </c>
      <c r="G273" s="9">
        <f t="shared" si="38"/>
        <v>0.5599079788947533</v>
      </c>
      <c r="H273" s="9">
        <f t="shared" si="39"/>
        <v>5.4216604425147905E-3</v>
      </c>
      <c r="I273" s="9">
        <f t="shared" si="40"/>
        <v>5.5096489075509347E-2</v>
      </c>
      <c r="J273" s="9">
        <f t="shared" si="41"/>
        <v>0.5653296393372681</v>
      </c>
    </row>
    <row r="274" spans="1:10" x14ac:dyDescent="0.25">
      <c r="A274" s="1">
        <v>268</v>
      </c>
      <c r="B274" s="6">
        <v>0.78046733585100003</v>
      </c>
      <c r="C274" s="8">
        <v>7.9981365379099998</v>
      </c>
      <c r="D274" s="9">
        <f t="shared" si="35"/>
        <v>1.7521973103497235E-2</v>
      </c>
      <c r="E274" s="9">
        <f t="shared" si="36"/>
        <v>9.1421514425000482E-3</v>
      </c>
      <c r="F274" s="9">
        <f t="shared" si="37"/>
        <v>9.3425429154659095E-2</v>
      </c>
      <c r="G274" s="9">
        <f t="shared" si="38"/>
        <v>0.56040205121152631</v>
      </c>
      <c r="H274" s="9">
        <f t="shared" si="39"/>
        <v>5.366207245167458E-3</v>
      </c>
      <c r="I274" s="9">
        <f t="shared" si="40"/>
        <v>5.4838177325060349E-2</v>
      </c>
      <c r="J274" s="9">
        <f t="shared" si="41"/>
        <v>0.56576825845669376</v>
      </c>
    </row>
    <row r="275" spans="1:10" x14ac:dyDescent="0.25">
      <c r="A275" s="1">
        <v>269</v>
      </c>
      <c r="B275" s="6">
        <v>0.77613211581700003</v>
      </c>
      <c r="C275" s="8">
        <v>7.9986304738399996</v>
      </c>
      <c r="D275" s="9">
        <f t="shared" si="35"/>
        <v>1.7529591306591374E-2</v>
      </c>
      <c r="E275" s="9">
        <f t="shared" si="36"/>
        <v>9.0955174052680908E-3</v>
      </c>
      <c r="F275" s="9">
        <f t="shared" si="37"/>
        <v>9.3472262647580143E-2</v>
      </c>
      <c r="G275" s="9">
        <f t="shared" si="38"/>
        <v>0.56072025304111339</v>
      </c>
      <c r="H275" s="9">
        <f t="shared" si="39"/>
        <v>5.3092927543566459E-3</v>
      </c>
      <c r="I275" s="9">
        <f t="shared" si="40"/>
        <v>5.4562075729751421E-2</v>
      </c>
      <c r="J275" s="9">
        <f t="shared" si="41"/>
        <v>0.56602954579547005</v>
      </c>
    </row>
    <row r="276" spans="1:10" x14ac:dyDescent="0.25">
      <c r="A276" s="1">
        <v>270</v>
      </c>
      <c r="B276" s="6">
        <v>0.77178893568700002</v>
      </c>
      <c r="C276" s="8">
        <v>7.99904867452</v>
      </c>
      <c r="D276" s="9">
        <f t="shared" si="35"/>
        <v>1.7532035959899606E-2</v>
      </c>
      <c r="E276" s="9">
        <f t="shared" si="36"/>
        <v>9.046069179351246E-3</v>
      </c>
      <c r="F276" s="9">
        <f t="shared" si="37"/>
        <v>9.3490628701327863E-2</v>
      </c>
      <c r="G276" s="9">
        <f t="shared" si="38"/>
        <v>0.56086240563112111</v>
      </c>
      <c r="H276" s="9">
        <f t="shared" si="39"/>
        <v>5.2509891231355688E-3</v>
      </c>
      <c r="I276" s="9">
        <f t="shared" si="40"/>
        <v>5.4268540780098427E-2</v>
      </c>
      <c r="J276" s="9">
        <f t="shared" si="41"/>
        <v>0.5661133947542567</v>
      </c>
    </row>
    <row r="277" spans="1:10" x14ac:dyDescent="0.25">
      <c r="A277" s="1">
        <v>271</v>
      </c>
      <c r="B277" s="6">
        <v>0.76743911843599999</v>
      </c>
      <c r="C277" s="8">
        <v>7.9993910125600003</v>
      </c>
      <c r="D277" s="9">
        <f t="shared" si="35"/>
        <v>1.7529306313776694E-2</v>
      </c>
      <c r="E277" s="9">
        <f t="shared" si="36"/>
        <v>8.9938666824935058E-3</v>
      </c>
      <c r="F277" s="9">
        <f t="shared" si="37"/>
        <v>9.3480516605769018E-2</v>
      </c>
      <c r="G277" s="9">
        <f t="shared" si="38"/>
        <v>0.56082840264852662</v>
      </c>
      <c r="H277" s="9">
        <f t="shared" si="39"/>
        <v>5.1913682868772763E-3</v>
      </c>
      <c r="I277" s="9">
        <f t="shared" si="40"/>
        <v>5.3957936539940299E-2</v>
      </c>
      <c r="J277" s="9">
        <f t="shared" si="41"/>
        <v>0.5660197709354039</v>
      </c>
    </row>
    <row r="278" spans="1:10" x14ac:dyDescent="0.25">
      <c r="A278" s="1">
        <v>272</v>
      </c>
      <c r="B278" s="6">
        <v>0.76308398906099995</v>
      </c>
      <c r="C278" s="8">
        <v>7.9996573836899998</v>
      </c>
      <c r="D278" s="9">
        <f t="shared" si="35"/>
        <v>1.7521403203047736E-2</v>
      </c>
      <c r="E278" s="9">
        <f t="shared" si="36"/>
        <v>8.9389708260121693E-3</v>
      </c>
      <c r="F278" s="9">
        <f t="shared" si="37"/>
        <v>9.3441925938590159E-2</v>
      </c>
      <c r="G278" s="9">
        <f t="shared" si="38"/>
        <v>0.56061821080066743</v>
      </c>
      <c r="H278" s="9">
        <f t="shared" si="39"/>
        <v>5.1305018745497538E-3</v>
      </c>
      <c r="I278" s="9">
        <f t="shared" si="40"/>
        <v>5.3630634224836569E-2</v>
      </c>
      <c r="J278" s="9">
        <f t="shared" si="41"/>
        <v>0.5657487126752172</v>
      </c>
    </row>
    <row r="279" spans="1:10" x14ac:dyDescent="0.25">
      <c r="A279" s="1">
        <v>273</v>
      </c>
      <c r="B279" s="6">
        <v>0.75872487417599999</v>
      </c>
      <c r="C279" s="8">
        <v>7.9998477067499998</v>
      </c>
      <c r="D279" s="9">
        <f t="shared" si="35"/>
        <v>1.7508329027989156E-2</v>
      </c>
      <c r="E279" s="9">
        <f t="shared" si="36"/>
        <v>8.8814434317545134E-3</v>
      </c>
      <c r="F279" s="9">
        <f t="shared" si="37"/>
        <v>9.3374866469470297E-2</v>
      </c>
      <c r="G279" s="9">
        <f t="shared" si="38"/>
        <v>0.56023186930046698</v>
      </c>
      <c r="H279" s="9">
        <f t="shared" si="39"/>
        <v>5.068461111927121E-3</v>
      </c>
      <c r="I279" s="9">
        <f t="shared" si="40"/>
        <v>5.3287011668570416E-2</v>
      </c>
      <c r="J279" s="9">
        <f t="shared" si="41"/>
        <v>0.56530033041239414</v>
      </c>
    </row>
    <row r="280" spans="1:10" x14ac:dyDescent="0.25">
      <c r="A280" s="1">
        <v>274</v>
      </c>
      <c r="B280" s="6">
        <v>0.754363101609</v>
      </c>
      <c r="C280" s="8">
        <v>7.9999619237899999</v>
      </c>
      <c r="D280" s="9">
        <f t="shared" si="35"/>
        <v>1.7490087788391673E-2</v>
      </c>
      <c r="E280" s="9">
        <f t="shared" si="36"/>
        <v>8.8213471760131661E-3</v>
      </c>
      <c r="F280" s="9">
        <f t="shared" si="37"/>
        <v>9.3279358345233043E-2</v>
      </c>
      <c r="G280" s="9">
        <f t="shared" si="38"/>
        <v>0.55966949100300123</v>
      </c>
      <c r="H280" s="9">
        <f t="shared" si="39"/>
        <v>5.0053167429259457E-3</v>
      </c>
      <c r="I280" s="9">
        <f t="shared" si="40"/>
        <v>5.2927452949860239E-2</v>
      </c>
      <c r="J280" s="9">
        <f t="shared" si="41"/>
        <v>0.56467480774592715</v>
      </c>
    </row>
    <row r="281" spans="1:10" x14ac:dyDescent="0.25">
      <c r="A281" s="1">
        <v>275</v>
      </c>
      <c r="B281" s="6">
        <v>0.75</v>
      </c>
      <c r="C281" s="8">
        <v>8</v>
      </c>
      <c r="D281" s="9">
        <f t="shared" si="35"/>
        <v>1.7466685014750016E-2</v>
      </c>
      <c r="E281" s="9">
        <f t="shared" si="36"/>
        <v>8.7587454812055911E-3</v>
      </c>
      <c r="F281" s="9">
        <f t="shared" si="37"/>
        <v>9.3155431723611209E-2</v>
      </c>
      <c r="G281" s="9">
        <f t="shared" si="38"/>
        <v>0.5589312602155545</v>
      </c>
      <c r="H281" s="9">
        <f t="shared" si="39"/>
        <v>4.9411389238358458E-3</v>
      </c>
      <c r="I281" s="9">
        <f t="shared" si="40"/>
        <v>5.2552347703890334E-2</v>
      </c>
      <c r="J281" s="9">
        <f t="shared" si="41"/>
        <v>0.56387239913939036</v>
      </c>
    </row>
    <row r="282" spans="1:10" x14ac:dyDescent="0.25">
      <c r="A282" s="1">
        <v>276</v>
      </c>
      <c r="B282" s="6">
        <v>0</v>
      </c>
      <c r="C282" s="8">
        <v>8</v>
      </c>
      <c r="D282" s="9">
        <f t="shared" si="35"/>
        <v>3</v>
      </c>
      <c r="E282" s="9">
        <f t="shared" si="36"/>
        <v>0.75</v>
      </c>
      <c r="F282" s="9">
        <f t="shared" si="37"/>
        <v>16</v>
      </c>
      <c r="G282" s="9">
        <f t="shared" si="38"/>
        <v>96</v>
      </c>
      <c r="H282" s="9">
        <f t="shared" si="39"/>
        <v>0.28125</v>
      </c>
      <c r="I282" s="9">
        <f t="shared" si="40"/>
        <v>4.5</v>
      </c>
      <c r="J282" s="9">
        <f t="shared" si="41"/>
        <v>96.28125</v>
      </c>
    </row>
    <row r="283" spans="1:10" x14ac:dyDescent="0.25">
      <c r="A283" s="1">
        <v>277</v>
      </c>
      <c r="B283" s="6">
        <v>0</v>
      </c>
      <c r="C283" s="8">
        <v>0</v>
      </c>
      <c r="D283" s="9">
        <f t="shared" si="35"/>
        <v>0</v>
      </c>
      <c r="E283" s="9">
        <f t="shared" si="36"/>
        <v>0</v>
      </c>
      <c r="F283" s="9">
        <f t="shared" si="37"/>
        <v>0</v>
      </c>
      <c r="G283" s="9">
        <f t="shared" si="38"/>
        <v>0</v>
      </c>
      <c r="H283" s="9">
        <f t="shared" si="39"/>
        <v>0</v>
      </c>
      <c r="I283" s="9">
        <f t="shared" si="40"/>
        <v>0</v>
      </c>
      <c r="J283" s="9">
        <f t="shared" si="41"/>
        <v>0</v>
      </c>
    </row>
    <row r="284" spans="1:10" x14ac:dyDescent="0.25">
      <c r="A284" s="1">
        <v>278</v>
      </c>
      <c r="B284" s="6">
        <v>0</v>
      </c>
      <c r="C284" s="8">
        <v>0</v>
      </c>
      <c r="D284" s="9">
        <f t="shared" si="35"/>
        <v>0</v>
      </c>
      <c r="E284" s="9">
        <f t="shared" si="36"/>
        <v>0</v>
      </c>
      <c r="F284" s="9">
        <f t="shared" si="37"/>
        <v>0</v>
      </c>
      <c r="G284" s="9">
        <f t="shared" si="38"/>
        <v>0</v>
      </c>
      <c r="H284" s="9">
        <f t="shared" si="39"/>
        <v>0</v>
      </c>
      <c r="I284" s="9">
        <f t="shared" si="40"/>
        <v>0</v>
      </c>
      <c r="J284" s="9">
        <f t="shared" si="41"/>
        <v>0</v>
      </c>
    </row>
    <row r="285" spans="1:10" x14ac:dyDescent="0.25">
      <c r="A285" s="1">
        <v>279</v>
      </c>
      <c r="B285" s="6">
        <v>0</v>
      </c>
      <c r="C285" s="8">
        <v>0</v>
      </c>
      <c r="D285" s="9">
        <f t="shared" si="35"/>
        <v>0</v>
      </c>
      <c r="E285" s="9">
        <f t="shared" si="36"/>
        <v>0</v>
      </c>
      <c r="F285" s="9">
        <f t="shared" si="37"/>
        <v>0</v>
      </c>
      <c r="G285" s="9">
        <f t="shared" si="38"/>
        <v>0</v>
      </c>
      <c r="H285" s="9">
        <f t="shared" si="39"/>
        <v>0</v>
      </c>
      <c r="I285" s="9">
        <f t="shared" si="40"/>
        <v>0</v>
      </c>
      <c r="J285" s="9">
        <f t="shared" si="41"/>
        <v>0</v>
      </c>
    </row>
    <row r="286" spans="1:10" x14ac:dyDescent="0.25">
      <c r="A286" s="1">
        <v>280</v>
      </c>
      <c r="B286" s="6">
        <v>0</v>
      </c>
      <c r="C286" s="8">
        <v>0</v>
      </c>
      <c r="D286" s="9">
        <f t="shared" si="35"/>
        <v>0</v>
      </c>
      <c r="E286" s="9">
        <f t="shared" si="36"/>
        <v>0</v>
      </c>
      <c r="F286" s="9">
        <f t="shared" si="37"/>
        <v>0</v>
      </c>
      <c r="G286" s="9">
        <f t="shared" si="38"/>
        <v>0</v>
      </c>
      <c r="H286" s="9">
        <f t="shared" si="39"/>
        <v>0</v>
      </c>
      <c r="I286" s="9">
        <f t="shared" si="40"/>
        <v>0</v>
      </c>
      <c r="J286" s="9">
        <f t="shared" si="41"/>
        <v>0</v>
      </c>
    </row>
    <row r="287" spans="1:10" x14ac:dyDescent="0.25">
      <c r="A287" s="1">
        <v>281</v>
      </c>
      <c r="B287" s="6">
        <v>0</v>
      </c>
      <c r="C287" s="8">
        <v>0</v>
      </c>
      <c r="D287" s="9">
        <f t="shared" si="35"/>
        <v>0</v>
      </c>
      <c r="E287" s="9">
        <f t="shared" si="36"/>
        <v>0</v>
      </c>
      <c r="F287" s="9">
        <f t="shared" si="37"/>
        <v>0</v>
      </c>
      <c r="G287" s="9">
        <f t="shared" si="38"/>
        <v>0</v>
      </c>
      <c r="H287" s="9">
        <f t="shared" si="39"/>
        <v>0</v>
      </c>
      <c r="I287" s="9">
        <f t="shared" si="40"/>
        <v>0</v>
      </c>
      <c r="J287" s="9">
        <f t="shared" si="41"/>
        <v>0</v>
      </c>
    </row>
    <row r="288" spans="1:10" x14ac:dyDescent="0.25">
      <c r="A288" s="1">
        <v>282</v>
      </c>
      <c r="B288" s="6">
        <v>0</v>
      </c>
      <c r="C288" s="8">
        <v>0</v>
      </c>
      <c r="D288" s="9">
        <f t="shared" si="35"/>
        <v>0</v>
      </c>
      <c r="E288" s="9">
        <f t="shared" si="36"/>
        <v>0</v>
      </c>
      <c r="F288" s="9">
        <f t="shared" si="37"/>
        <v>0</v>
      </c>
      <c r="G288" s="9">
        <f t="shared" si="38"/>
        <v>0</v>
      </c>
      <c r="H288" s="9">
        <f t="shared" si="39"/>
        <v>0</v>
      </c>
      <c r="I288" s="9">
        <f t="shared" si="40"/>
        <v>0</v>
      </c>
      <c r="J288" s="9">
        <f t="shared" si="41"/>
        <v>0</v>
      </c>
    </row>
    <row r="289" spans="1:10" x14ac:dyDescent="0.25">
      <c r="A289" s="1">
        <v>283</v>
      </c>
      <c r="B289" s="6">
        <v>0</v>
      </c>
      <c r="C289" s="8">
        <v>0</v>
      </c>
      <c r="D289" s="9">
        <f t="shared" si="35"/>
        <v>0</v>
      </c>
      <c r="E289" s="9">
        <f t="shared" si="36"/>
        <v>0</v>
      </c>
      <c r="F289" s="9">
        <f t="shared" si="37"/>
        <v>0</v>
      </c>
      <c r="G289" s="9">
        <f t="shared" si="38"/>
        <v>0</v>
      </c>
      <c r="H289" s="9">
        <f t="shared" si="39"/>
        <v>0</v>
      </c>
      <c r="I289" s="9">
        <f t="shared" si="40"/>
        <v>0</v>
      </c>
      <c r="J289" s="9">
        <f t="shared" si="41"/>
        <v>0</v>
      </c>
    </row>
    <row r="290" spans="1:10" x14ac:dyDescent="0.25">
      <c r="A290" s="1">
        <v>284</v>
      </c>
      <c r="B290" s="6">
        <v>0</v>
      </c>
      <c r="C290" s="8">
        <v>0</v>
      </c>
      <c r="D290" s="9">
        <f t="shared" si="35"/>
        <v>0</v>
      </c>
      <c r="E290" s="9">
        <f t="shared" si="36"/>
        <v>0</v>
      </c>
      <c r="F290" s="9">
        <f t="shared" si="37"/>
        <v>0</v>
      </c>
      <c r="G290" s="9">
        <f t="shared" si="38"/>
        <v>0</v>
      </c>
      <c r="H290" s="9">
        <f t="shared" si="39"/>
        <v>0</v>
      </c>
      <c r="I290" s="9">
        <f t="shared" si="40"/>
        <v>0</v>
      </c>
      <c r="J290" s="9">
        <f t="shared" si="41"/>
        <v>0</v>
      </c>
    </row>
    <row r="291" spans="1:10" x14ac:dyDescent="0.25">
      <c r="A291" s="1">
        <v>285</v>
      </c>
      <c r="B291" s="6">
        <v>0</v>
      </c>
      <c r="C291" s="8">
        <v>0</v>
      </c>
      <c r="D291" s="9">
        <f t="shared" si="35"/>
        <v>0</v>
      </c>
      <c r="E291" s="9">
        <f t="shared" si="36"/>
        <v>0</v>
      </c>
      <c r="F291" s="9">
        <f t="shared" si="37"/>
        <v>0</v>
      </c>
      <c r="G291" s="9">
        <f t="shared" si="38"/>
        <v>0</v>
      </c>
      <c r="H291" s="9">
        <f t="shared" si="39"/>
        <v>0</v>
      </c>
      <c r="I291" s="9">
        <f t="shared" si="40"/>
        <v>0</v>
      </c>
      <c r="J291" s="9">
        <f t="shared" si="41"/>
        <v>0</v>
      </c>
    </row>
    <row r="292" spans="1:10" x14ac:dyDescent="0.25">
      <c r="A292" s="1">
        <v>286</v>
      </c>
      <c r="B292" s="6">
        <v>0</v>
      </c>
      <c r="C292" s="8">
        <v>0</v>
      </c>
      <c r="D292" s="9">
        <f t="shared" si="35"/>
        <v>0</v>
      </c>
      <c r="E292" s="9">
        <f t="shared" si="36"/>
        <v>0</v>
      </c>
      <c r="F292" s="9">
        <f t="shared" si="37"/>
        <v>0</v>
      </c>
      <c r="G292" s="9">
        <f t="shared" si="38"/>
        <v>0</v>
      </c>
      <c r="H292" s="9">
        <f t="shared" si="39"/>
        <v>0</v>
      </c>
      <c r="I292" s="9">
        <f t="shared" si="40"/>
        <v>0</v>
      </c>
      <c r="J292" s="9">
        <f t="shared" si="41"/>
        <v>0</v>
      </c>
    </row>
    <row r="293" spans="1:10" x14ac:dyDescent="0.25">
      <c r="A293" s="1">
        <v>287</v>
      </c>
      <c r="B293" s="6">
        <v>0</v>
      </c>
      <c r="C293" s="8">
        <v>0</v>
      </c>
      <c r="D293" s="9">
        <f t="shared" si="35"/>
        <v>0</v>
      </c>
      <c r="E293" s="9">
        <f t="shared" si="36"/>
        <v>0</v>
      </c>
      <c r="F293" s="9">
        <f t="shared" si="37"/>
        <v>0</v>
      </c>
      <c r="G293" s="9">
        <f t="shared" si="38"/>
        <v>0</v>
      </c>
      <c r="H293" s="9">
        <f t="shared" si="39"/>
        <v>0</v>
      </c>
      <c r="I293" s="9">
        <f t="shared" si="40"/>
        <v>0</v>
      </c>
      <c r="J293" s="9">
        <f t="shared" si="41"/>
        <v>0</v>
      </c>
    </row>
    <row r="294" spans="1:10" x14ac:dyDescent="0.25">
      <c r="A294" s="1">
        <v>288</v>
      </c>
      <c r="B294" s="6">
        <v>0</v>
      </c>
      <c r="C294" s="8">
        <v>0</v>
      </c>
      <c r="D294" s="9">
        <f t="shared" si="35"/>
        <v>0</v>
      </c>
      <c r="E294" s="9">
        <f t="shared" si="36"/>
        <v>0</v>
      </c>
      <c r="F294" s="9">
        <f t="shared" si="37"/>
        <v>0</v>
      </c>
      <c r="G294" s="9">
        <f t="shared" si="38"/>
        <v>0</v>
      </c>
      <c r="H294" s="9">
        <f t="shared" si="39"/>
        <v>0</v>
      </c>
      <c r="I294" s="9">
        <f t="shared" si="40"/>
        <v>0</v>
      </c>
      <c r="J294" s="9">
        <f t="shared" si="41"/>
        <v>0</v>
      </c>
    </row>
    <row r="295" spans="1:10" x14ac:dyDescent="0.25">
      <c r="A295" s="1">
        <v>289</v>
      </c>
      <c r="B295" s="6">
        <v>0</v>
      </c>
      <c r="C295" s="8">
        <v>0</v>
      </c>
      <c r="D295" s="9">
        <f t="shared" si="35"/>
        <v>0</v>
      </c>
      <c r="E295" s="9">
        <f t="shared" si="36"/>
        <v>0</v>
      </c>
      <c r="F295" s="9">
        <f t="shared" si="37"/>
        <v>0</v>
      </c>
      <c r="G295" s="9">
        <f t="shared" si="38"/>
        <v>0</v>
      </c>
      <c r="H295" s="9">
        <f t="shared" si="39"/>
        <v>0</v>
      </c>
      <c r="I295" s="9">
        <f t="shared" si="40"/>
        <v>0</v>
      </c>
      <c r="J295" s="9">
        <f t="shared" si="41"/>
        <v>0</v>
      </c>
    </row>
    <row r="296" spans="1:10" x14ac:dyDescent="0.25">
      <c r="A296" s="1">
        <v>290</v>
      </c>
      <c r="B296" s="6">
        <v>0</v>
      </c>
      <c r="C296" s="8">
        <v>0</v>
      </c>
      <c r="D296" s="9">
        <f t="shared" si="35"/>
        <v>0</v>
      </c>
      <c r="E296" s="9">
        <f t="shared" si="36"/>
        <v>0</v>
      </c>
      <c r="F296" s="9">
        <f t="shared" si="37"/>
        <v>0</v>
      </c>
      <c r="G296" s="9">
        <f t="shared" si="38"/>
        <v>0</v>
      </c>
      <c r="H296" s="9">
        <f t="shared" si="39"/>
        <v>0</v>
      </c>
      <c r="I296" s="9">
        <f t="shared" si="40"/>
        <v>0</v>
      </c>
      <c r="J296" s="9">
        <f t="shared" si="41"/>
        <v>0</v>
      </c>
    </row>
    <row r="297" spans="1:10" x14ac:dyDescent="0.25">
      <c r="A297" s="1">
        <v>291</v>
      </c>
      <c r="B297" s="6">
        <v>0</v>
      </c>
      <c r="C297" s="8">
        <v>0</v>
      </c>
      <c r="D297" s="9">
        <f t="shared" si="35"/>
        <v>0</v>
      </c>
      <c r="E297" s="9">
        <f t="shared" si="36"/>
        <v>0</v>
      </c>
      <c r="F297" s="9">
        <f t="shared" si="37"/>
        <v>0</v>
      </c>
      <c r="G297" s="9">
        <f t="shared" si="38"/>
        <v>0</v>
      </c>
      <c r="H297" s="9">
        <f t="shared" si="39"/>
        <v>0</v>
      </c>
      <c r="I297" s="9">
        <f t="shared" si="40"/>
        <v>0</v>
      </c>
      <c r="J297" s="9">
        <f t="shared" si="41"/>
        <v>0</v>
      </c>
    </row>
    <row r="298" spans="1:10" x14ac:dyDescent="0.25">
      <c r="A298" s="1">
        <v>292</v>
      </c>
      <c r="B298" s="6">
        <v>0</v>
      </c>
      <c r="C298" s="8">
        <v>0</v>
      </c>
      <c r="D298" s="9">
        <f t="shared" si="35"/>
        <v>0</v>
      </c>
      <c r="E298" s="9">
        <f t="shared" si="36"/>
        <v>0</v>
      </c>
      <c r="F298" s="9">
        <f t="shared" si="37"/>
        <v>0</v>
      </c>
      <c r="G298" s="9">
        <f t="shared" si="38"/>
        <v>0</v>
      </c>
      <c r="H298" s="9">
        <f t="shared" si="39"/>
        <v>0</v>
      </c>
      <c r="I298" s="9">
        <f t="shared" si="40"/>
        <v>0</v>
      </c>
      <c r="J298" s="9">
        <f t="shared" si="41"/>
        <v>0</v>
      </c>
    </row>
    <row r="299" spans="1:10" x14ac:dyDescent="0.25">
      <c r="A299" s="1">
        <v>293</v>
      </c>
      <c r="B299" s="6">
        <v>0</v>
      </c>
      <c r="C299" s="8">
        <v>0</v>
      </c>
      <c r="D299" s="9">
        <f t="shared" ref="D299:D362" si="42">((B298*C299)-(B299*C298))*0.5</f>
        <v>0</v>
      </c>
      <c r="E299" s="9">
        <f t="shared" ref="E299:E362" si="43">(B299+B298)*((B298*C299)-(B299*C298))*(1/6)</f>
        <v>0</v>
      </c>
      <c r="F299" s="9">
        <f t="shared" ref="F299:F362" si="44">(C299+C298)*((B298*C299)-(B299*C298))*(1/6)</f>
        <v>0</v>
      </c>
      <c r="G299" s="9">
        <f t="shared" ref="G299:G362" si="45">(((C298*C298)+(C298*C299)+(C299*C299))*((B298*C299)-(B299*C298)))/12</f>
        <v>0</v>
      </c>
      <c r="H299" s="9">
        <f t="shared" ref="H299:H362" si="46">(((B298*B298)+(B298*B299)+(B299*B299))*((B298*C299)-(B299*C298)))/12</f>
        <v>0</v>
      </c>
      <c r="I299" s="9">
        <f t="shared" ref="I299:I362" si="47">(((B298*C299)+(2*B298*C298)+(2*B299*C299)+(B299*C298))*((B298*C299)-(B299*C298)))/24</f>
        <v>0</v>
      </c>
      <c r="J299" s="9">
        <f t="shared" ref="J299:J362" si="48">G299+H299</f>
        <v>0</v>
      </c>
    </row>
    <row r="300" spans="1:10" x14ac:dyDescent="0.25">
      <c r="A300" s="1">
        <v>294</v>
      </c>
      <c r="B300" s="6">
        <v>0</v>
      </c>
      <c r="C300" s="8">
        <v>0</v>
      </c>
      <c r="D300" s="9">
        <f t="shared" si="42"/>
        <v>0</v>
      </c>
      <c r="E300" s="9">
        <f t="shared" si="43"/>
        <v>0</v>
      </c>
      <c r="F300" s="9">
        <f t="shared" si="44"/>
        <v>0</v>
      </c>
      <c r="G300" s="9">
        <f t="shared" si="45"/>
        <v>0</v>
      </c>
      <c r="H300" s="9">
        <f t="shared" si="46"/>
        <v>0</v>
      </c>
      <c r="I300" s="9">
        <f t="shared" si="47"/>
        <v>0</v>
      </c>
      <c r="J300" s="9">
        <f t="shared" si="48"/>
        <v>0</v>
      </c>
    </row>
    <row r="301" spans="1:10" x14ac:dyDescent="0.25">
      <c r="A301" s="1">
        <v>295</v>
      </c>
      <c r="B301" s="6">
        <v>0</v>
      </c>
      <c r="C301" s="8">
        <v>0</v>
      </c>
      <c r="D301" s="9">
        <f t="shared" si="42"/>
        <v>0</v>
      </c>
      <c r="E301" s="9">
        <f t="shared" si="43"/>
        <v>0</v>
      </c>
      <c r="F301" s="9">
        <f t="shared" si="44"/>
        <v>0</v>
      </c>
      <c r="G301" s="9">
        <f t="shared" si="45"/>
        <v>0</v>
      </c>
      <c r="H301" s="9">
        <f t="shared" si="46"/>
        <v>0</v>
      </c>
      <c r="I301" s="9">
        <f t="shared" si="47"/>
        <v>0</v>
      </c>
      <c r="J301" s="9">
        <f t="shared" si="48"/>
        <v>0</v>
      </c>
    </row>
    <row r="302" spans="1:10" x14ac:dyDescent="0.25">
      <c r="A302" s="1">
        <v>296</v>
      </c>
      <c r="B302" s="6">
        <v>0</v>
      </c>
      <c r="C302" s="8">
        <v>0</v>
      </c>
      <c r="D302" s="9">
        <f t="shared" si="42"/>
        <v>0</v>
      </c>
      <c r="E302" s="9">
        <f t="shared" si="43"/>
        <v>0</v>
      </c>
      <c r="F302" s="9">
        <f t="shared" si="44"/>
        <v>0</v>
      </c>
      <c r="G302" s="9">
        <f t="shared" si="45"/>
        <v>0</v>
      </c>
      <c r="H302" s="9">
        <f t="shared" si="46"/>
        <v>0</v>
      </c>
      <c r="I302" s="9">
        <f t="shared" si="47"/>
        <v>0</v>
      </c>
      <c r="J302" s="9">
        <f t="shared" si="48"/>
        <v>0</v>
      </c>
    </row>
    <row r="303" spans="1:10" x14ac:dyDescent="0.25">
      <c r="A303" s="1">
        <v>297</v>
      </c>
      <c r="B303" s="6">
        <v>0</v>
      </c>
      <c r="C303" s="8">
        <v>0</v>
      </c>
      <c r="D303" s="9">
        <f t="shared" si="42"/>
        <v>0</v>
      </c>
      <c r="E303" s="9">
        <f t="shared" si="43"/>
        <v>0</v>
      </c>
      <c r="F303" s="9">
        <f t="shared" si="44"/>
        <v>0</v>
      </c>
      <c r="G303" s="9">
        <f t="shared" si="45"/>
        <v>0</v>
      </c>
      <c r="H303" s="9">
        <f t="shared" si="46"/>
        <v>0</v>
      </c>
      <c r="I303" s="9">
        <f t="shared" si="47"/>
        <v>0</v>
      </c>
      <c r="J303" s="9">
        <f t="shared" si="48"/>
        <v>0</v>
      </c>
    </row>
    <row r="304" spans="1:10" x14ac:dyDescent="0.25">
      <c r="A304" s="1">
        <v>298</v>
      </c>
      <c r="B304" s="6">
        <v>0</v>
      </c>
      <c r="C304" s="8">
        <v>0</v>
      </c>
      <c r="D304" s="9">
        <f t="shared" si="42"/>
        <v>0</v>
      </c>
      <c r="E304" s="9">
        <f t="shared" si="43"/>
        <v>0</v>
      </c>
      <c r="F304" s="9">
        <f t="shared" si="44"/>
        <v>0</v>
      </c>
      <c r="G304" s="9">
        <f t="shared" si="45"/>
        <v>0</v>
      </c>
      <c r="H304" s="9">
        <f t="shared" si="46"/>
        <v>0</v>
      </c>
      <c r="I304" s="9">
        <f t="shared" si="47"/>
        <v>0</v>
      </c>
      <c r="J304" s="9">
        <f t="shared" si="48"/>
        <v>0</v>
      </c>
    </row>
    <row r="305" spans="1:10" x14ac:dyDescent="0.25">
      <c r="A305" s="1">
        <v>299</v>
      </c>
      <c r="B305" s="6">
        <v>0</v>
      </c>
      <c r="C305" s="8">
        <v>0</v>
      </c>
      <c r="D305" s="9">
        <f t="shared" si="42"/>
        <v>0</v>
      </c>
      <c r="E305" s="9">
        <f t="shared" si="43"/>
        <v>0</v>
      </c>
      <c r="F305" s="9">
        <f t="shared" si="44"/>
        <v>0</v>
      </c>
      <c r="G305" s="9">
        <f t="shared" si="45"/>
        <v>0</v>
      </c>
      <c r="H305" s="9">
        <f t="shared" si="46"/>
        <v>0</v>
      </c>
      <c r="I305" s="9">
        <f t="shared" si="47"/>
        <v>0</v>
      </c>
      <c r="J305" s="9">
        <f t="shared" si="48"/>
        <v>0</v>
      </c>
    </row>
    <row r="306" spans="1:10" x14ac:dyDescent="0.25">
      <c r="A306" s="1">
        <v>300</v>
      </c>
      <c r="B306" s="6">
        <v>0</v>
      </c>
      <c r="C306" s="8">
        <v>0</v>
      </c>
      <c r="D306" s="9">
        <f t="shared" si="42"/>
        <v>0</v>
      </c>
      <c r="E306" s="9">
        <f t="shared" si="43"/>
        <v>0</v>
      </c>
      <c r="F306" s="9">
        <f t="shared" si="44"/>
        <v>0</v>
      </c>
      <c r="G306" s="9">
        <f t="shared" si="45"/>
        <v>0</v>
      </c>
      <c r="H306" s="9">
        <f t="shared" si="46"/>
        <v>0</v>
      </c>
      <c r="I306" s="9">
        <f t="shared" si="47"/>
        <v>0</v>
      </c>
      <c r="J306" s="9">
        <f t="shared" si="48"/>
        <v>0</v>
      </c>
    </row>
    <row r="307" spans="1:10" x14ac:dyDescent="0.25">
      <c r="A307" s="1">
        <v>301</v>
      </c>
      <c r="B307" s="6">
        <v>0</v>
      </c>
      <c r="C307" s="8">
        <v>0</v>
      </c>
      <c r="D307" s="9">
        <f t="shared" si="42"/>
        <v>0</v>
      </c>
      <c r="E307" s="9">
        <f t="shared" si="43"/>
        <v>0</v>
      </c>
      <c r="F307" s="9">
        <f t="shared" si="44"/>
        <v>0</v>
      </c>
      <c r="G307" s="9">
        <f t="shared" si="45"/>
        <v>0</v>
      </c>
      <c r="H307" s="9">
        <f t="shared" si="46"/>
        <v>0</v>
      </c>
      <c r="I307" s="9">
        <f t="shared" si="47"/>
        <v>0</v>
      </c>
      <c r="J307" s="9">
        <f t="shared" si="48"/>
        <v>0</v>
      </c>
    </row>
    <row r="308" spans="1:10" x14ac:dyDescent="0.25">
      <c r="A308" s="1">
        <v>302</v>
      </c>
      <c r="B308" s="6">
        <v>0</v>
      </c>
      <c r="C308" s="8">
        <v>0</v>
      </c>
      <c r="D308" s="9">
        <f t="shared" si="42"/>
        <v>0</v>
      </c>
      <c r="E308" s="9">
        <f t="shared" si="43"/>
        <v>0</v>
      </c>
      <c r="F308" s="9">
        <f t="shared" si="44"/>
        <v>0</v>
      </c>
      <c r="G308" s="9">
        <f t="shared" si="45"/>
        <v>0</v>
      </c>
      <c r="H308" s="9">
        <f t="shared" si="46"/>
        <v>0</v>
      </c>
      <c r="I308" s="9">
        <f t="shared" si="47"/>
        <v>0</v>
      </c>
      <c r="J308" s="9">
        <f t="shared" si="48"/>
        <v>0</v>
      </c>
    </row>
    <row r="309" spans="1:10" x14ac:dyDescent="0.25">
      <c r="A309" s="1">
        <v>303</v>
      </c>
      <c r="B309" s="6">
        <v>0</v>
      </c>
      <c r="C309" s="8">
        <v>0</v>
      </c>
      <c r="D309" s="9">
        <f t="shared" si="42"/>
        <v>0</v>
      </c>
      <c r="E309" s="9">
        <f t="shared" si="43"/>
        <v>0</v>
      </c>
      <c r="F309" s="9">
        <f t="shared" si="44"/>
        <v>0</v>
      </c>
      <c r="G309" s="9">
        <f t="shared" si="45"/>
        <v>0</v>
      </c>
      <c r="H309" s="9">
        <f t="shared" si="46"/>
        <v>0</v>
      </c>
      <c r="I309" s="9">
        <f t="shared" si="47"/>
        <v>0</v>
      </c>
      <c r="J309" s="9">
        <f t="shared" si="48"/>
        <v>0</v>
      </c>
    </row>
    <row r="310" spans="1:10" x14ac:dyDescent="0.25">
      <c r="A310" s="1">
        <v>304</v>
      </c>
      <c r="B310" s="6">
        <v>0</v>
      </c>
      <c r="C310" s="8">
        <v>0</v>
      </c>
      <c r="D310" s="9">
        <f t="shared" si="42"/>
        <v>0</v>
      </c>
      <c r="E310" s="9">
        <f t="shared" si="43"/>
        <v>0</v>
      </c>
      <c r="F310" s="9">
        <f t="shared" si="44"/>
        <v>0</v>
      </c>
      <c r="G310" s="9">
        <f t="shared" si="45"/>
        <v>0</v>
      </c>
      <c r="H310" s="9">
        <f t="shared" si="46"/>
        <v>0</v>
      </c>
      <c r="I310" s="9">
        <f t="shared" si="47"/>
        <v>0</v>
      </c>
      <c r="J310" s="9">
        <f t="shared" si="48"/>
        <v>0</v>
      </c>
    </row>
    <row r="311" spans="1:10" x14ac:dyDescent="0.25">
      <c r="A311" s="1">
        <v>305</v>
      </c>
      <c r="B311" s="6">
        <v>0</v>
      </c>
      <c r="C311" s="8">
        <v>0</v>
      </c>
      <c r="D311" s="9">
        <f t="shared" si="42"/>
        <v>0</v>
      </c>
      <c r="E311" s="9">
        <f t="shared" si="43"/>
        <v>0</v>
      </c>
      <c r="F311" s="9">
        <f t="shared" si="44"/>
        <v>0</v>
      </c>
      <c r="G311" s="9">
        <f t="shared" si="45"/>
        <v>0</v>
      </c>
      <c r="H311" s="9">
        <f t="shared" si="46"/>
        <v>0</v>
      </c>
      <c r="I311" s="9">
        <f t="shared" si="47"/>
        <v>0</v>
      </c>
      <c r="J311" s="9">
        <f t="shared" si="48"/>
        <v>0</v>
      </c>
    </row>
    <row r="312" spans="1:10" x14ac:dyDescent="0.25">
      <c r="A312" s="1">
        <v>306</v>
      </c>
      <c r="B312" s="6">
        <v>0</v>
      </c>
      <c r="C312" s="8">
        <v>0</v>
      </c>
      <c r="D312" s="9">
        <f t="shared" si="42"/>
        <v>0</v>
      </c>
      <c r="E312" s="9">
        <f t="shared" si="43"/>
        <v>0</v>
      </c>
      <c r="F312" s="9">
        <f t="shared" si="44"/>
        <v>0</v>
      </c>
      <c r="G312" s="9">
        <f t="shared" si="45"/>
        <v>0</v>
      </c>
      <c r="H312" s="9">
        <f t="shared" si="46"/>
        <v>0</v>
      </c>
      <c r="I312" s="9">
        <f t="shared" si="47"/>
        <v>0</v>
      </c>
      <c r="J312" s="9">
        <f t="shared" si="48"/>
        <v>0</v>
      </c>
    </row>
    <row r="313" spans="1:10" x14ac:dyDescent="0.25">
      <c r="A313" s="1">
        <v>307</v>
      </c>
      <c r="B313" s="6">
        <v>0</v>
      </c>
      <c r="C313" s="8">
        <v>0</v>
      </c>
      <c r="D313" s="9">
        <f t="shared" si="42"/>
        <v>0</v>
      </c>
      <c r="E313" s="9">
        <f t="shared" si="43"/>
        <v>0</v>
      </c>
      <c r="F313" s="9">
        <f t="shared" si="44"/>
        <v>0</v>
      </c>
      <c r="G313" s="9">
        <f t="shared" si="45"/>
        <v>0</v>
      </c>
      <c r="H313" s="9">
        <f t="shared" si="46"/>
        <v>0</v>
      </c>
      <c r="I313" s="9">
        <f t="shared" si="47"/>
        <v>0</v>
      </c>
      <c r="J313" s="9">
        <f t="shared" si="48"/>
        <v>0</v>
      </c>
    </row>
    <row r="314" spans="1:10" x14ac:dyDescent="0.25">
      <c r="A314" s="1">
        <v>308</v>
      </c>
      <c r="B314" s="6">
        <v>0</v>
      </c>
      <c r="C314" s="8">
        <v>0</v>
      </c>
      <c r="D314" s="9">
        <f t="shared" si="42"/>
        <v>0</v>
      </c>
      <c r="E314" s="9">
        <f t="shared" si="43"/>
        <v>0</v>
      </c>
      <c r="F314" s="9">
        <f t="shared" si="44"/>
        <v>0</v>
      </c>
      <c r="G314" s="9">
        <f t="shared" si="45"/>
        <v>0</v>
      </c>
      <c r="H314" s="9">
        <f t="shared" si="46"/>
        <v>0</v>
      </c>
      <c r="I314" s="9">
        <f t="shared" si="47"/>
        <v>0</v>
      </c>
      <c r="J314" s="9">
        <f t="shared" si="48"/>
        <v>0</v>
      </c>
    </row>
    <row r="315" spans="1:10" x14ac:dyDescent="0.25">
      <c r="A315" s="1">
        <v>309</v>
      </c>
      <c r="B315" s="6">
        <v>0</v>
      </c>
      <c r="C315" s="8">
        <v>0</v>
      </c>
      <c r="D315" s="9">
        <f t="shared" si="42"/>
        <v>0</v>
      </c>
      <c r="E315" s="9">
        <f t="shared" si="43"/>
        <v>0</v>
      </c>
      <c r="F315" s="9">
        <f t="shared" si="44"/>
        <v>0</v>
      </c>
      <c r="G315" s="9">
        <f t="shared" si="45"/>
        <v>0</v>
      </c>
      <c r="H315" s="9">
        <f t="shared" si="46"/>
        <v>0</v>
      </c>
      <c r="I315" s="9">
        <f t="shared" si="47"/>
        <v>0</v>
      </c>
      <c r="J315" s="9">
        <f t="shared" si="48"/>
        <v>0</v>
      </c>
    </row>
    <row r="316" spans="1:10" x14ac:dyDescent="0.25">
      <c r="A316" s="1">
        <v>310</v>
      </c>
      <c r="B316" s="6">
        <v>0</v>
      </c>
      <c r="C316" s="8">
        <v>0</v>
      </c>
      <c r="D316" s="9">
        <f t="shared" si="42"/>
        <v>0</v>
      </c>
      <c r="E316" s="9">
        <f t="shared" si="43"/>
        <v>0</v>
      </c>
      <c r="F316" s="9">
        <f t="shared" si="44"/>
        <v>0</v>
      </c>
      <c r="G316" s="9">
        <f t="shared" si="45"/>
        <v>0</v>
      </c>
      <c r="H316" s="9">
        <f t="shared" si="46"/>
        <v>0</v>
      </c>
      <c r="I316" s="9">
        <f t="shared" si="47"/>
        <v>0</v>
      </c>
      <c r="J316" s="9">
        <f t="shared" si="48"/>
        <v>0</v>
      </c>
    </row>
    <row r="317" spans="1:10" x14ac:dyDescent="0.25">
      <c r="A317" s="1">
        <v>311</v>
      </c>
      <c r="B317" s="6">
        <v>0</v>
      </c>
      <c r="C317" s="8">
        <v>0</v>
      </c>
      <c r="D317" s="9">
        <f t="shared" si="42"/>
        <v>0</v>
      </c>
      <c r="E317" s="9">
        <f t="shared" si="43"/>
        <v>0</v>
      </c>
      <c r="F317" s="9">
        <f t="shared" si="44"/>
        <v>0</v>
      </c>
      <c r="G317" s="9">
        <f t="shared" si="45"/>
        <v>0</v>
      </c>
      <c r="H317" s="9">
        <f t="shared" si="46"/>
        <v>0</v>
      </c>
      <c r="I317" s="9">
        <f t="shared" si="47"/>
        <v>0</v>
      </c>
      <c r="J317" s="9">
        <f t="shared" si="48"/>
        <v>0</v>
      </c>
    </row>
    <row r="318" spans="1:10" x14ac:dyDescent="0.25">
      <c r="A318" s="1">
        <v>312</v>
      </c>
      <c r="B318" s="6">
        <v>0</v>
      </c>
      <c r="C318" s="8">
        <v>0</v>
      </c>
      <c r="D318" s="9">
        <f t="shared" si="42"/>
        <v>0</v>
      </c>
      <c r="E318" s="9">
        <f t="shared" si="43"/>
        <v>0</v>
      </c>
      <c r="F318" s="9">
        <f t="shared" si="44"/>
        <v>0</v>
      </c>
      <c r="G318" s="9">
        <f t="shared" si="45"/>
        <v>0</v>
      </c>
      <c r="H318" s="9">
        <f t="shared" si="46"/>
        <v>0</v>
      </c>
      <c r="I318" s="9">
        <f t="shared" si="47"/>
        <v>0</v>
      </c>
      <c r="J318" s="9">
        <f t="shared" si="48"/>
        <v>0</v>
      </c>
    </row>
    <row r="319" spans="1:10" x14ac:dyDescent="0.25">
      <c r="A319" s="1">
        <v>313</v>
      </c>
      <c r="B319" s="6">
        <v>0</v>
      </c>
      <c r="C319" s="8">
        <v>0</v>
      </c>
      <c r="D319" s="9">
        <f t="shared" si="42"/>
        <v>0</v>
      </c>
      <c r="E319" s="9">
        <f t="shared" si="43"/>
        <v>0</v>
      </c>
      <c r="F319" s="9">
        <f t="shared" si="44"/>
        <v>0</v>
      </c>
      <c r="G319" s="9">
        <f t="shared" si="45"/>
        <v>0</v>
      </c>
      <c r="H319" s="9">
        <f t="shared" si="46"/>
        <v>0</v>
      </c>
      <c r="I319" s="9">
        <f t="shared" si="47"/>
        <v>0</v>
      </c>
      <c r="J319" s="9">
        <f t="shared" si="48"/>
        <v>0</v>
      </c>
    </row>
    <row r="320" spans="1:10" x14ac:dyDescent="0.25">
      <c r="A320" s="1">
        <v>314</v>
      </c>
      <c r="B320" s="6">
        <v>0</v>
      </c>
      <c r="C320" s="8">
        <v>0</v>
      </c>
      <c r="D320" s="9">
        <f t="shared" si="42"/>
        <v>0</v>
      </c>
      <c r="E320" s="9">
        <f t="shared" si="43"/>
        <v>0</v>
      </c>
      <c r="F320" s="9">
        <f t="shared" si="44"/>
        <v>0</v>
      </c>
      <c r="G320" s="9">
        <f t="shared" si="45"/>
        <v>0</v>
      </c>
      <c r="H320" s="9">
        <f t="shared" si="46"/>
        <v>0</v>
      </c>
      <c r="I320" s="9">
        <f t="shared" si="47"/>
        <v>0</v>
      </c>
      <c r="J320" s="9">
        <f t="shared" si="48"/>
        <v>0</v>
      </c>
    </row>
    <row r="321" spans="1:10" x14ac:dyDescent="0.25">
      <c r="A321" s="1">
        <v>315</v>
      </c>
      <c r="B321" s="6">
        <v>0</v>
      </c>
      <c r="C321" s="8">
        <v>0</v>
      </c>
      <c r="D321" s="9">
        <f t="shared" si="42"/>
        <v>0</v>
      </c>
      <c r="E321" s="9">
        <f t="shared" si="43"/>
        <v>0</v>
      </c>
      <c r="F321" s="9">
        <f t="shared" si="44"/>
        <v>0</v>
      </c>
      <c r="G321" s="9">
        <f t="shared" si="45"/>
        <v>0</v>
      </c>
      <c r="H321" s="9">
        <f t="shared" si="46"/>
        <v>0</v>
      </c>
      <c r="I321" s="9">
        <f t="shared" si="47"/>
        <v>0</v>
      </c>
      <c r="J321" s="9">
        <f t="shared" si="48"/>
        <v>0</v>
      </c>
    </row>
    <row r="322" spans="1:10" x14ac:dyDescent="0.25">
      <c r="A322" s="1">
        <v>316</v>
      </c>
      <c r="B322" s="6">
        <v>0</v>
      </c>
      <c r="C322" s="8">
        <v>0</v>
      </c>
      <c r="D322" s="9">
        <f t="shared" si="42"/>
        <v>0</v>
      </c>
      <c r="E322" s="9">
        <f t="shared" si="43"/>
        <v>0</v>
      </c>
      <c r="F322" s="9">
        <f t="shared" si="44"/>
        <v>0</v>
      </c>
      <c r="G322" s="9">
        <f t="shared" si="45"/>
        <v>0</v>
      </c>
      <c r="H322" s="9">
        <f t="shared" si="46"/>
        <v>0</v>
      </c>
      <c r="I322" s="9">
        <f t="shared" si="47"/>
        <v>0</v>
      </c>
      <c r="J322" s="9">
        <f t="shared" si="48"/>
        <v>0</v>
      </c>
    </row>
    <row r="323" spans="1:10" x14ac:dyDescent="0.25">
      <c r="A323" s="1">
        <v>317</v>
      </c>
      <c r="B323" s="6">
        <v>0</v>
      </c>
      <c r="C323" s="8">
        <v>0</v>
      </c>
      <c r="D323" s="9">
        <f t="shared" si="42"/>
        <v>0</v>
      </c>
      <c r="E323" s="9">
        <f t="shared" si="43"/>
        <v>0</v>
      </c>
      <c r="F323" s="9">
        <f t="shared" si="44"/>
        <v>0</v>
      </c>
      <c r="G323" s="9">
        <f t="shared" si="45"/>
        <v>0</v>
      </c>
      <c r="H323" s="9">
        <f t="shared" si="46"/>
        <v>0</v>
      </c>
      <c r="I323" s="9">
        <f t="shared" si="47"/>
        <v>0</v>
      </c>
      <c r="J323" s="9">
        <f t="shared" si="48"/>
        <v>0</v>
      </c>
    </row>
    <row r="324" spans="1:10" x14ac:dyDescent="0.25">
      <c r="A324" s="1">
        <v>318</v>
      </c>
      <c r="B324" s="6">
        <v>0</v>
      </c>
      <c r="C324" s="8">
        <v>0</v>
      </c>
      <c r="D324" s="9">
        <f t="shared" si="42"/>
        <v>0</v>
      </c>
      <c r="E324" s="9">
        <f t="shared" si="43"/>
        <v>0</v>
      </c>
      <c r="F324" s="9">
        <f t="shared" si="44"/>
        <v>0</v>
      </c>
      <c r="G324" s="9">
        <f t="shared" si="45"/>
        <v>0</v>
      </c>
      <c r="H324" s="9">
        <f t="shared" si="46"/>
        <v>0</v>
      </c>
      <c r="I324" s="9">
        <f t="shared" si="47"/>
        <v>0</v>
      </c>
      <c r="J324" s="9">
        <f t="shared" si="48"/>
        <v>0</v>
      </c>
    </row>
    <row r="325" spans="1:10" x14ac:dyDescent="0.25">
      <c r="A325" s="1">
        <v>319</v>
      </c>
      <c r="B325" s="6">
        <v>0</v>
      </c>
      <c r="C325" s="8">
        <v>0</v>
      </c>
      <c r="D325" s="9">
        <f t="shared" si="42"/>
        <v>0</v>
      </c>
      <c r="E325" s="9">
        <f t="shared" si="43"/>
        <v>0</v>
      </c>
      <c r="F325" s="9">
        <f t="shared" si="44"/>
        <v>0</v>
      </c>
      <c r="G325" s="9">
        <f t="shared" si="45"/>
        <v>0</v>
      </c>
      <c r="H325" s="9">
        <f t="shared" si="46"/>
        <v>0</v>
      </c>
      <c r="I325" s="9">
        <f t="shared" si="47"/>
        <v>0</v>
      </c>
      <c r="J325" s="9">
        <f t="shared" si="48"/>
        <v>0</v>
      </c>
    </row>
    <row r="326" spans="1:10" x14ac:dyDescent="0.25">
      <c r="A326" s="1">
        <v>320</v>
      </c>
      <c r="B326" s="6">
        <v>0</v>
      </c>
      <c r="C326" s="8">
        <v>0</v>
      </c>
      <c r="D326" s="9">
        <f t="shared" si="42"/>
        <v>0</v>
      </c>
      <c r="E326" s="9">
        <f t="shared" si="43"/>
        <v>0</v>
      </c>
      <c r="F326" s="9">
        <f t="shared" si="44"/>
        <v>0</v>
      </c>
      <c r="G326" s="9">
        <f t="shared" si="45"/>
        <v>0</v>
      </c>
      <c r="H326" s="9">
        <f t="shared" si="46"/>
        <v>0</v>
      </c>
      <c r="I326" s="9">
        <f t="shared" si="47"/>
        <v>0</v>
      </c>
      <c r="J326" s="9">
        <f t="shared" si="48"/>
        <v>0</v>
      </c>
    </row>
    <row r="327" spans="1:10" x14ac:dyDescent="0.25">
      <c r="A327" s="1">
        <v>321</v>
      </c>
      <c r="B327" s="6">
        <v>0</v>
      </c>
      <c r="C327" s="8">
        <v>0</v>
      </c>
      <c r="D327" s="9">
        <f t="shared" si="42"/>
        <v>0</v>
      </c>
      <c r="E327" s="9">
        <f t="shared" si="43"/>
        <v>0</v>
      </c>
      <c r="F327" s="9">
        <f t="shared" si="44"/>
        <v>0</v>
      </c>
      <c r="G327" s="9">
        <f t="shared" si="45"/>
        <v>0</v>
      </c>
      <c r="H327" s="9">
        <f t="shared" si="46"/>
        <v>0</v>
      </c>
      <c r="I327" s="9">
        <f t="shared" si="47"/>
        <v>0</v>
      </c>
      <c r="J327" s="9">
        <f t="shared" si="48"/>
        <v>0</v>
      </c>
    </row>
    <row r="328" spans="1:10" x14ac:dyDescent="0.25">
      <c r="A328" s="1">
        <v>322</v>
      </c>
      <c r="B328" s="6">
        <v>0</v>
      </c>
      <c r="C328" s="8">
        <v>0</v>
      </c>
      <c r="D328" s="9">
        <f t="shared" si="42"/>
        <v>0</v>
      </c>
      <c r="E328" s="9">
        <f t="shared" si="43"/>
        <v>0</v>
      </c>
      <c r="F328" s="9">
        <f t="shared" si="44"/>
        <v>0</v>
      </c>
      <c r="G328" s="9">
        <f t="shared" si="45"/>
        <v>0</v>
      </c>
      <c r="H328" s="9">
        <f t="shared" si="46"/>
        <v>0</v>
      </c>
      <c r="I328" s="9">
        <f t="shared" si="47"/>
        <v>0</v>
      </c>
      <c r="J328" s="9">
        <f t="shared" si="48"/>
        <v>0</v>
      </c>
    </row>
    <row r="329" spans="1:10" x14ac:dyDescent="0.25">
      <c r="A329" s="1">
        <v>323</v>
      </c>
      <c r="B329" s="6">
        <v>0</v>
      </c>
      <c r="C329" s="8">
        <v>0</v>
      </c>
      <c r="D329" s="9">
        <f t="shared" si="42"/>
        <v>0</v>
      </c>
      <c r="E329" s="9">
        <f t="shared" si="43"/>
        <v>0</v>
      </c>
      <c r="F329" s="9">
        <f t="shared" si="44"/>
        <v>0</v>
      </c>
      <c r="G329" s="9">
        <f t="shared" si="45"/>
        <v>0</v>
      </c>
      <c r="H329" s="9">
        <f t="shared" si="46"/>
        <v>0</v>
      </c>
      <c r="I329" s="9">
        <f t="shared" si="47"/>
        <v>0</v>
      </c>
      <c r="J329" s="9">
        <f t="shared" si="48"/>
        <v>0</v>
      </c>
    </row>
    <row r="330" spans="1:10" x14ac:dyDescent="0.25">
      <c r="A330" s="1">
        <v>324</v>
      </c>
      <c r="B330" s="6">
        <v>0</v>
      </c>
      <c r="C330" s="8">
        <v>0</v>
      </c>
      <c r="D330" s="9">
        <f t="shared" si="42"/>
        <v>0</v>
      </c>
      <c r="E330" s="9">
        <f t="shared" si="43"/>
        <v>0</v>
      </c>
      <c r="F330" s="9">
        <f t="shared" si="44"/>
        <v>0</v>
      </c>
      <c r="G330" s="9">
        <f t="shared" si="45"/>
        <v>0</v>
      </c>
      <c r="H330" s="9">
        <f t="shared" si="46"/>
        <v>0</v>
      </c>
      <c r="I330" s="9">
        <f t="shared" si="47"/>
        <v>0</v>
      </c>
      <c r="J330" s="9">
        <f t="shared" si="48"/>
        <v>0</v>
      </c>
    </row>
    <row r="331" spans="1:10" x14ac:dyDescent="0.25">
      <c r="A331" s="1">
        <v>325</v>
      </c>
      <c r="B331" s="6">
        <v>0</v>
      </c>
      <c r="C331" s="8">
        <v>0</v>
      </c>
      <c r="D331" s="9">
        <f t="shared" si="42"/>
        <v>0</v>
      </c>
      <c r="E331" s="9">
        <f t="shared" si="43"/>
        <v>0</v>
      </c>
      <c r="F331" s="9">
        <f t="shared" si="44"/>
        <v>0</v>
      </c>
      <c r="G331" s="9">
        <f t="shared" si="45"/>
        <v>0</v>
      </c>
      <c r="H331" s="9">
        <f t="shared" si="46"/>
        <v>0</v>
      </c>
      <c r="I331" s="9">
        <f t="shared" si="47"/>
        <v>0</v>
      </c>
      <c r="J331" s="9">
        <f t="shared" si="48"/>
        <v>0</v>
      </c>
    </row>
    <row r="332" spans="1:10" x14ac:dyDescent="0.25">
      <c r="A332" s="1">
        <v>326</v>
      </c>
      <c r="B332" s="6">
        <v>0</v>
      </c>
      <c r="C332" s="8">
        <v>0</v>
      </c>
      <c r="D332" s="9">
        <f t="shared" si="42"/>
        <v>0</v>
      </c>
      <c r="E332" s="9">
        <f t="shared" si="43"/>
        <v>0</v>
      </c>
      <c r="F332" s="9">
        <f t="shared" si="44"/>
        <v>0</v>
      </c>
      <c r="G332" s="9">
        <f t="shared" si="45"/>
        <v>0</v>
      </c>
      <c r="H332" s="9">
        <f t="shared" si="46"/>
        <v>0</v>
      </c>
      <c r="I332" s="9">
        <f t="shared" si="47"/>
        <v>0</v>
      </c>
      <c r="J332" s="9">
        <f t="shared" si="48"/>
        <v>0</v>
      </c>
    </row>
    <row r="333" spans="1:10" x14ac:dyDescent="0.25">
      <c r="A333" s="1">
        <v>327</v>
      </c>
      <c r="B333" s="6">
        <v>0</v>
      </c>
      <c r="C333" s="8">
        <v>0</v>
      </c>
      <c r="D333" s="9">
        <f t="shared" si="42"/>
        <v>0</v>
      </c>
      <c r="E333" s="9">
        <f t="shared" si="43"/>
        <v>0</v>
      </c>
      <c r="F333" s="9">
        <f t="shared" si="44"/>
        <v>0</v>
      </c>
      <c r="G333" s="9">
        <f t="shared" si="45"/>
        <v>0</v>
      </c>
      <c r="H333" s="9">
        <f t="shared" si="46"/>
        <v>0</v>
      </c>
      <c r="I333" s="9">
        <f t="shared" si="47"/>
        <v>0</v>
      </c>
      <c r="J333" s="9">
        <f t="shared" si="48"/>
        <v>0</v>
      </c>
    </row>
    <row r="334" spans="1:10" x14ac:dyDescent="0.25">
      <c r="A334" s="1">
        <v>328</v>
      </c>
      <c r="B334" s="6">
        <v>0</v>
      </c>
      <c r="C334" s="8">
        <v>0</v>
      </c>
      <c r="D334" s="9">
        <f t="shared" si="42"/>
        <v>0</v>
      </c>
      <c r="E334" s="9">
        <f t="shared" si="43"/>
        <v>0</v>
      </c>
      <c r="F334" s="9">
        <f t="shared" si="44"/>
        <v>0</v>
      </c>
      <c r="G334" s="9">
        <f t="shared" si="45"/>
        <v>0</v>
      </c>
      <c r="H334" s="9">
        <f t="shared" si="46"/>
        <v>0</v>
      </c>
      <c r="I334" s="9">
        <f t="shared" si="47"/>
        <v>0</v>
      </c>
      <c r="J334" s="9">
        <f t="shared" si="48"/>
        <v>0</v>
      </c>
    </row>
    <row r="335" spans="1:10" x14ac:dyDescent="0.25">
      <c r="A335" s="1">
        <v>329</v>
      </c>
      <c r="B335" s="6">
        <v>0</v>
      </c>
      <c r="C335" s="8">
        <v>0</v>
      </c>
      <c r="D335" s="9">
        <f t="shared" si="42"/>
        <v>0</v>
      </c>
      <c r="E335" s="9">
        <f t="shared" si="43"/>
        <v>0</v>
      </c>
      <c r="F335" s="9">
        <f t="shared" si="44"/>
        <v>0</v>
      </c>
      <c r="G335" s="9">
        <f t="shared" si="45"/>
        <v>0</v>
      </c>
      <c r="H335" s="9">
        <f t="shared" si="46"/>
        <v>0</v>
      </c>
      <c r="I335" s="9">
        <f t="shared" si="47"/>
        <v>0</v>
      </c>
      <c r="J335" s="9">
        <f t="shared" si="48"/>
        <v>0</v>
      </c>
    </row>
    <row r="336" spans="1:10" x14ac:dyDescent="0.25">
      <c r="A336" s="1">
        <v>330</v>
      </c>
      <c r="B336" s="6">
        <v>0</v>
      </c>
      <c r="C336" s="8">
        <v>0</v>
      </c>
      <c r="D336" s="9">
        <f t="shared" si="42"/>
        <v>0</v>
      </c>
      <c r="E336" s="9">
        <f t="shared" si="43"/>
        <v>0</v>
      </c>
      <c r="F336" s="9">
        <f t="shared" si="44"/>
        <v>0</v>
      </c>
      <c r="G336" s="9">
        <f t="shared" si="45"/>
        <v>0</v>
      </c>
      <c r="H336" s="9">
        <f t="shared" si="46"/>
        <v>0</v>
      </c>
      <c r="I336" s="9">
        <f t="shared" si="47"/>
        <v>0</v>
      </c>
      <c r="J336" s="9">
        <f t="shared" si="48"/>
        <v>0</v>
      </c>
    </row>
    <row r="337" spans="1:10" x14ac:dyDescent="0.25">
      <c r="A337" s="1">
        <v>331</v>
      </c>
      <c r="B337" s="6">
        <v>0</v>
      </c>
      <c r="C337" s="8">
        <v>0</v>
      </c>
      <c r="D337" s="9">
        <f t="shared" si="42"/>
        <v>0</v>
      </c>
      <c r="E337" s="9">
        <f t="shared" si="43"/>
        <v>0</v>
      </c>
      <c r="F337" s="9">
        <f t="shared" si="44"/>
        <v>0</v>
      </c>
      <c r="G337" s="9">
        <f t="shared" si="45"/>
        <v>0</v>
      </c>
      <c r="H337" s="9">
        <f t="shared" si="46"/>
        <v>0</v>
      </c>
      <c r="I337" s="9">
        <f t="shared" si="47"/>
        <v>0</v>
      </c>
      <c r="J337" s="9">
        <f t="shared" si="48"/>
        <v>0</v>
      </c>
    </row>
    <row r="338" spans="1:10" x14ac:dyDescent="0.25">
      <c r="A338" s="1">
        <v>332</v>
      </c>
      <c r="B338" s="6">
        <v>0</v>
      </c>
      <c r="C338" s="8">
        <v>0</v>
      </c>
      <c r="D338" s="9">
        <f t="shared" si="42"/>
        <v>0</v>
      </c>
      <c r="E338" s="9">
        <f t="shared" si="43"/>
        <v>0</v>
      </c>
      <c r="F338" s="9">
        <f t="shared" si="44"/>
        <v>0</v>
      </c>
      <c r="G338" s="9">
        <f t="shared" si="45"/>
        <v>0</v>
      </c>
      <c r="H338" s="9">
        <f t="shared" si="46"/>
        <v>0</v>
      </c>
      <c r="I338" s="9">
        <f t="shared" si="47"/>
        <v>0</v>
      </c>
      <c r="J338" s="9">
        <f t="shared" si="48"/>
        <v>0</v>
      </c>
    </row>
    <row r="339" spans="1:10" x14ac:dyDescent="0.25">
      <c r="A339" s="1">
        <v>333</v>
      </c>
      <c r="B339" s="6">
        <v>0</v>
      </c>
      <c r="C339" s="8">
        <v>0</v>
      </c>
      <c r="D339" s="9">
        <f t="shared" si="42"/>
        <v>0</v>
      </c>
      <c r="E339" s="9">
        <f t="shared" si="43"/>
        <v>0</v>
      </c>
      <c r="F339" s="9">
        <f t="shared" si="44"/>
        <v>0</v>
      </c>
      <c r="G339" s="9">
        <f t="shared" si="45"/>
        <v>0</v>
      </c>
      <c r="H339" s="9">
        <f t="shared" si="46"/>
        <v>0</v>
      </c>
      <c r="I339" s="9">
        <f t="shared" si="47"/>
        <v>0</v>
      </c>
      <c r="J339" s="9">
        <f t="shared" si="48"/>
        <v>0</v>
      </c>
    </row>
    <row r="340" spans="1:10" x14ac:dyDescent="0.25">
      <c r="A340" s="1">
        <v>334</v>
      </c>
      <c r="B340" s="6">
        <v>0</v>
      </c>
      <c r="C340" s="8">
        <v>0</v>
      </c>
      <c r="D340" s="9">
        <f t="shared" si="42"/>
        <v>0</v>
      </c>
      <c r="E340" s="9">
        <f t="shared" si="43"/>
        <v>0</v>
      </c>
      <c r="F340" s="9">
        <f t="shared" si="44"/>
        <v>0</v>
      </c>
      <c r="G340" s="9">
        <f t="shared" si="45"/>
        <v>0</v>
      </c>
      <c r="H340" s="9">
        <f t="shared" si="46"/>
        <v>0</v>
      </c>
      <c r="I340" s="9">
        <f t="shared" si="47"/>
        <v>0</v>
      </c>
      <c r="J340" s="9">
        <f t="shared" si="48"/>
        <v>0</v>
      </c>
    </row>
    <row r="341" spans="1:10" x14ac:dyDescent="0.25">
      <c r="A341" s="1">
        <v>335</v>
      </c>
      <c r="B341" s="6">
        <v>0</v>
      </c>
      <c r="C341" s="8">
        <v>0</v>
      </c>
      <c r="D341" s="9">
        <f t="shared" si="42"/>
        <v>0</v>
      </c>
      <c r="E341" s="9">
        <f t="shared" si="43"/>
        <v>0</v>
      </c>
      <c r="F341" s="9">
        <f t="shared" si="44"/>
        <v>0</v>
      </c>
      <c r="G341" s="9">
        <f t="shared" si="45"/>
        <v>0</v>
      </c>
      <c r="H341" s="9">
        <f t="shared" si="46"/>
        <v>0</v>
      </c>
      <c r="I341" s="9">
        <f t="shared" si="47"/>
        <v>0</v>
      </c>
      <c r="J341" s="9">
        <f t="shared" si="48"/>
        <v>0</v>
      </c>
    </row>
    <row r="342" spans="1:10" x14ac:dyDescent="0.25">
      <c r="A342" s="1">
        <v>336</v>
      </c>
      <c r="B342" s="6">
        <v>0</v>
      </c>
      <c r="C342" s="8">
        <v>0</v>
      </c>
      <c r="D342" s="9">
        <f t="shared" si="42"/>
        <v>0</v>
      </c>
      <c r="E342" s="9">
        <f t="shared" si="43"/>
        <v>0</v>
      </c>
      <c r="F342" s="9">
        <f t="shared" si="44"/>
        <v>0</v>
      </c>
      <c r="G342" s="9">
        <f t="shared" si="45"/>
        <v>0</v>
      </c>
      <c r="H342" s="9">
        <f t="shared" si="46"/>
        <v>0</v>
      </c>
      <c r="I342" s="9">
        <f t="shared" si="47"/>
        <v>0</v>
      </c>
      <c r="J342" s="9">
        <f t="shared" si="48"/>
        <v>0</v>
      </c>
    </row>
    <row r="343" spans="1:10" x14ac:dyDescent="0.25">
      <c r="A343" s="1">
        <v>337</v>
      </c>
      <c r="B343" s="6">
        <v>0</v>
      </c>
      <c r="C343" s="8">
        <v>0</v>
      </c>
      <c r="D343" s="9">
        <f t="shared" si="42"/>
        <v>0</v>
      </c>
      <c r="E343" s="9">
        <f t="shared" si="43"/>
        <v>0</v>
      </c>
      <c r="F343" s="9">
        <f t="shared" si="44"/>
        <v>0</v>
      </c>
      <c r="G343" s="9">
        <f t="shared" si="45"/>
        <v>0</v>
      </c>
      <c r="H343" s="9">
        <f t="shared" si="46"/>
        <v>0</v>
      </c>
      <c r="I343" s="9">
        <f t="shared" si="47"/>
        <v>0</v>
      </c>
      <c r="J343" s="9">
        <f t="shared" si="48"/>
        <v>0</v>
      </c>
    </row>
    <row r="344" spans="1:10" x14ac:dyDescent="0.25">
      <c r="A344" s="1">
        <v>338</v>
      </c>
      <c r="B344" s="6">
        <v>0</v>
      </c>
      <c r="C344" s="8">
        <v>0</v>
      </c>
      <c r="D344" s="9">
        <f t="shared" si="42"/>
        <v>0</v>
      </c>
      <c r="E344" s="9">
        <f t="shared" si="43"/>
        <v>0</v>
      </c>
      <c r="F344" s="9">
        <f t="shared" si="44"/>
        <v>0</v>
      </c>
      <c r="G344" s="9">
        <f t="shared" si="45"/>
        <v>0</v>
      </c>
      <c r="H344" s="9">
        <f t="shared" si="46"/>
        <v>0</v>
      </c>
      <c r="I344" s="9">
        <f t="shared" si="47"/>
        <v>0</v>
      </c>
      <c r="J344" s="9">
        <f t="shared" si="48"/>
        <v>0</v>
      </c>
    </row>
    <row r="345" spans="1:10" x14ac:dyDescent="0.25">
      <c r="A345" s="1">
        <v>339</v>
      </c>
      <c r="B345" s="6">
        <v>0</v>
      </c>
      <c r="C345" s="8">
        <v>0</v>
      </c>
      <c r="D345" s="9">
        <f t="shared" si="42"/>
        <v>0</v>
      </c>
      <c r="E345" s="9">
        <f t="shared" si="43"/>
        <v>0</v>
      </c>
      <c r="F345" s="9">
        <f t="shared" si="44"/>
        <v>0</v>
      </c>
      <c r="G345" s="9">
        <f t="shared" si="45"/>
        <v>0</v>
      </c>
      <c r="H345" s="9">
        <f t="shared" si="46"/>
        <v>0</v>
      </c>
      <c r="I345" s="9">
        <f t="shared" si="47"/>
        <v>0</v>
      </c>
      <c r="J345" s="9">
        <f t="shared" si="48"/>
        <v>0</v>
      </c>
    </row>
    <row r="346" spans="1:10" x14ac:dyDescent="0.25">
      <c r="A346" s="1">
        <v>340</v>
      </c>
      <c r="B346" s="6">
        <v>0</v>
      </c>
      <c r="C346" s="8">
        <v>0</v>
      </c>
      <c r="D346" s="9">
        <f t="shared" si="42"/>
        <v>0</v>
      </c>
      <c r="E346" s="9">
        <f t="shared" si="43"/>
        <v>0</v>
      </c>
      <c r="F346" s="9">
        <f t="shared" si="44"/>
        <v>0</v>
      </c>
      <c r="G346" s="9">
        <f t="shared" si="45"/>
        <v>0</v>
      </c>
      <c r="H346" s="9">
        <f t="shared" si="46"/>
        <v>0</v>
      </c>
      <c r="I346" s="9">
        <f t="shared" si="47"/>
        <v>0</v>
      </c>
      <c r="J346" s="9">
        <f t="shared" si="48"/>
        <v>0</v>
      </c>
    </row>
    <row r="347" spans="1:10" x14ac:dyDescent="0.25">
      <c r="A347" s="1">
        <v>341</v>
      </c>
      <c r="B347" s="6">
        <v>0</v>
      </c>
      <c r="C347" s="8">
        <v>0</v>
      </c>
      <c r="D347" s="9">
        <f t="shared" si="42"/>
        <v>0</v>
      </c>
      <c r="E347" s="9">
        <f t="shared" si="43"/>
        <v>0</v>
      </c>
      <c r="F347" s="9">
        <f t="shared" si="44"/>
        <v>0</v>
      </c>
      <c r="G347" s="9">
        <f t="shared" si="45"/>
        <v>0</v>
      </c>
      <c r="H347" s="9">
        <f t="shared" si="46"/>
        <v>0</v>
      </c>
      <c r="I347" s="9">
        <f t="shared" si="47"/>
        <v>0</v>
      </c>
      <c r="J347" s="9">
        <f t="shared" si="48"/>
        <v>0</v>
      </c>
    </row>
    <row r="348" spans="1:10" x14ac:dyDescent="0.25">
      <c r="A348" s="1">
        <v>342</v>
      </c>
      <c r="B348" s="6">
        <v>0</v>
      </c>
      <c r="C348" s="8">
        <v>0</v>
      </c>
      <c r="D348" s="9">
        <f t="shared" si="42"/>
        <v>0</v>
      </c>
      <c r="E348" s="9">
        <f t="shared" si="43"/>
        <v>0</v>
      </c>
      <c r="F348" s="9">
        <f t="shared" si="44"/>
        <v>0</v>
      </c>
      <c r="G348" s="9">
        <f t="shared" si="45"/>
        <v>0</v>
      </c>
      <c r="H348" s="9">
        <f t="shared" si="46"/>
        <v>0</v>
      </c>
      <c r="I348" s="9">
        <f t="shared" si="47"/>
        <v>0</v>
      </c>
      <c r="J348" s="9">
        <f t="shared" si="48"/>
        <v>0</v>
      </c>
    </row>
    <row r="349" spans="1:10" x14ac:dyDescent="0.25">
      <c r="A349" s="1">
        <v>343</v>
      </c>
      <c r="B349" s="6">
        <v>0</v>
      </c>
      <c r="C349" s="8">
        <v>0</v>
      </c>
      <c r="D349" s="9">
        <f t="shared" si="42"/>
        <v>0</v>
      </c>
      <c r="E349" s="9">
        <f t="shared" si="43"/>
        <v>0</v>
      </c>
      <c r="F349" s="9">
        <f t="shared" si="44"/>
        <v>0</v>
      </c>
      <c r="G349" s="9">
        <f t="shared" si="45"/>
        <v>0</v>
      </c>
      <c r="H349" s="9">
        <f t="shared" si="46"/>
        <v>0</v>
      </c>
      <c r="I349" s="9">
        <f t="shared" si="47"/>
        <v>0</v>
      </c>
      <c r="J349" s="9">
        <f t="shared" si="48"/>
        <v>0</v>
      </c>
    </row>
    <row r="350" spans="1:10" x14ac:dyDescent="0.25">
      <c r="A350" s="1">
        <v>344</v>
      </c>
      <c r="B350" s="6">
        <v>0</v>
      </c>
      <c r="C350" s="8">
        <v>0</v>
      </c>
      <c r="D350" s="9">
        <f t="shared" si="42"/>
        <v>0</v>
      </c>
      <c r="E350" s="9">
        <f t="shared" si="43"/>
        <v>0</v>
      </c>
      <c r="F350" s="9">
        <f t="shared" si="44"/>
        <v>0</v>
      </c>
      <c r="G350" s="9">
        <f t="shared" si="45"/>
        <v>0</v>
      </c>
      <c r="H350" s="9">
        <f t="shared" si="46"/>
        <v>0</v>
      </c>
      <c r="I350" s="9">
        <f t="shared" si="47"/>
        <v>0</v>
      </c>
      <c r="J350" s="9">
        <f t="shared" si="48"/>
        <v>0</v>
      </c>
    </row>
    <row r="351" spans="1:10" x14ac:dyDescent="0.25">
      <c r="A351" s="1">
        <v>345</v>
      </c>
      <c r="B351" s="6">
        <v>0</v>
      </c>
      <c r="C351" s="8">
        <v>0</v>
      </c>
      <c r="D351" s="9">
        <f t="shared" si="42"/>
        <v>0</v>
      </c>
      <c r="E351" s="9">
        <f t="shared" si="43"/>
        <v>0</v>
      </c>
      <c r="F351" s="9">
        <f t="shared" si="44"/>
        <v>0</v>
      </c>
      <c r="G351" s="9">
        <f t="shared" si="45"/>
        <v>0</v>
      </c>
      <c r="H351" s="9">
        <f t="shared" si="46"/>
        <v>0</v>
      </c>
      <c r="I351" s="9">
        <f t="shared" si="47"/>
        <v>0</v>
      </c>
      <c r="J351" s="9">
        <f t="shared" si="48"/>
        <v>0</v>
      </c>
    </row>
    <row r="352" spans="1:10" x14ac:dyDescent="0.25">
      <c r="A352" s="1">
        <v>346</v>
      </c>
      <c r="B352" s="6">
        <v>0</v>
      </c>
      <c r="C352" s="8">
        <v>0</v>
      </c>
      <c r="D352" s="9">
        <f t="shared" si="42"/>
        <v>0</v>
      </c>
      <c r="E352" s="9">
        <f t="shared" si="43"/>
        <v>0</v>
      </c>
      <c r="F352" s="9">
        <f t="shared" si="44"/>
        <v>0</v>
      </c>
      <c r="G352" s="9">
        <f t="shared" si="45"/>
        <v>0</v>
      </c>
      <c r="H352" s="9">
        <f t="shared" si="46"/>
        <v>0</v>
      </c>
      <c r="I352" s="9">
        <f t="shared" si="47"/>
        <v>0</v>
      </c>
      <c r="J352" s="9">
        <f t="shared" si="48"/>
        <v>0</v>
      </c>
    </row>
    <row r="353" spans="1:10" x14ac:dyDescent="0.25">
      <c r="A353" s="1">
        <v>347</v>
      </c>
      <c r="B353" s="6">
        <v>0</v>
      </c>
      <c r="C353" s="8">
        <v>0</v>
      </c>
      <c r="D353" s="9">
        <f t="shared" si="42"/>
        <v>0</v>
      </c>
      <c r="E353" s="9">
        <f t="shared" si="43"/>
        <v>0</v>
      </c>
      <c r="F353" s="9">
        <f t="shared" si="44"/>
        <v>0</v>
      </c>
      <c r="G353" s="9">
        <f t="shared" si="45"/>
        <v>0</v>
      </c>
      <c r="H353" s="9">
        <f t="shared" si="46"/>
        <v>0</v>
      </c>
      <c r="I353" s="9">
        <f t="shared" si="47"/>
        <v>0</v>
      </c>
      <c r="J353" s="9">
        <f t="shared" si="48"/>
        <v>0</v>
      </c>
    </row>
    <row r="354" spans="1:10" x14ac:dyDescent="0.25">
      <c r="A354" s="1">
        <v>348</v>
      </c>
      <c r="B354" s="6">
        <v>0</v>
      </c>
      <c r="C354" s="8">
        <v>0</v>
      </c>
      <c r="D354" s="9">
        <f t="shared" si="42"/>
        <v>0</v>
      </c>
      <c r="E354" s="9">
        <f t="shared" si="43"/>
        <v>0</v>
      </c>
      <c r="F354" s="9">
        <f t="shared" si="44"/>
        <v>0</v>
      </c>
      <c r="G354" s="9">
        <f t="shared" si="45"/>
        <v>0</v>
      </c>
      <c r="H354" s="9">
        <f t="shared" si="46"/>
        <v>0</v>
      </c>
      <c r="I354" s="9">
        <f t="shared" si="47"/>
        <v>0</v>
      </c>
      <c r="J354" s="9">
        <f t="shared" si="48"/>
        <v>0</v>
      </c>
    </row>
    <row r="355" spans="1:10" x14ac:dyDescent="0.25">
      <c r="A355" s="1">
        <v>349</v>
      </c>
      <c r="B355" s="6">
        <v>0</v>
      </c>
      <c r="C355" s="8">
        <v>0</v>
      </c>
      <c r="D355" s="9">
        <f t="shared" si="42"/>
        <v>0</v>
      </c>
      <c r="E355" s="9">
        <f t="shared" si="43"/>
        <v>0</v>
      </c>
      <c r="F355" s="9">
        <f t="shared" si="44"/>
        <v>0</v>
      </c>
      <c r="G355" s="9">
        <f t="shared" si="45"/>
        <v>0</v>
      </c>
      <c r="H355" s="9">
        <f t="shared" si="46"/>
        <v>0</v>
      </c>
      <c r="I355" s="9">
        <f t="shared" si="47"/>
        <v>0</v>
      </c>
      <c r="J355" s="9">
        <f t="shared" si="48"/>
        <v>0</v>
      </c>
    </row>
    <row r="356" spans="1:10" x14ac:dyDescent="0.25">
      <c r="A356" s="1">
        <v>350</v>
      </c>
      <c r="B356" s="6">
        <v>0</v>
      </c>
      <c r="C356" s="8">
        <v>0</v>
      </c>
      <c r="D356" s="9">
        <f t="shared" si="42"/>
        <v>0</v>
      </c>
      <c r="E356" s="9">
        <f t="shared" si="43"/>
        <v>0</v>
      </c>
      <c r="F356" s="9">
        <f t="shared" si="44"/>
        <v>0</v>
      </c>
      <c r="G356" s="9">
        <f t="shared" si="45"/>
        <v>0</v>
      </c>
      <c r="H356" s="9">
        <f t="shared" si="46"/>
        <v>0</v>
      </c>
      <c r="I356" s="9">
        <f t="shared" si="47"/>
        <v>0</v>
      </c>
      <c r="J356" s="9">
        <f t="shared" si="48"/>
        <v>0</v>
      </c>
    </row>
    <row r="357" spans="1:10" x14ac:dyDescent="0.25">
      <c r="A357" s="1">
        <v>351</v>
      </c>
      <c r="B357" s="6">
        <v>0</v>
      </c>
      <c r="C357" s="8">
        <v>0</v>
      </c>
      <c r="D357" s="9">
        <f t="shared" si="42"/>
        <v>0</v>
      </c>
      <c r="E357" s="9">
        <f t="shared" si="43"/>
        <v>0</v>
      </c>
      <c r="F357" s="9">
        <f t="shared" si="44"/>
        <v>0</v>
      </c>
      <c r="G357" s="9">
        <f t="shared" si="45"/>
        <v>0</v>
      </c>
      <c r="H357" s="9">
        <f t="shared" si="46"/>
        <v>0</v>
      </c>
      <c r="I357" s="9">
        <f t="shared" si="47"/>
        <v>0</v>
      </c>
      <c r="J357" s="9">
        <f t="shared" si="48"/>
        <v>0</v>
      </c>
    </row>
    <row r="358" spans="1:10" x14ac:dyDescent="0.25">
      <c r="A358" s="1">
        <v>352</v>
      </c>
      <c r="B358" s="6">
        <v>0</v>
      </c>
      <c r="C358" s="8">
        <v>0</v>
      </c>
      <c r="D358" s="9">
        <f t="shared" si="42"/>
        <v>0</v>
      </c>
      <c r="E358" s="9">
        <f t="shared" si="43"/>
        <v>0</v>
      </c>
      <c r="F358" s="9">
        <f t="shared" si="44"/>
        <v>0</v>
      </c>
      <c r="G358" s="9">
        <f t="shared" si="45"/>
        <v>0</v>
      </c>
      <c r="H358" s="9">
        <f t="shared" si="46"/>
        <v>0</v>
      </c>
      <c r="I358" s="9">
        <f t="shared" si="47"/>
        <v>0</v>
      </c>
      <c r="J358" s="9">
        <f t="shared" si="48"/>
        <v>0</v>
      </c>
    </row>
    <row r="359" spans="1:10" x14ac:dyDescent="0.25">
      <c r="A359" s="1">
        <v>353</v>
      </c>
      <c r="B359" s="6">
        <v>0</v>
      </c>
      <c r="C359" s="8">
        <v>0</v>
      </c>
      <c r="D359" s="9">
        <f t="shared" si="42"/>
        <v>0</v>
      </c>
      <c r="E359" s="9">
        <f t="shared" si="43"/>
        <v>0</v>
      </c>
      <c r="F359" s="9">
        <f t="shared" si="44"/>
        <v>0</v>
      </c>
      <c r="G359" s="9">
        <f t="shared" si="45"/>
        <v>0</v>
      </c>
      <c r="H359" s="9">
        <f t="shared" si="46"/>
        <v>0</v>
      </c>
      <c r="I359" s="9">
        <f t="shared" si="47"/>
        <v>0</v>
      </c>
      <c r="J359" s="9">
        <f t="shared" si="48"/>
        <v>0</v>
      </c>
    </row>
    <row r="360" spans="1:10" x14ac:dyDescent="0.25">
      <c r="A360" s="1">
        <v>354</v>
      </c>
      <c r="B360" s="6">
        <v>0</v>
      </c>
      <c r="C360" s="8">
        <v>0</v>
      </c>
      <c r="D360" s="9">
        <f t="shared" si="42"/>
        <v>0</v>
      </c>
      <c r="E360" s="9">
        <f t="shared" si="43"/>
        <v>0</v>
      </c>
      <c r="F360" s="9">
        <f t="shared" si="44"/>
        <v>0</v>
      </c>
      <c r="G360" s="9">
        <f t="shared" si="45"/>
        <v>0</v>
      </c>
      <c r="H360" s="9">
        <f t="shared" si="46"/>
        <v>0</v>
      </c>
      <c r="I360" s="9">
        <f t="shared" si="47"/>
        <v>0</v>
      </c>
      <c r="J360" s="9">
        <f t="shared" si="48"/>
        <v>0</v>
      </c>
    </row>
    <row r="361" spans="1:10" x14ac:dyDescent="0.25">
      <c r="A361" s="1">
        <v>355</v>
      </c>
      <c r="B361" s="6">
        <v>0</v>
      </c>
      <c r="C361" s="8">
        <v>0</v>
      </c>
      <c r="D361" s="9">
        <f t="shared" si="42"/>
        <v>0</v>
      </c>
      <c r="E361" s="9">
        <f t="shared" si="43"/>
        <v>0</v>
      </c>
      <c r="F361" s="9">
        <f t="shared" si="44"/>
        <v>0</v>
      </c>
      <c r="G361" s="9">
        <f t="shared" si="45"/>
        <v>0</v>
      </c>
      <c r="H361" s="9">
        <f t="shared" si="46"/>
        <v>0</v>
      </c>
      <c r="I361" s="9">
        <f t="shared" si="47"/>
        <v>0</v>
      </c>
      <c r="J361" s="9">
        <f t="shared" si="48"/>
        <v>0</v>
      </c>
    </row>
    <row r="362" spans="1:10" x14ac:dyDescent="0.25">
      <c r="A362" s="1">
        <v>356</v>
      </c>
      <c r="B362" s="6">
        <v>0</v>
      </c>
      <c r="C362" s="8">
        <v>0</v>
      </c>
      <c r="D362" s="9">
        <f t="shared" si="42"/>
        <v>0</v>
      </c>
      <c r="E362" s="9">
        <f t="shared" si="43"/>
        <v>0</v>
      </c>
      <c r="F362" s="9">
        <f t="shared" si="44"/>
        <v>0</v>
      </c>
      <c r="G362" s="9">
        <f t="shared" si="45"/>
        <v>0</v>
      </c>
      <c r="H362" s="9">
        <f t="shared" si="46"/>
        <v>0</v>
      </c>
      <c r="I362" s="9">
        <f t="shared" si="47"/>
        <v>0</v>
      </c>
      <c r="J362" s="9">
        <f t="shared" si="48"/>
        <v>0</v>
      </c>
    </row>
    <row r="363" spans="1:10" x14ac:dyDescent="0.25">
      <c r="A363" s="1">
        <v>357</v>
      </c>
      <c r="B363" s="6">
        <v>0</v>
      </c>
      <c r="C363" s="8">
        <v>0</v>
      </c>
      <c r="D363" s="9">
        <f t="shared" ref="D363:D426" si="49">((B362*C363)-(B363*C362))*0.5</f>
        <v>0</v>
      </c>
      <c r="E363" s="9">
        <f t="shared" ref="E363:E426" si="50">(B363+B362)*((B362*C363)-(B363*C362))*(1/6)</f>
        <v>0</v>
      </c>
      <c r="F363" s="9">
        <f t="shared" ref="F363:F426" si="51">(C363+C362)*((B362*C363)-(B363*C362))*(1/6)</f>
        <v>0</v>
      </c>
      <c r="G363" s="9">
        <f t="shared" ref="G363:G426" si="52">(((C362*C362)+(C362*C363)+(C363*C363))*((B362*C363)-(B363*C362)))/12</f>
        <v>0</v>
      </c>
      <c r="H363" s="9">
        <f t="shared" ref="H363:H426" si="53">(((B362*B362)+(B362*B363)+(B363*B363))*((B362*C363)-(B363*C362)))/12</f>
        <v>0</v>
      </c>
      <c r="I363" s="9">
        <f t="shared" ref="I363:I426" si="54">(((B362*C363)+(2*B362*C362)+(2*B363*C363)+(B363*C362))*((B362*C363)-(B363*C362)))/24</f>
        <v>0</v>
      </c>
      <c r="J363" s="9">
        <f t="shared" ref="J363:J426" si="55">G363+H363</f>
        <v>0</v>
      </c>
    </row>
    <row r="364" spans="1:10" x14ac:dyDescent="0.25">
      <c r="A364" s="1">
        <v>358</v>
      </c>
      <c r="B364" s="6">
        <v>0</v>
      </c>
      <c r="C364" s="8">
        <v>0</v>
      </c>
      <c r="D364" s="9">
        <f t="shared" si="49"/>
        <v>0</v>
      </c>
      <c r="E364" s="9">
        <f t="shared" si="50"/>
        <v>0</v>
      </c>
      <c r="F364" s="9">
        <f t="shared" si="51"/>
        <v>0</v>
      </c>
      <c r="G364" s="9">
        <f t="shared" si="52"/>
        <v>0</v>
      </c>
      <c r="H364" s="9">
        <f t="shared" si="53"/>
        <v>0</v>
      </c>
      <c r="I364" s="9">
        <f t="shared" si="54"/>
        <v>0</v>
      </c>
      <c r="J364" s="9">
        <f t="shared" si="55"/>
        <v>0</v>
      </c>
    </row>
    <row r="365" spans="1:10" x14ac:dyDescent="0.25">
      <c r="A365" s="1">
        <v>359</v>
      </c>
      <c r="B365" s="6">
        <v>0</v>
      </c>
      <c r="C365" s="8">
        <v>0</v>
      </c>
      <c r="D365" s="9">
        <f t="shared" si="49"/>
        <v>0</v>
      </c>
      <c r="E365" s="9">
        <f t="shared" si="50"/>
        <v>0</v>
      </c>
      <c r="F365" s="9">
        <f t="shared" si="51"/>
        <v>0</v>
      </c>
      <c r="G365" s="9">
        <f t="shared" si="52"/>
        <v>0</v>
      </c>
      <c r="H365" s="9">
        <f t="shared" si="53"/>
        <v>0</v>
      </c>
      <c r="I365" s="9">
        <f t="shared" si="54"/>
        <v>0</v>
      </c>
      <c r="J365" s="9">
        <f t="shared" si="55"/>
        <v>0</v>
      </c>
    </row>
    <row r="366" spans="1:10" x14ac:dyDescent="0.25">
      <c r="A366" s="1">
        <v>360</v>
      </c>
      <c r="B366" s="6">
        <v>0</v>
      </c>
      <c r="C366" s="8">
        <v>0</v>
      </c>
      <c r="D366" s="9">
        <f t="shared" si="49"/>
        <v>0</v>
      </c>
      <c r="E366" s="9">
        <f t="shared" si="50"/>
        <v>0</v>
      </c>
      <c r="F366" s="9">
        <f t="shared" si="51"/>
        <v>0</v>
      </c>
      <c r="G366" s="9">
        <f t="shared" si="52"/>
        <v>0</v>
      </c>
      <c r="H366" s="9">
        <f t="shared" si="53"/>
        <v>0</v>
      </c>
      <c r="I366" s="9">
        <f t="shared" si="54"/>
        <v>0</v>
      </c>
      <c r="J366" s="9">
        <f t="shared" si="55"/>
        <v>0</v>
      </c>
    </row>
    <row r="367" spans="1:10" x14ac:dyDescent="0.25">
      <c r="A367" s="1">
        <v>361</v>
      </c>
      <c r="B367" s="6">
        <v>0</v>
      </c>
      <c r="C367" s="8">
        <v>0</v>
      </c>
      <c r="D367" s="9">
        <f t="shared" si="49"/>
        <v>0</v>
      </c>
      <c r="E367" s="9">
        <f t="shared" si="50"/>
        <v>0</v>
      </c>
      <c r="F367" s="9">
        <f t="shared" si="51"/>
        <v>0</v>
      </c>
      <c r="G367" s="9">
        <f t="shared" si="52"/>
        <v>0</v>
      </c>
      <c r="H367" s="9">
        <f t="shared" si="53"/>
        <v>0</v>
      </c>
      <c r="I367" s="9">
        <f t="shared" si="54"/>
        <v>0</v>
      </c>
      <c r="J367" s="9">
        <f t="shared" si="55"/>
        <v>0</v>
      </c>
    </row>
    <row r="368" spans="1:10" x14ac:dyDescent="0.25">
      <c r="A368" s="1">
        <v>362</v>
      </c>
      <c r="B368" s="6">
        <v>0</v>
      </c>
      <c r="C368" s="8">
        <v>0</v>
      </c>
      <c r="D368" s="9">
        <f t="shared" si="49"/>
        <v>0</v>
      </c>
      <c r="E368" s="9">
        <f t="shared" si="50"/>
        <v>0</v>
      </c>
      <c r="F368" s="9">
        <f t="shared" si="51"/>
        <v>0</v>
      </c>
      <c r="G368" s="9">
        <f t="shared" si="52"/>
        <v>0</v>
      </c>
      <c r="H368" s="9">
        <f t="shared" si="53"/>
        <v>0</v>
      </c>
      <c r="I368" s="9">
        <f t="shared" si="54"/>
        <v>0</v>
      </c>
      <c r="J368" s="9">
        <f t="shared" si="55"/>
        <v>0</v>
      </c>
    </row>
    <row r="369" spans="1:10" x14ac:dyDescent="0.25">
      <c r="A369" s="1">
        <v>363</v>
      </c>
      <c r="B369" s="6">
        <v>0</v>
      </c>
      <c r="C369" s="8">
        <v>0</v>
      </c>
      <c r="D369" s="9">
        <f t="shared" si="49"/>
        <v>0</v>
      </c>
      <c r="E369" s="9">
        <f t="shared" si="50"/>
        <v>0</v>
      </c>
      <c r="F369" s="9">
        <f t="shared" si="51"/>
        <v>0</v>
      </c>
      <c r="G369" s="9">
        <f t="shared" si="52"/>
        <v>0</v>
      </c>
      <c r="H369" s="9">
        <f t="shared" si="53"/>
        <v>0</v>
      </c>
      <c r="I369" s="9">
        <f t="shared" si="54"/>
        <v>0</v>
      </c>
      <c r="J369" s="9">
        <f t="shared" si="55"/>
        <v>0</v>
      </c>
    </row>
    <row r="370" spans="1:10" x14ac:dyDescent="0.25">
      <c r="A370" s="1">
        <v>364</v>
      </c>
      <c r="B370" s="6">
        <v>0</v>
      </c>
      <c r="C370" s="8">
        <v>0</v>
      </c>
      <c r="D370" s="9">
        <f t="shared" si="49"/>
        <v>0</v>
      </c>
      <c r="E370" s="9">
        <f t="shared" si="50"/>
        <v>0</v>
      </c>
      <c r="F370" s="9">
        <f t="shared" si="51"/>
        <v>0</v>
      </c>
      <c r="G370" s="9">
        <f t="shared" si="52"/>
        <v>0</v>
      </c>
      <c r="H370" s="9">
        <f t="shared" si="53"/>
        <v>0</v>
      </c>
      <c r="I370" s="9">
        <f t="shared" si="54"/>
        <v>0</v>
      </c>
      <c r="J370" s="9">
        <f t="shared" si="55"/>
        <v>0</v>
      </c>
    </row>
    <row r="371" spans="1:10" x14ac:dyDescent="0.25">
      <c r="A371" s="1">
        <v>365</v>
      </c>
      <c r="B371" s="6">
        <v>0</v>
      </c>
      <c r="C371" s="8">
        <v>0</v>
      </c>
      <c r="D371" s="9">
        <f t="shared" si="49"/>
        <v>0</v>
      </c>
      <c r="E371" s="9">
        <f t="shared" si="50"/>
        <v>0</v>
      </c>
      <c r="F371" s="9">
        <f t="shared" si="51"/>
        <v>0</v>
      </c>
      <c r="G371" s="9">
        <f t="shared" si="52"/>
        <v>0</v>
      </c>
      <c r="H371" s="9">
        <f t="shared" si="53"/>
        <v>0</v>
      </c>
      <c r="I371" s="9">
        <f t="shared" si="54"/>
        <v>0</v>
      </c>
      <c r="J371" s="9">
        <f t="shared" si="55"/>
        <v>0</v>
      </c>
    </row>
    <row r="372" spans="1:10" x14ac:dyDescent="0.25">
      <c r="A372" s="1">
        <v>366</v>
      </c>
      <c r="B372" s="6">
        <v>0</v>
      </c>
      <c r="C372" s="8">
        <v>0</v>
      </c>
      <c r="D372" s="9">
        <f t="shared" si="49"/>
        <v>0</v>
      </c>
      <c r="E372" s="9">
        <f t="shared" si="50"/>
        <v>0</v>
      </c>
      <c r="F372" s="9">
        <f t="shared" si="51"/>
        <v>0</v>
      </c>
      <c r="G372" s="9">
        <f t="shared" si="52"/>
        <v>0</v>
      </c>
      <c r="H372" s="9">
        <f t="shared" si="53"/>
        <v>0</v>
      </c>
      <c r="I372" s="9">
        <f t="shared" si="54"/>
        <v>0</v>
      </c>
      <c r="J372" s="9">
        <f t="shared" si="55"/>
        <v>0</v>
      </c>
    </row>
    <row r="373" spans="1:10" x14ac:dyDescent="0.25">
      <c r="A373" s="1">
        <v>367</v>
      </c>
      <c r="B373" s="6">
        <v>0</v>
      </c>
      <c r="C373" s="8">
        <v>0</v>
      </c>
      <c r="D373" s="9">
        <f t="shared" si="49"/>
        <v>0</v>
      </c>
      <c r="E373" s="9">
        <f t="shared" si="50"/>
        <v>0</v>
      </c>
      <c r="F373" s="9">
        <f t="shared" si="51"/>
        <v>0</v>
      </c>
      <c r="G373" s="9">
        <f t="shared" si="52"/>
        <v>0</v>
      </c>
      <c r="H373" s="9">
        <f t="shared" si="53"/>
        <v>0</v>
      </c>
      <c r="I373" s="9">
        <f t="shared" si="54"/>
        <v>0</v>
      </c>
      <c r="J373" s="9">
        <f t="shared" si="55"/>
        <v>0</v>
      </c>
    </row>
    <row r="374" spans="1:10" x14ac:dyDescent="0.25">
      <c r="A374" s="1">
        <v>368</v>
      </c>
      <c r="B374" s="6">
        <v>0</v>
      </c>
      <c r="C374" s="8">
        <v>0</v>
      </c>
      <c r="D374" s="9">
        <f t="shared" si="49"/>
        <v>0</v>
      </c>
      <c r="E374" s="9">
        <f t="shared" si="50"/>
        <v>0</v>
      </c>
      <c r="F374" s="9">
        <f t="shared" si="51"/>
        <v>0</v>
      </c>
      <c r="G374" s="9">
        <f t="shared" si="52"/>
        <v>0</v>
      </c>
      <c r="H374" s="9">
        <f t="shared" si="53"/>
        <v>0</v>
      </c>
      <c r="I374" s="9">
        <f t="shared" si="54"/>
        <v>0</v>
      </c>
      <c r="J374" s="9">
        <f t="shared" si="55"/>
        <v>0</v>
      </c>
    </row>
    <row r="375" spans="1:10" x14ac:dyDescent="0.25">
      <c r="A375" s="1">
        <v>369</v>
      </c>
      <c r="B375" s="6">
        <v>0</v>
      </c>
      <c r="C375" s="8">
        <v>0</v>
      </c>
      <c r="D375" s="9">
        <f t="shared" si="49"/>
        <v>0</v>
      </c>
      <c r="E375" s="9">
        <f t="shared" si="50"/>
        <v>0</v>
      </c>
      <c r="F375" s="9">
        <f t="shared" si="51"/>
        <v>0</v>
      </c>
      <c r="G375" s="9">
        <f t="shared" si="52"/>
        <v>0</v>
      </c>
      <c r="H375" s="9">
        <f t="shared" si="53"/>
        <v>0</v>
      </c>
      <c r="I375" s="9">
        <f t="shared" si="54"/>
        <v>0</v>
      </c>
      <c r="J375" s="9">
        <f t="shared" si="55"/>
        <v>0</v>
      </c>
    </row>
    <row r="376" spans="1:10" x14ac:dyDescent="0.25">
      <c r="A376" s="1">
        <v>370</v>
      </c>
      <c r="B376" s="6">
        <v>0</v>
      </c>
      <c r="C376" s="8">
        <v>0</v>
      </c>
      <c r="D376" s="9">
        <f t="shared" si="49"/>
        <v>0</v>
      </c>
      <c r="E376" s="9">
        <f t="shared" si="50"/>
        <v>0</v>
      </c>
      <c r="F376" s="9">
        <f t="shared" si="51"/>
        <v>0</v>
      </c>
      <c r="G376" s="9">
        <f t="shared" si="52"/>
        <v>0</v>
      </c>
      <c r="H376" s="9">
        <f t="shared" si="53"/>
        <v>0</v>
      </c>
      <c r="I376" s="9">
        <f t="shared" si="54"/>
        <v>0</v>
      </c>
      <c r="J376" s="9">
        <f t="shared" si="55"/>
        <v>0</v>
      </c>
    </row>
    <row r="377" spans="1:10" x14ac:dyDescent="0.25">
      <c r="A377" s="1">
        <v>371</v>
      </c>
      <c r="B377" s="6">
        <v>0</v>
      </c>
      <c r="C377" s="8">
        <v>0</v>
      </c>
      <c r="D377" s="9">
        <f t="shared" si="49"/>
        <v>0</v>
      </c>
      <c r="E377" s="9">
        <f t="shared" si="50"/>
        <v>0</v>
      </c>
      <c r="F377" s="9">
        <f t="shared" si="51"/>
        <v>0</v>
      </c>
      <c r="G377" s="9">
        <f t="shared" si="52"/>
        <v>0</v>
      </c>
      <c r="H377" s="9">
        <f t="shared" si="53"/>
        <v>0</v>
      </c>
      <c r="I377" s="9">
        <f t="shared" si="54"/>
        <v>0</v>
      </c>
      <c r="J377" s="9">
        <f t="shared" si="55"/>
        <v>0</v>
      </c>
    </row>
    <row r="378" spans="1:10" x14ac:dyDescent="0.25">
      <c r="A378" s="1">
        <v>372</v>
      </c>
      <c r="B378" s="6">
        <v>0</v>
      </c>
      <c r="C378" s="8">
        <v>0</v>
      </c>
      <c r="D378" s="9">
        <f t="shared" si="49"/>
        <v>0</v>
      </c>
      <c r="E378" s="9">
        <f t="shared" si="50"/>
        <v>0</v>
      </c>
      <c r="F378" s="9">
        <f t="shared" si="51"/>
        <v>0</v>
      </c>
      <c r="G378" s="9">
        <f t="shared" si="52"/>
        <v>0</v>
      </c>
      <c r="H378" s="9">
        <f t="shared" si="53"/>
        <v>0</v>
      </c>
      <c r="I378" s="9">
        <f t="shared" si="54"/>
        <v>0</v>
      </c>
      <c r="J378" s="9">
        <f t="shared" si="55"/>
        <v>0</v>
      </c>
    </row>
    <row r="379" spans="1:10" x14ac:dyDescent="0.25">
      <c r="A379" s="1">
        <v>373</v>
      </c>
      <c r="B379" s="6">
        <v>0</v>
      </c>
      <c r="C379" s="8">
        <v>0</v>
      </c>
      <c r="D379" s="9">
        <f t="shared" si="49"/>
        <v>0</v>
      </c>
      <c r="E379" s="9">
        <f t="shared" si="50"/>
        <v>0</v>
      </c>
      <c r="F379" s="9">
        <f t="shared" si="51"/>
        <v>0</v>
      </c>
      <c r="G379" s="9">
        <f t="shared" si="52"/>
        <v>0</v>
      </c>
      <c r="H379" s="9">
        <f t="shared" si="53"/>
        <v>0</v>
      </c>
      <c r="I379" s="9">
        <f t="shared" si="54"/>
        <v>0</v>
      </c>
      <c r="J379" s="9">
        <f t="shared" si="55"/>
        <v>0</v>
      </c>
    </row>
    <row r="380" spans="1:10" x14ac:dyDescent="0.25">
      <c r="A380" s="1">
        <v>374</v>
      </c>
      <c r="B380" s="6">
        <v>0</v>
      </c>
      <c r="C380" s="8">
        <v>0</v>
      </c>
      <c r="D380" s="9">
        <f t="shared" si="49"/>
        <v>0</v>
      </c>
      <c r="E380" s="9">
        <f t="shared" si="50"/>
        <v>0</v>
      </c>
      <c r="F380" s="9">
        <f t="shared" si="51"/>
        <v>0</v>
      </c>
      <c r="G380" s="9">
        <f t="shared" si="52"/>
        <v>0</v>
      </c>
      <c r="H380" s="9">
        <f t="shared" si="53"/>
        <v>0</v>
      </c>
      <c r="I380" s="9">
        <f t="shared" si="54"/>
        <v>0</v>
      </c>
      <c r="J380" s="9">
        <f t="shared" si="55"/>
        <v>0</v>
      </c>
    </row>
    <row r="381" spans="1:10" x14ac:dyDescent="0.25">
      <c r="A381" s="1">
        <v>375</v>
      </c>
      <c r="B381" s="6">
        <v>0</v>
      </c>
      <c r="C381" s="8">
        <v>0</v>
      </c>
      <c r="D381" s="9">
        <f t="shared" si="49"/>
        <v>0</v>
      </c>
      <c r="E381" s="9">
        <f t="shared" si="50"/>
        <v>0</v>
      </c>
      <c r="F381" s="9">
        <f t="shared" si="51"/>
        <v>0</v>
      </c>
      <c r="G381" s="9">
        <f t="shared" si="52"/>
        <v>0</v>
      </c>
      <c r="H381" s="9">
        <f t="shared" si="53"/>
        <v>0</v>
      </c>
      <c r="I381" s="9">
        <f t="shared" si="54"/>
        <v>0</v>
      </c>
      <c r="J381" s="9">
        <f t="shared" si="55"/>
        <v>0</v>
      </c>
    </row>
    <row r="382" spans="1:10" x14ac:dyDescent="0.25">
      <c r="A382" s="1">
        <v>376</v>
      </c>
      <c r="B382" s="6">
        <v>0</v>
      </c>
      <c r="C382" s="8">
        <v>0</v>
      </c>
      <c r="D382" s="9">
        <f t="shared" si="49"/>
        <v>0</v>
      </c>
      <c r="E382" s="9">
        <f t="shared" si="50"/>
        <v>0</v>
      </c>
      <c r="F382" s="9">
        <f t="shared" si="51"/>
        <v>0</v>
      </c>
      <c r="G382" s="9">
        <f t="shared" si="52"/>
        <v>0</v>
      </c>
      <c r="H382" s="9">
        <f t="shared" si="53"/>
        <v>0</v>
      </c>
      <c r="I382" s="9">
        <f t="shared" si="54"/>
        <v>0</v>
      </c>
      <c r="J382" s="9">
        <f t="shared" si="55"/>
        <v>0</v>
      </c>
    </row>
    <row r="383" spans="1:10" x14ac:dyDescent="0.25">
      <c r="A383" s="1">
        <v>377</v>
      </c>
      <c r="B383" s="6">
        <v>0</v>
      </c>
      <c r="C383" s="8">
        <v>0</v>
      </c>
      <c r="D383" s="9">
        <f t="shared" si="49"/>
        <v>0</v>
      </c>
      <c r="E383" s="9">
        <f t="shared" si="50"/>
        <v>0</v>
      </c>
      <c r="F383" s="9">
        <f t="shared" si="51"/>
        <v>0</v>
      </c>
      <c r="G383" s="9">
        <f t="shared" si="52"/>
        <v>0</v>
      </c>
      <c r="H383" s="9">
        <f t="shared" si="53"/>
        <v>0</v>
      </c>
      <c r="I383" s="9">
        <f t="shared" si="54"/>
        <v>0</v>
      </c>
      <c r="J383" s="9">
        <f t="shared" si="55"/>
        <v>0</v>
      </c>
    </row>
    <row r="384" spans="1:10" x14ac:dyDescent="0.25">
      <c r="A384" s="1">
        <v>378</v>
      </c>
      <c r="B384" s="6">
        <v>0</v>
      </c>
      <c r="C384" s="8">
        <v>0</v>
      </c>
      <c r="D384" s="9">
        <f t="shared" si="49"/>
        <v>0</v>
      </c>
      <c r="E384" s="9">
        <f t="shared" si="50"/>
        <v>0</v>
      </c>
      <c r="F384" s="9">
        <f t="shared" si="51"/>
        <v>0</v>
      </c>
      <c r="G384" s="9">
        <f t="shared" si="52"/>
        <v>0</v>
      </c>
      <c r="H384" s="9">
        <f t="shared" si="53"/>
        <v>0</v>
      </c>
      <c r="I384" s="9">
        <f t="shared" si="54"/>
        <v>0</v>
      </c>
      <c r="J384" s="9">
        <f t="shared" si="55"/>
        <v>0</v>
      </c>
    </row>
    <row r="385" spans="1:10" x14ac:dyDescent="0.25">
      <c r="A385" s="1">
        <v>379</v>
      </c>
      <c r="B385" s="6">
        <v>0</v>
      </c>
      <c r="C385" s="8">
        <v>0</v>
      </c>
      <c r="D385" s="9">
        <f t="shared" si="49"/>
        <v>0</v>
      </c>
      <c r="E385" s="9">
        <f t="shared" si="50"/>
        <v>0</v>
      </c>
      <c r="F385" s="9">
        <f t="shared" si="51"/>
        <v>0</v>
      </c>
      <c r="G385" s="9">
        <f t="shared" si="52"/>
        <v>0</v>
      </c>
      <c r="H385" s="9">
        <f t="shared" si="53"/>
        <v>0</v>
      </c>
      <c r="I385" s="9">
        <f t="shared" si="54"/>
        <v>0</v>
      </c>
      <c r="J385" s="9">
        <f t="shared" si="55"/>
        <v>0</v>
      </c>
    </row>
    <row r="386" spans="1:10" x14ac:dyDescent="0.25">
      <c r="A386" s="1">
        <v>380</v>
      </c>
      <c r="B386" s="6">
        <v>0</v>
      </c>
      <c r="C386" s="8">
        <v>0</v>
      </c>
      <c r="D386" s="9">
        <f t="shared" si="49"/>
        <v>0</v>
      </c>
      <c r="E386" s="9">
        <f t="shared" si="50"/>
        <v>0</v>
      </c>
      <c r="F386" s="9">
        <f t="shared" si="51"/>
        <v>0</v>
      </c>
      <c r="G386" s="9">
        <f t="shared" si="52"/>
        <v>0</v>
      </c>
      <c r="H386" s="9">
        <f t="shared" si="53"/>
        <v>0</v>
      </c>
      <c r="I386" s="9">
        <f t="shared" si="54"/>
        <v>0</v>
      </c>
      <c r="J386" s="9">
        <f t="shared" si="55"/>
        <v>0</v>
      </c>
    </row>
    <row r="387" spans="1:10" x14ac:dyDescent="0.25">
      <c r="A387" s="1">
        <v>381</v>
      </c>
      <c r="B387" s="6">
        <v>0</v>
      </c>
      <c r="C387" s="8">
        <v>0</v>
      </c>
      <c r="D387" s="9">
        <f t="shared" si="49"/>
        <v>0</v>
      </c>
      <c r="E387" s="9">
        <f t="shared" si="50"/>
        <v>0</v>
      </c>
      <c r="F387" s="9">
        <f t="shared" si="51"/>
        <v>0</v>
      </c>
      <c r="G387" s="9">
        <f t="shared" si="52"/>
        <v>0</v>
      </c>
      <c r="H387" s="9">
        <f t="shared" si="53"/>
        <v>0</v>
      </c>
      <c r="I387" s="9">
        <f t="shared" si="54"/>
        <v>0</v>
      </c>
      <c r="J387" s="9">
        <f t="shared" si="55"/>
        <v>0</v>
      </c>
    </row>
    <row r="388" spans="1:10" x14ac:dyDescent="0.25">
      <c r="A388" s="1">
        <v>382</v>
      </c>
      <c r="B388" s="6">
        <v>0</v>
      </c>
      <c r="C388" s="8">
        <v>0</v>
      </c>
      <c r="D388" s="9">
        <f t="shared" si="49"/>
        <v>0</v>
      </c>
      <c r="E388" s="9">
        <f t="shared" si="50"/>
        <v>0</v>
      </c>
      <c r="F388" s="9">
        <f t="shared" si="51"/>
        <v>0</v>
      </c>
      <c r="G388" s="9">
        <f t="shared" si="52"/>
        <v>0</v>
      </c>
      <c r="H388" s="9">
        <f t="shared" si="53"/>
        <v>0</v>
      </c>
      <c r="I388" s="9">
        <f t="shared" si="54"/>
        <v>0</v>
      </c>
      <c r="J388" s="9">
        <f t="shared" si="55"/>
        <v>0</v>
      </c>
    </row>
    <row r="389" spans="1:10" x14ac:dyDescent="0.25">
      <c r="A389" s="1">
        <v>383</v>
      </c>
      <c r="B389" s="6">
        <v>0</v>
      </c>
      <c r="C389" s="8">
        <v>0</v>
      </c>
      <c r="D389" s="9">
        <f t="shared" si="49"/>
        <v>0</v>
      </c>
      <c r="E389" s="9">
        <f t="shared" si="50"/>
        <v>0</v>
      </c>
      <c r="F389" s="9">
        <f t="shared" si="51"/>
        <v>0</v>
      </c>
      <c r="G389" s="9">
        <f t="shared" si="52"/>
        <v>0</v>
      </c>
      <c r="H389" s="9">
        <f t="shared" si="53"/>
        <v>0</v>
      </c>
      <c r="I389" s="9">
        <f t="shared" si="54"/>
        <v>0</v>
      </c>
      <c r="J389" s="9">
        <f t="shared" si="55"/>
        <v>0</v>
      </c>
    </row>
    <row r="390" spans="1:10" x14ac:dyDescent="0.25">
      <c r="A390" s="1">
        <v>384</v>
      </c>
      <c r="B390" s="6">
        <v>0</v>
      </c>
      <c r="C390" s="8">
        <v>0</v>
      </c>
      <c r="D390" s="9">
        <f t="shared" si="49"/>
        <v>0</v>
      </c>
      <c r="E390" s="9">
        <f t="shared" si="50"/>
        <v>0</v>
      </c>
      <c r="F390" s="9">
        <f t="shared" si="51"/>
        <v>0</v>
      </c>
      <c r="G390" s="9">
        <f t="shared" si="52"/>
        <v>0</v>
      </c>
      <c r="H390" s="9">
        <f t="shared" si="53"/>
        <v>0</v>
      </c>
      <c r="I390" s="9">
        <f t="shared" si="54"/>
        <v>0</v>
      </c>
      <c r="J390" s="9">
        <f t="shared" si="55"/>
        <v>0</v>
      </c>
    </row>
    <row r="391" spans="1:10" x14ac:dyDescent="0.25">
      <c r="A391" s="1">
        <v>385</v>
      </c>
      <c r="B391" s="6">
        <v>0</v>
      </c>
      <c r="C391" s="8">
        <v>0</v>
      </c>
      <c r="D391" s="9">
        <f t="shared" si="49"/>
        <v>0</v>
      </c>
      <c r="E391" s="9">
        <f t="shared" si="50"/>
        <v>0</v>
      </c>
      <c r="F391" s="9">
        <f t="shared" si="51"/>
        <v>0</v>
      </c>
      <c r="G391" s="9">
        <f t="shared" si="52"/>
        <v>0</v>
      </c>
      <c r="H391" s="9">
        <f t="shared" si="53"/>
        <v>0</v>
      </c>
      <c r="I391" s="9">
        <f t="shared" si="54"/>
        <v>0</v>
      </c>
      <c r="J391" s="9">
        <f t="shared" si="55"/>
        <v>0</v>
      </c>
    </row>
    <row r="392" spans="1:10" x14ac:dyDescent="0.25">
      <c r="A392" s="1">
        <v>386</v>
      </c>
      <c r="B392" s="6">
        <v>0</v>
      </c>
      <c r="C392" s="8">
        <v>0</v>
      </c>
      <c r="D392" s="9">
        <f t="shared" si="49"/>
        <v>0</v>
      </c>
      <c r="E392" s="9">
        <f t="shared" si="50"/>
        <v>0</v>
      </c>
      <c r="F392" s="9">
        <f t="shared" si="51"/>
        <v>0</v>
      </c>
      <c r="G392" s="9">
        <f t="shared" si="52"/>
        <v>0</v>
      </c>
      <c r="H392" s="9">
        <f t="shared" si="53"/>
        <v>0</v>
      </c>
      <c r="I392" s="9">
        <f t="shared" si="54"/>
        <v>0</v>
      </c>
      <c r="J392" s="9">
        <f t="shared" si="55"/>
        <v>0</v>
      </c>
    </row>
    <row r="393" spans="1:10" x14ac:dyDescent="0.25">
      <c r="A393" s="1">
        <v>387</v>
      </c>
      <c r="B393" s="6">
        <v>0</v>
      </c>
      <c r="C393" s="8">
        <v>0</v>
      </c>
      <c r="D393" s="9">
        <f t="shared" si="49"/>
        <v>0</v>
      </c>
      <c r="E393" s="9">
        <f t="shared" si="50"/>
        <v>0</v>
      </c>
      <c r="F393" s="9">
        <f t="shared" si="51"/>
        <v>0</v>
      </c>
      <c r="G393" s="9">
        <f t="shared" si="52"/>
        <v>0</v>
      </c>
      <c r="H393" s="9">
        <f t="shared" si="53"/>
        <v>0</v>
      </c>
      <c r="I393" s="9">
        <f t="shared" si="54"/>
        <v>0</v>
      </c>
      <c r="J393" s="9">
        <f t="shared" si="55"/>
        <v>0</v>
      </c>
    </row>
    <row r="394" spans="1:10" x14ac:dyDescent="0.25">
      <c r="A394" s="1">
        <v>388</v>
      </c>
      <c r="B394" s="6">
        <v>0</v>
      </c>
      <c r="C394" s="8">
        <v>0</v>
      </c>
      <c r="D394" s="9">
        <f t="shared" si="49"/>
        <v>0</v>
      </c>
      <c r="E394" s="9">
        <f t="shared" si="50"/>
        <v>0</v>
      </c>
      <c r="F394" s="9">
        <f t="shared" si="51"/>
        <v>0</v>
      </c>
      <c r="G394" s="9">
        <f t="shared" si="52"/>
        <v>0</v>
      </c>
      <c r="H394" s="9">
        <f t="shared" si="53"/>
        <v>0</v>
      </c>
      <c r="I394" s="9">
        <f t="shared" si="54"/>
        <v>0</v>
      </c>
      <c r="J394" s="9">
        <f t="shared" si="55"/>
        <v>0</v>
      </c>
    </row>
    <row r="395" spans="1:10" x14ac:dyDescent="0.25">
      <c r="A395" s="1">
        <v>389</v>
      </c>
      <c r="B395" s="6">
        <v>0</v>
      </c>
      <c r="C395" s="8">
        <v>0</v>
      </c>
      <c r="D395" s="9">
        <f t="shared" si="49"/>
        <v>0</v>
      </c>
      <c r="E395" s="9">
        <f t="shared" si="50"/>
        <v>0</v>
      </c>
      <c r="F395" s="9">
        <f t="shared" si="51"/>
        <v>0</v>
      </c>
      <c r="G395" s="9">
        <f t="shared" si="52"/>
        <v>0</v>
      </c>
      <c r="H395" s="9">
        <f t="shared" si="53"/>
        <v>0</v>
      </c>
      <c r="I395" s="9">
        <f t="shared" si="54"/>
        <v>0</v>
      </c>
      <c r="J395" s="9">
        <f t="shared" si="55"/>
        <v>0</v>
      </c>
    </row>
    <row r="396" spans="1:10" x14ac:dyDescent="0.25">
      <c r="A396" s="1">
        <v>390</v>
      </c>
      <c r="B396" s="6">
        <v>0</v>
      </c>
      <c r="C396" s="8">
        <v>0</v>
      </c>
      <c r="D396" s="9">
        <f t="shared" si="49"/>
        <v>0</v>
      </c>
      <c r="E396" s="9">
        <f t="shared" si="50"/>
        <v>0</v>
      </c>
      <c r="F396" s="9">
        <f t="shared" si="51"/>
        <v>0</v>
      </c>
      <c r="G396" s="9">
        <f t="shared" si="52"/>
        <v>0</v>
      </c>
      <c r="H396" s="9">
        <f t="shared" si="53"/>
        <v>0</v>
      </c>
      <c r="I396" s="9">
        <f t="shared" si="54"/>
        <v>0</v>
      </c>
      <c r="J396" s="9">
        <f t="shared" si="55"/>
        <v>0</v>
      </c>
    </row>
    <row r="397" spans="1:10" x14ac:dyDescent="0.25">
      <c r="A397" s="1">
        <v>391</v>
      </c>
      <c r="B397" s="6">
        <v>0</v>
      </c>
      <c r="C397" s="8">
        <v>0</v>
      </c>
      <c r="D397" s="9">
        <f t="shared" si="49"/>
        <v>0</v>
      </c>
      <c r="E397" s="9">
        <f t="shared" si="50"/>
        <v>0</v>
      </c>
      <c r="F397" s="9">
        <f t="shared" si="51"/>
        <v>0</v>
      </c>
      <c r="G397" s="9">
        <f t="shared" si="52"/>
        <v>0</v>
      </c>
      <c r="H397" s="9">
        <f t="shared" si="53"/>
        <v>0</v>
      </c>
      <c r="I397" s="9">
        <f t="shared" si="54"/>
        <v>0</v>
      </c>
      <c r="J397" s="9">
        <f t="shared" si="55"/>
        <v>0</v>
      </c>
    </row>
    <row r="398" spans="1:10" x14ac:dyDescent="0.25">
      <c r="A398" s="1">
        <v>392</v>
      </c>
      <c r="B398" s="6">
        <v>0</v>
      </c>
      <c r="C398" s="8">
        <v>0</v>
      </c>
      <c r="D398" s="9">
        <f t="shared" si="49"/>
        <v>0</v>
      </c>
      <c r="E398" s="9">
        <f t="shared" si="50"/>
        <v>0</v>
      </c>
      <c r="F398" s="9">
        <f t="shared" si="51"/>
        <v>0</v>
      </c>
      <c r="G398" s="9">
        <f t="shared" si="52"/>
        <v>0</v>
      </c>
      <c r="H398" s="9">
        <f t="shared" si="53"/>
        <v>0</v>
      </c>
      <c r="I398" s="9">
        <f t="shared" si="54"/>
        <v>0</v>
      </c>
      <c r="J398" s="9">
        <f t="shared" si="55"/>
        <v>0</v>
      </c>
    </row>
    <row r="399" spans="1:10" x14ac:dyDescent="0.25">
      <c r="A399" s="1">
        <v>393</v>
      </c>
      <c r="B399" s="6">
        <v>0</v>
      </c>
      <c r="C399" s="8">
        <v>0</v>
      </c>
      <c r="D399" s="9">
        <f t="shared" si="49"/>
        <v>0</v>
      </c>
      <c r="E399" s="9">
        <f t="shared" si="50"/>
        <v>0</v>
      </c>
      <c r="F399" s="9">
        <f t="shared" si="51"/>
        <v>0</v>
      </c>
      <c r="G399" s="9">
        <f t="shared" si="52"/>
        <v>0</v>
      </c>
      <c r="H399" s="9">
        <f t="shared" si="53"/>
        <v>0</v>
      </c>
      <c r="I399" s="9">
        <f t="shared" si="54"/>
        <v>0</v>
      </c>
      <c r="J399" s="9">
        <f t="shared" si="55"/>
        <v>0</v>
      </c>
    </row>
    <row r="400" spans="1:10" x14ac:dyDescent="0.25">
      <c r="A400" s="1">
        <v>394</v>
      </c>
      <c r="B400" s="6">
        <v>0</v>
      </c>
      <c r="C400" s="8">
        <v>0</v>
      </c>
      <c r="D400" s="9">
        <f t="shared" si="49"/>
        <v>0</v>
      </c>
      <c r="E400" s="9">
        <f t="shared" si="50"/>
        <v>0</v>
      </c>
      <c r="F400" s="9">
        <f t="shared" si="51"/>
        <v>0</v>
      </c>
      <c r="G400" s="9">
        <f t="shared" si="52"/>
        <v>0</v>
      </c>
      <c r="H400" s="9">
        <f t="shared" si="53"/>
        <v>0</v>
      </c>
      <c r="I400" s="9">
        <f t="shared" si="54"/>
        <v>0</v>
      </c>
      <c r="J400" s="9">
        <f t="shared" si="55"/>
        <v>0</v>
      </c>
    </row>
    <row r="401" spans="1:10" x14ac:dyDescent="0.25">
      <c r="A401" s="1">
        <v>395</v>
      </c>
      <c r="B401" s="6">
        <v>0</v>
      </c>
      <c r="C401" s="8">
        <v>0</v>
      </c>
      <c r="D401" s="9">
        <f t="shared" si="49"/>
        <v>0</v>
      </c>
      <c r="E401" s="9">
        <f t="shared" si="50"/>
        <v>0</v>
      </c>
      <c r="F401" s="9">
        <f t="shared" si="51"/>
        <v>0</v>
      </c>
      <c r="G401" s="9">
        <f t="shared" si="52"/>
        <v>0</v>
      </c>
      <c r="H401" s="9">
        <f t="shared" si="53"/>
        <v>0</v>
      </c>
      <c r="I401" s="9">
        <f t="shared" si="54"/>
        <v>0</v>
      </c>
      <c r="J401" s="9">
        <f t="shared" si="55"/>
        <v>0</v>
      </c>
    </row>
    <row r="402" spans="1:10" x14ac:dyDescent="0.25">
      <c r="A402" s="1">
        <v>396</v>
      </c>
      <c r="B402" s="6">
        <v>0</v>
      </c>
      <c r="C402" s="8">
        <v>0</v>
      </c>
      <c r="D402" s="9">
        <f t="shared" si="49"/>
        <v>0</v>
      </c>
      <c r="E402" s="9">
        <f t="shared" si="50"/>
        <v>0</v>
      </c>
      <c r="F402" s="9">
        <f t="shared" si="51"/>
        <v>0</v>
      </c>
      <c r="G402" s="9">
        <f t="shared" si="52"/>
        <v>0</v>
      </c>
      <c r="H402" s="9">
        <f t="shared" si="53"/>
        <v>0</v>
      </c>
      <c r="I402" s="9">
        <f t="shared" si="54"/>
        <v>0</v>
      </c>
      <c r="J402" s="9">
        <f t="shared" si="55"/>
        <v>0</v>
      </c>
    </row>
    <row r="403" spans="1:10" x14ac:dyDescent="0.25">
      <c r="A403" s="1">
        <v>397</v>
      </c>
      <c r="B403" s="6">
        <v>0</v>
      </c>
      <c r="C403" s="8">
        <v>0</v>
      </c>
      <c r="D403" s="9">
        <f t="shared" si="49"/>
        <v>0</v>
      </c>
      <c r="E403" s="9">
        <f t="shared" si="50"/>
        <v>0</v>
      </c>
      <c r="F403" s="9">
        <f t="shared" si="51"/>
        <v>0</v>
      </c>
      <c r="G403" s="9">
        <f t="shared" si="52"/>
        <v>0</v>
      </c>
      <c r="H403" s="9">
        <f t="shared" si="53"/>
        <v>0</v>
      </c>
      <c r="I403" s="9">
        <f t="shared" si="54"/>
        <v>0</v>
      </c>
      <c r="J403" s="9">
        <f t="shared" si="55"/>
        <v>0</v>
      </c>
    </row>
    <row r="404" spans="1:10" x14ac:dyDescent="0.25">
      <c r="A404" s="1">
        <v>398</v>
      </c>
      <c r="B404" s="6">
        <v>0</v>
      </c>
      <c r="C404" s="8">
        <v>0</v>
      </c>
      <c r="D404" s="9">
        <f t="shared" si="49"/>
        <v>0</v>
      </c>
      <c r="E404" s="9">
        <f t="shared" si="50"/>
        <v>0</v>
      </c>
      <c r="F404" s="9">
        <f t="shared" si="51"/>
        <v>0</v>
      </c>
      <c r="G404" s="9">
        <f t="shared" si="52"/>
        <v>0</v>
      </c>
      <c r="H404" s="9">
        <f t="shared" si="53"/>
        <v>0</v>
      </c>
      <c r="I404" s="9">
        <f t="shared" si="54"/>
        <v>0</v>
      </c>
      <c r="J404" s="9">
        <f t="shared" si="55"/>
        <v>0</v>
      </c>
    </row>
    <row r="405" spans="1:10" x14ac:dyDescent="0.25">
      <c r="A405" s="1">
        <v>399</v>
      </c>
      <c r="B405" s="6">
        <v>0</v>
      </c>
      <c r="C405" s="8">
        <v>0</v>
      </c>
      <c r="D405" s="9">
        <f t="shared" si="49"/>
        <v>0</v>
      </c>
      <c r="E405" s="9">
        <f t="shared" si="50"/>
        <v>0</v>
      </c>
      <c r="F405" s="9">
        <f t="shared" si="51"/>
        <v>0</v>
      </c>
      <c r="G405" s="9">
        <f t="shared" si="52"/>
        <v>0</v>
      </c>
      <c r="H405" s="9">
        <f t="shared" si="53"/>
        <v>0</v>
      </c>
      <c r="I405" s="9">
        <f t="shared" si="54"/>
        <v>0</v>
      </c>
      <c r="J405" s="9">
        <f t="shared" si="55"/>
        <v>0</v>
      </c>
    </row>
    <row r="406" spans="1:10" x14ac:dyDescent="0.25">
      <c r="A406" s="1">
        <v>400</v>
      </c>
      <c r="B406" s="6">
        <v>0</v>
      </c>
      <c r="C406" s="8">
        <v>0</v>
      </c>
      <c r="D406" s="9">
        <f t="shared" si="49"/>
        <v>0</v>
      </c>
      <c r="E406" s="9">
        <f t="shared" si="50"/>
        <v>0</v>
      </c>
      <c r="F406" s="9">
        <f t="shared" si="51"/>
        <v>0</v>
      </c>
      <c r="G406" s="9">
        <f t="shared" si="52"/>
        <v>0</v>
      </c>
      <c r="H406" s="9">
        <f t="shared" si="53"/>
        <v>0</v>
      </c>
      <c r="I406" s="9">
        <f t="shared" si="54"/>
        <v>0</v>
      </c>
      <c r="J406" s="9">
        <f t="shared" si="55"/>
        <v>0</v>
      </c>
    </row>
    <row r="407" spans="1:10" x14ac:dyDescent="0.25">
      <c r="A407" s="1">
        <v>401</v>
      </c>
      <c r="B407" s="6">
        <v>0</v>
      </c>
      <c r="C407" s="8">
        <v>0</v>
      </c>
      <c r="D407" s="9">
        <f t="shared" si="49"/>
        <v>0</v>
      </c>
      <c r="E407" s="9">
        <f t="shared" si="50"/>
        <v>0</v>
      </c>
      <c r="F407" s="9">
        <f t="shared" si="51"/>
        <v>0</v>
      </c>
      <c r="G407" s="9">
        <f t="shared" si="52"/>
        <v>0</v>
      </c>
      <c r="H407" s="9">
        <f t="shared" si="53"/>
        <v>0</v>
      </c>
      <c r="I407" s="9">
        <f t="shared" si="54"/>
        <v>0</v>
      </c>
      <c r="J407" s="9">
        <f t="shared" si="55"/>
        <v>0</v>
      </c>
    </row>
    <row r="408" spans="1:10" x14ac:dyDescent="0.25">
      <c r="A408" s="1">
        <v>402</v>
      </c>
      <c r="B408" s="6">
        <v>0</v>
      </c>
      <c r="C408" s="8">
        <v>0</v>
      </c>
      <c r="D408" s="9">
        <f t="shared" si="49"/>
        <v>0</v>
      </c>
      <c r="E408" s="9">
        <f t="shared" si="50"/>
        <v>0</v>
      </c>
      <c r="F408" s="9">
        <f t="shared" si="51"/>
        <v>0</v>
      </c>
      <c r="G408" s="9">
        <f t="shared" si="52"/>
        <v>0</v>
      </c>
      <c r="H408" s="9">
        <f t="shared" si="53"/>
        <v>0</v>
      </c>
      <c r="I408" s="9">
        <f t="shared" si="54"/>
        <v>0</v>
      </c>
      <c r="J408" s="9">
        <f t="shared" si="55"/>
        <v>0</v>
      </c>
    </row>
    <row r="409" spans="1:10" x14ac:dyDescent="0.25">
      <c r="A409" s="1">
        <v>403</v>
      </c>
      <c r="B409" s="6">
        <v>0</v>
      </c>
      <c r="C409" s="8">
        <v>0</v>
      </c>
      <c r="D409" s="9">
        <f t="shared" si="49"/>
        <v>0</v>
      </c>
      <c r="E409" s="9">
        <f t="shared" si="50"/>
        <v>0</v>
      </c>
      <c r="F409" s="9">
        <f t="shared" si="51"/>
        <v>0</v>
      </c>
      <c r="G409" s="9">
        <f t="shared" si="52"/>
        <v>0</v>
      </c>
      <c r="H409" s="9">
        <f t="shared" si="53"/>
        <v>0</v>
      </c>
      <c r="I409" s="9">
        <f t="shared" si="54"/>
        <v>0</v>
      </c>
      <c r="J409" s="9">
        <f t="shared" si="55"/>
        <v>0</v>
      </c>
    </row>
    <row r="410" spans="1:10" x14ac:dyDescent="0.25">
      <c r="A410" s="1">
        <v>404</v>
      </c>
      <c r="B410" s="6">
        <v>0</v>
      </c>
      <c r="C410" s="8">
        <v>0</v>
      </c>
      <c r="D410" s="9">
        <f t="shared" si="49"/>
        <v>0</v>
      </c>
      <c r="E410" s="9">
        <f t="shared" si="50"/>
        <v>0</v>
      </c>
      <c r="F410" s="9">
        <f t="shared" si="51"/>
        <v>0</v>
      </c>
      <c r="G410" s="9">
        <f t="shared" si="52"/>
        <v>0</v>
      </c>
      <c r="H410" s="9">
        <f t="shared" si="53"/>
        <v>0</v>
      </c>
      <c r="I410" s="9">
        <f t="shared" si="54"/>
        <v>0</v>
      </c>
      <c r="J410" s="9">
        <f t="shared" si="55"/>
        <v>0</v>
      </c>
    </row>
    <row r="411" spans="1:10" x14ac:dyDescent="0.25">
      <c r="A411" s="1">
        <v>405</v>
      </c>
      <c r="B411" s="6">
        <v>0</v>
      </c>
      <c r="C411" s="8">
        <v>0</v>
      </c>
      <c r="D411" s="9">
        <f t="shared" si="49"/>
        <v>0</v>
      </c>
      <c r="E411" s="9">
        <f t="shared" si="50"/>
        <v>0</v>
      </c>
      <c r="F411" s="9">
        <f t="shared" si="51"/>
        <v>0</v>
      </c>
      <c r="G411" s="9">
        <f t="shared" si="52"/>
        <v>0</v>
      </c>
      <c r="H411" s="9">
        <f t="shared" si="53"/>
        <v>0</v>
      </c>
      <c r="I411" s="9">
        <f t="shared" si="54"/>
        <v>0</v>
      </c>
      <c r="J411" s="9">
        <f t="shared" si="55"/>
        <v>0</v>
      </c>
    </row>
    <row r="412" spans="1:10" x14ac:dyDescent="0.25">
      <c r="A412" s="1">
        <v>406</v>
      </c>
      <c r="B412" s="6">
        <v>0</v>
      </c>
      <c r="C412" s="8">
        <v>0</v>
      </c>
      <c r="D412" s="9">
        <f t="shared" si="49"/>
        <v>0</v>
      </c>
      <c r="E412" s="9">
        <f t="shared" si="50"/>
        <v>0</v>
      </c>
      <c r="F412" s="9">
        <f t="shared" si="51"/>
        <v>0</v>
      </c>
      <c r="G412" s="9">
        <f t="shared" si="52"/>
        <v>0</v>
      </c>
      <c r="H412" s="9">
        <f t="shared" si="53"/>
        <v>0</v>
      </c>
      <c r="I412" s="9">
        <f t="shared" si="54"/>
        <v>0</v>
      </c>
      <c r="J412" s="9">
        <f t="shared" si="55"/>
        <v>0</v>
      </c>
    </row>
    <row r="413" spans="1:10" x14ac:dyDescent="0.25">
      <c r="A413" s="1">
        <v>407</v>
      </c>
      <c r="B413" s="6">
        <v>0</v>
      </c>
      <c r="C413" s="8">
        <v>0</v>
      </c>
      <c r="D413" s="9">
        <f t="shared" si="49"/>
        <v>0</v>
      </c>
      <c r="E413" s="9">
        <f t="shared" si="50"/>
        <v>0</v>
      </c>
      <c r="F413" s="9">
        <f t="shared" si="51"/>
        <v>0</v>
      </c>
      <c r="G413" s="9">
        <f t="shared" si="52"/>
        <v>0</v>
      </c>
      <c r="H413" s="9">
        <f t="shared" si="53"/>
        <v>0</v>
      </c>
      <c r="I413" s="9">
        <f t="shared" si="54"/>
        <v>0</v>
      </c>
      <c r="J413" s="9">
        <f t="shared" si="55"/>
        <v>0</v>
      </c>
    </row>
    <row r="414" spans="1:10" x14ac:dyDescent="0.25">
      <c r="A414" s="1">
        <v>408</v>
      </c>
      <c r="B414" s="6">
        <v>0</v>
      </c>
      <c r="C414" s="8">
        <v>0</v>
      </c>
      <c r="D414" s="9">
        <f t="shared" si="49"/>
        <v>0</v>
      </c>
      <c r="E414" s="9">
        <f t="shared" si="50"/>
        <v>0</v>
      </c>
      <c r="F414" s="9">
        <f t="shared" si="51"/>
        <v>0</v>
      </c>
      <c r="G414" s="9">
        <f t="shared" si="52"/>
        <v>0</v>
      </c>
      <c r="H414" s="9">
        <f t="shared" si="53"/>
        <v>0</v>
      </c>
      <c r="I414" s="9">
        <f t="shared" si="54"/>
        <v>0</v>
      </c>
      <c r="J414" s="9">
        <f t="shared" si="55"/>
        <v>0</v>
      </c>
    </row>
    <row r="415" spans="1:10" x14ac:dyDescent="0.25">
      <c r="A415" s="1">
        <v>409</v>
      </c>
      <c r="B415" s="6">
        <v>0</v>
      </c>
      <c r="C415" s="8">
        <v>0</v>
      </c>
      <c r="D415" s="9">
        <f t="shared" si="49"/>
        <v>0</v>
      </c>
      <c r="E415" s="9">
        <f t="shared" si="50"/>
        <v>0</v>
      </c>
      <c r="F415" s="9">
        <f t="shared" si="51"/>
        <v>0</v>
      </c>
      <c r="G415" s="9">
        <f t="shared" si="52"/>
        <v>0</v>
      </c>
      <c r="H415" s="9">
        <f t="shared" si="53"/>
        <v>0</v>
      </c>
      <c r="I415" s="9">
        <f t="shared" si="54"/>
        <v>0</v>
      </c>
      <c r="J415" s="9">
        <f t="shared" si="55"/>
        <v>0</v>
      </c>
    </row>
    <row r="416" spans="1:10" x14ac:dyDescent="0.25">
      <c r="A416" s="1">
        <v>410</v>
      </c>
      <c r="B416" s="6">
        <v>0</v>
      </c>
      <c r="C416" s="8">
        <v>0</v>
      </c>
      <c r="D416" s="9">
        <f t="shared" si="49"/>
        <v>0</v>
      </c>
      <c r="E416" s="9">
        <f t="shared" si="50"/>
        <v>0</v>
      </c>
      <c r="F416" s="9">
        <f t="shared" si="51"/>
        <v>0</v>
      </c>
      <c r="G416" s="9">
        <f t="shared" si="52"/>
        <v>0</v>
      </c>
      <c r="H416" s="9">
        <f t="shared" si="53"/>
        <v>0</v>
      </c>
      <c r="I416" s="9">
        <f t="shared" si="54"/>
        <v>0</v>
      </c>
      <c r="J416" s="9">
        <f t="shared" si="55"/>
        <v>0</v>
      </c>
    </row>
    <row r="417" spans="1:10" x14ac:dyDescent="0.25">
      <c r="A417" s="1">
        <v>411</v>
      </c>
      <c r="B417" s="6">
        <v>0</v>
      </c>
      <c r="C417" s="8">
        <v>0</v>
      </c>
      <c r="D417" s="9">
        <f t="shared" si="49"/>
        <v>0</v>
      </c>
      <c r="E417" s="9">
        <f t="shared" si="50"/>
        <v>0</v>
      </c>
      <c r="F417" s="9">
        <f t="shared" si="51"/>
        <v>0</v>
      </c>
      <c r="G417" s="9">
        <f t="shared" si="52"/>
        <v>0</v>
      </c>
      <c r="H417" s="9">
        <f t="shared" si="53"/>
        <v>0</v>
      </c>
      <c r="I417" s="9">
        <f t="shared" si="54"/>
        <v>0</v>
      </c>
      <c r="J417" s="9">
        <f t="shared" si="55"/>
        <v>0</v>
      </c>
    </row>
    <row r="418" spans="1:10" x14ac:dyDescent="0.25">
      <c r="A418" s="1">
        <v>412</v>
      </c>
      <c r="B418" s="6">
        <v>0</v>
      </c>
      <c r="C418" s="8">
        <v>0</v>
      </c>
      <c r="D418" s="9">
        <f t="shared" si="49"/>
        <v>0</v>
      </c>
      <c r="E418" s="9">
        <f t="shared" si="50"/>
        <v>0</v>
      </c>
      <c r="F418" s="9">
        <f t="shared" si="51"/>
        <v>0</v>
      </c>
      <c r="G418" s="9">
        <f t="shared" si="52"/>
        <v>0</v>
      </c>
      <c r="H418" s="9">
        <f t="shared" si="53"/>
        <v>0</v>
      </c>
      <c r="I418" s="9">
        <f t="shared" si="54"/>
        <v>0</v>
      </c>
      <c r="J418" s="9">
        <f t="shared" si="55"/>
        <v>0</v>
      </c>
    </row>
    <row r="419" spans="1:10" x14ac:dyDescent="0.25">
      <c r="A419" s="1">
        <v>413</v>
      </c>
      <c r="B419" s="6">
        <v>0</v>
      </c>
      <c r="C419" s="8">
        <v>0</v>
      </c>
      <c r="D419" s="9">
        <f t="shared" si="49"/>
        <v>0</v>
      </c>
      <c r="E419" s="9">
        <f t="shared" si="50"/>
        <v>0</v>
      </c>
      <c r="F419" s="9">
        <f t="shared" si="51"/>
        <v>0</v>
      </c>
      <c r="G419" s="9">
        <f t="shared" si="52"/>
        <v>0</v>
      </c>
      <c r="H419" s="9">
        <f t="shared" si="53"/>
        <v>0</v>
      </c>
      <c r="I419" s="9">
        <f t="shared" si="54"/>
        <v>0</v>
      </c>
      <c r="J419" s="9">
        <f t="shared" si="55"/>
        <v>0</v>
      </c>
    </row>
    <row r="420" spans="1:10" x14ac:dyDescent="0.25">
      <c r="A420" s="1">
        <v>414</v>
      </c>
      <c r="B420" s="6">
        <v>0</v>
      </c>
      <c r="C420" s="8">
        <v>0</v>
      </c>
      <c r="D420" s="9">
        <f t="shared" si="49"/>
        <v>0</v>
      </c>
      <c r="E420" s="9">
        <f t="shared" si="50"/>
        <v>0</v>
      </c>
      <c r="F420" s="9">
        <f t="shared" si="51"/>
        <v>0</v>
      </c>
      <c r="G420" s="9">
        <f t="shared" si="52"/>
        <v>0</v>
      </c>
      <c r="H420" s="9">
        <f t="shared" si="53"/>
        <v>0</v>
      </c>
      <c r="I420" s="9">
        <f t="shared" si="54"/>
        <v>0</v>
      </c>
      <c r="J420" s="9">
        <f t="shared" si="55"/>
        <v>0</v>
      </c>
    </row>
    <row r="421" spans="1:10" x14ac:dyDescent="0.25">
      <c r="A421" s="1">
        <v>415</v>
      </c>
      <c r="B421" s="6">
        <v>0</v>
      </c>
      <c r="C421" s="8">
        <v>0</v>
      </c>
      <c r="D421" s="9">
        <f t="shared" si="49"/>
        <v>0</v>
      </c>
      <c r="E421" s="9">
        <f t="shared" si="50"/>
        <v>0</v>
      </c>
      <c r="F421" s="9">
        <f t="shared" si="51"/>
        <v>0</v>
      </c>
      <c r="G421" s="9">
        <f t="shared" si="52"/>
        <v>0</v>
      </c>
      <c r="H421" s="9">
        <f t="shared" si="53"/>
        <v>0</v>
      </c>
      <c r="I421" s="9">
        <f t="shared" si="54"/>
        <v>0</v>
      </c>
      <c r="J421" s="9">
        <f t="shared" si="55"/>
        <v>0</v>
      </c>
    </row>
    <row r="422" spans="1:10" x14ac:dyDescent="0.25">
      <c r="A422" s="1">
        <v>416</v>
      </c>
      <c r="B422" s="6">
        <v>0</v>
      </c>
      <c r="C422" s="8">
        <v>0</v>
      </c>
      <c r="D422" s="9">
        <f t="shared" si="49"/>
        <v>0</v>
      </c>
      <c r="E422" s="9">
        <f t="shared" si="50"/>
        <v>0</v>
      </c>
      <c r="F422" s="9">
        <f t="shared" si="51"/>
        <v>0</v>
      </c>
      <c r="G422" s="9">
        <f t="shared" si="52"/>
        <v>0</v>
      </c>
      <c r="H422" s="9">
        <f t="shared" si="53"/>
        <v>0</v>
      </c>
      <c r="I422" s="9">
        <f t="shared" si="54"/>
        <v>0</v>
      </c>
      <c r="J422" s="9">
        <f t="shared" si="55"/>
        <v>0</v>
      </c>
    </row>
    <row r="423" spans="1:10" x14ac:dyDescent="0.25">
      <c r="A423" s="1">
        <v>417</v>
      </c>
      <c r="B423" s="6">
        <v>0</v>
      </c>
      <c r="C423" s="8">
        <v>0</v>
      </c>
      <c r="D423" s="9">
        <f t="shared" si="49"/>
        <v>0</v>
      </c>
      <c r="E423" s="9">
        <f t="shared" si="50"/>
        <v>0</v>
      </c>
      <c r="F423" s="9">
        <f t="shared" si="51"/>
        <v>0</v>
      </c>
      <c r="G423" s="9">
        <f t="shared" si="52"/>
        <v>0</v>
      </c>
      <c r="H423" s="9">
        <f t="shared" si="53"/>
        <v>0</v>
      </c>
      <c r="I423" s="9">
        <f t="shared" si="54"/>
        <v>0</v>
      </c>
      <c r="J423" s="9">
        <f t="shared" si="55"/>
        <v>0</v>
      </c>
    </row>
    <row r="424" spans="1:10" x14ac:dyDescent="0.25">
      <c r="A424" s="1">
        <v>418</v>
      </c>
      <c r="B424" s="6">
        <v>0</v>
      </c>
      <c r="C424" s="8">
        <v>0</v>
      </c>
      <c r="D424" s="9">
        <f t="shared" si="49"/>
        <v>0</v>
      </c>
      <c r="E424" s="9">
        <f t="shared" si="50"/>
        <v>0</v>
      </c>
      <c r="F424" s="9">
        <f t="shared" si="51"/>
        <v>0</v>
      </c>
      <c r="G424" s="9">
        <f t="shared" si="52"/>
        <v>0</v>
      </c>
      <c r="H424" s="9">
        <f t="shared" si="53"/>
        <v>0</v>
      </c>
      <c r="I424" s="9">
        <f t="shared" si="54"/>
        <v>0</v>
      </c>
      <c r="J424" s="9">
        <f t="shared" si="55"/>
        <v>0</v>
      </c>
    </row>
    <row r="425" spans="1:10" x14ac:dyDescent="0.25">
      <c r="A425" s="1">
        <v>419</v>
      </c>
      <c r="B425" s="6">
        <v>0</v>
      </c>
      <c r="C425" s="8">
        <v>0</v>
      </c>
      <c r="D425" s="9">
        <f t="shared" si="49"/>
        <v>0</v>
      </c>
      <c r="E425" s="9">
        <f t="shared" si="50"/>
        <v>0</v>
      </c>
      <c r="F425" s="9">
        <f t="shared" si="51"/>
        <v>0</v>
      </c>
      <c r="G425" s="9">
        <f t="shared" si="52"/>
        <v>0</v>
      </c>
      <c r="H425" s="9">
        <f t="shared" si="53"/>
        <v>0</v>
      </c>
      <c r="I425" s="9">
        <f t="shared" si="54"/>
        <v>0</v>
      </c>
      <c r="J425" s="9">
        <f t="shared" si="55"/>
        <v>0</v>
      </c>
    </row>
    <row r="426" spans="1:10" x14ac:dyDescent="0.25">
      <c r="A426" s="1">
        <v>420</v>
      </c>
      <c r="B426" s="6">
        <v>0</v>
      </c>
      <c r="C426" s="8">
        <v>0</v>
      </c>
      <c r="D426" s="9">
        <f t="shared" si="49"/>
        <v>0</v>
      </c>
      <c r="E426" s="9">
        <f t="shared" si="50"/>
        <v>0</v>
      </c>
      <c r="F426" s="9">
        <f t="shared" si="51"/>
        <v>0</v>
      </c>
      <c r="G426" s="9">
        <f t="shared" si="52"/>
        <v>0</v>
      </c>
      <c r="H426" s="9">
        <f t="shared" si="53"/>
        <v>0</v>
      </c>
      <c r="I426" s="9">
        <f t="shared" si="54"/>
        <v>0</v>
      </c>
      <c r="J426" s="9">
        <f t="shared" si="55"/>
        <v>0</v>
      </c>
    </row>
    <row r="427" spans="1:10" x14ac:dyDescent="0.25">
      <c r="A427" s="1">
        <v>421</v>
      </c>
      <c r="B427" s="6">
        <v>0</v>
      </c>
      <c r="C427" s="8">
        <v>0</v>
      </c>
      <c r="D427" s="9">
        <f t="shared" ref="D427:D490" si="56">((B426*C427)-(B427*C426))*0.5</f>
        <v>0</v>
      </c>
      <c r="E427" s="9">
        <f t="shared" ref="E427:E490" si="57">(B427+B426)*((B426*C427)-(B427*C426))*(1/6)</f>
        <v>0</v>
      </c>
      <c r="F427" s="9">
        <f t="shared" ref="F427:F490" si="58">(C427+C426)*((B426*C427)-(B427*C426))*(1/6)</f>
        <v>0</v>
      </c>
      <c r="G427" s="9">
        <f t="shared" ref="G427:G490" si="59">(((C426*C426)+(C426*C427)+(C427*C427))*((B426*C427)-(B427*C426)))/12</f>
        <v>0</v>
      </c>
      <c r="H427" s="9">
        <f t="shared" ref="H427:H490" si="60">(((B426*B426)+(B426*B427)+(B427*B427))*((B426*C427)-(B427*C426)))/12</f>
        <v>0</v>
      </c>
      <c r="I427" s="9">
        <f t="shared" ref="I427:I490" si="61">(((B426*C427)+(2*B426*C426)+(2*B427*C427)+(B427*C426))*((B426*C427)-(B427*C426)))/24</f>
        <v>0</v>
      </c>
      <c r="J427" s="9">
        <f t="shared" ref="J427:J490" si="62">G427+H427</f>
        <v>0</v>
      </c>
    </row>
    <row r="428" spans="1:10" x14ac:dyDescent="0.25">
      <c r="A428" s="1">
        <v>422</v>
      </c>
      <c r="B428" s="6">
        <v>0</v>
      </c>
      <c r="C428" s="8">
        <v>0</v>
      </c>
      <c r="D428" s="9">
        <f t="shared" si="56"/>
        <v>0</v>
      </c>
      <c r="E428" s="9">
        <f t="shared" si="57"/>
        <v>0</v>
      </c>
      <c r="F428" s="9">
        <f t="shared" si="58"/>
        <v>0</v>
      </c>
      <c r="G428" s="9">
        <f t="shared" si="59"/>
        <v>0</v>
      </c>
      <c r="H428" s="9">
        <f t="shared" si="60"/>
        <v>0</v>
      </c>
      <c r="I428" s="9">
        <f t="shared" si="61"/>
        <v>0</v>
      </c>
      <c r="J428" s="9">
        <f t="shared" si="62"/>
        <v>0</v>
      </c>
    </row>
    <row r="429" spans="1:10" x14ac:dyDescent="0.25">
      <c r="A429" s="1">
        <v>423</v>
      </c>
      <c r="B429" s="6">
        <v>0</v>
      </c>
      <c r="C429" s="8">
        <v>0</v>
      </c>
      <c r="D429" s="9">
        <f t="shared" si="56"/>
        <v>0</v>
      </c>
      <c r="E429" s="9">
        <f t="shared" si="57"/>
        <v>0</v>
      </c>
      <c r="F429" s="9">
        <f t="shared" si="58"/>
        <v>0</v>
      </c>
      <c r="G429" s="9">
        <f t="shared" si="59"/>
        <v>0</v>
      </c>
      <c r="H429" s="9">
        <f t="shared" si="60"/>
        <v>0</v>
      </c>
      <c r="I429" s="9">
        <f t="shared" si="61"/>
        <v>0</v>
      </c>
      <c r="J429" s="9">
        <f t="shared" si="62"/>
        <v>0</v>
      </c>
    </row>
    <row r="430" spans="1:10" x14ac:dyDescent="0.25">
      <c r="A430" s="1">
        <v>424</v>
      </c>
      <c r="B430" s="6">
        <v>0</v>
      </c>
      <c r="C430" s="8">
        <v>0</v>
      </c>
      <c r="D430" s="9">
        <f t="shared" si="56"/>
        <v>0</v>
      </c>
      <c r="E430" s="9">
        <f t="shared" si="57"/>
        <v>0</v>
      </c>
      <c r="F430" s="9">
        <f t="shared" si="58"/>
        <v>0</v>
      </c>
      <c r="G430" s="9">
        <f t="shared" si="59"/>
        <v>0</v>
      </c>
      <c r="H430" s="9">
        <f t="shared" si="60"/>
        <v>0</v>
      </c>
      <c r="I430" s="9">
        <f t="shared" si="61"/>
        <v>0</v>
      </c>
      <c r="J430" s="9">
        <f t="shared" si="62"/>
        <v>0</v>
      </c>
    </row>
    <row r="431" spans="1:10" x14ac:dyDescent="0.25">
      <c r="A431" s="1">
        <v>425</v>
      </c>
      <c r="B431" s="6">
        <v>0</v>
      </c>
      <c r="C431" s="8">
        <v>0</v>
      </c>
      <c r="D431" s="9">
        <f t="shared" si="56"/>
        <v>0</v>
      </c>
      <c r="E431" s="9">
        <f t="shared" si="57"/>
        <v>0</v>
      </c>
      <c r="F431" s="9">
        <f t="shared" si="58"/>
        <v>0</v>
      </c>
      <c r="G431" s="9">
        <f t="shared" si="59"/>
        <v>0</v>
      </c>
      <c r="H431" s="9">
        <f t="shared" si="60"/>
        <v>0</v>
      </c>
      <c r="I431" s="9">
        <f t="shared" si="61"/>
        <v>0</v>
      </c>
      <c r="J431" s="9">
        <f t="shared" si="62"/>
        <v>0</v>
      </c>
    </row>
    <row r="432" spans="1:10" x14ac:dyDescent="0.25">
      <c r="A432" s="1">
        <v>426</v>
      </c>
      <c r="B432" s="6">
        <v>0</v>
      </c>
      <c r="C432" s="8">
        <v>0</v>
      </c>
      <c r="D432" s="9">
        <f t="shared" si="56"/>
        <v>0</v>
      </c>
      <c r="E432" s="9">
        <f t="shared" si="57"/>
        <v>0</v>
      </c>
      <c r="F432" s="9">
        <f t="shared" si="58"/>
        <v>0</v>
      </c>
      <c r="G432" s="9">
        <f t="shared" si="59"/>
        <v>0</v>
      </c>
      <c r="H432" s="9">
        <f t="shared" si="60"/>
        <v>0</v>
      </c>
      <c r="I432" s="9">
        <f t="shared" si="61"/>
        <v>0</v>
      </c>
      <c r="J432" s="9">
        <f t="shared" si="62"/>
        <v>0</v>
      </c>
    </row>
    <row r="433" spans="1:10" x14ac:dyDescent="0.25">
      <c r="A433" s="1">
        <v>427</v>
      </c>
      <c r="B433" s="6">
        <v>0</v>
      </c>
      <c r="C433" s="8">
        <v>0</v>
      </c>
      <c r="D433" s="9">
        <f t="shared" si="56"/>
        <v>0</v>
      </c>
      <c r="E433" s="9">
        <f t="shared" si="57"/>
        <v>0</v>
      </c>
      <c r="F433" s="9">
        <f t="shared" si="58"/>
        <v>0</v>
      </c>
      <c r="G433" s="9">
        <f t="shared" si="59"/>
        <v>0</v>
      </c>
      <c r="H433" s="9">
        <f t="shared" si="60"/>
        <v>0</v>
      </c>
      <c r="I433" s="9">
        <f t="shared" si="61"/>
        <v>0</v>
      </c>
      <c r="J433" s="9">
        <f t="shared" si="62"/>
        <v>0</v>
      </c>
    </row>
    <row r="434" spans="1:10" x14ac:dyDescent="0.25">
      <c r="A434" s="1">
        <v>428</v>
      </c>
      <c r="B434" s="6">
        <v>0</v>
      </c>
      <c r="C434" s="8">
        <v>0</v>
      </c>
      <c r="D434" s="9">
        <f t="shared" si="56"/>
        <v>0</v>
      </c>
      <c r="E434" s="9">
        <f t="shared" si="57"/>
        <v>0</v>
      </c>
      <c r="F434" s="9">
        <f t="shared" si="58"/>
        <v>0</v>
      </c>
      <c r="G434" s="9">
        <f t="shared" si="59"/>
        <v>0</v>
      </c>
      <c r="H434" s="9">
        <f t="shared" si="60"/>
        <v>0</v>
      </c>
      <c r="I434" s="9">
        <f t="shared" si="61"/>
        <v>0</v>
      </c>
      <c r="J434" s="9">
        <f t="shared" si="62"/>
        <v>0</v>
      </c>
    </row>
    <row r="435" spans="1:10" x14ac:dyDescent="0.25">
      <c r="A435" s="1">
        <v>429</v>
      </c>
      <c r="B435" s="6">
        <v>0</v>
      </c>
      <c r="C435" s="8">
        <v>0</v>
      </c>
      <c r="D435" s="9">
        <f t="shared" si="56"/>
        <v>0</v>
      </c>
      <c r="E435" s="9">
        <f t="shared" si="57"/>
        <v>0</v>
      </c>
      <c r="F435" s="9">
        <f t="shared" si="58"/>
        <v>0</v>
      </c>
      <c r="G435" s="9">
        <f t="shared" si="59"/>
        <v>0</v>
      </c>
      <c r="H435" s="9">
        <f t="shared" si="60"/>
        <v>0</v>
      </c>
      <c r="I435" s="9">
        <f t="shared" si="61"/>
        <v>0</v>
      </c>
      <c r="J435" s="9">
        <f t="shared" si="62"/>
        <v>0</v>
      </c>
    </row>
    <row r="436" spans="1:10" x14ac:dyDescent="0.25">
      <c r="A436" s="1">
        <v>430</v>
      </c>
      <c r="B436" s="6">
        <v>0</v>
      </c>
      <c r="C436" s="8">
        <v>0</v>
      </c>
      <c r="D436" s="9">
        <f t="shared" si="56"/>
        <v>0</v>
      </c>
      <c r="E436" s="9">
        <f t="shared" si="57"/>
        <v>0</v>
      </c>
      <c r="F436" s="9">
        <f t="shared" si="58"/>
        <v>0</v>
      </c>
      <c r="G436" s="9">
        <f t="shared" si="59"/>
        <v>0</v>
      </c>
      <c r="H436" s="9">
        <f t="shared" si="60"/>
        <v>0</v>
      </c>
      <c r="I436" s="9">
        <f t="shared" si="61"/>
        <v>0</v>
      </c>
      <c r="J436" s="9">
        <f t="shared" si="62"/>
        <v>0</v>
      </c>
    </row>
    <row r="437" spans="1:10" x14ac:dyDescent="0.25">
      <c r="A437" s="1">
        <v>431</v>
      </c>
      <c r="B437" s="6">
        <v>0</v>
      </c>
      <c r="C437" s="8">
        <v>0</v>
      </c>
      <c r="D437" s="9">
        <f t="shared" si="56"/>
        <v>0</v>
      </c>
      <c r="E437" s="9">
        <f t="shared" si="57"/>
        <v>0</v>
      </c>
      <c r="F437" s="9">
        <f t="shared" si="58"/>
        <v>0</v>
      </c>
      <c r="G437" s="9">
        <f t="shared" si="59"/>
        <v>0</v>
      </c>
      <c r="H437" s="9">
        <f t="shared" si="60"/>
        <v>0</v>
      </c>
      <c r="I437" s="9">
        <f t="shared" si="61"/>
        <v>0</v>
      </c>
      <c r="J437" s="9">
        <f t="shared" si="62"/>
        <v>0</v>
      </c>
    </row>
    <row r="438" spans="1:10" x14ac:dyDescent="0.25">
      <c r="A438" s="1">
        <v>432</v>
      </c>
      <c r="B438" s="6">
        <v>0</v>
      </c>
      <c r="C438" s="8">
        <v>0</v>
      </c>
      <c r="D438" s="9">
        <f t="shared" si="56"/>
        <v>0</v>
      </c>
      <c r="E438" s="9">
        <f t="shared" si="57"/>
        <v>0</v>
      </c>
      <c r="F438" s="9">
        <f t="shared" si="58"/>
        <v>0</v>
      </c>
      <c r="G438" s="9">
        <f t="shared" si="59"/>
        <v>0</v>
      </c>
      <c r="H438" s="9">
        <f t="shared" si="60"/>
        <v>0</v>
      </c>
      <c r="I438" s="9">
        <f t="shared" si="61"/>
        <v>0</v>
      </c>
      <c r="J438" s="9">
        <f t="shared" si="62"/>
        <v>0</v>
      </c>
    </row>
    <row r="439" spans="1:10" x14ac:dyDescent="0.25">
      <c r="A439" s="1">
        <v>433</v>
      </c>
      <c r="B439" s="6">
        <v>0</v>
      </c>
      <c r="C439" s="8">
        <v>0</v>
      </c>
      <c r="D439" s="9">
        <f t="shared" si="56"/>
        <v>0</v>
      </c>
      <c r="E439" s="9">
        <f t="shared" si="57"/>
        <v>0</v>
      </c>
      <c r="F439" s="9">
        <f t="shared" si="58"/>
        <v>0</v>
      </c>
      <c r="G439" s="9">
        <f t="shared" si="59"/>
        <v>0</v>
      </c>
      <c r="H439" s="9">
        <f t="shared" si="60"/>
        <v>0</v>
      </c>
      <c r="I439" s="9">
        <f t="shared" si="61"/>
        <v>0</v>
      </c>
      <c r="J439" s="9">
        <f t="shared" si="62"/>
        <v>0</v>
      </c>
    </row>
    <row r="440" spans="1:10" x14ac:dyDescent="0.25">
      <c r="A440" s="1">
        <v>434</v>
      </c>
      <c r="B440" s="6">
        <v>0</v>
      </c>
      <c r="C440" s="8">
        <v>0</v>
      </c>
      <c r="D440" s="9">
        <f t="shared" si="56"/>
        <v>0</v>
      </c>
      <c r="E440" s="9">
        <f t="shared" si="57"/>
        <v>0</v>
      </c>
      <c r="F440" s="9">
        <f t="shared" si="58"/>
        <v>0</v>
      </c>
      <c r="G440" s="9">
        <f t="shared" si="59"/>
        <v>0</v>
      </c>
      <c r="H440" s="9">
        <f t="shared" si="60"/>
        <v>0</v>
      </c>
      <c r="I440" s="9">
        <f t="shared" si="61"/>
        <v>0</v>
      </c>
      <c r="J440" s="9">
        <f t="shared" si="62"/>
        <v>0</v>
      </c>
    </row>
    <row r="441" spans="1:10" x14ac:dyDescent="0.25">
      <c r="A441" s="1">
        <v>435</v>
      </c>
      <c r="B441" s="6">
        <v>0</v>
      </c>
      <c r="C441" s="8">
        <v>0</v>
      </c>
      <c r="D441" s="9">
        <f t="shared" si="56"/>
        <v>0</v>
      </c>
      <c r="E441" s="9">
        <f t="shared" si="57"/>
        <v>0</v>
      </c>
      <c r="F441" s="9">
        <f t="shared" si="58"/>
        <v>0</v>
      </c>
      <c r="G441" s="9">
        <f t="shared" si="59"/>
        <v>0</v>
      </c>
      <c r="H441" s="9">
        <f t="shared" si="60"/>
        <v>0</v>
      </c>
      <c r="I441" s="9">
        <f t="shared" si="61"/>
        <v>0</v>
      </c>
      <c r="J441" s="9">
        <f t="shared" si="62"/>
        <v>0</v>
      </c>
    </row>
    <row r="442" spans="1:10" x14ac:dyDescent="0.25">
      <c r="A442" s="1">
        <v>436</v>
      </c>
      <c r="B442" s="6">
        <v>0</v>
      </c>
      <c r="C442" s="8">
        <v>0</v>
      </c>
      <c r="D442" s="9">
        <f t="shared" si="56"/>
        <v>0</v>
      </c>
      <c r="E442" s="9">
        <f t="shared" si="57"/>
        <v>0</v>
      </c>
      <c r="F442" s="9">
        <f t="shared" si="58"/>
        <v>0</v>
      </c>
      <c r="G442" s="9">
        <f t="shared" si="59"/>
        <v>0</v>
      </c>
      <c r="H442" s="9">
        <f t="shared" si="60"/>
        <v>0</v>
      </c>
      <c r="I442" s="9">
        <f t="shared" si="61"/>
        <v>0</v>
      </c>
      <c r="J442" s="9">
        <f t="shared" si="62"/>
        <v>0</v>
      </c>
    </row>
    <row r="443" spans="1:10" x14ac:dyDescent="0.25">
      <c r="A443" s="1">
        <v>437</v>
      </c>
      <c r="B443" s="6">
        <v>0</v>
      </c>
      <c r="C443" s="8">
        <v>0</v>
      </c>
      <c r="D443" s="9">
        <f t="shared" si="56"/>
        <v>0</v>
      </c>
      <c r="E443" s="9">
        <f t="shared" si="57"/>
        <v>0</v>
      </c>
      <c r="F443" s="9">
        <f t="shared" si="58"/>
        <v>0</v>
      </c>
      <c r="G443" s="9">
        <f t="shared" si="59"/>
        <v>0</v>
      </c>
      <c r="H443" s="9">
        <f t="shared" si="60"/>
        <v>0</v>
      </c>
      <c r="I443" s="9">
        <f t="shared" si="61"/>
        <v>0</v>
      </c>
      <c r="J443" s="9">
        <f t="shared" si="62"/>
        <v>0</v>
      </c>
    </row>
    <row r="444" spans="1:10" x14ac:dyDescent="0.25">
      <c r="A444" s="1">
        <v>438</v>
      </c>
      <c r="B444" s="6">
        <v>0</v>
      </c>
      <c r="C444" s="8">
        <v>0</v>
      </c>
      <c r="D444" s="9">
        <f t="shared" si="56"/>
        <v>0</v>
      </c>
      <c r="E444" s="9">
        <f t="shared" si="57"/>
        <v>0</v>
      </c>
      <c r="F444" s="9">
        <f t="shared" si="58"/>
        <v>0</v>
      </c>
      <c r="G444" s="9">
        <f t="shared" si="59"/>
        <v>0</v>
      </c>
      <c r="H444" s="9">
        <f t="shared" si="60"/>
        <v>0</v>
      </c>
      <c r="I444" s="9">
        <f t="shared" si="61"/>
        <v>0</v>
      </c>
      <c r="J444" s="9">
        <f t="shared" si="62"/>
        <v>0</v>
      </c>
    </row>
    <row r="445" spans="1:10" x14ac:dyDescent="0.25">
      <c r="A445" s="1">
        <v>439</v>
      </c>
      <c r="B445" s="6">
        <v>0</v>
      </c>
      <c r="C445" s="8">
        <v>0</v>
      </c>
      <c r="D445" s="9">
        <f t="shared" si="56"/>
        <v>0</v>
      </c>
      <c r="E445" s="9">
        <f t="shared" si="57"/>
        <v>0</v>
      </c>
      <c r="F445" s="9">
        <f t="shared" si="58"/>
        <v>0</v>
      </c>
      <c r="G445" s="9">
        <f t="shared" si="59"/>
        <v>0</v>
      </c>
      <c r="H445" s="9">
        <f t="shared" si="60"/>
        <v>0</v>
      </c>
      <c r="I445" s="9">
        <f t="shared" si="61"/>
        <v>0</v>
      </c>
      <c r="J445" s="9">
        <f t="shared" si="62"/>
        <v>0</v>
      </c>
    </row>
    <row r="446" spans="1:10" x14ac:dyDescent="0.25">
      <c r="A446" s="1">
        <v>440</v>
      </c>
      <c r="B446" s="6">
        <v>0</v>
      </c>
      <c r="C446" s="8">
        <v>0</v>
      </c>
      <c r="D446" s="9">
        <f t="shared" si="56"/>
        <v>0</v>
      </c>
      <c r="E446" s="9">
        <f t="shared" si="57"/>
        <v>0</v>
      </c>
      <c r="F446" s="9">
        <f t="shared" si="58"/>
        <v>0</v>
      </c>
      <c r="G446" s="9">
        <f t="shared" si="59"/>
        <v>0</v>
      </c>
      <c r="H446" s="9">
        <f t="shared" si="60"/>
        <v>0</v>
      </c>
      <c r="I446" s="9">
        <f t="shared" si="61"/>
        <v>0</v>
      </c>
      <c r="J446" s="9">
        <f t="shared" si="62"/>
        <v>0</v>
      </c>
    </row>
    <row r="447" spans="1:10" x14ac:dyDescent="0.25">
      <c r="A447" s="1">
        <v>441</v>
      </c>
      <c r="B447" s="6">
        <v>0</v>
      </c>
      <c r="C447" s="8">
        <v>0</v>
      </c>
      <c r="D447" s="9">
        <f t="shared" si="56"/>
        <v>0</v>
      </c>
      <c r="E447" s="9">
        <f t="shared" si="57"/>
        <v>0</v>
      </c>
      <c r="F447" s="9">
        <f t="shared" si="58"/>
        <v>0</v>
      </c>
      <c r="G447" s="9">
        <f t="shared" si="59"/>
        <v>0</v>
      </c>
      <c r="H447" s="9">
        <f t="shared" si="60"/>
        <v>0</v>
      </c>
      <c r="I447" s="9">
        <f t="shared" si="61"/>
        <v>0</v>
      </c>
      <c r="J447" s="9">
        <f t="shared" si="62"/>
        <v>0</v>
      </c>
    </row>
    <row r="448" spans="1:10" x14ac:dyDescent="0.25">
      <c r="A448" s="1">
        <v>442</v>
      </c>
      <c r="B448" s="6">
        <v>0</v>
      </c>
      <c r="C448" s="8">
        <v>0</v>
      </c>
      <c r="D448" s="9">
        <f t="shared" si="56"/>
        <v>0</v>
      </c>
      <c r="E448" s="9">
        <f t="shared" si="57"/>
        <v>0</v>
      </c>
      <c r="F448" s="9">
        <f t="shared" si="58"/>
        <v>0</v>
      </c>
      <c r="G448" s="9">
        <f t="shared" si="59"/>
        <v>0</v>
      </c>
      <c r="H448" s="9">
        <f t="shared" si="60"/>
        <v>0</v>
      </c>
      <c r="I448" s="9">
        <f t="shared" si="61"/>
        <v>0</v>
      </c>
      <c r="J448" s="9">
        <f t="shared" si="62"/>
        <v>0</v>
      </c>
    </row>
    <row r="449" spans="1:10" x14ac:dyDescent="0.25">
      <c r="A449" s="1">
        <v>443</v>
      </c>
      <c r="B449" s="6">
        <v>0</v>
      </c>
      <c r="C449" s="8">
        <v>0</v>
      </c>
      <c r="D449" s="9">
        <f t="shared" si="56"/>
        <v>0</v>
      </c>
      <c r="E449" s="9">
        <f t="shared" si="57"/>
        <v>0</v>
      </c>
      <c r="F449" s="9">
        <f t="shared" si="58"/>
        <v>0</v>
      </c>
      <c r="G449" s="9">
        <f t="shared" si="59"/>
        <v>0</v>
      </c>
      <c r="H449" s="9">
        <f t="shared" si="60"/>
        <v>0</v>
      </c>
      <c r="I449" s="9">
        <f t="shared" si="61"/>
        <v>0</v>
      </c>
      <c r="J449" s="9">
        <f t="shared" si="62"/>
        <v>0</v>
      </c>
    </row>
    <row r="450" spans="1:10" x14ac:dyDescent="0.25">
      <c r="A450" s="1">
        <v>444</v>
      </c>
      <c r="B450" s="6">
        <v>0</v>
      </c>
      <c r="C450" s="8">
        <v>0</v>
      </c>
      <c r="D450" s="9">
        <f t="shared" si="56"/>
        <v>0</v>
      </c>
      <c r="E450" s="9">
        <f t="shared" si="57"/>
        <v>0</v>
      </c>
      <c r="F450" s="9">
        <f t="shared" si="58"/>
        <v>0</v>
      </c>
      <c r="G450" s="9">
        <f t="shared" si="59"/>
        <v>0</v>
      </c>
      <c r="H450" s="9">
        <f t="shared" si="60"/>
        <v>0</v>
      </c>
      <c r="I450" s="9">
        <f t="shared" si="61"/>
        <v>0</v>
      </c>
      <c r="J450" s="9">
        <f t="shared" si="62"/>
        <v>0</v>
      </c>
    </row>
    <row r="451" spans="1:10" x14ac:dyDescent="0.25">
      <c r="A451" s="1">
        <v>445</v>
      </c>
      <c r="B451" s="6">
        <v>0</v>
      </c>
      <c r="C451" s="8">
        <v>0</v>
      </c>
      <c r="D451" s="9">
        <f t="shared" si="56"/>
        <v>0</v>
      </c>
      <c r="E451" s="9">
        <f t="shared" si="57"/>
        <v>0</v>
      </c>
      <c r="F451" s="9">
        <f t="shared" si="58"/>
        <v>0</v>
      </c>
      <c r="G451" s="9">
        <f t="shared" si="59"/>
        <v>0</v>
      </c>
      <c r="H451" s="9">
        <f t="shared" si="60"/>
        <v>0</v>
      </c>
      <c r="I451" s="9">
        <f t="shared" si="61"/>
        <v>0</v>
      </c>
      <c r="J451" s="9">
        <f t="shared" si="62"/>
        <v>0</v>
      </c>
    </row>
    <row r="452" spans="1:10" x14ac:dyDescent="0.25">
      <c r="A452" s="1">
        <v>446</v>
      </c>
      <c r="B452" s="6">
        <v>0</v>
      </c>
      <c r="C452" s="8">
        <v>0</v>
      </c>
      <c r="D452" s="9">
        <f t="shared" si="56"/>
        <v>0</v>
      </c>
      <c r="E452" s="9">
        <f t="shared" si="57"/>
        <v>0</v>
      </c>
      <c r="F452" s="9">
        <f t="shared" si="58"/>
        <v>0</v>
      </c>
      <c r="G452" s="9">
        <f t="shared" si="59"/>
        <v>0</v>
      </c>
      <c r="H452" s="9">
        <f t="shared" si="60"/>
        <v>0</v>
      </c>
      <c r="I452" s="9">
        <f t="shared" si="61"/>
        <v>0</v>
      </c>
      <c r="J452" s="9">
        <f t="shared" si="62"/>
        <v>0</v>
      </c>
    </row>
    <row r="453" spans="1:10" x14ac:dyDescent="0.25">
      <c r="A453" s="1">
        <v>447</v>
      </c>
      <c r="B453" s="6">
        <v>0</v>
      </c>
      <c r="C453" s="8">
        <v>0</v>
      </c>
      <c r="D453" s="9">
        <f t="shared" si="56"/>
        <v>0</v>
      </c>
      <c r="E453" s="9">
        <f t="shared" si="57"/>
        <v>0</v>
      </c>
      <c r="F453" s="9">
        <f t="shared" si="58"/>
        <v>0</v>
      </c>
      <c r="G453" s="9">
        <f t="shared" si="59"/>
        <v>0</v>
      </c>
      <c r="H453" s="9">
        <f t="shared" si="60"/>
        <v>0</v>
      </c>
      <c r="I453" s="9">
        <f t="shared" si="61"/>
        <v>0</v>
      </c>
      <c r="J453" s="9">
        <f t="shared" si="62"/>
        <v>0</v>
      </c>
    </row>
    <row r="454" spans="1:10" x14ac:dyDescent="0.25">
      <c r="A454" s="1">
        <v>448</v>
      </c>
      <c r="B454" s="6">
        <v>0</v>
      </c>
      <c r="C454" s="8">
        <v>0</v>
      </c>
      <c r="D454" s="9">
        <f t="shared" si="56"/>
        <v>0</v>
      </c>
      <c r="E454" s="9">
        <f t="shared" si="57"/>
        <v>0</v>
      </c>
      <c r="F454" s="9">
        <f t="shared" si="58"/>
        <v>0</v>
      </c>
      <c r="G454" s="9">
        <f t="shared" si="59"/>
        <v>0</v>
      </c>
      <c r="H454" s="9">
        <f t="shared" si="60"/>
        <v>0</v>
      </c>
      <c r="I454" s="9">
        <f t="shared" si="61"/>
        <v>0</v>
      </c>
      <c r="J454" s="9">
        <f t="shared" si="62"/>
        <v>0</v>
      </c>
    </row>
    <row r="455" spans="1:10" x14ac:dyDescent="0.25">
      <c r="A455" s="1">
        <v>449</v>
      </c>
      <c r="B455" s="6">
        <v>0</v>
      </c>
      <c r="C455" s="8">
        <v>0</v>
      </c>
      <c r="D455" s="9">
        <f t="shared" si="56"/>
        <v>0</v>
      </c>
      <c r="E455" s="9">
        <f t="shared" si="57"/>
        <v>0</v>
      </c>
      <c r="F455" s="9">
        <f t="shared" si="58"/>
        <v>0</v>
      </c>
      <c r="G455" s="9">
        <f t="shared" si="59"/>
        <v>0</v>
      </c>
      <c r="H455" s="9">
        <f t="shared" si="60"/>
        <v>0</v>
      </c>
      <c r="I455" s="9">
        <f t="shared" si="61"/>
        <v>0</v>
      </c>
      <c r="J455" s="9">
        <f t="shared" si="62"/>
        <v>0</v>
      </c>
    </row>
    <row r="456" spans="1:10" x14ac:dyDescent="0.25">
      <c r="A456" s="1">
        <v>450</v>
      </c>
      <c r="B456" s="6">
        <v>0</v>
      </c>
      <c r="C456" s="8">
        <v>0</v>
      </c>
      <c r="D456" s="9">
        <f t="shared" si="56"/>
        <v>0</v>
      </c>
      <c r="E456" s="9">
        <f t="shared" si="57"/>
        <v>0</v>
      </c>
      <c r="F456" s="9">
        <f t="shared" si="58"/>
        <v>0</v>
      </c>
      <c r="G456" s="9">
        <f t="shared" si="59"/>
        <v>0</v>
      </c>
      <c r="H456" s="9">
        <f t="shared" si="60"/>
        <v>0</v>
      </c>
      <c r="I456" s="9">
        <f t="shared" si="61"/>
        <v>0</v>
      </c>
      <c r="J456" s="9">
        <f t="shared" si="62"/>
        <v>0</v>
      </c>
    </row>
    <row r="457" spans="1:10" x14ac:dyDescent="0.25">
      <c r="A457" s="1">
        <v>451</v>
      </c>
      <c r="B457" s="6">
        <v>0</v>
      </c>
      <c r="C457" s="8">
        <v>0</v>
      </c>
      <c r="D457" s="9">
        <f t="shared" si="56"/>
        <v>0</v>
      </c>
      <c r="E457" s="9">
        <f t="shared" si="57"/>
        <v>0</v>
      </c>
      <c r="F457" s="9">
        <f t="shared" si="58"/>
        <v>0</v>
      </c>
      <c r="G457" s="9">
        <f t="shared" si="59"/>
        <v>0</v>
      </c>
      <c r="H457" s="9">
        <f t="shared" si="60"/>
        <v>0</v>
      </c>
      <c r="I457" s="9">
        <f t="shared" si="61"/>
        <v>0</v>
      </c>
      <c r="J457" s="9">
        <f t="shared" si="62"/>
        <v>0</v>
      </c>
    </row>
    <row r="458" spans="1:10" x14ac:dyDescent="0.25">
      <c r="A458" s="1">
        <v>452</v>
      </c>
      <c r="B458" s="6">
        <v>0</v>
      </c>
      <c r="C458" s="8">
        <v>0</v>
      </c>
      <c r="D458" s="9">
        <f t="shared" si="56"/>
        <v>0</v>
      </c>
      <c r="E458" s="9">
        <f t="shared" si="57"/>
        <v>0</v>
      </c>
      <c r="F458" s="9">
        <f t="shared" si="58"/>
        <v>0</v>
      </c>
      <c r="G458" s="9">
        <f t="shared" si="59"/>
        <v>0</v>
      </c>
      <c r="H458" s="9">
        <f t="shared" si="60"/>
        <v>0</v>
      </c>
      <c r="I458" s="9">
        <f t="shared" si="61"/>
        <v>0</v>
      </c>
      <c r="J458" s="9">
        <f t="shared" si="62"/>
        <v>0</v>
      </c>
    </row>
    <row r="459" spans="1:10" x14ac:dyDescent="0.25">
      <c r="A459" s="1">
        <v>453</v>
      </c>
      <c r="B459" s="6">
        <v>0</v>
      </c>
      <c r="C459" s="8">
        <v>0</v>
      </c>
      <c r="D459" s="9">
        <f t="shared" si="56"/>
        <v>0</v>
      </c>
      <c r="E459" s="9">
        <f t="shared" si="57"/>
        <v>0</v>
      </c>
      <c r="F459" s="9">
        <f t="shared" si="58"/>
        <v>0</v>
      </c>
      <c r="G459" s="9">
        <f t="shared" si="59"/>
        <v>0</v>
      </c>
      <c r="H459" s="9">
        <f t="shared" si="60"/>
        <v>0</v>
      </c>
      <c r="I459" s="9">
        <f t="shared" si="61"/>
        <v>0</v>
      </c>
      <c r="J459" s="9">
        <f t="shared" si="62"/>
        <v>0</v>
      </c>
    </row>
    <row r="460" spans="1:10" x14ac:dyDescent="0.25">
      <c r="A460" s="1">
        <v>454</v>
      </c>
      <c r="B460" s="6">
        <v>0</v>
      </c>
      <c r="C460" s="8">
        <v>0</v>
      </c>
      <c r="D460" s="9">
        <f t="shared" si="56"/>
        <v>0</v>
      </c>
      <c r="E460" s="9">
        <f t="shared" si="57"/>
        <v>0</v>
      </c>
      <c r="F460" s="9">
        <f t="shared" si="58"/>
        <v>0</v>
      </c>
      <c r="G460" s="9">
        <f t="shared" si="59"/>
        <v>0</v>
      </c>
      <c r="H460" s="9">
        <f t="shared" si="60"/>
        <v>0</v>
      </c>
      <c r="I460" s="9">
        <f t="shared" si="61"/>
        <v>0</v>
      </c>
      <c r="J460" s="9">
        <f t="shared" si="62"/>
        <v>0</v>
      </c>
    </row>
    <row r="461" spans="1:10" x14ac:dyDescent="0.25">
      <c r="A461" s="1">
        <v>455</v>
      </c>
      <c r="B461" s="6">
        <v>0</v>
      </c>
      <c r="C461" s="8">
        <v>0</v>
      </c>
      <c r="D461" s="9">
        <f t="shared" si="56"/>
        <v>0</v>
      </c>
      <c r="E461" s="9">
        <f t="shared" si="57"/>
        <v>0</v>
      </c>
      <c r="F461" s="9">
        <f t="shared" si="58"/>
        <v>0</v>
      </c>
      <c r="G461" s="9">
        <f t="shared" si="59"/>
        <v>0</v>
      </c>
      <c r="H461" s="9">
        <f t="shared" si="60"/>
        <v>0</v>
      </c>
      <c r="I461" s="9">
        <f t="shared" si="61"/>
        <v>0</v>
      </c>
      <c r="J461" s="9">
        <f t="shared" si="62"/>
        <v>0</v>
      </c>
    </row>
    <row r="462" spans="1:10" x14ac:dyDescent="0.25">
      <c r="A462" s="1">
        <v>456</v>
      </c>
      <c r="B462" s="6">
        <v>0</v>
      </c>
      <c r="C462" s="8">
        <v>0</v>
      </c>
      <c r="D462" s="9">
        <f t="shared" si="56"/>
        <v>0</v>
      </c>
      <c r="E462" s="9">
        <f t="shared" si="57"/>
        <v>0</v>
      </c>
      <c r="F462" s="9">
        <f t="shared" si="58"/>
        <v>0</v>
      </c>
      <c r="G462" s="9">
        <f t="shared" si="59"/>
        <v>0</v>
      </c>
      <c r="H462" s="9">
        <f t="shared" si="60"/>
        <v>0</v>
      </c>
      <c r="I462" s="9">
        <f t="shared" si="61"/>
        <v>0</v>
      </c>
      <c r="J462" s="9">
        <f t="shared" si="62"/>
        <v>0</v>
      </c>
    </row>
    <row r="463" spans="1:10" x14ac:dyDescent="0.25">
      <c r="A463" s="1">
        <v>457</v>
      </c>
      <c r="B463" s="6">
        <v>0</v>
      </c>
      <c r="C463" s="8">
        <v>0</v>
      </c>
      <c r="D463" s="9">
        <f t="shared" si="56"/>
        <v>0</v>
      </c>
      <c r="E463" s="9">
        <f t="shared" si="57"/>
        <v>0</v>
      </c>
      <c r="F463" s="9">
        <f t="shared" si="58"/>
        <v>0</v>
      </c>
      <c r="G463" s="9">
        <f t="shared" si="59"/>
        <v>0</v>
      </c>
      <c r="H463" s="9">
        <f t="shared" si="60"/>
        <v>0</v>
      </c>
      <c r="I463" s="9">
        <f t="shared" si="61"/>
        <v>0</v>
      </c>
      <c r="J463" s="9">
        <f t="shared" si="62"/>
        <v>0</v>
      </c>
    </row>
    <row r="464" spans="1:10" x14ac:dyDescent="0.25">
      <c r="A464" s="1">
        <v>458</v>
      </c>
      <c r="B464" s="6">
        <v>0</v>
      </c>
      <c r="C464" s="8">
        <v>0</v>
      </c>
      <c r="D464" s="9">
        <f t="shared" si="56"/>
        <v>0</v>
      </c>
      <c r="E464" s="9">
        <f t="shared" si="57"/>
        <v>0</v>
      </c>
      <c r="F464" s="9">
        <f t="shared" si="58"/>
        <v>0</v>
      </c>
      <c r="G464" s="9">
        <f t="shared" si="59"/>
        <v>0</v>
      </c>
      <c r="H464" s="9">
        <f t="shared" si="60"/>
        <v>0</v>
      </c>
      <c r="I464" s="9">
        <f t="shared" si="61"/>
        <v>0</v>
      </c>
      <c r="J464" s="9">
        <f t="shared" si="62"/>
        <v>0</v>
      </c>
    </row>
    <row r="465" spans="1:10" x14ac:dyDescent="0.25">
      <c r="A465" s="1">
        <v>459</v>
      </c>
      <c r="B465" s="6">
        <v>0</v>
      </c>
      <c r="C465" s="8">
        <v>0</v>
      </c>
      <c r="D465" s="9">
        <f t="shared" si="56"/>
        <v>0</v>
      </c>
      <c r="E465" s="9">
        <f t="shared" si="57"/>
        <v>0</v>
      </c>
      <c r="F465" s="9">
        <f t="shared" si="58"/>
        <v>0</v>
      </c>
      <c r="G465" s="9">
        <f t="shared" si="59"/>
        <v>0</v>
      </c>
      <c r="H465" s="9">
        <f t="shared" si="60"/>
        <v>0</v>
      </c>
      <c r="I465" s="9">
        <f t="shared" si="61"/>
        <v>0</v>
      </c>
      <c r="J465" s="9">
        <f t="shared" si="62"/>
        <v>0</v>
      </c>
    </row>
    <row r="466" spans="1:10" x14ac:dyDescent="0.25">
      <c r="A466" s="1">
        <v>460</v>
      </c>
      <c r="B466" s="6">
        <v>0</v>
      </c>
      <c r="C466" s="8">
        <v>0</v>
      </c>
      <c r="D466" s="9">
        <f t="shared" si="56"/>
        <v>0</v>
      </c>
      <c r="E466" s="9">
        <f t="shared" si="57"/>
        <v>0</v>
      </c>
      <c r="F466" s="9">
        <f t="shared" si="58"/>
        <v>0</v>
      </c>
      <c r="G466" s="9">
        <f t="shared" si="59"/>
        <v>0</v>
      </c>
      <c r="H466" s="9">
        <f t="shared" si="60"/>
        <v>0</v>
      </c>
      <c r="I466" s="9">
        <f t="shared" si="61"/>
        <v>0</v>
      </c>
      <c r="J466" s="9">
        <f t="shared" si="62"/>
        <v>0</v>
      </c>
    </row>
    <row r="467" spans="1:10" x14ac:dyDescent="0.25">
      <c r="A467" s="1">
        <v>461</v>
      </c>
      <c r="B467" s="6">
        <v>0</v>
      </c>
      <c r="C467" s="8">
        <v>0</v>
      </c>
      <c r="D467" s="9">
        <f t="shared" si="56"/>
        <v>0</v>
      </c>
      <c r="E467" s="9">
        <f t="shared" si="57"/>
        <v>0</v>
      </c>
      <c r="F467" s="9">
        <f t="shared" si="58"/>
        <v>0</v>
      </c>
      <c r="G467" s="9">
        <f t="shared" si="59"/>
        <v>0</v>
      </c>
      <c r="H467" s="9">
        <f t="shared" si="60"/>
        <v>0</v>
      </c>
      <c r="I467" s="9">
        <f t="shared" si="61"/>
        <v>0</v>
      </c>
      <c r="J467" s="9">
        <f t="shared" si="62"/>
        <v>0</v>
      </c>
    </row>
    <row r="468" spans="1:10" x14ac:dyDescent="0.25">
      <c r="A468" s="1">
        <v>462</v>
      </c>
      <c r="B468" s="6">
        <v>0</v>
      </c>
      <c r="C468" s="8">
        <v>0</v>
      </c>
      <c r="D468" s="9">
        <f t="shared" si="56"/>
        <v>0</v>
      </c>
      <c r="E468" s="9">
        <f t="shared" si="57"/>
        <v>0</v>
      </c>
      <c r="F468" s="9">
        <f t="shared" si="58"/>
        <v>0</v>
      </c>
      <c r="G468" s="9">
        <f t="shared" si="59"/>
        <v>0</v>
      </c>
      <c r="H468" s="9">
        <f t="shared" si="60"/>
        <v>0</v>
      </c>
      <c r="I468" s="9">
        <f t="shared" si="61"/>
        <v>0</v>
      </c>
      <c r="J468" s="9">
        <f t="shared" si="62"/>
        <v>0</v>
      </c>
    </row>
    <row r="469" spans="1:10" x14ac:dyDescent="0.25">
      <c r="A469" s="1">
        <v>463</v>
      </c>
      <c r="B469" s="6">
        <v>0</v>
      </c>
      <c r="C469" s="8">
        <v>0</v>
      </c>
      <c r="D469" s="9">
        <f t="shared" si="56"/>
        <v>0</v>
      </c>
      <c r="E469" s="9">
        <f t="shared" si="57"/>
        <v>0</v>
      </c>
      <c r="F469" s="9">
        <f t="shared" si="58"/>
        <v>0</v>
      </c>
      <c r="G469" s="9">
        <f t="shared" si="59"/>
        <v>0</v>
      </c>
      <c r="H469" s="9">
        <f t="shared" si="60"/>
        <v>0</v>
      </c>
      <c r="I469" s="9">
        <f t="shared" si="61"/>
        <v>0</v>
      </c>
      <c r="J469" s="9">
        <f t="shared" si="62"/>
        <v>0</v>
      </c>
    </row>
    <row r="470" spans="1:10" x14ac:dyDescent="0.25">
      <c r="A470" s="1">
        <v>464</v>
      </c>
      <c r="B470" s="6">
        <v>0</v>
      </c>
      <c r="C470" s="8">
        <v>0</v>
      </c>
      <c r="D470" s="9">
        <f t="shared" si="56"/>
        <v>0</v>
      </c>
      <c r="E470" s="9">
        <f t="shared" si="57"/>
        <v>0</v>
      </c>
      <c r="F470" s="9">
        <f t="shared" si="58"/>
        <v>0</v>
      </c>
      <c r="G470" s="9">
        <f t="shared" si="59"/>
        <v>0</v>
      </c>
      <c r="H470" s="9">
        <f t="shared" si="60"/>
        <v>0</v>
      </c>
      <c r="I470" s="9">
        <f t="shared" si="61"/>
        <v>0</v>
      </c>
      <c r="J470" s="9">
        <f t="shared" si="62"/>
        <v>0</v>
      </c>
    </row>
    <row r="471" spans="1:10" x14ac:dyDescent="0.25">
      <c r="A471" s="1">
        <v>465</v>
      </c>
      <c r="B471" s="6">
        <v>0</v>
      </c>
      <c r="C471" s="8">
        <v>0</v>
      </c>
      <c r="D471" s="9">
        <f t="shared" si="56"/>
        <v>0</v>
      </c>
      <c r="E471" s="9">
        <f t="shared" si="57"/>
        <v>0</v>
      </c>
      <c r="F471" s="9">
        <f t="shared" si="58"/>
        <v>0</v>
      </c>
      <c r="G471" s="9">
        <f t="shared" si="59"/>
        <v>0</v>
      </c>
      <c r="H471" s="9">
        <f t="shared" si="60"/>
        <v>0</v>
      </c>
      <c r="I471" s="9">
        <f t="shared" si="61"/>
        <v>0</v>
      </c>
      <c r="J471" s="9">
        <f t="shared" si="62"/>
        <v>0</v>
      </c>
    </row>
    <row r="472" spans="1:10" x14ac:dyDescent="0.25">
      <c r="A472" s="1">
        <v>466</v>
      </c>
      <c r="B472" s="6">
        <v>0</v>
      </c>
      <c r="C472" s="8">
        <v>0</v>
      </c>
      <c r="D472" s="9">
        <f t="shared" si="56"/>
        <v>0</v>
      </c>
      <c r="E472" s="9">
        <f t="shared" si="57"/>
        <v>0</v>
      </c>
      <c r="F472" s="9">
        <f t="shared" si="58"/>
        <v>0</v>
      </c>
      <c r="G472" s="9">
        <f t="shared" si="59"/>
        <v>0</v>
      </c>
      <c r="H472" s="9">
        <f t="shared" si="60"/>
        <v>0</v>
      </c>
      <c r="I472" s="9">
        <f t="shared" si="61"/>
        <v>0</v>
      </c>
      <c r="J472" s="9">
        <f t="shared" si="62"/>
        <v>0</v>
      </c>
    </row>
    <row r="473" spans="1:10" x14ac:dyDescent="0.25">
      <c r="A473" s="1">
        <v>467</v>
      </c>
      <c r="B473" s="6">
        <v>0</v>
      </c>
      <c r="C473" s="8">
        <v>0</v>
      </c>
      <c r="D473" s="9">
        <f t="shared" si="56"/>
        <v>0</v>
      </c>
      <c r="E473" s="9">
        <f t="shared" si="57"/>
        <v>0</v>
      </c>
      <c r="F473" s="9">
        <f t="shared" si="58"/>
        <v>0</v>
      </c>
      <c r="G473" s="9">
        <f t="shared" si="59"/>
        <v>0</v>
      </c>
      <c r="H473" s="9">
        <f t="shared" si="60"/>
        <v>0</v>
      </c>
      <c r="I473" s="9">
        <f t="shared" si="61"/>
        <v>0</v>
      </c>
      <c r="J473" s="9">
        <f t="shared" si="62"/>
        <v>0</v>
      </c>
    </row>
    <row r="474" spans="1:10" x14ac:dyDescent="0.25">
      <c r="A474" s="1">
        <v>468</v>
      </c>
      <c r="B474" s="6">
        <v>0</v>
      </c>
      <c r="C474" s="8">
        <v>0</v>
      </c>
      <c r="D474" s="9">
        <f t="shared" si="56"/>
        <v>0</v>
      </c>
      <c r="E474" s="9">
        <f t="shared" si="57"/>
        <v>0</v>
      </c>
      <c r="F474" s="9">
        <f t="shared" si="58"/>
        <v>0</v>
      </c>
      <c r="G474" s="9">
        <f t="shared" si="59"/>
        <v>0</v>
      </c>
      <c r="H474" s="9">
        <f t="shared" si="60"/>
        <v>0</v>
      </c>
      <c r="I474" s="9">
        <f t="shared" si="61"/>
        <v>0</v>
      </c>
      <c r="J474" s="9">
        <f t="shared" si="62"/>
        <v>0</v>
      </c>
    </row>
    <row r="475" spans="1:10" x14ac:dyDescent="0.25">
      <c r="A475" s="1">
        <v>469</v>
      </c>
      <c r="B475" s="6">
        <v>0</v>
      </c>
      <c r="C475" s="8">
        <v>0</v>
      </c>
      <c r="D475" s="9">
        <f t="shared" si="56"/>
        <v>0</v>
      </c>
      <c r="E475" s="9">
        <f t="shared" si="57"/>
        <v>0</v>
      </c>
      <c r="F475" s="9">
        <f t="shared" si="58"/>
        <v>0</v>
      </c>
      <c r="G475" s="9">
        <f t="shared" si="59"/>
        <v>0</v>
      </c>
      <c r="H475" s="9">
        <f t="shared" si="60"/>
        <v>0</v>
      </c>
      <c r="I475" s="9">
        <f t="shared" si="61"/>
        <v>0</v>
      </c>
      <c r="J475" s="9">
        <f t="shared" si="62"/>
        <v>0</v>
      </c>
    </row>
    <row r="476" spans="1:10" x14ac:dyDescent="0.25">
      <c r="A476" s="1">
        <v>470</v>
      </c>
      <c r="B476" s="6">
        <v>0</v>
      </c>
      <c r="C476" s="8">
        <v>0</v>
      </c>
      <c r="D476" s="9">
        <f t="shared" si="56"/>
        <v>0</v>
      </c>
      <c r="E476" s="9">
        <f t="shared" si="57"/>
        <v>0</v>
      </c>
      <c r="F476" s="9">
        <f t="shared" si="58"/>
        <v>0</v>
      </c>
      <c r="G476" s="9">
        <f t="shared" si="59"/>
        <v>0</v>
      </c>
      <c r="H476" s="9">
        <f t="shared" si="60"/>
        <v>0</v>
      </c>
      <c r="I476" s="9">
        <f t="shared" si="61"/>
        <v>0</v>
      </c>
      <c r="J476" s="9">
        <f t="shared" si="62"/>
        <v>0</v>
      </c>
    </row>
    <row r="477" spans="1:10" x14ac:dyDescent="0.25">
      <c r="A477" s="1">
        <v>471</v>
      </c>
      <c r="B477" s="6">
        <v>0</v>
      </c>
      <c r="C477" s="8">
        <v>0</v>
      </c>
      <c r="D477" s="9">
        <f t="shared" si="56"/>
        <v>0</v>
      </c>
      <c r="E477" s="9">
        <f t="shared" si="57"/>
        <v>0</v>
      </c>
      <c r="F477" s="9">
        <f t="shared" si="58"/>
        <v>0</v>
      </c>
      <c r="G477" s="9">
        <f t="shared" si="59"/>
        <v>0</v>
      </c>
      <c r="H477" s="9">
        <f t="shared" si="60"/>
        <v>0</v>
      </c>
      <c r="I477" s="9">
        <f t="shared" si="61"/>
        <v>0</v>
      </c>
      <c r="J477" s="9">
        <f t="shared" si="62"/>
        <v>0</v>
      </c>
    </row>
    <row r="478" spans="1:10" x14ac:dyDescent="0.25">
      <c r="A478" s="1">
        <v>472</v>
      </c>
      <c r="B478" s="6">
        <v>0</v>
      </c>
      <c r="C478" s="8">
        <v>0</v>
      </c>
      <c r="D478" s="9">
        <f t="shared" si="56"/>
        <v>0</v>
      </c>
      <c r="E478" s="9">
        <f t="shared" si="57"/>
        <v>0</v>
      </c>
      <c r="F478" s="9">
        <f t="shared" si="58"/>
        <v>0</v>
      </c>
      <c r="G478" s="9">
        <f t="shared" si="59"/>
        <v>0</v>
      </c>
      <c r="H478" s="9">
        <f t="shared" si="60"/>
        <v>0</v>
      </c>
      <c r="I478" s="9">
        <f t="shared" si="61"/>
        <v>0</v>
      </c>
      <c r="J478" s="9">
        <f t="shared" si="62"/>
        <v>0</v>
      </c>
    </row>
    <row r="479" spans="1:10" x14ac:dyDescent="0.25">
      <c r="A479" s="1">
        <v>473</v>
      </c>
      <c r="B479" s="6">
        <v>0</v>
      </c>
      <c r="C479" s="8">
        <v>0</v>
      </c>
      <c r="D479" s="9">
        <f t="shared" si="56"/>
        <v>0</v>
      </c>
      <c r="E479" s="9">
        <f t="shared" si="57"/>
        <v>0</v>
      </c>
      <c r="F479" s="9">
        <f t="shared" si="58"/>
        <v>0</v>
      </c>
      <c r="G479" s="9">
        <f t="shared" si="59"/>
        <v>0</v>
      </c>
      <c r="H479" s="9">
        <f t="shared" si="60"/>
        <v>0</v>
      </c>
      <c r="I479" s="9">
        <f t="shared" si="61"/>
        <v>0</v>
      </c>
      <c r="J479" s="9">
        <f t="shared" si="62"/>
        <v>0</v>
      </c>
    </row>
    <row r="480" spans="1:10" x14ac:dyDescent="0.25">
      <c r="A480" s="1">
        <v>474</v>
      </c>
      <c r="B480" s="6">
        <v>0</v>
      </c>
      <c r="C480" s="8">
        <v>0</v>
      </c>
      <c r="D480" s="9">
        <f t="shared" si="56"/>
        <v>0</v>
      </c>
      <c r="E480" s="9">
        <f t="shared" si="57"/>
        <v>0</v>
      </c>
      <c r="F480" s="9">
        <f t="shared" si="58"/>
        <v>0</v>
      </c>
      <c r="G480" s="9">
        <f t="shared" si="59"/>
        <v>0</v>
      </c>
      <c r="H480" s="9">
        <f t="shared" si="60"/>
        <v>0</v>
      </c>
      <c r="I480" s="9">
        <f t="shared" si="61"/>
        <v>0</v>
      </c>
      <c r="J480" s="9">
        <f t="shared" si="62"/>
        <v>0</v>
      </c>
    </row>
    <row r="481" spans="1:10" x14ac:dyDescent="0.25">
      <c r="A481" s="1">
        <v>475</v>
      </c>
      <c r="B481" s="6">
        <v>0</v>
      </c>
      <c r="C481" s="8">
        <v>0</v>
      </c>
      <c r="D481" s="9">
        <f t="shared" si="56"/>
        <v>0</v>
      </c>
      <c r="E481" s="9">
        <f t="shared" si="57"/>
        <v>0</v>
      </c>
      <c r="F481" s="9">
        <f t="shared" si="58"/>
        <v>0</v>
      </c>
      <c r="G481" s="9">
        <f t="shared" si="59"/>
        <v>0</v>
      </c>
      <c r="H481" s="9">
        <f t="shared" si="60"/>
        <v>0</v>
      </c>
      <c r="I481" s="9">
        <f t="shared" si="61"/>
        <v>0</v>
      </c>
      <c r="J481" s="9">
        <f t="shared" si="62"/>
        <v>0</v>
      </c>
    </row>
    <row r="482" spans="1:10" x14ac:dyDescent="0.25">
      <c r="A482" s="1">
        <v>476</v>
      </c>
      <c r="B482" s="6">
        <v>0</v>
      </c>
      <c r="C482" s="8">
        <v>0</v>
      </c>
      <c r="D482" s="9">
        <f t="shared" si="56"/>
        <v>0</v>
      </c>
      <c r="E482" s="9">
        <f t="shared" si="57"/>
        <v>0</v>
      </c>
      <c r="F482" s="9">
        <f t="shared" si="58"/>
        <v>0</v>
      </c>
      <c r="G482" s="9">
        <f t="shared" si="59"/>
        <v>0</v>
      </c>
      <c r="H482" s="9">
        <f t="shared" si="60"/>
        <v>0</v>
      </c>
      <c r="I482" s="9">
        <f t="shared" si="61"/>
        <v>0</v>
      </c>
      <c r="J482" s="9">
        <f t="shared" si="62"/>
        <v>0</v>
      </c>
    </row>
    <row r="483" spans="1:10" x14ac:dyDescent="0.25">
      <c r="A483" s="1">
        <v>477</v>
      </c>
      <c r="B483" s="6">
        <v>0</v>
      </c>
      <c r="C483" s="8">
        <v>0</v>
      </c>
      <c r="D483" s="9">
        <f t="shared" si="56"/>
        <v>0</v>
      </c>
      <c r="E483" s="9">
        <f t="shared" si="57"/>
        <v>0</v>
      </c>
      <c r="F483" s="9">
        <f t="shared" si="58"/>
        <v>0</v>
      </c>
      <c r="G483" s="9">
        <f t="shared" si="59"/>
        <v>0</v>
      </c>
      <c r="H483" s="9">
        <f t="shared" si="60"/>
        <v>0</v>
      </c>
      <c r="I483" s="9">
        <f t="shared" si="61"/>
        <v>0</v>
      </c>
      <c r="J483" s="9">
        <f t="shared" si="62"/>
        <v>0</v>
      </c>
    </row>
    <row r="484" spans="1:10" x14ac:dyDescent="0.25">
      <c r="A484" s="1">
        <v>478</v>
      </c>
      <c r="B484" s="6">
        <v>0</v>
      </c>
      <c r="C484" s="8">
        <v>0</v>
      </c>
      <c r="D484" s="9">
        <f t="shared" si="56"/>
        <v>0</v>
      </c>
      <c r="E484" s="9">
        <f t="shared" si="57"/>
        <v>0</v>
      </c>
      <c r="F484" s="9">
        <f t="shared" si="58"/>
        <v>0</v>
      </c>
      <c r="G484" s="9">
        <f t="shared" si="59"/>
        <v>0</v>
      </c>
      <c r="H484" s="9">
        <f t="shared" si="60"/>
        <v>0</v>
      </c>
      <c r="I484" s="9">
        <f t="shared" si="61"/>
        <v>0</v>
      </c>
      <c r="J484" s="9">
        <f t="shared" si="62"/>
        <v>0</v>
      </c>
    </row>
    <row r="485" spans="1:10" x14ac:dyDescent="0.25">
      <c r="A485" s="1">
        <v>479</v>
      </c>
      <c r="B485" s="6">
        <v>0</v>
      </c>
      <c r="C485" s="8">
        <v>0</v>
      </c>
      <c r="D485" s="9">
        <f t="shared" si="56"/>
        <v>0</v>
      </c>
      <c r="E485" s="9">
        <f t="shared" si="57"/>
        <v>0</v>
      </c>
      <c r="F485" s="9">
        <f t="shared" si="58"/>
        <v>0</v>
      </c>
      <c r="G485" s="9">
        <f t="shared" si="59"/>
        <v>0</v>
      </c>
      <c r="H485" s="9">
        <f t="shared" si="60"/>
        <v>0</v>
      </c>
      <c r="I485" s="9">
        <f t="shared" si="61"/>
        <v>0</v>
      </c>
      <c r="J485" s="9">
        <f t="shared" si="62"/>
        <v>0</v>
      </c>
    </row>
    <row r="486" spans="1:10" x14ac:dyDescent="0.25">
      <c r="A486" s="1">
        <v>480</v>
      </c>
      <c r="B486" s="6">
        <v>0</v>
      </c>
      <c r="C486" s="8">
        <v>0</v>
      </c>
      <c r="D486" s="9">
        <f t="shared" si="56"/>
        <v>0</v>
      </c>
      <c r="E486" s="9">
        <f t="shared" si="57"/>
        <v>0</v>
      </c>
      <c r="F486" s="9">
        <f t="shared" si="58"/>
        <v>0</v>
      </c>
      <c r="G486" s="9">
        <f t="shared" si="59"/>
        <v>0</v>
      </c>
      <c r="H486" s="9">
        <f t="shared" si="60"/>
        <v>0</v>
      </c>
      <c r="I486" s="9">
        <f t="shared" si="61"/>
        <v>0</v>
      </c>
      <c r="J486" s="9">
        <f t="shared" si="62"/>
        <v>0</v>
      </c>
    </row>
    <row r="487" spans="1:10" x14ac:dyDescent="0.25">
      <c r="A487" s="1">
        <v>481</v>
      </c>
      <c r="B487" s="6">
        <v>0</v>
      </c>
      <c r="C487" s="8">
        <v>0</v>
      </c>
      <c r="D487" s="9">
        <f t="shared" si="56"/>
        <v>0</v>
      </c>
      <c r="E487" s="9">
        <f t="shared" si="57"/>
        <v>0</v>
      </c>
      <c r="F487" s="9">
        <f t="shared" si="58"/>
        <v>0</v>
      </c>
      <c r="G487" s="9">
        <f t="shared" si="59"/>
        <v>0</v>
      </c>
      <c r="H487" s="9">
        <f t="shared" si="60"/>
        <v>0</v>
      </c>
      <c r="I487" s="9">
        <f t="shared" si="61"/>
        <v>0</v>
      </c>
      <c r="J487" s="9">
        <f t="shared" si="62"/>
        <v>0</v>
      </c>
    </row>
    <row r="488" spans="1:10" x14ac:dyDescent="0.25">
      <c r="A488" s="1">
        <v>482</v>
      </c>
      <c r="B488" s="6">
        <v>0</v>
      </c>
      <c r="C488" s="8">
        <v>0</v>
      </c>
      <c r="D488" s="9">
        <f t="shared" si="56"/>
        <v>0</v>
      </c>
      <c r="E488" s="9">
        <f t="shared" si="57"/>
        <v>0</v>
      </c>
      <c r="F488" s="9">
        <f t="shared" si="58"/>
        <v>0</v>
      </c>
      <c r="G488" s="9">
        <f t="shared" si="59"/>
        <v>0</v>
      </c>
      <c r="H488" s="9">
        <f t="shared" si="60"/>
        <v>0</v>
      </c>
      <c r="I488" s="9">
        <f t="shared" si="61"/>
        <v>0</v>
      </c>
      <c r="J488" s="9">
        <f t="shared" si="62"/>
        <v>0</v>
      </c>
    </row>
    <row r="489" spans="1:10" x14ac:dyDescent="0.25">
      <c r="A489" s="1">
        <v>483</v>
      </c>
      <c r="B489" s="6">
        <v>0</v>
      </c>
      <c r="C489" s="8">
        <v>0</v>
      </c>
      <c r="D489" s="9">
        <f t="shared" si="56"/>
        <v>0</v>
      </c>
      <c r="E489" s="9">
        <f t="shared" si="57"/>
        <v>0</v>
      </c>
      <c r="F489" s="9">
        <f t="shared" si="58"/>
        <v>0</v>
      </c>
      <c r="G489" s="9">
        <f t="shared" si="59"/>
        <v>0</v>
      </c>
      <c r="H489" s="9">
        <f t="shared" si="60"/>
        <v>0</v>
      </c>
      <c r="I489" s="9">
        <f t="shared" si="61"/>
        <v>0</v>
      </c>
      <c r="J489" s="9">
        <f t="shared" si="62"/>
        <v>0</v>
      </c>
    </row>
    <row r="490" spans="1:10" x14ac:dyDescent="0.25">
      <c r="A490" s="1">
        <v>484</v>
      </c>
      <c r="B490" s="6">
        <v>0</v>
      </c>
      <c r="C490" s="8">
        <v>0</v>
      </c>
      <c r="D490" s="9">
        <f t="shared" si="56"/>
        <v>0</v>
      </c>
      <c r="E490" s="9">
        <f t="shared" si="57"/>
        <v>0</v>
      </c>
      <c r="F490" s="9">
        <f t="shared" si="58"/>
        <v>0</v>
      </c>
      <c r="G490" s="9">
        <f t="shared" si="59"/>
        <v>0</v>
      </c>
      <c r="H490" s="9">
        <f t="shared" si="60"/>
        <v>0</v>
      </c>
      <c r="I490" s="9">
        <f t="shared" si="61"/>
        <v>0</v>
      </c>
      <c r="J490" s="9">
        <f t="shared" si="62"/>
        <v>0</v>
      </c>
    </row>
    <row r="491" spans="1:10" x14ac:dyDescent="0.25">
      <c r="A491" s="1">
        <v>485</v>
      </c>
      <c r="B491" s="6">
        <v>0</v>
      </c>
      <c r="C491" s="8">
        <v>0</v>
      </c>
      <c r="D491" s="9">
        <f t="shared" ref="D491:D506" si="63">((B490*C491)-(B491*C490))*0.5</f>
        <v>0</v>
      </c>
      <c r="E491" s="9">
        <f t="shared" ref="E491:E506" si="64">(B491+B490)*((B490*C491)-(B491*C490))*(1/6)</f>
        <v>0</v>
      </c>
      <c r="F491" s="9">
        <f t="shared" ref="F491:F506" si="65">(C491+C490)*((B490*C491)-(B491*C490))*(1/6)</f>
        <v>0</v>
      </c>
      <c r="G491" s="9">
        <f t="shared" ref="G491:G506" si="66">(((C490*C490)+(C490*C491)+(C491*C491))*((B490*C491)-(B491*C490)))/12</f>
        <v>0</v>
      </c>
      <c r="H491" s="9">
        <f t="shared" ref="H491:H506" si="67">(((B490*B490)+(B490*B491)+(B491*B491))*((B490*C491)-(B491*C490)))/12</f>
        <v>0</v>
      </c>
      <c r="I491" s="9">
        <f t="shared" ref="I491:I506" si="68">(((B490*C491)+(2*B490*C490)+(2*B491*C491)+(B491*C490))*((B490*C491)-(B491*C490)))/24</f>
        <v>0</v>
      </c>
      <c r="J491" s="9">
        <f t="shared" ref="J491:J506" si="69">G491+H491</f>
        <v>0</v>
      </c>
    </row>
    <row r="492" spans="1:10" x14ac:dyDescent="0.25">
      <c r="A492" s="1">
        <v>486</v>
      </c>
      <c r="B492" s="6">
        <v>0</v>
      </c>
      <c r="C492" s="8">
        <v>0</v>
      </c>
      <c r="D492" s="9">
        <f t="shared" si="63"/>
        <v>0</v>
      </c>
      <c r="E492" s="9">
        <f t="shared" si="64"/>
        <v>0</v>
      </c>
      <c r="F492" s="9">
        <f t="shared" si="65"/>
        <v>0</v>
      </c>
      <c r="G492" s="9">
        <f t="shared" si="66"/>
        <v>0</v>
      </c>
      <c r="H492" s="9">
        <f t="shared" si="67"/>
        <v>0</v>
      </c>
      <c r="I492" s="9">
        <f t="shared" si="68"/>
        <v>0</v>
      </c>
      <c r="J492" s="9">
        <f t="shared" si="69"/>
        <v>0</v>
      </c>
    </row>
    <row r="493" spans="1:10" x14ac:dyDescent="0.25">
      <c r="A493" s="1">
        <v>487</v>
      </c>
      <c r="B493" s="6">
        <v>0</v>
      </c>
      <c r="C493" s="8">
        <v>0</v>
      </c>
      <c r="D493" s="9">
        <f t="shared" si="63"/>
        <v>0</v>
      </c>
      <c r="E493" s="9">
        <f t="shared" si="64"/>
        <v>0</v>
      </c>
      <c r="F493" s="9">
        <f t="shared" si="65"/>
        <v>0</v>
      </c>
      <c r="G493" s="9">
        <f t="shared" si="66"/>
        <v>0</v>
      </c>
      <c r="H493" s="9">
        <f t="shared" si="67"/>
        <v>0</v>
      </c>
      <c r="I493" s="9">
        <f t="shared" si="68"/>
        <v>0</v>
      </c>
      <c r="J493" s="9">
        <f t="shared" si="69"/>
        <v>0</v>
      </c>
    </row>
    <row r="494" spans="1:10" x14ac:dyDescent="0.25">
      <c r="A494" s="1">
        <v>488</v>
      </c>
      <c r="B494" s="6">
        <v>0</v>
      </c>
      <c r="C494" s="8">
        <v>0</v>
      </c>
      <c r="D494" s="9">
        <f t="shared" si="63"/>
        <v>0</v>
      </c>
      <c r="E494" s="9">
        <f t="shared" si="64"/>
        <v>0</v>
      </c>
      <c r="F494" s="9">
        <f t="shared" si="65"/>
        <v>0</v>
      </c>
      <c r="G494" s="9">
        <f t="shared" si="66"/>
        <v>0</v>
      </c>
      <c r="H494" s="9">
        <f t="shared" si="67"/>
        <v>0</v>
      </c>
      <c r="I494" s="9">
        <f t="shared" si="68"/>
        <v>0</v>
      </c>
      <c r="J494" s="9">
        <f t="shared" si="69"/>
        <v>0</v>
      </c>
    </row>
    <row r="495" spans="1:10" x14ac:dyDescent="0.25">
      <c r="A495" s="1">
        <v>489</v>
      </c>
      <c r="B495" s="6">
        <v>0</v>
      </c>
      <c r="C495" s="8">
        <v>0</v>
      </c>
      <c r="D495" s="9">
        <f t="shared" si="63"/>
        <v>0</v>
      </c>
      <c r="E495" s="9">
        <f t="shared" si="64"/>
        <v>0</v>
      </c>
      <c r="F495" s="9">
        <f t="shared" si="65"/>
        <v>0</v>
      </c>
      <c r="G495" s="9">
        <f t="shared" si="66"/>
        <v>0</v>
      </c>
      <c r="H495" s="9">
        <f t="shared" si="67"/>
        <v>0</v>
      </c>
      <c r="I495" s="9">
        <f t="shared" si="68"/>
        <v>0</v>
      </c>
      <c r="J495" s="9">
        <f t="shared" si="69"/>
        <v>0</v>
      </c>
    </row>
    <row r="496" spans="1:10" x14ac:dyDescent="0.25">
      <c r="A496" s="1">
        <v>490</v>
      </c>
      <c r="B496" s="6">
        <v>0</v>
      </c>
      <c r="C496" s="8">
        <v>0</v>
      </c>
      <c r="D496" s="9">
        <f t="shared" si="63"/>
        <v>0</v>
      </c>
      <c r="E496" s="9">
        <f t="shared" si="64"/>
        <v>0</v>
      </c>
      <c r="F496" s="9">
        <f t="shared" si="65"/>
        <v>0</v>
      </c>
      <c r="G496" s="9">
        <f t="shared" si="66"/>
        <v>0</v>
      </c>
      <c r="H496" s="9">
        <f t="shared" si="67"/>
        <v>0</v>
      </c>
      <c r="I496" s="9">
        <f t="shared" si="68"/>
        <v>0</v>
      </c>
      <c r="J496" s="9">
        <f t="shared" si="69"/>
        <v>0</v>
      </c>
    </row>
    <row r="497" spans="1:10" x14ac:dyDescent="0.25">
      <c r="A497" s="1">
        <v>491</v>
      </c>
      <c r="B497" s="6">
        <v>0</v>
      </c>
      <c r="C497" s="8">
        <v>0</v>
      </c>
      <c r="D497" s="9">
        <f t="shared" si="63"/>
        <v>0</v>
      </c>
      <c r="E497" s="9">
        <f t="shared" si="64"/>
        <v>0</v>
      </c>
      <c r="F497" s="9">
        <f t="shared" si="65"/>
        <v>0</v>
      </c>
      <c r="G497" s="9">
        <f t="shared" si="66"/>
        <v>0</v>
      </c>
      <c r="H497" s="9">
        <f t="shared" si="67"/>
        <v>0</v>
      </c>
      <c r="I497" s="9">
        <f t="shared" si="68"/>
        <v>0</v>
      </c>
      <c r="J497" s="9">
        <f t="shared" si="69"/>
        <v>0</v>
      </c>
    </row>
    <row r="498" spans="1:10" x14ac:dyDescent="0.25">
      <c r="A498" s="1">
        <v>492</v>
      </c>
      <c r="B498" s="6">
        <v>0</v>
      </c>
      <c r="C498" s="8">
        <v>0</v>
      </c>
      <c r="D498" s="9">
        <f t="shared" si="63"/>
        <v>0</v>
      </c>
      <c r="E498" s="9">
        <f t="shared" si="64"/>
        <v>0</v>
      </c>
      <c r="F498" s="9">
        <f t="shared" si="65"/>
        <v>0</v>
      </c>
      <c r="G498" s="9">
        <f t="shared" si="66"/>
        <v>0</v>
      </c>
      <c r="H498" s="9">
        <f t="shared" si="67"/>
        <v>0</v>
      </c>
      <c r="I498" s="9">
        <f t="shared" si="68"/>
        <v>0</v>
      </c>
      <c r="J498" s="9">
        <f t="shared" si="69"/>
        <v>0</v>
      </c>
    </row>
    <row r="499" spans="1:10" x14ac:dyDescent="0.25">
      <c r="A499" s="1">
        <v>493</v>
      </c>
      <c r="B499" s="6">
        <v>0</v>
      </c>
      <c r="C499" s="8">
        <v>0</v>
      </c>
      <c r="D499" s="9">
        <f t="shared" si="63"/>
        <v>0</v>
      </c>
      <c r="E499" s="9">
        <f t="shared" si="64"/>
        <v>0</v>
      </c>
      <c r="F499" s="9">
        <f t="shared" si="65"/>
        <v>0</v>
      </c>
      <c r="G499" s="9">
        <f t="shared" si="66"/>
        <v>0</v>
      </c>
      <c r="H499" s="9">
        <f t="shared" si="67"/>
        <v>0</v>
      </c>
      <c r="I499" s="9">
        <f t="shared" si="68"/>
        <v>0</v>
      </c>
      <c r="J499" s="9">
        <f t="shared" si="69"/>
        <v>0</v>
      </c>
    </row>
    <row r="500" spans="1:10" x14ac:dyDescent="0.25">
      <c r="A500" s="1">
        <v>494</v>
      </c>
      <c r="B500" s="6">
        <v>0</v>
      </c>
      <c r="C500" s="8">
        <v>0</v>
      </c>
      <c r="D500" s="9">
        <f t="shared" si="63"/>
        <v>0</v>
      </c>
      <c r="E500" s="9">
        <f t="shared" si="64"/>
        <v>0</v>
      </c>
      <c r="F500" s="9">
        <f t="shared" si="65"/>
        <v>0</v>
      </c>
      <c r="G500" s="9">
        <f t="shared" si="66"/>
        <v>0</v>
      </c>
      <c r="H500" s="9">
        <f t="shared" si="67"/>
        <v>0</v>
      </c>
      <c r="I500" s="9">
        <f t="shared" si="68"/>
        <v>0</v>
      </c>
      <c r="J500" s="9">
        <f t="shared" si="69"/>
        <v>0</v>
      </c>
    </row>
    <row r="501" spans="1:10" x14ac:dyDescent="0.25">
      <c r="A501" s="1">
        <v>495</v>
      </c>
      <c r="B501" s="6">
        <v>0</v>
      </c>
      <c r="C501" s="8">
        <v>0</v>
      </c>
      <c r="D501" s="9">
        <f t="shared" si="63"/>
        <v>0</v>
      </c>
      <c r="E501" s="9">
        <f t="shared" si="64"/>
        <v>0</v>
      </c>
      <c r="F501" s="9">
        <f t="shared" si="65"/>
        <v>0</v>
      </c>
      <c r="G501" s="9">
        <f t="shared" si="66"/>
        <v>0</v>
      </c>
      <c r="H501" s="9">
        <f t="shared" si="67"/>
        <v>0</v>
      </c>
      <c r="I501" s="9">
        <f t="shared" si="68"/>
        <v>0</v>
      </c>
      <c r="J501" s="9">
        <f t="shared" si="69"/>
        <v>0</v>
      </c>
    </row>
    <row r="502" spans="1:10" x14ac:dyDescent="0.25">
      <c r="A502" s="1">
        <v>496</v>
      </c>
      <c r="B502" s="6">
        <v>0</v>
      </c>
      <c r="C502" s="8">
        <v>0</v>
      </c>
      <c r="D502" s="9">
        <f t="shared" si="63"/>
        <v>0</v>
      </c>
      <c r="E502" s="9">
        <f t="shared" si="64"/>
        <v>0</v>
      </c>
      <c r="F502" s="9">
        <f t="shared" si="65"/>
        <v>0</v>
      </c>
      <c r="G502" s="9">
        <f t="shared" si="66"/>
        <v>0</v>
      </c>
      <c r="H502" s="9">
        <f t="shared" si="67"/>
        <v>0</v>
      </c>
      <c r="I502" s="9">
        <f t="shared" si="68"/>
        <v>0</v>
      </c>
      <c r="J502" s="9">
        <f t="shared" si="69"/>
        <v>0</v>
      </c>
    </row>
    <row r="503" spans="1:10" x14ac:dyDescent="0.25">
      <c r="A503" s="1">
        <v>497</v>
      </c>
      <c r="B503" s="6">
        <v>0</v>
      </c>
      <c r="C503" s="8">
        <v>0</v>
      </c>
      <c r="D503" s="9">
        <f t="shared" si="63"/>
        <v>0</v>
      </c>
      <c r="E503" s="9">
        <f t="shared" si="64"/>
        <v>0</v>
      </c>
      <c r="F503" s="9">
        <f t="shared" si="65"/>
        <v>0</v>
      </c>
      <c r="G503" s="9">
        <f t="shared" si="66"/>
        <v>0</v>
      </c>
      <c r="H503" s="9">
        <f t="shared" si="67"/>
        <v>0</v>
      </c>
      <c r="I503" s="9">
        <f t="shared" si="68"/>
        <v>0</v>
      </c>
      <c r="J503" s="9">
        <f t="shared" si="69"/>
        <v>0</v>
      </c>
    </row>
    <row r="504" spans="1:10" x14ac:dyDescent="0.25">
      <c r="A504" s="1">
        <v>498</v>
      </c>
      <c r="B504" s="6">
        <v>0</v>
      </c>
      <c r="C504" s="8">
        <v>0</v>
      </c>
      <c r="D504" s="9">
        <f t="shared" si="63"/>
        <v>0</v>
      </c>
      <c r="E504" s="9">
        <f t="shared" si="64"/>
        <v>0</v>
      </c>
      <c r="F504" s="9">
        <f t="shared" si="65"/>
        <v>0</v>
      </c>
      <c r="G504" s="9">
        <f t="shared" si="66"/>
        <v>0</v>
      </c>
      <c r="H504" s="9">
        <f t="shared" si="67"/>
        <v>0</v>
      </c>
      <c r="I504" s="9">
        <f t="shared" si="68"/>
        <v>0</v>
      </c>
      <c r="J504" s="9">
        <f t="shared" si="69"/>
        <v>0</v>
      </c>
    </row>
    <row r="505" spans="1:10" x14ac:dyDescent="0.25">
      <c r="A505" s="1">
        <v>499</v>
      </c>
      <c r="B505" s="6">
        <v>0</v>
      </c>
      <c r="C505" s="8">
        <v>0</v>
      </c>
      <c r="D505" s="9">
        <f t="shared" si="63"/>
        <v>0</v>
      </c>
      <c r="E505" s="9">
        <f t="shared" si="64"/>
        <v>0</v>
      </c>
      <c r="F505" s="9">
        <f t="shared" si="65"/>
        <v>0</v>
      </c>
      <c r="G505" s="9">
        <f t="shared" si="66"/>
        <v>0</v>
      </c>
      <c r="H505" s="9">
        <f t="shared" si="67"/>
        <v>0</v>
      </c>
      <c r="I505" s="9">
        <f t="shared" si="68"/>
        <v>0</v>
      </c>
      <c r="J505" s="9">
        <f t="shared" si="69"/>
        <v>0</v>
      </c>
    </row>
    <row r="506" spans="1:10" x14ac:dyDescent="0.25">
      <c r="A506" s="1">
        <v>500</v>
      </c>
      <c r="B506" s="6">
        <v>0</v>
      </c>
      <c r="C506" s="8">
        <v>0</v>
      </c>
      <c r="D506" s="9">
        <f t="shared" si="63"/>
        <v>0</v>
      </c>
      <c r="E506" s="9">
        <f t="shared" si="64"/>
        <v>0</v>
      </c>
      <c r="F506" s="9">
        <f t="shared" si="65"/>
        <v>0</v>
      </c>
      <c r="G506" s="9">
        <f t="shared" si="66"/>
        <v>0</v>
      </c>
      <c r="H506" s="9">
        <f t="shared" si="67"/>
        <v>0</v>
      </c>
      <c r="I506" s="9">
        <f t="shared" si="68"/>
        <v>0</v>
      </c>
      <c r="J506" s="9">
        <f t="shared" si="69"/>
        <v>0</v>
      </c>
    </row>
    <row r="507" spans="1:10" x14ac:dyDescent="0.25">
      <c r="B507" s="12"/>
      <c r="C507" s="12"/>
      <c r="D507" s="9"/>
      <c r="E507" s="9"/>
      <c r="F507" s="9"/>
      <c r="G507" s="9"/>
      <c r="H507" s="9"/>
      <c r="I507" s="9"/>
      <c r="J507" s="9"/>
    </row>
    <row r="508" spans="1:10" x14ac:dyDescent="0.25">
      <c r="B508" s="12"/>
      <c r="C508" s="12"/>
      <c r="D508" s="9"/>
      <c r="E508" s="9"/>
      <c r="F508" s="9"/>
      <c r="G508" s="9"/>
      <c r="H508" s="9"/>
      <c r="I508" s="9"/>
      <c r="J508" s="9"/>
    </row>
    <row r="509" spans="1:10" x14ac:dyDescent="0.25">
      <c r="B509" s="12"/>
      <c r="C509" s="12"/>
      <c r="D509" s="9"/>
      <c r="E509" s="9"/>
      <c r="F509" s="9"/>
      <c r="G509" s="9"/>
      <c r="H509" s="9"/>
      <c r="I509" s="9"/>
      <c r="J509" s="9"/>
    </row>
    <row r="510" spans="1:10" x14ac:dyDescent="0.25">
      <c r="B510" s="12"/>
      <c r="C510" s="12"/>
      <c r="D510" s="9"/>
      <c r="E510" s="9"/>
      <c r="F510" s="9"/>
      <c r="G510" s="9"/>
      <c r="H510" s="9"/>
      <c r="I510" s="9"/>
      <c r="J510" s="9"/>
    </row>
    <row r="511" spans="1:10" x14ac:dyDescent="0.25">
      <c r="B511" s="12"/>
      <c r="C511" s="12"/>
      <c r="D511" s="9"/>
      <c r="E511" s="9"/>
      <c r="F511" s="9"/>
      <c r="G511" s="9"/>
      <c r="H511" s="9"/>
      <c r="I511" s="9"/>
      <c r="J511" s="9"/>
    </row>
    <row r="512" spans="1:10" x14ac:dyDescent="0.25">
      <c r="B512" s="12"/>
      <c r="C512" s="12"/>
      <c r="D512" s="9"/>
      <c r="E512" s="9"/>
      <c r="F512" s="9"/>
      <c r="G512" s="9"/>
      <c r="H512" s="9"/>
      <c r="I512" s="9"/>
      <c r="J512" s="9"/>
    </row>
    <row r="513" spans="2:10" x14ac:dyDescent="0.25">
      <c r="B513" s="12"/>
      <c r="C513" s="12"/>
      <c r="D513" s="9"/>
      <c r="E513" s="9"/>
      <c r="F513" s="9"/>
      <c r="G513" s="9"/>
      <c r="H513" s="9"/>
      <c r="I513" s="9"/>
      <c r="J513" s="9"/>
    </row>
    <row r="514" spans="2:10" x14ac:dyDescent="0.25">
      <c r="B514" s="12"/>
      <c r="C514" s="12"/>
      <c r="D514" s="9"/>
      <c r="E514" s="9"/>
      <c r="F514" s="9"/>
      <c r="G514" s="9"/>
      <c r="H514" s="9"/>
      <c r="I514" s="9"/>
      <c r="J514" s="9"/>
    </row>
    <row r="515" spans="2:10" x14ac:dyDescent="0.25">
      <c r="B515" s="12"/>
      <c r="C515" s="12"/>
      <c r="D515" s="9"/>
      <c r="E515" s="9"/>
      <c r="F515" s="9"/>
      <c r="G515" s="9"/>
      <c r="H515" s="9"/>
      <c r="I515" s="9"/>
      <c r="J515" s="9"/>
    </row>
    <row r="516" spans="2:10" x14ac:dyDescent="0.25">
      <c r="B516" s="12"/>
      <c r="C516" s="12"/>
      <c r="D516" s="9"/>
      <c r="E516" s="9"/>
      <c r="F516" s="9"/>
      <c r="G516" s="9"/>
      <c r="H516" s="9"/>
      <c r="I516" s="9"/>
      <c r="J516" s="9"/>
    </row>
    <row r="517" spans="2:10" x14ac:dyDescent="0.25">
      <c r="B517" s="12"/>
      <c r="C517" s="12"/>
      <c r="D517" s="9"/>
      <c r="E517" s="9"/>
      <c r="F517" s="9"/>
      <c r="G517" s="9"/>
      <c r="H517" s="9"/>
      <c r="I517" s="9"/>
      <c r="J517" s="9"/>
    </row>
    <row r="518" spans="2:10" x14ac:dyDescent="0.25">
      <c r="B518" s="12"/>
      <c r="C518" s="12"/>
      <c r="D518" s="9"/>
      <c r="E518" s="9"/>
      <c r="F518" s="9"/>
      <c r="G518" s="9"/>
      <c r="H518" s="9"/>
      <c r="I518" s="9"/>
      <c r="J518" s="9"/>
    </row>
    <row r="519" spans="2:10" x14ac:dyDescent="0.25">
      <c r="B519" s="12"/>
      <c r="C519" s="12"/>
      <c r="D519" s="9"/>
      <c r="E519" s="9"/>
      <c r="F519" s="9"/>
      <c r="G519" s="9"/>
      <c r="H519" s="9"/>
      <c r="I519" s="9"/>
      <c r="J519" s="9"/>
    </row>
    <row r="520" spans="2:10" x14ac:dyDescent="0.25">
      <c r="B520" s="12"/>
      <c r="C520" s="12"/>
      <c r="D520" s="9"/>
      <c r="E520" s="9"/>
      <c r="F520" s="9"/>
      <c r="G520" s="9"/>
      <c r="H520" s="9"/>
      <c r="I520" s="9"/>
      <c r="J520" s="9"/>
    </row>
    <row r="521" spans="2:10" x14ac:dyDescent="0.25">
      <c r="B521" s="12"/>
      <c r="C521" s="12"/>
      <c r="D521" s="9"/>
      <c r="E521" s="9"/>
      <c r="F521" s="9"/>
      <c r="G521" s="9"/>
      <c r="H521" s="9"/>
      <c r="I521" s="9"/>
      <c r="J521" s="9"/>
    </row>
    <row r="522" spans="2:10" x14ac:dyDescent="0.25">
      <c r="B522" s="12"/>
      <c r="C522" s="12"/>
      <c r="D522" s="9"/>
      <c r="E522" s="9"/>
      <c r="F522" s="9"/>
      <c r="G522" s="9"/>
      <c r="H522" s="9"/>
      <c r="I522" s="9"/>
      <c r="J522" s="9"/>
    </row>
    <row r="523" spans="2:10" x14ac:dyDescent="0.25">
      <c r="B523" s="12"/>
      <c r="C523" s="12"/>
      <c r="D523" s="9"/>
      <c r="E523" s="9"/>
      <c r="F523" s="9"/>
      <c r="G523" s="9"/>
      <c r="H523" s="9"/>
      <c r="I523" s="9"/>
      <c r="J523" s="9"/>
    </row>
    <row r="524" spans="2:10" x14ac:dyDescent="0.25">
      <c r="B524" s="12"/>
      <c r="C524" s="12"/>
      <c r="D524" s="9"/>
      <c r="E524" s="9"/>
      <c r="F524" s="9"/>
      <c r="G524" s="9"/>
      <c r="H524" s="9"/>
      <c r="I524" s="9"/>
      <c r="J524" s="9"/>
    </row>
    <row r="525" spans="2:10" x14ac:dyDescent="0.25">
      <c r="B525" s="12"/>
      <c r="C525" s="12"/>
      <c r="D525" s="9"/>
      <c r="E525" s="9"/>
      <c r="F525" s="9"/>
      <c r="G525" s="9"/>
      <c r="H525" s="9"/>
      <c r="I525" s="9"/>
      <c r="J525" s="9"/>
    </row>
    <row r="526" spans="2:10" x14ac:dyDescent="0.25">
      <c r="B526" s="12"/>
      <c r="C526" s="12"/>
      <c r="D526" s="9"/>
      <c r="E526" s="9"/>
      <c r="F526" s="9"/>
      <c r="G526" s="9"/>
      <c r="H526" s="9"/>
      <c r="I526" s="9"/>
      <c r="J526" s="9"/>
    </row>
    <row r="527" spans="2:10" x14ac:dyDescent="0.25">
      <c r="B527" s="12"/>
      <c r="C527" s="12"/>
      <c r="D527" s="9"/>
      <c r="E527" s="9"/>
      <c r="F527" s="9"/>
      <c r="G527" s="9"/>
      <c r="H527" s="9"/>
      <c r="I527" s="9"/>
      <c r="J527" s="9"/>
    </row>
    <row r="528" spans="2:10" x14ac:dyDescent="0.25">
      <c r="B528" s="12"/>
      <c r="C528" s="12"/>
      <c r="D528" s="9"/>
      <c r="E528" s="9"/>
      <c r="F528" s="9"/>
      <c r="G528" s="9"/>
      <c r="H528" s="9"/>
      <c r="I528" s="9"/>
      <c r="J528" s="9"/>
    </row>
    <row r="529" spans="2:10" x14ac:dyDescent="0.25">
      <c r="B529" s="12"/>
      <c r="C529" s="12"/>
      <c r="D529" s="9"/>
      <c r="E529" s="9"/>
      <c r="F529" s="9"/>
      <c r="G529" s="9"/>
      <c r="H529" s="9"/>
      <c r="I529" s="9"/>
      <c r="J529" s="9"/>
    </row>
    <row r="530" spans="2:10" x14ac:dyDescent="0.25">
      <c r="B530" s="12"/>
      <c r="C530" s="12"/>
      <c r="D530" s="9"/>
      <c r="E530" s="9"/>
      <c r="F530" s="9"/>
      <c r="G530" s="9"/>
      <c r="H530" s="9"/>
      <c r="I530" s="9"/>
      <c r="J530" s="9"/>
    </row>
    <row r="531" spans="2:10" x14ac:dyDescent="0.25">
      <c r="B531" s="12"/>
      <c r="C531" s="12"/>
      <c r="D531" s="9"/>
      <c r="E531" s="9"/>
      <c r="F531" s="9"/>
      <c r="G531" s="9"/>
      <c r="H531" s="9"/>
      <c r="I531" s="9"/>
      <c r="J531" s="9"/>
    </row>
    <row r="532" spans="2:10" x14ac:dyDescent="0.25">
      <c r="B532" s="12"/>
      <c r="C532" s="12"/>
      <c r="D532" s="9"/>
      <c r="E532" s="9"/>
      <c r="F532" s="9"/>
      <c r="G532" s="9"/>
      <c r="H532" s="9"/>
      <c r="I532" s="9"/>
      <c r="J532" s="9"/>
    </row>
    <row r="533" spans="2:10" x14ac:dyDescent="0.25">
      <c r="B533" s="12"/>
      <c r="C533" s="12"/>
      <c r="D533" s="9"/>
      <c r="E533" s="9"/>
      <c r="F533" s="9"/>
      <c r="G533" s="9"/>
      <c r="H533" s="9"/>
      <c r="I533" s="9"/>
      <c r="J533" s="9"/>
    </row>
    <row r="534" spans="2:10" x14ac:dyDescent="0.25">
      <c r="B534" s="12"/>
      <c r="C534" s="12"/>
      <c r="D534" s="9"/>
      <c r="E534" s="9"/>
      <c r="F534" s="9"/>
      <c r="G534" s="9"/>
      <c r="H534" s="9"/>
      <c r="I534" s="9"/>
      <c r="J534" s="9"/>
    </row>
    <row r="535" spans="2:10" x14ac:dyDescent="0.25">
      <c r="B535" s="12"/>
      <c r="C535" s="12"/>
      <c r="D535" s="9"/>
      <c r="E535" s="9"/>
      <c r="F535" s="9"/>
      <c r="G535" s="9"/>
      <c r="H535" s="9"/>
      <c r="I535" s="9"/>
      <c r="J535" s="9"/>
    </row>
    <row r="536" spans="2:10" x14ac:dyDescent="0.25">
      <c r="B536" s="12"/>
      <c r="C536" s="12"/>
      <c r="D536" s="9"/>
      <c r="E536" s="9"/>
      <c r="F536" s="9"/>
      <c r="G536" s="9"/>
      <c r="H536" s="9"/>
      <c r="I536" s="9"/>
      <c r="J536" s="9"/>
    </row>
    <row r="537" spans="2:10" x14ac:dyDescent="0.25">
      <c r="B537" s="12"/>
      <c r="C537" s="12"/>
      <c r="D537" s="9"/>
      <c r="E537" s="9"/>
      <c r="F537" s="9"/>
      <c r="G537" s="9"/>
      <c r="H537" s="9"/>
      <c r="I537" s="9"/>
      <c r="J537" s="9"/>
    </row>
    <row r="538" spans="2:10" x14ac:dyDescent="0.25">
      <c r="B538" s="12"/>
      <c r="C538" s="12"/>
      <c r="D538" s="9"/>
      <c r="E538" s="9"/>
      <c r="F538" s="9"/>
      <c r="G538" s="9"/>
      <c r="H538" s="9"/>
      <c r="I538" s="9"/>
      <c r="J538" s="9"/>
    </row>
    <row r="539" spans="2:10" x14ac:dyDescent="0.25">
      <c r="B539" s="12"/>
      <c r="C539" s="12"/>
      <c r="D539" s="9"/>
      <c r="E539" s="9"/>
      <c r="F539" s="9"/>
      <c r="G539" s="9"/>
      <c r="H539" s="9"/>
      <c r="I539" s="9"/>
      <c r="J539" s="9"/>
    </row>
    <row r="540" spans="2:10" x14ac:dyDescent="0.25">
      <c r="B540" s="12"/>
      <c r="C540" s="12"/>
      <c r="D540" s="9"/>
      <c r="E540" s="9"/>
      <c r="F540" s="9"/>
      <c r="G540" s="9"/>
      <c r="H540" s="9"/>
      <c r="I540" s="9"/>
      <c r="J540" s="9"/>
    </row>
    <row r="541" spans="2:10" x14ac:dyDescent="0.25">
      <c r="B541" s="12"/>
      <c r="C541" s="12"/>
      <c r="D541" s="9"/>
      <c r="E541" s="9"/>
      <c r="F541" s="9"/>
      <c r="G541" s="9"/>
      <c r="H541" s="9"/>
      <c r="I541" s="9"/>
      <c r="J541" s="9"/>
    </row>
    <row r="542" spans="2:10" x14ac:dyDescent="0.25">
      <c r="B542" s="12"/>
      <c r="C542" s="12"/>
      <c r="D542" s="9"/>
      <c r="E542" s="9"/>
      <c r="F542" s="9"/>
      <c r="G542" s="9"/>
      <c r="H542" s="9"/>
      <c r="I542" s="9"/>
      <c r="J542" s="9"/>
    </row>
    <row r="543" spans="2:10" x14ac:dyDescent="0.25">
      <c r="B543" s="12"/>
      <c r="C543" s="12"/>
      <c r="D543" s="9"/>
      <c r="E543" s="9"/>
      <c r="F543" s="9"/>
      <c r="G543" s="9"/>
      <c r="H543" s="9"/>
      <c r="I543" s="9"/>
      <c r="J543" s="9"/>
    </row>
    <row r="544" spans="2:10" x14ac:dyDescent="0.25">
      <c r="B544" s="12"/>
      <c r="C544" s="12"/>
      <c r="D544" s="9"/>
      <c r="E544" s="9"/>
      <c r="F544" s="9"/>
      <c r="G544" s="9"/>
      <c r="H544" s="9"/>
      <c r="I544" s="9"/>
      <c r="J544" s="9"/>
    </row>
    <row r="545" spans="2:10" x14ac:dyDescent="0.25">
      <c r="B545" s="12"/>
      <c r="C545" s="12"/>
      <c r="D545" s="9"/>
      <c r="E545" s="9"/>
      <c r="F545" s="9"/>
      <c r="G545" s="9"/>
      <c r="H545" s="9"/>
      <c r="I545" s="9"/>
      <c r="J545" s="9"/>
    </row>
    <row r="546" spans="2:10" x14ac:dyDescent="0.25">
      <c r="B546" s="12"/>
      <c r="C546" s="12"/>
      <c r="D546" s="9"/>
      <c r="E546" s="9"/>
      <c r="F546" s="9"/>
      <c r="G546" s="9"/>
      <c r="H546" s="9"/>
      <c r="I546" s="9"/>
      <c r="J546" s="9"/>
    </row>
    <row r="547" spans="2:10" x14ac:dyDescent="0.25">
      <c r="B547" s="12"/>
      <c r="C547" s="12"/>
      <c r="D547" s="9"/>
      <c r="E547" s="9"/>
      <c r="F547" s="9"/>
      <c r="G547" s="9"/>
      <c r="H547" s="9"/>
      <c r="I547" s="9"/>
      <c r="J547" s="9"/>
    </row>
    <row r="548" spans="2:10" x14ac:dyDescent="0.25">
      <c r="B548" s="12"/>
      <c r="C548" s="12"/>
      <c r="D548" s="9"/>
      <c r="E548" s="9"/>
      <c r="F548" s="9"/>
      <c r="G548" s="9"/>
      <c r="H548" s="9"/>
      <c r="I548" s="9"/>
      <c r="J548" s="9"/>
    </row>
    <row r="549" spans="2:10" x14ac:dyDescent="0.25">
      <c r="B549" s="12"/>
      <c r="C549" s="12"/>
      <c r="D549" s="9"/>
      <c r="E549" s="9"/>
      <c r="F549" s="9"/>
      <c r="G549" s="9"/>
      <c r="H549" s="9"/>
      <c r="I549" s="9"/>
      <c r="J549" s="9"/>
    </row>
    <row r="550" spans="2:10" x14ac:dyDescent="0.25">
      <c r="B550" s="12"/>
      <c r="C550" s="12"/>
      <c r="D550" s="9"/>
      <c r="E550" s="9"/>
      <c r="F550" s="9"/>
      <c r="G550" s="9"/>
      <c r="H550" s="9"/>
      <c r="I550" s="9"/>
      <c r="J550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reset_shape">
                <anchor moveWithCells="1" sizeWithCells="1">
                  <from>
                    <xdr:col>1</xdr:col>
                    <xdr:colOff>314325</xdr:colOff>
                    <xdr:row>2</xdr:row>
                    <xdr:rowOff>104775</xdr:rowOff>
                  </from>
                  <to>
                    <xdr:col>2</xdr:col>
                    <xdr:colOff>771525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</dc:creator>
  <cp:lastModifiedBy>Don Bockoven</cp:lastModifiedBy>
  <dcterms:created xsi:type="dcterms:W3CDTF">2020-03-06T03:38:44Z</dcterms:created>
  <dcterms:modified xsi:type="dcterms:W3CDTF">2020-03-06T16:23:18Z</dcterms:modified>
</cp:coreProperties>
</file>