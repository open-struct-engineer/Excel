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Spreadsheets/In_Development/"/>
    </mc:Choice>
  </mc:AlternateContent>
  <xr:revisionPtr revIDLastSave="60" documentId="8_{57EE3578-B15B-204C-9304-9DD24DCDC71B}" xr6:coauthVersionLast="45" xr6:coauthVersionMax="45" xr10:uidLastSave="{6E52F179-38D7-4E40-BF2E-02111B227FAC}"/>
  <bookViews>
    <workbookView xWindow="80" yWindow="440" windowWidth="25440" windowHeight="14520" xr2:uid="{48FCA081-34B6-C449-9F99-37B821A041A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1" i="1" l="1"/>
  <c r="V20" i="1"/>
  <c r="W15" i="1"/>
  <c r="W16" i="1"/>
  <c r="D491" i="1"/>
  <c r="E491" i="1"/>
  <c r="F491" i="1"/>
  <c r="G491" i="1"/>
  <c r="H491" i="1"/>
  <c r="I491" i="1"/>
  <c r="J491" i="1"/>
  <c r="D492" i="1"/>
  <c r="E492" i="1"/>
  <c r="F492" i="1"/>
  <c r="G492" i="1"/>
  <c r="H492" i="1"/>
  <c r="I492" i="1"/>
  <c r="J492" i="1"/>
  <c r="D493" i="1"/>
  <c r="E493" i="1"/>
  <c r="F493" i="1"/>
  <c r="G493" i="1"/>
  <c r="H493" i="1"/>
  <c r="I493" i="1"/>
  <c r="J493" i="1"/>
  <c r="D494" i="1"/>
  <c r="E494" i="1"/>
  <c r="F494" i="1"/>
  <c r="G494" i="1"/>
  <c r="H494" i="1"/>
  <c r="I494" i="1"/>
  <c r="J494" i="1"/>
  <c r="D495" i="1"/>
  <c r="E495" i="1"/>
  <c r="F495" i="1"/>
  <c r="G495" i="1"/>
  <c r="H495" i="1"/>
  <c r="I495" i="1"/>
  <c r="J495" i="1"/>
  <c r="D496" i="1"/>
  <c r="E496" i="1"/>
  <c r="F496" i="1"/>
  <c r="G496" i="1"/>
  <c r="H496" i="1"/>
  <c r="I496" i="1"/>
  <c r="J496" i="1"/>
  <c r="D497" i="1"/>
  <c r="E497" i="1"/>
  <c r="F497" i="1"/>
  <c r="G497" i="1"/>
  <c r="H497" i="1"/>
  <c r="I497" i="1"/>
  <c r="J497" i="1"/>
  <c r="D498" i="1"/>
  <c r="E498" i="1"/>
  <c r="F498" i="1"/>
  <c r="G498" i="1"/>
  <c r="H498" i="1"/>
  <c r="I498" i="1"/>
  <c r="J498" i="1"/>
  <c r="D499" i="1"/>
  <c r="E499" i="1"/>
  <c r="F499" i="1"/>
  <c r="G499" i="1"/>
  <c r="H499" i="1"/>
  <c r="I499" i="1"/>
  <c r="J499" i="1"/>
  <c r="D500" i="1"/>
  <c r="E500" i="1"/>
  <c r="F500" i="1"/>
  <c r="G500" i="1"/>
  <c r="H500" i="1"/>
  <c r="I500" i="1"/>
  <c r="J500" i="1"/>
  <c r="D501" i="1"/>
  <c r="E501" i="1"/>
  <c r="F501" i="1"/>
  <c r="G501" i="1"/>
  <c r="H501" i="1"/>
  <c r="I501" i="1"/>
  <c r="D502" i="1"/>
  <c r="E502" i="1"/>
  <c r="F502" i="1"/>
  <c r="G502" i="1"/>
  <c r="H502" i="1"/>
  <c r="I502" i="1"/>
  <c r="D503" i="1"/>
  <c r="E503" i="1"/>
  <c r="F503" i="1"/>
  <c r="G503" i="1"/>
  <c r="J503" i="1" s="1"/>
  <c r="H503" i="1"/>
  <c r="I503" i="1"/>
  <c r="D504" i="1"/>
  <c r="E504" i="1"/>
  <c r="F504" i="1"/>
  <c r="G504" i="1"/>
  <c r="J504" i="1" s="1"/>
  <c r="H504" i="1"/>
  <c r="I504" i="1"/>
  <c r="D505" i="1"/>
  <c r="E505" i="1"/>
  <c r="F505" i="1"/>
  <c r="G505" i="1"/>
  <c r="H505" i="1"/>
  <c r="I505" i="1"/>
  <c r="D506" i="1"/>
  <c r="E506" i="1"/>
  <c r="F506" i="1"/>
  <c r="G506" i="1"/>
  <c r="J506" i="1" s="1"/>
  <c r="H506" i="1"/>
  <c r="I5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I154" i="1"/>
  <c r="D155" i="1"/>
  <c r="E155" i="1"/>
  <c r="F155" i="1"/>
  <c r="G155" i="1"/>
  <c r="H155" i="1"/>
  <c r="I155" i="1"/>
  <c r="D156" i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9" i="1"/>
  <c r="E159" i="1"/>
  <c r="F159" i="1"/>
  <c r="G159" i="1"/>
  <c r="H159" i="1"/>
  <c r="I159" i="1"/>
  <c r="D160" i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E204" i="1"/>
  <c r="F204" i="1"/>
  <c r="G204" i="1"/>
  <c r="H204" i="1"/>
  <c r="I204" i="1"/>
  <c r="D205" i="1"/>
  <c r="E205" i="1"/>
  <c r="F205" i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F213" i="1"/>
  <c r="G213" i="1"/>
  <c r="H213" i="1"/>
  <c r="I213" i="1"/>
  <c r="D214" i="1"/>
  <c r="E214" i="1"/>
  <c r="F214" i="1"/>
  <c r="G214" i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H222" i="1"/>
  <c r="I222" i="1"/>
  <c r="D223" i="1"/>
  <c r="E223" i="1"/>
  <c r="F223" i="1"/>
  <c r="G223" i="1"/>
  <c r="H223" i="1"/>
  <c r="I223" i="1"/>
  <c r="D224" i="1"/>
  <c r="E224" i="1"/>
  <c r="F224" i="1"/>
  <c r="G224" i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D227" i="1"/>
  <c r="E227" i="1"/>
  <c r="F227" i="1"/>
  <c r="G227" i="1"/>
  <c r="H227" i="1"/>
  <c r="I227" i="1"/>
  <c r="D228" i="1"/>
  <c r="E228" i="1"/>
  <c r="F228" i="1"/>
  <c r="G228" i="1"/>
  <c r="H228" i="1"/>
  <c r="I228" i="1"/>
  <c r="D229" i="1"/>
  <c r="E229" i="1"/>
  <c r="F229" i="1"/>
  <c r="G229" i="1"/>
  <c r="H229" i="1"/>
  <c r="I229" i="1"/>
  <c r="D230" i="1"/>
  <c r="E230" i="1"/>
  <c r="F230" i="1"/>
  <c r="G230" i="1"/>
  <c r="H230" i="1"/>
  <c r="I230" i="1"/>
  <c r="D231" i="1"/>
  <c r="E231" i="1"/>
  <c r="F231" i="1"/>
  <c r="G231" i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I233" i="1"/>
  <c r="D234" i="1"/>
  <c r="E234" i="1"/>
  <c r="F234" i="1"/>
  <c r="G234" i="1"/>
  <c r="H234" i="1"/>
  <c r="I234" i="1"/>
  <c r="D235" i="1"/>
  <c r="E235" i="1"/>
  <c r="F235" i="1"/>
  <c r="G235" i="1"/>
  <c r="H235" i="1"/>
  <c r="I235" i="1"/>
  <c r="D236" i="1"/>
  <c r="E236" i="1"/>
  <c r="F236" i="1"/>
  <c r="G236" i="1"/>
  <c r="H236" i="1"/>
  <c r="I236" i="1"/>
  <c r="D237" i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E243" i="1"/>
  <c r="F243" i="1"/>
  <c r="G243" i="1"/>
  <c r="H243" i="1"/>
  <c r="I243" i="1"/>
  <c r="D244" i="1"/>
  <c r="E244" i="1"/>
  <c r="F244" i="1"/>
  <c r="G244" i="1"/>
  <c r="H244" i="1"/>
  <c r="I244" i="1"/>
  <c r="D245" i="1"/>
  <c r="E245" i="1"/>
  <c r="F245" i="1"/>
  <c r="G245" i="1"/>
  <c r="H245" i="1"/>
  <c r="I245" i="1"/>
  <c r="D246" i="1"/>
  <c r="E246" i="1"/>
  <c r="F246" i="1"/>
  <c r="G246" i="1"/>
  <c r="H246" i="1"/>
  <c r="I246" i="1"/>
  <c r="D247" i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D299" i="1"/>
  <c r="E299" i="1"/>
  <c r="F299" i="1"/>
  <c r="G299" i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I329" i="1"/>
  <c r="D330" i="1"/>
  <c r="E330" i="1"/>
  <c r="F330" i="1"/>
  <c r="G330" i="1"/>
  <c r="H330" i="1"/>
  <c r="I330" i="1"/>
  <c r="D331" i="1"/>
  <c r="E331" i="1"/>
  <c r="F331" i="1"/>
  <c r="G331" i="1"/>
  <c r="H331" i="1"/>
  <c r="I331" i="1"/>
  <c r="D332" i="1"/>
  <c r="E332" i="1"/>
  <c r="F332" i="1"/>
  <c r="G332" i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I335" i="1"/>
  <c r="D336" i="1"/>
  <c r="E336" i="1"/>
  <c r="F336" i="1"/>
  <c r="G336" i="1"/>
  <c r="H336" i="1"/>
  <c r="I336" i="1"/>
  <c r="D337" i="1"/>
  <c r="E337" i="1"/>
  <c r="F337" i="1"/>
  <c r="G337" i="1"/>
  <c r="H337" i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I354" i="1"/>
  <c r="D355" i="1"/>
  <c r="E355" i="1"/>
  <c r="F355" i="1"/>
  <c r="G355" i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J401" i="1"/>
  <c r="D402" i="1"/>
  <c r="E402" i="1"/>
  <c r="F402" i="1"/>
  <c r="G402" i="1"/>
  <c r="H402" i="1"/>
  <c r="I402" i="1"/>
  <c r="D403" i="1"/>
  <c r="E403" i="1"/>
  <c r="F403" i="1"/>
  <c r="G403" i="1"/>
  <c r="J403" i="1" s="1"/>
  <c r="H403" i="1"/>
  <c r="I403" i="1"/>
  <c r="D404" i="1"/>
  <c r="E404" i="1"/>
  <c r="F404" i="1"/>
  <c r="G404" i="1"/>
  <c r="H404" i="1"/>
  <c r="I404" i="1"/>
  <c r="D405" i="1"/>
  <c r="E405" i="1"/>
  <c r="F405" i="1"/>
  <c r="G405" i="1"/>
  <c r="J405" i="1" s="1"/>
  <c r="H405" i="1"/>
  <c r="I405" i="1"/>
  <c r="D406" i="1"/>
  <c r="E406" i="1"/>
  <c r="F406" i="1"/>
  <c r="G406" i="1"/>
  <c r="H406" i="1"/>
  <c r="I406" i="1"/>
  <c r="D407" i="1"/>
  <c r="E407" i="1"/>
  <c r="F407" i="1"/>
  <c r="G407" i="1"/>
  <c r="J407" i="1" s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J411" i="1" s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J421" i="1" s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I424" i="1"/>
  <c r="D425" i="1"/>
  <c r="E425" i="1"/>
  <c r="F425" i="1"/>
  <c r="G425" i="1"/>
  <c r="H425" i="1"/>
  <c r="I425" i="1"/>
  <c r="D426" i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H444" i="1"/>
  <c r="I444" i="1"/>
  <c r="J444" i="1"/>
  <c r="D445" i="1"/>
  <c r="E445" i="1"/>
  <c r="F445" i="1"/>
  <c r="G445" i="1"/>
  <c r="J445" i="1" s="1"/>
  <c r="H445" i="1"/>
  <c r="I445" i="1"/>
  <c r="D446" i="1"/>
  <c r="E446" i="1"/>
  <c r="F446" i="1"/>
  <c r="G446" i="1"/>
  <c r="J446" i="1" s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J451" i="1" s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J459" i="1" s="1"/>
  <c r="H459" i="1"/>
  <c r="I459" i="1"/>
  <c r="D460" i="1"/>
  <c r="E460" i="1"/>
  <c r="F460" i="1"/>
  <c r="G460" i="1"/>
  <c r="H460" i="1"/>
  <c r="I460" i="1"/>
  <c r="D461" i="1"/>
  <c r="E461" i="1"/>
  <c r="F461" i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J489" i="1"/>
  <c r="D490" i="1"/>
  <c r="E490" i="1"/>
  <c r="F490" i="1"/>
  <c r="G490" i="1"/>
  <c r="H490" i="1"/>
  <c r="I490" i="1"/>
  <c r="D27" i="1"/>
  <c r="E27" i="1"/>
  <c r="F27" i="1"/>
  <c r="G27" i="1"/>
  <c r="H27" i="1"/>
  <c r="I27" i="1"/>
  <c r="D28" i="1"/>
  <c r="E28" i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E55" i="1"/>
  <c r="F55" i="1"/>
  <c r="G55" i="1"/>
  <c r="H55" i="1"/>
  <c r="I55" i="1"/>
  <c r="D56" i="1"/>
  <c r="E56" i="1"/>
  <c r="F56" i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E59" i="1"/>
  <c r="F59" i="1"/>
  <c r="G59" i="1"/>
  <c r="H59" i="1"/>
  <c r="I59" i="1"/>
  <c r="D60" i="1"/>
  <c r="E60" i="1"/>
  <c r="F60" i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E82" i="1"/>
  <c r="F82" i="1"/>
  <c r="G82" i="1"/>
  <c r="H82" i="1"/>
  <c r="I82" i="1"/>
  <c r="D83" i="1"/>
  <c r="E83" i="1"/>
  <c r="F83" i="1"/>
  <c r="G83" i="1"/>
  <c r="H83" i="1"/>
  <c r="I83" i="1"/>
  <c r="D84" i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8" i="1"/>
  <c r="G9" i="1"/>
  <c r="G10" i="1"/>
  <c r="G11" i="1"/>
  <c r="G12" i="1"/>
  <c r="G13" i="1"/>
  <c r="G8" i="1"/>
  <c r="F9" i="1"/>
  <c r="F10" i="1"/>
  <c r="F11" i="1"/>
  <c r="F12" i="1"/>
  <c r="F13" i="1"/>
  <c r="F8" i="1"/>
  <c r="E9" i="1"/>
  <c r="E10" i="1"/>
  <c r="E11" i="1"/>
  <c r="E12" i="1"/>
  <c r="E13" i="1"/>
  <c r="E8" i="1"/>
  <c r="D9" i="1"/>
  <c r="D10" i="1"/>
  <c r="D11" i="1"/>
  <c r="D12" i="1"/>
  <c r="D13" i="1"/>
  <c r="D8" i="1"/>
  <c r="J475" i="1" l="1"/>
  <c r="J467" i="1"/>
  <c r="J463" i="1"/>
  <c r="J461" i="1"/>
  <c r="J431" i="1"/>
  <c r="J425" i="1"/>
  <c r="J423" i="1"/>
  <c r="J385" i="1"/>
  <c r="J357" i="1"/>
  <c r="J341" i="1"/>
  <c r="J333" i="1"/>
  <c r="J329" i="1"/>
  <c r="J313" i="1"/>
  <c r="J309" i="1"/>
  <c r="J305" i="1"/>
  <c r="J301" i="1"/>
  <c r="J297" i="1"/>
  <c r="J293" i="1"/>
  <c r="J232" i="1"/>
  <c r="J224" i="1"/>
  <c r="J220" i="1"/>
  <c r="J218" i="1"/>
  <c r="J216" i="1"/>
  <c r="J192" i="1"/>
  <c r="J184" i="1"/>
  <c r="J180" i="1"/>
  <c r="J174" i="1"/>
  <c r="J156" i="1"/>
  <c r="J148" i="1"/>
  <c r="J140" i="1"/>
  <c r="J124" i="1"/>
  <c r="J118" i="1"/>
  <c r="J114" i="1"/>
  <c r="J112" i="1"/>
  <c r="J110" i="1"/>
  <c r="J502" i="1"/>
  <c r="J483" i="1"/>
  <c r="J479" i="1"/>
  <c r="J477" i="1"/>
  <c r="J455" i="1"/>
  <c r="J453" i="1"/>
  <c r="J439" i="1"/>
  <c r="J435" i="1"/>
  <c r="J433" i="1"/>
  <c r="J417" i="1"/>
  <c r="J415" i="1"/>
  <c r="J413" i="1"/>
  <c r="J393" i="1"/>
  <c r="J389" i="1"/>
  <c r="J387" i="1"/>
  <c r="J108" i="1"/>
  <c r="D5" i="1"/>
  <c r="E5" i="1" s="1"/>
  <c r="H5" i="1"/>
  <c r="J487" i="1"/>
  <c r="J485" i="1"/>
  <c r="J471" i="1"/>
  <c r="J469" i="1"/>
  <c r="J457" i="1"/>
  <c r="J448" i="1"/>
  <c r="J447" i="1"/>
  <c r="J442" i="1"/>
  <c r="J441" i="1"/>
  <c r="J427" i="1"/>
  <c r="J419" i="1"/>
  <c r="J409" i="1"/>
  <c r="J397" i="1"/>
  <c r="J395" i="1"/>
  <c r="J381" i="1"/>
  <c r="J365" i="1"/>
  <c r="J361" i="1"/>
  <c r="J359" i="1"/>
  <c r="J505" i="1"/>
  <c r="J501" i="1"/>
  <c r="J481" i="1"/>
  <c r="J473" i="1"/>
  <c r="J465" i="1"/>
  <c r="J449" i="1"/>
  <c r="J443" i="1"/>
  <c r="J437" i="1"/>
  <c r="J429" i="1"/>
  <c r="J399" i="1"/>
  <c r="J391" i="1"/>
  <c r="J383" i="1"/>
  <c r="J349" i="1"/>
  <c r="J345" i="1"/>
  <c r="J343" i="1"/>
  <c r="J105" i="1"/>
  <c r="J103" i="1"/>
  <c r="J101" i="1"/>
  <c r="J99" i="1"/>
  <c r="J97" i="1"/>
  <c r="J95" i="1"/>
  <c r="J93" i="1"/>
  <c r="J91" i="1"/>
  <c r="J82" i="1"/>
  <c r="J58" i="1"/>
  <c r="J50" i="1"/>
  <c r="J46" i="1"/>
  <c r="J42" i="1"/>
  <c r="J34" i="1"/>
  <c r="J30" i="1"/>
  <c r="J369" i="1"/>
  <c r="J367" i="1"/>
  <c r="J353" i="1"/>
  <c r="J351" i="1"/>
  <c r="J337" i="1"/>
  <c r="J335" i="1"/>
  <c r="J28" i="1"/>
  <c r="J379" i="1"/>
  <c r="J371" i="1"/>
  <c r="J363" i="1"/>
  <c r="J355" i="1"/>
  <c r="J347" i="1"/>
  <c r="J339" i="1"/>
  <c r="J331" i="1"/>
  <c r="J285" i="1"/>
  <c r="J279" i="1"/>
  <c r="J275" i="1"/>
  <c r="J271" i="1"/>
  <c r="J249" i="1"/>
  <c r="J244" i="1"/>
  <c r="J242" i="1"/>
  <c r="J236" i="1"/>
  <c r="J234" i="1"/>
  <c r="J233" i="1"/>
  <c r="J144" i="1"/>
  <c r="J142" i="1"/>
  <c r="J8" i="1"/>
  <c r="J295" i="1"/>
  <c r="J164" i="1"/>
  <c r="J160" i="1"/>
  <c r="J158" i="1"/>
  <c r="J132" i="1"/>
  <c r="J128" i="1"/>
  <c r="J126" i="1"/>
  <c r="J490" i="1"/>
  <c r="J486" i="1"/>
  <c r="J482" i="1"/>
  <c r="J478" i="1"/>
  <c r="J474" i="1"/>
  <c r="J470" i="1"/>
  <c r="J466" i="1"/>
  <c r="J462" i="1"/>
  <c r="J458" i="1"/>
  <c r="J454" i="1"/>
  <c r="J450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5" i="1"/>
  <c r="J325" i="1"/>
  <c r="J321" i="1"/>
  <c r="J317" i="1"/>
  <c r="J289" i="1"/>
  <c r="J287" i="1"/>
  <c r="J202" i="1"/>
  <c r="J198" i="1"/>
  <c r="J107" i="1"/>
  <c r="J488" i="1"/>
  <c r="J484" i="1"/>
  <c r="J480" i="1"/>
  <c r="J476" i="1"/>
  <c r="J472" i="1"/>
  <c r="J468" i="1"/>
  <c r="J464" i="1"/>
  <c r="J460" i="1"/>
  <c r="J456" i="1"/>
  <c r="J452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263" i="1"/>
  <c r="J259" i="1"/>
  <c r="J253" i="1"/>
  <c r="J228" i="1"/>
  <c r="J226" i="1"/>
  <c r="J225" i="1"/>
  <c r="J168" i="1"/>
  <c r="J166" i="1"/>
  <c r="J152" i="1"/>
  <c r="J150" i="1"/>
  <c r="J136" i="1"/>
  <c r="J134" i="1"/>
  <c r="J122" i="1"/>
  <c r="J120" i="1"/>
  <c r="I5" i="1"/>
  <c r="J373" i="1"/>
  <c r="J327" i="1"/>
  <c r="J319" i="1"/>
  <c r="J311" i="1"/>
  <c r="J303" i="1"/>
  <c r="J294" i="1"/>
  <c r="J286" i="1"/>
  <c r="J273" i="1"/>
  <c r="J257" i="1"/>
  <c r="J246" i="1"/>
  <c r="J212" i="1"/>
  <c r="J206" i="1"/>
  <c r="J204" i="1"/>
  <c r="J188" i="1"/>
  <c r="J377" i="1"/>
  <c r="J323" i="1"/>
  <c r="J315" i="1"/>
  <c r="J307" i="1"/>
  <c r="J306" i="1"/>
  <c r="J299" i="1"/>
  <c r="J298" i="1"/>
  <c r="J291" i="1"/>
  <c r="J290" i="1"/>
  <c r="J283" i="1"/>
  <c r="J281" i="1"/>
  <c r="J267" i="1"/>
  <c r="J265" i="1"/>
  <c r="J251" i="1"/>
  <c r="J238" i="1"/>
  <c r="J230" i="1"/>
  <c r="J229" i="1"/>
  <c r="J222" i="1"/>
  <c r="J221" i="1"/>
  <c r="J162" i="1"/>
  <c r="J154" i="1"/>
  <c r="J146" i="1"/>
  <c r="J138" i="1"/>
  <c r="J130" i="1"/>
  <c r="J116" i="1"/>
  <c r="J78" i="1"/>
  <c r="J74" i="1"/>
  <c r="J66" i="1"/>
  <c r="J62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77" i="1"/>
  <c r="J269" i="1"/>
  <c r="J261" i="1"/>
  <c r="J252" i="1"/>
  <c r="J247" i="1"/>
  <c r="J243" i="1"/>
  <c r="J237" i="1"/>
  <c r="J214" i="1"/>
  <c r="J194" i="1"/>
  <c r="J186" i="1"/>
  <c r="J178" i="1"/>
  <c r="J176" i="1"/>
  <c r="J175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2" i="1"/>
  <c r="J255" i="1"/>
  <c r="J250" i="1"/>
  <c r="J245" i="1"/>
  <c r="J239" i="1"/>
  <c r="J235" i="1"/>
  <c r="J231" i="1"/>
  <c r="J227" i="1"/>
  <c r="J223" i="1"/>
  <c r="J219" i="1"/>
  <c r="J210" i="1"/>
  <c r="J208" i="1"/>
  <c r="J200" i="1"/>
  <c r="J190" i="1"/>
  <c r="J182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76" i="1"/>
  <c r="J44" i="1"/>
  <c r="J241" i="1"/>
  <c r="J240" i="1"/>
  <c r="J89" i="1"/>
  <c r="J87" i="1"/>
  <c r="J85" i="1"/>
  <c r="J70" i="1"/>
  <c r="J54" i="1"/>
  <c r="J38" i="1"/>
  <c r="J36" i="1"/>
  <c r="J196" i="1"/>
  <c r="J172" i="1"/>
  <c r="J171" i="1"/>
  <c r="J80" i="1"/>
  <c r="J72" i="1"/>
  <c r="J64" i="1"/>
  <c r="J56" i="1"/>
  <c r="J48" i="1"/>
  <c r="J47" i="1"/>
  <c r="J40" i="1"/>
  <c r="J39" i="1"/>
  <c r="J32" i="1"/>
  <c r="J31" i="1"/>
  <c r="J284" i="1"/>
  <c r="J280" i="1"/>
  <c r="J276" i="1"/>
  <c r="J272" i="1"/>
  <c r="J268" i="1"/>
  <c r="J264" i="1"/>
  <c r="J260" i="1"/>
  <c r="J256" i="1"/>
  <c r="J248" i="1"/>
  <c r="J215" i="1"/>
  <c r="J211" i="1"/>
  <c r="J207" i="1"/>
  <c r="J203" i="1"/>
  <c r="J199" i="1"/>
  <c r="J195" i="1"/>
  <c r="J191" i="1"/>
  <c r="J187" i="1"/>
  <c r="J183" i="1"/>
  <c r="J179" i="1"/>
  <c r="J170" i="1"/>
  <c r="G5" i="1"/>
  <c r="J68" i="1"/>
  <c r="J60" i="1"/>
  <c r="J52" i="1"/>
  <c r="J43" i="1"/>
  <c r="J35" i="1"/>
  <c r="J27" i="1"/>
  <c r="J282" i="1"/>
  <c r="J278" i="1"/>
  <c r="J274" i="1"/>
  <c r="J270" i="1"/>
  <c r="J266" i="1"/>
  <c r="J262" i="1"/>
  <c r="J258" i="1"/>
  <c r="J254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4" i="1"/>
  <c r="J83" i="1"/>
  <c r="J79" i="1"/>
  <c r="J75" i="1"/>
  <c r="J71" i="1"/>
  <c r="J67" i="1"/>
  <c r="J63" i="1"/>
  <c r="J59" i="1"/>
  <c r="J55" i="1"/>
  <c r="J51" i="1"/>
  <c r="J106" i="1"/>
  <c r="J104" i="1"/>
  <c r="J102" i="1"/>
  <c r="J100" i="1"/>
  <c r="J98" i="1"/>
  <c r="J96" i="1"/>
  <c r="J94" i="1"/>
  <c r="J92" i="1"/>
  <c r="J90" i="1"/>
  <c r="J88" i="1"/>
  <c r="J86" i="1"/>
  <c r="J84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13" i="1"/>
  <c r="J12" i="1"/>
  <c r="J11" i="1"/>
  <c r="J10" i="1"/>
  <c r="J9" i="1"/>
  <c r="J26" i="1"/>
  <c r="J25" i="1"/>
  <c r="J24" i="1"/>
  <c r="J23" i="1"/>
  <c r="J22" i="1"/>
  <c r="J21" i="1"/>
  <c r="J20" i="1"/>
  <c r="J19" i="1"/>
  <c r="J18" i="1"/>
  <c r="J17" i="1"/>
  <c r="J16" i="1"/>
  <c r="J15" i="1"/>
  <c r="F5" i="1" l="1"/>
  <c r="W20" i="1" s="1"/>
  <c r="W21" i="1" s="1"/>
  <c r="J5" i="1"/>
  <c r="M5" i="1" s="1"/>
  <c r="L5" i="1"/>
  <c r="K5" i="1"/>
  <c r="O5" i="1" l="1"/>
  <c r="N5" i="1"/>
  <c r="S5" i="1"/>
  <c r="P5" i="1"/>
  <c r="V15" i="1"/>
  <c r="V16" i="1" s="1"/>
  <c r="O9" i="1" l="1"/>
  <c r="Q5" i="1"/>
  <c r="T5" i="1" s="1"/>
  <c r="N9" i="1"/>
  <c r="P9" i="1"/>
  <c r="S9" i="1" s="1"/>
  <c r="R5" i="1"/>
  <c r="U9" i="1" l="1"/>
  <c r="Q9" i="1"/>
  <c r="W9" i="1" s="1"/>
  <c r="T9" i="1"/>
  <c r="R9" i="1"/>
  <c r="V9" i="1" l="1"/>
  <c r="W31" i="1" s="1"/>
  <c r="V31" i="1"/>
  <c r="W26" i="1"/>
  <c r="V26" i="1"/>
  <c r="W30" i="1"/>
  <c r="V30" i="1"/>
  <c r="W25" i="1"/>
  <c r="V25" i="1"/>
  <c r="AD8" i="1"/>
  <c r="AC9" i="1" s="1"/>
  <c r="AC8" i="1"/>
  <c r="AD9" i="1" s="1"/>
  <c r="AA8" i="1"/>
  <c r="Z9" i="1" s="1"/>
  <c r="Z8" i="1"/>
  <c r="AA9" i="1" s="1"/>
</calcChain>
</file>

<file path=xl/sharedStrings.xml><?xml version="1.0" encoding="utf-8"?>
<sst xmlns="http://schemas.openxmlformats.org/spreadsheetml/2006/main" count="51" uniqueCount="45">
  <si>
    <t>Section Properties by Shape Vertex Coordinates</t>
  </si>
  <si>
    <t>Note: Last Coordinate must equal the start coordinate</t>
  </si>
  <si>
    <t>Shape Definition:</t>
  </si>
  <si>
    <t>x</t>
  </si>
  <si>
    <t>Vertex</t>
  </si>
  <si>
    <t>y</t>
  </si>
  <si>
    <t>A</t>
  </si>
  <si>
    <t>rx</t>
  </si>
  <si>
    <t>ry</t>
  </si>
  <si>
    <t>rz</t>
  </si>
  <si>
    <t>Properties about global x,y axis</t>
  </si>
  <si>
    <t>Properties about shape centroid</t>
  </si>
  <si>
    <t>rxx</t>
  </si>
  <si>
    <t>ryy</t>
  </si>
  <si>
    <t>rzz</t>
  </si>
  <si>
    <t>Principle Axis</t>
  </si>
  <si>
    <t>2Θ</t>
  </si>
  <si>
    <t>x (in)</t>
  </si>
  <si>
    <t>y (in)</t>
  </si>
  <si>
    <t>A (in2)</t>
  </si>
  <si>
    <t>Cx (in)</t>
  </si>
  <si>
    <t>Cy (in)</t>
  </si>
  <si>
    <t>Ix (in4)</t>
  </si>
  <si>
    <t>Iy (in4)</t>
  </si>
  <si>
    <t>Ixy (in4)</t>
  </si>
  <si>
    <t>Jz (in4)</t>
  </si>
  <si>
    <t>B</t>
  </si>
  <si>
    <t>I1</t>
  </si>
  <si>
    <t>I2</t>
  </si>
  <si>
    <t>Ixx (in4)</t>
  </si>
  <si>
    <t>Iyy (in4)</t>
  </si>
  <si>
    <t>Ixxyy (in4)</t>
  </si>
  <si>
    <t>Jzz (in4)</t>
  </si>
  <si>
    <t>Θv (degrees)</t>
  </si>
  <si>
    <t>Θu (degrees)</t>
  </si>
  <si>
    <t>Global Tolerance:</t>
  </si>
  <si>
    <t>Centroid Axis - y</t>
  </si>
  <si>
    <t>Centroid Axis - x</t>
  </si>
  <si>
    <t>Principal Axis - u</t>
  </si>
  <si>
    <t>u transform matrix</t>
  </si>
  <si>
    <t>v transform matrix</t>
  </si>
  <si>
    <t>Principal Axis - v</t>
  </si>
  <si>
    <t>Iuu (in4)</t>
  </si>
  <si>
    <t>Ivv (in4)</t>
  </si>
  <si>
    <t>Iuuvv (in4)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</si>
</sst>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1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2" borderId="0" xfId="0" applyNumberFormat="1" applyFill="1" applyAlignment="1">
      <alignment horizontal="center"/>
    </xf>
    <xf numFmtId="0" fontId="2" fillId="0" borderId="0" xfId="0" applyFont="1" applyAlignment="1">
      <alignment horizontal="left"/>
    </xf>
    <xf numFmtId="166" fontId="0" fillId="0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5" fontId="1" fillId="4" borderId="4" xfId="0" applyNumberFormat="1" applyFont="1" applyFill="1" applyBorder="1" applyAlignment="1">
      <alignment horizontal="center"/>
    </xf>
    <xf numFmtId="165" fontId="1" fillId="4" borderId="0" xfId="0" applyNumberFormat="1" applyFont="1" applyFill="1" applyBorder="1" applyAlignment="1">
      <alignment horizontal="center"/>
    </xf>
    <xf numFmtId="165" fontId="1" fillId="4" borderId="5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5" fontId="1" fillId="5" borderId="4" xfId="0" applyNumberFormat="1" applyFont="1" applyFill="1" applyBorder="1" applyAlignment="1">
      <alignment horizontal="center"/>
    </xf>
    <xf numFmtId="165" fontId="1" fillId="5" borderId="0" xfId="0" applyNumberFormat="1" applyFont="1" applyFill="1" applyBorder="1" applyAlignment="1">
      <alignment horizontal="center"/>
    </xf>
    <xf numFmtId="165" fontId="1" fillId="5" borderId="5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5" fontId="1" fillId="6" borderId="6" xfId="0" applyNumberFormat="1" applyFont="1" applyFill="1" applyBorder="1" applyAlignment="1">
      <alignment horizontal="center"/>
    </xf>
    <xf numFmtId="165" fontId="1" fillId="6" borderId="7" xfId="0" applyNumberFormat="1" applyFont="1" applyFill="1" applyBorder="1" applyAlignment="1">
      <alignment horizontal="center"/>
    </xf>
    <xf numFmtId="165" fontId="1" fillId="6" borderId="8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Sheet1!$E$5</c:f>
              <c:numCache>
                <c:formatCode>0.0000</c:formatCode>
                <c:ptCount val="1"/>
                <c:pt idx="0">
                  <c:v>0.86984306116699517</c:v>
                </c:pt>
              </c:numCache>
            </c:numRef>
          </c:xVal>
          <c:yVal>
            <c:numRef>
              <c:f>Sheet1!$F$5</c:f>
              <c:numCache>
                <c:formatCode>0.0000</c:formatCode>
                <c:ptCount val="1"/>
                <c:pt idx="0">
                  <c:v>1.8480682083975579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A-8848-A898-BF96BFD9A017}"/>
            </c:ext>
          </c:extLst>
        </c:ser>
        <c:ser>
          <c:idx val="2"/>
          <c:order val="1"/>
          <c:tx>
            <c:strRef>
              <c:f>Sheet1!$V$13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2700" cap="rnd">
              <a:solidFill>
                <a:srgbClr val="FFC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Sheet1!$V$15:$V$16</c:f>
              <c:numCache>
                <c:formatCode>0.0000</c:formatCode>
                <c:ptCount val="2"/>
                <c:pt idx="0">
                  <c:v>0.86984306116699517</c:v>
                </c:pt>
                <c:pt idx="1">
                  <c:v>0.86984306116699517</c:v>
                </c:pt>
              </c:numCache>
            </c:numRef>
          </c:xVal>
          <c:yVal>
            <c:numRef>
              <c:f>Sheet1!$W$15:$W$16</c:f>
              <c:numCache>
                <c:formatCode>0.000</c:formatCode>
                <c:ptCount val="2"/>
                <c:pt idx="0">
                  <c:v>-1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FA-8848-A898-BF96BFD9A017}"/>
            </c:ext>
          </c:extLst>
        </c:ser>
        <c:ser>
          <c:idx val="3"/>
          <c:order val="2"/>
          <c:tx>
            <c:strRef>
              <c:f>Sheet1!$V$18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Sheet1!$V$20:$V$21</c:f>
              <c:numCache>
                <c:formatCode>0.000</c:formatCode>
                <c:ptCount val="2"/>
                <c:pt idx="0">
                  <c:v>-1</c:v>
                </c:pt>
                <c:pt idx="1">
                  <c:v>5</c:v>
                </c:pt>
              </c:numCache>
            </c:numRef>
          </c:xVal>
          <c:yVal>
            <c:numRef>
              <c:f>Sheet1!$W$20:$W$21</c:f>
              <c:numCache>
                <c:formatCode>0.0000</c:formatCode>
                <c:ptCount val="2"/>
                <c:pt idx="0">
                  <c:v>1.8480682083975579</c:v>
                </c:pt>
                <c:pt idx="1">
                  <c:v>1.8480682083975579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FA-8848-A898-BF96BFD9A017}"/>
            </c:ext>
          </c:extLst>
        </c:ser>
        <c:ser>
          <c:idx val="4"/>
          <c:order val="3"/>
          <c:tx>
            <c:strRef>
              <c:f>Sheet1!$V$23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Sheet1!$V$25:$V$26</c:f>
              <c:numCache>
                <c:formatCode>0.000</c:formatCode>
                <c:ptCount val="2"/>
                <c:pt idx="0">
                  <c:v>-0.84398970550024788</c:v>
                </c:pt>
                <c:pt idx="1">
                  <c:v>4.6554004912287201</c:v>
                </c:pt>
              </c:numCache>
            </c:numRef>
          </c:xVal>
          <c:yVal>
            <c:numRef>
              <c:f>Sheet1!$W$25:$W$26</c:f>
              <c:numCache>
                <c:formatCode>General</c:formatCode>
                <c:ptCount val="2"/>
                <c:pt idx="0">
                  <c:v>1.1003447827299766</c:v>
                </c:pt>
                <c:pt idx="1">
                  <c:v>3.4996587397021193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FA-8848-A898-BF96BFD9A017}"/>
            </c:ext>
          </c:extLst>
        </c:ser>
        <c:ser>
          <c:idx val="5"/>
          <c:order val="4"/>
          <c:tx>
            <c:strRef>
              <c:f>Sheet1!$V$28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2700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Sheet1!$V$30:$V$31</c:f>
              <c:numCache>
                <c:formatCode>General</c:formatCode>
                <c:ptCount val="2"/>
                <c:pt idx="0">
                  <c:v>2.0087446949698124</c:v>
                </c:pt>
                <c:pt idx="1">
                  <c:v>-1.1903405809930436</c:v>
                </c:pt>
              </c:numCache>
            </c:numRef>
          </c:xVal>
          <c:yVal>
            <c:numRef>
              <c:f>Sheet1!$W$30:$W$31</c:f>
              <c:numCache>
                <c:formatCode>0.000</c:formatCode>
                <c:ptCount val="2"/>
                <c:pt idx="0">
                  <c:v>-0.76237152241526962</c:v>
                </c:pt>
                <c:pt idx="1">
                  <c:v>6.5701487398900209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FA-8848-A898-BF96BFD9A01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Sheet1!$B$7:$B$506</c:f>
              <c:numCache>
                <c:formatCode>0.0000</c:formatCode>
                <c:ptCount val="500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3.9999619237899999</c:v>
                </c:pt>
                <c:pt idx="4">
                  <c:v>3.9998477067499998</c:v>
                </c:pt>
                <c:pt idx="5">
                  <c:v>3.9996573836899998</c:v>
                </c:pt>
                <c:pt idx="6">
                  <c:v>3.9993910125599998</c:v>
                </c:pt>
                <c:pt idx="7">
                  <c:v>3.99904867452</c:v>
                </c:pt>
                <c:pt idx="8">
                  <c:v>3.99863047384</c:v>
                </c:pt>
                <c:pt idx="9">
                  <c:v>3.9981365379099998</c:v>
                </c:pt>
                <c:pt idx="10">
                  <c:v>3.9975670171900002</c:v>
                </c:pt>
                <c:pt idx="11">
                  <c:v>3.99692208515</c:v>
                </c:pt>
                <c:pt idx="12">
                  <c:v>3.99620193825</c:v>
                </c:pt>
                <c:pt idx="13">
                  <c:v>3.9954067958600001</c:v>
                </c:pt>
                <c:pt idx="14">
                  <c:v>3.99453690018</c:v>
                </c:pt>
                <c:pt idx="15">
                  <c:v>3.9935925162000001</c:v>
                </c:pt>
                <c:pt idx="16">
                  <c:v>3.99257393157</c:v>
                </c:pt>
                <c:pt idx="17">
                  <c:v>3.9914814565699999</c:v>
                </c:pt>
                <c:pt idx="18">
                  <c:v>3.9903154239799998</c:v>
                </c:pt>
                <c:pt idx="19">
                  <c:v>3.9890761889899999</c:v>
                </c:pt>
                <c:pt idx="20">
                  <c:v>3.9877641290699999</c:v>
                </c:pt>
                <c:pt idx="21">
                  <c:v>3.9863796438999999</c:v>
                </c:pt>
                <c:pt idx="22">
                  <c:v>3.9849231552000002</c:v>
                </c:pt>
                <c:pt idx="23">
                  <c:v>3.9833951066200002</c:v>
                </c:pt>
                <c:pt idx="24">
                  <c:v>3.9817959636400002</c:v>
                </c:pt>
                <c:pt idx="25">
                  <c:v>3.9801262133600002</c:v>
                </c:pt>
                <c:pt idx="26">
                  <c:v>3.9783863644099999</c:v>
                </c:pt>
                <c:pt idx="27">
                  <c:v>3.9765769467599998</c:v>
                </c:pt>
                <c:pt idx="28">
                  <c:v>3.9746985115700002</c:v>
                </c:pt>
                <c:pt idx="29">
                  <c:v>3.97275163105</c:v>
                </c:pt>
                <c:pt idx="30">
                  <c:v>3.9707368982100002</c:v>
                </c:pt>
                <c:pt idx="31">
                  <c:v>3.9686549267800002</c:v>
                </c:pt>
                <c:pt idx="32">
                  <c:v>3.96650635095</c:v>
                </c:pt>
                <c:pt idx="33">
                  <c:v>3.9642918251800001</c:v>
                </c:pt>
                <c:pt idx="34">
                  <c:v>3.9620120240399999</c:v>
                </c:pt>
                <c:pt idx="35">
                  <c:v>3.9596676419899999</c:v>
                </c:pt>
                <c:pt idx="36">
                  <c:v>3.9572593931400002</c:v>
                </c:pt>
                <c:pt idx="37">
                  <c:v>3.9547880110700002</c:v>
                </c:pt>
                <c:pt idx="38">
                  <c:v>3.9522542485900001</c:v>
                </c:pt>
                <c:pt idx="39">
                  <c:v>3.9496588775100001</c:v>
                </c:pt>
                <c:pt idx="40">
                  <c:v>3.9470026884</c:v>
                </c:pt>
                <c:pt idx="41">
                  <c:v>3.9442864903600001</c:v>
                </c:pt>
                <c:pt idx="42">
                  <c:v>3.94151111078</c:v>
                </c:pt>
                <c:pt idx="43">
                  <c:v>3.93867739506</c:v>
                </c:pt>
                <c:pt idx="44">
                  <c:v>3.93578620637</c:v>
                </c:pt>
                <c:pt idx="45">
                  <c:v>3.9328384253999999</c:v>
                </c:pt>
                <c:pt idx="46">
                  <c:v>3.9298349500800001</c:v>
                </c:pt>
                <c:pt idx="47">
                  <c:v>3.9267766953000001</c:v>
                </c:pt>
                <c:pt idx="48">
                  <c:v>3.9236645926099998</c:v>
                </c:pt>
                <c:pt idx="49">
                  <c:v>3.9204995900199999</c:v>
                </c:pt>
                <c:pt idx="50">
                  <c:v>3.9172826515899999</c:v>
                </c:pt>
                <c:pt idx="51">
                  <c:v>3.9140147572499999</c:v>
                </c:pt>
                <c:pt idx="52">
                  <c:v>3.9106969024199998</c:v>
                </c:pt>
                <c:pt idx="53">
                  <c:v>3.9073300977600001</c:v>
                </c:pt>
                <c:pt idx="54">
                  <c:v>3.9039153688299999</c:v>
                </c:pt>
                <c:pt idx="55">
                  <c:v>3.9004537557900001</c:v>
                </c:pt>
                <c:pt idx="56">
                  <c:v>3.8969463130699999</c:v>
                </c:pt>
                <c:pt idx="57">
                  <c:v>3.8933941090899999</c:v>
                </c:pt>
                <c:pt idx="58">
                  <c:v>3.8897982258699999</c:v>
                </c:pt>
                <c:pt idx="59">
                  <c:v>3.8861597587499999</c:v>
                </c:pt>
                <c:pt idx="60">
                  <c:v>3.88247981606</c:v>
                </c:pt>
                <c:pt idx="61">
                  <c:v>3.8787595187299999</c:v>
                </c:pt>
                <c:pt idx="62">
                  <c:v>3.875</c:v>
                </c:pt>
                <c:pt idx="63">
                  <c:v>3.87120240506</c:v>
                </c:pt>
                <c:pt idx="64">
                  <c:v>3.8673678907000002</c:v>
                </c:pt>
                <c:pt idx="65">
                  <c:v>3.8634976249299999</c:v>
                </c:pt>
                <c:pt idx="66">
                  <c:v>3.8595927866999999</c:v>
                </c:pt>
                <c:pt idx="67">
                  <c:v>3.8556545654400001</c:v>
                </c:pt>
                <c:pt idx="68">
                  <c:v>3.8516841607700001</c:v>
                </c:pt>
                <c:pt idx="69">
                  <c:v>3.8476827821200001</c:v>
                </c:pt>
                <c:pt idx="70">
                  <c:v>3.8436516483499998</c:v>
                </c:pt>
                <c:pt idx="71">
                  <c:v>3.83959198739</c:v>
                </c:pt>
                <c:pt idx="72">
                  <c:v>3.8355050358299998</c:v>
                </c:pt>
                <c:pt idx="73">
                  <c:v>3.8313920386100002</c:v>
                </c:pt>
                <c:pt idx="74">
                  <c:v>3.8272542485900001</c:v>
                </c:pt>
                <c:pt idx="75">
                  <c:v>3.8230929261800002</c:v>
                </c:pt>
                <c:pt idx="76">
                  <c:v>3.8189093389500002</c:v>
                </c:pt>
                <c:pt idx="77">
                  <c:v>3.8147047612799998</c:v>
                </c:pt>
                <c:pt idx="78">
                  <c:v>3.8104804739000002</c:v>
                </c:pt>
                <c:pt idx="79">
                  <c:v>3.80623776359</c:v>
                </c:pt>
                <c:pt idx="80">
                  <c:v>3.8019779226999999</c:v>
                </c:pt>
                <c:pt idx="81">
                  <c:v>3.7977022488399999</c:v>
                </c:pt>
                <c:pt idx="82">
                  <c:v>3.7934120444200001</c:v>
                </c:pt>
                <c:pt idx="83">
                  <c:v>3.7891086162600001</c:v>
                </c:pt>
                <c:pt idx="84">
                  <c:v>3.7847932752400002</c:v>
                </c:pt>
                <c:pt idx="85">
                  <c:v>3.7804673358500001</c:v>
                </c:pt>
                <c:pt idx="86">
                  <c:v>3.7761321158199999</c:v>
                </c:pt>
                <c:pt idx="87">
                  <c:v>3.7717889356900001</c:v>
                </c:pt>
                <c:pt idx="88">
                  <c:v>3.76743911844</c:v>
                </c:pt>
                <c:pt idx="89">
                  <c:v>3.7630839890600001</c:v>
                </c:pt>
                <c:pt idx="90">
                  <c:v>3.7587248741799999</c:v>
                </c:pt>
                <c:pt idx="91">
                  <c:v>3.7543631016100001</c:v>
                </c:pt>
                <c:pt idx="92">
                  <c:v>3.75</c:v>
                </c:pt>
                <c:pt idx="93">
                  <c:v>0.75</c:v>
                </c:pt>
                <c:pt idx="94">
                  <c:v>0.74127379678100003</c:v>
                </c:pt>
                <c:pt idx="95">
                  <c:v>0.73255025164900001</c:v>
                </c:pt>
                <c:pt idx="96">
                  <c:v>0.72383202187899998</c:v>
                </c:pt>
                <c:pt idx="97">
                  <c:v>0.71512176312800002</c:v>
                </c:pt>
                <c:pt idx="98">
                  <c:v>0.70642212862599996</c:v>
                </c:pt>
                <c:pt idx="99">
                  <c:v>0.69773576836600004</c:v>
                </c:pt>
                <c:pt idx="100">
                  <c:v>0.68906532829699996</c:v>
                </c:pt>
                <c:pt idx="101">
                  <c:v>0.68041344952000005</c:v>
                </c:pt>
                <c:pt idx="102">
                  <c:v>0.67178276747999999</c:v>
                </c:pt>
                <c:pt idx="103">
                  <c:v>0.66317591116700003</c:v>
                </c:pt>
                <c:pt idx="104">
                  <c:v>0.65459550231200003</c:v>
                </c:pt>
                <c:pt idx="105">
                  <c:v>0.64604415459099995</c:v>
                </c:pt>
                <c:pt idx="106">
                  <c:v>0.63752447282799996</c:v>
                </c:pt>
                <c:pt idx="107">
                  <c:v>0.6290390522</c:v>
                </c:pt>
                <c:pt idx="108">
                  <c:v>0.62059047744899998</c:v>
                </c:pt>
                <c:pt idx="109">
                  <c:v>0.61218132209200005</c:v>
                </c:pt>
                <c:pt idx="110">
                  <c:v>0.60381414763899999</c:v>
                </c:pt>
                <c:pt idx="111">
                  <c:v>0.59549150281300001</c:v>
                </c:pt>
                <c:pt idx="112">
                  <c:v>0.58721592277099999</c:v>
                </c:pt>
                <c:pt idx="113">
                  <c:v>0.57898992833700003</c:v>
                </c:pt>
                <c:pt idx="114">
                  <c:v>0.57081602522700003</c:v>
                </c:pt>
                <c:pt idx="115">
                  <c:v>0.56269670329199994</c:v>
                </c:pt>
                <c:pt idx="116">
                  <c:v>0.55463443575500004</c:v>
                </c:pt>
                <c:pt idx="117">
                  <c:v>0.546631678462</c:v>
                </c:pt>
                <c:pt idx="118">
                  <c:v>0.53869086912999997</c:v>
                </c:pt>
                <c:pt idx="119">
                  <c:v>0.530814426605</c:v>
                </c:pt>
                <c:pt idx="120">
                  <c:v>0.52300475013000003</c:v>
                </c:pt>
                <c:pt idx="121">
                  <c:v>0.515264218607</c:v>
                </c:pt>
                <c:pt idx="122">
                  <c:v>0.50759518987700003</c:v>
                </c:pt>
                <c:pt idx="123">
                  <c:v>0.5</c:v>
                </c:pt>
                <c:pt idx="124">
                  <c:v>0.49248096254500001</c:v>
                </c:pt>
                <c:pt idx="125">
                  <c:v>0.48504036788299998</c:v>
                </c:pt>
                <c:pt idx="126">
                  <c:v>0.47768048249200001</c:v>
                </c:pt>
                <c:pt idx="127">
                  <c:v>0.47040354826500003</c:v>
                </c:pt>
                <c:pt idx="128">
                  <c:v>0.46321178182400002</c:v>
                </c:pt>
                <c:pt idx="129">
                  <c:v>0.45610737385400002</c:v>
                </c:pt>
                <c:pt idx="130">
                  <c:v>0.44909248842400001</c:v>
                </c:pt>
                <c:pt idx="131">
                  <c:v>0.44216926233699999</c:v>
                </c:pt>
                <c:pt idx="132">
                  <c:v>0.43533980447499998</c:v>
                </c:pt>
                <c:pt idx="133">
                  <c:v>0.42860619515699999</c:v>
                </c:pt>
                <c:pt idx="134">
                  <c:v>0.42197048550499999</c:v>
                </c:pt>
                <c:pt idx="135">
                  <c:v>0.41543469682099998</c:v>
                </c:pt>
                <c:pt idx="136">
                  <c:v>0.40900081996900001</c:v>
                </c:pt>
                <c:pt idx="137">
                  <c:v>0.40267081477099997</c:v>
                </c:pt>
                <c:pt idx="138">
                  <c:v>0.39644660940699999</c:v>
                </c:pt>
                <c:pt idx="139">
                  <c:v>0.39033009983099998</c:v>
                </c:pt>
                <c:pt idx="140">
                  <c:v>0.38432314918999999</c:v>
                </c:pt>
                <c:pt idx="141">
                  <c:v>0.37842758726100001</c:v>
                </c:pt>
                <c:pt idx="142">
                  <c:v>0.37264520988900002</c:v>
                </c:pt>
                <c:pt idx="143">
                  <c:v>0.36697777844099999</c:v>
                </c:pt>
                <c:pt idx="144">
                  <c:v>0.36142701927199999</c:v>
                </c:pt>
                <c:pt idx="145">
                  <c:v>0.35599462319699998</c:v>
                </c:pt>
                <c:pt idx="146">
                  <c:v>0.35068224497599998</c:v>
                </c:pt>
                <c:pt idx="147">
                  <c:v>0.34549150281300001</c:v>
                </c:pt>
                <c:pt idx="148">
                  <c:v>0.34042397785599998</c:v>
                </c:pt>
                <c:pt idx="149">
                  <c:v>0.33548121372200002</c:v>
                </c:pt>
                <c:pt idx="150">
                  <c:v>0.33066471602699998</c:v>
                </c:pt>
                <c:pt idx="151">
                  <c:v>0.32597595192200002</c:v>
                </c:pt>
                <c:pt idx="152">
                  <c:v>0.32141634964900001</c:v>
                </c:pt>
                <c:pt idx="153">
                  <c:v>0.31698729810800003</c:v>
                </c:pt>
                <c:pt idx="154">
                  <c:v>0.31269014642999998</c:v>
                </c:pt>
                <c:pt idx="155">
                  <c:v>0.30852620357100002</c:v>
                </c:pt>
                <c:pt idx="156">
                  <c:v>0.30449673790600001</c:v>
                </c:pt>
                <c:pt idx="157">
                  <c:v>0.30060297684999998</c:v>
                </c:pt>
                <c:pt idx="158">
                  <c:v>0.29684610648199999</c:v>
                </c:pt>
                <c:pt idx="159">
                  <c:v>0.29322727117899999</c:v>
                </c:pt>
                <c:pt idx="160">
                  <c:v>0.28974757327400003</c:v>
                </c:pt>
                <c:pt idx="161">
                  <c:v>0.28640807271699997</c:v>
                </c:pt>
                <c:pt idx="162">
                  <c:v>0.283209786751</c:v>
                </c:pt>
                <c:pt idx="163">
                  <c:v>0.28015368960699999</c:v>
                </c:pt>
                <c:pt idx="164">
                  <c:v>0.27724071220000002</c:v>
                </c:pt>
                <c:pt idx="165">
                  <c:v>0.27447174185200002</c:v>
                </c:pt>
                <c:pt idx="166">
                  <c:v>0.271847622018</c:v>
                </c:pt>
                <c:pt idx="167">
                  <c:v>0.26936915203099998</c:v>
                </c:pt>
                <c:pt idx="168">
                  <c:v>0.26703708685499999</c:v>
                </c:pt>
                <c:pt idx="169">
                  <c:v>0.26485213686199999</c:v>
                </c:pt>
                <c:pt idx="170">
                  <c:v>0.26281496760700002</c:v>
                </c:pt>
                <c:pt idx="171">
                  <c:v>0.26092619963300001</c:v>
                </c:pt>
                <c:pt idx="172">
                  <c:v>0.25918640827599998</c:v>
                </c:pt>
                <c:pt idx="173">
                  <c:v>0.25759612349400002</c:v>
                </c:pt>
                <c:pt idx="174">
                  <c:v>0.25615582970200002</c:v>
                </c:pt>
                <c:pt idx="175">
                  <c:v>0.25486596562899999</c:v>
                </c:pt>
                <c:pt idx="176">
                  <c:v>0.253726924179</c:v>
                </c:pt>
                <c:pt idx="177">
                  <c:v>0.25273905231600002</c:v>
                </c:pt>
                <c:pt idx="178">
                  <c:v>0.251902650954</c:v>
                </c:pt>
                <c:pt idx="179">
                  <c:v>0.25121797487000003</c:v>
                </c:pt>
                <c:pt idx="180">
                  <c:v>0.25068523262300002</c:v>
                </c:pt>
                <c:pt idx="181">
                  <c:v>0.25030458648999998</c:v>
                </c:pt>
                <c:pt idx="182">
                  <c:v>0.25007615242199999</c:v>
                </c:pt>
                <c:pt idx="183">
                  <c:v>0.25</c:v>
                </c:pt>
                <c:pt idx="184">
                  <c:v>0.25</c:v>
                </c:pt>
                <c:pt idx="185">
                  <c:v>0.24996192378900001</c:v>
                </c:pt>
                <c:pt idx="186">
                  <c:v>0.24984770675500001</c:v>
                </c:pt>
                <c:pt idx="187">
                  <c:v>0.24965738368900001</c:v>
                </c:pt>
                <c:pt idx="188">
                  <c:v>0.24939101256499999</c:v>
                </c:pt>
                <c:pt idx="189">
                  <c:v>0.249048674523</c:v>
                </c:pt>
                <c:pt idx="190">
                  <c:v>0.24863047384199999</c:v>
                </c:pt>
                <c:pt idx="191">
                  <c:v>0.24813653791000001</c:v>
                </c:pt>
                <c:pt idx="192">
                  <c:v>0.24756701718499999</c:v>
                </c:pt>
                <c:pt idx="193">
                  <c:v>0.24692208514899999</c:v>
                </c:pt>
                <c:pt idx="194">
                  <c:v>0.24620193825299999</c:v>
                </c:pt>
                <c:pt idx="195">
                  <c:v>0.24540679586200001</c:v>
                </c:pt>
                <c:pt idx="196">
                  <c:v>0.24453690018300001</c:v>
                </c:pt>
                <c:pt idx="197">
                  <c:v>0.243592516196</c:v>
                </c:pt>
                <c:pt idx="198">
                  <c:v>0.24257393156900001</c:v>
                </c:pt>
                <c:pt idx="199">
                  <c:v>0.24148145657199999</c:v>
                </c:pt>
                <c:pt idx="200">
                  <c:v>0.240315423985</c:v>
                </c:pt>
                <c:pt idx="201">
                  <c:v>0.239076188991</c:v>
                </c:pt>
                <c:pt idx="202">
                  <c:v>0.23776412907399999</c:v>
                </c:pt>
                <c:pt idx="203">
                  <c:v>0.23637964389999999</c:v>
                </c:pt>
                <c:pt idx="204">
                  <c:v>0.23492315519599999</c:v>
                </c:pt>
                <c:pt idx="205">
                  <c:v>0.23339510662400001</c:v>
                </c:pt>
                <c:pt idx="206">
                  <c:v>0.231795963642</c:v>
                </c:pt>
                <c:pt idx="207">
                  <c:v>0.23012621336299999</c:v>
                </c:pt>
                <c:pt idx="208">
                  <c:v>0.22838636441099999</c:v>
                </c:pt>
                <c:pt idx="209">
                  <c:v>0.226576946759</c:v>
                </c:pt>
                <c:pt idx="210">
                  <c:v>0.22469851157500001</c:v>
                </c:pt>
                <c:pt idx="211">
                  <c:v>0.22275163104699999</c:v>
                </c:pt>
                <c:pt idx="212">
                  <c:v>0.220736898215</c:v>
                </c:pt>
                <c:pt idx="213">
                  <c:v>0.21865492678500001</c:v>
                </c:pt>
                <c:pt idx="214">
                  <c:v>0.21650635094599999</c:v>
                </c:pt>
                <c:pt idx="215">
                  <c:v>0.21429182517600001</c:v>
                </c:pt>
                <c:pt idx="216">
                  <c:v>0.21201202403899999</c:v>
                </c:pt>
                <c:pt idx="217">
                  <c:v>0.20966764198599999</c:v>
                </c:pt>
                <c:pt idx="218">
                  <c:v>0.20725939313899999</c:v>
                </c:pt>
                <c:pt idx="219">
                  <c:v>0.20478801107200001</c:v>
                </c:pt>
                <c:pt idx="220">
                  <c:v>0.20225424859400001</c:v>
                </c:pt>
                <c:pt idx="221">
                  <c:v>0.19965887751200001</c:v>
                </c:pt>
                <c:pt idx="222">
                  <c:v>0.197002688402</c:v>
                </c:pt>
                <c:pt idx="223">
                  <c:v>0.194286490364</c:v>
                </c:pt>
                <c:pt idx="224">
                  <c:v>0.19151111077999999</c:v>
                </c:pt>
                <c:pt idx="225">
                  <c:v>0.18867739505600001</c:v>
                </c:pt>
                <c:pt idx="226">
                  <c:v>0.18578620636900001</c:v>
                </c:pt>
                <c:pt idx="227">
                  <c:v>0.182838425405</c:v>
                </c:pt>
                <c:pt idx="228">
                  <c:v>0.179834950085</c:v>
                </c:pt>
                <c:pt idx="229">
                  <c:v>0.17677669529699999</c:v>
                </c:pt>
                <c:pt idx="230">
                  <c:v>0.173664592615</c:v>
                </c:pt>
                <c:pt idx="231">
                  <c:v>0.17049959001600001</c:v>
                </c:pt>
                <c:pt idx="232">
                  <c:v>0.16728265159</c:v>
                </c:pt>
                <c:pt idx="233">
                  <c:v>0.16401475724799999</c:v>
                </c:pt>
                <c:pt idx="234">
                  <c:v>0.16069690242199999</c:v>
                </c:pt>
                <c:pt idx="235">
                  <c:v>0.15733009776199999</c:v>
                </c:pt>
                <c:pt idx="236">
                  <c:v>0.15391536883099999</c:v>
                </c:pt>
                <c:pt idx="237">
                  <c:v>0.15045375578799999</c:v>
                </c:pt>
                <c:pt idx="238">
                  <c:v>0.14694631307299999</c:v>
                </c:pt>
                <c:pt idx="239">
                  <c:v>0.14339410908799999</c:v>
                </c:pt>
                <c:pt idx="240">
                  <c:v>0.139798225868</c:v>
                </c:pt>
                <c:pt idx="241">
                  <c:v>0.13615975875399999</c:v>
                </c:pt>
                <c:pt idx="242">
                  <c:v>0.13247981605799999</c:v>
                </c:pt>
                <c:pt idx="243">
                  <c:v>0.12875951872800001</c:v>
                </c:pt>
                <c:pt idx="244">
                  <c:v>0.125</c:v>
                </c:pt>
                <c:pt idx="245">
                  <c:v>0.121202405062</c:v>
                </c:pt>
                <c:pt idx="246">
                  <c:v>0.117367890696</c:v>
                </c:pt>
                <c:pt idx="247">
                  <c:v>0.113497624935</c:v>
                </c:pt>
                <c:pt idx="248">
                  <c:v>0.109592786697</c:v>
                </c:pt>
                <c:pt idx="249">
                  <c:v>0.105654565435</c:v>
                </c:pt>
                <c:pt idx="250">
                  <c:v>0.101684160769</c:v>
                </c:pt>
                <c:pt idx="251">
                  <c:v>9.7682782122299999E-2</c:v>
                </c:pt>
                <c:pt idx="252">
                  <c:v>9.3651648354E-2</c:v>
                </c:pt>
                <c:pt idx="253">
                  <c:v>8.9591987386300004E-2</c:v>
                </c:pt>
                <c:pt idx="254">
                  <c:v>8.5505035831399998E-2</c:v>
                </c:pt>
                <c:pt idx="255">
                  <c:v>8.13920386143E-2</c:v>
                </c:pt>
                <c:pt idx="256">
                  <c:v>7.7254248593700003E-2</c:v>
                </c:pt>
                <c:pt idx="257">
                  <c:v>7.3092926180699999E-2</c:v>
                </c:pt>
                <c:pt idx="258">
                  <c:v>6.8909338954199997E-2</c:v>
                </c:pt>
                <c:pt idx="259">
                  <c:v>6.4704761275600001E-2</c:v>
                </c:pt>
                <c:pt idx="260">
                  <c:v>6.0480473899900002E-2</c:v>
                </c:pt>
                <c:pt idx="261">
                  <c:v>5.6237763586000002E-2</c:v>
                </c:pt>
                <c:pt idx="262">
                  <c:v>5.1977922704399999E-2</c:v>
                </c:pt>
                <c:pt idx="263">
                  <c:v>4.7702248844100001E-2</c:v>
                </c:pt>
                <c:pt idx="264">
                  <c:v>4.3412044416699998E-2</c:v>
                </c:pt>
                <c:pt idx="265">
                  <c:v>3.9108616260100003E-2</c:v>
                </c:pt>
                <c:pt idx="266">
                  <c:v>3.4793275239999998E-2</c:v>
                </c:pt>
                <c:pt idx="267">
                  <c:v>3.0467335851300001E-2</c:v>
                </c:pt>
                <c:pt idx="268">
                  <c:v>2.61321158169E-2</c:v>
                </c:pt>
                <c:pt idx="269">
                  <c:v>2.1788935686900001E-2</c:v>
                </c:pt>
                <c:pt idx="270">
                  <c:v>1.7439118436E-2</c:v>
                </c:pt>
                <c:pt idx="271">
                  <c:v>1.30839890607E-2</c:v>
                </c:pt>
                <c:pt idx="272">
                  <c:v>8.7248741756300006E-3</c:v>
                </c:pt>
                <c:pt idx="273">
                  <c:v>4.3631016093200001E-3</c:v>
                </c:pt>
                <c:pt idx="274">
                  <c:v>1.5308084989300001E-17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Sheet1!$C$7:$C$506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4.3631016093200001E-3</c:v>
                </c:pt>
                <c:pt idx="4">
                  <c:v>8.7248741756300006E-3</c:v>
                </c:pt>
                <c:pt idx="5">
                  <c:v>1.30839890607E-2</c:v>
                </c:pt>
                <c:pt idx="6">
                  <c:v>1.7439118436E-2</c:v>
                </c:pt>
                <c:pt idx="7">
                  <c:v>2.1788935686900001E-2</c:v>
                </c:pt>
                <c:pt idx="8">
                  <c:v>2.61321158169E-2</c:v>
                </c:pt>
                <c:pt idx="9">
                  <c:v>3.0467335851300001E-2</c:v>
                </c:pt>
                <c:pt idx="10">
                  <c:v>3.4793275239999998E-2</c:v>
                </c:pt>
                <c:pt idx="11">
                  <c:v>3.9108616260100003E-2</c:v>
                </c:pt>
                <c:pt idx="12">
                  <c:v>4.3412044416699998E-2</c:v>
                </c:pt>
                <c:pt idx="13">
                  <c:v>4.7702248844100001E-2</c:v>
                </c:pt>
                <c:pt idx="14">
                  <c:v>5.1977922704399999E-2</c:v>
                </c:pt>
                <c:pt idx="15">
                  <c:v>5.6237763586000002E-2</c:v>
                </c:pt>
                <c:pt idx="16">
                  <c:v>6.0480473899900002E-2</c:v>
                </c:pt>
                <c:pt idx="17">
                  <c:v>6.4704761275600001E-2</c:v>
                </c:pt>
                <c:pt idx="18">
                  <c:v>6.8909338954199997E-2</c:v>
                </c:pt>
                <c:pt idx="19">
                  <c:v>7.3092926180699999E-2</c:v>
                </c:pt>
                <c:pt idx="20">
                  <c:v>7.7254248593700003E-2</c:v>
                </c:pt>
                <c:pt idx="21">
                  <c:v>8.13920386143E-2</c:v>
                </c:pt>
                <c:pt idx="22">
                  <c:v>8.5505035831399998E-2</c:v>
                </c:pt>
                <c:pt idx="23">
                  <c:v>8.9591987386300004E-2</c:v>
                </c:pt>
                <c:pt idx="24">
                  <c:v>9.3651648354E-2</c:v>
                </c:pt>
                <c:pt idx="25">
                  <c:v>9.7682782122299999E-2</c:v>
                </c:pt>
                <c:pt idx="26">
                  <c:v>0.101684160769</c:v>
                </c:pt>
                <c:pt idx="27">
                  <c:v>0.105654565435</c:v>
                </c:pt>
                <c:pt idx="28">
                  <c:v>0.109592786697</c:v>
                </c:pt>
                <c:pt idx="29">
                  <c:v>0.113497624935</c:v>
                </c:pt>
                <c:pt idx="30">
                  <c:v>0.117367890696</c:v>
                </c:pt>
                <c:pt idx="31">
                  <c:v>0.121202405062</c:v>
                </c:pt>
                <c:pt idx="32">
                  <c:v>0.125</c:v>
                </c:pt>
                <c:pt idx="33">
                  <c:v>0.12875951872800001</c:v>
                </c:pt>
                <c:pt idx="34">
                  <c:v>0.13247981605799999</c:v>
                </c:pt>
                <c:pt idx="35">
                  <c:v>0.13615975875399999</c:v>
                </c:pt>
                <c:pt idx="36">
                  <c:v>0.139798225868</c:v>
                </c:pt>
                <c:pt idx="37">
                  <c:v>0.14339410908799999</c:v>
                </c:pt>
                <c:pt idx="38">
                  <c:v>0.14694631307299999</c:v>
                </c:pt>
                <c:pt idx="39">
                  <c:v>0.15045375578799999</c:v>
                </c:pt>
                <c:pt idx="40">
                  <c:v>0.15391536883099999</c:v>
                </c:pt>
                <c:pt idx="41">
                  <c:v>0.15733009776199999</c:v>
                </c:pt>
                <c:pt idx="42">
                  <c:v>0.16069690242199999</c:v>
                </c:pt>
                <c:pt idx="43">
                  <c:v>0.16401475724799999</c:v>
                </c:pt>
                <c:pt idx="44">
                  <c:v>0.16728265159</c:v>
                </c:pt>
                <c:pt idx="45">
                  <c:v>0.17049959001600001</c:v>
                </c:pt>
                <c:pt idx="46">
                  <c:v>0.173664592615</c:v>
                </c:pt>
                <c:pt idx="47">
                  <c:v>0.17677669529699999</c:v>
                </c:pt>
                <c:pt idx="48">
                  <c:v>0.179834950085</c:v>
                </c:pt>
                <c:pt idx="49">
                  <c:v>0.182838425405</c:v>
                </c:pt>
                <c:pt idx="50">
                  <c:v>0.18578620636900001</c:v>
                </c:pt>
                <c:pt idx="51">
                  <c:v>0.18867739505600001</c:v>
                </c:pt>
                <c:pt idx="52">
                  <c:v>0.19151111077999999</c:v>
                </c:pt>
                <c:pt idx="53">
                  <c:v>0.194286490364</c:v>
                </c:pt>
                <c:pt idx="54">
                  <c:v>0.197002688402</c:v>
                </c:pt>
                <c:pt idx="55">
                  <c:v>0.19965887751200001</c:v>
                </c:pt>
                <c:pt idx="56">
                  <c:v>0.20225424859400001</c:v>
                </c:pt>
                <c:pt idx="57">
                  <c:v>0.20478801107200001</c:v>
                </c:pt>
                <c:pt idx="58">
                  <c:v>0.20725939313899999</c:v>
                </c:pt>
                <c:pt idx="59">
                  <c:v>0.20966764198599999</c:v>
                </c:pt>
                <c:pt idx="60">
                  <c:v>0.21201202403899999</c:v>
                </c:pt>
                <c:pt idx="61">
                  <c:v>0.21429182517600001</c:v>
                </c:pt>
                <c:pt idx="62">
                  <c:v>0.21650635094599999</c:v>
                </c:pt>
                <c:pt idx="63">
                  <c:v>0.21865492678500001</c:v>
                </c:pt>
                <c:pt idx="64">
                  <c:v>0.220736898215</c:v>
                </c:pt>
                <c:pt idx="65">
                  <c:v>0.22275163104699999</c:v>
                </c:pt>
                <c:pt idx="66">
                  <c:v>0.22469851157500001</c:v>
                </c:pt>
                <c:pt idx="67">
                  <c:v>0.226576946759</c:v>
                </c:pt>
                <c:pt idx="68">
                  <c:v>0.22838636441099999</c:v>
                </c:pt>
                <c:pt idx="69">
                  <c:v>0.23012621336299999</c:v>
                </c:pt>
                <c:pt idx="70">
                  <c:v>0.231795963642</c:v>
                </c:pt>
                <c:pt idx="71">
                  <c:v>0.23339510662400001</c:v>
                </c:pt>
                <c:pt idx="72">
                  <c:v>0.23492315519599999</c:v>
                </c:pt>
                <c:pt idx="73">
                  <c:v>0.23637964389999999</c:v>
                </c:pt>
                <c:pt idx="74">
                  <c:v>0.23776412907399999</c:v>
                </c:pt>
                <c:pt idx="75">
                  <c:v>0.239076188991</c:v>
                </c:pt>
                <c:pt idx="76">
                  <c:v>0.240315423985</c:v>
                </c:pt>
                <c:pt idx="77">
                  <c:v>0.24148145657199999</c:v>
                </c:pt>
                <c:pt idx="78">
                  <c:v>0.24257393156900001</c:v>
                </c:pt>
                <c:pt idx="79">
                  <c:v>0.243592516196</c:v>
                </c:pt>
                <c:pt idx="80">
                  <c:v>0.24453690018300001</c:v>
                </c:pt>
                <c:pt idx="81">
                  <c:v>0.24540679586200001</c:v>
                </c:pt>
                <c:pt idx="82">
                  <c:v>0.24620193825299999</c:v>
                </c:pt>
                <c:pt idx="83">
                  <c:v>0.24692208514899999</c:v>
                </c:pt>
                <c:pt idx="84">
                  <c:v>0.24756701718499999</c:v>
                </c:pt>
                <c:pt idx="85">
                  <c:v>0.24813653791000001</c:v>
                </c:pt>
                <c:pt idx="86">
                  <c:v>0.24863047384199999</c:v>
                </c:pt>
                <c:pt idx="87">
                  <c:v>0.249048674523</c:v>
                </c:pt>
                <c:pt idx="88">
                  <c:v>0.24939101256499999</c:v>
                </c:pt>
                <c:pt idx="89">
                  <c:v>0.24965738368900001</c:v>
                </c:pt>
                <c:pt idx="90">
                  <c:v>0.24984770675500001</c:v>
                </c:pt>
                <c:pt idx="91">
                  <c:v>0.24996192378900001</c:v>
                </c:pt>
                <c:pt idx="92">
                  <c:v>0.25</c:v>
                </c:pt>
                <c:pt idx="93">
                  <c:v>0.25</c:v>
                </c:pt>
                <c:pt idx="94">
                  <c:v>0.25007615242199999</c:v>
                </c:pt>
                <c:pt idx="95">
                  <c:v>0.25030458648999998</c:v>
                </c:pt>
                <c:pt idx="96">
                  <c:v>0.25068523262300002</c:v>
                </c:pt>
                <c:pt idx="97">
                  <c:v>0.25121797487000003</c:v>
                </c:pt>
                <c:pt idx="98">
                  <c:v>0.251902650954</c:v>
                </c:pt>
                <c:pt idx="99">
                  <c:v>0.25273905231600002</c:v>
                </c:pt>
                <c:pt idx="100">
                  <c:v>0.253726924179</c:v>
                </c:pt>
                <c:pt idx="101">
                  <c:v>0.25486596562899999</c:v>
                </c:pt>
                <c:pt idx="102">
                  <c:v>0.25615582970200002</c:v>
                </c:pt>
                <c:pt idx="103">
                  <c:v>0.25759612349400002</c:v>
                </c:pt>
                <c:pt idx="104">
                  <c:v>0.25918640827599998</c:v>
                </c:pt>
                <c:pt idx="105">
                  <c:v>0.26092619963300001</c:v>
                </c:pt>
                <c:pt idx="106">
                  <c:v>0.26281496760700002</c:v>
                </c:pt>
                <c:pt idx="107">
                  <c:v>0.26485213686199999</c:v>
                </c:pt>
                <c:pt idx="108">
                  <c:v>0.26703708685499999</c:v>
                </c:pt>
                <c:pt idx="109">
                  <c:v>0.26936915203099998</c:v>
                </c:pt>
                <c:pt idx="110">
                  <c:v>0.271847622018</c:v>
                </c:pt>
                <c:pt idx="111">
                  <c:v>0.27447174185200002</c:v>
                </c:pt>
                <c:pt idx="112">
                  <c:v>0.27724071220000002</c:v>
                </c:pt>
                <c:pt idx="113">
                  <c:v>0.28015368960699999</c:v>
                </c:pt>
                <c:pt idx="114">
                  <c:v>0.283209786751</c:v>
                </c:pt>
                <c:pt idx="115">
                  <c:v>0.28640807271699997</c:v>
                </c:pt>
                <c:pt idx="116">
                  <c:v>0.28974757327400003</c:v>
                </c:pt>
                <c:pt idx="117">
                  <c:v>0.29322727117899999</c:v>
                </c:pt>
                <c:pt idx="118">
                  <c:v>0.29684610648199999</c:v>
                </c:pt>
                <c:pt idx="119">
                  <c:v>0.30060297684999998</c:v>
                </c:pt>
                <c:pt idx="120">
                  <c:v>0.30449673790600001</c:v>
                </c:pt>
                <c:pt idx="121">
                  <c:v>0.30852620357100002</c:v>
                </c:pt>
                <c:pt idx="122">
                  <c:v>0.31269014642999998</c:v>
                </c:pt>
                <c:pt idx="123">
                  <c:v>0.31698729810800003</c:v>
                </c:pt>
                <c:pt idx="124">
                  <c:v>0.32141634964900001</c:v>
                </c:pt>
                <c:pt idx="125">
                  <c:v>0.32597595192200002</c:v>
                </c:pt>
                <c:pt idx="126">
                  <c:v>0.33066471602699998</c:v>
                </c:pt>
                <c:pt idx="127">
                  <c:v>0.33548121372200002</c:v>
                </c:pt>
                <c:pt idx="128">
                  <c:v>0.34042397785599998</c:v>
                </c:pt>
                <c:pt idx="129">
                  <c:v>0.34549150281300001</c:v>
                </c:pt>
                <c:pt idx="130">
                  <c:v>0.35068224497599998</c:v>
                </c:pt>
                <c:pt idx="131">
                  <c:v>0.35599462319699998</c:v>
                </c:pt>
                <c:pt idx="132">
                  <c:v>0.36142701927199999</c:v>
                </c:pt>
                <c:pt idx="133">
                  <c:v>0.36697777844099999</c:v>
                </c:pt>
                <c:pt idx="134">
                  <c:v>0.37264520988900002</c:v>
                </c:pt>
                <c:pt idx="135">
                  <c:v>0.37842758726100001</c:v>
                </c:pt>
                <c:pt idx="136">
                  <c:v>0.38432314918999999</c:v>
                </c:pt>
                <c:pt idx="137">
                  <c:v>0.39033009983099998</c:v>
                </c:pt>
                <c:pt idx="138">
                  <c:v>0.39644660940699999</c:v>
                </c:pt>
                <c:pt idx="139">
                  <c:v>0.40267081477099997</c:v>
                </c:pt>
                <c:pt idx="140">
                  <c:v>0.40900081996900001</c:v>
                </c:pt>
                <c:pt idx="141">
                  <c:v>0.41543469682099998</c:v>
                </c:pt>
                <c:pt idx="142">
                  <c:v>0.42197048550499999</c:v>
                </c:pt>
                <c:pt idx="143">
                  <c:v>0.42860619515699999</c:v>
                </c:pt>
                <c:pt idx="144">
                  <c:v>0.43533980447499998</c:v>
                </c:pt>
                <c:pt idx="145">
                  <c:v>0.44216926233699999</c:v>
                </c:pt>
                <c:pt idx="146">
                  <c:v>0.44909248842400001</c:v>
                </c:pt>
                <c:pt idx="147">
                  <c:v>0.45610737385400002</c:v>
                </c:pt>
                <c:pt idx="148">
                  <c:v>0.46321178182400002</c:v>
                </c:pt>
                <c:pt idx="149">
                  <c:v>0.47040354826500003</c:v>
                </c:pt>
                <c:pt idx="150">
                  <c:v>0.47768048249200001</c:v>
                </c:pt>
                <c:pt idx="151">
                  <c:v>0.48504036788299998</c:v>
                </c:pt>
                <c:pt idx="152">
                  <c:v>0.49248096254500001</c:v>
                </c:pt>
                <c:pt idx="153">
                  <c:v>0.5</c:v>
                </c:pt>
                <c:pt idx="154">
                  <c:v>0.50759518987700003</c:v>
                </c:pt>
                <c:pt idx="155">
                  <c:v>0.515264218607</c:v>
                </c:pt>
                <c:pt idx="156">
                  <c:v>0.52300475013000003</c:v>
                </c:pt>
                <c:pt idx="157">
                  <c:v>0.530814426605</c:v>
                </c:pt>
                <c:pt idx="158">
                  <c:v>0.53869086912999997</c:v>
                </c:pt>
                <c:pt idx="159">
                  <c:v>0.546631678462</c:v>
                </c:pt>
                <c:pt idx="160">
                  <c:v>0.55463443575500004</c:v>
                </c:pt>
                <c:pt idx="161">
                  <c:v>0.56269670329199994</c:v>
                </c:pt>
                <c:pt idx="162">
                  <c:v>0.57081602522700003</c:v>
                </c:pt>
                <c:pt idx="163">
                  <c:v>0.57898992833700003</c:v>
                </c:pt>
                <c:pt idx="164">
                  <c:v>0.58721592277099999</c:v>
                </c:pt>
                <c:pt idx="165">
                  <c:v>0.59549150281300001</c:v>
                </c:pt>
                <c:pt idx="166">
                  <c:v>0.60381414763899999</c:v>
                </c:pt>
                <c:pt idx="167">
                  <c:v>0.61218132209200005</c:v>
                </c:pt>
                <c:pt idx="168">
                  <c:v>0.62059047744899998</c:v>
                </c:pt>
                <c:pt idx="169">
                  <c:v>0.6290390522</c:v>
                </c:pt>
                <c:pt idx="170">
                  <c:v>0.63752447282799996</c:v>
                </c:pt>
                <c:pt idx="171">
                  <c:v>0.64604415459099995</c:v>
                </c:pt>
                <c:pt idx="172">
                  <c:v>0.65459550231200003</c:v>
                </c:pt>
                <c:pt idx="173">
                  <c:v>0.66317591116700003</c:v>
                </c:pt>
                <c:pt idx="174">
                  <c:v>0.67178276747999999</c:v>
                </c:pt>
                <c:pt idx="175">
                  <c:v>0.68041344952000005</c:v>
                </c:pt>
                <c:pt idx="176">
                  <c:v>0.68906532829699996</c:v>
                </c:pt>
                <c:pt idx="177">
                  <c:v>0.69773576836600004</c:v>
                </c:pt>
                <c:pt idx="178">
                  <c:v>0.70642212862599996</c:v>
                </c:pt>
                <c:pt idx="179">
                  <c:v>0.71512176312800002</c:v>
                </c:pt>
                <c:pt idx="180">
                  <c:v>0.72383202187899998</c:v>
                </c:pt>
                <c:pt idx="181">
                  <c:v>0.73255025164900001</c:v>
                </c:pt>
                <c:pt idx="182">
                  <c:v>0.74127379678100003</c:v>
                </c:pt>
                <c:pt idx="183">
                  <c:v>0.75</c:v>
                </c:pt>
                <c:pt idx="184">
                  <c:v>5.75</c:v>
                </c:pt>
                <c:pt idx="185">
                  <c:v>5.7543631016100001</c:v>
                </c:pt>
                <c:pt idx="186">
                  <c:v>5.7587248741800003</c:v>
                </c:pt>
                <c:pt idx="187">
                  <c:v>5.7630839890600001</c:v>
                </c:pt>
                <c:pt idx="188">
                  <c:v>5.7674391184399996</c:v>
                </c:pt>
                <c:pt idx="189">
                  <c:v>5.7717889356900001</c:v>
                </c:pt>
                <c:pt idx="190">
                  <c:v>5.7761321158200003</c:v>
                </c:pt>
                <c:pt idx="191">
                  <c:v>5.7804673358500001</c:v>
                </c:pt>
                <c:pt idx="192">
                  <c:v>5.7847932752400002</c:v>
                </c:pt>
                <c:pt idx="193">
                  <c:v>5.7891086162600001</c:v>
                </c:pt>
                <c:pt idx="194">
                  <c:v>5.7934120444200001</c:v>
                </c:pt>
                <c:pt idx="195">
                  <c:v>5.7977022488400003</c:v>
                </c:pt>
                <c:pt idx="196">
                  <c:v>5.8019779226999999</c:v>
                </c:pt>
                <c:pt idx="197">
                  <c:v>5.8062377635900004</c:v>
                </c:pt>
                <c:pt idx="198">
                  <c:v>5.8104804739000002</c:v>
                </c:pt>
                <c:pt idx="199">
                  <c:v>5.8147047612799998</c:v>
                </c:pt>
                <c:pt idx="200">
                  <c:v>5.8189093389500002</c:v>
                </c:pt>
                <c:pt idx="201">
                  <c:v>5.8230929261800002</c:v>
                </c:pt>
                <c:pt idx="202">
                  <c:v>5.8272542485900001</c:v>
                </c:pt>
                <c:pt idx="203">
                  <c:v>5.8313920386099998</c:v>
                </c:pt>
                <c:pt idx="204">
                  <c:v>5.8355050358299998</c:v>
                </c:pt>
                <c:pt idx="205">
                  <c:v>5.8395919873900004</c:v>
                </c:pt>
                <c:pt idx="206">
                  <c:v>5.8436516483499998</c:v>
                </c:pt>
                <c:pt idx="207">
                  <c:v>5.8476827821199997</c:v>
                </c:pt>
                <c:pt idx="208">
                  <c:v>5.8516841607699996</c:v>
                </c:pt>
                <c:pt idx="209">
                  <c:v>5.8556545654400001</c:v>
                </c:pt>
                <c:pt idx="210">
                  <c:v>5.8595927867000004</c:v>
                </c:pt>
                <c:pt idx="211">
                  <c:v>5.8634976249299999</c:v>
                </c:pt>
                <c:pt idx="212">
                  <c:v>5.8673678906999998</c:v>
                </c:pt>
                <c:pt idx="213">
                  <c:v>5.87120240506</c:v>
                </c:pt>
                <c:pt idx="214">
                  <c:v>5.875</c:v>
                </c:pt>
                <c:pt idx="215">
                  <c:v>5.8787595187299999</c:v>
                </c:pt>
                <c:pt idx="216">
                  <c:v>5.88247981606</c:v>
                </c:pt>
                <c:pt idx="217">
                  <c:v>5.8861597587499999</c:v>
                </c:pt>
                <c:pt idx="218">
                  <c:v>5.8897982258699999</c:v>
                </c:pt>
                <c:pt idx="219">
                  <c:v>5.8933941090899999</c:v>
                </c:pt>
                <c:pt idx="220">
                  <c:v>5.8969463130699999</c:v>
                </c:pt>
                <c:pt idx="221">
                  <c:v>5.9004537557900001</c:v>
                </c:pt>
                <c:pt idx="222">
                  <c:v>5.9039153688299999</c:v>
                </c:pt>
                <c:pt idx="223">
                  <c:v>5.9073300977600001</c:v>
                </c:pt>
                <c:pt idx="224">
                  <c:v>5.9106969024199998</c:v>
                </c:pt>
                <c:pt idx="225">
                  <c:v>5.9140147572500004</c:v>
                </c:pt>
                <c:pt idx="226">
                  <c:v>5.9172826515899999</c:v>
                </c:pt>
                <c:pt idx="227">
                  <c:v>5.9204995900200004</c:v>
                </c:pt>
                <c:pt idx="228">
                  <c:v>5.9236645926099998</c:v>
                </c:pt>
                <c:pt idx="229">
                  <c:v>5.9267766953000001</c:v>
                </c:pt>
                <c:pt idx="230">
                  <c:v>5.9298349500800001</c:v>
                </c:pt>
                <c:pt idx="231">
                  <c:v>5.9328384253999999</c:v>
                </c:pt>
                <c:pt idx="232">
                  <c:v>5.9357862063700004</c:v>
                </c:pt>
                <c:pt idx="233">
                  <c:v>5.93867739506</c:v>
                </c:pt>
                <c:pt idx="234">
                  <c:v>5.9415111107799996</c:v>
                </c:pt>
                <c:pt idx="235">
                  <c:v>5.9442864903599997</c:v>
                </c:pt>
                <c:pt idx="236">
                  <c:v>5.9470026883999996</c:v>
                </c:pt>
                <c:pt idx="237">
                  <c:v>5.9496588775100001</c:v>
                </c:pt>
                <c:pt idx="238">
                  <c:v>5.9522542485900001</c:v>
                </c:pt>
                <c:pt idx="239">
                  <c:v>5.9547880110699998</c:v>
                </c:pt>
                <c:pt idx="240">
                  <c:v>5.9572593931400002</c:v>
                </c:pt>
                <c:pt idx="241">
                  <c:v>5.9596676419900003</c:v>
                </c:pt>
                <c:pt idx="242">
                  <c:v>5.9620120240399999</c:v>
                </c:pt>
                <c:pt idx="243">
                  <c:v>5.9642918251800001</c:v>
                </c:pt>
                <c:pt idx="244">
                  <c:v>5.9665063509499996</c:v>
                </c:pt>
                <c:pt idx="245">
                  <c:v>5.9686549267800002</c:v>
                </c:pt>
                <c:pt idx="246">
                  <c:v>5.9707368982100002</c:v>
                </c:pt>
                <c:pt idx="247">
                  <c:v>5.9727516310500004</c:v>
                </c:pt>
                <c:pt idx="248">
                  <c:v>5.9746985115699998</c:v>
                </c:pt>
                <c:pt idx="249">
                  <c:v>5.9765769467599998</c:v>
                </c:pt>
                <c:pt idx="250">
                  <c:v>5.9783863644100004</c:v>
                </c:pt>
                <c:pt idx="251">
                  <c:v>5.9801262133600002</c:v>
                </c:pt>
                <c:pt idx="252">
                  <c:v>5.9817959636399998</c:v>
                </c:pt>
                <c:pt idx="253">
                  <c:v>5.9833951066199997</c:v>
                </c:pt>
                <c:pt idx="254">
                  <c:v>5.9849231551999997</c:v>
                </c:pt>
                <c:pt idx="255">
                  <c:v>5.9863796439000003</c:v>
                </c:pt>
                <c:pt idx="256">
                  <c:v>5.9877641290700003</c:v>
                </c:pt>
                <c:pt idx="257">
                  <c:v>5.9890761889900004</c:v>
                </c:pt>
                <c:pt idx="258">
                  <c:v>5.9903154239800003</c:v>
                </c:pt>
                <c:pt idx="259">
                  <c:v>5.9914814565699999</c:v>
                </c:pt>
                <c:pt idx="260">
                  <c:v>5.99257393157</c:v>
                </c:pt>
                <c:pt idx="261">
                  <c:v>5.9935925161999997</c:v>
                </c:pt>
                <c:pt idx="262">
                  <c:v>5.99453690018</c:v>
                </c:pt>
                <c:pt idx="263">
                  <c:v>5.9954067958600001</c:v>
                </c:pt>
                <c:pt idx="264">
                  <c:v>5.9962019382499996</c:v>
                </c:pt>
                <c:pt idx="265">
                  <c:v>5.9969220851499996</c:v>
                </c:pt>
                <c:pt idx="266">
                  <c:v>5.9975670171899997</c:v>
                </c:pt>
                <c:pt idx="267">
                  <c:v>5.9981365379099998</c:v>
                </c:pt>
                <c:pt idx="268">
                  <c:v>5.9986304738399996</c:v>
                </c:pt>
                <c:pt idx="269">
                  <c:v>5.99904867452</c:v>
                </c:pt>
                <c:pt idx="270">
                  <c:v>5.9993910125600003</c:v>
                </c:pt>
                <c:pt idx="271">
                  <c:v>5.9996573836899998</c:v>
                </c:pt>
                <c:pt idx="272">
                  <c:v>5.9998477067499998</c:v>
                </c:pt>
                <c:pt idx="273">
                  <c:v>5.9999619237899999</c:v>
                </c:pt>
                <c:pt idx="274">
                  <c:v>6</c:v>
                </c:pt>
                <c:pt idx="275">
                  <c:v>6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FA-8848-A898-BF96BFD9A017}"/>
            </c:ext>
          </c:extLst>
        </c:ser>
        <c:dLbls>
          <c:dLblPos val="r"/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7DE289-7909-3942-864C-611E2C0445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2</xdr:row>
          <xdr:rowOff>101600</xdr:rowOff>
        </xdr:from>
        <xdr:to>
          <xdr:col>2</xdr:col>
          <xdr:colOff>774700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61881C6-293C-AF44-B4D1-453F308FF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15F-D062-EA43-8572-BA750C18D6E3}">
  <sheetPr codeName="Sheet1"/>
  <dimension ref="A1:AD550"/>
  <sheetViews>
    <sheetView tabSelected="1" workbookViewId="0">
      <selection activeCell="B8" sqref="B8"/>
    </sheetView>
  </sheetViews>
  <sheetFormatPr baseColWidth="10" defaultRowHeight="16" x14ac:dyDescent="0.2"/>
  <cols>
    <col min="1" max="3" width="10.83203125" style="1"/>
    <col min="4" max="4" width="13.6640625" style="1" bestFit="1" customWidth="1"/>
    <col min="5" max="6" width="11.6640625" style="1" bestFit="1" customWidth="1"/>
    <col min="7" max="10" width="14.6640625" style="1" bestFit="1" customWidth="1"/>
    <col min="11" max="13" width="11.6640625" style="1" bestFit="1" customWidth="1"/>
    <col min="14" max="15" width="12.6640625" style="1" bestFit="1" customWidth="1"/>
    <col min="16" max="16" width="11" style="1" bestFit="1" customWidth="1"/>
    <col min="17" max="17" width="13.6640625" style="1" bestFit="1" customWidth="1"/>
    <col min="18" max="20" width="11" style="1" bestFit="1" customWidth="1"/>
    <col min="21" max="21" width="12.83203125" style="1" bestFit="1" customWidth="1"/>
    <col min="22" max="22" width="11.6640625" style="1" bestFit="1" customWidth="1"/>
    <col min="23" max="23" width="11.5" style="1" bestFit="1" customWidth="1"/>
  </cols>
  <sheetData>
    <row r="1" spans="1:30" x14ac:dyDescent="0.2">
      <c r="A1" s="11" t="s">
        <v>0</v>
      </c>
      <c r="G1" s="2" t="s">
        <v>35</v>
      </c>
      <c r="H1" s="3">
        <v>1E-14</v>
      </c>
    </row>
    <row r="2" spans="1:30" ht="17" thickBot="1" x14ac:dyDescent="0.25">
      <c r="A2" s="5" t="s">
        <v>1</v>
      </c>
    </row>
    <row r="3" spans="1:30" x14ac:dyDescent="0.2">
      <c r="D3" s="43" t="s">
        <v>10</v>
      </c>
      <c r="E3" s="14"/>
      <c r="F3" s="14"/>
      <c r="G3" s="14"/>
      <c r="H3" s="14"/>
      <c r="I3" s="14"/>
      <c r="J3" s="14"/>
      <c r="K3" s="14"/>
      <c r="L3" s="14"/>
      <c r="M3" s="15"/>
      <c r="N3" s="41" t="s">
        <v>11</v>
      </c>
      <c r="O3" s="25"/>
      <c r="P3" s="25"/>
      <c r="Q3" s="25"/>
      <c r="R3" s="25"/>
      <c r="S3" s="25"/>
      <c r="T3" s="26"/>
    </row>
    <row r="4" spans="1:30" x14ac:dyDescent="0.2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29</v>
      </c>
      <c r="O4" s="28" t="s">
        <v>30</v>
      </c>
      <c r="P4" s="28" t="s">
        <v>31</v>
      </c>
      <c r="Q4" s="28" t="s">
        <v>32</v>
      </c>
      <c r="R4" s="28" t="s">
        <v>12</v>
      </c>
      <c r="S4" s="28" t="s">
        <v>13</v>
      </c>
      <c r="T4" s="29" t="s">
        <v>14</v>
      </c>
    </row>
    <row r="5" spans="1:30" x14ac:dyDescent="0.2">
      <c r="D5" s="19">
        <f>SUM(D8:D506)</f>
        <v>2.4643302137899661</v>
      </c>
      <c r="E5" s="20">
        <f>SUM(E8:E506)/D5</f>
        <v>0.86984306116699517</v>
      </c>
      <c r="F5" s="20">
        <f>SUM(F8:F506)/D5</f>
        <v>1.8480682083975579</v>
      </c>
      <c r="G5" s="20">
        <f>SUM(G8:G506)</f>
        <v>17.552463422797469</v>
      </c>
      <c r="H5" s="20">
        <f>SUM(H8:H506)</f>
        <v>5.1615187069836592</v>
      </c>
      <c r="I5" s="20">
        <f>SUM(I8:I506)</f>
        <v>0.79254594879347595</v>
      </c>
      <c r="J5" s="20">
        <f>SUM(J8:J506)</f>
        <v>22.713982129781137</v>
      </c>
      <c r="K5" s="20">
        <f>SQRT(G5/D5)</f>
        <v>2.6688218677556335</v>
      </c>
      <c r="L5" s="20">
        <f>SQRT(H5/D5)</f>
        <v>1.4472358164876189</v>
      </c>
      <c r="M5" s="21">
        <f>SQRT(J5/D5)</f>
        <v>3.0359679956045742</v>
      </c>
      <c r="N5" s="30">
        <f>G5-(D5*F5*F5)</f>
        <v>9.1358981875942824</v>
      </c>
      <c r="O5" s="31">
        <f>ABS(H5-(D5*F5*F5))</f>
        <v>3.2550465282195278</v>
      </c>
      <c r="P5" s="31">
        <f>I5-(D5*E5*F5)</f>
        <v>-3.1689370935715555</v>
      </c>
      <c r="Q5" s="31">
        <f>N5+O5</f>
        <v>12.390944715813809</v>
      </c>
      <c r="R5" s="31">
        <f>SQRT(N5/D5)</f>
        <v>1.9254230856933519</v>
      </c>
      <c r="S5" s="31">
        <f>SQRT(O5/D5)</f>
        <v>1.1492887341156592</v>
      </c>
      <c r="T5" s="32">
        <f>SQRT(Q5/D5)</f>
        <v>2.2423466844549447</v>
      </c>
    </row>
    <row r="6" spans="1:30" ht="17" thickBot="1" x14ac:dyDescent="0.25">
      <c r="A6" s="1" t="s">
        <v>4</v>
      </c>
      <c r="B6" s="1" t="s">
        <v>17</v>
      </c>
      <c r="C6" s="1" t="s">
        <v>18</v>
      </c>
      <c r="D6" s="22" t="s">
        <v>19</v>
      </c>
      <c r="E6" s="23" t="s">
        <v>20</v>
      </c>
      <c r="F6" s="23" t="s">
        <v>21</v>
      </c>
      <c r="G6" s="23" t="s">
        <v>22</v>
      </c>
      <c r="H6" s="23" t="s">
        <v>23</v>
      </c>
      <c r="I6" s="23" t="s">
        <v>24</v>
      </c>
      <c r="J6" s="23" t="s">
        <v>25</v>
      </c>
      <c r="K6" s="23" t="s">
        <v>7</v>
      </c>
      <c r="L6" s="23" t="s">
        <v>8</v>
      </c>
      <c r="M6" s="24" t="s">
        <v>9</v>
      </c>
      <c r="N6" s="27"/>
      <c r="O6" s="28"/>
      <c r="P6" s="28"/>
      <c r="Q6" s="28"/>
      <c r="R6" s="28"/>
      <c r="S6" s="28"/>
      <c r="T6" s="29"/>
    </row>
    <row r="7" spans="1:30" x14ac:dyDescent="0.2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2" t="s">
        <v>15</v>
      </c>
      <c r="O7" s="33"/>
      <c r="P7" s="33"/>
      <c r="Q7" s="33"/>
      <c r="R7" s="33"/>
      <c r="S7" s="33"/>
      <c r="T7" s="33"/>
      <c r="U7" s="33"/>
      <c r="V7" s="33"/>
      <c r="W7" s="34"/>
      <c r="Z7" t="s">
        <v>39</v>
      </c>
      <c r="AC7" t="s">
        <v>40</v>
      </c>
    </row>
    <row r="8" spans="1:30" x14ac:dyDescent="0.2">
      <c r="A8" s="1">
        <v>2</v>
      </c>
      <c r="B8" s="6">
        <v>4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35" t="s">
        <v>16</v>
      </c>
      <c r="O8" s="36" t="s">
        <v>6</v>
      </c>
      <c r="P8" s="36" t="s">
        <v>26</v>
      </c>
      <c r="Q8" s="36" t="s">
        <v>27</v>
      </c>
      <c r="R8" s="36" t="s">
        <v>28</v>
      </c>
      <c r="S8" s="36" t="s">
        <v>42</v>
      </c>
      <c r="T8" s="36" t="s">
        <v>43</v>
      </c>
      <c r="U8" s="36" t="s">
        <v>44</v>
      </c>
      <c r="V8" s="36" t="s">
        <v>34</v>
      </c>
      <c r="W8" s="37" t="s">
        <v>33</v>
      </c>
      <c r="Z8">
        <f>COS(RADIANS(V9))</f>
        <v>0.91656503278816137</v>
      </c>
      <c r="AA8">
        <f>SIN(RADIANS(V9))</f>
        <v>0.39988565949535709</v>
      </c>
      <c r="AC8">
        <f>COS(RADIANS(W9))</f>
        <v>-0.39988565949535693</v>
      </c>
      <c r="AD8">
        <f>SIN(RADIANS(W9))</f>
        <v>0.91656503278816148</v>
      </c>
    </row>
    <row r="9" spans="1:30" ht="17" thickBot="1" x14ac:dyDescent="0.25">
      <c r="A9" s="1">
        <v>3</v>
      </c>
      <c r="B9" s="6">
        <v>4</v>
      </c>
      <c r="C9" s="8">
        <v>0</v>
      </c>
      <c r="D9" s="9">
        <f t="shared" ref="D9:D26" si="0">((B8*C9)-(B9*C8))*0.5</f>
        <v>0</v>
      </c>
      <c r="E9" s="9">
        <f t="shared" ref="E9:E26" si="1">(B9+B8)*((B8*C9)-(B9*C8))*(1/6)</f>
        <v>0</v>
      </c>
      <c r="F9" s="9">
        <f t="shared" ref="F9:F26" si="2">(C9+C8)*((B8*C9)-(B9*C8))*(1/6)</f>
        <v>0</v>
      </c>
      <c r="G9" s="9">
        <f t="shared" ref="G9:G26" si="3">(((C8*C8)+(C8*C9)+(C9*C9))*((B8*C9)-(B9*C8)))/12</f>
        <v>0</v>
      </c>
      <c r="H9" s="9">
        <f t="shared" ref="H9:H26" si="4">(((B8*B8)+(B8*B9)+(B9*B9))*((B8*C9)-(B9*C8)))/12</f>
        <v>0</v>
      </c>
      <c r="I9" s="9">
        <f t="shared" ref="I9:I26" si="5">(((B8*C9)+(2*B8*C8)+(2*B9*C9)+(B9*C8))*((B8*C9)-(B9*C8)))/24</f>
        <v>0</v>
      </c>
      <c r="J9" s="9">
        <f t="shared" ref="J9:J26" si="6">G9+H9</f>
        <v>0</v>
      </c>
      <c r="N9" s="38">
        <f>ATAN2(H1+(N5-O5),-1*2*P5)</f>
        <v>0.82278418748972382</v>
      </c>
      <c r="O9" s="39">
        <f>(N5+O5)/2</f>
        <v>6.1954723579069046</v>
      </c>
      <c r="P9" s="39">
        <f>(N5-O5)/2</f>
        <v>2.9404258296873773</v>
      </c>
      <c r="Q9" s="39">
        <f>O9+SQRT((P9*P9)+(P5*P5))</f>
        <v>10.518465113268222</v>
      </c>
      <c r="R9" s="39">
        <f>O9-SQRT((P9*P9)+(P5*P5))</f>
        <v>1.872479602545587</v>
      </c>
      <c r="S9" s="39">
        <f>O9+(P9*COS(N9))-(P5*SIN(N9))</f>
        <v>10.518465113268224</v>
      </c>
      <c r="T9" s="39">
        <f>O9-(P9*COS(N9))+(P5*SIN(N9))</f>
        <v>1.8724796025455865</v>
      </c>
      <c r="U9" s="39">
        <f>(P9*SIN(N9))+(P5*COS(N9))</f>
        <v>-3.5527136788005009E-15</v>
      </c>
      <c r="V9" s="39">
        <f>IF(AND((Q9-H1)&lt;=S9,(Q9+H1)&gt;=S9),DEGREES(N9/2),DEGREES(N9/2)+90)</f>
        <v>23.571030696630903</v>
      </c>
      <c r="W9" s="40">
        <f>IF(AND((Q9-H1)&lt;=S9,(Q9+H1)&gt;=S9),DEGREES(N9/2)+90,DEGREES(N9/2))</f>
        <v>113.5710306966309</v>
      </c>
      <c r="Z9">
        <f>-1*AA8</f>
        <v>-0.39988565949535709</v>
      </c>
      <c r="AA9">
        <f>Z8</f>
        <v>0.91656503278816137</v>
      </c>
      <c r="AC9">
        <f>-1*AD8</f>
        <v>-0.91656503278816148</v>
      </c>
      <c r="AD9">
        <f>AC8</f>
        <v>-0.39988565949535693</v>
      </c>
    </row>
    <row r="10" spans="1:30" x14ac:dyDescent="0.2">
      <c r="A10" s="1">
        <v>4</v>
      </c>
      <c r="B10" s="6">
        <v>3.9999619237899999</v>
      </c>
      <c r="C10" s="8">
        <v>4.3631016093200001E-3</v>
      </c>
      <c r="D10" s="9">
        <f t="shared" si="0"/>
        <v>8.7262032186400003E-3</v>
      </c>
      <c r="E10" s="9">
        <f t="shared" si="1"/>
        <v>2.3269764496124584E-2</v>
      </c>
      <c r="F10" s="9">
        <f t="shared" si="2"/>
        <v>1.269110376883385E-5</v>
      </c>
      <c r="G10" s="9">
        <f t="shared" si="3"/>
        <v>2.7686287638923046E-8</v>
      </c>
      <c r="H10" s="9">
        <f t="shared" si="4"/>
        <v>6.9808961229736025E-2</v>
      </c>
      <c r="I10" s="9">
        <f t="shared" si="5"/>
        <v>3.8073069691935429E-5</v>
      </c>
      <c r="J10" s="9">
        <f t="shared" si="6"/>
        <v>6.9808988916023662E-2</v>
      </c>
    </row>
    <row r="11" spans="1:30" x14ac:dyDescent="0.2">
      <c r="A11" s="1">
        <v>5</v>
      </c>
      <c r="B11" s="6">
        <v>3.9998477067499998</v>
      </c>
      <c r="C11" s="8">
        <v>8.7248741756300006E-3</v>
      </c>
      <c r="D11" s="9">
        <f t="shared" si="0"/>
        <v>8.7237112630114168E-3</v>
      </c>
      <c r="E11" s="9">
        <f t="shared" si="1"/>
        <v>2.3262676458629665E-2</v>
      </c>
      <c r="F11" s="9">
        <f t="shared" si="2"/>
        <v>3.8058573921729667E-5</v>
      </c>
      <c r="G11" s="9">
        <f t="shared" si="3"/>
        <v>1.9370651560755796E-7</v>
      </c>
      <c r="H11" s="9">
        <f t="shared" si="4"/>
        <v>6.9786368691947542E-2</v>
      </c>
      <c r="I11" s="9">
        <f t="shared" si="5"/>
        <v>1.1417282373325917E-4</v>
      </c>
      <c r="J11" s="9">
        <f t="shared" si="6"/>
        <v>6.9786562398463148E-2</v>
      </c>
    </row>
    <row r="12" spans="1:30" x14ac:dyDescent="0.2">
      <c r="A12" s="1">
        <v>6</v>
      </c>
      <c r="B12" s="6">
        <v>3.9996573836899998</v>
      </c>
      <c r="C12" s="8">
        <v>1.30839890607E-2</v>
      </c>
      <c r="D12" s="9">
        <f t="shared" si="0"/>
        <v>8.7187281106291224E-3</v>
      </c>
      <c r="E12" s="9">
        <f t="shared" si="1"/>
        <v>2.3248503301046664E-2</v>
      </c>
      <c r="F12" s="9">
        <f t="shared" si="2"/>
        <v>6.3381849653152138E-5</v>
      </c>
      <c r="G12" s="9">
        <f t="shared" si="3"/>
        <v>5.2526029435737266E-7</v>
      </c>
      <c r="H12" s="9">
        <f t="shared" si="4"/>
        <v>6.9741195201346765E-2</v>
      </c>
      <c r="I12" s="9">
        <f t="shared" si="5"/>
        <v>1.9013348446127992E-4</v>
      </c>
      <c r="J12" s="9">
        <f t="shared" si="6"/>
        <v>6.9741720461641121E-2</v>
      </c>
    </row>
    <row r="13" spans="1:30" x14ac:dyDescent="0.2">
      <c r="A13" s="1">
        <v>7</v>
      </c>
      <c r="B13" s="6">
        <v>3.9993910125599998</v>
      </c>
      <c r="C13" s="8">
        <v>1.7439118436E-2</v>
      </c>
      <c r="D13" s="9">
        <f t="shared" si="0"/>
        <v>8.7112552798974362E-3</v>
      </c>
      <c r="E13" s="9">
        <f t="shared" si="1"/>
        <v>2.3227250858662646E-2</v>
      </c>
      <c r="F13" s="9">
        <f t="shared" si="2"/>
        <v>8.8631527113168285E-5</v>
      </c>
      <c r="G13" s="9">
        <f t="shared" si="3"/>
        <v>1.0213755987070081E-6</v>
      </c>
      <c r="H13" s="9">
        <f t="shared" si="4"/>
        <v>6.9673463924609644E-2</v>
      </c>
      <c r="I13" s="9">
        <f t="shared" si="5"/>
        <v>2.6586253198110767E-4</v>
      </c>
      <c r="J13" s="9">
        <f t="shared" si="6"/>
        <v>6.9674485300208353E-2</v>
      </c>
      <c r="V13" s="1" t="s">
        <v>36</v>
      </c>
    </row>
    <row r="14" spans="1:30" x14ac:dyDescent="0.2">
      <c r="A14" s="1">
        <v>8</v>
      </c>
      <c r="B14" s="6">
        <v>3.99904867452</v>
      </c>
      <c r="C14" s="8">
        <v>2.1788935686900001E-2</v>
      </c>
      <c r="D14" s="9">
        <f t="shared" si="0"/>
        <v>8.7012950465763031E-3</v>
      </c>
      <c r="E14" s="9">
        <f t="shared" si="1"/>
        <v>2.3198927876509502E-2</v>
      </c>
      <c r="F14" s="9">
        <f t="shared" si="2"/>
        <v>1.1377829100880563E-4</v>
      </c>
      <c r="G14" s="9">
        <f t="shared" si="3"/>
        <v>1.6805977100338121E-6</v>
      </c>
      <c r="H14" s="9">
        <f t="shared" si="4"/>
        <v>6.958320957693219E-2</v>
      </c>
      <c r="I14" s="9">
        <f t="shared" si="5"/>
        <v>3.4126775949289238E-4</v>
      </c>
      <c r="J14" s="9">
        <f t="shared" si="6"/>
        <v>6.9584890174642228E-2</v>
      </c>
      <c r="V14" s="1" t="s">
        <v>3</v>
      </c>
      <c r="W14" s="1" t="s">
        <v>5</v>
      </c>
    </row>
    <row r="15" spans="1:30" x14ac:dyDescent="0.2">
      <c r="A15" s="1">
        <v>9</v>
      </c>
      <c r="B15" s="6">
        <v>3.99863047384</v>
      </c>
      <c r="C15" s="8">
        <v>2.61321158169E-2</v>
      </c>
      <c r="D15" s="9">
        <f t="shared" si="0"/>
        <v>8.6888504448994139E-3</v>
      </c>
      <c r="E15" s="9">
        <f t="shared" si="1"/>
        <v>2.3163546008796849E-2</v>
      </c>
      <c r="F15" s="9">
        <f t="shared" si="2"/>
        <v>1.3879294989294679E-4</v>
      </c>
      <c r="G15" s="9">
        <f t="shared" si="3"/>
        <v>2.5009931893291837E-6</v>
      </c>
      <c r="H15" s="9">
        <f t="shared" si="4"/>
        <v>6.9470478407054073E-2</v>
      </c>
      <c r="I15" s="9">
        <f t="shared" si="5"/>
        <v>4.1625739791430145E-4</v>
      </c>
      <c r="J15" s="9">
        <f t="shared" si="6"/>
        <v>6.9472979400243398E-2</v>
      </c>
      <c r="V15" s="7">
        <f>E5</f>
        <v>0.86984306116699517</v>
      </c>
      <c r="W15" s="9">
        <f>MIN(C7:C506)-1</f>
        <v>-1</v>
      </c>
    </row>
    <row r="16" spans="1:30" x14ac:dyDescent="0.2">
      <c r="A16" s="1">
        <v>10</v>
      </c>
      <c r="B16" s="6">
        <v>3.9981365379099998</v>
      </c>
      <c r="C16" s="8">
        <v>3.0467335851300001E-2</v>
      </c>
      <c r="D16" s="9">
        <f t="shared" si="0"/>
        <v>8.6739252656412164E-3</v>
      </c>
      <c r="E16" s="9">
        <f t="shared" si="1"/>
        <v>2.3121119808888178E-2</v>
      </c>
      <c r="F16" s="9">
        <f t="shared" si="2"/>
        <v>1.6364647128207962E-4</v>
      </c>
      <c r="G16" s="9">
        <f t="shared" si="3"/>
        <v>3.4801551575371252E-6</v>
      </c>
      <c r="H16" s="9">
        <f t="shared" si="4"/>
        <v>6.9335328149088701E-2</v>
      </c>
      <c r="I16" s="9">
        <f t="shared" si="5"/>
        <v>4.9074023977427729E-4</v>
      </c>
      <c r="J16" s="9">
        <f t="shared" si="6"/>
        <v>6.9338808304246241E-2</v>
      </c>
      <c r="V16" s="7">
        <f>V15</f>
        <v>0.86984306116699517</v>
      </c>
      <c r="W16" s="9">
        <f>MAX(C7:C506)+1</f>
        <v>7</v>
      </c>
    </row>
    <row r="17" spans="1:23" x14ac:dyDescent="0.2">
      <c r="A17" s="1">
        <v>11</v>
      </c>
      <c r="B17" s="6">
        <v>3.9975670171900002</v>
      </c>
      <c r="C17" s="8">
        <v>3.4793275239999998E-2</v>
      </c>
      <c r="D17" s="9">
        <f t="shared" si="0"/>
        <v>8.6565240548980016E-3</v>
      </c>
      <c r="E17" s="9">
        <f t="shared" si="1"/>
        <v>2.3071666720185541E-2</v>
      </c>
      <c r="F17" s="9">
        <f t="shared" si="2"/>
        <v>1.8831001658306057E-4</v>
      </c>
      <c r="G17" s="9">
        <f t="shared" si="3"/>
        <v>4.6152098688436364E-6</v>
      </c>
      <c r="H17" s="9">
        <f t="shared" si="4"/>
        <v>6.9177827973241915E-2</v>
      </c>
      <c r="I17" s="9">
        <f t="shared" si="5"/>
        <v>5.6462576226266111E-4</v>
      </c>
      <c r="J17" s="9">
        <f t="shared" si="6"/>
        <v>6.9182443183110759E-2</v>
      </c>
    </row>
    <row r="18" spans="1:23" x14ac:dyDescent="0.2">
      <c r="A18" s="1">
        <v>12</v>
      </c>
      <c r="B18" s="6">
        <v>3.99692208515</v>
      </c>
      <c r="C18" s="8">
        <v>3.9108616260100003E-2</v>
      </c>
      <c r="D18" s="9">
        <f t="shared" si="0"/>
        <v>8.6366521139288333E-3</v>
      </c>
      <c r="E18" s="9">
        <f t="shared" si="1"/>
        <v>2.3015207068501926E-2</v>
      </c>
      <c r="F18" s="9">
        <f t="shared" si="2"/>
        <v>2.1275497581589264E-4</v>
      </c>
      <c r="G18" s="9">
        <f t="shared" si="3"/>
        <v>5.9028245598887471E-6</v>
      </c>
      <c r="H18" s="9">
        <f t="shared" si="4"/>
        <v>6.8998058436143372E-2</v>
      </c>
      <c r="I18" s="9">
        <f t="shared" si="5"/>
        <v>6.378242493324085E-4</v>
      </c>
      <c r="J18" s="9">
        <f t="shared" si="6"/>
        <v>6.9003961260703267E-2</v>
      </c>
      <c r="V18" s="1" t="s">
        <v>37</v>
      </c>
    </row>
    <row r="19" spans="1:23" x14ac:dyDescent="0.2">
      <c r="A19" s="1">
        <v>13</v>
      </c>
      <c r="B19" s="6">
        <v>3.99620193825</v>
      </c>
      <c r="C19" s="8">
        <v>4.3412044416699998E-2</v>
      </c>
      <c r="D19" s="9">
        <f t="shared" si="0"/>
        <v>8.6143154948669365E-3</v>
      </c>
      <c r="E19" s="9">
        <f t="shared" si="1"/>
        <v>2.2951764042389258E-2</v>
      </c>
      <c r="F19" s="9">
        <f t="shared" si="2"/>
        <v>2.3695300197160499E-4</v>
      </c>
      <c r="G19" s="9">
        <f t="shared" si="3"/>
        <v>7.339216550486784E-6</v>
      </c>
      <c r="H19" s="9">
        <f t="shared" si="4"/>
        <v>6.8796111391131343E-2</v>
      </c>
      <c r="I19" s="9">
        <f t="shared" si="5"/>
        <v>7.1024691231895236E-4</v>
      </c>
      <c r="J19" s="9">
        <f t="shared" si="6"/>
        <v>6.8803450607681824E-2</v>
      </c>
      <c r="V19" s="1" t="s">
        <v>3</v>
      </c>
      <c r="W19" s="1" t="s">
        <v>5</v>
      </c>
    </row>
    <row r="20" spans="1:23" x14ac:dyDescent="0.2">
      <c r="A20" s="1">
        <v>14</v>
      </c>
      <c r="B20" s="6">
        <v>3.9954067958600001</v>
      </c>
      <c r="C20" s="8">
        <v>4.7702248844100001E-2</v>
      </c>
      <c r="D20" s="9">
        <f t="shared" si="0"/>
        <v>8.5895210025084545E-3</v>
      </c>
      <c r="E20" s="9">
        <f t="shared" si="1"/>
        <v>2.2881363688489285E-2</v>
      </c>
      <c r="F20" s="9">
        <f t="shared" si="2"/>
        <v>2.6087604519745206E-4</v>
      </c>
      <c r="G20" s="9">
        <f t="shared" si="3"/>
        <v>8.92016357713731E-6</v>
      </c>
      <c r="H20" s="9">
        <f t="shared" si="4"/>
        <v>6.8572089939260075E-2</v>
      </c>
      <c r="I20" s="9">
        <f t="shared" si="5"/>
        <v>7.8180600959359525E-4</v>
      </c>
      <c r="J20" s="9">
        <f t="shared" si="6"/>
        <v>6.8581010102837209E-2</v>
      </c>
      <c r="V20" s="9">
        <f>MIN(B7:B506)-1</f>
        <v>-1</v>
      </c>
      <c r="W20" s="7">
        <f>F5</f>
        <v>1.8480682083975579</v>
      </c>
    </row>
    <row r="21" spans="1:23" x14ac:dyDescent="0.2">
      <c r="A21" s="1">
        <v>15</v>
      </c>
      <c r="B21" s="6">
        <v>3.99453690018</v>
      </c>
      <c r="C21" s="8">
        <v>5.1977922704399999E-2</v>
      </c>
      <c r="D21" s="9">
        <f t="shared" si="0"/>
        <v>8.562276189259671E-3</v>
      </c>
      <c r="E21" s="9">
        <f t="shared" si="1"/>
        <v>2.2804034887376232E-2</v>
      </c>
      <c r="F21" s="9">
        <f t="shared" si="2"/>
        <v>2.8449638646368031E-4</v>
      </c>
      <c r="G21" s="9">
        <f t="shared" si="3"/>
        <v>1.0641015323038472E-5</v>
      </c>
      <c r="H21" s="9">
        <f t="shared" si="4"/>
        <v>6.8326108317218526E-2</v>
      </c>
      <c r="I21" s="9">
        <f t="shared" si="5"/>
        <v>8.5241496415410227E-4</v>
      </c>
      <c r="J21" s="9">
        <f t="shared" si="6"/>
        <v>6.8336749332541566E-2</v>
      </c>
      <c r="V21" s="9">
        <f>MAX(B7:B506)+1</f>
        <v>5</v>
      </c>
      <c r="W21" s="7">
        <f>W20</f>
        <v>1.8480682083975579</v>
      </c>
    </row>
    <row r="22" spans="1:23" x14ac:dyDescent="0.2">
      <c r="A22" s="1">
        <v>16</v>
      </c>
      <c r="B22" s="6">
        <v>3.9935925162000001</v>
      </c>
      <c r="C22" s="8">
        <v>5.6237763586000002E-2</v>
      </c>
      <c r="D22" s="9">
        <f t="shared" si="0"/>
        <v>8.5325893539811015E-3</v>
      </c>
      <c r="E22" s="9">
        <f t="shared" si="1"/>
        <v>2.2719809338809085E-2</v>
      </c>
      <c r="F22" s="9">
        <f t="shared" si="2"/>
        <v>3.0778667092507521E-4</v>
      </c>
      <c r="G22" s="9">
        <f t="shared" si="3"/>
        <v>1.2496706119916311E-5</v>
      </c>
      <c r="H22" s="9">
        <f t="shared" si="4"/>
        <v>6.8058291809785731E-2</v>
      </c>
      <c r="I22" s="9">
        <f t="shared" si="5"/>
        <v>9.219884797460505E-4</v>
      </c>
      <c r="J22" s="9">
        <f t="shared" si="6"/>
        <v>6.8070788515905645E-2</v>
      </c>
    </row>
    <row r="23" spans="1:23" x14ac:dyDescent="0.2">
      <c r="A23" s="1">
        <v>17</v>
      </c>
      <c r="B23" s="6">
        <v>3.99257393157</v>
      </c>
      <c r="C23" s="8">
        <v>6.0480473899900002E-2</v>
      </c>
      <c r="D23" s="9">
        <f t="shared" si="0"/>
        <v>8.5004695398049473E-3</v>
      </c>
      <c r="E23" s="9">
        <f t="shared" si="1"/>
        <v>2.2628721543027051E-2</v>
      </c>
      <c r="F23" s="9">
        <f t="shared" si="2"/>
        <v>3.3071994082953758E-4</v>
      </c>
      <c r="G23" s="9">
        <f t="shared" si="3"/>
        <v>1.4481768784560086E-5</v>
      </c>
      <c r="H23" s="9">
        <f t="shared" si="4"/>
        <v>6.7768776646043222E-2</v>
      </c>
      <c r="I23" s="9">
        <f t="shared" si="5"/>
        <v>9.9044265501112391E-4</v>
      </c>
      <c r="J23" s="9">
        <f t="shared" si="6"/>
        <v>6.7783258414827782E-2</v>
      </c>
      <c r="V23" s="1" t="s">
        <v>38</v>
      </c>
    </row>
    <row r="24" spans="1:23" x14ac:dyDescent="0.2">
      <c r="A24" s="1">
        <v>18</v>
      </c>
      <c r="B24" s="6">
        <v>3.9914814565699999</v>
      </c>
      <c r="C24" s="8">
        <v>6.4704761275600001E-2</v>
      </c>
      <c r="D24" s="9">
        <f t="shared" si="0"/>
        <v>8.4659265307019393E-3</v>
      </c>
      <c r="E24" s="9">
        <f t="shared" si="1"/>
        <v>2.253080877768273E-2</v>
      </c>
      <c r="F24" s="9">
        <f t="shared" si="2"/>
        <v>3.5326966790814234E-4</v>
      </c>
      <c r="G24" s="9">
        <f t="shared" si="3"/>
        <v>1.6590349550919987E-5</v>
      </c>
      <c r="H24" s="9">
        <f t="shared" si="4"/>
        <v>6.745770987873273E-2</v>
      </c>
      <c r="I24" s="9">
        <f t="shared" si="5"/>
        <v>1.0576950954213139E-3</v>
      </c>
      <c r="J24" s="9">
        <f t="shared" si="6"/>
        <v>6.7474300228283657E-2</v>
      </c>
      <c r="V24" s="1" t="s">
        <v>3</v>
      </c>
      <c r="W24" s="1" t="s">
        <v>5</v>
      </c>
    </row>
    <row r="25" spans="1:23" x14ac:dyDescent="0.2">
      <c r="A25" s="1">
        <v>19</v>
      </c>
      <c r="B25" s="6">
        <v>3.9903154239799998</v>
      </c>
      <c r="C25" s="8">
        <v>6.8909338954199997E-2</v>
      </c>
      <c r="D25" s="9">
        <f t="shared" si="0"/>
        <v>8.4289708486077475E-3</v>
      </c>
      <c r="E25" s="9">
        <f t="shared" si="1"/>
        <v>2.2426111075221401E-2</v>
      </c>
      <c r="F25" s="9">
        <f t="shared" si="2"/>
        <v>3.7540978526664598E-4</v>
      </c>
      <c r="G25" s="9">
        <f t="shared" si="3"/>
        <v>1.8816224059174637E-5</v>
      </c>
      <c r="H25" s="9">
        <f t="shared" si="4"/>
        <v>6.7125249261163686E-2</v>
      </c>
      <c r="I25" s="9">
        <f t="shared" si="5"/>
        <v>1.1236650230092523E-3</v>
      </c>
      <c r="J25" s="9">
        <f t="shared" si="6"/>
        <v>6.7144065485222865E-2</v>
      </c>
      <c r="V25" s="9">
        <f>(COS(RADIANS(V9))*(V20-E5))-(SIN(RADIANS(V9))*(W20-F5))+E5</f>
        <v>-0.84398970550024788</v>
      </c>
      <c r="W25" s="1">
        <f>(SIN(RADIANS(V9))*(V20-E5))+(COS(RADIANS(V9))*(W20-F5))+F5</f>
        <v>1.1003447827299766</v>
      </c>
    </row>
    <row r="26" spans="1:23" x14ac:dyDescent="0.2">
      <c r="A26" s="1">
        <v>20</v>
      </c>
      <c r="B26" s="6">
        <v>3.9890761889899999</v>
      </c>
      <c r="C26" s="8">
        <v>7.3092926180699999E-2</v>
      </c>
      <c r="D26" s="9">
        <f t="shared" si="0"/>
        <v>8.3896137507192547E-3</v>
      </c>
      <c r="E26" s="9">
        <f t="shared" si="1"/>
        <v>2.2314671199515666E-2</v>
      </c>
      <c r="F26" s="9">
        <f t="shared" si="2"/>
        <v>3.9711471873634611E-4</v>
      </c>
      <c r="G26" s="9">
        <f t="shared" si="3"/>
        <v>2.1152814358496016E-5</v>
      </c>
      <c r="H26" s="9">
        <f t="shared" si="4"/>
        <v>6.6771563117681038E-2</v>
      </c>
      <c r="I26" s="9">
        <f t="shared" si="5"/>
        <v>1.1882733837138401E-3</v>
      </c>
      <c r="J26" s="9">
        <f t="shared" si="6"/>
        <v>6.6792715932039531E-2</v>
      </c>
      <c r="V26" s="9">
        <f>(COS(RADIANS(V9))*(V21-E5))-(SIN(RADIANS(V9))*(W21-F5))+E5</f>
        <v>4.6554004912287201</v>
      </c>
      <c r="W26" s="1">
        <f>(SIN(RADIANS(V9))*(V21-E5))+(COS(RADIANS(V9))*(W21-F5))+F5</f>
        <v>3.4996587397021193</v>
      </c>
    </row>
    <row r="27" spans="1:23" x14ac:dyDescent="0.2">
      <c r="A27" s="1">
        <v>21</v>
      </c>
      <c r="B27" s="6">
        <v>3.9877641290699999</v>
      </c>
      <c r="C27" s="8">
        <v>7.7254248593700003E-2</v>
      </c>
      <c r="D27" s="9">
        <f t="shared" ref="D27:D90" si="7">((B26*C27)-(B27*C26))*0.5</f>
        <v>8.3478672256429576E-3</v>
      </c>
      <c r="E27" s="9">
        <f t="shared" ref="E27:E90" si="8">(B27+B26)*((B26*C27)-(B27*C26))*(1/6)</f>
        <v>2.219653461844014E-2</v>
      </c>
      <c r="F27" s="9">
        <f t="shared" ref="F27:F90" si="9">(C27+C26)*((B26*C27)-(B27*C26))*(1/6)</f>
        <v>4.1835941758907582E-4</v>
      </c>
      <c r="G27" s="9">
        <f t="shared" ref="G27:G90" si="10">(((C26*C26)+(C26*C27)+(C27*C27))*((B26*C27)-(B27*C26)))/12</f>
        <v>2.3593206874412396E-5</v>
      </c>
      <c r="H27" s="9">
        <f t="shared" ref="H27:H90" si="11">(((B26*B26)+(B26*B27)+(B27*B27))*((B26*C27)-(B27*C26)))/12</f>
        <v>6.6396830198381426E-2</v>
      </c>
      <c r="I27" s="9">
        <f t="shared" ref="I27:I90" si="12">(((B26*C27)+(2*B26*C26)+(2*B27*C27)+(B27*C26))*((B26*C27)-(B27*C26)))/24</f>
        <v>1.2514429520177151E-3</v>
      </c>
      <c r="J27" s="9">
        <f t="shared" ref="J27:J90" si="13">G27+H27</f>
        <v>6.6420423405255835E-2</v>
      </c>
    </row>
    <row r="28" spans="1:23" x14ac:dyDescent="0.2">
      <c r="A28" s="1">
        <v>22</v>
      </c>
      <c r="B28" s="6">
        <v>3.9863796438999999</v>
      </c>
      <c r="C28" s="8">
        <v>8.13920386143E-2</v>
      </c>
      <c r="D28" s="9">
        <f t="shared" si="7"/>
        <v>8.3037439896349874E-3</v>
      </c>
      <c r="E28" s="9">
        <f t="shared" si="8"/>
        <v>2.207174947576163E-2</v>
      </c>
      <c r="F28" s="9">
        <f t="shared" si="9"/>
        <v>4.3911938462711203E-4</v>
      </c>
      <c r="G28" s="9">
        <f t="shared" si="10"/>
        <v>2.6130171293886809E-5</v>
      </c>
      <c r="H28" s="9">
        <f t="shared" si="11"/>
        <v>6.6001239528454006E-2</v>
      </c>
      <c r="I28" s="9">
        <f t="shared" si="12"/>
        <v>1.3130984328708361E-3</v>
      </c>
      <c r="J28" s="9">
        <f t="shared" si="13"/>
        <v>6.6027369699747887E-2</v>
      </c>
      <c r="V28" s="1" t="s">
        <v>41</v>
      </c>
    </row>
    <row r="29" spans="1:23" x14ac:dyDescent="0.2">
      <c r="A29" s="1">
        <v>23</v>
      </c>
      <c r="B29" s="6">
        <v>3.9849231552000002</v>
      </c>
      <c r="C29" s="8">
        <v>8.5505035831399998E-2</v>
      </c>
      <c r="D29" s="9">
        <f t="shared" si="7"/>
        <v>8.2572574830882262E-3</v>
      </c>
      <c r="E29" s="9">
        <f t="shared" si="8"/>
        <v>2.1940366562610197E-2</v>
      </c>
      <c r="F29" s="9">
        <f t="shared" si="9"/>
        <v>4.5937070562409633E-4</v>
      </c>
      <c r="G29" s="9">
        <f t="shared" si="10"/>
        <v>2.875618031753565E-5</v>
      </c>
      <c r="H29" s="9">
        <f t="shared" si="11"/>
        <v>6.5584990252539291E-2</v>
      </c>
      <c r="I29" s="9">
        <f t="shared" si="12"/>
        <v>1.3731665607796524E-3</v>
      </c>
      <c r="J29" s="9">
        <f t="shared" si="13"/>
        <v>6.561374643285682E-2</v>
      </c>
      <c r="V29" s="1" t="s">
        <v>3</v>
      </c>
      <c r="W29" s="1" t="s">
        <v>5</v>
      </c>
    </row>
    <row r="30" spans="1:23" x14ac:dyDescent="0.2">
      <c r="A30" s="1">
        <v>24</v>
      </c>
      <c r="B30" s="6">
        <v>3.9833951066200002</v>
      </c>
      <c r="C30" s="8">
        <v>8.9591987386300004E-2</v>
      </c>
      <c r="D30" s="9">
        <f t="shared" si="7"/>
        <v>8.208421866943344E-3</v>
      </c>
      <c r="E30" s="9">
        <f t="shared" si="8"/>
        <v>2.1802439287695756E-2</v>
      </c>
      <c r="F30" s="9">
        <f t="shared" si="9"/>
        <v>4.7909007807228496E-4</v>
      </c>
      <c r="G30" s="9">
        <f t="shared" si="10"/>
        <v>3.1463430225122211E-5</v>
      </c>
      <c r="H30" s="9">
        <f t="shared" si="11"/>
        <v>6.5148291471725919E-2</v>
      </c>
      <c r="I30" s="9">
        <f t="shared" si="12"/>
        <v>1.4315761958895873E-3</v>
      </c>
      <c r="J30" s="9">
        <f t="shared" si="13"/>
        <v>6.5179754901951048E-2</v>
      </c>
      <c r="V30" s="1">
        <f>(COS(RADIANS(V9))*(V15-E5))-(SIN(RADIANS(V9))*(W15-F5))+E5</f>
        <v>2.0087446949698124</v>
      </c>
      <c r="W30" s="9">
        <f>(SIN(RADIANS(V9))*(V15-E5))+(COS(RADIANS(V9))*(W15-F5))+F5</f>
        <v>-0.76237152241526962</v>
      </c>
    </row>
    <row r="31" spans="1:23" x14ac:dyDescent="0.2">
      <c r="A31" s="1">
        <v>25</v>
      </c>
      <c r="B31" s="6">
        <v>3.9817959636400002</v>
      </c>
      <c r="C31" s="8">
        <v>9.3651648354E-2</v>
      </c>
      <c r="D31" s="9">
        <f t="shared" si="7"/>
        <v>8.1572520154827299E-3</v>
      </c>
      <c r="E31" s="9">
        <f t="shared" si="8"/>
        <v>2.1658023637194476E-2</v>
      </c>
      <c r="F31" s="9">
        <f t="shared" si="9"/>
        <v>4.9825483898898175E-4</v>
      </c>
      <c r="G31" s="9">
        <f t="shared" si="10"/>
        <v>3.4243862184069389E-5</v>
      </c>
      <c r="H31" s="9">
        <f t="shared" si="11"/>
        <v>6.469136204709805E-2</v>
      </c>
      <c r="I31" s="9">
        <f t="shared" si="12"/>
        <v>1.4882584163065195E-3</v>
      </c>
      <c r="J31" s="9">
        <f t="shared" si="13"/>
        <v>6.4725605909282113E-2</v>
      </c>
      <c r="V31" s="1">
        <f>(COS(RADIANS(V9))*(V16-E5))-(SIN(RADIANS(V9))*(W16-F5))+E5</f>
        <v>-1.1903405809930436</v>
      </c>
      <c r="W31" s="9">
        <f>(SIN(RADIANS(V9))*(V16-E5))+(COS(RADIANS(V9))*(W16-F5))+F5</f>
        <v>6.5701487398900209</v>
      </c>
    </row>
    <row r="32" spans="1:23" x14ac:dyDescent="0.2">
      <c r="A32" s="1">
        <v>26</v>
      </c>
      <c r="B32" s="6">
        <v>3.9801262133600002</v>
      </c>
      <c r="C32" s="8">
        <v>9.7682782122299999E-2</v>
      </c>
      <c r="D32" s="9">
        <f t="shared" si="7"/>
        <v>8.1037635167856836E-3</v>
      </c>
      <c r="E32" s="9">
        <f t="shared" si="8"/>
        <v>2.1507178153819813E-2</v>
      </c>
      <c r="F32" s="9">
        <f t="shared" si="9"/>
        <v>5.1684299239960216E-4</v>
      </c>
      <c r="G32" s="9">
        <f t="shared" si="10"/>
        <v>3.708918428520443E-5</v>
      </c>
      <c r="H32" s="9">
        <f t="shared" si="11"/>
        <v>6.4214430456754942E-2</v>
      </c>
      <c r="I32" s="9">
        <f t="shared" si="12"/>
        <v>1.5431466084415066E-3</v>
      </c>
      <c r="J32" s="9">
        <f t="shared" si="13"/>
        <v>6.4251519641040145E-2</v>
      </c>
    </row>
    <row r="33" spans="1:10" x14ac:dyDescent="0.2">
      <c r="A33" s="1">
        <v>27</v>
      </c>
      <c r="B33" s="6">
        <v>3.9783863644099999</v>
      </c>
      <c r="C33" s="8">
        <v>0.101684160769</v>
      </c>
      <c r="D33" s="9">
        <f t="shared" si="7"/>
        <v>8.0479726636090987E-3</v>
      </c>
      <c r="E33" s="9">
        <f t="shared" si="8"/>
        <v>2.1349963889627378E-2</v>
      </c>
      <c r="F33" s="9">
        <f t="shared" si="9"/>
        <v>5.3483323547216625E-4</v>
      </c>
      <c r="G33" s="9">
        <f t="shared" si="10"/>
        <v>3.9990894181464124E-5</v>
      </c>
      <c r="H33" s="9">
        <f t="shared" si="11"/>
        <v>6.3717734571526047E-2</v>
      </c>
      <c r="I33" s="9">
        <f t="shared" si="12"/>
        <v>1.5961765523041921E-3</v>
      </c>
      <c r="J33" s="9">
        <f t="shared" si="13"/>
        <v>6.3757725465707515E-2</v>
      </c>
    </row>
    <row r="34" spans="1:10" x14ac:dyDescent="0.2">
      <c r="A34" s="1">
        <v>28</v>
      </c>
      <c r="B34" s="6">
        <v>3.9765769467599998</v>
      </c>
      <c r="C34" s="8">
        <v>0.105654565435</v>
      </c>
      <c r="D34" s="9">
        <f t="shared" si="7"/>
        <v>7.9898964498125447E-3</v>
      </c>
      <c r="E34" s="9">
        <f t="shared" si="8"/>
        <v>2.1186444372768738E-2</v>
      </c>
      <c r="F34" s="9">
        <f t="shared" si="9"/>
        <v>5.5220498413533154E-4</v>
      </c>
      <c r="G34" s="9">
        <f t="shared" si="10"/>
        <v>4.2940302323302608E-5</v>
      </c>
      <c r="H34" s="9">
        <f t="shared" si="11"/>
        <v>6.3201521469772245E-2</v>
      </c>
      <c r="I34" s="9">
        <f t="shared" si="12"/>
        <v>1.6472865042082856E-3</v>
      </c>
      <c r="J34" s="9">
        <f t="shared" si="13"/>
        <v>6.3244461772095542E-2</v>
      </c>
    </row>
    <row r="35" spans="1:10" x14ac:dyDescent="0.2">
      <c r="A35" s="1">
        <v>29</v>
      </c>
      <c r="B35" s="6">
        <v>3.9746985115700002</v>
      </c>
      <c r="C35" s="8">
        <v>0.109592786697</v>
      </c>
      <c r="D35" s="9">
        <f t="shared" si="7"/>
        <v>7.9295525677032241E-3</v>
      </c>
      <c r="E35" s="9">
        <f t="shared" si="8"/>
        <v>2.1016685575705428E-2</v>
      </c>
      <c r="F35" s="9">
        <f t="shared" si="9"/>
        <v>5.6893839792987347E-4</v>
      </c>
      <c r="G35" s="9">
        <f t="shared" si="10"/>
        <v>4.5928555717031458E-5</v>
      </c>
      <c r="H35" s="9">
        <f t="shared" si="11"/>
        <v>6.2666047253394877E-2</v>
      </c>
      <c r="I35" s="9">
        <f t="shared" si="12"/>
        <v>1.6964172761022411E-3</v>
      </c>
      <c r="J35" s="9">
        <f t="shared" si="13"/>
        <v>6.2711975809111906E-2</v>
      </c>
    </row>
    <row r="36" spans="1:10" x14ac:dyDescent="0.2">
      <c r="A36" s="1">
        <v>30</v>
      </c>
      <c r="B36" s="6">
        <v>3.97275163105</v>
      </c>
      <c r="C36" s="8">
        <v>0.113497624935</v>
      </c>
      <c r="D36" s="9">
        <f t="shared" si="7"/>
        <v>7.866959397026585E-3</v>
      </c>
      <c r="E36" s="9">
        <f t="shared" si="8"/>
        <v>2.0840755860628227E-2</v>
      </c>
      <c r="F36" s="9">
        <f t="shared" si="9"/>
        <v>5.8501440339163045E-4</v>
      </c>
      <c r="G36" s="9">
        <f t="shared" si="10"/>
        <v>4.8946662087145968E-5</v>
      </c>
      <c r="H36" s="9">
        <f t="shared" si="11"/>
        <v>6.2111576793758595E-2</v>
      </c>
      <c r="I36" s="9">
        <f t="shared" si="12"/>
        <v>1.7435123094336044E-3</v>
      </c>
      <c r="J36" s="9">
        <f t="shared" si="13"/>
        <v>6.2160523455845738E-2</v>
      </c>
    </row>
    <row r="37" spans="1:10" x14ac:dyDescent="0.2">
      <c r="A37" s="1">
        <v>31</v>
      </c>
      <c r="B37" s="6">
        <v>3.9707368982100002</v>
      </c>
      <c r="C37" s="8">
        <v>0.117367890696</v>
      </c>
      <c r="D37" s="9">
        <f t="shared" si="7"/>
        <v>7.8021360034141174E-3</v>
      </c>
      <c r="E37" s="9">
        <f t="shared" si="8"/>
        <v>2.0658725948948832E-2</v>
      </c>
      <c r="F37" s="9">
        <f t="shared" si="9"/>
        <v>6.0041471715046322E-4</v>
      </c>
      <c r="G37" s="9">
        <f t="shared" si="10"/>
        <v>5.1985514469442577E-5</v>
      </c>
      <c r="H37" s="9">
        <f t="shared" si="11"/>
        <v>6.1538383546309867E-2</v>
      </c>
      <c r="I37" s="9">
        <f t="shared" si="12"/>
        <v>1.7885177470331173E-3</v>
      </c>
      <c r="J37" s="9">
        <f t="shared" si="13"/>
        <v>6.1590369060779311E-2</v>
      </c>
    </row>
    <row r="38" spans="1:10" x14ac:dyDescent="0.2">
      <c r="A38" s="1">
        <v>32</v>
      </c>
      <c r="B38" s="6">
        <v>3.9686549267800002</v>
      </c>
      <c r="C38" s="8">
        <v>0.121202405062</v>
      </c>
      <c r="D38" s="9">
        <f t="shared" si="7"/>
        <v>7.7351021375104967E-3</v>
      </c>
      <c r="E38" s="9">
        <f t="shared" si="8"/>
        <v>2.0470668892004502E-2</v>
      </c>
      <c r="F38" s="9">
        <f t="shared" si="9"/>
        <v>6.1512186822140563E-4</v>
      </c>
      <c r="G38" s="9">
        <f t="shared" si="10"/>
        <v>5.5035916139029152E-5</v>
      </c>
      <c r="H38" s="9">
        <f t="shared" si="11"/>
        <v>6.0946749366997156E-2</v>
      </c>
      <c r="I38" s="9">
        <f t="shared" si="12"/>
        <v>1.8313825014726565E-3</v>
      </c>
      <c r="J38" s="9">
        <f t="shared" si="13"/>
        <v>6.1001785283136184E-2</v>
      </c>
    </row>
    <row r="39" spans="1:10" x14ac:dyDescent="0.2">
      <c r="A39" s="1">
        <v>33</v>
      </c>
      <c r="B39" s="6">
        <v>3.96650635095</v>
      </c>
      <c r="C39" s="8">
        <v>0.125</v>
      </c>
      <c r="D39" s="9">
        <f t="shared" si="7"/>
        <v>7.6658782093312894E-3</v>
      </c>
      <c r="E39" s="9">
        <f t="shared" si="8"/>
        <v>2.0276659975493279E-2</v>
      </c>
      <c r="F39" s="9">
        <f t="shared" si="9"/>
        <v>6.2911921734991371E-4</v>
      </c>
      <c r="G39" s="9">
        <f t="shared" si="10"/>
        <v>5.8088605610233237E-5</v>
      </c>
      <c r="H39" s="9">
        <f t="shared" si="11"/>
        <v>6.0336964129236691E-2</v>
      </c>
      <c r="I39" s="9">
        <f t="shared" si="12"/>
        <v>1.8720583135080104E-3</v>
      </c>
      <c r="J39" s="9">
        <f t="shared" si="13"/>
        <v>6.0395052734846924E-2</v>
      </c>
    </row>
    <row r="40" spans="1:10" x14ac:dyDescent="0.2">
      <c r="A40" s="1">
        <v>34</v>
      </c>
      <c r="B40" s="6">
        <v>3.9642918251800001</v>
      </c>
      <c r="C40" s="8">
        <v>0.12875951872800001</v>
      </c>
      <c r="D40" s="9">
        <f t="shared" si="7"/>
        <v>7.594485316188726E-3</v>
      </c>
      <c r="E40" s="9">
        <f t="shared" si="8"/>
        <v>2.0076776764758539E-2</v>
      </c>
      <c r="F40" s="9">
        <f t="shared" si="9"/>
        <v>6.4239097960763802E-4</v>
      </c>
      <c r="G40" s="9">
        <f t="shared" si="10"/>
        <v>6.1134282195652101E-5</v>
      </c>
      <c r="H40" s="9">
        <f t="shared" si="11"/>
        <v>5.9709325757539435E-2</v>
      </c>
      <c r="I40" s="9">
        <f t="shared" si="12"/>
        <v>1.9104998190264983E-3</v>
      </c>
      <c r="J40" s="9">
        <f t="shared" si="13"/>
        <v>5.9770460039735088E-2</v>
      </c>
    </row>
    <row r="41" spans="1:10" x14ac:dyDescent="0.2">
      <c r="A41" s="1">
        <v>35</v>
      </c>
      <c r="B41" s="6">
        <v>3.9620120240399999</v>
      </c>
      <c r="C41" s="8">
        <v>0.13247981605799999</v>
      </c>
      <c r="D41" s="9">
        <f t="shared" si="7"/>
        <v>7.5209451950699058E-3</v>
      </c>
      <c r="E41" s="9">
        <f t="shared" si="8"/>
        <v>1.9871098949818419E-2</v>
      </c>
      <c r="F41" s="9">
        <f t="shared" si="9"/>
        <v>6.5492223990734188E-4</v>
      </c>
      <c r="G41" s="9">
        <f t="shared" si="10"/>
        <v>6.4163631128981639E-5</v>
      </c>
      <c r="H41" s="9">
        <f t="shared" si="11"/>
        <v>5.9064139664069037E-2</v>
      </c>
      <c r="I41" s="9">
        <f t="shared" si="12"/>
        <v>1.946664593786373E-3</v>
      </c>
      <c r="J41" s="9">
        <f t="shared" si="13"/>
        <v>5.9128303295198019E-2</v>
      </c>
    </row>
    <row r="42" spans="1:10" x14ac:dyDescent="0.2">
      <c r="A42" s="1">
        <v>36</v>
      </c>
      <c r="B42" s="6">
        <v>3.9596676419899999</v>
      </c>
      <c r="C42" s="8">
        <v>0.13615975875399999</v>
      </c>
      <c r="D42" s="9">
        <f t="shared" si="7"/>
        <v>7.4452802560419085E-3</v>
      </c>
      <c r="E42" s="9">
        <f t="shared" si="8"/>
        <v>1.9659708404060606E-2</v>
      </c>
      <c r="F42" s="9">
        <f t="shared" si="9"/>
        <v>6.6669897411309213E-4</v>
      </c>
      <c r="G42" s="9">
        <f t="shared" si="10"/>
        <v>6.716734934263753E-5</v>
      </c>
      <c r="H42" s="9">
        <f t="shared" si="11"/>
        <v>5.8401718819205889E-2</v>
      </c>
      <c r="I42" s="9">
        <f t="shared" si="12"/>
        <v>1.9805132136455584E-3</v>
      </c>
      <c r="J42" s="9">
        <f t="shared" si="13"/>
        <v>5.8468886168548527E-2</v>
      </c>
    </row>
    <row r="43" spans="1:10" x14ac:dyDescent="0.2">
      <c r="A43" s="1">
        <v>37</v>
      </c>
      <c r="B43" s="6">
        <v>3.9572593931400002</v>
      </c>
      <c r="C43" s="8">
        <v>0.139798225868</v>
      </c>
      <c r="D43" s="9">
        <f t="shared" si="7"/>
        <v>7.3675135400930736E-3</v>
      </c>
      <c r="E43" s="9">
        <f t="shared" si="8"/>
        <v>1.9442689042416396E-2</v>
      </c>
      <c r="F43" s="9">
        <f t="shared" si="9"/>
        <v>6.7770806273312703E-4</v>
      </c>
      <c r="G43" s="9">
        <f t="shared" si="10"/>
        <v>7.0136170616367938E-5</v>
      </c>
      <c r="H43" s="9">
        <f t="shared" si="11"/>
        <v>5.7722383223703412E-2</v>
      </c>
      <c r="I43" s="9">
        <f t="shared" si="12"/>
        <v>2.0120092915575445E-3</v>
      </c>
      <c r="J43" s="9">
        <f t="shared" si="13"/>
        <v>5.7792519394319779E-2</v>
      </c>
    </row>
    <row r="44" spans="1:10" x14ac:dyDescent="0.2">
      <c r="A44" s="1">
        <v>38</v>
      </c>
      <c r="B44" s="6">
        <v>3.9547880110700002</v>
      </c>
      <c r="C44" s="8">
        <v>0.14339410908799999</v>
      </c>
      <c r="D44" s="9">
        <f t="shared" si="7"/>
        <v>7.2876687389036854E-3</v>
      </c>
      <c r="E44" s="9">
        <f t="shared" si="8"/>
        <v>1.9220126842795088E-2</v>
      </c>
      <c r="F44" s="9">
        <f t="shared" si="9"/>
        <v>6.8793730885199412E-4</v>
      </c>
      <c r="G44" s="9">
        <f t="shared" si="10"/>
        <v>7.3060891144675286E-5</v>
      </c>
      <c r="H44" s="9">
        <f t="shared" si="11"/>
        <v>5.7026459865300951E-2</v>
      </c>
      <c r="I44" s="9">
        <f t="shared" si="12"/>
        <v>2.0411195260329404E-3</v>
      </c>
      <c r="J44" s="9">
        <f t="shared" si="13"/>
        <v>5.7099520756445629E-2</v>
      </c>
    </row>
    <row r="45" spans="1:10" x14ac:dyDescent="0.2">
      <c r="A45" s="1">
        <v>39</v>
      </c>
      <c r="B45" s="6">
        <v>3.9522542485900001</v>
      </c>
      <c r="C45" s="8">
        <v>0.14694631307299999</v>
      </c>
      <c r="D45" s="9">
        <f t="shared" si="7"/>
        <v>7.2057701731066404E-3</v>
      </c>
      <c r="E45" s="9">
        <f t="shared" si="8"/>
        <v>1.899210975738392E-2</v>
      </c>
      <c r="F45" s="9">
        <f t="shared" si="9"/>
        <v>6.9737545135164125E-4</v>
      </c>
      <c r="G45" s="9">
        <f t="shared" si="10"/>
        <v>7.5932394585958177E-5</v>
      </c>
      <c r="H45" s="9">
        <f t="shared" si="11"/>
        <v>5.6314282346930096E-2</v>
      </c>
      <c r="I45" s="9">
        <f t="shared" si="12"/>
        <v>2.0678137344613107E-3</v>
      </c>
      <c r="J45" s="9">
        <f t="shared" si="13"/>
        <v>5.6390214741516051E-2</v>
      </c>
    </row>
    <row r="46" spans="1:10" x14ac:dyDescent="0.2">
      <c r="A46" s="1">
        <v>40</v>
      </c>
      <c r="B46" s="6">
        <v>3.9496588775100001</v>
      </c>
      <c r="C46" s="8">
        <v>0.15045375578799999</v>
      </c>
      <c r="D46" s="9">
        <f t="shared" si="7"/>
        <v>7.1218427916535654E-3</v>
      </c>
      <c r="E46" s="9">
        <f t="shared" si="8"/>
        <v>1.8758727679129325E-2</v>
      </c>
      <c r="F46" s="9">
        <f t="shared" si="9"/>
        <v>7.0601217888499558E-4</v>
      </c>
      <c r="G46" s="9">
        <f t="shared" si="10"/>
        <v>7.8741677065147881E-5</v>
      </c>
      <c r="H46" s="9">
        <f t="shared" si="11"/>
        <v>5.5586190677592129E-2</v>
      </c>
      <c r="I46" s="9">
        <f t="shared" si="12"/>
        <v>2.0920648875293155E-3</v>
      </c>
      <c r="J46" s="9">
        <f t="shared" si="13"/>
        <v>5.5664932354657276E-2</v>
      </c>
    </row>
    <row r="47" spans="1:10" x14ac:dyDescent="0.2">
      <c r="A47" s="1">
        <v>41</v>
      </c>
      <c r="B47" s="6">
        <v>3.9470026884</v>
      </c>
      <c r="C47" s="8">
        <v>0.15391536883099999</v>
      </c>
      <c r="D47" s="9">
        <f t="shared" si="7"/>
        <v>7.0359121567360461E-3</v>
      </c>
      <c r="E47" s="9">
        <f t="shared" si="8"/>
        <v>1.8520072369738821E-2</v>
      </c>
      <c r="F47" s="9">
        <f t="shared" si="9"/>
        <v>7.1383814134731022E-4</v>
      </c>
      <c r="G47" s="9">
        <f t="shared" si="10"/>
        <v>8.1479871728948287E-5</v>
      </c>
      <c r="H47" s="9">
        <f t="shared" si="11"/>
        <v>5.4842530948360474E-2</v>
      </c>
      <c r="I47" s="9">
        <f t="shared" si="12"/>
        <v>2.1138491351011608E-3</v>
      </c>
      <c r="J47" s="9">
        <f t="shared" si="13"/>
        <v>5.4924010820089422E-2</v>
      </c>
    </row>
    <row r="48" spans="1:10" x14ac:dyDescent="0.2">
      <c r="A48" s="1">
        <v>42</v>
      </c>
      <c r="B48" s="6">
        <v>3.9442864903600001</v>
      </c>
      <c r="C48" s="8">
        <v>0.15733009776199999</v>
      </c>
      <c r="D48" s="9">
        <f t="shared" si="7"/>
        <v>6.9480044469794611E-3</v>
      </c>
      <c r="E48" s="9">
        <f t="shared" si="8"/>
        <v>1.8276237435475125E-2</v>
      </c>
      <c r="F48" s="9">
        <f t="shared" si="9"/>
        <v>7.2084496199678702E-4</v>
      </c>
      <c r="G48" s="9">
        <f t="shared" si="10"/>
        <v>8.413827313205243E-5</v>
      </c>
      <c r="H48" s="9">
        <f t="shared" si="11"/>
        <v>5.4083655149484704E-2</v>
      </c>
      <c r="I48" s="9">
        <f t="shared" si="12"/>
        <v>2.1331458329259538E-3</v>
      </c>
      <c r="J48" s="9">
        <f t="shared" si="13"/>
        <v>5.4167793422616753E-2</v>
      </c>
    </row>
    <row r="49" spans="1:10" x14ac:dyDescent="0.2">
      <c r="A49" s="1">
        <v>43</v>
      </c>
      <c r="B49" s="6">
        <v>3.94151111078</v>
      </c>
      <c r="C49" s="8">
        <v>0.16069690242199999</v>
      </c>
      <c r="D49" s="9">
        <f t="shared" si="7"/>
        <v>6.8581464383835611E-3</v>
      </c>
      <c r="E49" s="9">
        <f t="shared" si="8"/>
        <v>1.8027318244023972E-2</v>
      </c>
      <c r="F49" s="9">
        <f t="shared" si="9"/>
        <v>7.2702524620723587E-4</v>
      </c>
      <c r="G49" s="9">
        <f t="shared" si="10"/>
        <v>8.6708360943170884E-5</v>
      </c>
      <c r="H49" s="9">
        <f t="shared" si="11"/>
        <v>5.3309920812494471E-2</v>
      </c>
      <c r="I49" s="9">
        <f t="shared" si="12"/>
        <v>2.1499375582899717E-3</v>
      </c>
      <c r="J49" s="9">
        <f t="shared" si="13"/>
        <v>5.339662917343764E-2</v>
      </c>
    </row>
    <row r="50" spans="1:10" x14ac:dyDescent="0.2">
      <c r="A50" s="1">
        <v>44</v>
      </c>
      <c r="B50" s="6">
        <v>3.93867739506</v>
      </c>
      <c r="C50" s="8">
        <v>0.16401475724799999</v>
      </c>
      <c r="D50" s="9">
        <f t="shared" si="7"/>
        <v>6.7663654995913092E-3</v>
      </c>
      <c r="E50" s="9">
        <f t="shared" si="8"/>
        <v>1.7773411878730584E-2</v>
      </c>
      <c r="F50" s="9">
        <f t="shared" si="9"/>
        <v>7.3237259043537411E-4</v>
      </c>
      <c r="G50" s="9">
        <f t="shared" si="10"/>
        <v>8.9181823303008314E-5</v>
      </c>
      <c r="H50" s="9">
        <f t="shared" si="11"/>
        <v>5.2521690762522388E-2</v>
      </c>
      <c r="I50" s="9">
        <f t="shared" si="12"/>
        <v>2.1642101252444387E-3</v>
      </c>
      <c r="J50" s="9">
        <f t="shared" si="13"/>
        <v>5.2610872585825398E-2</v>
      </c>
    </row>
    <row r="51" spans="1:10" x14ac:dyDescent="0.2">
      <c r="A51" s="1">
        <v>45</v>
      </c>
      <c r="B51" s="6">
        <v>3.93578620637</v>
      </c>
      <c r="C51" s="8">
        <v>0.16728265159</v>
      </c>
      <c r="D51" s="9">
        <f t="shared" si="7"/>
        <v>6.6726895927142205E-3</v>
      </c>
      <c r="E51" s="9">
        <f t="shared" si="8"/>
        <v>1.7514617107156297E-2</v>
      </c>
      <c r="F51" s="9">
        <f t="shared" si="9"/>
        <v>7.3688159068217005E-4</v>
      </c>
      <c r="G51" s="9">
        <f t="shared" si="10"/>
        <v>9.1550579710972547E-5</v>
      </c>
      <c r="H51" s="9">
        <f t="shared" si="11"/>
        <v>5.1719332912766473E-2</v>
      </c>
      <c r="I51" s="9">
        <f t="shared" si="12"/>
        <v>2.1759525973034316E-3</v>
      </c>
      <c r="J51" s="9">
        <f t="shared" si="13"/>
        <v>5.1810883492477443E-2</v>
      </c>
    </row>
    <row r="52" spans="1:10" x14ac:dyDescent="0.2">
      <c r="A52" s="1">
        <v>46</v>
      </c>
      <c r="B52" s="6">
        <v>3.9328384253999999</v>
      </c>
      <c r="C52" s="8">
        <v>0.17049959001600001</v>
      </c>
      <c r="D52" s="9">
        <f t="shared" si="7"/>
        <v>6.577147250380333E-3</v>
      </c>
      <c r="E52" s="9">
        <f t="shared" si="8"/>
        <v>1.7251034287040338E-2</v>
      </c>
      <c r="F52" s="9">
        <f t="shared" si="9"/>
        <v>7.4054784720206939E-4</v>
      </c>
      <c r="G52" s="9">
        <f t="shared" si="10"/>
        <v>9.3806802978181223E-5</v>
      </c>
      <c r="H52" s="9">
        <f t="shared" si="11"/>
        <v>5.0903219874257354E-2</v>
      </c>
      <c r="I52" s="9">
        <f t="shared" si="12"/>
        <v>2.1851572880632339E-3</v>
      </c>
      <c r="J52" s="9">
        <f t="shared" si="13"/>
        <v>5.0997026677235532E-2</v>
      </c>
    </row>
    <row r="53" spans="1:10" x14ac:dyDescent="0.2">
      <c r="A53" s="1">
        <v>47</v>
      </c>
      <c r="B53" s="6">
        <v>3.9298349500800001</v>
      </c>
      <c r="C53" s="8">
        <v>0.173664592615</v>
      </c>
      <c r="D53" s="9">
        <f t="shared" si="7"/>
        <v>6.4797675742606087E-3</v>
      </c>
      <c r="E53" s="9">
        <f t="shared" si="8"/>
        <v>1.6982765328479171E-2</v>
      </c>
      <c r="F53" s="9">
        <f t="shared" si="9"/>
        <v>7.433679702780867E-4</v>
      </c>
      <c r="G53" s="9">
        <f t="shared" si="10"/>
        <v>9.5942940764989629E-5</v>
      </c>
      <c r="H53" s="9">
        <f t="shared" si="11"/>
        <v>5.0073728731892676E-2</v>
      </c>
      <c r="I53" s="9">
        <f t="shared" si="12"/>
        <v>2.1918197640039129E-3</v>
      </c>
      <c r="J53" s="9">
        <f t="shared" si="13"/>
        <v>5.0169671672657665E-2</v>
      </c>
    </row>
    <row r="54" spans="1:10" x14ac:dyDescent="0.2">
      <c r="A54" s="1">
        <v>48</v>
      </c>
      <c r="B54" s="6">
        <v>3.9267766953000001</v>
      </c>
      <c r="C54" s="8">
        <v>0.17677669529699999</v>
      </c>
      <c r="D54" s="9">
        <f t="shared" si="7"/>
        <v>6.3805802292214442E-3</v>
      </c>
      <c r="E54" s="9">
        <f t="shared" si="8"/>
        <v>1.6709913644394194E-2</v>
      </c>
      <c r="F54" s="9">
        <f t="shared" si="9"/>
        <v>7.4533958438473573E-4</v>
      </c>
      <c r="G54" s="9">
        <f t="shared" si="10"/>
        <v>9.7951736335002464E-5</v>
      </c>
      <c r="H54" s="9">
        <f t="shared" si="11"/>
        <v>4.9231240785985231E-2</v>
      </c>
      <c r="I54" s="9">
        <f t="shared" si="12"/>
        <v>2.1959388415887216E-3</v>
      </c>
      <c r="J54" s="9">
        <f t="shared" si="13"/>
        <v>4.9329192522320237E-2</v>
      </c>
    </row>
    <row r="55" spans="1:10" x14ac:dyDescent="0.2">
      <c r="A55" s="1">
        <v>49</v>
      </c>
      <c r="B55" s="6">
        <v>3.9236645926099998</v>
      </c>
      <c r="C55" s="8">
        <v>0.179834950085</v>
      </c>
      <c r="D55" s="9">
        <f t="shared" si="7"/>
        <v>6.2796154293855988E-3</v>
      </c>
      <c r="E55" s="9">
        <f t="shared" si="8"/>
        <v>1.6432584079681796E-2</v>
      </c>
      <c r="F55" s="9">
        <f t="shared" si="9"/>
        <v>7.4646133021313084E-4</v>
      </c>
      <c r="G55" s="9">
        <f t="shared" si="10"/>
        <v>9.9826248391148229E-5</v>
      </c>
      <c r="H55" s="9">
        <f t="shared" si="11"/>
        <v>4.8376141231454339E-2</v>
      </c>
      <c r="I55" s="9">
        <f t="shared" si="12"/>
        <v>2.1975165771630873E-3</v>
      </c>
      <c r="J55" s="9">
        <f t="shared" si="13"/>
        <v>4.8475967479845485E-2</v>
      </c>
    </row>
    <row r="56" spans="1:10" x14ac:dyDescent="0.2">
      <c r="A56" s="1">
        <v>50</v>
      </c>
      <c r="B56" s="6">
        <v>3.9204995900199999</v>
      </c>
      <c r="C56" s="8">
        <v>0.182838425405</v>
      </c>
      <c r="D56" s="9">
        <f t="shared" si="7"/>
        <v>6.176903925326771E-3</v>
      </c>
      <c r="E56" s="9">
        <f t="shared" si="8"/>
        <v>1.6150882843531632E-2</v>
      </c>
      <c r="F56" s="9">
        <f t="shared" si="9"/>
        <v>7.4673286555856368E-4</v>
      </c>
      <c r="G56" s="9">
        <f t="shared" si="10"/>
        <v>1.0155987006180167E-4</v>
      </c>
      <c r="H56" s="9">
        <f t="shared" si="11"/>
        <v>4.7508818847803981E-2</v>
      </c>
      <c r="I56" s="9">
        <f t="shared" si="12"/>
        <v>2.1965582526821399E-3</v>
      </c>
      <c r="J56" s="9">
        <f t="shared" si="13"/>
        <v>4.7610378717865783E-2</v>
      </c>
    </row>
    <row r="57" spans="1:10" x14ac:dyDescent="0.2">
      <c r="A57" s="1">
        <v>51</v>
      </c>
      <c r="B57" s="6">
        <v>3.9172826515899999</v>
      </c>
      <c r="C57" s="8">
        <v>0.18578620636900001</v>
      </c>
      <c r="D57" s="9">
        <f t="shared" si="7"/>
        <v>6.0724770089983782E-3</v>
      </c>
      <c r="E57" s="9">
        <f t="shared" si="8"/>
        <v>1.5864917487904164E-2</v>
      </c>
      <c r="F57" s="9">
        <f t="shared" si="9"/>
        <v>7.4615486713270273E-4</v>
      </c>
      <c r="G57" s="9">
        <f t="shared" si="10"/>
        <v>1.0314634727278501E-4</v>
      </c>
      <c r="H57" s="9">
        <f t="shared" si="11"/>
        <v>4.6629665825163674E-2</v>
      </c>
      <c r="I57" s="9">
        <f t="shared" si="12"/>
        <v>2.1930723633194061E-3</v>
      </c>
      <c r="J57" s="9">
        <f t="shared" si="13"/>
        <v>4.673281217243646E-2</v>
      </c>
    </row>
    <row r="58" spans="1:10" x14ac:dyDescent="0.2">
      <c r="A58" s="1">
        <v>52</v>
      </c>
      <c r="B58" s="6">
        <v>3.9140147572499999</v>
      </c>
      <c r="C58" s="8">
        <v>0.18867739505600001</v>
      </c>
      <c r="D58" s="9">
        <f t="shared" si="7"/>
        <v>5.9663664891508317E-3</v>
      </c>
      <c r="E58" s="9">
        <f t="shared" si="8"/>
        <v>1.5574796808892236E-2</v>
      </c>
      <c r="F58" s="9">
        <f t="shared" si="9"/>
        <v>7.4472902764961791E-4</v>
      </c>
      <c r="G58" s="9">
        <f t="shared" si="10"/>
        <v>1.0457979569605401E-4</v>
      </c>
      <c r="H58" s="9">
        <f t="shared" si="11"/>
        <v>4.5739077364575387E-2</v>
      </c>
      <c r="I58" s="9">
        <f t="shared" si="12"/>
        <v>2.1870705904108892E-3</v>
      </c>
      <c r="J58" s="9">
        <f t="shared" si="13"/>
        <v>4.5843657160271438E-2</v>
      </c>
    </row>
    <row r="59" spans="1:10" x14ac:dyDescent="0.2">
      <c r="A59" s="1">
        <v>53</v>
      </c>
      <c r="B59" s="6">
        <v>3.9106969024199998</v>
      </c>
      <c r="C59" s="8">
        <v>0.19151111077999999</v>
      </c>
      <c r="D59" s="9">
        <f t="shared" si="7"/>
        <v>5.8586046840428119E-3</v>
      </c>
      <c r="E59" s="9">
        <f t="shared" si="8"/>
        <v>1.5280630793542353E-2</v>
      </c>
      <c r="F59" s="9">
        <f t="shared" si="9"/>
        <v>7.4245805370334243E-4</v>
      </c>
      <c r="G59" s="9">
        <f t="shared" si="10"/>
        <v>1.058547169592771E-4</v>
      </c>
      <c r="H59" s="9">
        <f t="shared" si="11"/>
        <v>4.4837451413689645E-2</v>
      </c>
      <c r="I59" s="9">
        <f t="shared" si="12"/>
        <v>2.1785677760370889E-3</v>
      </c>
      <c r="J59" s="9">
        <f t="shared" si="13"/>
        <v>4.4943306130648925E-2</v>
      </c>
    </row>
    <row r="60" spans="1:10" x14ac:dyDescent="0.2">
      <c r="A60" s="1">
        <v>54</v>
      </c>
      <c r="B60" s="6">
        <v>3.9073300977600001</v>
      </c>
      <c r="C60" s="8">
        <v>0.194286490364</v>
      </c>
      <c r="D60" s="9">
        <f t="shared" si="7"/>
        <v>5.7492244212021815E-3</v>
      </c>
      <c r="E60" s="9">
        <f t="shared" si="8"/>
        <v>1.4982530585017627E-2</v>
      </c>
      <c r="F60" s="9">
        <f t="shared" si="9"/>
        <v>7.3934566337943448E-4</v>
      </c>
      <c r="G60" s="9">
        <f t="shared" si="10"/>
        <v>1.06966013952751E-4</v>
      </c>
      <c r="H60" s="9">
        <f t="shared" si="11"/>
        <v>4.392518845715921E-2</v>
      </c>
      <c r="I60" s="9">
        <f t="shared" si="12"/>
        <v>2.1675818961341487E-3</v>
      </c>
      <c r="J60" s="9">
        <f t="shared" si="13"/>
        <v>4.4032154471111959E-2</v>
      </c>
    </row>
    <row r="61" spans="1:10" x14ac:dyDescent="0.2">
      <c r="A61" s="1">
        <v>55</v>
      </c>
      <c r="B61" s="6">
        <v>3.9039153688299999</v>
      </c>
      <c r="C61" s="8">
        <v>0.197002688402</v>
      </c>
      <c r="D61" s="9">
        <f t="shared" si="7"/>
        <v>5.6382590223540974E-3</v>
      </c>
      <c r="E61" s="9">
        <f t="shared" si="8"/>
        <v>1.4680608409274536E-2</v>
      </c>
      <c r="F61" s="9">
        <f t="shared" si="9"/>
        <v>7.353965808423082E-4</v>
      </c>
      <c r="G61" s="9">
        <f t="shared" si="10"/>
        <v>1.0790900480119927E-4</v>
      </c>
      <c r="H61" s="9">
        <f t="shared" si="11"/>
        <v>4.3002691195740239E-2</v>
      </c>
      <c r="I61" s="9">
        <f t="shared" si="12"/>
        <v>2.1541340241228663E-3</v>
      </c>
      <c r="J61" s="9">
        <f t="shared" si="13"/>
        <v>4.3110600200541437E-2</v>
      </c>
    </row>
    <row r="62" spans="1:10" x14ac:dyDescent="0.2">
      <c r="A62" s="1">
        <v>56</v>
      </c>
      <c r="B62" s="6">
        <v>3.9004537557900001</v>
      </c>
      <c r="C62" s="8">
        <v>0.19965887751200001</v>
      </c>
      <c r="D62" s="9">
        <f t="shared" si="7"/>
        <v>5.5257422820677027E-3</v>
      </c>
      <c r="E62" s="9">
        <f t="shared" si="8"/>
        <v>1.4374977485592147E-2</v>
      </c>
      <c r="F62" s="9">
        <f t="shared" si="9"/>
        <v>7.306165288140582E-4</v>
      </c>
      <c r="G62" s="9">
        <f t="shared" si="10"/>
        <v>1.0867943556717171E-4</v>
      </c>
      <c r="H62" s="9">
        <f t="shared" si="11"/>
        <v>4.2070364179776554E-2</v>
      </c>
      <c r="I62" s="9">
        <f t="shared" si="12"/>
        <v>2.1382482877993756E-3</v>
      </c>
      <c r="J62" s="9">
        <f t="shared" si="13"/>
        <v>4.2179043615343727E-2</v>
      </c>
    </row>
    <row r="63" spans="1:10" x14ac:dyDescent="0.2">
      <c r="A63" s="1">
        <v>57</v>
      </c>
      <c r="B63" s="6">
        <v>3.8969463130699999</v>
      </c>
      <c r="C63" s="8">
        <v>0.20225424859400001</v>
      </c>
      <c r="D63" s="9">
        <f t="shared" si="7"/>
        <v>5.411708480434263E-3</v>
      </c>
      <c r="E63" s="9">
        <f t="shared" si="8"/>
        <v>1.4065752025996123E-2</v>
      </c>
      <c r="F63" s="9">
        <f t="shared" si="9"/>
        <v>7.2501222431522853E-4</v>
      </c>
      <c r="G63" s="9">
        <f t="shared" si="10"/>
        <v>1.0927349245249253E-4</v>
      </c>
      <c r="H63" s="9">
        <f t="shared" si="11"/>
        <v>4.1128613705012591E-2</v>
      </c>
      <c r="I63" s="9">
        <f t="shared" si="12"/>
        <v>2.1199518352830117E-3</v>
      </c>
      <c r="J63" s="9">
        <f t="shared" si="13"/>
        <v>4.1237887197465087E-2</v>
      </c>
    </row>
    <row r="64" spans="1:10" x14ac:dyDescent="0.2">
      <c r="A64" s="1">
        <v>58</v>
      </c>
      <c r="B64" s="6">
        <v>3.8933941090899999</v>
      </c>
      <c r="C64" s="8">
        <v>0.20478801107200001</v>
      </c>
      <c r="D64" s="9">
        <f t="shared" si="7"/>
        <v>5.296192346832318E-3</v>
      </c>
      <c r="E64" s="9">
        <f t="shared" si="8"/>
        <v>1.3753047107687414E-2</v>
      </c>
      <c r="F64" s="9">
        <f t="shared" si="9"/>
        <v>7.185913668268009E-4</v>
      </c>
      <c r="G64" s="9">
        <f t="shared" si="10"/>
        <v>1.0968781186954817E-4</v>
      </c>
      <c r="H64" s="9">
        <f t="shared" si="11"/>
        <v>4.0177847338589888E-2</v>
      </c>
      <c r="I64" s="9">
        <f t="shared" si="12"/>
        <v>2.0992747783327788E-3</v>
      </c>
      <c r="J64" s="9">
        <f t="shared" si="13"/>
        <v>4.0287535150459436E-2</v>
      </c>
    </row>
    <row r="65" spans="1:10" x14ac:dyDescent="0.2">
      <c r="A65" s="1">
        <v>59</v>
      </c>
      <c r="B65" s="6">
        <v>3.8897982258699999</v>
      </c>
      <c r="C65" s="8">
        <v>0.20725939313899999</v>
      </c>
      <c r="D65" s="9">
        <f t="shared" si="7"/>
        <v>5.1792290768197247E-3</v>
      </c>
      <c r="E65" s="9">
        <f t="shared" si="8"/>
        <v>1.3436978683901745E-2</v>
      </c>
      <c r="F65" s="9">
        <f t="shared" si="9"/>
        <v>7.1136263230590045E-4</v>
      </c>
      <c r="G65" s="9">
        <f t="shared" si="10"/>
        <v>1.0991949034076859E-4</v>
      </c>
      <c r="H65" s="9">
        <f t="shared" si="11"/>
        <v>3.92184738519777E-2</v>
      </c>
      <c r="I65" s="9">
        <f t="shared" si="12"/>
        <v>2.0762501523951065E-3</v>
      </c>
      <c r="J65" s="9">
        <f t="shared" si="13"/>
        <v>3.9328393342318468E-2</v>
      </c>
    </row>
    <row r="66" spans="1:10" x14ac:dyDescent="0.2">
      <c r="A66" s="1">
        <v>60</v>
      </c>
      <c r="B66" s="6">
        <v>3.8861597587499999</v>
      </c>
      <c r="C66" s="8">
        <v>0.20966764198599999</v>
      </c>
      <c r="D66" s="9">
        <f t="shared" si="7"/>
        <v>5.060854289880734E-3</v>
      </c>
      <c r="E66" s="9">
        <f t="shared" si="8"/>
        <v>1.3117663441465491E-2</v>
      </c>
      <c r="F66" s="9">
        <f t="shared" si="9"/>
        <v>7.0333565809320387E-4</v>
      </c>
      <c r="G66" s="9">
        <f t="shared" si="10"/>
        <v>1.0996609195355418E-4</v>
      </c>
      <c r="H66" s="9">
        <f t="shared" si="11"/>
        <v>3.8250902708034329E-2</v>
      </c>
      <c r="I66" s="9">
        <f t="shared" si="12"/>
        <v>2.0509138497026426E-3</v>
      </c>
      <c r="J66" s="9">
        <f t="shared" si="13"/>
        <v>3.8360868799987881E-2</v>
      </c>
    </row>
    <row r="67" spans="1:10" x14ac:dyDescent="0.2">
      <c r="A67" s="1">
        <v>61</v>
      </c>
      <c r="B67" s="6">
        <v>3.88247981606</v>
      </c>
      <c r="C67" s="8">
        <v>0.21201202403899999</v>
      </c>
      <c r="D67" s="9">
        <f t="shared" si="7"/>
        <v>4.9411040499801051E-3</v>
      </c>
      <c r="E67" s="9">
        <f t="shared" si="8"/>
        <v>1.279521882197647E-2</v>
      </c>
      <c r="F67" s="9">
        <f t="shared" si="9"/>
        <v>6.9452103519679516E-4</v>
      </c>
      <c r="G67" s="9">
        <f t="shared" si="10"/>
        <v>1.0982565585243814E-4</v>
      </c>
      <c r="H67" s="9">
        <f t="shared" si="11"/>
        <v>3.7275544028798548E-2</v>
      </c>
      <c r="I67" s="9">
        <f t="shared" si="12"/>
        <v>2.0233045736774641E-3</v>
      </c>
      <c r="J67" s="9">
        <f t="shared" si="13"/>
        <v>3.7385369684650983E-2</v>
      </c>
    </row>
    <row r="68" spans="1:10" x14ac:dyDescent="0.2">
      <c r="A68" s="1">
        <v>62</v>
      </c>
      <c r="B68" s="6">
        <v>3.8787595187299999</v>
      </c>
      <c r="C68" s="8">
        <v>0.21429182517600001</v>
      </c>
      <c r="D68" s="9">
        <f t="shared" si="7"/>
        <v>4.8200148329967107E-3</v>
      </c>
      <c r="E68" s="9">
        <f t="shared" si="8"/>
        <v>1.2469762905375107E-2</v>
      </c>
      <c r="F68" s="9">
        <f t="shared" si="9"/>
        <v>6.849302921932977E-4</v>
      </c>
      <c r="G68" s="9">
        <f t="shared" si="10"/>
        <v>1.0949670133533552E-4</v>
      </c>
      <c r="H68" s="9">
        <f t="shared" si="11"/>
        <v>3.6292808163428288E-2</v>
      </c>
      <c r="I68" s="9">
        <f t="shared" si="12"/>
        <v>1.9934637686291295E-3</v>
      </c>
      <c r="J68" s="9">
        <f t="shared" si="13"/>
        <v>3.6402304864763625E-2</v>
      </c>
    </row>
    <row r="69" spans="1:10" x14ac:dyDescent="0.2">
      <c r="A69" s="1">
        <v>63</v>
      </c>
      <c r="B69" s="6">
        <v>3.875</v>
      </c>
      <c r="C69" s="8">
        <v>0.21650635094599999</v>
      </c>
      <c r="D69" s="9">
        <f t="shared" si="7"/>
        <v>4.6976235201476313E-3</v>
      </c>
      <c r="E69" s="9">
        <f t="shared" si="8"/>
        <v>1.2141414361584876E-2</v>
      </c>
      <c r="F69" s="9">
        <f t="shared" si="9"/>
        <v>6.7457588152913632E-4</v>
      </c>
      <c r="G69" s="9">
        <f t="shared" si="10"/>
        <v>1.0897823218741006E-4</v>
      </c>
      <c r="H69" s="9">
        <f t="shared" si="11"/>
        <v>3.5303105457874025E-2</v>
      </c>
      <c r="I69" s="9">
        <f t="shared" si="12"/>
        <v>1.9614355563460531E-3</v>
      </c>
      <c r="J69" s="9">
        <f t="shared" si="13"/>
        <v>3.5412083690061436E-2</v>
      </c>
    </row>
    <row r="70" spans="1:10" x14ac:dyDescent="0.2">
      <c r="A70" s="1">
        <v>64</v>
      </c>
      <c r="B70" s="6">
        <v>3.87120240506</v>
      </c>
      <c r="C70" s="8">
        <v>0.21865492678500001</v>
      </c>
      <c r="D70" s="9">
        <f t="shared" si="7"/>
        <v>4.5739673994777408E-3</v>
      </c>
      <c r="E70" s="9">
        <f t="shared" si="8"/>
        <v>1.1810292423500169E-2</v>
      </c>
      <c r="F70" s="9">
        <f t="shared" si="9"/>
        <v>6.634711659522243E-4</v>
      </c>
      <c r="G70" s="9">
        <f t="shared" si="10"/>
        <v>1.0826973991600474E-4</v>
      </c>
      <c r="H70" s="9">
        <f t="shared" si="11"/>
        <v>3.430684608928837E-2</v>
      </c>
      <c r="I70" s="9">
        <f t="shared" si="12"/>
        <v>1.9272666729816378E-3</v>
      </c>
      <c r="J70" s="9">
        <f t="shared" si="13"/>
        <v>3.4415115829204375E-2</v>
      </c>
    </row>
    <row r="71" spans="1:10" x14ac:dyDescent="0.2">
      <c r="A71" s="1">
        <v>65</v>
      </c>
      <c r="B71" s="6">
        <v>3.8673678907000002</v>
      </c>
      <c r="C71" s="8">
        <v>0.220736898215</v>
      </c>
      <c r="D71" s="9">
        <f t="shared" si="7"/>
        <v>4.4490841318620133E-3</v>
      </c>
      <c r="E71" s="9">
        <f t="shared" si="8"/>
        <v>1.1476516768721516E-2</v>
      </c>
      <c r="F71" s="9">
        <f t="shared" si="9"/>
        <v>6.5163039875913026E-4</v>
      </c>
      <c r="G71" s="9">
        <f t="shared" si="10"/>
        <v>1.0737120484369786E-4</v>
      </c>
      <c r="H71" s="9">
        <f t="shared" si="11"/>
        <v>3.3304439637670373E-2</v>
      </c>
      <c r="I71" s="9">
        <f t="shared" si="12"/>
        <v>1.8910063879279979E-3</v>
      </c>
      <c r="J71" s="9">
        <f t="shared" si="13"/>
        <v>3.3411810842514073E-2</v>
      </c>
    </row>
    <row r="72" spans="1:10" x14ac:dyDescent="0.2">
      <c r="A72" s="1">
        <v>66</v>
      </c>
      <c r="B72" s="6">
        <v>3.8634976249299999</v>
      </c>
      <c r="C72" s="8">
        <v>0.22275163104699999</v>
      </c>
      <c r="D72" s="9">
        <f t="shared" si="7"/>
        <v>4.3230117620766673E-3</v>
      </c>
      <c r="E72" s="9">
        <f t="shared" si="8"/>
        <v>1.114020751836713E-2</v>
      </c>
      <c r="F72" s="9">
        <f t="shared" si="9"/>
        <v>6.3906870944856935E-4</v>
      </c>
      <c r="G72" s="9">
        <f t="shared" si="10"/>
        <v>1.0628309692510848E-4</v>
      </c>
      <c r="H72" s="9">
        <f t="shared" si="11"/>
        <v>3.2296295000856935E-2</v>
      </c>
      <c r="I72" s="9">
        <f t="shared" si="12"/>
        <v>1.8527064384600046E-3</v>
      </c>
      <c r="J72" s="9">
        <f t="shared" si="13"/>
        <v>3.2402578097782041E-2</v>
      </c>
    </row>
    <row r="73" spans="1:10" x14ac:dyDescent="0.2">
      <c r="A73" s="1">
        <v>67</v>
      </c>
      <c r="B73" s="6">
        <v>3.8595927866999999</v>
      </c>
      <c r="C73" s="8">
        <v>0.22469851157500001</v>
      </c>
      <c r="D73" s="9">
        <f t="shared" si="7"/>
        <v>4.1957886903288832E-3</v>
      </c>
      <c r="E73" s="9">
        <f t="shared" si="8"/>
        <v>1.0801485134501531E-2</v>
      </c>
      <c r="F73" s="9">
        <f t="shared" si="9"/>
        <v>6.2580208263314442E-4</v>
      </c>
      <c r="G73" s="9">
        <f t="shared" si="10"/>
        <v>1.0500637431782141E-4</v>
      </c>
      <c r="H73" s="9">
        <f t="shared" si="11"/>
        <v>3.1282820018295021E-2</v>
      </c>
      <c r="I73" s="9">
        <f t="shared" si="12"/>
        <v>1.8124209449254076E-3</v>
      </c>
      <c r="J73" s="9">
        <f t="shared" si="13"/>
        <v>3.1387826392612846E-2</v>
      </c>
    </row>
    <row r="74" spans="1:10" x14ac:dyDescent="0.2">
      <c r="A74" s="1">
        <v>68</v>
      </c>
      <c r="B74" s="6">
        <v>3.8556545654400001</v>
      </c>
      <c r="C74" s="8">
        <v>0.226576946759</v>
      </c>
      <c r="D74" s="9">
        <f t="shared" si="7"/>
        <v>4.0674536709124354E-3</v>
      </c>
      <c r="E74" s="9">
        <f t="shared" si="8"/>
        <v>1.0460470388153096E-2</v>
      </c>
      <c r="F74" s="9">
        <f t="shared" si="9"/>
        <v>6.1184733986443997E-4</v>
      </c>
      <c r="G74" s="9">
        <f t="shared" si="10"/>
        <v>1.0354248127651576E-4</v>
      </c>
      <c r="H74" s="9">
        <f t="shared" si="11"/>
        <v>3.0264421302648285E-2</v>
      </c>
      <c r="I74" s="9">
        <f t="shared" si="12"/>
        <v>1.7702063345605057E-3</v>
      </c>
      <c r="J74" s="9">
        <f t="shared" si="13"/>
        <v>3.0367963783924801E-2</v>
      </c>
    </row>
    <row r="75" spans="1:10" x14ac:dyDescent="0.2">
      <c r="A75" s="1">
        <v>69</v>
      </c>
      <c r="B75" s="6">
        <v>3.8516841607700001</v>
      </c>
      <c r="C75" s="8">
        <v>0.22838636441099999</v>
      </c>
      <c r="D75" s="9">
        <f t="shared" si="7"/>
        <v>3.9380457991238793E-3</v>
      </c>
      <c r="E75" s="9">
        <f t="shared" si="8"/>
        <v>1.0117284297725361E-2</v>
      </c>
      <c r="F75" s="9">
        <f t="shared" si="9"/>
        <v>5.9722211876950292E-4</v>
      </c>
      <c r="G75" s="9">
        <f t="shared" si="10"/>
        <v>1.0189334446105872E-4</v>
      </c>
      <c r="H75" s="9">
        <f t="shared" si="11"/>
        <v>2.9241503988633965E-2</v>
      </c>
      <c r="I75" s="9">
        <f t="shared" si="12"/>
        <v>1.7261212577449024E-3</v>
      </c>
      <c r="J75" s="9">
        <f t="shared" si="13"/>
        <v>2.9343397333095024E-2</v>
      </c>
    </row>
    <row r="76" spans="1:10" x14ac:dyDescent="0.2">
      <c r="A76" s="1">
        <v>70</v>
      </c>
      <c r="B76" s="6">
        <v>3.8476827821200001</v>
      </c>
      <c r="C76" s="8">
        <v>0.23012621336299999</v>
      </c>
      <c r="D76" s="9">
        <f t="shared" si="7"/>
        <v>3.807604486527949E-3</v>
      </c>
      <c r="E76" s="9">
        <f t="shared" si="8"/>
        <v>9.7720480383909798E-3</v>
      </c>
      <c r="F76" s="9">
        <f t="shared" si="9"/>
        <v>5.819448494205925E-4</v>
      </c>
      <c r="G76" s="9">
        <f t="shared" si="10"/>
        <v>1.0006136763221738E-4</v>
      </c>
      <c r="H76" s="9">
        <f t="shared" si="11"/>
        <v>2.8214471401823302E-2</v>
      </c>
      <c r="I76" s="9">
        <f t="shared" si="12"/>
        <v>1.6802264965902621E-3</v>
      </c>
      <c r="J76" s="9">
        <f t="shared" si="13"/>
        <v>2.831453276945552E-2</v>
      </c>
    </row>
    <row r="77" spans="1:10" x14ac:dyDescent="0.2">
      <c r="A77" s="1">
        <v>71</v>
      </c>
      <c r="B77" s="6">
        <v>3.8436516483499998</v>
      </c>
      <c r="C77" s="8">
        <v>0.231795963642</v>
      </c>
      <c r="D77" s="9">
        <f t="shared" si="7"/>
        <v>3.6761694744991691E-3</v>
      </c>
      <c r="E77" s="9">
        <f t="shared" si="8"/>
        <v>9.4248829504860882E-3</v>
      </c>
      <c r="F77" s="9">
        <f t="shared" si="9"/>
        <v>5.6603473556666095E-4</v>
      </c>
      <c r="G77" s="9">
        <f t="shared" si="10"/>
        <v>9.8049426050988119E-5</v>
      </c>
      <c r="H77" s="9">
        <f t="shared" si="11"/>
        <v>2.7183725016662875E-2</v>
      </c>
      <c r="I77" s="9">
        <f t="shared" si="12"/>
        <v>1.6325848879293582E-3</v>
      </c>
      <c r="J77" s="9">
        <f t="shared" si="13"/>
        <v>2.7281774442713864E-2</v>
      </c>
    </row>
    <row r="78" spans="1:10" x14ac:dyDescent="0.2">
      <c r="A78" s="1">
        <v>72</v>
      </c>
      <c r="B78" s="6">
        <v>3.83959198739</v>
      </c>
      <c r="C78" s="8">
        <v>0.23339510662400001</v>
      </c>
      <c r="D78" s="9">
        <f t="shared" si="7"/>
        <v>3.5437807914973085E-3</v>
      </c>
      <c r="E78" s="9">
        <f t="shared" si="8"/>
        <v>9.0759104042431177E-3</v>
      </c>
      <c r="F78" s="9">
        <f t="shared" si="9"/>
        <v>5.4951172639490856E-4</v>
      </c>
      <c r="G78" s="9">
        <f t="shared" si="10"/>
        <v>9.586085814546019E-5</v>
      </c>
      <c r="H78" s="9">
        <f t="shared" si="11"/>
        <v>2.6149664003001494E-2</v>
      </c>
      <c r="I78" s="9">
        <f t="shared" si="12"/>
        <v>1.5832612193810629E-3</v>
      </c>
      <c r="J78" s="9">
        <f t="shared" si="13"/>
        <v>2.6245524861146955E-2</v>
      </c>
    </row>
    <row r="79" spans="1:10" x14ac:dyDescent="0.2">
      <c r="A79" s="1">
        <v>73</v>
      </c>
      <c r="B79" s="6">
        <v>3.8355050358299998</v>
      </c>
      <c r="C79" s="8">
        <v>0.23492315519599999</v>
      </c>
      <c r="D79" s="9">
        <f t="shared" si="7"/>
        <v>3.4104787742536558E-3</v>
      </c>
      <c r="E79" s="9">
        <f t="shared" si="8"/>
        <v>8.725251829343075E-3</v>
      </c>
      <c r="F79" s="9">
        <f t="shared" si="9"/>
        <v>5.3239649717749208E-4</v>
      </c>
      <c r="G79" s="9">
        <f t="shared" si="10"/>
        <v>9.3499457610520705E-5</v>
      </c>
      <c r="H79" s="9">
        <f t="shared" si="11"/>
        <v>2.511268525191418E-2</v>
      </c>
      <c r="I79" s="9">
        <f t="shared" si="12"/>
        <v>1.5323221515538023E-3</v>
      </c>
      <c r="J79" s="9">
        <f t="shared" si="13"/>
        <v>2.5206184709524699E-2</v>
      </c>
    </row>
    <row r="80" spans="1:10" x14ac:dyDescent="0.2">
      <c r="A80" s="1">
        <v>74</v>
      </c>
      <c r="B80" s="6">
        <v>3.8313920386100002</v>
      </c>
      <c r="C80" s="8">
        <v>0.23637964389999999</v>
      </c>
      <c r="D80" s="9">
        <f t="shared" si="7"/>
        <v>3.2763040215281203E-3</v>
      </c>
      <c r="E80" s="9">
        <f t="shared" si="8"/>
        <v>8.373028572543316E-3</v>
      </c>
      <c r="F80" s="9">
        <f t="shared" si="9"/>
        <v>5.1471041867856148E-4</v>
      </c>
      <c r="G80" s="9">
        <f t="shared" si="10"/>
        <v>9.0969462485078055E-5</v>
      </c>
      <c r="H80" s="9">
        <f t="shared" si="11"/>
        <v>2.4073182909488223E-2</v>
      </c>
      <c r="I80" s="9">
        <f t="shared" si="12"/>
        <v>1.4798361083976435E-3</v>
      </c>
      <c r="J80" s="9">
        <f t="shared" si="13"/>
        <v>2.4164152371973301E-2</v>
      </c>
    </row>
    <row r="81" spans="1:10" x14ac:dyDescent="0.2">
      <c r="A81" s="1">
        <v>75</v>
      </c>
      <c r="B81" s="6">
        <v>3.8272542485900001</v>
      </c>
      <c r="C81" s="8">
        <v>0.23776412907399999</v>
      </c>
      <c r="D81" s="9">
        <f t="shared" si="7"/>
        <v>3.1412974023488638E-3</v>
      </c>
      <c r="E81" s="9">
        <f t="shared" si="8"/>
        <v>8.019361895830043E-3</v>
      </c>
      <c r="F81" s="9">
        <f t="shared" si="9"/>
        <v>4.9647553412770519E-4</v>
      </c>
      <c r="G81" s="9">
        <f t="shared" si="10"/>
        <v>8.8275544487569429E-5</v>
      </c>
      <c r="H81" s="9">
        <f t="shared" si="11"/>
        <v>2.3031548319417589E-2</v>
      </c>
      <c r="I81" s="9">
        <f t="shared" si="12"/>
        <v>1.4258731899840242E-3</v>
      </c>
      <c r="J81" s="9">
        <f t="shared" si="13"/>
        <v>2.3119823863905157E-2</v>
      </c>
    </row>
    <row r="82" spans="1:10" x14ac:dyDescent="0.2">
      <c r="A82" s="1">
        <v>76</v>
      </c>
      <c r="B82" s="6">
        <v>3.8230929261800002</v>
      </c>
      <c r="C82" s="8">
        <v>0.239076188991</v>
      </c>
      <c r="D82" s="9">
        <f t="shared" si="7"/>
        <v>3.0055000451763014E-3</v>
      </c>
      <c r="E82" s="9">
        <f t="shared" si="8"/>
        <v>7.6643729264618751E-3</v>
      </c>
      <c r="F82" s="9">
        <f t="shared" si="9"/>
        <v>4.7771453249541307E-4</v>
      </c>
      <c r="G82" s="9">
        <f t="shared" si="10"/>
        <v>8.5422796689436749E-5</v>
      </c>
      <c r="H82" s="9">
        <f t="shared" si="11"/>
        <v>2.198816983017193E-2</v>
      </c>
      <c r="I82" s="9">
        <f t="shared" si="12"/>
        <v>1.3705050752692903E-3</v>
      </c>
      <c r="J82" s="9">
        <f t="shared" si="13"/>
        <v>2.2073592626861368E-2</v>
      </c>
    </row>
    <row r="83" spans="1:10" x14ac:dyDescent="0.2">
      <c r="A83" s="1">
        <v>77</v>
      </c>
      <c r="B83" s="6">
        <v>3.8189093389500002</v>
      </c>
      <c r="C83" s="8">
        <v>0.240315423985</v>
      </c>
      <c r="D83" s="9">
        <f t="shared" si="7"/>
        <v>2.8689533153479774E-3</v>
      </c>
      <c r="E83" s="9">
        <f t="shared" si="8"/>
        <v>7.3081825781471559E-3</v>
      </c>
      <c r="F83" s="9">
        <f t="shared" si="9"/>
        <v>4.5845071913250317E-4</v>
      </c>
      <c r="G83" s="9">
        <f t="shared" si="10"/>
        <v>8.2416719720654851E-5</v>
      </c>
      <c r="H83" s="9">
        <f t="shared" si="11"/>
        <v>2.0943432523301334E-2</v>
      </c>
      <c r="I83" s="9">
        <f t="shared" si="12"/>
        <v>1.3138049180254666E-3</v>
      </c>
      <c r="J83" s="9">
        <f t="shared" si="13"/>
        <v>2.1025849243021991E-2</v>
      </c>
    </row>
    <row r="84" spans="1:10" x14ac:dyDescent="0.2">
      <c r="A84" s="1">
        <v>78</v>
      </c>
      <c r="B84" s="6">
        <v>3.8147047612799998</v>
      </c>
      <c r="C84" s="8">
        <v>0.24148145657199999</v>
      </c>
      <c r="D84" s="9">
        <f t="shared" si="7"/>
        <v>2.7316988007291543E-3</v>
      </c>
      <c r="E84" s="9">
        <f t="shared" si="8"/>
        <v>6.950911494275817E-3</v>
      </c>
      <c r="F84" s="9">
        <f t="shared" si="9"/>
        <v>4.3870798693753478E-4</v>
      </c>
      <c r="G84" s="9">
        <f t="shared" si="10"/>
        <v>7.9263207097608149E-5</v>
      </c>
      <c r="H84" s="9">
        <f t="shared" si="11"/>
        <v>1.9897718009235687E-2</v>
      </c>
      <c r="I84" s="9">
        <f t="shared" si="12"/>
        <v>1.2558472450874454E-3</v>
      </c>
      <c r="J84" s="9">
        <f t="shared" si="13"/>
        <v>1.9976981216333296E-2</v>
      </c>
    </row>
    <row r="85" spans="1:10" x14ac:dyDescent="0.2">
      <c r="A85" s="1">
        <v>79</v>
      </c>
      <c r="B85" s="6">
        <v>3.8104804739000002</v>
      </c>
      <c r="C85" s="8">
        <v>0.24257393156900001</v>
      </c>
      <c r="D85" s="9">
        <f t="shared" si="7"/>
        <v>2.5937783210681631E-3</v>
      </c>
      <c r="E85" s="9">
        <f t="shared" si="8"/>
        <v>6.5926800523796424E-3</v>
      </c>
      <c r="F85" s="9">
        <f t="shared" si="9"/>
        <v>4.1851079065212036E-4</v>
      </c>
      <c r="G85" s="9">
        <f t="shared" si="10"/>
        <v>7.5968530190475238E-5</v>
      </c>
      <c r="H85" s="9">
        <f t="shared" si="11"/>
        <v>1.8851404401916051E-2</v>
      </c>
      <c r="I85" s="9">
        <f t="shared" si="12"/>
        <v>1.1967078643623089E-3</v>
      </c>
      <c r="J85" s="9">
        <f t="shared" si="13"/>
        <v>1.8927372932106525E-2</v>
      </c>
    </row>
    <row r="86" spans="1:10" x14ac:dyDescent="0.2">
      <c r="A86" s="1">
        <v>80</v>
      </c>
      <c r="B86" s="6">
        <v>3.80623776359</v>
      </c>
      <c r="C86" s="8">
        <v>0.243592516196</v>
      </c>
      <c r="D86" s="9">
        <f t="shared" si="7"/>
        <v>2.4552338763016435E-3</v>
      </c>
      <c r="E86" s="9">
        <f t="shared" si="8"/>
        <v>6.2336082143099984E-3</v>
      </c>
      <c r="F86" s="9">
        <f t="shared" si="9"/>
        <v>3.9788411069128712E-4</v>
      </c>
      <c r="G86" s="9">
        <f t="shared" si="10"/>
        <v>7.2539320408057052E-5</v>
      </c>
      <c r="H86" s="9">
        <f t="shared" si="11"/>
        <v>1.7804865855724258E-2</v>
      </c>
      <c r="I86" s="9">
        <f t="shared" si="12"/>
        <v>1.1364637437645446E-3</v>
      </c>
      <c r="J86" s="9">
        <f t="shared" si="13"/>
        <v>1.7877405176132316E-2</v>
      </c>
    </row>
    <row r="87" spans="1:10" x14ac:dyDescent="0.2">
      <c r="A87" s="1">
        <v>81</v>
      </c>
      <c r="B87" s="6">
        <v>3.8019779226999999</v>
      </c>
      <c r="C87" s="8">
        <v>0.24453690018300001</v>
      </c>
      <c r="D87" s="9">
        <f t="shared" si="7"/>
        <v>2.3161076778194234E-3</v>
      </c>
      <c r="E87" s="9">
        <f t="shared" si="8"/>
        <v>5.8738155885074807E-3</v>
      </c>
      <c r="F87" s="9">
        <f t="shared" si="9"/>
        <v>3.768534296816387E-4</v>
      </c>
      <c r="G87" s="9">
        <f t="shared" si="10"/>
        <v>6.8982552827695051E-5</v>
      </c>
      <c r="H87" s="9">
        <f t="shared" si="11"/>
        <v>1.6758472713265502E-2</v>
      </c>
      <c r="I87" s="9">
        <f t="shared" si="12"/>
        <v>1.0751929274456487E-3</v>
      </c>
      <c r="J87" s="9">
        <f t="shared" si="13"/>
        <v>1.6827455266093198E-2</v>
      </c>
    </row>
    <row r="88" spans="1:10" x14ac:dyDescent="0.2">
      <c r="A88" s="1">
        <v>82</v>
      </c>
      <c r="B88" s="6">
        <v>3.7977022488399999</v>
      </c>
      <c r="C88" s="8">
        <v>0.24540679586200001</v>
      </c>
      <c r="D88" s="9">
        <f t="shared" si="7"/>
        <v>2.1764420992640421E-3</v>
      </c>
      <c r="E88" s="9">
        <f t="shared" si="8"/>
        <v>5.5134212887606102E-3</v>
      </c>
      <c r="F88" s="9">
        <f t="shared" si="9"/>
        <v>3.5544469544712112E-4</v>
      </c>
      <c r="G88" s="9">
        <f t="shared" si="10"/>
        <v>6.5305526558189641E-5</v>
      </c>
      <c r="H88" s="9">
        <f t="shared" si="11"/>
        <v>1.5712591074926872E-2</v>
      </c>
      <c r="I88" s="9">
        <f t="shared" si="12"/>
        <v>1.0129744142324834E-3</v>
      </c>
      <c r="J88" s="9">
        <f t="shared" si="13"/>
        <v>1.5777896601485063E-2</v>
      </c>
    </row>
    <row r="89" spans="1:10" x14ac:dyDescent="0.2">
      <c r="A89" s="1">
        <v>83</v>
      </c>
      <c r="B89" s="6">
        <v>3.7934120444200001</v>
      </c>
      <c r="C89" s="8">
        <v>0.24620193825299999</v>
      </c>
      <c r="D89" s="9">
        <f t="shared" si="7"/>
        <v>2.0362796833768848E-3</v>
      </c>
      <c r="E89" s="9">
        <f t="shared" si="8"/>
        <v>5.1525439365190722E-3</v>
      </c>
      <c r="F89" s="9">
        <f t="shared" si="9"/>
        <v>3.3368429248300109E-4</v>
      </c>
      <c r="G89" s="9">
        <f t="shared" si="10"/>
        <v>6.1515845876473896E-5</v>
      </c>
      <c r="H89" s="9">
        <f t="shared" si="11"/>
        <v>1.4667582782829466E-2</v>
      </c>
      <c r="I89" s="9">
        <f t="shared" si="12"/>
        <v>9.4988806135533376E-4</v>
      </c>
      <c r="J89" s="9">
        <f t="shared" si="13"/>
        <v>1.4729098628705941E-2</v>
      </c>
    </row>
    <row r="90" spans="1:10" x14ac:dyDescent="0.2">
      <c r="A90" s="1">
        <v>84</v>
      </c>
      <c r="B90" s="6">
        <v>3.7891086162600001</v>
      </c>
      <c r="C90" s="8">
        <v>0.24692208514899999</v>
      </c>
      <c r="D90" s="9">
        <f t="shared" si="7"/>
        <v>1.8956631315812933E-3</v>
      </c>
      <c r="E90" s="9">
        <f t="shared" si="8"/>
        <v>4.7913016203015016E-3</v>
      </c>
      <c r="F90" s="9">
        <f t="shared" si="9"/>
        <v>3.1159901015340077E-4</v>
      </c>
      <c r="G90" s="9">
        <f t="shared" si="10"/>
        <v>5.7621400053630362E-5</v>
      </c>
      <c r="H90" s="9">
        <f t="shared" si="11"/>
        <v>1.3623805285587216E-2</v>
      </c>
      <c r="I90" s="9">
        <f t="shared" si="12"/>
        <v>8.8601447984041487E-4</v>
      </c>
      <c r="J90" s="9">
        <f t="shared" si="13"/>
        <v>1.3681426685640846E-2</v>
      </c>
    </row>
    <row r="91" spans="1:10" x14ac:dyDescent="0.2">
      <c r="A91" s="1">
        <v>85</v>
      </c>
      <c r="B91" s="6">
        <v>3.7847932752400002</v>
      </c>
      <c r="C91" s="8">
        <v>0.24756701718499999</v>
      </c>
      <c r="D91" s="9">
        <f t="shared" ref="D91:D113" si="14">((B90*C91)-(B91*C90))*0.5</f>
        <v>1.7546352686485522E-3</v>
      </c>
      <c r="E91" s="9">
        <f t="shared" ref="E91:E113" si="15">(B91+B90)*((B90*C91)-(B91*C90))*(1/6)</f>
        <v>4.4298117933699605E-3</v>
      </c>
      <c r="F91" s="9">
        <f t="shared" ref="F91:F113" si="16">(C91+C90)*((B90*C91)-(B91*C90))*(1/6)</f>
        <v>2.8921600630586649E-4</v>
      </c>
      <c r="G91" s="9">
        <f t="shared" ref="G91:G113" si="17">(((C90*C90)+(C90*C91)+(C91*C91))*((B90*C91)-(B91*C90)))/12</f>
        <v>5.3630341661150929E-5</v>
      </c>
      <c r="H91" s="9">
        <f t="shared" ref="H91:H113" si="18">(((B90*B90)+(B90*B91)+(B91*B91))*((B90*C91)-(B91*C90)))/12</f>
        <v>1.2581611331760697E-2</v>
      </c>
      <c r="I91" s="9">
        <f t="shared" ref="I91:I113" si="19">(((B90*C91)+(2*B90*C90)+(2*B91*C91)+(B91*C90))*((B90*C91)-(B91*C90)))/24</f>
        <v>8.2143491798251499E-4</v>
      </c>
      <c r="J91" s="9">
        <f t="shared" ref="J91:J113" si="20">G91+H91</f>
        <v>1.2635241673421848E-2</v>
      </c>
    </row>
    <row r="92" spans="1:10" x14ac:dyDescent="0.2">
      <c r="A92" s="1">
        <v>86</v>
      </c>
      <c r="B92" s="6">
        <v>3.7804673358500001</v>
      </c>
      <c r="C92" s="8">
        <v>0.24813653791000001</v>
      </c>
      <c r="D92" s="9">
        <f t="shared" si="14"/>
        <v>1.6132390606976577E-3</v>
      </c>
      <c r="E92" s="9">
        <f t="shared" si="15"/>
        <v>4.0681913073892725E-3</v>
      </c>
      <c r="F92" s="9">
        <f t="shared" si="16"/>
        <v>2.6656277920198242E-4</v>
      </c>
      <c r="G92" s="9">
        <f t="shared" si="17"/>
        <v>4.9551065792422773E-5</v>
      </c>
      <c r="H92" s="9">
        <f t="shared" si="18"/>
        <v>1.154134905397051E-2</v>
      </c>
      <c r="I92" s="9">
        <f t="shared" si="19"/>
        <v>7.562311695982622E-4</v>
      </c>
      <c r="J92" s="9">
        <f t="shared" si="20"/>
        <v>1.1590900119762932E-2</v>
      </c>
    </row>
    <row r="93" spans="1:10" x14ac:dyDescent="0.2">
      <c r="A93" s="1">
        <v>87</v>
      </c>
      <c r="B93" s="6">
        <v>3.7761321158199999</v>
      </c>
      <c r="C93" s="8">
        <v>0.24863047384199999</v>
      </c>
      <c r="D93" s="9">
        <f t="shared" si="14"/>
        <v>1.4715175731254138E-3</v>
      </c>
      <c r="E93" s="9">
        <f t="shared" si="15"/>
        <v>3.7065562954007565E-3</v>
      </c>
      <c r="F93" s="9">
        <f t="shared" si="16"/>
        <v>2.4366712918068897E-4</v>
      </c>
      <c r="G93" s="9">
        <f t="shared" si="17"/>
        <v>4.5392186818234895E-5</v>
      </c>
      <c r="H93" s="9">
        <f t="shared" si="18"/>
        <v>1.0503361628357528E-2</v>
      </c>
      <c r="I93" s="9">
        <f t="shared" si="19"/>
        <v>6.9048545424249053E-4</v>
      </c>
      <c r="J93" s="9">
        <f t="shared" si="20"/>
        <v>1.0548753815175763E-2</v>
      </c>
    </row>
    <row r="94" spans="1:10" x14ac:dyDescent="0.2">
      <c r="A94" s="1">
        <v>88</v>
      </c>
      <c r="B94" s="6">
        <v>3.7717889356900001</v>
      </c>
      <c r="C94" s="8">
        <v>0.249048674523</v>
      </c>
      <c r="D94" s="9">
        <f t="shared" si="14"/>
        <v>1.3295139780424847E-3</v>
      </c>
      <c r="E94" s="9">
        <f t="shared" si="15"/>
        <v>3.3450221810478915E-3</v>
      </c>
      <c r="F94" s="9">
        <f t="shared" si="16"/>
        <v>2.2055712811051571E-4</v>
      </c>
      <c r="G94" s="9">
        <f t="shared" si="17"/>
        <v>4.1162516069831261E-5</v>
      </c>
      <c r="H94" s="9">
        <f t="shared" si="18"/>
        <v>9.4679872967416527E-3</v>
      </c>
      <c r="I94" s="9">
        <f t="shared" si="19"/>
        <v>6.2428032075456392E-4</v>
      </c>
      <c r="J94" s="9">
        <f t="shared" si="20"/>
        <v>9.5091498128114845E-3</v>
      </c>
    </row>
    <row r="95" spans="1:10" x14ac:dyDescent="0.2">
      <c r="A95" s="1">
        <v>89</v>
      </c>
      <c r="B95" s="6">
        <v>3.76743911844</v>
      </c>
      <c r="C95" s="8">
        <v>0.24939101256499999</v>
      </c>
      <c r="D95" s="9">
        <f t="shared" si="14"/>
        <v>1.187271529805578E-3</v>
      </c>
      <c r="E95" s="9">
        <f t="shared" si="15"/>
        <v>2.9837036084600184E-3</v>
      </c>
      <c r="F95" s="9">
        <f t="shared" si="16"/>
        <v>1.9726108326826114E-4</v>
      </c>
      <c r="G95" s="9">
        <f t="shared" si="17"/>
        <v>3.6871038029688854E-5</v>
      </c>
      <c r="H95" s="9">
        <f t="shared" si="18"/>
        <v>8.4355591673022524E-3</v>
      </c>
      <c r="I95" s="9">
        <f t="shared" si="19"/>
        <v>5.5769853619591235E-4</v>
      </c>
      <c r="J95" s="9">
        <f t="shared" si="20"/>
        <v>8.472430205331942E-3</v>
      </c>
    </row>
    <row r="96" spans="1:10" x14ac:dyDescent="0.2">
      <c r="A96" s="1">
        <v>90</v>
      </c>
      <c r="B96" s="6">
        <v>3.7630839890600001</v>
      </c>
      <c r="C96" s="8">
        <v>0.24965738368900001</v>
      </c>
      <c r="D96" s="9">
        <f t="shared" si="14"/>
        <v>1.044833559255165E-3</v>
      </c>
      <c r="E96" s="9">
        <f t="shared" si="15"/>
        <v>2.6227144204874972E-3</v>
      </c>
      <c r="F96" s="9">
        <f t="shared" si="16"/>
        <v>1.7380750403288292E-4</v>
      </c>
      <c r="G96" s="9">
        <f t="shared" si="17"/>
        <v>3.2526886643140201E-5</v>
      </c>
      <c r="H96" s="9">
        <f t="shared" si="18"/>
        <v>7.4064051561753309E-3</v>
      </c>
      <c r="I96" s="9">
        <f t="shared" si="19"/>
        <v>4.9082298401239427E-4</v>
      </c>
      <c r="J96" s="9">
        <f t="shared" si="20"/>
        <v>7.4389320428184715E-3</v>
      </c>
    </row>
    <row r="97" spans="1:10" x14ac:dyDescent="0.2">
      <c r="A97" s="1">
        <v>91</v>
      </c>
      <c r="B97" s="6">
        <v>3.7587248741799999</v>
      </c>
      <c r="C97" s="8">
        <v>0.24984770675500001</v>
      </c>
      <c r="D97" s="9">
        <f t="shared" si="14"/>
        <v>9.0224344927702926E-4</v>
      </c>
      <c r="E97" s="9">
        <f t="shared" si="15"/>
        <v>2.2621675911907294E-3</v>
      </c>
      <c r="F97" s="9">
        <f t="shared" si="16"/>
        <v>1.5022506524454301E-4</v>
      </c>
      <c r="G97" s="9">
        <f t="shared" si="17"/>
        <v>2.8139320662467834E-5</v>
      </c>
      <c r="H97" s="9">
        <f t="shared" si="18"/>
        <v>6.3808478034290995E-3</v>
      </c>
      <c r="I97" s="9">
        <f t="shared" si="19"/>
        <v>4.2373655402489765E-4</v>
      </c>
      <c r="J97" s="9">
        <f t="shared" si="20"/>
        <v>6.4089871240915674E-3</v>
      </c>
    </row>
    <row r="98" spans="1:10" x14ac:dyDescent="0.2">
      <c r="A98" s="1">
        <v>92</v>
      </c>
      <c r="B98" s="6">
        <v>3.7543631016100001</v>
      </c>
      <c r="C98" s="8">
        <v>0.24996192378900001</v>
      </c>
      <c r="D98" s="9">
        <f t="shared" si="14"/>
        <v>7.5954464037608638E-4</v>
      </c>
      <c r="E98" s="9">
        <f t="shared" si="15"/>
        <v>1.902175234895105E-3</v>
      </c>
      <c r="F98" s="9">
        <f t="shared" si="16"/>
        <v>1.2654257536268235E-4</v>
      </c>
      <c r="G98" s="9">
        <f t="shared" si="17"/>
        <v>2.3717699602901669E-5</v>
      </c>
      <c r="H98" s="9">
        <f t="shared" si="18"/>
        <v>5.3592043090252379E-3</v>
      </c>
      <c r="I98" s="9">
        <f t="shared" si="19"/>
        <v>3.5652204725205168E-4</v>
      </c>
      <c r="J98" s="9">
        <f t="shared" si="20"/>
        <v>5.3829220086281399E-3</v>
      </c>
    </row>
    <row r="99" spans="1:10" x14ac:dyDescent="0.2">
      <c r="A99" s="1">
        <v>93</v>
      </c>
      <c r="B99" s="6">
        <v>3.75</v>
      </c>
      <c r="C99" s="8">
        <v>0.25</v>
      </c>
      <c r="D99" s="9">
        <f t="shared" si="14"/>
        <v>6.1678059687497733E-4</v>
      </c>
      <c r="E99" s="9">
        <f t="shared" si="15"/>
        <v>1.5428485176591906E-3</v>
      </c>
      <c r="F99" s="9">
        <f t="shared" si="16"/>
        <v>1.0278893792311379E-4</v>
      </c>
      <c r="G99" s="9">
        <f t="shared" si="17"/>
        <v>1.9271458217859159E-5</v>
      </c>
      <c r="H99" s="9">
        <f t="shared" si="18"/>
        <v>4.3417862969624037E-3</v>
      </c>
      <c r="I99" s="9">
        <f t="shared" si="19"/>
        <v>2.8926206310704458E-4</v>
      </c>
      <c r="J99" s="9">
        <f t="shared" si="20"/>
        <v>4.3610577551802627E-3</v>
      </c>
    </row>
    <row r="100" spans="1:10" x14ac:dyDescent="0.2">
      <c r="A100" s="1">
        <v>94</v>
      </c>
      <c r="B100" s="6">
        <v>0.75</v>
      </c>
      <c r="C100" s="8">
        <v>0.25</v>
      </c>
      <c r="D100" s="9">
        <f t="shared" si="14"/>
        <v>0.375</v>
      </c>
      <c r="E100" s="9">
        <f t="shared" si="15"/>
        <v>0.5625</v>
      </c>
      <c r="F100" s="9">
        <f t="shared" si="16"/>
        <v>6.25E-2</v>
      </c>
      <c r="G100" s="9">
        <f t="shared" si="17"/>
        <v>1.171875E-2</v>
      </c>
      <c r="H100" s="9">
        <f t="shared" si="18"/>
        <v>1.08984375</v>
      </c>
      <c r="I100" s="9">
        <f t="shared" si="19"/>
        <v>0.10546875</v>
      </c>
      <c r="J100" s="9">
        <f t="shared" si="20"/>
        <v>1.1015625</v>
      </c>
    </row>
    <row r="101" spans="1:10" x14ac:dyDescent="0.2">
      <c r="A101" s="1">
        <v>95</v>
      </c>
      <c r="B101" s="6">
        <v>0.74127379678100003</v>
      </c>
      <c r="C101" s="8">
        <v>0.25007615242199999</v>
      </c>
      <c r="D101" s="9">
        <f t="shared" si="14"/>
        <v>1.1193325606249915E-3</v>
      </c>
      <c r="E101" s="9">
        <f t="shared" si="15"/>
        <v>5.5641043918127665E-4</v>
      </c>
      <c r="F101" s="9">
        <f t="shared" si="16"/>
        <v>1.8658384006600359E-4</v>
      </c>
      <c r="G101" s="9">
        <f t="shared" si="17"/>
        <v>3.4989798587090987E-5</v>
      </c>
      <c r="H101" s="9">
        <f t="shared" si="18"/>
        <v>3.1116366696883724E-4</v>
      </c>
      <c r="I101" s="9">
        <f t="shared" si="19"/>
        <v>1.0434281585492957E-4</v>
      </c>
      <c r="J101" s="9">
        <f t="shared" si="20"/>
        <v>3.461534655559282E-4</v>
      </c>
    </row>
    <row r="102" spans="1:10" x14ac:dyDescent="0.2">
      <c r="A102" s="1">
        <v>96</v>
      </c>
      <c r="B102" s="6">
        <v>0.73255025164900001</v>
      </c>
      <c r="C102" s="8">
        <v>0.25030458648999998</v>
      </c>
      <c r="D102" s="9">
        <f t="shared" si="14"/>
        <v>1.175441395495358E-3</v>
      </c>
      <c r="E102" s="9">
        <f t="shared" si="15"/>
        <v>5.7746459873372577E-4</v>
      </c>
      <c r="F102" s="9">
        <f t="shared" si="16"/>
        <v>1.9605607800857319E-4</v>
      </c>
      <c r="G102" s="9">
        <f t="shared" si="17"/>
        <v>3.6788509499003962E-5</v>
      </c>
      <c r="H102" s="9">
        <f t="shared" si="18"/>
        <v>3.1915918191452588E-4</v>
      </c>
      <c r="I102" s="9">
        <f t="shared" si="19"/>
        <v>1.0835696338010528E-4</v>
      </c>
      <c r="J102" s="9">
        <f t="shared" si="20"/>
        <v>3.5594769141352985E-4</v>
      </c>
    </row>
    <row r="103" spans="1:10" x14ac:dyDescent="0.2">
      <c r="A103" s="1">
        <v>97</v>
      </c>
      <c r="B103" s="6">
        <v>0.72383202187899998</v>
      </c>
      <c r="C103" s="8">
        <v>0.25068523262300002</v>
      </c>
      <c r="D103" s="9">
        <f t="shared" si="14"/>
        <v>1.2305276590115349E-3</v>
      </c>
      <c r="E103" s="9">
        <f t="shared" si="15"/>
        <v>5.9737288989010224E-4</v>
      </c>
      <c r="F103" s="9">
        <f t="shared" si="16"/>
        <v>2.054939431005774E-4</v>
      </c>
      <c r="G103" s="9">
        <f t="shared" si="17"/>
        <v>3.8606397447414602E-5</v>
      </c>
      <c r="H103" s="9">
        <f t="shared" si="18"/>
        <v>3.2625512987781679E-4</v>
      </c>
      <c r="I103" s="9">
        <f t="shared" si="19"/>
        <v>1.1222898086921048E-4</v>
      </c>
      <c r="J103" s="9">
        <f t="shared" si="20"/>
        <v>3.648615273252314E-4</v>
      </c>
    </row>
    <row r="104" spans="1:10" x14ac:dyDescent="0.2">
      <c r="A104" s="1">
        <v>98</v>
      </c>
      <c r="B104" s="6">
        <v>0.71512176312800002</v>
      </c>
      <c r="C104" s="8">
        <v>0.25121797487000003</v>
      </c>
      <c r="D104" s="9">
        <f t="shared" si="14"/>
        <v>1.2845745694936572E-3</v>
      </c>
      <c r="E104" s="9">
        <f t="shared" si="15"/>
        <v>6.1614781296554519E-4</v>
      </c>
      <c r="F104" s="9">
        <f t="shared" si="16"/>
        <v>2.1491069889760208E-4</v>
      </c>
      <c r="G104" s="9">
        <f t="shared" si="17"/>
        <v>4.0449153603835582E-5</v>
      </c>
      <c r="H104" s="9">
        <f t="shared" si="18"/>
        <v>3.3248214613328483E-4</v>
      </c>
      <c r="I104" s="9">
        <f t="shared" si="19"/>
        <v>1.159672129880896E-4</v>
      </c>
      <c r="J104" s="9">
        <f t="shared" si="20"/>
        <v>3.7293129973712039E-4</v>
      </c>
    </row>
    <row r="105" spans="1:10" x14ac:dyDescent="0.2">
      <c r="A105" s="1">
        <v>99</v>
      </c>
      <c r="B105" s="6">
        <v>0.70642212862599996</v>
      </c>
      <c r="C105" s="8">
        <v>0.251902650954</v>
      </c>
      <c r="D105" s="9">
        <f t="shared" si="14"/>
        <v>1.3375656650316259E-3</v>
      </c>
      <c r="E105" s="9">
        <f t="shared" si="15"/>
        <v>6.3380276698186142E-4</v>
      </c>
      <c r="F105" s="9">
        <f t="shared" si="16"/>
        <v>2.2431895815713544E-4</v>
      </c>
      <c r="G105" s="9">
        <f t="shared" si="17"/>
        <v>4.2322336605653153E-5</v>
      </c>
      <c r="H105" s="9">
        <f t="shared" si="18"/>
        <v>3.3787113748573065E-4</v>
      </c>
      <c r="I105" s="9">
        <f t="shared" si="19"/>
        <v>1.1957938482656534E-4</v>
      </c>
      <c r="J105" s="9">
        <f t="shared" si="20"/>
        <v>3.801934740913838E-4</v>
      </c>
    </row>
    <row r="106" spans="1:10" x14ac:dyDescent="0.2">
      <c r="A106" s="1">
        <v>100</v>
      </c>
      <c r="B106" s="6">
        <v>0.69773576836600004</v>
      </c>
      <c r="C106" s="8">
        <v>0.25273905231600002</v>
      </c>
      <c r="D106" s="9">
        <f t="shared" si="14"/>
        <v>1.3894848035825996E-3</v>
      </c>
      <c r="E106" s="9">
        <f t="shared" si="15"/>
        <v>6.5035201990029505E-4</v>
      </c>
      <c r="F106" s="9">
        <f t="shared" si="16"/>
        <v>2.3373065931590149E-4</v>
      </c>
      <c r="G106" s="9">
        <f t="shared" si="17"/>
        <v>4.4231379760434021E-5</v>
      </c>
      <c r="H106" s="9">
        <f t="shared" si="18"/>
        <v>3.4245321507100354E-4</v>
      </c>
      <c r="I106" s="9">
        <f t="shared" si="19"/>
        <v>1.230726110177933E-4</v>
      </c>
      <c r="J106" s="9">
        <f t="shared" si="20"/>
        <v>3.8668459483143756E-4</v>
      </c>
    </row>
    <row r="107" spans="1:10" x14ac:dyDescent="0.2">
      <c r="A107" s="1">
        <v>101</v>
      </c>
      <c r="B107" s="6">
        <v>0.68906532829699996</v>
      </c>
      <c r="C107" s="8">
        <v>0.253726924179</v>
      </c>
      <c r="D107" s="9">
        <f t="shared" ref="D107:D170" si="21">((B106*C107)-(B107*C106))*0.5</f>
        <v>1.44031616978961E-3</v>
      </c>
      <c r="E107" s="9">
        <f t="shared" ref="E107:E170" si="22">(B107+B106)*((B106*C107)-(B107*C106))*(1/6)</f>
        <v>6.6581068126856096E-4</v>
      </c>
      <c r="F107" s="9">
        <f t="shared" ref="F107:F170" si="23">(C107+C106)*((B106*C107)-(B107*C106))*(1/6)</f>
        <v>2.4315704513134436E-4</v>
      </c>
      <c r="G107" s="9">
        <f t="shared" ref="G107:G170" si="24">(((C106*C106)+(C106*C107)+(C107*C107))*((B106*C107)-(B107*C106)))/12</f>
        <v>4.6181597430337112E-5</v>
      </c>
      <c r="H107" s="9">
        <f t="shared" ref="H107:H170" si="25">(((B106*B106)+(B106*B107)+(B107*B107))*((B106*C107)-(B107*C106)))/12</f>
        <v>3.4625963018965786E-4</v>
      </c>
      <c r="I107" s="9">
        <f t="shared" ref="I107:I170" si="26">(((B106*C107)+(2*B106*C106)+(2*B107*C107)+(B107*C106))*((B106*C107)-(B107*C106)))/24</f>
        <v>1.2645340728869222E-4</v>
      </c>
      <c r="J107" s="9">
        <f t="shared" ref="J107:J170" si="27">G107+H107</f>
        <v>3.9244122761999495E-4</v>
      </c>
    </row>
    <row r="108" spans="1:10" x14ac:dyDescent="0.2">
      <c r="A108" s="1">
        <v>102</v>
      </c>
      <c r="B108" s="6">
        <v>0.68041344952000005</v>
      </c>
      <c r="C108" s="8">
        <v>0.25486596562899999</v>
      </c>
      <c r="D108" s="9">
        <f t="shared" si="21"/>
        <v>1.4900442805729358E-3</v>
      </c>
      <c r="E108" s="9">
        <f t="shared" si="22"/>
        <v>6.8019467341741175E-4</v>
      </c>
      <c r="F108" s="9">
        <f t="shared" si="23"/>
        <v>2.5260864219949056E-4</v>
      </c>
      <c r="G108" s="9">
        <f t="shared" si="24"/>
        <v>4.8178190297785815E-5</v>
      </c>
      <c r="H108" s="9">
        <f t="shared" si="25"/>
        <v>3.4932171114741297E-4</v>
      </c>
      <c r="I108" s="9">
        <f t="shared" si="26"/>
        <v>1.2972770362948408E-4</v>
      </c>
      <c r="J108" s="9">
        <f t="shared" si="27"/>
        <v>3.9749990144519881E-4</v>
      </c>
    </row>
    <row r="109" spans="1:10" x14ac:dyDescent="0.2">
      <c r="A109" s="1">
        <v>103</v>
      </c>
      <c r="B109" s="6">
        <v>0.67178276747999999</v>
      </c>
      <c r="C109" s="8">
        <v>0.25615582970200002</v>
      </c>
      <c r="D109" s="9">
        <f t="shared" si="21"/>
        <v>1.5386539877416672E-3</v>
      </c>
      <c r="E109" s="9">
        <f t="shared" si="22"/>
        <v>6.9352070049874884E-4</v>
      </c>
      <c r="F109" s="9">
        <f t="shared" si="23"/>
        <v>2.6209524106964976E-4</v>
      </c>
      <c r="G109" s="9">
        <f t="shared" si="24"/>
        <v>5.0226249403610377E-5</v>
      </c>
      <c r="H109" s="9">
        <f t="shared" si="25"/>
        <v>3.516708008718054E-4</v>
      </c>
      <c r="I109" s="9">
        <f t="shared" si="26"/>
        <v>1.3290085884545022E-4</v>
      </c>
      <c r="J109" s="9">
        <f t="shared" si="27"/>
        <v>4.0189705027541579E-4</v>
      </c>
    </row>
    <row r="110" spans="1:10" x14ac:dyDescent="0.2">
      <c r="A110" s="1">
        <v>104</v>
      </c>
      <c r="B110" s="6">
        <v>0.66317591116700003</v>
      </c>
      <c r="C110" s="8">
        <v>0.25759612349400002</v>
      </c>
      <c r="D110" s="9">
        <f t="shared" si="21"/>
        <v>1.5861304847782087E-3</v>
      </c>
      <c r="E110" s="9">
        <f t="shared" si="22"/>
        <v>7.0580621870708099E-4</v>
      </c>
      <c r="F110" s="9">
        <f t="shared" si="23"/>
        <v>2.7162587819284099E-4</v>
      </c>
      <c r="G110" s="9">
        <f t="shared" si="24"/>
        <v>5.2330759145155255E-5</v>
      </c>
      <c r="H110" s="9">
        <f t="shared" si="25"/>
        <v>3.5333819713707091E-4</v>
      </c>
      <c r="I110" s="9">
        <f t="shared" si="26"/>
        <v>1.3597767702654796E-4</v>
      </c>
      <c r="J110" s="9">
        <f t="shared" si="27"/>
        <v>4.0566895628222618E-4</v>
      </c>
    </row>
    <row r="111" spans="1:10" x14ac:dyDescent="0.2">
      <c r="A111" s="1">
        <v>105</v>
      </c>
      <c r="B111" s="6">
        <v>0.65459550231200003</v>
      </c>
      <c r="C111" s="8">
        <v>0.25918640827599998</v>
      </c>
      <c r="D111" s="9">
        <f t="shared" si="21"/>
        <v>1.6324593091797124E-3</v>
      </c>
      <c r="E111" s="9">
        <f t="shared" si="22"/>
        <v>7.1706940376823377E-4</v>
      </c>
      <c r="F111" s="9">
        <f t="shared" si="23"/>
        <v>2.8120881826979895E-4</v>
      </c>
      <c r="G111" s="9">
        <f t="shared" si="24"/>
        <v>5.4496598918855287E-5</v>
      </c>
      <c r="H111" s="9">
        <f t="shared" si="25"/>
        <v>3.5435509346362089E-4</v>
      </c>
      <c r="I111" s="9">
        <f t="shared" si="26"/>
        <v>1.3896242508419852E-4</v>
      </c>
      <c r="J111" s="9">
        <f t="shared" si="27"/>
        <v>4.0885169238247617E-4</v>
      </c>
    </row>
    <row r="112" spans="1:10" x14ac:dyDescent="0.2">
      <c r="A112" s="1">
        <v>106</v>
      </c>
      <c r="B112" s="6">
        <v>0.64604415459099995</v>
      </c>
      <c r="C112" s="8">
        <v>0.26092619963300001</v>
      </c>
      <c r="D112" s="9">
        <f t="shared" si="21"/>
        <v>1.6776263494893418E-3</v>
      </c>
      <c r="E112" s="9">
        <f t="shared" si="22"/>
        <v>7.2732911987041641E-4</v>
      </c>
      <c r="F112" s="9">
        <f t="shared" si="23"/>
        <v>2.9085153857658563E-4</v>
      </c>
      <c r="G112" s="9">
        <f t="shared" si="24"/>
        <v>5.672854367309331E-5</v>
      </c>
      <c r="H112" s="9">
        <f t="shared" si="25"/>
        <v>3.5475252290251101E-4</v>
      </c>
      <c r="I112" s="9">
        <f t="shared" si="26"/>
        <v>1.4185885204614723E-4</v>
      </c>
      <c r="J112" s="9">
        <f t="shared" si="27"/>
        <v>4.114810665756043E-4</v>
      </c>
    </row>
    <row r="113" spans="1:10" x14ac:dyDescent="0.2">
      <c r="A113" s="1">
        <v>107</v>
      </c>
      <c r="B113" s="6">
        <v>0.63752447282799996</v>
      </c>
      <c r="C113" s="8">
        <v>0.26281496760700002</v>
      </c>
      <c r="D113" s="9">
        <f t="shared" si="21"/>
        <v>1.7216178467417825E-3</v>
      </c>
      <c r="E113" s="9">
        <f t="shared" si="22"/>
        <v>7.3660488549413469E-4</v>
      </c>
      <c r="F113" s="9">
        <f t="shared" si="23"/>
        <v>3.0056071353125227E-4</v>
      </c>
      <c r="G113" s="9">
        <f t="shared" si="24"/>
        <v>5.9031263006589859E-5</v>
      </c>
      <c r="H113" s="9">
        <f t="shared" si="25"/>
        <v>3.5456130250028842E-4</v>
      </c>
      <c r="I113" s="9">
        <f t="shared" si="26"/>
        <v>1.4467020912287525E-4</v>
      </c>
      <c r="J113" s="9">
        <f t="shared" si="27"/>
        <v>4.1359256550687826E-4</v>
      </c>
    </row>
    <row r="114" spans="1:10" x14ac:dyDescent="0.2">
      <c r="A114" s="1">
        <v>108</v>
      </c>
      <c r="B114" s="6">
        <v>0.6290390522</v>
      </c>
      <c r="C114" s="8">
        <v>0.26485213686199999</v>
      </c>
      <c r="D114" s="9">
        <f t="shared" si="21"/>
        <v>1.7644204014174159E-3</v>
      </c>
      <c r="E114" s="9">
        <f t="shared" si="22"/>
        <v>7.4491684108352019E-4</v>
      </c>
      <c r="F114" s="9">
        <f t="shared" si="23"/>
        <v>3.103422014273195E-4</v>
      </c>
      <c r="G114" s="9">
        <f t="shared" si="24"/>
        <v>6.1409319160133903E-5</v>
      </c>
      <c r="H114" s="9">
        <f t="shared" si="25"/>
        <v>3.5381198097074305E-4</v>
      </c>
      <c r="I114" s="9">
        <f t="shared" si="26"/>
        <v>1.4739927138548306E-4</v>
      </c>
      <c r="J114" s="9">
        <f t="shared" si="27"/>
        <v>4.1522130013087698E-4</v>
      </c>
    </row>
    <row r="115" spans="1:10" x14ac:dyDescent="0.2">
      <c r="A115" s="1">
        <v>109</v>
      </c>
      <c r="B115" s="6">
        <v>0.62059047744899998</v>
      </c>
      <c r="C115" s="8">
        <v>0.26703708685499999</v>
      </c>
      <c r="D115" s="9">
        <f t="shared" si="21"/>
        <v>1.8060209744709121E-3</v>
      </c>
      <c r="E115" s="9">
        <f t="shared" si="22"/>
        <v>7.5228571362143809E-4</v>
      </c>
      <c r="F115" s="9">
        <f t="shared" si="23"/>
        <v>3.2020103137598443E-4</v>
      </c>
      <c r="G115" s="9">
        <f t="shared" si="24"/>
        <v>6.3867163502642364E-5</v>
      </c>
      <c r="H115" s="9">
        <f t="shared" si="25"/>
        <v>3.5253478721604083E-4</v>
      </c>
      <c r="I115" s="9">
        <f t="shared" si="26"/>
        <v>1.5004835997724938E-4</v>
      </c>
      <c r="J115" s="9">
        <f t="shared" si="27"/>
        <v>4.164019507186832E-4</v>
      </c>
    </row>
    <row r="116" spans="1:10" x14ac:dyDescent="0.2">
      <c r="A116" s="1">
        <v>110</v>
      </c>
      <c r="B116" s="6">
        <v>0.61218132209200005</v>
      </c>
      <c r="C116" s="8">
        <v>0.26936915203099998</v>
      </c>
      <c r="D116" s="9">
        <f t="shared" si="21"/>
        <v>1.8464068952302043E-3</v>
      </c>
      <c r="E116" s="9">
        <f t="shared" si="22"/>
        <v>7.5873278363928326E-4</v>
      </c>
      <c r="F116" s="9">
        <f t="shared" si="23"/>
        <v>3.3014139270787018E-4</v>
      </c>
      <c r="G116" s="9">
        <f t="shared" si="24"/>
        <v>6.640913194177926E-5</v>
      </c>
      <c r="H116" s="9">
        <f t="shared" si="25"/>
        <v>3.5075958242253741E-4</v>
      </c>
      <c r="I116" s="9">
        <f t="shared" si="26"/>
        <v>1.5261936582476634E-4</v>
      </c>
      <c r="J116" s="9">
        <f t="shared" si="27"/>
        <v>4.1716871436431666E-4</v>
      </c>
    </row>
    <row r="117" spans="1:10" x14ac:dyDescent="0.2">
      <c r="A117" s="1">
        <v>111</v>
      </c>
      <c r="B117" s="6">
        <v>0.60381414763899999</v>
      </c>
      <c r="C117" s="8">
        <v>0.271847622018</v>
      </c>
      <c r="D117" s="9">
        <f t="shared" si="21"/>
        <v>1.8855658603535441E-3</v>
      </c>
      <c r="E117" s="9">
        <f t="shared" si="22"/>
        <v>7.6427984802311503E-4</v>
      </c>
      <c r="F117" s="9">
        <f t="shared" si="23"/>
        <v>3.4016662406582406E-4</v>
      </c>
      <c r="G117" s="9">
        <f t="shared" si="24"/>
        <v>6.9039438705157326E-5</v>
      </c>
      <c r="H117" s="9">
        <f t="shared" si="25"/>
        <v>3.4851581262302511E-4</v>
      </c>
      <c r="I117" s="9">
        <f t="shared" si="26"/>
        <v>1.551137734120542E-4</v>
      </c>
      <c r="J117" s="9">
        <f t="shared" si="27"/>
        <v>4.1755525132818245E-4</v>
      </c>
    </row>
    <row r="118" spans="1:10" x14ac:dyDescent="0.2">
      <c r="A118" s="1">
        <v>112</v>
      </c>
      <c r="B118" s="6">
        <v>0.59549150281300001</v>
      </c>
      <c r="C118" s="8">
        <v>0.27447174185200002</v>
      </c>
      <c r="D118" s="9">
        <f t="shared" si="21"/>
        <v>1.9234859428589046E-3</v>
      </c>
      <c r="E118" s="9">
        <f t="shared" si="22"/>
        <v>7.6894918661189239E-4</v>
      </c>
      <c r="F118" s="9">
        <f t="shared" si="23"/>
        <v>3.5027920557185468E-4</v>
      </c>
      <c r="G118" s="9">
        <f t="shared" si="24"/>
        <v>7.1762169167407304E-5</v>
      </c>
      <c r="H118" s="9">
        <f t="shared" si="25"/>
        <v>3.4583246552942612E-4</v>
      </c>
      <c r="I118" s="9">
        <f t="shared" si="26"/>
        <v>1.5753268608776995E-4</v>
      </c>
      <c r="J118" s="9">
        <f t="shared" si="27"/>
        <v>4.1759463469683342E-4</v>
      </c>
    </row>
    <row r="119" spans="1:10" x14ac:dyDescent="0.2">
      <c r="A119" s="1">
        <v>113</v>
      </c>
      <c r="B119" s="6">
        <v>0.58721592277099999</v>
      </c>
      <c r="C119" s="8">
        <v>0.27724071220000002</v>
      </c>
      <c r="D119" s="9">
        <f t="shared" si="21"/>
        <v>1.9601555913692642E-3</v>
      </c>
      <c r="E119" s="9">
        <f t="shared" si="22"/>
        <v>7.7276352440414184E-4</v>
      </c>
      <c r="F119" s="9">
        <f t="shared" si="23"/>
        <v>3.6048075054602864E-4</v>
      </c>
      <c r="G119" s="9">
        <f t="shared" si="24"/>
        <v>7.4581271024956732E-5</v>
      </c>
      <c r="H119" s="9">
        <f t="shared" si="25"/>
        <v>3.4273802785399758E-4</v>
      </c>
      <c r="I119" s="9">
        <f t="shared" si="26"/>
        <v>1.5987685114227153E-4</v>
      </c>
      <c r="J119" s="9">
        <f t="shared" si="27"/>
        <v>4.1731929887895433E-4</v>
      </c>
    </row>
    <row r="120" spans="1:10" x14ac:dyDescent="0.2">
      <c r="A120" s="1">
        <v>114</v>
      </c>
      <c r="B120" s="6">
        <v>0.57898992833700003</v>
      </c>
      <c r="C120" s="8">
        <v>0.28015368960699999</v>
      </c>
      <c r="D120" s="9">
        <f t="shared" si="21"/>
        <v>1.9955636357489731E-3</v>
      </c>
      <c r="E120" s="9">
        <f t="shared" si="22"/>
        <v>7.7574599608960196E-4</v>
      </c>
      <c r="F120" s="9">
        <f t="shared" si="23"/>
        <v>3.7077199967203362E-4</v>
      </c>
      <c r="G120" s="9">
        <f t="shared" si="24"/>
        <v>7.750054441275259E-5</v>
      </c>
      <c r="H120" s="9">
        <f t="shared" si="25"/>
        <v>3.3926044626221433E-4</v>
      </c>
      <c r="I120" s="9">
        <f t="shared" si="26"/>
        <v>1.6214668587640594E-4</v>
      </c>
      <c r="J120" s="9">
        <f t="shared" si="27"/>
        <v>4.1676099067496693E-4</v>
      </c>
    </row>
    <row r="121" spans="1:10" x14ac:dyDescent="0.2">
      <c r="A121" s="1">
        <v>115</v>
      </c>
      <c r="B121" s="6">
        <v>0.57081602522700003</v>
      </c>
      <c r="C121" s="8">
        <v>0.283209786751</v>
      </c>
      <c r="D121" s="9">
        <f t="shared" si="21"/>
        <v>2.0296992905760453E-3</v>
      </c>
      <c r="E121" s="9">
        <f t="shared" si="22"/>
        <v>7.7792010941632125E-4</v>
      </c>
      <c r="F121" s="9">
        <f t="shared" si="23"/>
        <v>3.8115281610009576E-4</v>
      </c>
      <c r="G121" s="9">
        <f t="shared" si="24"/>
        <v>8.052363068162406E-5</v>
      </c>
      <c r="H121" s="9">
        <f t="shared" si="25"/>
        <v>3.3542709035458586E-4</v>
      </c>
      <c r="I121" s="9">
        <f t="shared" si="26"/>
        <v>1.6434230383945028E-4</v>
      </c>
      <c r="J121" s="9">
        <f t="shared" si="27"/>
        <v>4.1595072103620991E-4</v>
      </c>
    </row>
    <row r="122" spans="1:10" x14ac:dyDescent="0.2">
      <c r="A122" s="1">
        <v>116</v>
      </c>
      <c r="B122" s="6">
        <v>0.56269670329199994</v>
      </c>
      <c r="C122" s="8">
        <v>0.28640807271699997</v>
      </c>
      <c r="D122" s="9">
        <f t="shared" si="21"/>
        <v>2.0625521582127437E-3</v>
      </c>
      <c r="E122" s="9">
        <f t="shared" si="22"/>
        <v>7.79309708189493E-4</v>
      </c>
      <c r="F122" s="9">
        <f t="shared" si="23"/>
        <v>3.9162218180074888E-4</v>
      </c>
      <c r="G122" s="9">
        <f t="shared" si="24"/>
        <v>8.3653999923838059E-5</v>
      </c>
      <c r="H122" s="9">
        <f t="shared" si="25"/>
        <v>3.312647180686904E-4</v>
      </c>
      <c r="I122" s="9">
        <f t="shared" si="26"/>
        <v>1.6646354126658138E-4</v>
      </c>
      <c r="J122" s="9">
        <f t="shared" si="27"/>
        <v>4.1491871799252846E-4</v>
      </c>
    </row>
    <row r="123" spans="1:10" x14ac:dyDescent="0.2">
      <c r="A123" s="1">
        <v>117</v>
      </c>
      <c r="B123" s="6">
        <v>0.55463443575500004</v>
      </c>
      <c r="C123" s="8">
        <v>0.28974757327400003</v>
      </c>
      <c r="D123" s="9">
        <f t="shared" si="21"/>
        <v>2.0941122305333515E-3</v>
      </c>
      <c r="E123" s="9">
        <f t="shared" si="22"/>
        <v>7.7993893461136105E-4</v>
      </c>
      <c r="F123" s="9">
        <f t="shared" si="23"/>
        <v>4.0217819498686568E-4</v>
      </c>
      <c r="G123" s="9">
        <f t="shared" si="24"/>
        <v>8.6894937238239395E-5</v>
      </c>
      <c r="H123" s="9">
        <f t="shared" si="25"/>
        <v>3.2679944339138574E-4</v>
      </c>
      <c r="I123" s="9">
        <f t="shared" si="26"/>
        <v>1.6850998352392954E-4</v>
      </c>
      <c r="J123" s="9">
        <f t="shared" si="27"/>
        <v>4.1369438062962514E-4</v>
      </c>
    </row>
    <row r="124" spans="1:10" x14ac:dyDescent="0.2">
      <c r="A124" s="1">
        <v>118</v>
      </c>
      <c r="B124" s="6">
        <v>0.546631678462</v>
      </c>
      <c r="C124" s="8">
        <v>0.29322727117899999</v>
      </c>
      <c r="D124" s="9">
        <f t="shared" si="21"/>
        <v>2.1243698946425416E-3</v>
      </c>
      <c r="E124" s="9">
        <f t="shared" si="22"/>
        <v>7.7983219301085648E-4</v>
      </c>
      <c r="F124" s="9">
        <f t="shared" si="23"/>
        <v>4.1281806962995731E-4</v>
      </c>
      <c r="G124" s="9">
        <f t="shared" si="24"/>
        <v>9.0249527994663069E-5</v>
      </c>
      <c r="H124" s="9">
        <f t="shared" si="25"/>
        <v>3.220567072439608E-4</v>
      </c>
      <c r="I124" s="9">
        <f t="shared" si="26"/>
        <v>1.7048099187805721E-4</v>
      </c>
      <c r="J124" s="9">
        <f t="shared" si="27"/>
        <v>4.1230623523862386E-4</v>
      </c>
    </row>
    <row r="125" spans="1:10" x14ac:dyDescent="0.2">
      <c r="A125" s="1">
        <v>119</v>
      </c>
      <c r="B125" s="6">
        <v>0.53869086912999997</v>
      </c>
      <c r="C125" s="8">
        <v>0.29684610648199999</v>
      </c>
      <c r="D125" s="9">
        <f t="shared" si="21"/>
        <v>2.1533159335657692E-3</v>
      </c>
      <c r="E125" s="9">
        <f t="shared" si="22"/>
        <v>7.7901411159601538E-4</v>
      </c>
      <c r="F125" s="9">
        <f t="shared" si="23"/>
        <v>4.2353813536346761E-4</v>
      </c>
      <c r="G125" s="9">
        <f t="shared" si="24"/>
        <v>9.3720641778253103E-5</v>
      </c>
      <c r="H125" s="9">
        <f t="shared" si="25"/>
        <v>3.1706125009717435E-4</v>
      </c>
      <c r="I125" s="9">
        <f t="shared" si="26"/>
        <v>1.7237572974802804E-4</v>
      </c>
      <c r="J125" s="9">
        <f t="shared" si="27"/>
        <v>4.1078189187542744E-4</v>
      </c>
    </row>
    <row r="126" spans="1:10" x14ac:dyDescent="0.2">
      <c r="A126" s="1">
        <v>120</v>
      </c>
      <c r="B126" s="6">
        <v>0.530814426605</v>
      </c>
      <c r="C126" s="8">
        <v>0.30060297684999998</v>
      </c>
      <c r="D126" s="9">
        <f t="shared" si="21"/>
        <v>2.1809415301110718E-3</v>
      </c>
      <c r="E126" s="9">
        <f t="shared" si="22"/>
        <v>7.7750950538072838E-4</v>
      </c>
      <c r="F126" s="9">
        <f t="shared" si="23"/>
        <v>4.3433383932184978E-4</v>
      </c>
      <c r="G126" s="9">
        <f t="shared" si="24"/>
        <v>9.7310915393267075E-5</v>
      </c>
      <c r="H126" s="9">
        <f t="shared" si="25"/>
        <v>3.118370876420004E-4</v>
      </c>
      <c r="I126" s="9">
        <f t="shared" si="26"/>
        <v>1.7419318898740841E-4</v>
      </c>
      <c r="J126" s="9">
        <f t="shared" si="27"/>
        <v>4.0914800303526748E-4</v>
      </c>
    </row>
    <row r="127" spans="1:10" x14ac:dyDescent="0.2">
      <c r="A127" s="1">
        <v>121</v>
      </c>
      <c r="B127" s="6">
        <v>0.52300475013000003</v>
      </c>
      <c r="C127" s="8">
        <v>0.30449673790600001</v>
      </c>
      <c r="D127" s="9">
        <f t="shared" si="21"/>
        <v>2.2072382694489773E-3</v>
      </c>
      <c r="E127" s="9">
        <f t="shared" si="22"/>
        <v>7.7534333865623582E-4</v>
      </c>
      <c r="F127" s="9">
        <f t="shared" si="23"/>
        <v>4.4519974908070102E-4</v>
      </c>
      <c r="G127" s="9">
        <f t="shared" si="24"/>
        <v>1.0102273480712702E-4</v>
      </c>
      <c r="H127" s="9">
        <f t="shared" si="25"/>
        <v>3.0640748880164062E-4</v>
      </c>
      <c r="I127" s="9">
        <f t="shared" si="26"/>
        <v>1.7593221573291578E-4</v>
      </c>
      <c r="J127" s="9">
        <f t="shared" si="27"/>
        <v>4.0743022360876765E-4</v>
      </c>
    </row>
    <row r="128" spans="1:10" x14ac:dyDescent="0.2">
      <c r="A128" s="1">
        <v>122</v>
      </c>
      <c r="B128" s="6">
        <v>0.515264218607</v>
      </c>
      <c r="C128" s="8">
        <v>0.30852620357100002</v>
      </c>
      <c r="D128" s="9">
        <f t="shared" si="21"/>
        <v>2.2321981408464087E-3</v>
      </c>
      <c r="E128" s="9">
        <f t="shared" si="22"/>
        <v>7.7254068723774973E-4</v>
      </c>
      <c r="F128" s="9">
        <f t="shared" si="23"/>
        <v>4.5612955675371875E-4</v>
      </c>
      <c r="G128" s="9">
        <f t="shared" si="24"/>
        <v>1.0485821610315874E-4</v>
      </c>
      <c r="H128" s="9">
        <f t="shared" si="25"/>
        <v>3.007949561588272E-4</v>
      </c>
      <c r="I128" s="9">
        <f t="shared" si="26"/>
        <v>1.7759153574127039E-4</v>
      </c>
      <c r="J128" s="9">
        <f t="shared" si="27"/>
        <v>4.0565317226198594E-4</v>
      </c>
    </row>
    <row r="129" spans="1:10" x14ac:dyDescent="0.2">
      <c r="A129" s="1">
        <v>123</v>
      </c>
      <c r="B129" s="6">
        <v>0.50759518987700003</v>
      </c>
      <c r="C129" s="8">
        <v>0.31269014642999998</v>
      </c>
      <c r="D129" s="9">
        <f t="shared" si="21"/>
        <v>2.2558135413553032E-3</v>
      </c>
      <c r="E129" s="9">
        <f t="shared" si="22"/>
        <v>7.6912670152029408E-4</v>
      </c>
      <c r="F129" s="9">
        <f t="shared" si="23"/>
        <v>4.6711608481452374E-4</v>
      </c>
      <c r="G129" s="9">
        <f t="shared" si="24"/>
        <v>1.0881918564000191E-4</v>
      </c>
      <c r="H129" s="9">
        <f t="shared" si="25"/>
        <v>2.9502120917158551E-4</v>
      </c>
      <c r="I129" s="9">
        <f t="shared" si="26"/>
        <v>1.7916977933626663E-4</v>
      </c>
      <c r="J129" s="9">
        <f t="shared" si="27"/>
        <v>4.0384039481158743E-4</v>
      </c>
    </row>
    <row r="130" spans="1:10" x14ac:dyDescent="0.2">
      <c r="A130" s="1">
        <v>124</v>
      </c>
      <c r="B130" s="6">
        <v>0.5</v>
      </c>
      <c r="C130" s="8">
        <v>0.31698729810800003</v>
      </c>
      <c r="D130" s="9">
        <f t="shared" si="21"/>
        <v>2.2780772783637521E-3</v>
      </c>
      <c r="E130" s="9">
        <f t="shared" si="22"/>
        <v>7.6512656928246815E-4</v>
      </c>
      <c r="F130" s="9">
        <f t="shared" si="23"/>
        <v>4.7815129303338977E-4</v>
      </c>
      <c r="G130" s="9">
        <f t="shared" si="24"/>
        <v>1.1290715935678362E-4</v>
      </c>
      <c r="H130" s="9">
        <f t="shared" si="25"/>
        <v>2.8910716970592562E-4</v>
      </c>
      <c r="I130" s="9">
        <f t="shared" si="26"/>
        <v>1.806655056200548E-4</v>
      </c>
      <c r="J130" s="9">
        <f t="shared" si="27"/>
        <v>4.0201432906270923E-4</v>
      </c>
    </row>
    <row r="131" spans="1:10" x14ac:dyDescent="0.2">
      <c r="A131" s="1">
        <v>125</v>
      </c>
      <c r="B131" s="6">
        <v>0.49248096254500001</v>
      </c>
      <c r="C131" s="8">
        <v>0.32141634964900001</v>
      </c>
      <c r="D131" s="9">
        <f t="shared" si="21"/>
        <v>2.2989825688666393E-3</v>
      </c>
      <c r="E131" s="9">
        <f t="shared" si="22"/>
        <v>7.6056547760764619E-4</v>
      </c>
      <c r="F131" s="9">
        <f t="shared" si="23"/>
        <v>4.8922628603140705E-4</v>
      </c>
      <c r="G131" s="9">
        <f t="shared" si="24"/>
        <v>1.1712332117564474E-4</v>
      </c>
      <c r="H131" s="9">
        <f t="shared" si="25"/>
        <v>2.8307294961479895E-4</v>
      </c>
      <c r="I131" s="9">
        <f t="shared" si="26"/>
        <v>1.8207722567405895E-4</v>
      </c>
      <c r="J131" s="9">
        <f t="shared" si="27"/>
        <v>4.0019627079044369E-4</v>
      </c>
    </row>
    <row r="132" spans="1:10" x14ac:dyDescent="0.2">
      <c r="A132" s="1">
        <v>126</v>
      </c>
      <c r="B132" s="6">
        <v>0.48504036788299998</v>
      </c>
      <c r="C132" s="8">
        <v>0.32597595192200002</v>
      </c>
      <c r="D132" s="9">
        <f t="shared" si="21"/>
        <v>2.3185230458536571E-3</v>
      </c>
      <c r="E132" s="9">
        <f t="shared" si="22"/>
        <v>7.554685774702818E-4</v>
      </c>
      <c r="F132" s="9">
        <f t="shared" si="23"/>
        <v>5.003313236335347E-4</v>
      </c>
      <c r="G132" s="9">
        <f t="shared" si="24"/>
        <v>1.2146850110116143E-4</v>
      </c>
      <c r="H132" s="9">
        <f t="shared" si="25"/>
        <v>2.7693784165089139E-4</v>
      </c>
      <c r="I132" s="9">
        <f t="shared" si="26"/>
        <v>1.8340342548464392E-4</v>
      </c>
      <c r="J132" s="9">
        <f t="shared" si="27"/>
        <v>3.9840634275205283E-4</v>
      </c>
    </row>
    <row r="133" spans="1:10" x14ac:dyDescent="0.2">
      <c r="A133" s="1">
        <v>127</v>
      </c>
      <c r="B133" s="6">
        <v>0.47768048249200001</v>
      </c>
      <c r="C133" s="8">
        <v>0.33066471602699998</v>
      </c>
      <c r="D133" s="9">
        <f t="shared" si="21"/>
        <v>2.3366927563869128E-3</v>
      </c>
      <c r="E133" s="9">
        <f t="shared" si="22"/>
        <v>7.4986094583130377E-4</v>
      </c>
      <c r="F133" s="9">
        <f t="shared" si="23"/>
        <v>5.1145583078183077E-4</v>
      </c>
      <c r="G133" s="9">
        <f t="shared" si="24"/>
        <v>1.2594315234172791E-4</v>
      </c>
      <c r="H133" s="9">
        <f t="shared" si="25"/>
        <v>2.7072031169472055E-4</v>
      </c>
      <c r="I133" s="9">
        <f t="shared" si="26"/>
        <v>1.8464258727796912E-4</v>
      </c>
      <c r="J133" s="9">
        <f t="shared" si="27"/>
        <v>3.9666346403644849E-4</v>
      </c>
    </row>
    <row r="134" spans="1:10" x14ac:dyDescent="0.2">
      <c r="A134" s="1">
        <v>128</v>
      </c>
      <c r="B134" s="6">
        <v>0.47040354826500003</v>
      </c>
      <c r="C134" s="8">
        <v>0.33548121372200002</v>
      </c>
      <c r="D134" s="9">
        <f t="shared" si="21"/>
        <v>2.3534861662936751E-3</v>
      </c>
      <c r="E134" s="9">
        <f t="shared" si="22"/>
        <v>7.4376755029018223E-4</v>
      </c>
      <c r="F134" s="9">
        <f t="shared" si="23"/>
        <v>5.2258841013236995E-4</v>
      </c>
      <c r="G134" s="9">
        <f t="shared" si="24"/>
        <v>1.3054732828312807E-4</v>
      </c>
      <c r="H134" s="9">
        <f t="shared" si="25"/>
        <v>2.6443799413323479E-4</v>
      </c>
      <c r="I134" s="9">
        <f t="shared" si="26"/>
        <v>1.8579321035904593E-4</v>
      </c>
      <c r="J134" s="9">
        <f t="shared" si="27"/>
        <v>3.9498532241636285E-4</v>
      </c>
    </row>
    <row r="135" spans="1:10" x14ac:dyDescent="0.2">
      <c r="A135" s="1">
        <v>129</v>
      </c>
      <c r="B135" s="6">
        <v>0.46321178182400002</v>
      </c>
      <c r="C135" s="8">
        <v>0.34042397785599998</v>
      </c>
      <c r="D135" s="9">
        <f t="shared" si="21"/>
        <v>2.3688981606512088E-3</v>
      </c>
      <c r="E135" s="9">
        <f t="shared" si="22"/>
        <v>7.3721321273453443E-4</v>
      </c>
      <c r="F135" s="9">
        <f t="shared" si="23"/>
        <v>5.3371685503457564E-4</v>
      </c>
      <c r="G135" s="9">
        <f t="shared" si="24"/>
        <v>1.3528065886291628E-4</v>
      </c>
      <c r="H135" s="9">
        <f t="shared" si="25"/>
        <v>2.5810768898146236E-4</v>
      </c>
      <c r="I135" s="9">
        <f t="shared" si="26"/>
        <v>1.8685383051564341E-4</v>
      </c>
      <c r="J135" s="9">
        <f t="shared" si="27"/>
        <v>3.9338834784437868E-4</v>
      </c>
    </row>
    <row r="136" spans="1:10" x14ac:dyDescent="0.2">
      <c r="A136" s="1">
        <v>130</v>
      </c>
      <c r="B136" s="6">
        <v>0.45610737385400002</v>
      </c>
      <c r="C136" s="8">
        <v>0.34549150281300001</v>
      </c>
      <c r="D136" s="9">
        <f t="shared" si="21"/>
        <v>2.3829240431144233E-3</v>
      </c>
      <c r="E136" s="9">
        <f t="shared" si="22"/>
        <v>7.3022257312025263E-4</v>
      </c>
      <c r="F136" s="9">
        <f t="shared" si="23"/>
        <v>5.4482816347684883E-4</v>
      </c>
      <c r="G136" s="9">
        <f t="shared" si="24"/>
        <v>1.4014232657224261E-4</v>
      </c>
      <c r="H136" s="9">
        <f t="shared" si="25"/>
        <v>2.5174536111680995E-4</v>
      </c>
      <c r="I136" s="9">
        <f t="shared" si="26"/>
        <v>1.8782303815264616E-4</v>
      </c>
      <c r="J136" s="9">
        <f t="shared" si="27"/>
        <v>3.9188768768905256E-4</v>
      </c>
    </row>
    <row r="137" spans="1:10" x14ac:dyDescent="0.2">
      <c r="A137" s="1">
        <v>131</v>
      </c>
      <c r="B137" s="6">
        <v>0.44909248842400001</v>
      </c>
      <c r="C137" s="8">
        <v>0.35068224497599998</v>
      </c>
      <c r="D137" s="9">
        <f t="shared" si="21"/>
        <v>2.395559542795439E-3</v>
      </c>
      <c r="E137" s="9">
        <f t="shared" si="22"/>
        <v>7.2282005607239325E-4</v>
      </c>
      <c r="F137" s="9">
        <f t="shared" si="23"/>
        <v>5.5590855498653473E-4</v>
      </c>
      <c r="G137" s="9">
        <f t="shared" si="24"/>
        <v>1.4513104270265693E-4</v>
      </c>
      <c r="H137" s="9">
        <f t="shared" si="25"/>
        <v>2.4536614246041793E-4</v>
      </c>
      <c r="I137" s="9">
        <f t="shared" si="26"/>
        <v>1.88699495770707E-4</v>
      </c>
      <c r="J137" s="9">
        <f t="shared" si="27"/>
        <v>3.9049718516307483E-4</v>
      </c>
    </row>
    <row r="138" spans="1:10" x14ac:dyDescent="0.2">
      <c r="A138" s="1">
        <v>132</v>
      </c>
      <c r="B138" s="6">
        <v>0.44216926233699999</v>
      </c>
      <c r="C138" s="8">
        <v>0.35599462319699998</v>
      </c>
      <c r="D138" s="9">
        <f t="shared" si="21"/>
        <v>2.4068008106919725E-3</v>
      </c>
      <c r="E138" s="9">
        <f t="shared" si="22"/>
        <v>7.1502983475677374E-4</v>
      </c>
      <c r="F138" s="9">
        <f t="shared" si="23"/>
        <v>5.6694348640534686E-4</v>
      </c>
      <c r="G138" s="9">
        <f t="shared" si="24"/>
        <v>1.5024502290974685E-4</v>
      </c>
      <c r="H138" s="9">
        <f t="shared" si="25"/>
        <v>2.3898433507740766E-4</v>
      </c>
      <c r="I138" s="9">
        <f t="shared" si="26"/>
        <v>1.8948195330211606E-4</v>
      </c>
      <c r="J138" s="9">
        <f t="shared" si="27"/>
        <v>3.8922935798715451E-4</v>
      </c>
    </row>
    <row r="139" spans="1:10" x14ac:dyDescent="0.2">
      <c r="A139" s="1">
        <v>133</v>
      </c>
      <c r="B139" s="6">
        <v>0.43533980447499998</v>
      </c>
      <c r="C139" s="8">
        <v>0.36142701927199999</v>
      </c>
      <c r="D139" s="9">
        <f t="shared" si="21"/>
        <v>2.4166444217138261E-3</v>
      </c>
      <c r="E139" s="9">
        <f t="shared" si="22"/>
        <v>7.0687579710484159E-4</v>
      </c>
      <c r="F139" s="9">
        <f t="shared" si="23"/>
        <v>5.7791767009649322E-4</v>
      </c>
      <c r="G139" s="9">
        <f t="shared" si="24"/>
        <v>1.5548196309373954E-4</v>
      </c>
      <c r="H139" s="9">
        <f t="shared" si="25"/>
        <v>2.3261341689721185E-4</v>
      </c>
      <c r="I139" s="9">
        <f t="shared" si="26"/>
        <v>1.9016926250596988E-4</v>
      </c>
      <c r="J139" s="9">
        <f t="shared" si="27"/>
        <v>3.8809537999095139E-4</v>
      </c>
    </row>
    <row r="140" spans="1:10" x14ac:dyDescent="0.2">
      <c r="A140" s="1">
        <v>134</v>
      </c>
      <c r="B140" s="6">
        <v>0.42860619515699999</v>
      </c>
      <c r="C140" s="8">
        <v>0.36697777844099999</v>
      </c>
      <c r="D140" s="9">
        <f t="shared" si="21"/>
        <v>2.425087378033583E-3</v>
      </c>
      <c r="E140" s="9">
        <f t="shared" si="22"/>
        <v>6.9838151300338997E-4</v>
      </c>
      <c r="F140" s="9">
        <f t="shared" si="23"/>
        <v>5.888150936776337E-4</v>
      </c>
      <c r="G140" s="9">
        <f t="shared" si="24"/>
        <v>1.6083901549985788E-4</v>
      </c>
      <c r="H140" s="9">
        <f t="shared" si="25"/>
        <v>2.2626604943632857E-4</v>
      </c>
      <c r="I140" s="9">
        <f t="shared" si="26"/>
        <v>1.9076039003020076E-4</v>
      </c>
      <c r="J140" s="9">
        <f t="shared" si="27"/>
        <v>3.8710506493618642E-4</v>
      </c>
    </row>
    <row r="141" spans="1:10" x14ac:dyDescent="0.2">
      <c r="A141" s="1">
        <v>135</v>
      </c>
      <c r="B141" s="6">
        <v>0.42197048550499999</v>
      </c>
      <c r="C141" s="8">
        <v>0.37264520988900002</v>
      </c>
      <c r="D141" s="9">
        <f t="shared" si="21"/>
        <v>2.4321271078554391E-3</v>
      </c>
      <c r="E141" s="9">
        <f t="shared" si="22"/>
        <v>6.8957020078258308E-4</v>
      </c>
      <c r="F141" s="9">
        <f t="shared" si="23"/>
        <v>5.9961903983681334E-4</v>
      </c>
      <c r="G141" s="9">
        <f t="shared" si="24"/>
        <v>1.6631276476328154E-4</v>
      </c>
      <c r="H141" s="9">
        <f t="shared" si="25"/>
        <v>2.1995408688205707E-4</v>
      </c>
      <c r="I141" s="9">
        <f t="shared" si="26"/>
        <v>1.9125442862692903E-4</v>
      </c>
      <c r="J141" s="9">
        <f t="shared" si="27"/>
        <v>3.8626685164533858E-4</v>
      </c>
    </row>
    <row r="142" spans="1:10" x14ac:dyDescent="0.2">
      <c r="A142" s="1">
        <v>136</v>
      </c>
      <c r="B142" s="6">
        <v>0.41543469682099998</v>
      </c>
      <c r="C142" s="8">
        <v>0.37842758726100001</v>
      </c>
      <c r="D142" s="9">
        <f t="shared" si="21"/>
        <v>2.4377614664876507E-3</v>
      </c>
      <c r="E142" s="9">
        <f t="shared" si="22"/>
        <v>6.8046469510379612E-4</v>
      </c>
      <c r="F142" s="9">
        <f t="shared" si="23"/>
        <v>6.1031210780645518E-4</v>
      </c>
      <c r="G142" s="9">
        <f t="shared" si="24"/>
        <v>1.7189920442591252E-4</v>
      </c>
      <c r="H142" s="9">
        <f t="shared" si="25"/>
        <v>2.1368858713950386E-4</v>
      </c>
      <c r="I142" s="9">
        <f t="shared" si="26"/>
        <v>1.9165060701553028E-4</v>
      </c>
      <c r="J142" s="9">
        <f t="shared" si="27"/>
        <v>3.8558779156541636E-4</v>
      </c>
    </row>
    <row r="143" spans="1:10" x14ac:dyDescent="0.2">
      <c r="A143" s="1">
        <v>137</v>
      </c>
      <c r="B143" s="6">
        <v>0.40900081996900001</v>
      </c>
      <c r="C143" s="8">
        <v>0.38432314918999999</v>
      </c>
      <c r="D143" s="9">
        <f t="shared" si="21"/>
        <v>2.4419887382001459E-3</v>
      </c>
      <c r="E143" s="9">
        <f t="shared" si="22"/>
        <v>6.7108741579113233E-4</v>
      </c>
      <c r="F143" s="9">
        <f t="shared" si="23"/>
        <v>6.2087623615573648E-4</v>
      </c>
      <c r="G143" s="9">
        <f t="shared" si="24"/>
        <v>1.7759371396439182E-4</v>
      </c>
      <c r="H143" s="9">
        <f t="shared" si="25"/>
        <v>2.0747982456694578E-4</v>
      </c>
      <c r="I143" s="9">
        <f t="shared" si="26"/>
        <v>1.9194829823767929E-4</v>
      </c>
      <c r="J143" s="9">
        <f t="shared" si="27"/>
        <v>3.8507353853133757E-4</v>
      </c>
    </row>
    <row r="144" spans="1:10" x14ac:dyDescent="0.2">
      <c r="A144" s="1">
        <v>138</v>
      </c>
      <c r="B144" s="6">
        <v>0.40267081477099997</v>
      </c>
      <c r="C144" s="8">
        <v>0.39033009983099998</v>
      </c>
      <c r="D144" s="9">
        <f t="shared" si="21"/>
        <v>2.4448076348833753E-3</v>
      </c>
      <c r="E144" s="9">
        <f t="shared" si="22"/>
        <v>6.6146033654354065E-4</v>
      </c>
      <c r="F144" s="9">
        <f t="shared" si="23"/>
        <v>6.3129272586458435E-4</v>
      </c>
      <c r="G144" s="9">
        <f t="shared" si="24"/>
        <v>1.833910361532352E-4</v>
      </c>
      <c r="H144" s="9">
        <f t="shared" si="25"/>
        <v>2.0133730395896759E-4</v>
      </c>
      <c r="I144" s="9">
        <f t="shared" si="26"/>
        <v>1.9214702615758027E-4</v>
      </c>
      <c r="J144" s="9">
        <f t="shared" si="27"/>
        <v>3.8472834011220281E-4</v>
      </c>
    </row>
    <row r="145" spans="1:10" x14ac:dyDescent="0.2">
      <c r="A145" s="1">
        <v>139</v>
      </c>
      <c r="B145" s="6">
        <v>0.39644660940699999</v>
      </c>
      <c r="C145" s="8">
        <v>0.39644660940699999</v>
      </c>
      <c r="D145" s="9">
        <f t="shared" si="21"/>
        <v>2.4462172978106517E-3</v>
      </c>
      <c r="E145" s="9">
        <f t="shared" si="22"/>
        <v>6.5160495533537176E-4</v>
      </c>
      <c r="F145" s="9">
        <f t="shared" si="23"/>
        <v>6.4154226521751239E-4</v>
      </c>
      <c r="G145" s="9">
        <f t="shared" si="24"/>
        <v>1.8928525531275304E-4</v>
      </c>
      <c r="H145" s="9">
        <f t="shared" si="25"/>
        <v>1.9526977623553196E-4</v>
      </c>
      <c r="I145" s="9">
        <f t="shared" si="26"/>
        <v>1.9224647057657399E-4</v>
      </c>
      <c r="J145" s="9">
        <f t="shared" si="27"/>
        <v>3.84555031548285E-4</v>
      </c>
    </row>
    <row r="146" spans="1:10" x14ac:dyDescent="0.2">
      <c r="A146" s="1">
        <v>140</v>
      </c>
      <c r="B146" s="6">
        <v>0.39033009983099998</v>
      </c>
      <c r="C146" s="8">
        <v>0.40267081477099997</v>
      </c>
      <c r="D146" s="9">
        <f t="shared" si="21"/>
        <v>2.4462172978106517E-3</v>
      </c>
      <c r="E146" s="9">
        <f t="shared" si="22"/>
        <v>6.4154226521751239E-4</v>
      </c>
      <c r="F146" s="9">
        <f t="shared" si="23"/>
        <v>6.5160495533537176E-4</v>
      </c>
      <c r="G146" s="9">
        <f t="shared" si="24"/>
        <v>1.9526977623553196E-4</v>
      </c>
      <c r="H146" s="9">
        <f t="shared" si="25"/>
        <v>1.8928525531275304E-4</v>
      </c>
      <c r="I146" s="9">
        <f t="shared" si="26"/>
        <v>1.9224647057657399E-4</v>
      </c>
      <c r="J146" s="9">
        <f t="shared" si="27"/>
        <v>3.84555031548285E-4</v>
      </c>
    </row>
    <row r="147" spans="1:10" x14ac:dyDescent="0.2">
      <c r="A147" s="1">
        <v>141</v>
      </c>
      <c r="B147" s="6">
        <v>0.38432314918999999</v>
      </c>
      <c r="C147" s="8">
        <v>0.40900081996900001</v>
      </c>
      <c r="D147" s="9">
        <f t="shared" si="21"/>
        <v>2.4448076348833753E-3</v>
      </c>
      <c r="E147" s="9">
        <f t="shared" si="22"/>
        <v>6.3129272586458435E-4</v>
      </c>
      <c r="F147" s="9">
        <f t="shared" si="23"/>
        <v>6.6146033654354065E-4</v>
      </c>
      <c r="G147" s="9">
        <f t="shared" si="24"/>
        <v>2.0133730395896759E-4</v>
      </c>
      <c r="H147" s="9">
        <f t="shared" si="25"/>
        <v>1.833910361532352E-4</v>
      </c>
      <c r="I147" s="9">
        <f t="shared" si="26"/>
        <v>1.9214702615758027E-4</v>
      </c>
      <c r="J147" s="9">
        <f t="shared" si="27"/>
        <v>3.8472834011220281E-4</v>
      </c>
    </row>
    <row r="148" spans="1:10" x14ac:dyDescent="0.2">
      <c r="A148" s="1">
        <v>142</v>
      </c>
      <c r="B148" s="6">
        <v>0.37842758726100001</v>
      </c>
      <c r="C148" s="8">
        <v>0.41543469682099998</v>
      </c>
      <c r="D148" s="9">
        <f t="shared" si="21"/>
        <v>2.4419887382001459E-3</v>
      </c>
      <c r="E148" s="9">
        <f t="shared" si="22"/>
        <v>6.2087623615573648E-4</v>
      </c>
      <c r="F148" s="9">
        <f t="shared" si="23"/>
        <v>6.7108741579113233E-4</v>
      </c>
      <c r="G148" s="9">
        <f t="shared" si="24"/>
        <v>2.0747982456694583E-4</v>
      </c>
      <c r="H148" s="9">
        <f t="shared" si="25"/>
        <v>1.7759371396439182E-4</v>
      </c>
      <c r="I148" s="9">
        <f t="shared" si="26"/>
        <v>1.9194829823767929E-4</v>
      </c>
      <c r="J148" s="9">
        <f t="shared" si="27"/>
        <v>3.8507353853133768E-4</v>
      </c>
    </row>
    <row r="149" spans="1:10" x14ac:dyDescent="0.2">
      <c r="A149" s="1">
        <v>143</v>
      </c>
      <c r="B149" s="6">
        <v>0.37264520988900002</v>
      </c>
      <c r="C149" s="8">
        <v>0.42197048550499999</v>
      </c>
      <c r="D149" s="9">
        <f t="shared" si="21"/>
        <v>2.4377614664876507E-3</v>
      </c>
      <c r="E149" s="9">
        <f t="shared" si="22"/>
        <v>6.1031210780645518E-4</v>
      </c>
      <c r="F149" s="9">
        <f t="shared" si="23"/>
        <v>6.8046469510379612E-4</v>
      </c>
      <c r="G149" s="9">
        <f t="shared" si="24"/>
        <v>2.1368858713950384E-4</v>
      </c>
      <c r="H149" s="9">
        <f t="shared" si="25"/>
        <v>1.7189920442591252E-4</v>
      </c>
      <c r="I149" s="9">
        <f t="shared" si="26"/>
        <v>1.9165060701553028E-4</v>
      </c>
      <c r="J149" s="9">
        <f t="shared" si="27"/>
        <v>3.8558779156541636E-4</v>
      </c>
    </row>
    <row r="150" spans="1:10" x14ac:dyDescent="0.2">
      <c r="A150" s="1">
        <v>144</v>
      </c>
      <c r="B150" s="6">
        <v>0.36697777844099999</v>
      </c>
      <c r="C150" s="8">
        <v>0.42860619515699999</v>
      </c>
      <c r="D150" s="9">
        <f t="shared" si="21"/>
        <v>2.4321271078554391E-3</v>
      </c>
      <c r="E150" s="9">
        <f t="shared" si="22"/>
        <v>5.9961903983681334E-4</v>
      </c>
      <c r="F150" s="9">
        <f t="shared" si="23"/>
        <v>6.8957020078258308E-4</v>
      </c>
      <c r="G150" s="9">
        <f t="shared" si="24"/>
        <v>2.1995408688205707E-4</v>
      </c>
      <c r="H150" s="9">
        <f t="shared" si="25"/>
        <v>1.6631276476328151E-4</v>
      </c>
      <c r="I150" s="9">
        <f t="shared" si="26"/>
        <v>1.9125442862692903E-4</v>
      </c>
      <c r="J150" s="9">
        <f t="shared" si="27"/>
        <v>3.8626685164533858E-4</v>
      </c>
    </row>
    <row r="151" spans="1:10" x14ac:dyDescent="0.2">
      <c r="A151" s="1">
        <v>145</v>
      </c>
      <c r="B151" s="6">
        <v>0.36142701927199999</v>
      </c>
      <c r="C151" s="8">
        <v>0.43533980447499998</v>
      </c>
      <c r="D151" s="9">
        <f t="shared" si="21"/>
        <v>2.425087378033583E-3</v>
      </c>
      <c r="E151" s="9">
        <f t="shared" si="22"/>
        <v>5.888150936776337E-4</v>
      </c>
      <c r="F151" s="9">
        <f t="shared" si="23"/>
        <v>6.9838151300338997E-4</v>
      </c>
      <c r="G151" s="9">
        <f t="shared" si="24"/>
        <v>2.2626604943632863E-4</v>
      </c>
      <c r="H151" s="9">
        <f t="shared" si="25"/>
        <v>1.608390154998579E-4</v>
      </c>
      <c r="I151" s="9">
        <f t="shared" si="26"/>
        <v>1.9076039003020076E-4</v>
      </c>
      <c r="J151" s="9">
        <f t="shared" si="27"/>
        <v>3.8710506493618653E-4</v>
      </c>
    </row>
    <row r="152" spans="1:10" x14ac:dyDescent="0.2">
      <c r="A152" s="1">
        <v>146</v>
      </c>
      <c r="B152" s="6">
        <v>0.35599462319699998</v>
      </c>
      <c r="C152" s="8">
        <v>0.44216926233699999</v>
      </c>
      <c r="D152" s="9">
        <f t="shared" si="21"/>
        <v>2.4166444217138261E-3</v>
      </c>
      <c r="E152" s="9">
        <f t="shared" si="22"/>
        <v>5.7791767009649322E-4</v>
      </c>
      <c r="F152" s="9">
        <f t="shared" si="23"/>
        <v>7.0687579710484159E-4</v>
      </c>
      <c r="G152" s="9">
        <f t="shared" si="24"/>
        <v>2.3261341689721185E-4</v>
      </c>
      <c r="H152" s="9">
        <f t="shared" si="25"/>
        <v>1.5548196309373951E-4</v>
      </c>
      <c r="I152" s="9">
        <f t="shared" si="26"/>
        <v>1.9016926250596988E-4</v>
      </c>
      <c r="J152" s="9">
        <f t="shared" si="27"/>
        <v>3.8809537999095133E-4</v>
      </c>
    </row>
    <row r="153" spans="1:10" x14ac:dyDescent="0.2">
      <c r="A153" s="1">
        <v>147</v>
      </c>
      <c r="B153" s="6">
        <v>0.35068224497599998</v>
      </c>
      <c r="C153" s="8">
        <v>0.44909248842400001</v>
      </c>
      <c r="D153" s="9">
        <f t="shared" si="21"/>
        <v>2.4068008106919725E-3</v>
      </c>
      <c r="E153" s="9">
        <f t="shared" si="22"/>
        <v>5.6694348640534686E-4</v>
      </c>
      <c r="F153" s="9">
        <f t="shared" si="23"/>
        <v>7.1502983475677374E-4</v>
      </c>
      <c r="G153" s="9">
        <f t="shared" si="24"/>
        <v>2.3898433507740761E-4</v>
      </c>
      <c r="H153" s="9">
        <f t="shared" si="25"/>
        <v>1.5024502290974685E-4</v>
      </c>
      <c r="I153" s="9">
        <f t="shared" si="26"/>
        <v>1.8948195330211606E-4</v>
      </c>
      <c r="J153" s="9">
        <f t="shared" si="27"/>
        <v>3.8922935798715446E-4</v>
      </c>
    </row>
    <row r="154" spans="1:10" x14ac:dyDescent="0.2">
      <c r="A154" s="1">
        <v>148</v>
      </c>
      <c r="B154" s="6">
        <v>0.34549150281300001</v>
      </c>
      <c r="C154" s="8">
        <v>0.45610737385400002</v>
      </c>
      <c r="D154" s="9">
        <f t="shared" si="21"/>
        <v>2.395559542795439E-3</v>
      </c>
      <c r="E154" s="9">
        <f t="shared" si="22"/>
        <v>5.5590855498653473E-4</v>
      </c>
      <c r="F154" s="9">
        <f t="shared" si="23"/>
        <v>7.2282005607239325E-4</v>
      </c>
      <c r="G154" s="9">
        <f t="shared" si="24"/>
        <v>2.4536614246041793E-4</v>
      </c>
      <c r="H154" s="9">
        <f t="shared" si="25"/>
        <v>1.4513104270265693E-4</v>
      </c>
      <c r="I154" s="9">
        <f t="shared" si="26"/>
        <v>1.88699495770707E-4</v>
      </c>
      <c r="J154" s="9">
        <f t="shared" si="27"/>
        <v>3.9049718516307483E-4</v>
      </c>
    </row>
    <row r="155" spans="1:10" x14ac:dyDescent="0.2">
      <c r="A155" s="1">
        <v>149</v>
      </c>
      <c r="B155" s="6">
        <v>0.34042397785599998</v>
      </c>
      <c r="C155" s="8">
        <v>0.46321178182400002</v>
      </c>
      <c r="D155" s="9">
        <f t="shared" si="21"/>
        <v>2.3829240431144233E-3</v>
      </c>
      <c r="E155" s="9">
        <f t="shared" si="22"/>
        <v>5.4482816347684883E-4</v>
      </c>
      <c r="F155" s="9">
        <f t="shared" si="23"/>
        <v>7.3022257312025263E-4</v>
      </c>
      <c r="G155" s="9">
        <f t="shared" si="24"/>
        <v>2.5174536111680995E-4</v>
      </c>
      <c r="H155" s="9">
        <f t="shared" si="25"/>
        <v>1.4014232657224258E-4</v>
      </c>
      <c r="I155" s="9">
        <f t="shared" si="26"/>
        <v>1.8782303815264616E-4</v>
      </c>
      <c r="J155" s="9">
        <f t="shared" si="27"/>
        <v>3.9188768768905256E-4</v>
      </c>
    </row>
    <row r="156" spans="1:10" x14ac:dyDescent="0.2">
      <c r="A156" s="1">
        <v>150</v>
      </c>
      <c r="B156" s="6">
        <v>0.33548121372200002</v>
      </c>
      <c r="C156" s="8">
        <v>0.47040354826500003</v>
      </c>
      <c r="D156" s="9">
        <f t="shared" si="21"/>
        <v>2.3688981606512088E-3</v>
      </c>
      <c r="E156" s="9">
        <f t="shared" si="22"/>
        <v>5.3371685503457564E-4</v>
      </c>
      <c r="F156" s="9">
        <f t="shared" si="23"/>
        <v>7.3721321273453443E-4</v>
      </c>
      <c r="G156" s="9">
        <f t="shared" si="24"/>
        <v>2.5810768898146236E-4</v>
      </c>
      <c r="H156" s="9">
        <f t="shared" si="25"/>
        <v>1.3528065886291628E-4</v>
      </c>
      <c r="I156" s="9">
        <f t="shared" si="26"/>
        <v>1.8685383051564341E-4</v>
      </c>
      <c r="J156" s="9">
        <f t="shared" si="27"/>
        <v>3.9338834784437868E-4</v>
      </c>
    </row>
    <row r="157" spans="1:10" x14ac:dyDescent="0.2">
      <c r="A157" s="1">
        <v>151</v>
      </c>
      <c r="B157" s="6">
        <v>0.33066471602699998</v>
      </c>
      <c r="C157" s="8">
        <v>0.47768048249200001</v>
      </c>
      <c r="D157" s="9">
        <f t="shared" si="21"/>
        <v>2.3534861662936751E-3</v>
      </c>
      <c r="E157" s="9">
        <f t="shared" si="22"/>
        <v>5.2258841013236995E-4</v>
      </c>
      <c r="F157" s="9">
        <f t="shared" si="23"/>
        <v>7.4376755029018223E-4</v>
      </c>
      <c r="G157" s="9">
        <f t="shared" si="24"/>
        <v>2.6443799413323473E-4</v>
      </c>
      <c r="H157" s="9">
        <f t="shared" si="25"/>
        <v>1.3054732828312807E-4</v>
      </c>
      <c r="I157" s="9">
        <f t="shared" si="26"/>
        <v>1.8579321035904587E-4</v>
      </c>
      <c r="J157" s="9">
        <f t="shared" si="27"/>
        <v>3.949853224163628E-4</v>
      </c>
    </row>
    <row r="158" spans="1:10" x14ac:dyDescent="0.2">
      <c r="A158" s="1">
        <v>152</v>
      </c>
      <c r="B158" s="6">
        <v>0.32597595192200002</v>
      </c>
      <c r="C158" s="8">
        <v>0.48504036788299998</v>
      </c>
      <c r="D158" s="9">
        <f t="shared" si="21"/>
        <v>2.3366927563869128E-3</v>
      </c>
      <c r="E158" s="9">
        <f t="shared" si="22"/>
        <v>5.1145583078183077E-4</v>
      </c>
      <c r="F158" s="9">
        <f t="shared" si="23"/>
        <v>7.4986094583130377E-4</v>
      </c>
      <c r="G158" s="9">
        <f t="shared" si="24"/>
        <v>2.7072031169472055E-4</v>
      </c>
      <c r="H158" s="9">
        <f t="shared" si="25"/>
        <v>1.2594315234172791E-4</v>
      </c>
      <c r="I158" s="9">
        <f t="shared" si="26"/>
        <v>1.8464258727796912E-4</v>
      </c>
      <c r="J158" s="9">
        <f t="shared" si="27"/>
        <v>3.9666346403644849E-4</v>
      </c>
    </row>
    <row r="159" spans="1:10" x14ac:dyDescent="0.2">
      <c r="A159" s="1">
        <v>153</v>
      </c>
      <c r="B159" s="6">
        <v>0.32141634964900001</v>
      </c>
      <c r="C159" s="8">
        <v>0.49248096254500001</v>
      </c>
      <c r="D159" s="9">
        <f t="shared" si="21"/>
        <v>2.3185230458536571E-3</v>
      </c>
      <c r="E159" s="9">
        <f t="shared" si="22"/>
        <v>5.003313236335347E-4</v>
      </c>
      <c r="F159" s="9">
        <f t="shared" si="23"/>
        <v>7.554685774702818E-4</v>
      </c>
      <c r="G159" s="9">
        <f t="shared" si="24"/>
        <v>2.7693784165089139E-4</v>
      </c>
      <c r="H159" s="9">
        <f t="shared" si="25"/>
        <v>1.2146850110116143E-4</v>
      </c>
      <c r="I159" s="9">
        <f t="shared" si="26"/>
        <v>1.8340342548464392E-4</v>
      </c>
      <c r="J159" s="9">
        <f t="shared" si="27"/>
        <v>3.9840634275205283E-4</v>
      </c>
    </row>
    <row r="160" spans="1:10" x14ac:dyDescent="0.2">
      <c r="A160" s="1">
        <v>154</v>
      </c>
      <c r="B160" s="6">
        <v>0.31698729810800003</v>
      </c>
      <c r="C160" s="8">
        <v>0.5</v>
      </c>
      <c r="D160" s="9">
        <f t="shared" si="21"/>
        <v>2.2989825688666393E-3</v>
      </c>
      <c r="E160" s="9">
        <f t="shared" si="22"/>
        <v>4.8922628603140705E-4</v>
      </c>
      <c r="F160" s="9">
        <f t="shared" si="23"/>
        <v>7.6056547760764619E-4</v>
      </c>
      <c r="G160" s="9">
        <f t="shared" si="24"/>
        <v>2.8307294961479895E-4</v>
      </c>
      <c r="H160" s="9">
        <f t="shared" si="25"/>
        <v>1.1712332117564475E-4</v>
      </c>
      <c r="I160" s="9">
        <f t="shared" si="26"/>
        <v>1.8207722567405895E-4</v>
      </c>
      <c r="J160" s="9">
        <f t="shared" si="27"/>
        <v>4.0019627079044369E-4</v>
      </c>
    </row>
    <row r="161" spans="1:10" x14ac:dyDescent="0.2">
      <c r="A161" s="1">
        <v>155</v>
      </c>
      <c r="B161" s="6">
        <v>0.31269014642999998</v>
      </c>
      <c r="C161" s="8">
        <v>0.50759518987700003</v>
      </c>
      <c r="D161" s="9">
        <f t="shared" si="21"/>
        <v>2.2780772783637521E-3</v>
      </c>
      <c r="E161" s="9">
        <f t="shared" si="22"/>
        <v>4.7815129303338977E-4</v>
      </c>
      <c r="F161" s="9">
        <f t="shared" si="23"/>
        <v>7.6512656928246815E-4</v>
      </c>
      <c r="G161" s="9">
        <f t="shared" si="24"/>
        <v>2.8910716970592567E-4</v>
      </c>
      <c r="H161" s="9">
        <f t="shared" si="25"/>
        <v>1.1290715935678362E-4</v>
      </c>
      <c r="I161" s="9">
        <f t="shared" si="26"/>
        <v>1.806655056200548E-4</v>
      </c>
      <c r="J161" s="9">
        <f t="shared" si="27"/>
        <v>4.0201432906270928E-4</v>
      </c>
    </row>
    <row r="162" spans="1:10" x14ac:dyDescent="0.2">
      <c r="A162" s="1">
        <v>156</v>
      </c>
      <c r="B162" s="6">
        <v>0.30852620357100002</v>
      </c>
      <c r="C162" s="8">
        <v>0.515264218607</v>
      </c>
      <c r="D162" s="9">
        <f t="shared" si="21"/>
        <v>2.2558135413553032E-3</v>
      </c>
      <c r="E162" s="9">
        <f t="shared" si="22"/>
        <v>4.6711608481452374E-4</v>
      </c>
      <c r="F162" s="9">
        <f t="shared" si="23"/>
        <v>7.6912670152029408E-4</v>
      </c>
      <c r="G162" s="9">
        <f t="shared" si="24"/>
        <v>2.9502120917158556E-4</v>
      </c>
      <c r="H162" s="9">
        <f t="shared" si="25"/>
        <v>1.0881918564000191E-4</v>
      </c>
      <c r="I162" s="9">
        <f t="shared" si="26"/>
        <v>1.7916977933626668E-4</v>
      </c>
      <c r="J162" s="9">
        <f t="shared" si="27"/>
        <v>4.0384039481158749E-4</v>
      </c>
    </row>
    <row r="163" spans="1:10" x14ac:dyDescent="0.2">
      <c r="A163" s="1">
        <v>157</v>
      </c>
      <c r="B163" s="6">
        <v>0.30449673790600001</v>
      </c>
      <c r="C163" s="8">
        <v>0.52300475013000003</v>
      </c>
      <c r="D163" s="9">
        <f t="shared" si="21"/>
        <v>2.2321981408464087E-3</v>
      </c>
      <c r="E163" s="9">
        <f t="shared" si="22"/>
        <v>4.5612955675371875E-4</v>
      </c>
      <c r="F163" s="9">
        <f t="shared" si="23"/>
        <v>7.7254068723774973E-4</v>
      </c>
      <c r="G163" s="9">
        <f t="shared" si="24"/>
        <v>3.007949561588272E-4</v>
      </c>
      <c r="H163" s="9">
        <f t="shared" si="25"/>
        <v>1.0485821610315874E-4</v>
      </c>
      <c r="I163" s="9">
        <f t="shared" si="26"/>
        <v>1.7759153574127039E-4</v>
      </c>
      <c r="J163" s="9">
        <f t="shared" si="27"/>
        <v>4.0565317226198594E-4</v>
      </c>
    </row>
    <row r="164" spans="1:10" x14ac:dyDescent="0.2">
      <c r="A164" s="1">
        <v>158</v>
      </c>
      <c r="B164" s="6">
        <v>0.30060297684999998</v>
      </c>
      <c r="C164" s="8">
        <v>0.530814426605</v>
      </c>
      <c r="D164" s="9">
        <f t="shared" si="21"/>
        <v>2.2072382694489773E-3</v>
      </c>
      <c r="E164" s="9">
        <f t="shared" si="22"/>
        <v>4.4519974908070102E-4</v>
      </c>
      <c r="F164" s="9">
        <f t="shared" si="23"/>
        <v>7.7534333865623582E-4</v>
      </c>
      <c r="G164" s="9">
        <f t="shared" si="24"/>
        <v>3.0640748880164057E-4</v>
      </c>
      <c r="H164" s="9">
        <f t="shared" si="25"/>
        <v>1.0102273480712702E-4</v>
      </c>
      <c r="I164" s="9">
        <f t="shared" si="26"/>
        <v>1.7593221573291578E-4</v>
      </c>
      <c r="J164" s="9">
        <f t="shared" si="27"/>
        <v>4.0743022360876759E-4</v>
      </c>
    </row>
    <row r="165" spans="1:10" x14ac:dyDescent="0.2">
      <c r="A165" s="1">
        <v>159</v>
      </c>
      <c r="B165" s="6">
        <v>0.29684610648199999</v>
      </c>
      <c r="C165" s="8">
        <v>0.53869086912999997</v>
      </c>
      <c r="D165" s="9">
        <f t="shared" si="21"/>
        <v>2.1809415301110718E-3</v>
      </c>
      <c r="E165" s="9">
        <f t="shared" si="22"/>
        <v>4.3433383932184978E-4</v>
      </c>
      <c r="F165" s="9">
        <f t="shared" si="23"/>
        <v>7.7750950538072838E-4</v>
      </c>
      <c r="G165" s="9">
        <f t="shared" si="24"/>
        <v>3.118370876420004E-4</v>
      </c>
      <c r="H165" s="9">
        <f t="shared" si="25"/>
        <v>9.7310915393267062E-5</v>
      </c>
      <c r="I165" s="9">
        <f t="shared" si="26"/>
        <v>1.7419318898740841E-4</v>
      </c>
      <c r="J165" s="9">
        <f t="shared" si="27"/>
        <v>4.0914800303526748E-4</v>
      </c>
    </row>
    <row r="166" spans="1:10" x14ac:dyDescent="0.2">
      <c r="A166" s="1">
        <v>160</v>
      </c>
      <c r="B166" s="6">
        <v>0.29322727117899999</v>
      </c>
      <c r="C166" s="8">
        <v>0.546631678462</v>
      </c>
      <c r="D166" s="9">
        <f t="shared" si="21"/>
        <v>2.1533159335657692E-3</v>
      </c>
      <c r="E166" s="9">
        <f t="shared" si="22"/>
        <v>4.2353813536346761E-4</v>
      </c>
      <c r="F166" s="9">
        <f t="shared" si="23"/>
        <v>7.7901411159601538E-4</v>
      </c>
      <c r="G166" s="9">
        <f t="shared" si="24"/>
        <v>3.1706125009717435E-4</v>
      </c>
      <c r="H166" s="9">
        <f t="shared" si="25"/>
        <v>9.3720641778253103E-5</v>
      </c>
      <c r="I166" s="9">
        <f t="shared" si="26"/>
        <v>1.7237572974802799E-4</v>
      </c>
      <c r="J166" s="9">
        <f t="shared" si="27"/>
        <v>4.1078189187542744E-4</v>
      </c>
    </row>
    <row r="167" spans="1:10" x14ac:dyDescent="0.2">
      <c r="A167" s="1">
        <v>161</v>
      </c>
      <c r="B167" s="6">
        <v>0.28974757327400003</v>
      </c>
      <c r="C167" s="8">
        <v>0.55463443575500004</v>
      </c>
      <c r="D167" s="9">
        <f t="shared" si="21"/>
        <v>2.1243698946425416E-3</v>
      </c>
      <c r="E167" s="9">
        <f t="shared" si="22"/>
        <v>4.1281806962995731E-4</v>
      </c>
      <c r="F167" s="9">
        <f t="shared" si="23"/>
        <v>7.7983219301085648E-4</v>
      </c>
      <c r="G167" s="9">
        <f t="shared" si="24"/>
        <v>3.2205670724396086E-4</v>
      </c>
      <c r="H167" s="9">
        <f t="shared" si="25"/>
        <v>9.0249527994663097E-5</v>
      </c>
      <c r="I167" s="9">
        <f t="shared" si="26"/>
        <v>1.7048099187805721E-4</v>
      </c>
      <c r="J167" s="9">
        <f t="shared" si="27"/>
        <v>4.1230623523862397E-4</v>
      </c>
    </row>
    <row r="168" spans="1:10" x14ac:dyDescent="0.2">
      <c r="A168" s="1">
        <v>162</v>
      </c>
      <c r="B168" s="6">
        <v>0.28640807271699997</v>
      </c>
      <c r="C168" s="8">
        <v>0.56269670329199994</v>
      </c>
      <c r="D168" s="9">
        <f t="shared" si="21"/>
        <v>2.0941122305333515E-3</v>
      </c>
      <c r="E168" s="9">
        <f t="shared" si="22"/>
        <v>4.0217819498686568E-4</v>
      </c>
      <c r="F168" s="9">
        <f t="shared" si="23"/>
        <v>7.7993893461136105E-4</v>
      </c>
      <c r="G168" s="9">
        <f t="shared" si="24"/>
        <v>3.2679944339138574E-4</v>
      </c>
      <c r="H168" s="9">
        <f t="shared" si="25"/>
        <v>8.6894937238239395E-5</v>
      </c>
      <c r="I168" s="9">
        <f t="shared" si="26"/>
        <v>1.6850998352392954E-4</v>
      </c>
      <c r="J168" s="9">
        <f t="shared" si="27"/>
        <v>4.1369438062962514E-4</v>
      </c>
    </row>
    <row r="169" spans="1:10" x14ac:dyDescent="0.2">
      <c r="A169" s="1">
        <v>163</v>
      </c>
      <c r="B169" s="6">
        <v>0.283209786751</v>
      </c>
      <c r="C169" s="8">
        <v>0.57081602522700003</v>
      </c>
      <c r="D169" s="9">
        <f t="shared" si="21"/>
        <v>2.0625521582127437E-3</v>
      </c>
      <c r="E169" s="9">
        <f t="shared" si="22"/>
        <v>3.9162218180074888E-4</v>
      </c>
      <c r="F169" s="9">
        <f t="shared" si="23"/>
        <v>7.79309708189493E-4</v>
      </c>
      <c r="G169" s="9">
        <f t="shared" si="24"/>
        <v>3.312647180686904E-4</v>
      </c>
      <c r="H169" s="9">
        <f t="shared" si="25"/>
        <v>8.3653999923838046E-5</v>
      </c>
      <c r="I169" s="9">
        <f t="shared" si="26"/>
        <v>1.6646354126658138E-4</v>
      </c>
      <c r="J169" s="9">
        <f t="shared" si="27"/>
        <v>4.1491871799252846E-4</v>
      </c>
    </row>
    <row r="170" spans="1:10" x14ac:dyDescent="0.2">
      <c r="A170" s="1">
        <v>164</v>
      </c>
      <c r="B170" s="6">
        <v>0.28015368960699999</v>
      </c>
      <c r="C170" s="8">
        <v>0.57898992833700003</v>
      </c>
      <c r="D170" s="9">
        <f t="shared" si="21"/>
        <v>2.0296992905760453E-3</v>
      </c>
      <c r="E170" s="9">
        <f t="shared" si="22"/>
        <v>3.8115281610009576E-4</v>
      </c>
      <c r="F170" s="9">
        <f t="shared" si="23"/>
        <v>7.7792010941632125E-4</v>
      </c>
      <c r="G170" s="9">
        <f t="shared" si="24"/>
        <v>3.3542709035458586E-4</v>
      </c>
      <c r="H170" s="9">
        <f t="shared" si="25"/>
        <v>8.0523630681624073E-5</v>
      </c>
      <c r="I170" s="9">
        <f t="shared" si="26"/>
        <v>1.6434230383945028E-4</v>
      </c>
      <c r="J170" s="9">
        <f t="shared" si="27"/>
        <v>4.1595072103620991E-4</v>
      </c>
    </row>
    <row r="171" spans="1:10" x14ac:dyDescent="0.2">
      <c r="A171" s="1">
        <v>165</v>
      </c>
      <c r="B171" s="6">
        <v>0.27724071220000002</v>
      </c>
      <c r="C171" s="8">
        <v>0.58721592277099999</v>
      </c>
      <c r="D171" s="9">
        <f t="shared" ref="D171:D234" si="28">((B170*C171)-(B171*C170))*0.5</f>
        <v>1.9955636357489731E-3</v>
      </c>
      <c r="E171" s="9">
        <f t="shared" ref="E171:E234" si="29">(B171+B170)*((B170*C171)-(B171*C170))*(1/6)</f>
        <v>3.7077199967203362E-4</v>
      </c>
      <c r="F171" s="9">
        <f t="shared" ref="F171:F234" si="30">(C171+C170)*((B170*C171)-(B171*C170))*(1/6)</f>
        <v>7.7574599608960196E-4</v>
      </c>
      <c r="G171" s="9">
        <f t="shared" ref="G171:G234" si="31">(((C170*C170)+(C170*C171)+(C171*C171))*((B170*C171)-(B171*C170)))/12</f>
        <v>3.3926044626221438E-4</v>
      </c>
      <c r="H171" s="9">
        <f t="shared" ref="H171:H234" si="32">(((B170*B170)+(B170*B171)+(B171*B171))*((B170*C171)-(B171*C170)))/12</f>
        <v>7.750054441275259E-5</v>
      </c>
      <c r="I171" s="9">
        <f t="shared" ref="I171:I234" si="33">(((B170*C171)+(2*B170*C170)+(2*B171*C171)+(B171*C170))*((B170*C171)-(B171*C170)))/24</f>
        <v>1.6214668587640594E-4</v>
      </c>
      <c r="J171" s="9">
        <f t="shared" ref="J171:J234" si="34">G171+H171</f>
        <v>4.1676099067496699E-4</v>
      </c>
    </row>
    <row r="172" spans="1:10" x14ac:dyDescent="0.2">
      <c r="A172" s="1">
        <v>166</v>
      </c>
      <c r="B172" s="6">
        <v>0.27447174185200002</v>
      </c>
      <c r="C172" s="8">
        <v>0.59549150281300001</v>
      </c>
      <c r="D172" s="9">
        <f t="shared" si="28"/>
        <v>1.9601555913692642E-3</v>
      </c>
      <c r="E172" s="9">
        <f t="shared" si="29"/>
        <v>3.6048075054602864E-4</v>
      </c>
      <c r="F172" s="9">
        <f t="shared" si="30"/>
        <v>7.7276352440414184E-4</v>
      </c>
      <c r="G172" s="9">
        <f t="shared" si="31"/>
        <v>3.4273802785399758E-4</v>
      </c>
      <c r="H172" s="9">
        <f t="shared" si="32"/>
        <v>7.4581271024956732E-5</v>
      </c>
      <c r="I172" s="9">
        <f t="shared" si="33"/>
        <v>1.5987685114227153E-4</v>
      </c>
      <c r="J172" s="9">
        <f t="shared" si="34"/>
        <v>4.1731929887895433E-4</v>
      </c>
    </row>
    <row r="173" spans="1:10" x14ac:dyDescent="0.2">
      <c r="A173" s="1">
        <v>167</v>
      </c>
      <c r="B173" s="6">
        <v>0.271847622018</v>
      </c>
      <c r="C173" s="8">
        <v>0.60381414763899999</v>
      </c>
      <c r="D173" s="9">
        <f t="shared" si="28"/>
        <v>1.9234859428589046E-3</v>
      </c>
      <c r="E173" s="9">
        <f t="shared" si="29"/>
        <v>3.5027920557185468E-4</v>
      </c>
      <c r="F173" s="9">
        <f t="shared" si="30"/>
        <v>7.6894918661189239E-4</v>
      </c>
      <c r="G173" s="9">
        <f t="shared" si="31"/>
        <v>3.4583246552942606E-4</v>
      </c>
      <c r="H173" s="9">
        <f t="shared" si="32"/>
        <v>7.1762169167407304E-5</v>
      </c>
      <c r="I173" s="9">
        <f t="shared" si="33"/>
        <v>1.5753268608776995E-4</v>
      </c>
      <c r="J173" s="9">
        <f t="shared" si="34"/>
        <v>4.1759463469683337E-4</v>
      </c>
    </row>
    <row r="174" spans="1:10" x14ac:dyDescent="0.2">
      <c r="A174" s="1">
        <v>168</v>
      </c>
      <c r="B174" s="6">
        <v>0.26936915203099998</v>
      </c>
      <c r="C174" s="8">
        <v>0.61218132209200005</v>
      </c>
      <c r="D174" s="9">
        <f t="shared" si="28"/>
        <v>1.8855658603535441E-3</v>
      </c>
      <c r="E174" s="9">
        <f t="shared" si="29"/>
        <v>3.4016662406582406E-4</v>
      </c>
      <c r="F174" s="9">
        <f t="shared" si="30"/>
        <v>7.6427984802311503E-4</v>
      </c>
      <c r="G174" s="9">
        <f t="shared" si="31"/>
        <v>3.4851581262302511E-4</v>
      </c>
      <c r="H174" s="9">
        <f t="shared" si="32"/>
        <v>6.9039438705157326E-5</v>
      </c>
      <c r="I174" s="9">
        <f t="shared" si="33"/>
        <v>1.551137734120542E-4</v>
      </c>
      <c r="J174" s="9">
        <f t="shared" si="34"/>
        <v>4.1755525132818245E-4</v>
      </c>
    </row>
    <row r="175" spans="1:10" x14ac:dyDescent="0.2">
      <c r="A175" s="1">
        <v>169</v>
      </c>
      <c r="B175" s="6">
        <v>0.26703708685499999</v>
      </c>
      <c r="C175" s="8">
        <v>0.62059047744899998</v>
      </c>
      <c r="D175" s="9">
        <f t="shared" si="28"/>
        <v>1.8464068952302043E-3</v>
      </c>
      <c r="E175" s="9">
        <f t="shared" si="29"/>
        <v>3.3014139270787018E-4</v>
      </c>
      <c r="F175" s="9">
        <f t="shared" si="30"/>
        <v>7.5873278363928326E-4</v>
      </c>
      <c r="G175" s="9">
        <f t="shared" si="31"/>
        <v>3.5075958242253741E-4</v>
      </c>
      <c r="H175" s="9">
        <f t="shared" si="32"/>
        <v>6.640913194177926E-5</v>
      </c>
      <c r="I175" s="9">
        <f t="shared" si="33"/>
        <v>1.5261936582476634E-4</v>
      </c>
      <c r="J175" s="9">
        <f t="shared" si="34"/>
        <v>4.1716871436431666E-4</v>
      </c>
    </row>
    <row r="176" spans="1:10" x14ac:dyDescent="0.2">
      <c r="A176" s="1">
        <v>170</v>
      </c>
      <c r="B176" s="6">
        <v>0.26485213686199999</v>
      </c>
      <c r="C176" s="8">
        <v>0.6290390522</v>
      </c>
      <c r="D176" s="9">
        <f t="shared" si="28"/>
        <v>1.8060209744709121E-3</v>
      </c>
      <c r="E176" s="9">
        <f t="shared" si="29"/>
        <v>3.2020103137598443E-4</v>
      </c>
      <c r="F176" s="9">
        <f t="shared" si="30"/>
        <v>7.5228571362143809E-4</v>
      </c>
      <c r="G176" s="9">
        <f t="shared" si="31"/>
        <v>3.5253478721604083E-4</v>
      </c>
      <c r="H176" s="9">
        <f t="shared" si="32"/>
        <v>6.3867163502642364E-5</v>
      </c>
      <c r="I176" s="9">
        <f t="shared" si="33"/>
        <v>1.5004835997724938E-4</v>
      </c>
      <c r="J176" s="9">
        <f t="shared" si="34"/>
        <v>4.164019507186832E-4</v>
      </c>
    </row>
    <row r="177" spans="1:10" x14ac:dyDescent="0.2">
      <c r="A177" s="1">
        <v>171</v>
      </c>
      <c r="B177" s="6">
        <v>0.26281496760700002</v>
      </c>
      <c r="C177" s="8">
        <v>0.63752447282799996</v>
      </c>
      <c r="D177" s="9">
        <f t="shared" si="28"/>
        <v>1.7644204014174159E-3</v>
      </c>
      <c r="E177" s="9">
        <f t="shared" si="29"/>
        <v>3.103422014273195E-4</v>
      </c>
      <c r="F177" s="9">
        <f t="shared" si="30"/>
        <v>7.4491684108352019E-4</v>
      </c>
      <c r="G177" s="9">
        <f t="shared" si="31"/>
        <v>3.5381198097074305E-4</v>
      </c>
      <c r="H177" s="9">
        <f t="shared" si="32"/>
        <v>6.1409319160133903E-5</v>
      </c>
      <c r="I177" s="9">
        <f t="shared" si="33"/>
        <v>1.4739927138548306E-4</v>
      </c>
      <c r="J177" s="9">
        <f t="shared" si="34"/>
        <v>4.1522130013087698E-4</v>
      </c>
    </row>
    <row r="178" spans="1:10" x14ac:dyDescent="0.2">
      <c r="A178" s="1">
        <v>172</v>
      </c>
      <c r="B178" s="6">
        <v>0.26092619963300001</v>
      </c>
      <c r="C178" s="8">
        <v>0.64604415459099995</v>
      </c>
      <c r="D178" s="9">
        <f t="shared" si="28"/>
        <v>1.7216178467417825E-3</v>
      </c>
      <c r="E178" s="9">
        <f t="shared" si="29"/>
        <v>3.0056071353125227E-4</v>
      </c>
      <c r="F178" s="9">
        <f t="shared" si="30"/>
        <v>7.3660488549413469E-4</v>
      </c>
      <c r="G178" s="9">
        <f t="shared" si="31"/>
        <v>3.5456130250028847E-4</v>
      </c>
      <c r="H178" s="9">
        <f t="shared" si="32"/>
        <v>5.9031263006589859E-5</v>
      </c>
      <c r="I178" s="9">
        <f t="shared" si="33"/>
        <v>1.4467020912287525E-4</v>
      </c>
      <c r="J178" s="9">
        <f t="shared" si="34"/>
        <v>4.1359256550687831E-4</v>
      </c>
    </row>
    <row r="179" spans="1:10" x14ac:dyDescent="0.2">
      <c r="A179" s="1">
        <v>173</v>
      </c>
      <c r="B179" s="6">
        <v>0.25918640827599998</v>
      </c>
      <c r="C179" s="8">
        <v>0.65459550231200003</v>
      </c>
      <c r="D179" s="9">
        <f t="shared" si="28"/>
        <v>1.6776263494893418E-3</v>
      </c>
      <c r="E179" s="9">
        <f t="shared" si="29"/>
        <v>2.9085153857658563E-4</v>
      </c>
      <c r="F179" s="9">
        <f t="shared" si="30"/>
        <v>7.2732911987041641E-4</v>
      </c>
      <c r="G179" s="9">
        <f t="shared" si="31"/>
        <v>3.5475252290251101E-4</v>
      </c>
      <c r="H179" s="9">
        <f t="shared" si="32"/>
        <v>5.672854367309331E-5</v>
      </c>
      <c r="I179" s="9">
        <f t="shared" si="33"/>
        <v>1.4185885204614723E-4</v>
      </c>
      <c r="J179" s="9">
        <f t="shared" si="34"/>
        <v>4.114810665756043E-4</v>
      </c>
    </row>
    <row r="180" spans="1:10" x14ac:dyDescent="0.2">
      <c r="A180" s="1">
        <v>174</v>
      </c>
      <c r="B180" s="6">
        <v>0.25759612349400002</v>
      </c>
      <c r="C180" s="8">
        <v>0.66317591116700003</v>
      </c>
      <c r="D180" s="9">
        <f t="shared" si="28"/>
        <v>1.6324593091797124E-3</v>
      </c>
      <c r="E180" s="9">
        <f t="shared" si="29"/>
        <v>2.8120881826979895E-4</v>
      </c>
      <c r="F180" s="9">
        <f t="shared" si="30"/>
        <v>7.1706940376823377E-4</v>
      </c>
      <c r="G180" s="9">
        <f t="shared" si="31"/>
        <v>3.5435509346362089E-4</v>
      </c>
      <c r="H180" s="9">
        <f t="shared" si="32"/>
        <v>5.4496598918855301E-5</v>
      </c>
      <c r="I180" s="9">
        <f t="shared" si="33"/>
        <v>1.3896242508419857E-4</v>
      </c>
      <c r="J180" s="9">
        <f t="shared" si="34"/>
        <v>4.0885169238247617E-4</v>
      </c>
    </row>
    <row r="181" spans="1:10" x14ac:dyDescent="0.2">
      <c r="A181" s="1">
        <v>175</v>
      </c>
      <c r="B181" s="6">
        <v>0.25615582970200002</v>
      </c>
      <c r="C181" s="8">
        <v>0.67178276747999999</v>
      </c>
      <c r="D181" s="9">
        <f t="shared" si="28"/>
        <v>1.5861304847782087E-3</v>
      </c>
      <c r="E181" s="9">
        <f t="shared" si="29"/>
        <v>2.7162587819284099E-4</v>
      </c>
      <c r="F181" s="9">
        <f t="shared" si="30"/>
        <v>7.0580621870708099E-4</v>
      </c>
      <c r="G181" s="9">
        <f t="shared" si="31"/>
        <v>3.5333819713707091E-4</v>
      </c>
      <c r="H181" s="9">
        <f t="shared" si="32"/>
        <v>5.2330759145155255E-5</v>
      </c>
      <c r="I181" s="9">
        <f t="shared" si="33"/>
        <v>1.3597767702654796E-4</v>
      </c>
      <c r="J181" s="9">
        <f t="shared" si="34"/>
        <v>4.0566895628222618E-4</v>
      </c>
    </row>
    <row r="182" spans="1:10" x14ac:dyDescent="0.2">
      <c r="A182" s="1">
        <v>176</v>
      </c>
      <c r="B182" s="6">
        <v>0.25486596562899999</v>
      </c>
      <c r="C182" s="8">
        <v>0.68041344952000005</v>
      </c>
      <c r="D182" s="9">
        <f t="shared" si="28"/>
        <v>1.5386539877416672E-3</v>
      </c>
      <c r="E182" s="9">
        <f t="shared" si="29"/>
        <v>2.6209524106964976E-4</v>
      </c>
      <c r="F182" s="9">
        <f t="shared" si="30"/>
        <v>6.9352070049874884E-4</v>
      </c>
      <c r="G182" s="9">
        <f t="shared" si="31"/>
        <v>3.516708008718054E-4</v>
      </c>
      <c r="H182" s="9">
        <f t="shared" si="32"/>
        <v>5.0226249403610391E-5</v>
      </c>
      <c r="I182" s="9">
        <f t="shared" si="33"/>
        <v>1.3290085884545022E-4</v>
      </c>
      <c r="J182" s="9">
        <f t="shared" si="34"/>
        <v>4.0189705027541579E-4</v>
      </c>
    </row>
    <row r="183" spans="1:10" x14ac:dyDescent="0.2">
      <c r="A183" s="1">
        <v>177</v>
      </c>
      <c r="B183" s="6">
        <v>0.253726924179</v>
      </c>
      <c r="C183" s="8">
        <v>0.68906532829699996</v>
      </c>
      <c r="D183" s="9">
        <f t="shared" si="28"/>
        <v>1.4900442805729358E-3</v>
      </c>
      <c r="E183" s="9">
        <f t="shared" si="29"/>
        <v>2.5260864219949056E-4</v>
      </c>
      <c r="F183" s="9">
        <f t="shared" si="30"/>
        <v>6.8019467341741175E-4</v>
      </c>
      <c r="G183" s="9">
        <f t="shared" si="31"/>
        <v>3.4932171114741297E-4</v>
      </c>
      <c r="H183" s="9">
        <f t="shared" si="32"/>
        <v>4.8178190297785808E-5</v>
      </c>
      <c r="I183" s="9">
        <f t="shared" si="33"/>
        <v>1.2972770362948408E-4</v>
      </c>
      <c r="J183" s="9">
        <f t="shared" si="34"/>
        <v>3.9749990144519876E-4</v>
      </c>
    </row>
    <row r="184" spans="1:10" x14ac:dyDescent="0.2">
      <c r="A184" s="1">
        <v>178</v>
      </c>
      <c r="B184" s="6">
        <v>0.25273905231600002</v>
      </c>
      <c r="C184" s="8">
        <v>0.69773576836600004</v>
      </c>
      <c r="D184" s="9">
        <f t="shared" si="28"/>
        <v>1.44031616978961E-3</v>
      </c>
      <c r="E184" s="9">
        <f t="shared" si="29"/>
        <v>2.4315704513134436E-4</v>
      </c>
      <c r="F184" s="9">
        <f t="shared" si="30"/>
        <v>6.6581068126856096E-4</v>
      </c>
      <c r="G184" s="9">
        <f t="shared" si="31"/>
        <v>3.4625963018965786E-4</v>
      </c>
      <c r="H184" s="9">
        <f t="shared" si="32"/>
        <v>4.6181597430337112E-5</v>
      </c>
      <c r="I184" s="9">
        <f t="shared" si="33"/>
        <v>1.2645340728869222E-4</v>
      </c>
      <c r="J184" s="9">
        <f t="shared" si="34"/>
        <v>3.9244122761999495E-4</v>
      </c>
    </row>
    <row r="185" spans="1:10" x14ac:dyDescent="0.2">
      <c r="A185" s="1">
        <v>179</v>
      </c>
      <c r="B185" s="6">
        <v>0.251902650954</v>
      </c>
      <c r="C185" s="8">
        <v>0.70642212862599996</v>
      </c>
      <c r="D185" s="9">
        <f t="shared" si="28"/>
        <v>1.3894848035825996E-3</v>
      </c>
      <c r="E185" s="9">
        <f t="shared" si="29"/>
        <v>2.3373065931590149E-4</v>
      </c>
      <c r="F185" s="9">
        <f t="shared" si="30"/>
        <v>6.5035201990029505E-4</v>
      </c>
      <c r="G185" s="9">
        <f t="shared" si="31"/>
        <v>3.4245321507100365E-4</v>
      </c>
      <c r="H185" s="9">
        <f t="shared" si="32"/>
        <v>4.4231379760434021E-5</v>
      </c>
      <c r="I185" s="9">
        <f t="shared" si="33"/>
        <v>1.230726110177933E-4</v>
      </c>
      <c r="J185" s="9">
        <f t="shared" si="34"/>
        <v>3.8668459483143767E-4</v>
      </c>
    </row>
    <row r="186" spans="1:10" x14ac:dyDescent="0.2">
      <c r="A186" s="1">
        <v>180</v>
      </c>
      <c r="B186" s="6">
        <v>0.25121797487000003</v>
      </c>
      <c r="C186" s="8">
        <v>0.71512176312800002</v>
      </c>
      <c r="D186" s="9">
        <f t="shared" si="28"/>
        <v>1.3375656650316259E-3</v>
      </c>
      <c r="E186" s="9">
        <f t="shared" si="29"/>
        <v>2.2431895815713544E-4</v>
      </c>
      <c r="F186" s="9">
        <f t="shared" si="30"/>
        <v>6.3380276698186142E-4</v>
      </c>
      <c r="G186" s="9">
        <f t="shared" si="31"/>
        <v>3.3787113748573065E-4</v>
      </c>
      <c r="H186" s="9">
        <f t="shared" si="32"/>
        <v>4.2322336605653167E-5</v>
      </c>
      <c r="I186" s="9">
        <f t="shared" si="33"/>
        <v>1.1957938482656534E-4</v>
      </c>
      <c r="J186" s="9">
        <f t="shared" si="34"/>
        <v>3.801934740913838E-4</v>
      </c>
    </row>
    <row r="187" spans="1:10" x14ac:dyDescent="0.2">
      <c r="A187" s="1">
        <v>181</v>
      </c>
      <c r="B187" s="6">
        <v>0.25068523262300002</v>
      </c>
      <c r="C187" s="8">
        <v>0.72383202187899998</v>
      </c>
      <c r="D187" s="9">
        <f t="shared" si="28"/>
        <v>1.2845745694936572E-3</v>
      </c>
      <c r="E187" s="9">
        <f t="shared" si="29"/>
        <v>2.1491069889760208E-4</v>
      </c>
      <c r="F187" s="9">
        <f t="shared" si="30"/>
        <v>6.1614781296554519E-4</v>
      </c>
      <c r="G187" s="9">
        <f t="shared" si="31"/>
        <v>3.3248214613328483E-4</v>
      </c>
      <c r="H187" s="9">
        <f t="shared" si="32"/>
        <v>4.0449153603835582E-5</v>
      </c>
      <c r="I187" s="9">
        <f t="shared" si="33"/>
        <v>1.1596721298808963E-4</v>
      </c>
      <c r="J187" s="9">
        <f t="shared" si="34"/>
        <v>3.7293129973712039E-4</v>
      </c>
    </row>
    <row r="188" spans="1:10" x14ac:dyDescent="0.2">
      <c r="A188" s="1">
        <v>182</v>
      </c>
      <c r="B188" s="6">
        <v>0.25030458648999998</v>
      </c>
      <c r="C188" s="8">
        <v>0.73255025164900001</v>
      </c>
      <c r="D188" s="9">
        <f t="shared" si="28"/>
        <v>1.2305276590115349E-3</v>
      </c>
      <c r="E188" s="9">
        <f t="shared" si="29"/>
        <v>2.054939431005774E-4</v>
      </c>
      <c r="F188" s="9">
        <f t="shared" si="30"/>
        <v>5.9737288989010224E-4</v>
      </c>
      <c r="G188" s="9">
        <f t="shared" si="31"/>
        <v>3.2625512987781679E-4</v>
      </c>
      <c r="H188" s="9">
        <f t="shared" si="32"/>
        <v>3.8606397447414602E-5</v>
      </c>
      <c r="I188" s="9">
        <f t="shared" si="33"/>
        <v>1.1222898086921049E-4</v>
      </c>
      <c r="J188" s="9">
        <f t="shared" si="34"/>
        <v>3.648615273252314E-4</v>
      </c>
    </row>
    <row r="189" spans="1:10" x14ac:dyDescent="0.2">
      <c r="A189" s="1">
        <v>183</v>
      </c>
      <c r="B189" s="6">
        <v>0.25007615242199999</v>
      </c>
      <c r="C189" s="8">
        <v>0.74127379678100003</v>
      </c>
      <c r="D189" s="9">
        <f t="shared" si="28"/>
        <v>1.175441395495358E-3</v>
      </c>
      <c r="E189" s="9">
        <f t="shared" si="29"/>
        <v>1.9605607800857319E-4</v>
      </c>
      <c r="F189" s="9">
        <f t="shared" si="30"/>
        <v>5.7746459873372577E-4</v>
      </c>
      <c r="G189" s="9">
        <f t="shared" si="31"/>
        <v>3.1915918191452588E-4</v>
      </c>
      <c r="H189" s="9">
        <f t="shared" si="32"/>
        <v>3.6788509499003962E-5</v>
      </c>
      <c r="I189" s="9">
        <f t="shared" si="33"/>
        <v>1.0835696338010528E-4</v>
      </c>
      <c r="J189" s="9">
        <f t="shared" si="34"/>
        <v>3.5594769141352985E-4</v>
      </c>
    </row>
    <row r="190" spans="1:10" x14ac:dyDescent="0.2">
      <c r="A190" s="1">
        <v>184</v>
      </c>
      <c r="B190" s="6">
        <v>0.25</v>
      </c>
      <c r="C190" s="8">
        <v>0.75</v>
      </c>
      <c r="D190" s="9">
        <f t="shared" si="28"/>
        <v>1.1193325606249915E-3</v>
      </c>
      <c r="E190" s="9">
        <f t="shared" si="29"/>
        <v>1.8658384006600359E-4</v>
      </c>
      <c r="F190" s="9">
        <f t="shared" si="30"/>
        <v>5.5641043918127665E-4</v>
      </c>
      <c r="G190" s="9">
        <f t="shared" si="31"/>
        <v>3.111636669688373E-4</v>
      </c>
      <c r="H190" s="9">
        <f t="shared" si="32"/>
        <v>3.4989798587090987E-5</v>
      </c>
      <c r="I190" s="9">
        <f t="shared" si="33"/>
        <v>1.0434281585492957E-4</v>
      </c>
      <c r="J190" s="9">
        <f t="shared" si="34"/>
        <v>3.4615346555592831E-4</v>
      </c>
    </row>
    <row r="191" spans="1:10" x14ac:dyDescent="0.2">
      <c r="A191" s="1">
        <v>185</v>
      </c>
      <c r="B191" s="6">
        <v>0.25</v>
      </c>
      <c r="C191" s="8">
        <v>5.75</v>
      </c>
      <c r="D191" s="9">
        <f t="shared" si="28"/>
        <v>0.625</v>
      </c>
      <c r="E191" s="9">
        <f t="shared" si="29"/>
        <v>0.10416666666666666</v>
      </c>
      <c r="F191" s="9">
        <f t="shared" si="30"/>
        <v>1.3541666666666665</v>
      </c>
      <c r="G191" s="9">
        <f t="shared" si="31"/>
        <v>3.9518229166666665</v>
      </c>
      <c r="H191" s="9">
        <f t="shared" si="32"/>
        <v>1.953125E-2</v>
      </c>
      <c r="I191" s="9">
        <f t="shared" si="33"/>
        <v>0.25390625</v>
      </c>
      <c r="J191" s="9">
        <f t="shared" si="34"/>
        <v>3.9713541666666665</v>
      </c>
    </row>
    <row r="192" spans="1:10" x14ac:dyDescent="0.2">
      <c r="A192" s="1">
        <v>186</v>
      </c>
      <c r="B192" s="6">
        <v>0.24996192378900001</v>
      </c>
      <c r="C192" s="8">
        <v>5.7543631016100001</v>
      </c>
      <c r="D192" s="9">
        <f t="shared" si="28"/>
        <v>6.5485680787502609E-4</v>
      </c>
      <c r="E192" s="9">
        <f t="shared" si="29"/>
        <v>1.0913448982384052E-4</v>
      </c>
      <c r="F192" s="9">
        <f t="shared" si="30"/>
        <v>2.5112368324518531E-3</v>
      </c>
      <c r="G192" s="9">
        <f t="shared" si="31"/>
        <v>1.0833818152427135E-2</v>
      </c>
      <c r="H192" s="9">
        <f t="shared" si="32"/>
        <v>2.0461158596080634E-5</v>
      </c>
      <c r="I192" s="9">
        <f t="shared" si="33"/>
        <v>4.7082104465792494E-4</v>
      </c>
      <c r="J192" s="9">
        <f t="shared" si="34"/>
        <v>1.0854279311023216E-2</v>
      </c>
    </row>
    <row r="193" spans="1:10" x14ac:dyDescent="0.2">
      <c r="A193" s="1">
        <v>187</v>
      </c>
      <c r="B193" s="6">
        <v>0.24984770675500001</v>
      </c>
      <c r="C193" s="8">
        <v>5.7587248741800003</v>
      </c>
      <c r="D193" s="9">
        <f t="shared" si="28"/>
        <v>8.7376167437613894E-4</v>
      </c>
      <c r="E193" s="9">
        <f t="shared" si="29"/>
        <v>1.4557149988448162E-4</v>
      </c>
      <c r="F193" s="9">
        <f t="shared" si="30"/>
        <v>3.3532316756553545E-3</v>
      </c>
      <c r="G193" s="9">
        <f t="shared" si="31"/>
        <v>1.4477269924525025E-2</v>
      </c>
      <c r="H193" s="9">
        <f t="shared" si="32"/>
        <v>2.7284264565569717E-5</v>
      </c>
      <c r="I193" s="9">
        <f t="shared" si="33"/>
        <v>6.284915387142271E-4</v>
      </c>
      <c r="J193" s="9">
        <f t="shared" si="34"/>
        <v>1.4504554189090595E-2</v>
      </c>
    </row>
    <row r="194" spans="1:10" x14ac:dyDescent="0.2">
      <c r="A194" s="1">
        <v>188</v>
      </c>
      <c r="B194" s="6">
        <v>0.24965738368900001</v>
      </c>
      <c r="C194" s="8">
        <v>5.7630839890600001</v>
      </c>
      <c r="D194" s="9">
        <f t="shared" si="28"/>
        <v>1.0925665152770048E-3</v>
      </c>
      <c r="E194" s="9">
        <f t="shared" si="29"/>
        <v>1.8191417867650874E-4</v>
      </c>
      <c r="F194" s="9">
        <f t="shared" si="30"/>
        <v>4.1961141864659442E-3</v>
      </c>
      <c r="G194" s="9">
        <f t="shared" si="31"/>
        <v>1.8130060474330602E-2</v>
      </c>
      <c r="H194" s="9">
        <f t="shared" si="32"/>
        <v>3.4075148501316395E-5</v>
      </c>
      <c r="I194" s="9">
        <f t="shared" si="33"/>
        <v>7.859926108158004E-4</v>
      </c>
      <c r="J194" s="9">
        <f t="shared" si="34"/>
        <v>1.8164135622831919E-2</v>
      </c>
    </row>
    <row r="195" spans="1:10" x14ac:dyDescent="0.2">
      <c r="A195" s="1">
        <v>189</v>
      </c>
      <c r="B195" s="6">
        <v>0.24939101256499999</v>
      </c>
      <c r="C195" s="8">
        <v>5.7674391184399996</v>
      </c>
      <c r="D195" s="9">
        <f t="shared" si="28"/>
        <v>1.3112046832551849E-3</v>
      </c>
      <c r="E195" s="9">
        <f t="shared" si="29"/>
        <v>2.1811819811307803E-4</v>
      </c>
      <c r="F195" s="9">
        <f t="shared" si="30"/>
        <v>5.0396252996453752E-3</v>
      </c>
      <c r="G195" s="9">
        <f t="shared" si="31"/>
        <v>2.1791069525255915E-2</v>
      </c>
      <c r="H195" s="9">
        <f t="shared" si="32"/>
        <v>4.0819330237248127E-5</v>
      </c>
      <c r="I195" s="9">
        <f t="shared" si="33"/>
        <v>9.4313128293661353E-4</v>
      </c>
      <c r="J195" s="9">
        <f t="shared" si="34"/>
        <v>2.1831888855493163E-2</v>
      </c>
    </row>
    <row r="196" spans="1:10" x14ac:dyDescent="0.2">
      <c r="A196" s="1">
        <v>190</v>
      </c>
      <c r="B196" s="6">
        <v>0.249048674523</v>
      </c>
      <c r="C196" s="8">
        <v>5.7717889356900001</v>
      </c>
      <c r="D196" s="9">
        <f t="shared" si="28"/>
        <v>1.5296095718057012E-3</v>
      </c>
      <c r="E196" s="9">
        <f t="shared" si="29"/>
        <v>2.5413937211254782E-4</v>
      </c>
      <c r="F196" s="9">
        <f t="shared" si="30"/>
        <v>5.8835045609487071E-3</v>
      </c>
      <c r="G196" s="9">
        <f t="shared" si="31"/>
        <v>2.5459164038263146E-2</v>
      </c>
      <c r="H196" s="9">
        <f t="shared" si="32"/>
        <v>4.7502438386490758E-5</v>
      </c>
      <c r="I196" s="9">
        <f t="shared" si="33"/>
        <v>1.0997144697211302E-3</v>
      </c>
      <c r="J196" s="9">
        <f t="shared" si="34"/>
        <v>2.5506666476649637E-2</v>
      </c>
    </row>
    <row r="197" spans="1:10" x14ac:dyDescent="0.2">
      <c r="A197" s="1">
        <v>191</v>
      </c>
      <c r="B197" s="6">
        <v>0.24863047384199999</v>
      </c>
      <c r="C197" s="8">
        <v>5.7761321158200003</v>
      </c>
      <c r="D197" s="9">
        <f t="shared" si="28"/>
        <v>1.7477146590425541E-3</v>
      </c>
      <c r="E197" s="9">
        <f t="shared" si="29"/>
        <v>2.8993371436577484E-4</v>
      </c>
      <c r="F197" s="9">
        <f t="shared" si="30"/>
        <v>6.7274903010633765E-3</v>
      </c>
      <c r="G197" s="9">
        <f t="shared" si="31"/>
        <v>2.913319895045113E-2</v>
      </c>
      <c r="H197" s="9">
        <f t="shared" si="32"/>
        <v>5.4110249253821639E-5</v>
      </c>
      <c r="I197" s="9">
        <f t="shared" si="33"/>
        <v>1.2555492341080219E-3</v>
      </c>
      <c r="J197" s="9">
        <f t="shared" si="34"/>
        <v>2.9187309199704952E-2</v>
      </c>
    </row>
    <row r="198" spans="1:10" x14ac:dyDescent="0.2">
      <c r="A198" s="1">
        <v>192</v>
      </c>
      <c r="B198" s="6">
        <v>0.24813653791000001</v>
      </c>
      <c r="C198" s="8">
        <v>5.7804673358500001</v>
      </c>
      <c r="D198" s="9">
        <f t="shared" si="28"/>
        <v>1.9654535051254474E-3</v>
      </c>
      <c r="E198" s="9">
        <f t="shared" si="29"/>
        <v>3.254574881595542E-4</v>
      </c>
      <c r="F198" s="9">
        <f t="shared" si="30"/>
        <v>7.5713196332052079E-3</v>
      </c>
      <c r="G198" s="9">
        <f t="shared" si="31"/>
        <v>3.2812017159693854E-2</v>
      </c>
      <c r="H198" s="9">
        <f t="shared" si="32"/>
        <v>6.0628723921875458E-5</v>
      </c>
      <c r="I198" s="9">
        <f t="shared" si="33"/>
        <v>1.41044301059136E-3</v>
      </c>
      <c r="J198" s="9">
        <f t="shared" si="34"/>
        <v>3.2872645883615728E-2</v>
      </c>
    </row>
    <row r="199" spans="1:10" x14ac:dyDescent="0.2">
      <c r="A199" s="1">
        <v>193</v>
      </c>
      <c r="B199" s="6">
        <v>0.24756701718499999</v>
      </c>
      <c r="C199" s="8">
        <v>5.7847932752400002</v>
      </c>
      <c r="D199" s="9">
        <f t="shared" si="28"/>
        <v>2.1827597856977077E-3</v>
      </c>
      <c r="E199" s="9">
        <f t="shared" si="29"/>
        <v>3.6066726189625133E-4</v>
      </c>
      <c r="F199" s="9">
        <f t="shared" si="30"/>
        <v>8.4147285910003162E-3</v>
      </c>
      <c r="G199" s="9">
        <f t="shared" si="31"/>
        <v>3.6494450124425155E-2</v>
      </c>
      <c r="H199" s="9">
        <f t="shared" si="32"/>
        <v>6.7044045972571443E-5</v>
      </c>
      <c r="I199" s="9">
        <f t="shared" si="33"/>
        <v>1.5642038550739083E-3</v>
      </c>
      <c r="J199" s="9">
        <f t="shared" si="34"/>
        <v>3.6561494170397724E-2</v>
      </c>
    </row>
    <row r="200" spans="1:10" x14ac:dyDescent="0.2">
      <c r="A200" s="1">
        <v>194</v>
      </c>
      <c r="B200" s="6">
        <v>0.24692208514899999</v>
      </c>
      <c r="C200" s="8">
        <v>5.7891086162600001</v>
      </c>
      <c r="D200" s="9">
        <f t="shared" si="28"/>
        <v>2.39956730464852E-3</v>
      </c>
      <c r="E200" s="9">
        <f t="shared" si="29"/>
        <v>3.9551996082188754E-4</v>
      </c>
      <c r="F200" s="9">
        <f t="shared" si="30"/>
        <v>9.2574521886843539E-3</v>
      </c>
      <c r="G200" s="9">
        <f t="shared" si="31"/>
        <v>4.0179318135787831E-2</v>
      </c>
      <c r="H200" s="9">
        <f t="shared" si="32"/>
        <v>7.3342657979481925E-5</v>
      </c>
      <c r="I200" s="9">
        <f t="shared" si="33"/>
        <v>1.7166406802459281E-3</v>
      </c>
      <c r="J200" s="9">
        <f t="shared" si="34"/>
        <v>4.0252660793767311E-2</v>
      </c>
    </row>
    <row r="201" spans="1:10" x14ac:dyDescent="0.2">
      <c r="A201" s="1">
        <v>195</v>
      </c>
      <c r="B201" s="6">
        <v>0.24620193825299999</v>
      </c>
      <c r="C201" s="8">
        <v>5.7934120444200001</v>
      </c>
      <c r="D201" s="9">
        <f t="shared" si="28"/>
        <v>2.6158100275812668E-3</v>
      </c>
      <c r="E201" s="9">
        <f t="shared" si="29"/>
        <v>4.2997292175205693E-4</v>
      </c>
      <c r="F201" s="9">
        <f t="shared" si="30"/>
        <v>1.0099224562957981E-2</v>
      </c>
      <c r="G201" s="9">
        <f t="shared" si="31"/>
        <v>4.3865430952468663E-2</v>
      </c>
      <c r="H201" s="9">
        <f t="shared" si="32"/>
        <v>7.9511297947661936E-5</v>
      </c>
      <c r="I201" s="9">
        <f t="shared" si="33"/>
        <v>1.8675635058698883E-3</v>
      </c>
      <c r="J201" s="9">
        <f t="shared" si="34"/>
        <v>4.3944942250416327E-2</v>
      </c>
    </row>
    <row r="202" spans="1:10" x14ac:dyDescent="0.2">
      <c r="A202" s="1">
        <v>196</v>
      </c>
      <c r="B202" s="6">
        <v>0.24540679586200001</v>
      </c>
      <c r="C202" s="8">
        <v>5.7977022488400003</v>
      </c>
      <c r="D202" s="9">
        <f t="shared" si="28"/>
        <v>2.8314220743769214E-3</v>
      </c>
      <c r="E202" s="9">
        <f t="shared" si="29"/>
        <v>4.6398394057656857E-4</v>
      </c>
      <c r="F202" s="9">
        <f t="shared" si="30"/>
        <v>1.0939778958854071E-2</v>
      </c>
      <c r="G202" s="9">
        <f t="shared" si="31"/>
        <v>4.7551587767101965E-2</v>
      </c>
      <c r="H202" s="9">
        <f t="shared" si="32"/>
        <v>8.5537033719144126E-5</v>
      </c>
      <c r="I202" s="9">
        <f t="shared" si="33"/>
        <v>2.0167836795935454E-3</v>
      </c>
      <c r="J202" s="9">
        <f t="shared" si="34"/>
        <v>4.7637124800821107E-2</v>
      </c>
    </row>
    <row r="203" spans="1:10" x14ac:dyDescent="0.2">
      <c r="A203" s="1">
        <v>197</v>
      </c>
      <c r="B203" s="6">
        <v>0.24453690018300001</v>
      </c>
      <c r="C203" s="8">
        <v>5.8019779226999999</v>
      </c>
      <c r="D203" s="9">
        <f t="shared" si="28"/>
        <v>3.0463377782640189E-3</v>
      </c>
      <c r="E203" s="9">
        <f t="shared" si="29"/>
        <v>4.9751133016139558E-4</v>
      </c>
      <c r="F203" s="9">
        <f t="shared" si="30"/>
        <v>1.177884797411412E-2</v>
      </c>
      <c r="G203" s="9">
        <f t="shared" si="31"/>
        <v>5.1236578303813361E-2</v>
      </c>
      <c r="H203" s="9">
        <f t="shared" si="32"/>
        <v>9.1407298522165715E-5</v>
      </c>
      <c r="I203" s="9">
        <f t="shared" si="33"/>
        <v>2.164114144741157E-3</v>
      </c>
      <c r="J203" s="9">
        <f t="shared" si="34"/>
        <v>5.1327985602335528E-2</v>
      </c>
    </row>
    <row r="204" spans="1:10" x14ac:dyDescent="0.2">
      <c r="A204" s="1">
        <v>198</v>
      </c>
      <c r="B204" s="6">
        <v>0.243592516196</v>
      </c>
      <c r="C204" s="8">
        <v>5.8062377635900004</v>
      </c>
      <c r="D204" s="9">
        <f t="shared" si="28"/>
        <v>3.2604916648194537E-3</v>
      </c>
      <c r="E204" s="9">
        <f t="shared" si="29"/>
        <v>5.3051396448563798E-4</v>
      </c>
      <c r="F204" s="9">
        <f t="shared" si="30"/>
        <v>1.2616163496191659E-2</v>
      </c>
      <c r="G204" s="9">
        <f t="shared" si="31"/>
        <v>5.4919182589220857E-2</v>
      </c>
      <c r="H204" s="9">
        <f t="shared" si="32"/>
        <v>9.7109923112220312E-5</v>
      </c>
      <c r="I204" s="9">
        <f t="shared" si="33"/>
        <v>2.3093696500969822E-3</v>
      </c>
      <c r="J204" s="9">
        <f t="shared" si="34"/>
        <v>5.501629251233308E-2</v>
      </c>
    </row>
    <row r="205" spans="1:10" x14ac:dyDescent="0.2">
      <c r="A205" s="1">
        <v>199</v>
      </c>
      <c r="B205" s="6">
        <v>0.24257393156900001</v>
      </c>
      <c r="C205" s="8">
        <v>5.8104804739000002</v>
      </c>
      <c r="D205" s="9">
        <f t="shared" si="28"/>
        <v>3.47381850330164E-3</v>
      </c>
      <c r="E205" s="9">
        <f t="shared" si="29"/>
        <v>5.6295133397682906E-4</v>
      </c>
      <c r="F205" s="9">
        <f t="shared" si="30"/>
        <v>1.3451456920344794E-2</v>
      </c>
      <c r="G205" s="9">
        <f t="shared" si="31"/>
        <v>5.8598171953217058E-2</v>
      </c>
      <c r="H205" s="9">
        <f t="shared" si="32"/>
        <v>1.0263316903642959E-4</v>
      </c>
      <c r="I205" s="9">
        <f t="shared" si="33"/>
        <v>2.4523670100724273E-3</v>
      </c>
      <c r="J205" s="9">
        <f t="shared" si="34"/>
        <v>5.8700805122253487E-2</v>
      </c>
    </row>
    <row r="206" spans="1:10" x14ac:dyDescent="0.2">
      <c r="A206" s="1">
        <v>200</v>
      </c>
      <c r="B206" s="6">
        <v>0.24148145657199999</v>
      </c>
      <c r="C206" s="8">
        <v>5.8147047612799998</v>
      </c>
      <c r="D206" s="9">
        <f t="shared" si="28"/>
        <v>3.6862533180681556E-3</v>
      </c>
      <c r="E206" s="9">
        <f t="shared" si="29"/>
        <v>5.9478359355451E-4</v>
      </c>
      <c r="F206" s="9">
        <f t="shared" si="30"/>
        <v>1.4284459215446403E-2</v>
      </c>
      <c r="G206" s="9">
        <f t="shared" si="31"/>
        <v>6.2272309377298996E-2</v>
      </c>
      <c r="H206" s="9">
        <f t="shared" si="32"/>
        <v>1.07965759528777E-4</v>
      </c>
      <c r="I206" s="9">
        <f t="shared" si="33"/>
        <v>2.5929253348941587E-3</v>
      </c>
      <c r="J206" s="9">
        <f t="shared" si="34"/>
        <v>6.238027513682777E-2</v>
      </c>
    </row>
    <row r="207" spans="1:10" x14ac:dyDescent="0.2">
      <c r="A207" s="1">
        <v>201</v>
      </c>
      <c r="B207" s="6">
        <v>0.240315423985</v>
      </c>
      <c r="C207" s="8">
        <v>5.8189093389500002</v>
      </c>
      <c r="D207" s="9">
        <f t="shared" si="28"/>
        <v>3.8977313877290864E-3</v>
      </c>
      <c r="E207" s="9">
        <f t="shared" si="29"/>
        <v>6.2597160795232684E-4</v>
      </c>
      <c r="F207" s="9">
        <f t="shared" si="30"/>
        <v>1.511490094373138E-2</v>
      </c>
      <c r="G207" s="9">
        <f t="shared" si="31"/>
        <v>6.5940349649545774E-2</v>
      </c>
      <c r="H207" s="9">
        <f t="shared" si="32"/>
        <v>1.1309690882243428E-4</v>
      </c>
      <c r="I207" s="9">
        <f t="shared" si="33"/>
        <v>2.7308662505104975E-3</v>
      </c>
      <c r="J207" s="9">
        <f t="shared" si="34"/>
        <v>6.6053446558368215E-2</v>
      </c>
    </row>
    <row r="208" spans="1:10" x14ac:dyDescent="0.2">
      <c r="A208" s="1">
        <v>202</v>
      </c>
      <c r="B208" s="6">
        <v>0.239076188991</v>
      </c>
      <c r="C208" s="8">
        <v>5.8230929261800002</v>
      </c>
      <c r="D208" s="9">
        <f t="shared" si="28"/>
        <v>4.1081883093478933E-3</v>
      </c>
      <c r="E208" s="9">
        <f t="shared" si="29"/>
        <v>6.5647700667581098E-4</v>
      </c>
      <c r="F208" s="9">
        <f t="shared" si="30"/>
        <v>1.5942512534336251E-2</v>
      </c>
      <c r="G208" s="9">
        <f t="shared" si="31"/>
        <v>6.9601040634692427E-2</v>
      </c>
      <c r="H208" s="9">
        <f t="shared" si="32"/>
        <v>1.1801635204026638E-4</v>
      </c>
      <c r="I208" s="9">
        <f t="shared" si="33"/>
        <v>2.8660141620767739E-3</v>
      </c>
      <c r="J208" s="9">
        <f t="shared" si="34"/>
        <v>6.9719056986732697E-2</v>
      </c>
    </row>
    <row r="209" spans="1:10" x14ac:dyDescent="0.2">
      <c r="A209" s="1">
        <v>203</v>
      </c>
      <c r="B209" s="6">
        <v>0.23776412907399999</v>
      </c>
      <c r="C209" s="8">
        <v>5.8272542485900001</v>
      </c>
      <c r="D209" s="9">
        <f t="shared" si="28"/>
        <v>4.3175599621763094E-3</v>
      </c>
      <c r="E209" s="9">
        <f t="shared" si="29"/>
        <v>6.8626222187628686E-4</v>
      </c>
      <c r="F209" s="9">
        <f t="shared" si="30"/>
        <v>1.6767024169080279E-2</v>
      </c>
      <c r="G209" s="9">
        <f t="shared" si="31"/>
        <v>7.3253122861807476E-2</v>
      </c>
      <c r="H209" s="9">
        <f t="shared" si="32"/>
        <v>1.2271437075350448E-4</v>
      </c>
      <c r="I209" s="9">
        <f t="shared" si="33"/>
        <v>2.9981964444427364E-3</v>
      </c>
      <c r="J209" s="9">
        <f t="shared" si="34"/>
        <v>7.3375837232560984E-2</v>
      </c>
    </row>
    <row r="210" spans="1:10" x14ac:dyDescent="0.2">
      <c r="A210" s="1">
        <v>204</v>
      </c>
      <c r="B210" s="6">
        <v>0.23637964389999999</v>
      </c>
      <c r="C210" s="8">
        <v>5.8313920386099998</v>
      </c>
      <c r="D210" s="9">
        <f t="shared" si="28"/>
        <v>4.5257825763488357E-3</v>
      </c>
      <c r="E210" s="9">
        <f t="shared" si="29"/>
        <v>7.1529054213667577E-4</v>
      </c>
      <c r="F210" s="9">
        <f t="shared" si="30"/>
        <v>1.7588166076807934E-2</v>
      </c>
      <c r="G210" s="9">
        <f t="shared" si="31"/>
        <v>7.6895330902400597E-2</v>
      </c>
      <c r="H210" s="9">
        <f t="shared" si="32"/>
        <v>1.2718182011700502E-4</v>
      </c>
      <c r="I210" s="9">
        <f t="shared" si="33"/>
        <v>3.1272437034695071E-3</v>
      </c>
      <c r="J210" s="9">
        <f t="shared" si="34"/>
        <v>7.7022512722517603E-2</v>
      </c>
    </row>
    <row r="211" spans="1:10" x14ac:dyDescent="0.2">
      <c r="A211" s="1">
        <v>205</v>
      </c>
      <c r="B211" s="6">
        <v>0.23492315519599999</v>
      </c>
      <c r="C211" s="8">
        <v>5.8355050358299998</v>
      </c>
      <c r="D211" s="9">
        <f t="shared" si="28"/>
        <v>4.7327927255281788E-3</v>
      </c>
      <c r="E211" s="9">
        <f t="shared" si="29"/>
        <v>7.435261530275391E-4</v>
      </c>
      <c r="F211" s="9">
        <f t="shared" si="30"/>
        <v>1.8405668534465205E-2</v>
      </c>
      <c r="G211" s="9">
        <f t="shared" si="31"/>
        <v>8.0526393477676386E-2</v>
      </c>
      <c r="H211" s="9">
        <f t="shared" si="32"/>
        <v>1.3141015225252983E-4</v>
      </c>
      <c r="I211" s="9">
        <f t="shared" si="33"/>
        <v>3.2529899809909963E-3</v>
      </c>
      <c r="J211" s="9">
        <f t="shared" si="34"/>
        <v>8.0657803629928915E-2</v>
      </c>
    </row>
    <row r="212" spans="1:10" x14ac:dyDescent="0.2">
      <c r="A212" s="1">
        <v>206</v>
      </c>
      <c r="B212" s="6">
        <v>0.23339510662400001</v>
      </c>
      <c r="C212" s="8">
        <v>5.8395919873900004</v>
      </c>
      <c r="D212" s="9">
        <f t="shared" si="28"/>
        <v>4.9385273462536627E-3</v>
      </c>
      <c r="E212" s="9">
        <f t="shared" si="29"/>
        <v>7.7093418091601755E-4</v>
      </c>
      <c r="F212" s="9">
        <f t="shared" si="30"/>
        <v>1.9219261973112235E-2</v>
      </c>
      <c r="G212" s="9">
        <f t="shared" si="31"/>
        <v>8.4145034031082866E-2</v>
      </c>
      <c r="H212" s="9">
        <f t="shared" si="32"/>
        <v>1.3539143880773465E-4</v>
      </c>
      <c r="I212" s="9">
        <f t="shared" si="33"/>
        <v>3.3752729752082617E-3</v>
      </c>
      <c r="J212" s="9">
        <f t="shared" si="34"/>
        <v>8.4280425469890605E-2</v>
      </c>
    </row>
    <row r="213" spans="1:10" x14ac:dyDescent="0.2">
      <c r="A213" s="1">
        <v>207</v>
      </c>
      <c r="B213" s="6">
        <v>0.231795963642</v>
      </c>
      <c r="C213" s="8">
        <v>5.8436516483499998</v>
      </c>
      <c r="D213" s="9">
        <f t="shared" si="28"/>
        <v>5.1429237734972322E-3</v>
      </c>
      <c r="E213" s="9">
        <f t="shared" si="29"/>
        <v>7.9748073816321094E-4</v>
      </c>
      <c r="F213" s="9">
        <f t="shared" si="30"/>
        <v>2.0028677148602493E-2</v>
      </c>
      <c r="G213" s="9">
        <f t="shared" si="31"/>
        <v>8.7749971592418818E-2</v>
      </c>
      <c r="H213" s="9">
        <f t="shared" si="32"/>
        <v>1.3911839227951508E-4</v>
      </c>
      <c r="I213" s="9">
        <f t="shared" si="33"/>
        <v>3.4939342683827264E-3</v>
      </c>
      <c r="J213" s="9">
        <f t="shared" si="34"/>
        <v>8.788908998469834E-2</v>
      </c>
    </row>
    <row r="214" spans="1:10" x14ac:dyDescent="0.2">
      <c r="A214" s="1">
        <v>208</v>
      </c>
      <c r="B214" s="6">
        <v>0.23012621336299999</v>
      </c>
      <c r="C214" s="8">
        <v>5.8476827821199997</v>
      </c>
      <c r="D214" s="9">
        <f t="shared" si="28"/>
        <v>5.3459197534990732E-3</v>
      </c>
      <c r="E214" s="9">
        <f t="shared" si="29"/>
        <v>8.2313296354344161E-4</v>
      </c>
      <c r="F214" s="9">
        <f t="shared" si="30"/>
        <v>2.0833645225537802E-2</v>
      </c>
      <c r="G214" s="9">
        <f t="shared" si="31"/>
        <v>9.1339921271214597E-2</v>
      </c>
      <c r="H214" s="9">
        <f t="shared" si="32"/>
        <v>1.4258438496408946E-4</v>
      </c>
      <c r="I214" s="9">
        <f t="shared" si="33"/>
        <v>3.6088195347690525E-3</v>
      </c>
      <c r="J214" s="9">
        <f t="shared" si="34"/>
        <v>9.1482505656178686E-2</v>
      </c>
    </row>
    <row r="215" spans="1:10" x14ac:dyDescent="0.2">
      <c r="A215" s="1">
        <v>209</v>
      </c>
      <c r="B215" s="6">
        <v>0.22838636441099999</v>
      </c>
      <c r="C215" s="8">
        <v>5.8516841607699996</v>
      </c>
      <c r="D215" s="9">
        <f t="shared" si="28"/>
        <v>5.5474534385280272E-3</v>
      </c>
      <c r="E215" s="9">
        <f t="shared" si="29"/>
        <v>8.478590587269086E-4</v>
      </c>
      <c r="F215" s="9">
        <f t="shared" si="30"/>
        <v>2.1633897791978749E-2</v>
      </c>
      <c r="G215" s="9">
        <f t="shared" si="31"/>
        <v>9.4913594453353498E-2</v>
      </c>
      <c r="H215" s="9">
        <f t="shared" si="32"/>
        <v>1.4578346566697346E-4</v>
      </c>
      <c r="I215" s="9">
        <f t="shared" si="33"/>
        <v>3.7197787322860109E-3</v>
      </c>
      <c r="J215" s="9">
        <f t="shared" si="34"/>
        <v>9.5059377919020471E-2</v>
      </c>
    </row>
    <row r="216" spans="1:10" x14ac:dyDescent="0.2">
      <c r="A216" s="1">
        <v>210</v>
      </c>
      <c r="B216" s="6">
        <v>0.226576946759</v>
      </c>
      <c r="C216" s="8">
        <v>5.8556545654400001</v>
      </c>
      <c r="D216" s="9">
        <f t="shared" si="28"/>
        <v>5.7474634511239797E-3</v>
      </c>
      <c r="E216" s="9">
        <f t="shared" si="29"/>
        <v>8.7162833418397373E-4</v>
      </c>
      <c r="F216" s="9">
        <f t="shared" si="30"/>
        <v>2.2429167146273445E-2</v>
      </c>
      <c r="G216" s="9">
        <f t="shared" si="31"/>
        <v>9.846970019822926E-2</v>
      </c>
      <c r="H216" s="9">
        <f t="shared" si="32"/>
        <v>1.4871037643417179E-4</v>
      </c>
      <c r="I216" s="9">
        <f t="shared" si="33"/>
        <v>3.8266663364340293E-3</v>
      </c>
      <c r="J216" s="9">
        <f t="shared" si="34"/>
        <v>9.8618410574663432E-2</v>
      </c>
    </row>
    <row r="217" spans="1:10" x14ac:dyDescent="0.2">
      <c r="A217" s="1">
        <v>211</v>
      </c>
      <c r="B217" s="6">
        <v>0.22469851157500001</v>
      </c>
      <c r="C217" s="8">
        <v>5.8595927867000004</v>
      </c>
      <c r="D217" s="9">
        <f t="shared" si="28"/>
        <v>5.9458888549124289E-3</v>
      </c>
      <c r="E217" s="9">
        <f t="shared" si="29"/>
        <v>8.9441123940120948E-4</v>
      </c>
      <c r="F217" s="9">
        <f t="shared" si="30"/>
        <v>2.3219186221210525E-2</v>
      </c>
      <c r="G217" s="9">
        <f t="shared" si="31"/>
        <v>0.10200694505375908</v>
      </c>
      <c r="H217" s="9">
        <f t="shared" si="32"/>
        <v>1.5136056492412542E-4</v>
      </c>
      <c r="I217" s="9">
        <f t="shared" si="33"/>
        <v>3.9293415063004532E-3</v>
      </c>
      <c r="J217" s="9">
        <f t="shared" si="34"/>
        <v>0.10215830561868321</v>
      </c>
    </row>
    <row r="218" spans="1:10" x14ac:dyDescent="0.2">
      <c r="A218" s="1">
        <v>212</v>
      </c>
      <c r="B218" s="6">
        <v>0.22275163104699999</v>
      </c>
      <c r="C218" s="8">
        <v>5.8634976249299999</v>
      </c>
      <c r="D218" s="9">
        <f t="shared" si="28"/>
        <v>6.1426692183288445E-3</v>
      </c>
      <c r="E218" s="9">
        <f t="shared" si="29"/>
        <v>9.1617940594033694E-4</v>
      </c>
      <c r="F218" s="9">
        <f t="shared" si="30"/>
        <v>2.4003688871735207E-2</v>
      </c>
      <c r="G218" s="9">
        <f t="shared" si="31"/>
        <v>0.10552403447357728</v>
      </c>
      <c r="H218" s="9">
        <f t="shared" si="32"/>
        <v>1.5373019731359228E-4</v>
      </c>
      <c r="I218" s="9">
        <f t="shared" si="33"/>
        <v>4.0276683076616521E-3</v>
      </c>
      <c r="J218" s="9">
        <f t="shared" si="34"/>
        <v>0.10567776467089086</v>
      </c>
    </row>
    <row r="219" spans="1:10" x14ac:dyDescent="0.2">
      <c r="A219" s="1">
        <v>213</v>
      </c>
      <c r="B219" s="6">
        <v>0.220736898215</v>
      </c>
      <c r="C219" s="8">
        <v>5.8673678906999998</v>
      </c>
      <c r="D219" s="9">
        <f t="shared" si="28"/>
        <v>6.3377445940766552E-3</v>
      </c>
      <c r="E219" s="9">
        <f t="shared" si="29"/>
        <v>9.369056762884156E-4</v>
      </c>
      <c r="F219" s="9">
        <f t="shared" si="30"/>
        <v>2.4782409835174761E-2</v>
      </c>
      <c r="G219" s="9">
        <f t="shared" si="31"/>
        <v>0.10901967280415653</v>
      </c>
      <c r="H219" s="9">
        <f t="shared" si="32"/>
        <v>1.5581616707312706E-4</v>
      </c>
      <c r="I219" s="9">
        <f t="shared" si="33"/>
        <v>4.1215158743932523E-3</v>
      </c>
      <c r="J219" s="9">
        <f t="shared" si="34"/>
        <v>0.10917548897122965</v>
      </c>
    </row>
    <row r="220" spans="1:10" x14ac:dyDescent="0.2">
      <c r="A220" s="1">
        <v>214</v>
      </c>
      <c r="B220" s="6">
        <v>0.21865492678500001</v>
      </c>
      <c r="C220" s="8">
        <v>5.87120240506</v>
      </c>
      <c r="D220" s="9">
        <f t="shared" si="28"/>
        <v>6.5310555618620647E-3</v>
      </c>
      <c r="E220" s="9">
        <f t="shared" si="29"/>
        <v>9.5656414083432437E-4</v>
      </c>
      <c r="F220" s="9">
        <f t="shared" si="30"/>
        <v>2.5555084939477384E-2</v>
      </c>
      <c r="G220" s="9">
        <f t="shared" si="31"/>
        <v>0.11249256436728898</v>
      </c>
      <c r="H220" s="9">
        <f t="shared" si="32"/>
        <v>1.5761610340346173E-4</v>
      </c>
      <c r="I220" s="9">
        <f t="shared" si="33"/>
        <v>4.2107586061076964E-3</v>
      </c>
      <c r="J220" s="9">
        <f t="shared" si="34"/>
        <v>0.11265018047069245</v>
      </c>
    </row>
    <row r="221" spans="1:10" x14ac:dyDescent="0.2">
      <c r="A221" s="1">
        <v>215</v>
      </c>
      <c r="B221" s="6">
        <v>0.21650635094599999</v>
      </c>
      <c r="C221" s="8">
        <v>5.875</v>
      </c>
      <c r="D221" s="9">
        <f t="shared" si="28"/>
        <v>6.7225432384777628E-3</v>
      </c>
      <c r="E221" s="9">
        <f t="shared" si="29"/>
        <v>9.7513016841929267E-4</v>
      </c>
      <c r="F221" s="9">
        <f t="shared" si="30"/>
        <v>2.6321451185309111E-2</v>
      </c>
      <c r="G221" s="9">
        <f t="shared" si="31"/>
        <v>0.11594141399619214</v>
      </c>
      <c r="H221" s="9">
        <f t="shared" si="32"/>
        <v>1.5912837684133689E-4</v>
      </c>
      <c r="I221" s="9">
        <f t="shared" si="33"/>
        <v>4.2952763380725272E-3</v>
      </c>
      <c r="J221" s="9">
        <f t="shared" si="34"/>
        <v>0.11610054237303347</v>
      </c>
    </row>
    <row r="222" spans="1:10" x14ac:dyDescent="0.2">
      <c r="A222" s="1">
        <v>216</v>
      </c>
      <c r="B222" s="6">
        <v>0.21429182517600001</v>
      </c>
      <c r="C222" s="8">
        <v>5.8787595187299999</v>
      </c>
      <c r="D222" s="9">
        <f t="shared" si="28"/>
        <v>6.9121492901476067E-3</v>
      </c>
      <c r="E222" s="9">
        <f t="shared" si="29"/>
        <v>9.9258043575952185E-4</v>
      </c>
      <c r="F222" s="9">
        <f t="shared" si="30"/>
        <v>2.708124683798508E-2</v>
      </c>
      <c r="G222" s="9">
        <f t="shared" si="31"/>
        <v>0.11936492762106592</v>
      </c>
      <c r="H222" s="9">
        <f t="shared" si="32"/>
        <v>1.6035210293567216E-4</v>
      </c>
      <c r="I222" s="9">
        <f t="shared" si="33"/>
        <v>4.3749545065321109E-3</v>
      </c>
      <c r="J222" s="9">
        <f t="shared" si="34"/>
        <v>0.11952527972400159</v>
      </c>
    </row>
    <row r="223" spans="1:10" x14ac:dyDescent="0.2">
      <c r="A223" s="1">
        <v>217</v>
      </c>
      <c r="B223" s="6">
        <v>0.21201202403899999</v>
      </c>
      <c r="C223" s="8">
        <v>5.88247981606</v>
      </c>
      <c r="D223" s="9">
        <f t="shared" si="28"/>
        <v>7.0998159699967589E-3</v>
      </c>
      <c r="E223" s="9">
        <f t="shared" si="29"/>
        <v>1.0088929589092488E-3</v>
      </c>
      <c r="F223" s="9">
        <f t="shared" si="30"/>
        <v>2.7834211618698701E-2</v>
      </c>
      <c r="G223" s="9">
        <f t="shared" si="31"/>
        <v>0.12276181329792381</v>
      </c>
      <c r="H223" s="9">
        <f t="shared" si="32"/>
        <v>1.6128714448773797E-4</v>
      </c>
      <c r="I223" s="9">
        <f t="shared" si="33"/>
        <v>4.4496843232869022E-3</v>
      </c>
      <c r="J223" s="9">
        <f t="shared" si="34"/>
        <v>0.12292310044241155</v>
      </c>
    </row>
    <row r="224" spans="1:10" x14ac:dyDescent="0.2">
      <c r="A224" s="1">
        <v>218</v>
      </c>
      <c r="B224" s="6">
        <v>0.20966764198599999</v>
      </c>
      <c r="C224" s="8">
        <v>5.8861597587499999</v>
      </c>
      <c r="D224" s="9">
        <f t="shared" si="28"/>
        <v>7.2854861029801876E-3</v>
      </c>
      <c r="E224" s="9">
        <f t="shared" si="29"/>
        <v>1.0240471155781546E-3</v>
      </c>
      <c r="F224" s="9">
        <f t="shared" si="30"/>
        <v>2.858008669108697E-2</v>
      </c>
      <c r="G224" s="9">
        <f t="shared" si="31"/>
        <v>0.12613078134241393</v>
      </c>
      <c r="H224" s="9">
        <f t="shared" si="32"/>
        <v>1.6193411054900663E-4</v>
      </c>
      <c r="I224" s="9">
        <f t="shared" si="33"/>
        <v>4.5193629101868086E-3</v>
      </c>
      <c r="J224" s="9">
        <f t="shared" si="34"/>
        <v>0.12629271545296294</v>
      </c>
    </row>
    <row r="225" spans="1:10" x14ac:dyDescent="0.2">
      <c r="A225" s="1">
        <v>219</v>
      </c>
      <c r="B225" s="6">
        <v>0.20725939313899999</v>
      </c>
      <c r="C225" s="8">
        <v>5.8897982258699999</v>
      </c>
      <c r="D225" s="9">
        <f t="shared" si="28"/>
        <v>7.4691031368807614E-3</v>
      </c>
      <c r="E225" s="9">
        <f t="shared" si="29"/>
        <v>1.0380236753008442E-3</v>
      </c>
      <c r="F225" s="9">
        <f t="shared" si="30"/>
        <v>2.9318614907567098E-2</v>
      </c>
      <c r="G225" s="9">
        <f t="shared" si="31"/>
        <v>0.12947054561450708</v>
      </c>
      <c r="H225" s="9">
        <f t="shared" si="32"/>
        <v>1.6229435492800292E-4</v>
      </c>
      <c r="I225" s="9">
        <f t="shared" si="33"/>
        <v>4.5838934683197488E-3</v>
      </c>
      <c r="J225" s="9">
        <f t="shared" si="34"/>
        <v>0.12963283996943509</v>
      </c>
    </row>
    <row r="226" spans="1:10" x14ac:dyDescent="0.2">
      <c r="A226" s="1">
        <v>220</v>
      </c>
      <c r="B226" s="6">
        <v>0.20478801107200001</v>
      </c>
      <c r="C226" s="8">
        <v>5.8933941090899999</v>
      </c>
      <c r="D226" s="9">
        <f t="shared" si="28"/>
        <v>7.6506111438197077E-3</v>
      </c>
      <c r="E226" s="9">
        <f t="shared" si="29"/>
        <v>1.0508048208128866E-3</v>
      </c>
      <c r="F226" s="9">
        <f t="shared" si="30"/>
        <v>3.0049540862538641E-2</v>
      </c>
      <c r="G226" s="9">
        <f t="shared" si="31"/>
        <v>0.1327798239570864</v>
      </c>
      <c r="H226" s="9">
        <f t="shared" si="32"/>
        <v>1.6236997152488343E-4</v>
      </c>
      <c r="I226" s="9">
        <f t="shared" si="33"/>
        <v>4.6431854084088208E-3</v>
      </c>
      <c r="J226" s="9">
        <f t="shared" si="34"/>
        <v>0.13294219392861129</v>
      </c>
    </row>
    <row r="227" spans="1:10" x14ac:dyDescent="0.2">
      <c r="A227" s="1">
        <v>221</v>
      </c>
      <c r="B227" s="6">
        <v>0.20225424859400001</v>
      </c>
      <c r="C227" s="8">
        <v>5.8969463130699999</v>
      </c>
      <c r="D227" s="9">
        <f t="shared" si="28"/>
        <v>7.8299548248322859E-3</v>
      </c>
      <c r="E227" s="9">
        <f t="shared" si="29"/>
        <v>1.0623741683274777E-3</v>
      </c>
      <c r="F227" s="9">
        <f t="shared" si="30"/>
        <v>3.077261095830227E-2</v>
      </c>
      <c r="G227" s="9">
        <f t="shared" si="31"/>
        <v>0.13605733869555184</v>
      </c>
      <c r="H227" s="9">
        <f t="shared" si="32"/>
        <v>1.6216378777990346E-4</v>
      </c>
      <c r="I227" s="9">
        <f t="shared" si="33"/>
        <v>4.6971544762317912E-3</v>
      </c>
      <c r="J227" s="9">
        <f t="shared" si="34"/>
        <v>0.13621950248333173</v>
      </c>
    </row>
    <row r="228" spans="1:10" x14ac:dyDescent="0.2">
      <c r="A228" s="1">
        <v>222</v>
      </c>
      <c r="B228" s="6">
        <v>0.19965887751200001</v>
      </c>
      <c r="C228" s="8">
        <v>5.9004537557900001</v>
      </c>
      <c r="D228" s="9">
        <f t="shared" si="28"/>
        <v>8.0070795624341828E-3</v>
      </c>
      <c r="E228" s="9">
        <f t="shared" si="29"/>
        <v>1.0727167926391284E-3</v>
      </c>
      <c r="F228" s="9">
        <f t="shared" si="30"/>
        <v>3.148757366040951E-2</v>
      </c>
      <c r="G228" s="9">
        <f t="shared" si="31"/>
        <v>0.13930181798042809</v>
      </c>
      <c r="H228" s="9">
        <f t="shared" si="32"/>
        <v>1.616793571374982E-4</v>
      </c>
      <c r="I228" s="9">
        <f t="shared" si="33"/>
        <v>4.7457228991984934E-3</v>
      </c>
      <c r="J228" s="9">
        <f t="shared" si="34"/>
        <v>0.13946349733756561</v>
      </c>
    </row>
    <row r="229" spans="1:10" x14ac:dyDescent="0.2">
      <c r="A229" s="1">
        <v>223</v>
      </c>
      <c r="B229" s="6">
        <v>0.197002688402</v>
      </c>
      <c r="C229" s="8">
        <v>5.9039153688299999</v>
      </c>
      <c r="D229" s="9">
        <f t="shared" si="28"/>
        <v>8.1819313920676873E-3</v>
      </c>
      <c r="E229" s="9">
        <f t="shared" si="29"/>
        <v>1.0818192393928275E-3</v>
      </c>
      <c r="F229" s="9">
        <f t="shared" si="30"/>
        <v>3.2194179434760981E-2</v>
      </c>
      <c r="G229" s="9">
        <f t="shared" si="31"/>
        <v>0.14251199572715326</v>
      </c>
      <c r="H229" s="9">
        <f t="shared" si="32"/>
        <v>1.6092094783807094E-4</v>
      </c>
      <c r="I229" s="9">
        <f t="shared" si="33"/>
        <v>4.7888194758659184E-3</v>
      </c>
      <c r="J229" s="9">
        <f t="shared" si="34"/>
        <v>0.14267291667499132</v>
      </c>
    </row>
    <row r="230" spans="1:10" x14ac:dyDescent="0.2">
      <c r="A230" s="1">
        <v>224</v>
      </c>
      <c r="B230" s="6">
        <v>0.194286490364</v>
      </c>
      <c r="C230" s="8">
        <v>5.9073300977600001</v>
      </c>
      <c r="D230" s="9">
        <f t="shared" si="28"/>
        <v>8.3544570603540924E-3</v>
      </c>
      <c r="E230" s="9">
        <f t="shared" si="29"/>
        <v>1.0896695473939211E-3</v>
      </c>
      <c r="F230" s="9">
        <f t="shared" si="30"/>
        <v>3.2892181026642694E-2</v>
      </c>
      <c r="G230" s="9">
        <f t="shared" si="31"/>
        <v>0.14568661307295047</v>
      </c>
      <c r="H230" s="9">
        <f t="shared" si="32"/>
        <v>1.5989353157825622E-4</v>
      </c>
      <c r="I230" s="9">
        <f t="shared" si="33"/>
        <v>4.8263797094742038E-3</v>
      </c>
      <c r="J230" s="9">
        <f t="shared" si="34"/>
        <v>0.14584650660452872</v>
      </c>
    </row>
    <row r="231" spans="1:10" x14ac:dyDescent="0.2">
      <c r="A231" s="1">
        <v>225</v>
      </c>
      <c r="B231" s="6">
        <v>0.19151111077999999</v>
      </c>
      <c r="C231" s="8">
        <v>5.9106969024199998</v>
      </c>
      <c r="D231" s="9">
        <f t="shared" si="28"/>
        <v>8.5246040052022742E-3</v>
      </c>
      <c r="E231" s="9">
        <f t="shared" si="29"/>
        <v>1.0962572586365239E-3</v>
      </c>
      <c r="F231" s="9">
        <f t="shared" si="30"/>
        <v>3.358133343310768E-2</v>
      </c>
      <c r="G231" s="9">
        <f t="shared" si="31"/>
        <v>0.14882441848167485</v>
      </c>
      <c r="H231" s="9">
        <f t="shared" si="32"/>
        <v>1.586027686794446E-4</v>
      </c>
      <c r="I231" s="9">
        <f t="shared" si="33"/>
        <v>4.8583458866715062E-3</v>
      </c>
      <c r="J231" s="9">
        <f t="shared" si="34"/>
        <v>0.14898302125035429</v>
      </c>
    </row>
    <row r="232" spans="1:10" x14ac:dyDescent="0.2">
      <c r="A232" s="1">
        <v>226</v>
      </c>
      <c r="B232" s="6">
        <v>0.18867739505600001</v>
      </c>
      <c r="C232" s="8">
        <v>5.9140147572500004</v>
      </c>
      <c r="D232" s="9">
        <f t="shared" si="28"/>
        <v>8.6923204080429084E-3</v>
      </c>
      <c r="E232" s="9">
        <f t="shared" si="29"/>
        <v>1.1015734360605343E-3</v>
      </c>
      <c r="F232" s="9">
        <f t="shared" si="30"/>
        <v>3.4261394159524158E-2</v>
      </c>
      <c r="G232" s="9">
        <f t="shared" si="31"/>
        <v>0.15192416910993892</v>
      </c>
      <c r="H232" s="9">
        <f t="shared" si="32"/>
        <v>1.5705499280722695E-4</v>
      </c>
      <c r="I232" s="9">
        <f t="shared" si="33"/>
        <v>4.884667189848031E-3</v>
      </c>
      <c r="J232" s="9">
        <f t="shared" si="34"/>
        <v>0.15208122410274613</v>
      </c>
    </row>
    <row r="233" spans="1:10" x14ac:dyDescent="0.2">
      <c r="A233" s="1">
        <v>227</v>
      </c>
      <c r="B233" s="6">
        <v>0.18578620636900001</v>
      </c>
      <c r="C233" s="8">
        <v>5.9172826515899999</v>
      </c>
      <c r="D233" s="9">
        <f t="shared" si="28"/>
        <v>8.8575551761508331E-3</v>
      </c>
      <c r="E233" s="9">
        <f t="shared" si="29"/>
        <v>1.105610670360697E-3</v>
      </c>
      <c r="F233" s="9">
        <f t="shared" si="30"/>
        <v>3.4932123201416893E-2</v>
      </c>
      <c r="G233" s="9">
        <f t="shared" si="31"/>
        <v>0.15498463096061849</v>
      </c>
      <c r="H233" s="9">
        <f t="shared" si="32"/>
        <v>1.5525719252627057E-4</v>
      </c>
      <c r="I233" s="9">
        <f t="shared" si="33"/>
        <v>4.9052997603233279E-3</v>
      </c>
      <c r="J233" s="9">
        <f t="shared" si="34"/>
        <v>0.15513988815314475</v>
      </c>
    </row>
    <row r="234" spans="1:10" x14ac:dyDescent="0.2">
      <c r="A234" s="1">
        <v>228</v>
      </c>
      <c r="B234" s="6">
        <v>0.182838425405</v>
      </c>
      <c r="C234" s="8">
        <v>5.9204995900200004</v>
      </c>
      <c r="D234" s="9">
        <f t="shared" si="28"/>
        <v>9.0202579729984356E-3</v>
      </c>
      <c r="E234" s="9">
        <f t="shared" si="29"/>
        <v>1.1083630912676785E-3</v>
      </c>
      <c r="F234" s="9">
        <f t="shared" si="30"/>
        <v>3.5593283215833965E-2</v>
      </c>
      <c r="G234" s="9">
        <f t="shared" si="31"/>
        <v>0.15800457987936795</v>
      </c>
      <c r="H234" s="9">
        <f t="shared" si="32"/>
        <v>1.5321699201072315E-4</v>
      </c>
      <c r="I234" s="9">
        <f t="shared" si="33"/>
        <v>4.9202067805836965E-3</v>
      </c>
      <c r="J234" s="9">
        <f t="shared" si="34"/>
        <v>0.15815779687137868</v>
      </c>
    </row>
    <row r="235" spans="1:10" x14ac:dyDescent="0.2">
      <c r="A235" s="1">
        <v>229</v>
      </c>
      <c r="B235" s="6">
        <v>0.179834950085</v>
      </c>
      <c r="C235" s="8">
        <v>5.9236645926099998</v>
      </c>
      <c r="D235" s="9">
        <f t="shared" ref="D235:D298" si="35">((B234*C235)-(B235*C234))*0.5</f>
        <v>9.1803792453266642E-3</v>
      </c>
      <c r="E235" s="9">
        <f t="shared" ref="E235:E298" si="36">(B235+B234)*((B234*C235)-(B235*C234))*(1/6)</f>
        <v>1.1098263763936532E-3</v>
      </c>
      <c r="F235" s="9">
        <f t="shared" ref="F235:F298" si="37">(C235+C234)*((B234*C235)-(B235*C234))*(1/6)</f>
        <v>3.6244639680152631E-2</v>
      </c>
      <c r="G235" s="9">
        <f t="shared" ref="G235:G298" si="38">(((C234*C234)+(C234*C235)+(C235*C235))*((B234*C235)-(B235*C234)))/12</f>
        <v>0.16098280249875085</v>
      </c>
      <c r="H235" s="9">
        <f t="shared" ref="H235:H298" si="39">(((B234*B234)+(B234*B235)+(B235*B235))*((B234*C235)-(B235*C234)))/12</f>
        <v>1.5094262992347145E-4</v>
      </c>
      <c r="I235" s="9">
        <f t="shared" ref="I235:I298" si="40">(((B234*C235)+(2*B234*C234)+(2*B235*C235)+(B235*C234))*((B234*C235)-(B235*C234)))/24</f>
        <v>4.9293585448844527E-3</v>
      </c>
      <c r="J235" s="9">
        <f t="shared" ref="J235:J298" si="41">G235+H235</f>
        <v>0.16113374512867432</v>
      </c>
    </row>
    <row r="236" spans="1:10" x14ac:dyDescent="0.2">
      <c r="A236" s="1">
        <v>230</v>
      </c>
      <c r="B236" s="6">
        <v>0.17677669529699999</v>
      </c>
      <c r="C236" s="8">
        <v>5.9267766953000001</v>
      </c>
      <c r="D236" s="9">
        <f t="shared" si="35"/>
        <v>9.3378702173856354E-3</v>
      </c>
      <c r="E236" s="9">
        <f t="shared" si="36"/>
        <v>1.1099977541951548E-3</v>
      </c>
      <c r="F236" s="9">
        <f t="shared" si="37"/>
        <v>3.6885960921750616E-2</v>
      </c>
      <c r="G236" s="9">
        <f t="shared" si="38"/>
        <v>0.16391809661254661</v>
      </c>
      <c r="H236" s="9">
        <f t="shared" si="39"/>
        <v>1.4844293607582388E-4</v>
      </c>
      <c r="I236" s="9">
        <f t="shared" si="40"/>
        <v>4.9327325028364006E-3</v>
      </c>
      <c r="J236" s="9">
        <f t="shared" si="41"/>
        <v>0.16406653954862244</v>
      </c>
    </row>
    <row r="237" spans="1:10" x14ac:dyDescent="0.2">
      <c r="A237" s="1">
        <v>231</v>
      </c>
      <c r="B237" s="6">
        <v>0.173664592615</v>
      </c>
      <c r="C237" s="8">
        <v>5.9298349500800001</v>
      </c>
      <c r="D237" s="9">
        <f t="shared" si="35"/>
        <v>9.4926829112214062E-3</v>
      </c>
      <c r="E237" s="9">
        <f t="shared" si="36"/>
        <v>1.1088760083828877E-3</v>
      </c>
      <c r="F237" s="9">
        <f t="shared" si="37"/>
        <v>3.751701825036248E-2</v>
      </c>
      <c r="G237" s="9">
        <f t="shared" si="38"/>
        <v>0.16680927200704007</v>
      </c>
      <c r="H237" s="9">
        <f t="shared" si="39"/>
        <v>1.4572730695766202E-4</v>
      </c>
      <c r="I237" s="9">
        <f t="shared" si="40"/>
        <v>4.9303133083703704E-3</v>
      </c>
      <c r="J237" s="9">
        <f t="shared" si="41"/>
        <v>0.16695499931399774</v>
      </c>
    </row>
    <row r="238" spans="1:10" x14ac:dyDescent="0.2">
      <c r="A238" s="1">
        <v>232</v>
      </c>
      <c r="B238" s="6">
        <v>0.17049959001600001</v>
      </c>
      <c r="C238" s="8">
        <v>5.9328384253999999</v>
      </c>
      <c r="D238" s="9">
        <f t="shared" si="35"/>
        <v>9.6447701732604862E-3</v>
      </c>
      <c r="E238" s="9">
        <f t="shared" si="36"/>
        <v>1.1064614811146811E-3</v>
      </c>
      <c r="F238" s="9">
        <f t="shared" si="37"/>
        <v>3.8137586115653599E-2</v>
      </c>
      <c r="G238" s="9">
        <f t="shared" si="38"/>
        <v>0.16965515140738821</v>
      </c>
      <c r="H238" s="9">
        <f t="shared" si="39"/>
        <v>1.4280567980567714E-4</v>
      </c>
      <c r="I238" s="9">
        <f t="shared" si="40"/>
        <v>4.9220928622443752E-3</v>
      </c>
      <c r="J238" s="9">
        <f t="shared" si="41"/>
        <v>0.16979795708719389</v>
      </c>
    </row>
    <row r="239" spans="1:10" x14ac:dyDescent="0.2">
      <c r="A239" s="1">
        <v>233</v>
      </c>
      <c r="B239" s="6">
        <v>0.16728265159</v>
      </c>
      <c r="C239" s="8">
        <v>5.9357862063700004</v>
      </c>
      <c r="D239" s="9">
        <f t="shared" si="35"/>
        <v>9.7940856763804041E-3</v>
      </c>
      <c r="E239" s="9">
        <f t="shared" si="36"/>
        <v>1.1027560714163298E-3</v>
      </c>
      <c r="F239" s="9">
        <f t="shared" si="37"/>
        <v>3.8747442168118068E-2</v>
      </c>
      <c r="G239" s="9">
        <f t="shared" si="38"/>
        <v>0.17245457099651415</v>
      </c>
      <c r="H239" s="9">
        <f t="shared" si="39"/>
        <v>1.3968850482137452E-4</v>
      </c>
      <c r="I239" s="9">
        <f t="shared" si="40"/>
        <v>4.9080703321984871E-3</v>
      </c>
      <c r="J239" s="9">
        <f t="shared" si="41"/>
        <v>0.17259425950133553</v>
      </c>
    </row>
    <row r="240" spans="1:10" x14ac:dyDescent="0.2">
      <c r="A240" s="1">
        <v>234</v>
      </c>
      <c r="B240" s="6">
        <v>0.16401475724799999</v>
      </c>
      <c r="C240" s="8">
        <v>5.93867739506</v>
      </c>
      <c r="D240" s="9">
        <f t="shared" si="35"/>
        <v>9.9405839347141423E-3</v>
      </c>
      <c r="E240" s="9">
        <f t="shared" si="36"/>
        <v>1.0977632333024818E-3</v>
      </c>
      <c r="F240" s="9">
        <f t="shared" si="37"/>
        <v>3.9346367369907632E-2</v>
      </c>
      <c r="G240" s="9">
        <f t="shared" si="38"/>
        <v>0.17520638115563392</v>
      </c>
      <c r="H240" s="9">
        <f t="shared" si="39"/>
        <v>1.3638671621745205E-4</v>
      </c>
      <c r="I240" s="9">
        <f t="shared" si="40"/>
        <v>4.8882521704967973E-3</v>
      </c>
      <c r="J240" s="9">
        <f t="shared" si="41"/>
        <v>0.17534276787185138</v>
      </c>
    </row>
    <row r="241" spans="1:10" x14ac:dyDescent="0.2">
      <c r="A241" s="1">
        <v>235</v>
      </c>
      <c r="B241" s="6">
        <v>0.16069690242199999</v>
      </c>
      <c r="C241" s="8">
        <v>5.9415111107799996</v>
      </c>
      <c r="D241" s="9">
        <f t="shared" si="35"/>
        <v>1.0084220325591253E-2</v>
      </c>
      <c r="E241" s="9">
        <f t="shared" si="36"/>
        <v>1.0914879728002279E-3</v>
      </c>
      <c r="F241" s="9">
        <f t="shared" si="37"/>
        <v>3.9934146134149098E-2</v>
      </c>
      <c r="G241" s="9">
        <f t="shared" si="38"/>
        <v>0.17790944733403372</v>
      </c>
      <c r="H241" s="9">
        <f t="shared" si="39"/>
        <v>1.3291170204739959E-4</v>
      </c>
      <c r="I241" s="9">
        <f t="shared" si="40"/>
        <v>4.862652125338064E-3</v>
      </c>
      <c r="J241" s="9">
        <f t="shared" si="41"/>
        <v>0.17804235903608112</v>
      </c>
    </row>
    <row r="242" spans="1:10" x14ac:dyDescent="0.2">
      <c r="A242" s="1">
        <v>236</v>
      </c>
      <c r="B242" s="6">
        <v>0.15733009776199999</v>
      </c>
      <c r="C242" s="8">
        <v>5.9442864903599997</v>
      </c>
      <c r="D242" s="9">
        <f t="shared" si="35"/>
        <v>1.0224951098383561E-2</v>
      </c>
      <c r="E242" s="9">
        <f t="shared" si="36"/>
        <v>1.0839368416156732E-3</v>
      </c>
      <c r="F242" s="9">
        <f t="shared" si="37"/>
        <v>4.0510566412313709E-2</v>
      </c>
      <c r="G242" s="9">
        <f t="shared" si="38"/>
        <v>0.18056265068828189</v>
      </c>
      <c r="H242" s="9">
        <f t="shared" si="39"/>
        <v>1.292752726163542E-4</v>
      </c>
      <c r="I242" s="9">
        <f t="shared" si="40"/>
        <v>4.831291235965718E-3</v>
      </c>
      <c r="J242" s="9">
        <f t="shared" si="41"/>
        <v>0.18069192596089825</v>
      </c>
    </row>
    <row r="243" spans="1:10" x14ac:dyDescent="0.2">
      <c r="A243" s="1">
        <v>237</v>
      </c>
      <c r="B243" s="6">
        <v>0.15391536883099999</v>
      </c>
      <c r="C243" s="8">
        <v>5.9470026883999996</v>
      </c>
      <c r="D243" s="9">
        <f t="shared" si="35"/>
        <v>1.0362733377979494E-2</v>
      </c>
      <c r="E243" s="9">
        <f t="shared" si="36"/>
        <v>1.0751179284693609E-3</v>
      </c>
      <c r="F243" s="9">
        <f t="shared" si="37"/>
        <v>4.1075419759980872E-2</v>
      </c>
      <c r="G243" s="9">
        <f t="shared" si="38"/>
        <v>0.18316488862489311</v>
      </c>
      <c r="H243" s="9">
        <f t="shared" si="39"/>
        <v>1.2548962770599851E-4</v>
      </c>
      <c r="I243" s="9">
        <f t="shared" si="40"/>
        <v>4.794197815962741E-3</v>
      </c>
      <c r="J243" s="9">
        <f t="shared" si="41"/>
        <v>0.18329037825259911</v>
      </c>
    </row>
    <row r="244" spans="1:10" x14ac:dyDescent="0.2">
      <c r="A244" s="1">
        <v>238</v>
      </c>
      <c r="B244" s="6">
        <v>0.15045375578799999</v>
      </c>
      <c r="C244" s="8">
        <v>5.9496588775100001</v>
      </c>
      <c r="D244" s="9">
        <f t="shared" si="35"/>
        <v>1.0497525199736069E-2</v>
      </c>
      <c r="E244" s="9">
        <f t="shared" si="36"/>
        <v>1.0650408519031866E-3</v>
      </c>
      <c r="F244" s="9">
        <f t="shared" si="37"/>
        <v>4.1628501526957254E-2</v>
      </c>
      <c r="G244" s="9">
        <f t="shared" si="38"/>
        <v>0.18571507589680081</v>
      </c>
      <c r="H244" s="9">
        <f t="shared" si="39"/>
        <v>1.2156732314047072E-4</v>
      </c>
      <c r="I244" s="9">
        <f t="shared" si="40"/>
        <v>4.7514074416276286E-3</v>
      </c>
      <c r="J244" s="9">
        <f t="shared" si="41"/>
        <v>0.18583664321994128</v>
      </c>
    </row>
    <row r="245" spans="1:10" x14ac:dyDescent="0.2">
      <c r="A245" s="1">
        <v>239</v>
      </c>
      <c r="B245" s="6">
        <v>0.14694631307299999</v>
      </c>
      <c r="C245" s="8">
        <v>5.9522542485900001</v>
      </c>
      <c r="D245" s="9">
        <f t="shared" si="35"/>
        <v>1.0629285506653596E-2</v>
      </c>
      <c r="E245" s="9">
        <f t="shared" si="36"/>
        <v>1.0537167472073363E-3</v>
      </c>
      <c r="F245" s="9">
        <f t="shared" si="37"/>
        <v>4.2169610897568308E-2</v>
      </c>
      <c r="G245" s="9">
        <f t="shared" si="38"/>
        <v>0.18821214503237615</v>
      </c>
      <c r="H245" s="9">
        <f t="shared" si="39"/>
        <v>1.1752123590527126E-4</v>
      </c>
      <c r="I245" s="9">
        <f t="shared" si="40"/>
        <v>4.702962912641378E-3</v>
      </c>
      <c r="J245" s="9">
        <f t="shared" si="41"/>
        <v>0.18832966626828143</v>
      </c>
    </row>
    <row r="246" spans="1:10" x14ac:dyDescent="0.2">
      <c r="A246" s="1">
        <v>240</v>
      </c>
      <c r="B246" s="6">
        <v>0.14339410908799999</v>
      </c>
      <c r="C246" s="8">
        <v>5.9547880110699998</v>
      </c>
      <c r="D246" s="9">
        <f t="shared" si="35"/>
        <v>1.0757974158106587E-2</v>
      </c>
      <c r="E246" s="9">
        <f t="shared" si="36"/>
        <v>1.0411582528872649E-3</v>
      </c>
      <c r="F246" s="9">
        <f t="shared" si="37"/>
        <v>4.269855097630177E-2</v>
      </c>
      <c r="G246" s="9">
        <f t="shared" si="38"/>
        <v>0.19065504696563873</v>
      </c>
      <c r="H246" s="9">
        <f t="shared" si="39"/>
        <v>1.1336452857845003E-4</v>
      </c>
      <c r="I246" s="9">
        <f t="shared" si="40"/>
        <v>4.6489142091078461E-3</v>
      </c>
      <c r="J246" s="9">
        <f t="shared" si="41"/>
        <v>0.19076841149421719</v>
      </c>
    </row>
    <row r="247" spans="1:10" x14ac:dyDescent="0.2">
      <c r="A247" s="1">
        <v>241</v>
      </c>
      <c r="B247" s="6">
        <v>0.139798225868</v>
      </c>
      <c r="C247" s="8">
        <v>5.9572593931400002</v>
      </c>
      <c r="D247" s="9">
        <f t="shared" si="35"/>
        <v>1.0883551958903726E-2</v>
      </c>
      <c r="E247" s="9">
        <f t="shared" si="36"/>
        <v>1.0273794972856312E-3</v>
      </c>
      <c r="F247" s="9">
        <f t="shared" si="37"/>
        <v>4.3215128953547927E-2</v>
      </c>
      <c r="G247" s="9">
        <f t="shared" si="38"/>
        <v>0.19304275202238286</v>
      </c>
      <c r="H247" s="9">
        <f t="shared" si="39"/>
        <v>1.0911061320502639E-4</v>
      </c>
      <c r="I247" s="9">
        <f t="shared" si="40"/>
        <v>4.5893184476689603E-3</v>
      </c>
      <c r="J247" s="9">
        <f t="shared" si="41"/>
        <v>0.1931518626355879</v>
      </c>
    </row>
    <row r="248" spans="1:10" x14ac:dyDescent="0.2">
      <c r="A248" s="1">
        <v>242</v>
      </c>
      <c r="B248" s="6">
        <v>0.13615975875399999</v>
      </c>
      <c r="C248" s="8">
        <v>5.9596676419900003</v>
      </c>
      <c r="D248" s="9">
        <f t="shared" si="35"/>
        <v>1.1005980654093139E-2</v>
      </c>
      <c r="E248" s="9">
        <f t="shared" si="36"/>
        <v>1.0123960800307546E-3</v>
      </c>
      <c r="F248" s="9">
        <f t="shared" si="37"/>
        <v>4.3719156134960094E-2</v>
      </c>
      <c r="G248" s="9">
        <f t="shared" si="38"/>
        <v>0.19537425029628977</v>
      </c>
      <c r="H248" s="9">
        <f t="shared" si="39"/>
        <v>1.047731141253077E-4</v>
      </c>
      <c r="I248" s="9">
        <f t="shared" si="40"/>
        <v>4.5242398128884191E-3</v>
      </c>
      <c r="J248" s="9">
        <f t="shared" si="41"/>
        <v>0.19547902341041506</v>
      </c>
    </row>
    <row r="249" spans="1:10" x14ac:dyDescent="0.2">
      <c r="A249" s="1">
        <v>243</v>
      </c>
      <c r="B249" s="6">
        <v>0.13247981605799999</v>
      </c>
      <c r="C249" s="8">
        <v>5.9620120240399999</v>
      </c>
      <c r="D249" s="9">
        <f t="shared" si="35"/>
        <v>1.112522295204188E-2</v>
      </c>
      <c r="E249" s="9">
        <f t="shared" si="36"/>
        <v>9.9622505450841113E-4</v>
      </c>
      <c r="F249" s="9">
        <f t="shared" si="37"/>
        <v>4.4210448082469309E-2</v>
      </c>
      <c r="G249" s="9">
        <f t="shared" si="38"/>
        <v>0.19764855252180355</v>
      </c>
      <c r="H249" s="9">
        <f t="shared" si="39"/>
        <v>1.0036583054454195E-4</v>
      </c>
      <c r="I249" s="9">
        <f t="shared" si="40"/>
        <v>4.4537494915280404E-3</v>
      </c>
      <c r="J249" s="9">
        <f t="shared" si="41"/>
        <v>0.19774891835234809</v>
      </c>
    </row>
    <row r="250" spans="1:10" x14ac:dyDescent="0.2">
      <c r="A250" s="1">
        <v>244</v>
      </c>
      <c r="B250" s="6">
        <v>0.12875951872800001</v>
      </c>
      <c r="C250" s="8">
        <v>5.9642918251800001</v>
      </c>
      <c r="D250" s="9">
        <f t="shared" si="35"/>
        <v>1.1241242525069917E-2</v>
      </c>
      <c r="E250" s="9">
        <f t="shared" si="36"/>
        <v>9.7888490647245327E-4</v>
      </c>
      <c r="F250" s="9">
        <f t="shared" si="37"/>
        <v>4.468882466558563E-2</v>
      </c>
      <c r="G250" s="9">
        <f t="shared" si="38"/>
        <v>0.19986469054428779</v>
      </c>
      <c r="H250" s="9">
        <f t="shared" si="39"/>
        <v>9.5902698411207384E-5</v>
      </c>
      <c r="I250" s="9">
        <f t="shared" si="40"/>
        <v>4.3779255878760547E-3</v>
      </c>
      <c r="J250" s="9">
        <f t="shared" si="41"/>
        <v>0.19996059324269899</v>
      </c>
    </row>
    <row r="251" spans="1:10" x14ac:dyDescent="0.2">
      <c r="A251" s="1">
        <v>245</v>
      </c>
      <c r="B251" s="6">
        <v>0.125</v>
      </c>
      <c r="C251" s="8">
        <v>5.9665063509499996</v>
      </c>
      <c r="D251" s="9">
        <f t="shared" si="35"/>
        <v>1.1354004044188737E-2</v>
      </c>
      <c r="E251" s="9">
        <f t="shared" si="36"/>
        <v>9.6039553396303325E-4</v>
      </c>
      <c r="F251" s="9">
        <f t="shared" si="37"/>
        <v>4.5154110247393214E-2</v>
      </c>
      <c r="G251" s="9">
        <f t="shared" si="38"/>
        <v>0.20202171838919977</v>
      </c>
      <c r="H251" s="9">
        <f t="shared" si="39"/>
        <v>9.1397752235875199E-5</v>
      </c>
      <c r="I251" s="9">
        <f t="shared" si="40"/>
        <v>4.2968530431827098E-3</v>
      </c>
      <c r="J251" s="9">
        <f t="shared" si="41"/>
        <v>0.20211311614143565</v>
      </c>
    </row>
    <row r="252" spans="1:10" x14ac:dyDescent="0.2">
      <c r="A252" s="1">
        <v>246</v>
      </c>
      <c r="B252" s="6">
        <v>0.121202405062</v>
      </c>
      <c r="C252" s="8">
        <v>5.9686549267800002</v>
      </c>
      <c r="D252" s="9">
        <f t="shared" si="35"/>
        <v>1.1463473147331316E-2</v>
      </c>
      <c r="E252" s="9">
        <f t="shared" si="36"/>
        <v>9.407782197455415E-4</v>
      </c>
      <c r="F252" s="9">
        <f t="shared" si="37"/>
        <v>4.560613360544212E-2</v>
      </c>
      <c r="G252" s="9">
        <f t="shared" si="38"/>
        <v>0.20411871214298372</v>
      </c>
      <c r="H252" s="9">
        <f t="shared" si="39"/>
        <v>8.6865086086061825E-5</v>
      </c>
      <c r="I252" s="9">
        <f t="shared" si="40"/>
        <v>4.210623519910364E-3</v>
      </c>
      <c r="J252" s="9">
        <f t="shared" si="41"/>
        <v>0.20420557722906979</v>
      </c>
    </row>
    <row r="253" spans="1:10" x14ac:dyDescent="0.2">
      <c r="A253" s="1">
        <v>247</v>
      </c>
      <c r="B253" s="6">
        <v>0.117367890696</v>
      </c>
      <c r="C253" s="8">
        <v>5.9707368982100002</v>
      </c>
      <c r="D253" s="9">
        <f t="shared" si="35"/>
        <v>1.156961650351046E-2</v>
      </c>
      <c r="E253" s="9">
        <f t="shared" si="36"/>
        <v>9.2005561034970928E-4</v>
      </c>
      <c r="F253" s="9">
        <f t="shared" si="37"/>
        <v>4.6044728233427396E-2</v>
      </c>
      <c r="G253" s="9">
        <f t="shared" si="38"/>
        <v>0.2061547715348476</v>
      </c>
      <c r="H253" s="9">
        <f t="shared" si="39"/>
        <v>8.2318815230649595E-5</v>
      </c>
      <c r="I253" s="9">
        <f t="shared" si="40"/>
        <v>4.1193353137674608E-3</v>
      </c>
      <c r="J253" s="9">
        <f t="shared" si="41"/>
        <v>0.20623709035007826</v>
      </c>
    </row>
    <row r="254" spans="1:10" x14ac:dyDescent="0.2">
      <c r="A254" s="1">
        <v>248</v>
      </c>
      <c r="B254" s="6">
        <v>0.113497624935</v>
      </c>
      <c r="C254" s="8">
        <v>5.9727516310500004</v>
      </c>
      <c r="D254" s="9">
        <f t="shared" si="35"/>
        <v>1.1672401764414142E-2</v>
      </c>
      <c r="E254" s="9">
        <f t="shared" si="36"/>
        <v>8.9825168399788836E-4</v>
      </c>
      <c r="F254" s="9">
        <f t="shared" si="37"/>
        <v>4.6469732194064833E-2</v>
      </c>
      <c r="G254" s="9">
        <f t="shared" si="38"/>
        <v>0.20812901950576623</v>
      </c>
      <c r="H254" s="9">
        <f t="shared" si="39"/>
        <v>7.7773036839087664E-5</v>
      </c>
      <c r="I254" s="9">
        <f t="shared" si="40"/>
        <v>4.0230932142417131E-3</v>
      </c>
      <c r="J254" s="9">
        <f t="shared" si="41"/>
        <v>0.20820679254260532</v>
      </c>
    </row>
    <row r="255" spans="1:10" x14ac:dyDescent="0.2">
      <c r="A255" s="1">
        <v>249</v>
      </c>
      <c r="B255" s="6">
        <v>0.109592786697</v>
      </c>
      <c r="C255" s="8">
        <v>5.9746985115699998</v>
      </c>
      <c r="D255" s="9">
        <f t="shared" si="35"/>
        <v>1.177179763502656E-2</v>
      </c>
      <c r="E255" s="9">
        <f t="shared" si="36"/>
        <v>8.7539172668222632E-4</v>
      </c>
      <c r="F255" s="9">
        <f t="shared" si="37"/>
        <v>4.6880988444497271E-2</v>
      </c>
      <c r="G255" s="9">
        <f t="shared" si="38"/>
        <v>0.21004060388814752</v>
      </c>
      <c r="H255" s="9">
        <f t="shared" si="39"/>
        <v>7.3241791640323877E-5</v>
      </c>
      <c r="I255" s="9">
        <f t="shared" si="40"/>
        <v>3.9220083998329856E-3</v>
      </c>
      <c r="J255" s="9">
        <f t="shared" si="41"/>
        <v>0.21011384567978783</v>
      </c>
    </row>
    <row r="256" spans="1:10" x14ac:dyDescent="0.2">
      <c r="A256" s="1">
        <v>250</v>
      </c>
      <c r="B256" s="6">
        <v>0.105654565435</v>
      </c>
      <c r="C256" s="8">
        <v>5.9765769467599998</v>
      </c>
      <c r="D256" s="9">
        <f t="shared" si="35"/>
        <v>1.1867773829703276E-2</v>
      </c>
      <c r="E256" s="9">
        <f t="shared" si="36"/>
        <v>8.5150229751502506E-4</v>
      </c>
      <c r="F256" s="9">
        <f t="shared" si="37"/>
        <v>4.7278344705314591E-2</v>
      </c>
      <c r="G256" s="9">
        <f t="shared" si="38"/>
        <v>0.21188869703997895</v>
      </c>
      <c r="H256" s="9">
        <f t="shared" si="39"/>
        <v>6.873902492237755E-5</v>
      </c>
      <c r="I256" s="9">
        <f t="shared" si="40"/>
        <v>3.8161982835364238E-3</v>
      </c>
      <c r="J256" s="9">
        <f t="shared" si="41"/>
        <v>0.21195743606490133</v>
      </c>
    </row>
    <row r="257" spans="1:10" x14ac:dyDescent="0.2">
      <c r="A257" s="1">
        <v>251</v>
      </c>
      <c r="B257" s="6">
        <v>0.101684160769</v>
      </c>
      <c r="C257" s="8">
        <v>5.9783863644100004</v>
      </c>
      <c r="D257" s="9">
        <f t="shared" si="35"/>
        <v>1.1960301115812588E-2</v>
      </c>
      <c r="E257" s="9">
        <f t="shared" si="36"/>
        <v>8.2661119945628731E-4</v>
      </c>
      <c r="F257" s="9">
        <f t="shared" si="37"/>
        <v>4.7661653676695039E-2</v>
      </c>
      <c r="G257" s="9">
        <f t="shared" si="38"/>
        <v>0.21367249702704805</v>
      </c>
      <c r="H257" s="9">
        <f t="shared" si="39"/>
        <v>6.4278548416328406E-5</v>
      </c>
      <c r="I257" s="9">
        <f t="shared" si="40"/>
        <v>3.7057863806115609E-3</v>
      </c>
      <c r="J257" s="9">
        <f t="shared" si="41"/>
        <v>0.21373677557546439</v>
      </c>
    </row>
    <row r="258" spans="1:10" x14ac:dyDescent="0.2">
      <c r="A258" s="1">
        <v>252</v>
      </c>
      <c r="B258" s="6">
        <v>9.7682782122299999E-2</v>
      </c>
      <c r="C258" s="8">
        <v>5.9801262133600002</v>
      </c>
      <c r="D258" s="9">
        <f t="shared" si="35"/>
        <v>1.2049351310309098E-2</v>
      </c>
      <c r="E258" s="9">
        <f t="shared" si="36"/>
        <v>8.0074744485320146E-4</v>
      </c>
      <c r="F258" s="9">
        <f t="shared" si="37"/>
        <v>4.8030773066100263E-2</v>
      </c>
      <c r="G258" s="9">
        <f t="shared" si="38"/>
        <v>0.215391227956378</v>
      </c>
      <c r="H258" s="9">
        <f t="shared" si="39"/>
        <v>5.9874002229744909E-5</v>
      </c>
      <c r="I258" s="9">
        <f t="shared" si="40"/>
        <v>3.5909021513725373E-3</v>
      </c>
      <c r="J258" s="9">
        <f t="shared" si="41"/>
        <v>0.21545110195860773</v>
      </c>
    </row>
    <row r="259" spans="1:10" x14ac:dyDescent="0.2">
      <c r="A259" s="1">
        <v>253</v>
      </c>
      <c r="B259" s="6">
        <v>9.3651648354E-2</v>
      </c>
      <c r="C259" s="8">
        <v>5.9817959636399998</v>
      </c>
      <c r="D259" s="9">
        <f t="shared" si="35"/>
        <v>1.2134897285085711E-2</v>
      </c>
      <c r="E259" s="9">
        <f t="shared" si="36"/>
        <v>7.7394122031009113E-4</v>
      </c>
      <c r="F259" s="9">
        <f t="shared" si="37"/>
        <v>4.8385565650027947E-2</v>
      </c>
      <c r="G259" s="9">
        <f t="shared" si="38"/>
        <v>0.21704414045811352</v>
      </c>
      <c r="H259" s="9">
        <f t="shared" si="39"/>
        <v>5.5538817335465655E-5</v>
      </c>
      <c r="I259" s="9">
        <f t="shared" si="40"/>
        <v>3.4716808392692838E-3</v>
      </c>
      <c r="J259" s="9">
        <f t="shared" si="41"/>
        <v>0.21709967927544899</v>
      </c>
    </row>
    <row r="260" spans="1:10" x14ac:dyDescent="0.2">
      <c r="A260" s="1">
        <v>254</v>
      </c>
      <c r="B260" s="6">
        <v>8.9591987386300004E-2</v>
      </c>
      <c r="C260" s="8">
        <v>5.9833951066199997</v>
      </c>
      <c r="D260" s="9">
        <f t="shared" si="35"/>
        <v>1.2216912983182726E-2</v>
      </c>
      <c r="E260" s="9">
        <f t="shared" si="36"/>
        <v>7.4622385085375905E-4</v>
      </c>
      <c r="F260" s="9">
        <f t="shared" si="37"/>
        <v>4.8725899377507133E-2</v>
      </c>
      <c r="G260" s="9">
        <f t="shared" si="38"/>
        <v>0.2186305123475426</v>
      </c>
      <c r="H260" s="9">
        <f t="shared" si="39"/>
        <v>5.1286178693122063E-5</v>
      </c>
      <c r="I260" s="9">
        <f t="shared" si="40"/>
        <v>3.3482633040799754E-3</v>
      </c>
      <c r="J260" s="9">
        <f t="shared" si="41"/>
        <v>0.21868179852623573</v>
      </c>
    </row>
    <row r="261" spans="1:10" x14ac:dyDescent="0.2">
      <c r="A261" s="1">
        <v>255</v>
      </c>
      <c r="B261" s="6">
        <v>8.5505035831399998E-2</v>
      </c>
      <c r="C261" s="8">
        <v>5.9849231551999997</v>
      </c>
      <c r="D261" s="9">
        <f t="shared" si="35"/>
        <v>1.2295373421843392E-2</v>
      </c>
      <c r="E261" s="9">
        <f t="shared" si="36"/>
        <v>7.176277618382678E-4</v>
      </c>
      <c r="F261" s="9">
        <f t="shared" si="37"/>
        <v>4.9051647420181504E-2</v>
      </c>
      <c r="G261" s="9">
        <f t="shared" si="38"/>
        <v>0.22014964904294562</v>
      </c>
      <c r="H261" s="9">
        <f t="shared" si="39"/>
        <v>4.7128988984827714E-5</v>
      </c>
      <c r="I261" s="9">
        <f t="shared" si="40"/>
        <v>3.220795843309603E-3</v>
      </c>
      <c r="J261" s="9">
        <f t="shared" si="41"/>
        <v>0.22019677803193044</v>
      </c>
    </row>
    <row r="262" spans="1:10" x14ac:dyDescent="0.2">
      <c r="A262" s="1">
        <v>256</v>
      </c>
      <c r="B262" s="6">
        <v>8.13920386143E-2</v>
      </c>
      <c r="C262" s="8">
        <v>5.9863796439000003</v>
      </c>
      <c r="D262" s="9">
        <f t="shared" si="35"/>
        <v>1.2370254700188266E-2</v>
      </c>
      <c r="E262" s="9">
        <f t="shared" si="36"/>
        <v>6.8818643986986376E-4</v>
      </c>
      <c r="F262" s="9">
        <f t="shared" si="37"/>
        <v>4.936268823931457E-2</v>
      </c>
      <c r="G262" s="9">
        <f t="shared" si="38"/>
        <v>0.22160088405230915</v>
      </c>
      <c r="H262" s="9">
        <f t="shared" si="39"/>
        <v>4.307983316022458E-5</v>
      </c>
      <c r="I262" s="9">
        <f t="shared" si="40"/>
        <v>3.0894300075341619E-3</v>
      </c>
      <c r="J262" s="9">
        <f t="shared" si="41"/>
        <v>0.22164396388546939</v>
      </c>
    </row>
    <row r="263" spans="1:10" x14ac:dyDescent="0.2">
      <c r="A263" s="1">
        <v>257</v>
      </c>
      <c r="B263" s="6">
        <v>7.7254248593700003E-2</v>
      </c>
      <c r="C263" s="8">
        <v>5.9877641290700003</v>
      </c>
      <c r="D263" s="9">
        <f t="shared" si="35"/>
        <v>1.2441534010234984E-2</v>
      </c>
      <c r="E263" s="9">
        <f t="shared" si="36"/>
        <v>6.5793439263194637E-4</v>
      </c>
      <c r="F263" s="9">
        <f t="shared" si="37"/>
        <v>4.9658905664949904E-2</v>
      </c>
      <c r="G263" s="9">
        <f t="shared" si="38"/>
        <v>0.22298357950883765</v>
      </c>
      <c r="H263" s="9">
        <f t="shared" si="39"/>
        <v>3.9150943869651887E-5</v>
      </c>
      <c r="I263" s="9">
        <f t="shared" si="40"/>
        <v>2.95432240921178E-3</v>
      </c>
      <c r="J263" s="9">
        <f t="shared" si="41"/>
        <v>0.22302273045270732</v>
      </c>
    </row>
    <row r="264" spans="1:10" x14ac:dyDescent="0.2">
      <c r="A264" s="1">
        <v>258</v>
      </c>
      <c r="B264" s="6">
        <v>7.3092926180699999E-2</v>
      </c>
      <c r="C264" s="8">
        <v>5.9890761889900004</v>
      </c>
      <c r="D264" s="9">
        <f t="shared" si="35"/>
        <v>1.2509189638642976E-2</v>
      </c>
      <c r="E264" s="9">
        <f t="shared" si="36"/>
        <v>6.2690710696238969E-4</v>
      </c>
      <c r="F264" s="9">
        <f t="shared" si="37"/>
        <v>4.9940188936785868E-2</v>
      </c>
      <c r="G264" s="9">
        <f t="shared" si="38"/>
        <v>0.22429712652838604</v>
      </c>
      <c r="H264" s="9">
        <f t="shared" si="39"/>
        <v>3.5354167836926574E-5</v>
      </c>
      <c r="I264" s="9">
        <f t="shared" si="40"/>
        <v>2.8156345220887737E-3</v>
      </c>
      <c r="J264" s="9">
        <f t="shared" si="41"/>
        <v>0.22433248069622297</v>
      </c>
    </row>
    <row r="265" spans="1:10" x14ac:dyDescent="0.2">
      <c r="A265" s="1">
        <v>259</v>
      </c>
      <c r="B265" s="6">
        <v>6.8909338954199997E-2</v>
      </c>
      <c r="C265" s="8">
        <v>5.9903154239800003</v>
      </c>
      <c r="D265" s="9">
        <f t="shared" si="35"/>
        <v>1.2573200977219257E-2</v>
      </c>
      <c r="E265" s="9">
        <f t="shared" si="36"/>
        <v>5.9514100625382416E-4</v>
      </c>
      <c r="F265" s="9">
        <f t="shared" si="37"/>
        <v>5.0206432778228866E-2</v>
      </c>
      <c r="G265" s="9">
        <f t="shared" si="38"/>
        <v>0.22554094570727581</v>
      </c>
      <c r="H265" s="9">
        <f t="shared" si="39"/>
        <v>3.1700933328471601E-5</v>
      </c>
      <c r="I265" s="9">
        <f t="shared" si="40"/>
        <v>2.6735324760234053E-3</v>
      </c>
      <c r="J265" s="9">
        <f t="shared" si="41"/>
        <v>0.22557264664060428</v>
      </c>
    </row>
    <row r="266" spans="1:10" x14ac:dyDescent="0.2">
      <c r="A266" s="1">
        <v>260</v>
      </c>
      <c r="B266" s="6">
        <v>6.4704761275600001E-2</v>
      </c>
      <c r="C266" s="8">
        <v>5.9914814565699999</v>
      </c>
      <c r="D266" s="9">
        <f t="shared" si="35"/>
        <v>1.2633548527207744E-2</v>
      </c>
      <c r="E266" s="9">
        <f t="shared" si="36"/>
        <v>5.6267340639079252E-4</v>
      </c>
      <c r="F266" s="9">
        <f t="shared" si="37"/>
        <v>5.0457537444524928E-2</v>
      </c>
      <c r="G266" s="9">
        <f t="shared" si="38"/>
        <v>0.22671448749809875</v>
      </c>
      <c r="H266" s="9">
        <f t="shared" si="39"/>
        <v>2.8202218754815276E-5</v>
      </c>
      <c r="I266" s="9">
        <f t="shared" si="40"/>
        <v>2.5281868437907209E-3</v>
      </c>
      <c r="J266" s="9">
        <f t="shared" si="41"/>
        <v>0.22674268971685357</v>
      </c>
    </row>
    <row r="267" spans="1:10" x14ac:dyDescent="0.2">
      <c r="A267" s="1">
        <v>261</v>
      </c>
      <c r="B267" s="6">
        <v>6.0480473899900002E-2</v>
      </c>
      <c r="C267" s="8">
        <v>5.99257393157</v>
      </c>
      <c r="D267" s="9">
        <f t="shared" si="35"/>
        <v>1.2690213906401931E-2</v>
      </c>
      <c r="E267" s="9">
        <f t="shared" si="36"/>
        <v>5.2954247076677542E-4</v>
      </c>
      <c r="F267" s="9">
        <f t="shared" si="37"/>
        <v>5.0693408780555067E-2</v>
      </c>
      <c r="G267" s="9">
        <f t="shared" si="38"/>
        <v>0.2278172326209976</v>
      </c>
      <c r="H267" s="9">
        <f t="shared" si="39"/>
        <v>2.4868522520204022E-5</v>
      </c>
      <c r="I267" s="9">
        <f t="shared" si="40"/>
        <v>2.3797724223310812E-3</v>
      </c>
      <c r="J267" s="9">
        <f t="shared" si="41"/>
        <v>0.2278421011435178</v>
      </c>
    </row>
    <row r="268" spans="1:10" x14ac:dyDescent="0.2">
      <c r="A268" s="1">
        <v>262</v>
      </c>
      <c r="B268" s="6">
        <v>5.6237763586000002E-2</v>
      </c>
      <c r="C268" s="8">
        <v>5.9935925161999997</v>
      </c>
      <c r="D268" s="9">
        <f t="shared" si="35"/>
        <v>1.2743179853704933E-2</v>
      </c>
      <c r="E268" s="9">
        <f t="shared" si="36"/>
        <v>4.957871641634229E-4</v>
      </c>
      <c r="F268" s="9">
        <f t="shared" si="37"/>
        <v>5.0913958266792222E-2</v>
      </c>
      <c r="G268" s="9">
        <f t="shared" si="38"/>
        <v>0.22884869241360495</v>
      </c>
      <c r="H268" s="9">
        <f t="shared" si="39"/>
        <v>2.1709834187071702E-5</v>
      </c>
      <c r="I268" s="9">
        <f t="shared" si="40"/>
        <v>2.2284680075235733E-3</v>
      </c>
      <c r="J268" s="9">
        <f t="shared" si="41"/>
        <v>0.22887040224779201</v>
      </c>
    </row>
    <row r="269" spans="1:10" x14ac:dyDescent="0.2">
      <c r="A269" s="1">
        <v>263</v>
      </c>
      <c r="B269" s="6">
        <v>5.1977922704399999E-2</v>
      </c>
      <c r="C269" s="8">
        <v>5.99453690018</v>
      </c>
      <c r="D269" s="9">
        <f t="shared" si="35"/>
        <v>1.2792430235581104E-2</v>
      </c>
      <c r="E269" s="9">
        <f t="shared" si="36"/>
        <v>4.6144720575515752E-4</v>
      </c>
      <c r="F269" s="9">
        <f t="shared" si="37"/>
        <v>5.1119103071386257E-2</v>
      </c>
      <c r="G269" s="9">
        <f t="shared" si="38"/>
        <v>0.22980840920127046</v>
      </c>
      <c r="H269" s="9">
        <f t="shared" si="39"/>
        <v>1.8735607045122881E-5</v>
      </c>
      <c r="I269" s="9">
        <f t="shared" si="40"/>
        <v>2.0744561637410083E-3</v>
      </c>
      <c r="J269" s="9">
        <f t="shared" si="41"/>
        <v>0.22982714480831559</v>
      </c>
    </row>
    <row r="270" spans="1:10" x14ac:dyDescent="0.2">
      <c r="A270" s="1">
        <v>264</v>
      </c>
      <c r="B270" s="6">
        <v>4.7702248844100001E-2</v>
      </c>
      <c r="C270" s="8">
        <v>5.9954067958600001</v>
      </c>
      <c r="D270" s="9">
        <f t="shared" si="35"/>
        <v>1.2837950049559677E-2</v>
      </c>
      <c r="E270" s="9">
        <f t="shared" si="36"/>
        <v>4.2656302109039422E-4</v>
      </c>
      <c r="F270" s="9">
        <f t="shared" si="37"/>
        <v>5.1308766088931486E-2</v>
      </c>
      <c r="G270" s="9">
        <f t="shared" si="38"/>
        <v>0.23069595659962039</v>
      </c>
      <c r="H270" s="9">
        <f t="shared" si="39"/>
        <v>1.5954732149977374E-5</v>
      </c>
      <c r="I270" s="9">
        <f t="shared" si="40"/>
        <v>1.9179229875763784E-3</v>
      </c>
      <c r="J270" s="9">
        <f t="shared" si="41"/>
        <v>0.23071191133177035</v>
      </c>
    </row>
    <row r="271" spans="1:10" x14ac:dyDescent="0.2">
      <c r="A271" s="1">
        <v>265</v>
      </c>
      <c r="B271" s="6">
        <v>4.3412044416699998E-2</v>
      </c>
      <c r="C271" s="8">
        <v>5.9962019382499996</v>
      </c>
      <c r="D271" s="9">
        <f t="shared" si="35"/>
        <v>1.2879725429908451E-2</v>
      </c>
      <c r="E271" s="9">
        <f t="shared" si="36"/>
        <v>3.9117569331308729E-4</v>
      </c>
      <c r="F271" s="9">
        <f t="shared" si="37"/>
        <v>5.1482875986076274E-2</v>
      </c>
      <c r="G271" s="9">
        <f t="shared" si="38"/>
        <v>0.23151093983870141</v>
      </c>
      <c r="H271" s="9">
        <f t="shared" si="39"/>
        <v>1.337551391164265E-5</v>
      </c>
      <c r="I271" s="9">
        <f t="shared" si="40"/>
        <v>1.7590578669847501E-3</v>
      </c>
      <c r="J271" s="9">
        <f t="shared" si="41"/>
        <v>0.23152431535261306</v>
      </c>
    </row>
    <row r="272" spans="1:10" x14ac:dyDescent="0.2">
      <c r="A272" s="1">
        <v>266</v>
      </c>
      <c r="B272" s="6">
        <v>3.9108616260100003E-2</v>
      </c>
      <c r="C272" s="8">
        <v>5.9969220851499996</v>
      </c>
      <c r="D272" s="9">
        <f t="shared" si="35"/>
        <v>1.2917743651466931E-2</v>
      </c>
      <c r="E272" s="9">
        <f t="shared" si="36"/>
        <v>3.5532691352419666E-4</v>
      </c>
      <c r="F272" s="9">
        <f t="shared" si="37"/>
        <v>5.1641367238176958E-2</v>
      </c>
      <c r="G272" s="9">
        <f t="shared" si="38"/>
        <v>0.23225299603866278</v>
      </c>
      <c r="H272" s="9">
        <f t="shared" si="39"/>
        <v>1.1005647292380268E-5</v>
      </c>
      <c r="I272" s="9">
        <f t="shared" si="40"/>
        <v>1.5980532354726432E-3</v>
      </c>
      <c r="J272" s="9">
        <f t="shared" si="41"/>
        <v>0.23226400168595515</v>
      </c>
    </row>
    <row r="273" spans="1:10" x14ac:dyDescent="0.2">
      <c r="A273" s="1">
        <v>267</v>
      </c>
      <c r="B273" s="6">
        <v>3.4793275239999998E-2</v>
      </c>
      <c r="C273" s="8">
        <v>5.9975670171899997</v>
      </c>
      <c r="D273" s="9">
        <f t="shared" si="35"/>
        <v>1.2951993134028839E-2</v>
      </c>
      <c r="E273" s="9">
        <f t="shared" si="36"/>
        <v>3.1905893043367975E-4</v>
      </c>
      <c r="F273" s="9">
        <f t="shared" si="37"/>
        <v>5.1784180166563804E-2</v>
      </c>
      <c r="G273" s="9">
        <f t="shared" si="38"/>
        <v>0.23292179448001515</v>
      </c>
      <c r="H273" s="9">
        <f t="shared" si="39"/>
        <v>8.8521966802107371E-6</v>
      </c>
      <c r="I273" s="9">
        <f t="shared" si="40"/>
        <v>1.4351043220877213E-3</v>
      </c>
      <c r="J273" s="9">
        <f t="shared" si="41"/>
        <v>0.23293064667669536</v>
      </c>
    </row>
    <row r="274" spans="1:10" x14ac:dyDescent="0.2">
      <c r="A274" s="1">
        <v>268</v>
      </c>
      <c r="B274" s="6">
        <v>3.0467335851300001E-2</v>
      </c>
      <c r="C274" s="8">
        <v>5.9981365379099998</v>
      </c>
      <c r="D274" s="9">
        <f t="shared" si="35"/>
        <v>1.2982463443598019E-2</v>
      </c>
      <c r="E274" s="9">
        <f t="shared" si="36"/>
        <v>2.8241449926655652E-4</v>
      </c>
      <c r="F274" s="9">
        <f t="shared" si="37"/>
        <v>5.191126096144151E-2</v>
      </c>
      <c r="G274" s="9">
        <f t="shared" si="38"/>
        <v>0.23351703679978761</v>
      </c>
      <c r="H274" s="9">
        <f t="shared" si="39"/>
        <v>6.9215764926909017E-6</v>
      </c>
      <c r="I274" s="9">
        <f t="shared" si="40"/>
        <v>1.2704088971133372E-3</v>
      </c>
      <c r="J274" s="9">
        <f t="shared" si="41"/>
        <v>0.23352395837628029</v>
      </c>
    </row>
    <row r="275" spans="1:10" x14ac:dyDescent="0.2">
      <c r="A275" s="1">
        <v>269</v>
      </c>
      <c r="B275" s="6">
        <v>2.61321158169E-2</v>
      </c>
      <c r="C275" s="8">
        <v>5.9986304738399996</v>
      </c>
      <c r="D275" s="9">
        <f t="shared" si="35"/>
        <v>1.3009145300041214E-2</v>
      </c>
      <c r="E275" s="9">
        <f t="shared" si="36"/>
        <v>2.454368302180913E-4</v>
      </c>
      <c r="F275" s="9">
        <f t="shared" si="37"/>
        <v>5.2022561728865657E-2</v>
      </c>
      <c r="G275" s="9">
        <f t="shared" si="38"/>
        <v>0.2340384572880887</v>
      </c>
      <c r="H275" s="9">
        <f t="shared" si="39"/>
        <v>5.219533570392301E-6</v>
      </c>
      <c r="I275" s="9">
        <f t="shared" si="40"/>
        <v>1.1041670148876962E-3</v>
      </c>
      <c r="J275" s="9">
        <f t="shared" si="41"/>
        <v>0.23404367682165908</v>
      </c>
    </row>
    <row r="276" spans="1:10" x14ac:dyDescent="0.2">
      <c r="A276" s="1">
        <v>270</v>
      </c>
      <c r="B276" s="6">
        <v>2.1788935686900001E-2</v>
      </c>
      <c r="C276" s="8">
        <v>5.99904867452</v>
      </c>
      <c r="D276" s="9">
        <f t="shared" si="35"/>
        <v>1.303203057489942E-2</v>
      </c>
      <c r="E276" s="9">
        <f t="shared" si="36"/>
        <v>2.0816953612628379E-4</v>
      </c>
      <c r="F276" s="9">
        <f t="shared" si="37"/>
        <v>5.211804049642025E-2</v>
      </c>
      <c r="G276" s="9">
        <f t="shared" si="38"/>
        <v>0.23448582298894768</v>
      </c>
      <c r="H276" s="9">
        <f t="shared" si="39"/>
        <v>3.7511313973744481E-6</v>
      </c>
      <c r="I276" s="9">
        <f t="shared" si="40"/>
        <v>9.3658075232522957E-4</v>
      </c>
      <c r="J276" s="9">
        <f t="shared" si="41"/>
        <v>0.23448957412034505</v>
      </c>
    </row>
    <row r="277" spans="1:10" x14ac:dyDescent="0.2">
      <c r="A277" s="1">
        <v>271</v>
      </c>
      <c r="B277" s="6">
        <v>1.7439118436E-2</v>
      </c>
      <c r="C277" s="8">
        <v>5.9993910125600003</v>
      </c>
      <c r="D277" s="9">
        <f t="shared" si="35"/>
        <v>1.3051112297476318E-2</v>
      </c>
      <c r="E277" s="9">
        <f t="shared" si="36"/>
        <v>1.7065657985648223E-4</v>
      </c>
      <c r="F277" s="9">
        <f t="shared" si="37"/>
        <v>5.2197661250192567E-2</v>
      </c>
      <c r="G277" s="9">
        <f t="shared" si="38"/>
        <v>0.23485893393263099</v>
      </c>
      <c r="H277" s="9">
        <f t="shared" si="39"/>
        <v>2.5207362034187155E-6</v>
      </c>
      <c r="I277" s="9">
        <f t="shared" si="40"/>
        <v>7.6785394545781684E-4</v>
      </c>
      <c r="J277" s="9">
        <f t="shared" si="41"/>
        <v>0.2348614546688344</v>
      </c>
    </row>
    <row r="278" spans="1:10" x14ac:dyDescent="0.2">
      <c r="A278" s="1">
        <v>272</v>
      </c>
      <c r="B278" s="6">
        <v>1.30839890607E-2</v>
      </c>
      <c r="C278" s="8">
        <v>5.9996573836899998</v>
      </c>
      <c r="D278" s="9">
        <f t="shared" si="35"/>
        <v>1.3066384655197431E-2</v>
      </c>
      <c r="E278" s="9">
        <f t="shared" si="36"/>
        <v>1.3294222114127417E-4</v>
      </c>
      <c r="F278" s="9">
        <f t="shared" si="37"/>
        <v>5.2261393947244113E-2</v>
      </c>
      <c r="G278" s="9">
        <f t="shared" si="38"/>
        <v>0.23515762324930531</v>
      </c>
      <c r="H278" s="9">
        <f t="shared" si="39"/>
        <v>1.5320049776219471E-6</v>
      </c>
      <c r="I278" s="9">
        <f t="shared" si="40"/>
        <v>5.9819192293129083E-4</v>
      </c>
      <c r="J278" s="9">
        <f t="shared" si="41"/>
        <v>0.23515915525428294</v>
      </c>
    </row>
    <row r="279" spans="1:10" x14ac:dyDescent="0.2">
      <c r="A279" s="1">
        <v>273</v>
      </c>
      <c r="B279" s="6">
        <v>8.7248741756300006E-3</v>
      </c>
      <c r="C279" s="8">
        <v>5.9998477067499998</v>
      </c>
      <c r="D279" s="9">
        <f t="shared" si="35"/>
        <v>1.3077842995699123E-2</v>
      </c>
      <c r="E279" s="9">
        <f t="shared" si="36"/>
        <v>9.507096310646613E-5</v>
      </c>
      <c r="F279" s="9">
        <f t="shared" si="37"/>
        <v>5.2309214532955568E-2</v>
      </c>
      <c r="G279" s="9">
        <f t="shared" si="38"/>
        <v>0.23538175729415764</v>
      </c>
      <c r="H279" s="9">
        <f t="shared" si="39"/>
        <v>7.8787543025983374E-7</v>
      </c>
      <c r="I279" s="9">
        <f t="shared" si="40"/>
        <v>4.2780123757662098E-4</v>
      </c>
      <c r="J279" s="9">
        <f t="shared" si="41"/>
        <v>0.2353825451695879</v>
      </c>
    </row>
    <row r="280" spans="1:10" x14ac:dyDescent="0.2">
      <c r="A280" s="1">
        <v>274</v>
      </c>
      <c r="B280" s="6">
        <v>4.3631016093200001E-3</v>
      </c>
      <c r="C280" s="8">
        <v>5.9999619237899999</v>
      </c>
      <c r="D280" s="9">
        <f t="shared" si="35"/>
        <v>1.3085483829321417E-2</v>
      </c>
      <c r="E280" s="9">
        <f t="shared" si="36"/>
        <v>5.7087498497504503E-5</v>
      </c>
      <c r="F280" s="9">
        <f t="shared" si="37"/>
        <v>5.2341104958455523E-2</v>
      </c>
      <c r="G280" s="9">
        <f t="shared" si="38"/>
        <v>0.23553123576470514</v>
      </c>
      <c r="H280" s="9">
        <f t="shared" si="39"/>
        <v>2.9055792898192562E-7</v>
      </c>
      <c r="I280" s="9">
        <f t="shared" si="40"/>
        <v>2.5688939621846987E-4</v>
      </c>
      <c r="J280" s="9">
        <f t="shared" si="41"/>
        <v>0.23553152632263413</v>
      </c>
    </row>
    <row r="281" spans="1:10" x14ac:dyDescent="0.2">
      <c r="A281" s="1">
        <v>275</v>
      </c>
      <c r="B281" s="6">
        <v>1.5308084989300001E-17</v>
      </c>
      <c r="C281" s="8">
        <v>6</v>
      </c>
      <c r="D281" s="9">
        <f t="shared" si="35"/>
        <v>1.3089304827959955E-2</v>
      </c>
      <c r="E281" s="9">
        <f t="shared" si="36"/>
        <v>1.9036655653250776E-5</v>
      </c>
      <c r="F281" s="9">
        <f t="shared" si="37"/>
        <v>5.235705318146669E-2</v>
      </c>
      <c r="G281" s="9">
        <f t="shared" si="38"/>
        <v>0.23560599173308386</v>
      </c>
      <c r="H281" s="9">
        <f t="shared" si="39"/>
        <v>4.1529431458384581E-8</v>
      </c>
      <c r="I281" s="9">
        <f t="shared" si="40"/>
        <v>8.5664588017779323E-5</v>
      </c>
      <c r="J281" s="9">
        <f t="shared" si="41"/>
        <v>0.23560603326251531</v>
      </c>
    </row>
    <row r="282" spans="1:10" x14ac:dyDescent="0.2">
      <c r="A282" s="1">
        <v>276</v>
      </c>
      <c r="B282" s="6">
        <v>0</v>
      </c>
      <c r="C282" s="8">
        <v>6</v>
      </c>
      <c r="D282" s="9">
        <f t="shared" si="35"/>
        <v>4.5924254967900005E-17</v>
      </c>
      <c r="E282" s="9">
        <f t="shared" si="36"/>
        <v>2.3433746603963198E-34</v>
      </c>
      <c r="F282" s="9">
        <f t="shared" si="37"/>
        <v>1.8369701987160002E-16</v>
      </c>
      <c r="G282" s="9">
        <f t="shared" si="38"/>
        <v>8.2663658942220009E-16</v>
      </c>
      <c r="H282" s="9">
        <f t="shared" si="39"/>
        <v>1.7936289231559448E-51</v>
      </c>
      <c r="I282" s="9">
        <f t="shared" si="40"/>
        <v>1.0545185971783443E-33</v>
      </c>
      <c r="J282" s="9">
        <f t="shared" si="41"/>
        <v>8.2663658942220009E-16</v>
      </c>
    </row>
    <row r="283" spans="1:10" x14ac:dyDescent="0.2">
      <c r="A283" s="1">
        <v>277</v>
      </c>
      <c r="B283" s="6">
        <v>0</v>
      </c>
      <c r="C283" s="8">
        <v>0</v>
      </c>
      <c r="D283" s="9">
        <f t="shared" si="35"/>
        <v>0</v>
      </c>
      <c r="E283" s="9">
        <f t="shared" si="36"/>
        <v>0</v>
      </c>
      <c r="F283" s="9">
        <f t="shared" si="37"/>
        <v>0</v>
      </c>
      <c r="G283" s="9">
        <f t="shared" si="38"/>
        <v>0</v>
      </c>
      <c r="H283" s="9">
        <f t="shared" si="39"/>
        <v>0</v>
      </c>
      <c r="I283" s="9">
        <f t="shared" si="40"/>
        <v>0</v>
      </c>
      <c r="J283" s="9">
        <f t="shared" si="41"/>
        <v>0</v>
      </c>
    </row>
    <row r="284" spans="1:10" x14ac:dyDescent="0.2">
      <c r="A284" s="1">
        <v>278</v>
      </c>
      <c r="B284" s="6">
        <v>0</v>
      </c>
      <c r="C284" s="8">
        <v>0</v>
      </c>
      <c r="D284" s="9">
        <f t="shared" si="35"/>
        <v>0</v>
      </c>
      <c r="E284" s="9">
        <f t="shared" si="36"/>
        <v>0</v>
      </c>
      <c r="F284" s="9">
        <f t="shared" si="37"/>
        <v>0</v>
      </c>
      <c r="G284" s="9">
        <f t="shared" si="38"/>
        <v>0</v>
      </c>
      <c r="H284" s="9">
        <f t="shared" si="39"/>
        <v>0</v>
      </c>
      <c r="I284" s="9">
        <f t="shared" si="40"/>
        <v>0</v>
      </c>
      <c r="J284" s="9">
        <f t="shared" si="41"/>
        <v>0</v>
      </c>
    </row>
    <row r="285" spans="1:10" x14ac:dyDescent="0.2">
      <c r="A285" s="1">
        <v>279</v>
      </c>
      <c r="B285" s="6">
        <v>0</v>
      </c>
      <c r="C285" s="8">
        <v>0</v>
      </c>
      <c r="D285" s="9">
        <f t="shared" si="35"/>
        <v>0</v>
      </c>
      <c r="E285" s="9">
        <f t="shared" si="36"/>
        <v>0</v>
      </c>
      <c r="F285" s="9">
        <f t="shared" si="37"/>
        <v>0</v>
      </c>
      <c r="G285" s="9">
        <f t="shared" si="38"/>
        <v>0</v>
      </c>
      <c r="H285" s="9">
        <f t="shared" si="39"/>
        <v>0</v>
      </c>
      <c r="I285" s="9">
        <f t="shared" si="40"/>
        <v>0</v>
      </c>
      <c r="J285" s="9">
        <f t="shared" si="41"/>
        <v>0</v>
      </c>
    </row>
    <row r="286" spans="1:10" x14ac:dyDescent="0.2">
      <c r="A286" s="1">
        <v>280</v>
      </c>
      <c r="B286" s="6">
        <v>0</v>
      </c>
      <c r="C286" s="8">
        <v>0</v>
      </c>
      <c r="D286" s="9">
        <f t="shared" si="35"/>
        <v>0</v>
      </c>
      <c r="E286" s="9">
        <f t="shared" si="36"/>
        <v>0</v>
      </c>
      <c r="F286" s="9">
        <f t="shared" si="37"/>
        <v>0</v>
      </c>
      <c r="G286" s="9">
        <f t="shared" si="38"/>
        <v>0</v>
      </c>
      <c r="H286" s="9">
        <f t="shared" si="39"/>
        <v>0</v>
      </c>
      <c r="I286" s="9">
        <f t="shared" si="40"/>
        <v>0</v>
      </c>
      <c r="J286" s="9">
        <f t="shared" si="41"/>
        <v>0</v>
      </c>
    </row>
    <row r="287" spans="1:10" x14ac:dyDescent="0.2">
      <c r="A287" s="1">
        <v>281</v>
      </c>
      <c r="B287" s="6">
        <v>0</v>
      </c>
      <c r="C287" s="8">
        <v>0</v>
      </c>
      <c r="D287" s="9">
        <f t="shared" si="35"/>
        <v>0</v>
      </c>
      <c r="E287" s="9">
        <f t="shared" si="36"/>
        <v>0</v>
      </c>
      <c r="F287" s="9">
        <f t="shared" si="37"/>
        <v>0</v>
      </c>
      <c r="G287" s="9">
        <f t="shared" si="38"/>
        <v>0</v>
      </c>
      <c r="H287" s="9">
        <f t="shared" si="39"/>
        <v>0</v>
      </c>
      <c r="I287" s="9">
        <f t="shared" si="40"/>
        <v>0</v>
      </c>
      <c r="J287" s="9">
        <f t="shared" si="41"/>
        <v>0</v>
      </c>
    </row>
    <row r="288" spans="1:10" x14ac:dyDescent="0.2">
      <c r="A288" s="1">
        <v>282</v>
      </c>
      <c r="B288" s="6">
        <v>0</v>
      </c>
      <c r="C288" s="8">
        <v>0</v>
      </c>
      <c r="D288" s="9">
        <f t="shared" si="35"/>
        <v>0</v>
      </c>
      <c r="E288" s="9">
        <f t="shared" si="36"/>
        <v>0</v>
      </c>
      <c r="F288" s="9">
        <f t="shared" si="37"/>
        <v>0</v>
      </c>
      <c r="G288" s="9">
        <f t="shared" si="38"/>
        <v>0</v>
      </c>
      <c r="H288" s="9">
        <f t="shared" si="39"/>
        <v>0</v>
      </c>
      <c r="I288" s="9">
        <f t="shared" si="40"/>
        <v>0</v>
      </c>
      <c r="J288" s="9">
        <f t="shared" si="41"/>
        <v>0</v>
      </c>
    </row>
    <row r="289" spans="1:10" x14ac:dyDescent="0.2">
      <c r="A289" s="1">
        <v>283</v>
      </c>
      <c r="B289" s="6">
        <v>0</v>
      </c>
      <c r="C289" s="8">
        <v>0</v>
      </c>
      <c r="D289" s="9">
        <f t="shared" si="35"/>
        <v>0</v>
      </c>
      <c r="E289" s="9">
        <f t="shared" si="36"/>
        <v>0</v>
      </c>
      <c r="F289" s="9">
        <f t="shared" si="37"/>
        <v>0</v>
      </c>
      <c r="G289" s="9">
        <f t="shared" si="38"/>
        <v>0</v>
      </c>
      <c r="H289" s="9">
        <f t="shared" si="39"/>
        <v>0</v>
      </c>
      <c r="I289" s="9">
        <f t="shared" si="40"/>
        <v>0</v>
      </c>
      <c r="J289" s="9">
        <f t="shared" si="41"/>
        <v>0</v>
      </c>
    </row>
    <row r="290" spans="1:10" x14ac:dyDescent="0.2">
      <c r="A290" s="1">
        <v>284</v>
      </c>
      <c r="B290" s="6">
        <v>0</v>
      </c>
      <c r="C290" s="8">
        <v>0</v>
      </c>
      <c r="D290" s="9">
        <f t="shared" si="35"/>
        <v>0</v>
      </c>
      <c r="E290" s="9">
        <f t="shared" si="36"/>
        <v>0</v>
      </c>
      <c r="F290" s="9">
        <f t="shared" si="37"/>
        <v>0</v>
      </c>
      <c r="G290" s="9">
        <f t="shared" si="38"/>
        <v>0</v>
      </c>
      <c r="H290" s="9">
        <f t="shared" si="39"/>
        <v>0</v>
      </c>
      <c r="I290" s="9">
        <f t="shared" si="40"/>
        <v>0</v>
      </c>
      <c r="J290" s="9">
        <f t="shared" si="41"/>
        <v>0</v>
      </c>
    </row>
    <row r="291" spans="1:10" x14ac:dyDescent="0.2">
      <c r="A291" s="1">
        <v>285</v>
      </c>
      <c r="B291" s="6">
        <v>0</v>
      </c>
      <c r="C291" s="8">
        <v>0</v>
      </c>
      <c r="D291" s="9">
        <f t="shared" si="35"/>
        <v>0</v>
      </c>
      <c r="E291" s="9">
        <f t="shared" si="36"/>
        <v>0</v>
      </c>
      <c r="F291" s="9">
        <f t="shared" si="37"/>
        <v>0</v>
      </c>
      <c r="G291" s="9">
        <f t="shared" si="38"/>
        <v>0</v>
      </c>
      <c r="H291" s="9">
        <f t="shared" si="39"/>
        <v>0</v>
      </c>
      <c r="I291" s="9">
        <f t="shared" si="40"/>
        <v>0</v>
      </c>
      <c r="J291" s="9">
        <f t="shared" si="41"/>
        <v>0</v>
      </c>
    </row>
    <row r="292" spans="1:10" x14ac:dyDescent="0.2">
      <c r="A292" s="1">
        <v>286</v>
      </c>
      <c r="B292" s="6">
        <v>0</v>
      </c>
      <c r="C292" s="8">
        <v>0</v>
      </c>
      <c r="D292" s="9">
        <f t="shared" si="35"/>
        <v>0</v>
      </c>
      <c r="E292" s="9">
        <f t="shared" si="36"/>
        <v>0</v>
      </c>
      <c r="F292" s="9">
        <f t="shared" si="37"/>
        <v>0</v>
      </c>
      <c r="G292" s="9">
        <f t="shared" si="38"/>
        <v>0</v>
      </c>
      <c r="H292" s="9">
        <f t="shared" si="39"/>
        <v>0</v>
      </c>
      <c r="I292" s="9">
        <f t="shared" si="40"/>
        <v>0</v>
      </c>
      <c r="J292" s="9">
        <f t="shared" si="41"/>
        <v>0</v>
      </c>
    </row>
    <row r="293" spans="1:10" x14ac:dyDescent="0.2">
      <c r="A293" s="1">
        <v>287</v>
      </c>
      <c r="B293" s="6">
        <v>0</v>
      </c>
      <c r="C293" s="8">
        <v>0</v>
      </c>
      <c r="D293" s="9">
        <f t="shared" si="35"/>
        <v>0</v>
      </c>
      <c r="E293" s="9">
        <f t="shared" si="36"/>
        <v>0</v>
      </c>
      <c r="F293" s="9">
        <f t="shared" si="37"/>
        <v>0</v>
      </c>
      <c r="G293" s="9">
        <f t="shared" si="38"/>
        <v>0</v>
      </c>
      <c r="H293" s="9">
        <f t="shared" si="39"/>
        <v>0</v>
      </c>
      <c r="I293" s="9">
        <f t="shared" si="40"/>
        <v>0</v>
      </c>
      <c r="J293" s="9">
        <f t="shared" si="41"/>
        <v>0</v>
      </c>
    </row>
    <row r="294" spans="1:10" x14ac:dyDescent="0.2">
      <c r="A294" s="1">
        <v>288</v>
      </c>
      <c r="B294" s="6">
        <v>0</v>
      </c>
      <c r="C294" s="8">
        <v>0</v>
      </c>
      <c r="D294" s="9">
        <f t="shared" si="35"/>
        <v>0</v>
      </c>
      <c r="E294" s="9">
        <f t="shared" si="36"/>
        <v>0</v>
      </c>
      <c r="F294" s="9">
        <f t="shared" si="37"/>
        <v>0</v>
      </c>
      <c r="G294" s="9">
        <f t="shared" si="38"/>
        <v>0</v>
      </c>
      <c r="H294" s="9">
        <f t="shared" si="39"/>
        <v>0</v>
      </c>
      <c r="I294" s="9">
        <f t="shared" si="40"/>
        <v>0</v>
      </c>
      <c r="J294" s="9">
        <f t="shared" si="41"/>
        <v>0</v>
      </c>
    </row>
    <row r="295" spans="1:10" x14ac:dyDescent="0.2">
      <c r="A295" s="1">
        <v>289</v>
      </c>
      <c r="B295" s="6">
        <v>0</v>
      </c>
      <c r="C295" s="8">
        <v>0</v>
      </c>
      <c r="D295" s="9">
        <f t="shared" si="35"/>
        <v>0</v>
      </c>
      <c r="E295" s="9">
        <f t="shared" si="36"/>
        <v>0</v>
      </c>
      <c r="F295" s="9">
        <f t="shared" si="37"/>
        <v>0</v>
      </c>
      <c r="G295" s="9">
        <f t="shared" si="38"/>
        <v>0</v>
      </c>
      <c r="H295" s="9">
        <f t="shared" si="39"/>
        <v>0</v>
      </c>
      <c r="I295" s="9">
        <f t="shared" si="40"/>
        <v>0</v>
      </c>
      <c r="J295" s="9">
        <f t="shared" si="41"/>
        <v>0</v>
      </c>
    </row>
    <row r="296" spans="1:10" x14ac:dyDescent="0.2">
      <c r="A296" s="1">
        <v>290</v>
      </c>
      <c r="B296" s="6">
        <v>0</v>
      </c>
      <c r="C296" s="8">
        <v>0</v>
      </c>
      <c r="D296" s="9">
        <f t="shared" si="35"/>
        <v>0</v>
      </c>
      <c r="E296" s="9">
        <f t="shared" si="36"/>
        <v>0</v>
      </c>
      <c r="F296" s="9">
        <f t="shared" si="37"/>
        <v>0</v>
      </c>
      <c r="G296" s="9">
        <f t="shared" si="38"/>
        <v>0</v>
      </c>
      <c r="H296" s="9">
        <f t="shared" si="39"/>
        <v>0</v>
      </c>
      <c r="I296" s="9">
        <f t="shared" si="40"/>
        <v>0</v>
      </c>
      <c r="J296" s="9">
        <f t="shared" si="41"/>
        <v>0</v>
      </c>
    </row>
    <row r="297" spans="1:10" x14ac:dyDescent="0.2">
      <c r="A297" s="1">
        <v>291</v>
      </c>
      <c r="B297" s="6">
        <v>0</v>
      </c>
      <c r="C297" s="8">
        <v>0</v>
      </c>
      <c r="D297" s="9">
        <f t="shared" si="35"/>
        <v>0</v>
      </c>
      <c r="E297" s="9">
        <f t="shared" si="36"/>
        <v>0</v>
      </c>
      <c r="F297" s="9">
        <f t="shared" si="37"/>
        <v>0</v>
      </c>
      <c r="G297" s="9">
        <f t="shared" si="38"/>
        <v>0</v>
      </c>
      <c r="H297" s="9">
        <f t="shared" si="39"/>
        <v>0</v>
      </c>
      <c r="I297" s="9">
        <f t="shared" si="40"/>
        <v>0</v>
      </c>
      <c r="J297" s="9">
        <f t="shared" si="41"/>
        <v>0</v>
      </c>
    </row>
    <row r="298" spans="1:10" x14ac:dyDescent="0.2">
      <c r="A298" s="1">
        <v>292</v>
      </c>
      <c r="B298" s="6">
        <v>0</v>
      </c>
      <c r="C298" s="8">
        <v>0</v>
      </c>
      <c r="D298" s="9">
        <f t="shared" si="35"/>
        <v>0</v>
      </c>
      <c r="E298" s="9">
        <f t="shared" si="36"/>
        <v>0</v>
      </c>
      <c r="F298" s="9">
        <f t="shared" si="37"/>
        <v>0</v>
      </c>
      <c r="G298" s="9">
        <f t="shared" si="38"/>
        <v>0</v>
      </c>
      <c r="H298" s="9">
        <f t="shared" si="39"/>
        <v>0</v>
      </c>
      <c r="I298" s="9">
        <f t="shared" si="40"/>
        <v>0</v>
      </c>
      <c r="J298" s="9">
        <f t="shared" si="41"/>
        <v>0</v>
      </c>
    </row>
    <row r="299" spans="1:10" x14ac:dyDescent="0.2">
      <c r="A299" s="1">
        <v>293</v>
      </c>
      <c r="B299" s="6">
        <v>0</v>
      </c>
      <c r="C299" s="8">
        <v>0</v>
      </c>
      <c r="D299" s="9">
        <f t="shared" ref="D299:D362" si="42">((B298*C299)-(B299*C298))*0.5</f>
        <v>0</v>
      </c>
      <c r="E299" s="9">
        <f t="shared" ref="E299:E362" si="43">(B299+B298)*((B298*C299)-(B299*C298))*(1/6)</f>
        <v>0</v>
      </c>
      <c r="F299" s="9">
        <f t="shared" ref="F299:F362" si="44">(C299+C298)*((B298*C299)-(B299*C298))*(1/6)</f>
        <v>0</v>
      </c>
      <c r="G299" s="9">
        <f t="shared" ref="G299:G362" si="45">(((C298*C298)+(C298*C299)+(C299*C299))*((B298*C299)-(B299*C298)))/12</f>
        <v>0</v>
      </c>
      <c r="H299" s="9">
        <f t="shared" ref="H299:H362" si="46">(((B298*B298)+(B298*B299)+(B299*B299))*((B298*C299)-(B299*C298)))/12</f>
        <v>0</v>
      </c>
      <c r="I299" s="9">
        <f t="shared" ref="I299:I362" si="47">(((B298*C299)+(2*B298*C298)+(2*B299*C299)+(B299*C298))*((B298*C299)-(B299*C298)))/24</f>
        <v>0</v>
      </c>
      <c r="J299" s="9">
        <f t="shared" ref="J299:J362" si="48">G299+H299</f>
        <v>0</v>
      </c>
    </row>
    <row r="300" spans="1:10" x14ac:dyDescent="0.2">
      <c r="A300" s="1">
        <v>294</v>
      </c>
      <c r="B300" s="6">
        <v>0</v>
      </c>
      <c r="C300" s="8">
        <v>0</v>
      </c>
      <c r="D300" s="9">
        <f t="shared" si="42"/>
        <v>0</v>
      </c>
      <c r="E300" s="9">
        <f t="shared" si="43"/>
        <v>0</v>
      </c>
      <c r="F300" s="9">
        <f t="shared" si="44"/>
        <v>0</v>
      </c>
      <c r="G300" s="9">
        <f t="shared" si="45"/>
        <v>0</v>
      </c>
      <c r="H300" s="9">
        <f t="shared" si="46"/>
        <v>0</v>
      </c>
      <c r="I300" s="9">
        <f t="shared" si="47"/>
        <v>0</v>
      </c>
      <c r="J300" s="9">
        <f t="shared" si="48"/>
        <v>0</v>
      </c>
    </row>
    <row r="301" spans="1:10" x14ac:dyDescent="0.2">
      <c r="A301" s="1">
        <v>295</v>
      </c>
      <c r="B301" s="6">
        <v>0</v>
      </c>
      <c r="C301" s="8">
        <v>0</v>
      </c>
      <c r="D301" s="9">
        <f t="shared" si="42"/>
        <v>0</v>
      </c>
      <c r="E301" s="9">
        <f t="shared" si="43"/>
        <v>0</v>
      </c>
      <c r="F301" s="9">
        <f t="shared" si="44"/>
        <v>0</v>
      </c>
      <c r="G301" s="9">
        <f t="shared" si="45"/>
        <v>0</v>
      </c>
      <c r="H301" s="9">
        <f t="shared" si="46"/>
        <v>0</v>
      </c>
      <c r="I301" s="9">
        <f t="shared" si="47"/>
        <v>0</v>
      </c>
      <c r="J301" s="9">
        <f t="shared" si="48"/>
        <v>0</v>
      </c>
    </row>
    <row r="302" spans="1:10" x14ac:dyDescent="0.2">
      <c r="A302" s="1">
        <v>296</v>
      </c>
      <c r="B302" s="6">
        <v>0</v>
      </c>
      <c r="C302" s="8">
        <v>0</v>
      </c>
      <c r="D302" s="9">
        <f t="shared" si="42"/>
        <v>0</v>
      </c>
      <c r="E302" s="9">
        <f t="shared" si="43"/>
        <v>0</v>
      </c>
      <c r="F302" s="9">
        <f t="shared" si="44"/>
        <v>0</v>
      </c>
      <c r="G302" s="9">
        <f t="shared" si="45"/>
        <v>0</v>
      </c>
      <c r="H302" s="9">
        <f t="shared" si="46"/>
        <v>0</v>
      </c>
      <c r="I302" s="9">
        <f t="shared" si="47"/>
        <v>0</v>
      </c>
      <c r="J302" s="9">
        <f t="shared" si="48"/>
        <v>0</v>
      </c>
    </row>
    <row r="303" spans="1:10" x14ac:dyDescent="0.2">
      <c r="A303" s="1">
        <v>297</v>
      </c>
      <c r="B303" s="6">
        <v>0</v>
      </c>
      <c r="C303" s="8">
        <v>0</v>
      </c>
      <c r="D303" s="9">
        <f t="shared" si="42"/>
        <v>0</v>
      </c>
      <c r="E303" s="9">
        <f t="shared" si="43"/>
        <v>0</v>
      </c>
      <c r="F303" s="9">
        <f t="shared" si="44"/>
        <v>0</v>
      </c>
      <c r="G303" s="9">
        <f t="shared" si="45"/>
        <v>0</v>
      </c>
      <c r="H303" s="9">
        <f t="shared" si="46"/>
        <v>0</v>
      </c>
      <c r="I303" s="9">
        <f t="shared" si="47"/>
        <v>0</v>
      </c>
      <c r="J303" s="9">
        <f t="shared" si="48"/>
        <v>0</v>
      </c>
    </row>
    <row r="304" spans="1:10" x14ac:dyDescent="0.2">
      <c r="A304" s="1">
        <v>298</v>
      </c>
      <c r="B304" s="6">
        <v>0</v>
      </c>
      <c r="C304" s="8">
        <v>0</v>
      </c>
      <c r="D304" s="9">
        <f t="shared" si="42"/>
        <v>0</v>
      </c>
      <c r="E304" s="9">
        <f t="shared" si="43"/>
        <v>0</v>
      </c>
      <c r="F304" s="9">
        <f t="shared" si="44"/>
        <v>0</v>
      </c>
      <c r="G304" s="9">
        <f t="shared" si="45"/>
        <v>0</v>
      </c>
      <c r="H304" s="9">
        <f t="shared" si="46"/>
        <v>0</v>
      </c>
      <c r="I304" s="9">
        <f t="shared" si="47"/>
        <v>0</v>
      </c>
      <c r="J304" s="9">
        <f t="shared" si="48"/>
        <v>0</v>
      </c>
    </row>
    <row r="305" spans="1:10" x14ac:dyDescent="0.2">
      <c r="A305" s="1">
        <v>299</v>
      </c>
      <c r="B305" s="6">
        <v>0</v>
      </c>
      <c r="C305" s="8">
        <v>0</v>
      </c>
      <c r="D305" s="9">
        <f t="shared" si="42"/>
        <v>0</v>
      </c>
      <c r="E305" s="9">
        <f t="shared" si="43"/>
        <v>0</v>
      </c>
      <c r="F305" s="9">
        <f t="shared" si="44"/>
        <v>0</v>
      </c>
      <c r="G305" s="9">
        <f t="shared" si="45"/>
        <v>0</v>
      </c>
      <c r="H305" s="9">
        <f t="shared" si="46"/>
        <v>0</v>
      </c>
      <c r="I305" s="9">
        <f t="shared" si="47"/>
        <v>0</v>
      </c>
      <c r="J305" s="9">
        <f t="shared" si="48"/>
        <v>0</v>
      </c>
    </row>
    <row r="306" spans="1:10" x14ac:dyDescent="0.2">
      <c r="A306" s="1">
        <v>300</v>
      </c>
      <c r="B306" s="6">
        <v>0</v>
      </c>
      <c r="C306" s="8">
        <v>0</v>
      </c>
      <c r="D306" s="9">
        <f t="shared" si="42"/>
        <v>0</v>
      </c>
      <c r="E306" s="9">
        <f t="shared" si="43"/>
        <v>0</v>
      </c>
      <c r="F306" s="9">
        <f t="shared" si="44"/>
        <v>0</v>
      </c>
      <c r="G306" s="9">
        <f t="shared" si="45"/>
        <v>0</v>
      </c>
      <c r="H306" s="9">
        <f t="shared" si="46"/>
        <v>0</v>
      </c>
      <c r="I306" s="9">
        <f t="shared" si="47"/>
        <v>0</v>
      </c>
      <c r="J306" s="9">
        <f t="shared" si="48"/>
        <v>0</v>
      </c>
    </row>
    <row r="307" spans="1:10" x14ac:dyDescent="0.2">
      <c r="A307" s="1">
        <v>301</v>
      </c>
      <c r="B307" s="6">
        <v>0</v>
      </c>
      <c r="C307" s="8">
        <v>0</v>
      </c>
      <c r="D307" s="9">
        <f t="shared" si="42"/>
        <v>0</v>
      </c>
      <c r="E307" s="9">
        <f t="shared" si="43"/>
        <v>0</v>
      </c>
      <c r="F307" s="9">
        <f t="shared" si="44"/>
        <v>0</v>
      </c>
      <c r="G307" s="9">
        <f t="shared" si="45"/>
        <v>0</v>
      </c>
      <c r="H307" s="9">
        <f t="shared" si="46"/>
        <v>0</v>
      </c>
      <c r="I307" s="9">
        <f t="shared" si="47"/>
        <v>0</v>
      </c>
      <c r="J307" s="9">
        <f t="shared" si="48"/>
        <v>0</v>
      </c>
    </row>
    <row r="308" spans="1:10" x14ac:dyDescent="0.2">
      <c r="A308" s="1">
        <v>302</v>
      </c>
      <c r="B308" s="6">
        <v>0</v>
      </c>
      <c r="C308" s="8">
        <v>0</v>
      </c>
      <c r="D308" s="9">
        <f t="shared" si="42"/>
        <v>0</v>
      </c>
      <c r="E308" s="9">
        <f t="shared" si="43"/>
        <v>0</v>
      </c>
      <c r="F308" s="9">
        <f t="shared" si="44"/>
        <v>0</v>
      </c>
      <c r="G308" s="9">
        <f t="shared" si="45"/>
        <v>0</v>
      </c>
      <c r="H308" s="9">
        <f t="shared" si="46"/>
        <v>0</v>
      </c>
      <c r="I308" s="9">
        <f t="shared" si="47"/>
        <v>0</v>
      </c>
      <c r="J308" s="9">
        <f t="shared" si="48"/>
        <v>0</v>
      </c>
    </row>
    <row r="309" spans="1:10" x14ac:dyDescent="0.2">
      <c r="A309" s="1">
        <v>303</v>
      </c>
      <c r="B309" s="6">
        <v>0</v>
      </c>
      <c r="C309" s="8">
        <v>0</v>
      </c>
      <c r="D309" s="9">
        <f t="shared" si="42"/>
        <v>0</v>
      </c>
      <c r="E309" s="9">
        <f t="shared" si="43"/>
        <v>0</v>
      </c>
      <c r="F309" s="9">
        <f t="shared" si="44"/>
        <v>0</v>
      </c>
      <c r="G309" s="9">
        <f t="shared" si="45"/>
        <v>0</v>
      </c>
      <c r="H309" s="9">
        <f t="shared" si="46"/>
        <v>0</v>
      </c>
      <c r="I309" s="9">
        <f t="shared" si="47"/>
        <v>0</v>
      </c>
      <c r="J309" s="9">
        <f t="shared" si="48"/>
        <v>0</v>
      </c>
    </row>
    <row r="310" spans="1:10" x14ac:dyDescent="0.2">
      <c r="A310" s="1">
        <v>304</v>
      </c>
      <c r="B310" s="6">
        <v>0</v>
      </c>
      <c r="C310" s="8">
        <v>0</v>
      </c>
      <c r="D310" s="9">
        <f t="shared" si="42"/>
        <v>0</v>
      </c>
      <c r="E310" s="9">
        <f t="shared" si="43"/>
        <v>0</v>
      </c>
      <c r="F310" s="9">
        <f t="shared" si="44"/>
        <v>0</v>
      </c>
      <c r="G310" s="9">
        <f t="shared" si="45"/>
        <v>0</v>
      </c>
      <c r="H310" s="9">
        <f t="shared" si="46"/>
        <v>0</v>
      </c>
      <c r="I310" s="9">
        <f t="shared" si="47"/>
        <v>0</v>
      </c>
      <c r="J310" s="9">
        <f t="shared" si="48"/>
        <v>0</v>
      </c>
    </row>
    <row r="311" spans="1:10" x14ac:dyDescent="0.2">
      <c r="A311" s="1">
        <v>305</v>
      </c>
      <c r="B311" s="6">
        <v>0</v>
      </c>
      <c r="C311" s="8">
        <v>0</v>
      </c>
      <c r="D311" s="9">
        <f t="shared" si="42"/>
        <v>0</v>
      </c>
      <c r="E311" s="9">
        <f t="shared" si="43"/>
        <v>0</v>
      </c>
      <c r="F311" s="9">
        <f t="shared" si="44"/>
        <v>0</v>
      </c>
      <c r="G311" s="9">
        <f t="shared" si="45"/>
        <v>0</v>
      </c>
      <c r="H311" s="9">
        <f t="shared" si="46"/>
        <v>0</v>
      </c>
      <c r="I311" s="9">
        <f t="shared" si="47"/>
        <v>0</v>
      </c>
      <c r="J311" s="9">
        <f t="shared" si="48"/>
        <v>0</v>
      </c>
    </row>
    <row r="312" spans="1:10" x14ac:dyDescent="0.2">
      <c r="A312" s="1">
        <v>306</v>
      </c>
      <c r="B312" s="6">
        <v>0</v>
      </c>
      <c r="C312" s="8">
        <v>0</v>
      </c>
      <c r="D312" s="9">
        <f t="shared" si="42"/>
        <v>0</v>
      </c>
      <c r="E312" s="9">
        <f t="shared" si="43"/>
        <v>0</v>
      </c>
      <c r="F312" s="9">
        <f t="shared" si="44"/>
        <v>0</v>
      </c>
      <c r="G312" s="9">
        <f t="shared" si="45"/>
        <v>0</v>
      </c>
      <c r="H312" s="9">
        <f t="shared" si="46"/>
        <v>0</v>
      </c>
      <c r="I312" s="9">
        <f t="shared" si="47"/>
        <v>0</v>
      </c>
      <c r="J312" s="9">
        <f t="shared" si="48"/>
        <v>0</v>
      </c>
    </row>
    <row r="313" spans="1:10" x14ac:dyDescent="0.2">
      <c r="A313" s="1">
        <v>307</v>
      </c>
      <c r="B313" s="6">
        <v>0</v>
      </c>
      <c r="C313" s="8">
        <v>0</v>
      </c>
      <c r="D313" s="9">
        <f t="shared" si="42"/>
        <v>0</v>
      </c>
      <c r="E313" s="9">
        <f t="shared" si="43"/>
        <v>0</v>
      </c>
      <c r="F313" s="9">
        <f t="shared" si="44"/>
        <v>0</v>
      </c>
      <c r="G313" s="9">
        <f t="shared" si="45"/>
        <v>0</v>
      </c>
      <c r="H313" s="9">
        <f t="shared" si="46"/>
        <v>0</v>
      </c>
      <c r="I313" s="9">
        <f t="shared" si="47"/>
        <v>0</v>
      </c>
      <c r="J313" s="9">
        <f t="shared" si="48"/>
        <v>0</v>
      </c>
    </row>
    <row r="314" spans="1:10" x14ac:dyDescent="0.2">
      <c r="A314" s="1">
        <v>308</v>
      </c>
      <c r="B314" s="6">
        <v>0</v>
      </c>
      <c r="C314" s="8">
        <v>0</v>
      </c>
      <c r="D314" s="9">
        <f t="shared" si="42"/>
        <v>0</v>
      </c>
      <c r="E314" s="9">
        <f t="shared" si="43"/>
        <v>0</v>
      </c>
      <c r="F314" s="9">
        <f t="shared" si="44"/>
        <v>0</v>
      </c>
      <c r="G314" s="9">
        <f t="shared" si="45"/>
        <v>0</v>
      </c>
      <c r="H314" s="9">
        <f t="shared" si="46"/>
        <v>0</v>
      </c>
      <c r="I314" s="9">
        <f t="shared" si="47"/>
        <v>0</v>
      </c>
      <c r="J314" s="9">
        <f t="shared" si="48"/>
        <v>0</v>
      </c>
    </row>
    <row r="315" spans="1:10" x14ac:dyDescent="0.2">
      <c r="A315" s="1">
        <v>309</v>
      </c>
      <c r="B315" s="6">
        <v>0</v>
      </c>
      <c r="C315" s="8">
        <v>0</v>
      </c>
      <c r="D315" s="9">
        <f t="shared" si="42"/>
        <v>0</v>
      </c>
      <c r="E315" s="9">
        <f t="shared" si="43"/>
        <v>0</v>
      </c>
      <c r="F315" s="9">
        <f t="shared" si="44"/>
        <v>0</v>
      </c>
      <c r="G315" s="9">
        <f t="shared" si="45"/>
        <v>0</v>
      </c>
      <c r="H315" s="9">
        <f t="shared" si="46"/>
        <v>0</v>
      </c>
      <c r="I315" s="9">
        <f t="shared" si="47"/>
        <v>0</v>
      </c>
      <c r="J315" s="9">
        <f t="shared" si="48"/>
        <v>0</v>
      </c>
    </row>
    <row r="316" spans="1:10" x14ac:dyDescent="0.2">
      <c r="A316" s="1">
        <v>310</v>
      </c>
      <c r="B316" s="6">
        <v>0</v>
      </c>
      <c r="C316" s="8">
        <v>0</v>
      </c>
      <c r="D316" s="9">
        <f t="shared" si="42"/>
        <v>0</v>
      </c>
      <c r="E316" s="9">
        <f t="shared" si="43"/>
        <v>0</v>
      </c>
      <c r="F316" s="9">
        <f t="shared" si="44"/>
        <v>0</v>
      </c>
      <c r="G316" s="9">
        <f t="shared" si="45"/>
        <v>0</v>
      </c>
      <c r="H316" s="9">
        <f t="shared" si="46"/>
        <v>0</v>
      </c>
      <c r="I316" s="9">
        <f t="shared" si="47"/>
        <v>0</v>
      </c>
      <c r="J316" s="9">
        <f t="shared" si="48"/>
        <v>0</v>
      </c>
    </row>
    <row r="317" spans="1:10" x14ac:dyDescent="0.2">
      <c r="A317" s="1">
        <v>311</v>
      </c>
      <c r="B317" s="6">
        <v>0</v>
      </c>
      <c r="C317" s="8">
        <v>0</v>
      </c>
      <c r="D317" s="9">
        <f t="shared" si="42"/>
        <v>0</v>
      </c>
      <c r="E317" s="9">
        <f t="shared" si="43"/>
        <v>0</v>
      </c>
      <c r="F317" s="9">
        <f t="shared" si="44"/>
        <v>0</v>
      </c>
      <c r="G317" s="9">
        <f t="shared" si="45"/>
        <v>0</v>
      </c>
      <c r="H317" s="9">
        <f t="shared" si="46"/>
        <v>0</v>
      </c>
      <c r="I317" s="9">
        <f t="shared" si="47"/>
        <v>0</v>
      </c>
      <c r="J317" s="9">
        <f t="shared" si="48"/>
        <v>0</v>
      </c>
    </row>
    <row r="318" spans="1:10" x14ac:dyDescent="0.2">
      <c r="A318" s="1">
        <v>312</v>
      </c>
      <c r="B318" s="6">
        <v>0</v>
      </c>
      <c r="C318" s="8">
        <v>0</v>
      </c>
      <c r="D318" s="9">
        <f t="shared" si="42"/>
        <v>0</v>
      </c>
      <c r="E318" s="9">
        <f t="shared" si="43"/>
        <v>0</v>
      </c>
      <c r="F318" s="9">
        <f t="shared" si="44"/>
        <v>0</v>
      </c>
      <c r="G318" s="9">
        <f t="shared" si="45"/>
        <v>0</v>
      </c>
      <c r="H318" s="9">
        <f t="shared" si="46"/>
        <v>0</v>
      </c>
      <c r="I318" s="9">
        <f t="shared" si="47"/>
        <v>0</v>
      </c>
      <c r="J318" s="9">
        <f t="shared" si="48"/>
        <v>0</v>
      </c>
    </row>
    <row r="319" spans="1:10" x14ac:dyDescent="0.2">
      <c r="A319" s="1">
        <v>313</v>
      </c>
      <c r="B319" s="6">
        <v>0</v>
      </c>
      <c r="C319" s="8">
        <v>0</v>
      </c>
      <c r="D319" s="9">
        <f t="shared" si="42"/>
        <v>0</v>
      </c>
      <c r="E319" s="9">
        <f t="shared" si="43"/>
        <v>0</v>
      </c>
      <c r="F319" s="9">
        <f t="shared" si="44"/>
        <v>0</v>
      </c>
      <c r="G319" s="9">
        <f t="shared" si="45"/>
        <v>0</v>
      </c>
      <c r="H319" s="9">
        <f t="shared" si="46"/>
        <v>0</v>
      </c>
      <c r="I319" s="9">
        <f t="shared" si="47"/>
        <v>0</v>
      </c>
      <c r="J319" s="9">
        <f t="shared" si="48"/>
        <v>0</v>
      </c>
    </row>
    <row r="320" spans="1:10" x14ac:dyDescent="0.2">
      <c r="A320" s="1">
        <v>314</v>
      </c>
      <c r="B320" s="6">
        <v>0</v>
      </c>
      <c r="C320" s="8">
        <v>0</v>
      </c>
      <c r="D320" s="9">
        <f t="shared" si="42"/>
        <v>0</v>
      </c>
      <c r="E320" s="9">
        <f t="shared" si="43"/>
        <v>0</v>
      </c>
      <c r="F320" s="9">
        <f t="shared" si="44"/>
        <v>0</v>
      </c>
      <c r="G320" s="9">
        <f t="shared" si="45"/>
        <v>0</v>
      </c>
      <c r="H320" s="9">
        <f t="shared" si="46"/>
        <v>0</v>
      </c>
      <c r="I320" s="9">
        <f t="shared" si="47"/>
        <v>0</v>
      </c>
      <c r="J320" s="9">
        <f t="shared" si="48"/>
        <v>0</v>
      </c>
    </row>
    <row r="321" spans="1:10" x14ac:dyDescent="0.2">
      <c r="A321" s="1">
        <v>315</v>
      </c>
      <c r="B321" s="6">
        <v>0</v>
      </c>
      <c r="C321" s="8">
        <v>0</v>
      </c>
      <c r="D321" s="9">
        <f t="shared" si="42"/>
        <v>0</v>
      </c>
      <c r="E321" s="9">
        <f t="shared" si="43"/>
        <v>0</v>
      </c>
      <c r="F321" s="9">
        <f t="shared" si="44"/>
        <v>0</v>
      </c>
      <c r="G321" s="9">
        <f t="shared" si="45"/>
        <v>0</v>
      </c>
      <c r="H321" s="9">
        <f t="shared" si="46"/>
        <v>0</v>
      </c>
      <c r="I321" s="9">
        <f t="shared" si="47"/>
        <v>0</v>
      </c>
      <c r="J321" s="9">
        <f t="shared" si="48"/>
        <v>0</v>
      </c>
    </row>
    <row r="322" spans="1:10" x14ac:dyDescent="0.2">
      <c r="A322" s="1">
        <v>316</v>
      </c>
      <c r="B322" s="6">
        <v>0</v>
      </c>
      <c r="C322" s="8">
        <v>0</v>
      </c>
      <c r="D322" s="9">
        <f t="shared" si="42"/>
        <v>0</v>
      </c>
      <c r="E322" s="9">
        <f t="shared" si="43"/>
        <v>0</v>
      </c>
      <c r="F322" s="9">
        <f t="shared" si="44"/>
        <v>0</v>
      </c>
      <c r="G322" s="9">
        <f t="shared" si="45"/>
        <v>0</v>
      </c>
      <c r="H322" s="9">
        <f t="shared" si="46"/>
        <v>0</v>
      </c>
      <c r="I322" s="9">
        <f t="shared" si="47"/>
        <v>0</v>
      </c>
      <c r="J322" s="9">
        <f t="shared" si="48"/>
        <v>0</v>
      </c>
    </row>
    <row r="323" spans="1:10" x14ac:dyDescent="0.2">
      <c r="A323" s="1">
        <v>317</v>
      </c>
      <c r="B323" s="6">
        <v>0</v>
      </c>
      <c r="C323" s="8">
        <v>0</v>
      </c>
      <c r="D323" s="9">
        <f t="shared" si="42"/>
        <v>0</v>
      </c>
      <c r="E323" s="9">
        <f t="shared" si="43"/>
        <v>0</v>
      </c>
      <c r="F323" s="9">
        <f t="shared" si="44"/>
        <v>0</v>
      </c>
      <c r="G323" s="9">
        <f t="shared" si="45"/>
        <v>0</v>
      </c>
      <c r="H323" s="9">
        <f t="shared" si="46"/>
        <v>0</v>
      </c>
      <c r="I323" s="9">
        <f t="shared" si="47"/>
        <v>0</v>
      </c>
      <c r="J323" s="9">
        <f t="shared" si="48"/>
        <v>0</v>
      </c>
    </row>
    <row r="324" spans="1:10" x14ac:dyDescent="0.2">
      <c r="A324" s="1">
        <v>318</v>
      </c>
      <c r="B324" s="6">
        <v>0</v>
      </c>
      <c r="C324" s="8">
        <v>0</v>
      </c>
      <c r="D324" s="9">
        <f t="shared" si="42"/>
        <v>0</v>
      </c>
      <c r="E324" s="9">
        <f t="shared" si="43"/>
        <v>0</v>
      </c>
      <c r="F324" s="9">
        <f t="shared" si="44"/>
        <v>0</v>
      </c>
      <c r="G324" s="9">
        <f t="shared" si="45"/>
        <v>0</v>
      </c>
      <c r="H324" s="9">
        <f t="shared" si="46"/>
        <v>0</v>
      </c>
      <c r="I324" s="9">
        <f t="shared" si="47"/>
        <v>0</v>
      </c>
      <c r="J324" s="9">
        <f t="shared" si="48"/>
        <v>0</v>
      </c>
    </row>
    <row r="325" spans="1:10" x14ac:dyDescent="0.2">
      <c r="A325" s="1">
        <v>319</v>
      </c>
      <c r="B325" s="6">
        <v>0</v>
      </c>
      <c r="C325" s="8">
        <v>0</v>
      </c>
      <c r="D325" s="9">
        <f t="shared" si="42"/>
        <v>0</v>
      </c>
      <c r="E325" s="9">
        <f t="shared" si="43"/>
        <v>0</v>
      </c>
      <c r="F325" s="9">
        <f t="shared" si="44"/>
        <v>0</v>
      </c>
      <c r="G325" s="9">
        <f t="shared" si="45"/>
        <v>0</v>
      </c>
      <c r="H325" s="9">
        <f t="shared" si="46"/>
        <v>0</v>
      </c>
      <c r="I325" s="9">
        <f t="shared" si="47"/>
        <v>0</v>
      </c>
      <c r="J325" s="9">
        <f t="shared" si="48"/>
        <v>0</v>
      </c>
    </row>
    <row r="326" spans="1:10" x14ac:dyDescent="0.2">
      <c r="A326" s="1">
        <v>320</v>
      </c>
      <c r="B326" s="6">
        <v>0</v>
      </c>
      <c r="C326" s="8">
        <v>0</v>
      </c>
      <c r="D326" s="9">
        <f t="shared" si="42"/>
        <v>0</v>
      </c>
      <c r="E326" s="9">
        <f t="shared" si="43"/>
        <v>0</v>
      </c>
      <c r="F326" s="9">
        <f t="shared" si="44"/>
        <v>0</v>
      </c>
      <c r="G326" s="9">
        <f t="shared" si="45"/>
        <v>0</v>
      </c>
      <c r="H326" s="9">
        <f t="shared" si="46"/>
        <v>0</v>
      </c>
      <c r="I326" s="9">
        <f t="shared" si="47"/>
        <v>0</v>
      </c>
      <c r="J326" s="9">
        <f t="shared" si="48"/>
        <v>0</v>
      </c>
    </row>
    <row r="327" spans="1:10" x14ac:dyDescent="0.2">
      <c r="A327" s="1">
        <v>321</v>
      </c>
      <c r="B327" s="6">
        <v>0</v>
      </c>
      <c r="C327" s="8">
        <v>0</v>
      </c>
      <c r="D327" s="9">
        <f t="shared" si="42"/>
        <v>0</v>
      </c>
      <c r="E327" s="9">
        <f t="shared" si="43"/>
        <v>0</v>
      </c>
      <c r="F327" s="9">
        <f t="shared" si="44"/>
        <v>0</v>
      </c>
      <c r="G327" s="9">
        <f t="shared" si="45"/>
        <v>0</v>
      </c>
      <c r="H327" s="9">
        <f t="shared" si="46"/>
        <v>0</v>
      </c>
      <c r="I327" s="9">
        <f t="shared" si="47"/>
        <v>0</v>
      </c>
      <c r="J327" s="9">
        <f t="shared" si="48"/>
        <v>0</v>
      </c>
    </row>
    <row r="328" spans="1:10" x14ac:dyDescent="0.2">
      <c r="A328" s="1">
        <v>322</v>
      </c>
      <c r="B328" s="6">
        <v>0</v>
      </c>
      <c r="C328" s="8">
        <v>0</v>
      </c>
      <c r="D328" s="9">
        <f t="shared" si="42"/>
        <v>0</v>
      </c>
      <c r="E328" s="9">
        <f t="shared" si="43"/>
        <v>0</v>
      </c>
      <c r="F328" s="9">
        <f t="shared" si="44"/>
        <v>0</v>
      </c>
      <c r="G328" s="9">
        <f t="shared" si="45"/>
        <v>0</v>
      </c>
      <c r="H328" s="9">
        <f t="shared" si="46"/>
        <v>0</v>
      </c>
      <c r="I328" s="9">
        <f t="shared" si="47"/>
        <v>0</v>
      </c>
      <c r="J328" s="9">
        <f t="shared" si="48"/>
        <v>0</v>
      </c>
    </row>
    <row r="329" spans="1:10" x14ac:dyDescent="0.2">
      <c r="A329" s="1">
        <v>323</v>
      </c>
      <c r="B329" s="6">
        <v>0</v>
      </c>
      <c r="C329" s="8">
        <v>0</v>
      </c>
      <c r="D329" s="9">
        <f t="shared" si="42"/>
        <v>0</v>
      </c>
      <c r="E329" s="9">
        <f t="shared" si="43"/>
        <v>0</v>
      </c>
      <c r="F329" s="9">
        <f t="shared" si="44"/>
        <v>0</v>
      </c>
      <c r="G329" s="9">
        <f t="shared" si="45"/>
        <v>0</v>
      </c>
      <c r="H329" s="9">
        <f t="shared" si="46"/>
        <v>0</v>
      </c>
      <c r="I329" s="9">
        <f t="shared" si="47"/>
        <v>0</v>
      </c>
      <c r="J329" s="9">
        <f t="shared" si="48"/>
        <v>0</v>
      </c>
    </row>
    <row r="330" spans="1:10" x14ac:dyDescent="0.2">
      <c r="A330" s="1">
        <v>324</v>
      </c>
      <c r="B330" s="6">
        <v>0</v>
      </c>
      <c r="C330" s="8">
        <v>0</v>
      </c>
      <c r="D330" s="9">
        <f t="shared" si="42"/>
        <v>0</v>
      </c>
      <c r="E330" s="9">
        <f t="shared" si="43"/>
        <v>0</v>
      </c>
      <c r="F330" s="9">
        <f t="shared" si="44"/>
        <v>0</v>
      </c>
      <c r="G330" s="9">
        <f t="shared" si="45"/>
        <v>0</v>
      </c>
      <c r="H330" s="9">
        <f t="shared" si="46"/>
        <v>0</v>
      </c>
      <c r="I330" s="9">
        <f t="shared" si="47"/>
        <v>0</v>
      </c>
      <c r="J330" s="9">
        <f t="shared" si="48"/>
        <v>0</v>
      </c>
    </row>
    <row r="331" spans="1:10" x14ac:dyDescent="0.2">
      <c r="A331" s="1">
        <v>325</v>
      </c>
      <c r="B331" s="6">
        <v>0</v>
      </c>
      <c r="C331" s="8">
        <v>0</v>
      </c>
      <c r="D331" s="9">
        <f t="shared" si="42"/>
        <v>0</v>
      </c>
      <c r="E331" s="9">
        <f t="shared" si="43"/>
        <v>0</v>
      </c>
      <c r="F331" s="9">
        <f t="shared" si="44"/>
        <v>0</v>
      </c>
      <c r="G331" s="9">
        <f t="shared" si="45"/>
        <v>0</v>
      </c>
      <c r="H331" s="9">
        <f t="shared" si="46"/>
        <v>0</v>
      </c>
      <c r="I331" s="9">
        <f t="shared" si="47"/>
        <v>0</v>
      </c>
      <c r="J331" s="9">
        <f t="shared" si="48"/>
        <v>0</v>
      </c>
    </row>
    <row r="332" spans="1:10" x14ac:dyDescent="0.2">
      <c r="A332" s="1">
        <v>326</v>
      </c>
      <c r="B332" s="6">
        <v>0</v>
      </c>
      <c r="C332" s="8">
        <v>0</v>
      </c>
      <c r="D332" s="9">
        <f t="shared" si="42"/>
        <v>0</v>
      </c>
      <c r="E332" s="9">
        <f t="shared" si="43"/>
        <v>0</v>
      </c>
      <c r="F332" s="9">
        <f t="shared" si="44"/>
        <v>0</v>
      </c>
      <c r="G332" s="9">
        <f t="shared" si="45"/>
        <v>0</v>
      </c>
      <c r="H332" s="9">
        <f t="shared" si="46"/>
        <v>0</v>
      </c>
      <c r="I332" s="9">
        <f t="shared" si="47"/>
        <v>0</v>
      </c>
      <c r="J332" s="9">
        <f t="shared" si="48"/>
        <v>0</v>
      </c>
    </row>
    <row r="333" spans="1:10" x14ac:dyDescent="0.2">
      <c r="A333" s="1">
        <v>327</v>
      </c>
      <c r="B333" s="6">
        <v>0</v>
      </c>
      <c r="C333" s="8">
        <v>0</v>
      </c>
      <c r="D333" s="9">
        <f t="shared" si="42"/>
        <v>0</v>
      </c>
      <c r="E333" s="9">
        <f t="shared" si="43"/>
        <v>0</v>
      </c>
      <c r="F333" s="9">
        <f t="shared" si="44"/>
        <v>0</v>
      </c>
      <c r="G333" s="9">
        <f t="shared" si="45"/>
        <v>0</v>
      </c>
      <c r="H333" s="9">
        <f t="shared" si="46"/>
        <v>0</v>
      </c>
      <c r="I333" s="9">
        <f t="shared" si="47"/>
        <v>0</v>
      </c>
      <c r="J333" s="9">
        <f t="shared" si="48"/>
        <v>0</v>
      </c>
    </row>
    <row r="334" spans="1:10" x14ac:dyDescent="0.2">
      <c r="A334" s="1">
        <v>328</v>
      </c>
      <c r="B334" s="6">
        <v>0</v>
      </c>
      <c r="C334" s="8">
        <v>0</v>
      </c>
      <c r="D334" s="9">
        <f t="shared" si="42"/>
        <v>0</v>
      </c>
      <c r="E334" s="9">
        <f t="shared" si="43"/>
        <v>0</v>
      </c>
      <c r="F334" s="9">
        <f t="shared" si="44"/>
        <v>0</v>
      </c>
      <c r="G334" s="9">
        <f t="shared" si="45"/>
        <v>0</v>
      </c>
      <c r="H334" s="9">
        <f t="shared" si="46"/>
        <v>0</v>
      </c>
      <c r="I334" s="9">
        <f t="shared" si="47"/>
        <v>0</v>
      </c>
      <c r="J334" s="9">
        <f t="shared" si="48"/>
        <v>0</v>
      </c>
    </row>
    <row r="335" spans="1:10" x14ac:dyDescent="0.2">
      <c r="A335" s="1">
        <v>329</v>
      </c>
      <c r="B335" s="6">
        <v>0</v>
      </c>
      <c r="C335" s="8">
        <v>0</v>
      </c>
      <c r="D335" s="9">
        <f t="shared" si="42"/>
        <v>0</v>
      </c>
      <c r="E335" s="9">
        <f t="shared" si="43"/>
        <v>0</v>
      </c>
      <c r="F335" s="9">
        <f t="shared" si="44"/>
        <v>0</v>
      </c>
      <c r="G335" s="9">
        <f t="shared" si="45"/>
        <v>0</v>
      </c>
      <c r="H335" s="9">
        <f t="shared" si="46"/>
        <v>0</v>
      </c>
      <c r="I335" s="9">
        <f t="shared" si="47"/>
        <v>0</v>
      </c>
      <c r="J335" s="9">
        <f t="shared" si="48"/>
        <v>0</v>
      </c>
    </row>
    <row r="336" spans="1:10" x14ac:dyDescent="0.2">
      <c r="A336" s="1">
        <v>330</v>
      </c>
      <c r="B336" s="6">
        <v>0</v>
      </c>
      <c r="C336" s="8">
        <v>0</v>
      </c>
      <c r="D336" s="9">
        <f t="shared" si="42"/>
        <v>0</v>
      </c>
      <c r="E336" s="9">
        <f t="shared" si="43"/>
        <v>0</v>
      </c>
      <c r="F336" s="9">
        <f t="shared" si="44"/>
        <v>0</v>
      </c>
      <c r="G336" s="9">
        <f t="shared" si="45"/>
        <v>0</v>
      </c>
      <c r="H336" s="9">
        <f t="shared" si="46"/>
        <v>0</v>
      </c>
      <c r="I336" s="9">
        <f t="shared" si="47"/>
        <v>0</v>
      </c>
      <c r="J336" s="9">
        <f t="shared" si="48"/>
        <v>0</v>
      </c>
    </row>
    <row r="337" spans="1:10" x14ac:dyDescent="0.2">
      <c r="A337" s="1">
        <v>331</v>
      </c>
      <c r="B337" s="6">
        <v>0</v>
      </c>
      <c r="C337" s="8">
        <v>0</v>
      </c>
      <c r="D337" s="9">
        <f t="shared" si="42"/>
        <v>0</v>
      </c>
      <c r="E337" s="9">
        <f t="shared" si="43"/>
        <v>0</v>
      </c>
      <c r="F337" s="9">
        <f t="shared" si="44"/>
        <v>0</v>
      </c>
      <c r="G337" s="9">
        <f t="shared" si="45"/>
        <v>0</v>
      </c>
      <c r="H337" s="9">
        <f t="shared" si="46"/>
        <v>0</v>
      </c>
      <c r="I337" s="9">
        <f t="shared" si="47"/>
        <v>0</v>
      </c>
      <c r="J337" s="9">
        <f t="shared" si="48"/>
        <v>0</v>
      </c>
    </row>
    <row r="338" spans="1:10" x14ac:dyDescent="0.2">
      <c r="A338" s="1">
        <v>332</v>
      </c>
      <c r="B338" s="6">
        <v>0</v>
      </c>
      <c r="C338" s="8">
        <v>0</v>
      </c>
      <c r="D338" s="9">
        <f t="shared" si="42"/>
        <v>0</v>
      </c>
      <c r="E338" s="9">
        <f t="shared" si="43"/>
        <v>0</v>
      </c>
      <c r="F338" s="9">
        <f t="shared" si="44"/>
        <v>0</v>
      </c>
      <c r="G338" s="9">
        <f t="shared" si="45"/>
        <v>0</v>
      </c>
      <c r="H338" s="9">
        <f t="shared" si="46"/>
        <v>0</v>
      </c>
      <c r="I338" s="9">
        <f t="shared" si="47"/>
        <v>0</v>
      </c>
      <c r="J338" s="9">
        <f t="shared" si="48"/>
        <v>0</v>
      </c>
    </row>
    <row r="339" spans="1:10" x14ac:dyDescent="0.2">
      <c r="A339" s="1">
        <v>333</v>
      </c>
      <c r="B339" s="6">
        <v>0</v>
      </c>
      <c r="C339" s="8">
        <v>0</v>
      </c>
      <c r="D339" s="9">
        <f t="shared" si="42"/>
        <v>0</v>
      </c>
      <c r="E339" s="9">
        <f t="shared" si="43"/>
        <v>0</v>
      </c>
      <c r="F339" s="9">
        <f t="shared" si="44"/>
        <v>0</v>
      </c>
      <c r="G339" s="9">
        <f t="shared" si="45"/>
        <v>0</v>
      </c>
      <c r="H339" s="9">
        <f t="shared" si="46"/>
        <v>0</v>
      </c>
      <c r="I339" s="9">
        <f t="shared" si="47"/>
        <v>0</v>
      </c>
      <c r="J339" s="9">
        <f t="shared" si="48"/>
        <v>0</v>
      </c>
    </row>
    <row r="340" spans="1:10" x14ac:dyDescent="0.2">
      <c r="A340" s="1">
        <v>334</v>
      </c>
      <c r="B340" s="6">
        <v>0</v>
      </c>
      <c r="C340" s="8">
        <v>0</v>
      </c>
      <c r="D340" s="9">
        <f t="shared" si="42"/>
        <v>0</v>
      </c>
      <c r="E340" s="9">
        <f t="shared" si="43"/>
        <v>0</v>
      </c>
      <c r="F340" s="9">
        <f t="shared" si="44"/>
        <v>0</v>
      </c>
      <c r="G340" s="9">
        <f t="shared" si="45"/>
        <v>0</v>
      </c>
      <c r="H340" s="9">
        <f t="shared" si="46"/>
        <v>0</v>
      </c>
      <c r="I340" s="9">
        <f t="shared" si="47"/>
        <v>0</v>
      </c>
      <c r="J340" s="9">
        <f t="shared" si="48"/>
        <v>0</v>
      </c>
    </row>
    <row r="341" spans="1:10" x14ac:dyDescent="0.2">
      <c r="A341" s="1">
        <v>335</v>
      </c>
      <c r="B341" s="6">
        <v>0</v>
      </c>
      <c r="C341" s="8">
        <v>0</v>
      </c>
      <c r="D341" s="9">
        <f t="shared" si="42"/>
        <v>0</v>
      </c>
      <c r="E341" s="9">
        <f t="shared" si="43"/>
        <v>0</v>
      </c>
      <c r="F341" s="9">
        <f t="shared" si="44"/>
        <v>0</v>
      </c>
      <c r="G341" s="9">
        <f t="shared" si="45"/>
        <v>0</v>
      </c>
      <c r="H341" s="9">
        <f t="shared" si="46"/>
        <v>0</v>
      </c>
      <c r="I341" s="9">
        <f t="shared" si="47"/>
        <v>0</v>
      </c>
      <c r="J341" s="9">
        <f t="shared" si="48"/>
        <v>0</v>
      </c>
    </row>
    <row r="342" spans="1:10" x14ac:dyDescent="0.2">
      <c r="A342" s="1">
        <v>336</v>
      </c>
      <c r="B342" s="6">
        <v>0</v>
      </c>
      <c r="C342" s="8">
        <v>0</v>
      </c>
      <c r="D342" s="9">
        <f t="shared" si="42"/>
        <v>0</v>
      </c>
      <c r="E342" s="9">
        <f t="shared" si="43"/>
        <v>0</v>
      </c>
      <c r="F342" s="9">
        <f t="shared" si="44"/>
        <v>0</v>
      </c>
      <c r="G342" s="9">
        <f t="shared" si="45"/>
        <v>0</v>
      </c>
      <c r="H342" s="9">
        <f t="shared" si="46"/>
        <v>0</v>
      </c>
      <c r="I342" s="9">
        <f t="shared" si="47"/>
        <v>0</v>
      </c>
      <c r="J342" s="9">
        <f t="shared" si="48"/>
        <v>0</v>
      </c>
    </row>
    <row r="343" spans="1:10" x14ac:dyDescent="0.2">
      <c r="A343" s="1">
        <v>337</v>
      </c>
      <c r="B343" s="6">
        <v>0</v>
      </c>
      <c r="C343" s="8">
        <v>0</v>
      </c>
      <c r="D343" s="9">
        <f t="shared" si="42"/>
        <v>0</v>
      </c>
      <c r="E343" s="9">
        <f t="shared" si="43"/>
        <v>0</v>
      </c>
      <c r="F343" s="9">
        <f t="shared" si="44"/>
        <v>0</v>
      </c>
      <c r="G343" s="9">
        <f t="shared" si="45"/>
        <v>0</v>
      </c>
      <c r="H343" s="9">
        <f t="shared" si="46"/>
        <v>0</v>
      </c>
      <c r="I343" s="9">
        <f t="shared" si="47"/>
        <v>0</v>
      </c>
      <c r="J343" s="9">
        <f t="shared" si="48"/>
        <v>0</v>
      </c>
    </row>
    <row r="344" spans="1:10" x14ac:dyDescent="0.2">
      <c r="A344" s="1">
        <v>338</v>
      </c>
      <c r="B344" s="6">
        <v>0</v>
      </c>
      <c r="C344" s="8">
        <v>0</v>
      </c>
      <c r="D344" s="9">
        <f t="shared" si="42"/>
        <v>0</v>
      </c>
      <c r="E344" s="9">
        <f t="shared" si="43"/>
        <v>0</v>
      </c>
      <c r="F344" s="9">
        <f t="shared" si="44"/>
        <v>0</v>
      </c>
      <c r="G344" s="9">
        <f t="shared" si="45"/>
        <v>0</v>
      </c>
      <c r="H344" s="9">
        <f t="shared" si="46"/>
        <v>0</v>
      </c>
      <c r="I344" s="9">
        <f t="shared" si="47"/>
        <v>0</v>
      </c>
      <c r="J344" s="9">
        <f t="shared" si="48"/>
        <v>0</v>
      </c>
    </row>
    <row r="345" spans="1:10" x14ac:dyDescent="0.2">
      <c r="A345" s="1">
        <v>339</v>
      </c>
      <c r="B345" s="6">
        <v>0</v>
      </c>
      <c r="C345" s="8">
        <v>0</v>
      </c>
      <c r="D345" s="9">
        <f t="shared" si="42"/>
        <v>0</v>
      </c>
      <c r="E345" s="9">
        <f t="shared" si="43"/>
        <v>0</v>
      </c>
      <c r="F345" s="9">
        <f t="shared" si="44"/>
        <v>0</v>
      </c>
      <c r="G345" s="9">
        <f t="shared" si="45"/>
        <v>0</v>
      </c>
      <c r="H345" s="9">
        <f t="shared" si="46"/>
        <v>0</v>
      </c>
      <c r="I345" s="9">
        <f t="shared" si="47"/>
        <v>0</v>
      </c>
      <c r="J345" s="9">
        <f t="shared" si="48"/>
        <v>0</v>
      </c>
    </row>
    <row r="346" spans="1:10" x14ac:dyDescent="0.2">
      <c r="A346" s="1">
        <v>340</v>
      </c>
      <c r="B346" s="6">
        <v>0</v>
      </c>
      <c r="C346" s="8">
        <v>0</v>
      </c>
      <c r="D346" s="9">
        <f t="shared" si="42"/>
        <v>0</v>
      </c>
      <c r="E346" s="9">
        <f t="shared" si="43"/>
        <v>0</v>
      </c>
      <c r="F346" s="9">
        <f t="shared" si="44"/>
        <v>0</v>
      </c>
      <c r="G346" s="9">
        <f t="shared" si="45"/>
        <v>0</v>
      </c>
      <c r="H346" s="9">
        <f t="shared" si="46"/>
        <v>0</v>
      </c>
      <c r="I346" s="9">
        <f t="shared" si="47"/>
        <v>0</v>
      </c>
      <c r="J346" s="9">
        <f t="shared" si="48"/>
        <v>0</v>
      </c>
    </row>
    <row r="347" spans="1:10" x14ac:dyDescent="0.2">
      <c r="A347" s="1">
        <v>341</v>
      </c>
      <c r="B347" s="6">
        <v>0</v>
      </c>
      <c r="C347" s="8">
        <v>0</v>
      </c>
      <c r="D347" s="9">
        <f t="shared" si="42"/>
        <v>0</v>
      </c>
      <c r="E347" s="9">
        <f t="shared" si="43"/>
        <v>0</v>
      </c>
      <c r="F347" s="9">
        <f t="shared" si="44"/>
        <v>0</v>
      </c>
      <c r="G347" s="9">
        <f t="shared" si="45"/>
        <v>0</v>
      </c>
      <c r="H347" s="9">
        <f t="shared" si="46"/>
        <v>0</v>
      </c>
      <c r="I347" s="9">
        <f t="shared" si="47"/>
        <v>0</v>
      </c>
      <c r="J347" s="9">
        <f t="shared" si="48"/>
        <v>0</v>
      </c>
    </row>
    <row r="348" spans="1:10" x14ac:dyDescent="0.2">
      <c r="A348" s="1">
        <v>342</v>
      </c>
      <c r="B348" s="6">
        <v>0</v>
      </c>
      <c r="C348" s="8">
        <v>0</v>
      </c>
      <c r="D348" s="9">
        <f t="shared" si="42"/>
        <v>0</v>
      </c>
      <c r="E348" s="9">
        <f t="shared" si="43"/>
        <v>0</v>
      </c>
      <c r="F348" s="9">
        <f t="shared" si="44"/>
        <v>0</v>
      </c>
      <c r="G348" s="9">
        <f t="shared" si="45"/>
        <v>0</v>
      </c>
      <c r="H348" s="9">
        <f t="shared" si="46"/>
        <v>0</v>
      </c>
      <c r="I348" s="9">
        <f t="shared" si="47"/>
        <v>0</v>
      </c>
      <c r="J348" s="9">
        <f t="shared" si="48"/>
        <v>0</v>
      </c>
    </row>
    <row r="349" spans="1:10" x14ac:dyDescent="0.2">
      <c r="A349" s="1">
        <v>343</v>
      </c>
      <c r="B349" s="6">
        <v>0</v>
      </c>
      <c r="C349" s="8">
        <v>0</v>
      </c>
      <c r="D349" s="9">
        <f t="shared" si="42"/>
        <v>0</v>
      </c>
      <c r="E349" s="9">
        <f t="shared" si="43"/>
        <v>0</v>
      </c>
      <c r="F349" s="9">
        <f t="shared" si="44"/>
        <v>0</v>
      </c>
      <c r="G349" s="9">
        <f t="shared" si="45"/>
        <v>0</v>
      </c>
      <c r="H349" s="9">
        <f t="shared" si="46"/>
        <v>0</v>
      </c>
      <c r="I349" s="9">
        <f t="shared" si="47"/>
        <v>0</v>
      </c>
      <c r="J349" s="9">
        <f t="shared" si="48"/>
        <v>0</v>
      </c>
    </row>
    <row r="350" spans="1:10" x14ac:dyDescent="0.2">
      <c r="A350" s="1">
        <v>344</v>
      </c>
      <c r="B350" s="6">
        <v>0</v>
      </c>
      <c r="C350" s="8">
        <v>0</v>
      </c>
      <c r="D350" s="9">
        <f t="shared" si="42"/>
        <v>0</v>
      </c>
      <c r="E350" s="9">
        <f t="shared" si="43"/>
        <v>0</v>
      </c>
      <c r="F350" s="9">
        <f t="shared" si="44"/>
        <v>0</v>
      </c>
      <c r="G350" s="9">
        <f t="shared" si="45"/>
        <v>0</v>
      </c>
      <c r="H350" s="9">
        <f t="shared" si="46"/>
        <v>0</v>
      </c>
      <c r="I350" s="9">
        <f t="shared" si="47"/>
        <v>0</v>
      </c>
      <c r="J350" s="9">
        <f t="shared" si="48"/>
        <v>0</v>
      </c>
    </row>
    <row r="351" spans="1:10" x14ac:dyDescent="0.2">
      <c r="A351" s="1">
        <v>345</v>
      </c>
      <c r="B351" s="6">
        <v>0</v>
      </c>
      <c r="C351" s="8">
        <v>0</v>
      </c>
      <c r="D351" s="9">
        <f t="shared" si="42"/>
        <v>0</v>
      </c>
      <c r="E351" s="9">
        <f t="shared" si="43"/>
        <v>0</v>
      </c>
      <c r="F351" s="9">
        <f t="shared" si="44"/>
        <v>0</v>
      </c>
      <c r="G351" s="9">
        <f t="shared" si="45"/>
        <v>0</v>
      </c>
      <c r="H351" s="9">
        <f t="shared" si="46"/>
        <v>0</v>
      </c>
      <c r="I351" s="9">
        <f t="shared" si="47"/>
        <v>0</v>
      </c>
      <c r="J351" s="9">
        <f t="shared" si="48"/>
        <v>0</v>
      </c>
    </row>
    <row r="352" spans="1:10" x14ac:dyDescent="0.2">
      <c r="A352" s="1">
        <v>346</v>
      </c>
      <c r="B352" s="6">
        <v>0</v>
      </c>
      <c r="C352" s="8">
        <v>0</v>
      </c>
      <c r="D352" s="9">
        <f t="shared" si="42"/>
        <v>0</v>
      </c>
      <c r="E352" s="9">
        <f t="shared" si="43"/>
        <v>0</v>
      </c>
      <c r="F352" s="9">
        <f t="shared" si="44"/>
        <v>0</v>
      </c>
      <c r="G352" s="9">
        <f t="shared" si="45"/>
        <v>0</v>
      </c>
      <c r="H352" s="9">
        <f t="shared" si="46"/>
        <v>0</v>
      </c>
      <c r="I352" s="9">
        <f t="shared" si="47"/>
        <v>0</v>
      </c>
      <c r="J352" s="9">
        <f t="shared" si="48"/>
        <v>0</v>
      </c>
    </row>
    <row r="353" spans="1:10" x14ac:dyDescent="0.2">
      <c r="A353" s="1">
        <v>347</v>
      </c>
      <c r="B353" s="6">
        <v>0</v>
      </c>
      <c r="C353" s="8">
        <v>0</v>
      </c>
      <c r="D353" s="9">
        <f t="shared" si="42"/>
        <v>0</v>
      </c>
      <c r="E353" s="9">
        <f t="shared" si="43"/>
        <v>0</v>
      </c>
      <c r="F353" s="9">
        <f t="shared" si="44"/>
        <v>0</v>
      </c>
      <c r="G353" s="9">
        <f t="shared" si="45"/>
        <v>0</v>
      </c>
      <c r="H353" s="9">
        <f t="shared" si="46"/>
        <v>0</v>
      </c>
      <c r="I353" s="9">
        <f t="shared" si="47"/>
        <v>0</v>
      </c>
      <c r="J353" s="9">
        <f t="shared" si="48"/>
        <v>0</v>
      </c>
    </row>
    <row r="354" spans="1:10" x14ac:dyDescent="0.2">
      <c r="A354" s="1">
        <v>348</v>
      </c>
      <c r="B354" s="6">
        <v>0</v>
      </c>
      <c r="C354" s="8">
        <v>0</v>
      </c>
      <c r="D354" s="9">
        <f t="shared" si="42"/>
        <v>0</v>
      </c>
      <c r="E354" s="9">
        <f t="shared" si="43"/>
        <v>0</v>
      </c>
      <c r="F354" s="9">
        <f t="shared" si="44"/>
        <v>0</v>
      </c>
      <c r="G354" s="9">
        <f t="shared" si="45"/>
        <v>0</v>
      </c>
      <c r="H354" s="9">
        <f t="shared" si="46"/>
        <v>0</v>
      </c>
      <c r="I354" s="9">
        <f t="shared" si="47"/>
        <v>0</v>
      </c>
      <c r="J354" s="9">
        <f t="shared" si="48"/>
        <v>0</v>
      </c>
    </row>
    <row r="355" spans="1:10" x14ac:dyDescent="0.2">
      <c r="A355" s="1">
        <v>349</v>
      </c>
      <c r="B355" s="6">
        <v>0</v>
      </c>
      <c r="C355" s="8">
        <v>0</v>
      </c>
      <c r="D355" s="9">
        <f t="shared" si="42"/>
        <v>0</v>
      </c>
      <c r="E355" s="9">
        <f t="shared" si="43"/>
        <v>0</v>
      </c>
      <c r="F355" s="9">
        <f t="shared" si="44"/>
        <v>0</v>
      </c>
      <c r="G355" s="9">
        <f t="shared" si="45"/>
        <v>0</v>
      </c>
      <c r="H355" s="9">
        <f t="shared" si="46"/>
        <v>0</v>
      </c>
      <c r="I355" s="9">
        <f t="shared" si="47"/>
        <v>0</v>
      </c>
      <c r="J355" s="9">
        <f t="shared" si="48"/>
        <v>0</v>
      </c>
    </row>
    <row r="356" spans="1:10" x14ac:dyDescent="0.2">
      <c r="A356" s="1">
        <v>350</v>
      </c>
      <c r="B356" s="6">
        <v>0</v>
      </c>
      <c r="C356" s="8">
        <v>0</v>
      </c>
      <c r="D356" s="9">
        <f t="shared" si="42"/>
        <v>0</v>
      </c>
      <c r="E356" s="9">
        <f t="shared" si="43"/>
        <v>0</v>
      </c>
      <c r="F356" s="9">
        <f t="shared" si="44"/>
        <v>0</v>
      </c>
      <c r="G356" s="9">
        <f t="shared" si="45"/>
        <v>0</v>
      </c>
      <c r="H356" s="9">
        <f t="shared" si="46"/>
        <v>0</v>
      </c>
      <c r="I356" s="9">
        <f t="shared" si="47"/>
        <v>0</v>
      </c>
      <c r="J356" s="9">
        <f t="shared" si="48"/>
        <v>0</v>
      </c>
    </row>
    <row r="357" spans="1:10" x14ac:dyDescent="0.2">
      <c r="A357" s="1">
        <v>351</v>
      </c>
      <c r="B357" s="6">
        <v>0</v>
      </c>
      <c r="C357" s="8">
        <v>0</v>
      </c>
      <c r="D357" s="9">
        <f t="shared" si="42"/>
        <v>0</v>
      </c>
      <c r="E357" s="9">
        <f t="shared" si="43"/>
        <v>0</v>
      </c>
      <c r="F357" s="9">
        <f t="shared" si="44"/>
        <v>0</v>
      </c>
      <c r="G357" s="9">
        <f t="shared" si="45"/>
        <v>0</v>
      </c>
      <c r="H357" s="9">
        <f t="shared" si="46"/>
        <v>0</v>
      </c>
      <c r="I357" s="9">
        <f t="shared" si="47"/>
        <v>0</v>
      </c>
      <c r="J357" s="9">
        <f t="shared" si="48"/>
        <v>0</v>
      </c>
    </row>
    <row r="358" spans="1:10" x14ac:dyDescent="0.2">
      <c r="A358" s="1">
        <v>352</v>
      </c>
      <c r="B358" s="6">
        <v>0</v>
      </c>
      <c r="C358" s="8">
        <v>0</v>
      </c>
      <c r="D358" s="9">
        <f t="shared" si="42"/>
        <v>0</v>
      </c>
      <c r="E358" s="9">
        <f t="shared" si="43"/>
        <v>0</v>
      </c>
      <c r="F358" s="9">
        <f t="shared" si="44"/>
        <v>0</v>
      </c>
      <c r="G358" s="9">
        <f t="shared" si="45"/>
        <v>0</v>
      </c>
      <c r="H358" s="9">
        <f t="shared" si="46"/>
        <v>0</v>
      </c>
      <c r="I358" s="9">
        <f t="shared" si="47"/>
        <v>0</v>
      </c>
      <c r="J358" s="9">
        <f t="shared" si="48"/>
        <v>0</v>
      </c>
    </row>
    <row r="359" spans="1:10" x14ac:dyDescent="0.2">
      <c r="A359" s="1">
        <v>353</v>
      </c>
      <c r="B359" s="6">
        <v>0</v>
      </c>
      <c r="C359" s="8">
        <v>0</v>
      </c>
      <c r="D359" s="9">
        <f t="shared" si="42"/>
        <v>0</v>
      </c>
      <c r="E359" s="9">
        <f t="shared" si="43"/>
        <v>0</v>
      </c>
      <c r="F359" s="9">
        <f t="shared" si="44"/>
        <v>0</v>
      </c>
      <c r="G359" s="9">
        <f t="shared" si="45"/>
        <v>0</v>
      </c>
      <c r="H359" s="9">
        <f t="shared" si="46"/>
        <v>0</v>
      </c>
      <c r="I359" s="9">
        <f t="shared" si="47"/>
        <v>0</v>
      </c>
      <c r="J359" s="9">
        <f t="shared" si="48"/>
        <v>0</v>
      </c>
    </row>
    <row r="360" spans="1:10" x14ac:dyDescent="0.2">
      <c r="A360" s="1">
        <v>354</v>
      </c>
      <c r="B360" s="6">
        <v>0</v>
      </c>
      <c r="C360" s="8">
        <v>0</v>
      </c>
      <c r="D360" s="9">
        <f t="shared" si="42"/>
        <v>0</v>
      </c>
      <c r="E360" s="9">
        <f t="shared" si="43"/>
        <v>0</v>
      </c>
      <c r="F360" s="9">
        <f t="shared" si="44"/>
        <v>0</v>
      </c>
      <c r="G360" s="9">
        <f t="shared" si="45"/>
        <v>0</v>
      </c>
      <c r="H360" s="9">
        <f t="shared" si="46"/>
        <v>0</v>
      </c>
      <c r="I360" s="9">
        <f t="shared" si="47"/>
        <v>0</v>
      </c>
      <c r="J360" s="9">
        <f t="shared" si="48"/>
        <v>0</v>
      </c>
    </row>
    <row r="361" spans="1:10" x14ac:dyDescent="0.2">
      <c r="A361" s="1">
        <v>355</v>
      </c>
      <c r="B361" s="6">
        <v>0</v>
      </c>
      <c r="C361" s="8">
        <v>0</v>
      </c>
      <c r="D361" s="9">
        <f t="shared" si="42"/>
        <v>0</v>
      </c>
      <c r="E361" s="9">
        <f t="shared" si="43"/>
        <v>0</v>
      </c>
      <c r="F361" s="9">
        <f t="shared" si="44"/>
        <v>0</v>
      </c>
      <c r="G361" s="9">
        <f t="shared" si="45"/>
        <v>0</v>
      </c>
      <c r="H361" s="9">
        <f t="shared" si="46"/>
        <v>0</v>
      </c>
      <c r="I361" s="9">
        <f t="shared" si="47"/>
        <v>0</v>
      </c>
      <c r="J361" s="9">
        <f t="shared" si="48"/>
        <v>0</v>
      </c>
    </row>
    <row r="362" spans="1:10" x14ac:dyDescent="0.2">
      <c r="A362" s="1">
        <v>356</v>
      </c>
      <c r="B362" s="6">
        <v>0</v>
      </c>
      <c r="C362" s="8">
        <v>0</v>
      </c>
      <c r="D362" s="9">
        <f t="shared" si="42"/>
        <v>0</v>
      </c>
      <c r="E362" s="9">
        <f t="shared" si="43"/>
        <v>0</v>
      </c>
      <c r="F362" s="9">
        <f t="shared" si="44"/>
        <v>0</v>
      </c>
      <c r="G362" s="9">
        <f t="shared" si="45"/>
        <v>0</v>
      </c>
      <c r="H362" s="9">
        <f t="shared" si="46"/>
        <v>0</v>
      </c>
      <c r="I362" s="9">
        <f t="shared" si="47"/>
        <v>0</v>
      </c>
      <c r="J362" s="9">
        <f t="shared" si="48"/>
        <v>0</v>
      </c>
    </row>
    <row r="363" spans="1:10" x14ac:dyDescent="0.2">
      <c r="A363" s="1">
        <v>357</v>
      </c>
      <c r="B363" s="6">
        <v>0</v>
      </c>
      <c r="C363" s="8">
        <v>0</v>
      </c>
      <c r="D363" s="9">
        <f t="shared" ref="D363:D426" si="49">((B362*C363)-(B363*C362))*0.5</f>
        <v>0</v>
      </c>
      <c r="E363" s="9">
        <f t="shared" ref="E363:E426" si="50">(B363+B362)*((B362*C363)-(B363*C362))*(1/6)</f>
        <v>0</v>
      </c>
      <c r="F363" s="9">
        <f t="shared" ref="F363:F426" si="51">(C363+C362)*((B362*C363)-(B363*C362))*(1/6)</f>
        <v>0</v>
      </c>
      <c r="G363" s="9">
        <f t="shared" ref="G363:G426" si="52">(((C362*C362)+(C362*C363)+(C363*C363))*((B362*C363)-(B363*C362)))/12</f>
        <v>0</v>
      </c>
      <c r="H363" s="9">
        <f t="shared" ref="H363:H426" si="53">(((B362*B362)+(B362*B363)+(B363*B363))*((B362*C363)-(B363*C362)))/12</f>
        <v>0</v>
      </c>
      <c r="I363" s="9">
        <f t="shared" ref="I363:I426" si="54">(((B362*C363)+(2*B362*C362)+(2*B363*C363)+(B363*C362))*((B362*C363)-(B363*C362)))/24</f>
        <v>0</v>
      </c>
      <c r="J363" s="9">
        <f t="shared" ref="J363:J426" si="55">G363+H363</f>
        <v>0</v>
      </c>
    </row>
    <row r="364" spans="1:10" x14ac:dyDescent="0.2">
      <c r="A364" s="1">
        <v>358</v>
      </c>
      <c r="B364" s="6">
        <v>0</v>
      </c>
      <c r="C364" s="8">
        <v>0</v>
      </c>
      <c r="D364" s="9">
        <f t="shared" si="49"/>
        <v>0</v>
      </c>
      <c r="E364" s="9">
        <f t="shared" si="50"/>
        <v>0</v>
      </c>
      <c r="F364" s="9">
        <f t="shared" si="51"/>
        <v>0</v>
      </c>
      <c r="G364" s="9">
        <f t="shared" si="52"/>
        <v>0</v>
      </c>
      <c r="H364" s="9">
        <f t="shared" si="53"/>
        <v>0</v>
      </c>
      <c r="I364" s="9">
        <f t="shared" si="54"/>
        <v>0</v>
      </c>
      <c r="J364" s="9">
        <f t="shared" si="55"/>
        <v>0</v>
      </c>
    </row>
    <row r="365" spans="1:10" x14ac:dyDescent="0.2">
      <c r="A365" s="1">
        <v>359</v>
      </c>
      <c r="B365" s="6">
        <v>0</v>
      </c>
      <c r="C365" s="8">
        <v>0</v>
      </c>
      <c r="D365" s="9">
        <f t="shared" si="49"/>
        <v>0</v>
      </c>
      <c r="E365" s="9">
        <f t="shared" si="50"/>
        <v>0</v>
      </c>
      <c r="F365" s="9">
        <f t="shared" si="51"/>
        <v>0</v>
      </c>
      <c r="G365" s="9">
        <f t="shared" si="52"/>
        <v>0</v>
      </c>
      <c r="H365" s="9">
        <f t="shared" si="53"/>
        <v>0</v>
      </c>
      <c r="I365" s="9">
        <f t="shared" si="54"/>
        <v>0</v>
      </c>
      <c r="J365" s="9">
        <f t="shared" si="55"/>
        <v>0</v>
      </c>
    </row>
    <row r="366" spans="1:10" x14ac:dyDescent="0.2">
      <c r="A366" s="1">
        <v>360</v>
      </c>
      <c r="B366" s="6">
        <v>0</v>
      </c>
      <c r="C366" s="8">
        <v>0</v>
      </c>
      <c r="D366" s="9">
        <f t="shared" si="49"/>
        <v>0</v>
      </c>
      <c r="E366" s="9">
        <f t="shared" si="50"/>
        <v>0</v>
      </c>
      <c r="F366" s="9">
        <f t="shared" si="51"/>
        <v>0</v>
      </c>
      <c r="G366" s="9">
        <f t="shared" si="52"/>
        <v>0</v>
      </c>
      <c r="H366" s="9">
        <f t="shared" si="53"/>
        <v>0</v>
      </c>
      <c r="I366" s="9">
        <f t="shared" si="54"/>
        <v>0</v>
      </c>
      <c r="J366" s="9">
        <f t="shared" si="55"/>
        <v>0</v>
      </c>
    </row>
    <row r="367" spans="1:10" x14ac:dyDescent="0.2">
      <c r="A367" s="1">
        <v>361</v>
      </c>
      <c r="B367" s="6">
        <v>0</v>
      </c>
      <c r="C367" s="8">
        <v>0</v>
      </c>
      <c r="D367" s="9">
        <f t="shared" si="49"/>
        <v>0</v>
      </c>
      <c r="E367" s="9">
        <f t="shared" si="50"/>
        <v>0</v>
      </c>
      <c r="F367" s="9">
        <f t="shared" si="51"/>
        <v>0</v>
      </c>
      <c r="G367" s="9">
        <f t="shared" si="52"/>
        <v>0</v>
      </c>
      <c r="H367" s="9">
        <f t="shared" si="53"/>
        <v>0</v>
      </c>
      <c r="I367" s="9">
        <f t="shared" si="54"/>
        <v>0</v>
      </c>
      <c r="J367" s="9">
        <f t="shared" si="55"/>
        <v>0</v>
      </c>
    </row>
    <row r="368" spans="1:10" x14ac:dyDescent="0.2">
      <c r="A368" s="1">
        <v>362</v>
      </c>
      <c r="B368" s="6">
        <v>0</v>
      </c>
      <c r="C368" s="8">
        <v>0</v>
      </c>
      <c r="D368" s="9">
        <f t="shared" si="49"/>
        <v>0</v>
      </c>
      <c r="E368" s="9">
        <f t="shared" si="50"/>
        <v>0</v>
      </c>
      <c r="F368" s="9">
        <f t="shared" si="51"/>
        <v>0</v>
      </c>
      <c r="G368" s="9">
        <f t="shared" si="52"/>
        <v>0</v>
      </c>
      <c r="H368" s="9">
        <f t="shared" si="53"/>
        <v>0</v>
      </c>
      <c r="I368" s="9">
        <f t="shared" si="54"/>
        <v>0</v>
      </c>
      <c r="J368" s="9">
        <f t="shared" si="55"/>
        <v>0</v>
      </c>
    </row>
    <row r="369" spans="1:10" x14ac:dyDescent="0.2">
      <c r="A369" s="1">
        <v>363</v>
      </c>
      <c r="B369" s="6">
        <v>0</v>
      </c>
      <c r="C369" s="8">
        <v>0</v>
      </c>
      <c r="D369" s="9">
        <f t="shared" si="49"/>
        <v>0</v>
      </c>
      <c r="E369" s="9">
        <f t="shared" si="50"/>
        <v>0</v>
      </c>
      <c r="F369" s="9">
        <f t="shared" si="51"/>
        <v>0</v>
      </c>
      <c r="G369" s="9">
        <f t="shared" si="52"/>
        <v>0</v>
      </c>
      <c r="H369" s="9">
        <f t="shared" si="53"/>
        <v>0</v>
      </c>
      <c r="I369" s="9">
        <f t="shared" si="54"/>
        <v>0</v>
      </c>
      <c r="J369" s="9">
        <f t="shared" si="55"/>
        <v>0</v>
      </c>
    </row>
    <row r="370" spans="1:10" x14ac:dyDescent="0.2">
      <c r="A370" s="1">
        <v>364</v>
      </c>
      <c r="B370" s="6">
        <v>0</v>
      </c>
      <c r="C370" s="8">
        <v>0</v>
      </c>
      <c r="D370" s="9">
        <f t="shared" si="49"/>
        <v>0</v>
      </c>
      <c r="E370" s="9">
        <f t="shared" si="50"/>
        <v>0</v>
      </c>
      <c r="F370" s="9">
        <f t="shared" si="51"/>
        <v>0</v>
      </c>
      <c r="G370" s="9">
        <f t="shared" si="52"/>
        <v>0</v>
      </c>
      <c r="H370" s="9">
        <f t="shared" si="53"/>
        <v>0</v>
      </c>
      <c r="I370" s="9">
        <f t="shared" si="54"/>
        <v>0</v>
      </c>
      <c r="J370" s="9">
        <f t="shared" si="55"/>
        <v>0</v>
      </c>
    </row>
    <row r="371" spans="1:10" x14ac:dyDescent="0.2">
      <c r="A371" s="1">
        <v>365</v>
      </c>
      <c r="B371" s="6">
        <v>0</v>
      </c>
      <c r="C371" s="8">
        <v>0</v>
      </c>
      <c r="D371" s="9">
        <f t="shared" si="49"/>
        <v>0</v>
      </c>
      <c r="E371" s="9">
        <f t="shared" si="50"/>
        <v>0</v>
      </c>
      <c r="F371" s="9">
        <f t="shared" si="51"/>
        <v>0</v>
      </c>
      <c r="G371" s="9">
        <f t="shared" si="52"/>
        <v>0</v>
      </c>
      <c r="H371" s="9">
        <f t="shared" si="53"/>
        <v>0</v>
      </c>
      <c r="I371" s="9">
        <f t="shared" si="54"/>
        <v>0</v>
      </c>
      <c r="J371" s="9">
        <f t="shared" si="55"/>
        <v>0</v>
      </c>
    </row>
    <row r="372" spans="1:10" x14ac:dyDescent="0.2">
      <c r="A372" s="1">
        <v>366</v>
      </c>
      <c r="B372" s="6">
        <v>0</v>
      </c>
      <c r="C372" s="8">
        <v>0</v>
      </c>
      <c r="D372" s="9">
        <f t="shared" si="49"/>
        <v>0</v>
      </c>
      <c r="E372" s="9">
        <f t="shared" si="50"/>
        <v>0</v>
      </c>
      <c r="F372" s="9">
        <f t="shared" si="51"/>
        <v>0</v>
      </c>
      <c r="G372" s="9">
        <f t="shared" si="52"/>
        <v>0</v>
      </c>
      <c r="H372" s="9">
        <f t="shared" si="53"/>
        <v>0</v>
      </c>
      <c r="I372" s="9">
        <f t="shared" si="54"/>
        <v>0</v>
      </c>
      <c r="J372" s="9">
        <f t="shared" si="55"/>
        <v>0</v>
      </c>
    </row>
    <row r="373" spans="1:10" x14ac:dyDescent="0.2">
      <c r="A373" s="1">
        <v>367</v>
      </c>
      <c r="B373" s="6">
        <v>0</v>
      </c>
      <c r="C373" s="8">
        <v>0</v>
      </c>
      <c r="D373" s="9">
        <f t="shared" si="49"/>
        <v>0</v>
      </c>
      <c r="E373" s="9">
        <f t="shared" si="50"/>
        <v>0</v>
      </c>
      <c r="F373" s="9">
        <f t="shared" si="51"/>
        <v>0</v>
      </c>
      <c r="G373" s="9">
        <f t="shared" si="52"/>
        <v>0</v>
      </c>
      <c r="H373" s="9">
        <f t="shared" si="53"/>
        <v>0</v>
      </c>
      <c r="I373" s="9">
        <f t="shared" si="54"/>
        <v>0</v>
      </c>
      <c r="J373" s="9">
        <f t="shared" si="55"/>
        <v>0</v>
      </c>
    </row>
    <row r="374" spans="1:10" x14ac:dyDescent="0.2">
      <c r="A374" s="1">
        <v>368</v>
      </c>
      <c r="B374" s="6">
        <v>0</v>
      </c>
      <c r="C374" s="8">
        <v>0</v>
      </c>
      <c r="D374" s="9">
        <f t="shared" si="49"/>
        <v>0</v>
      </c>
      <c r="E374" s="9">
        <f t="shared" si="50"/>
        <v>0</v>
      </c>
      <c r="F374" s="9">
        <f t="shared" si="51"/>
        <v>0</v>
      </c>
      <c r="G374" s="9">
        <f t="shared" si="52"/>
        <v>0</v>
      </c>
      <c r="H374" s="9">
        <f t="shared" si="53"/>
        <v>0</v>
      </c>
      <c r="I374" s="9">
        <f t="shared" si="54"/>
        <v>0</v>
      </c>
      <c r="J374" s="9">
        <f t="shared" si="55"/>
        <v>0</v>
      </c>
    </row>
    <row r="375" spans="1:10" x14ac:dyDescent="0.2">
      <c r="A375" s="1">
        <v>369</v>
      </c>
      <c r="B375" s="6">
        <v>0</v>
      </c>
      <c r="C375" s="8">
        <v>0</v>
      </c>
      <c r="D375" s="9">
        <f t="shared" si="49"/>
        <v>0</v>
      </c>
      <c r="E375" s="9">
        <f t="shared" si="50"/>
        <v>0</v>
      </c>
      <c r="F375" s="9">
        <f t="shared" si="51"/>
        <v>0</v>
      </c>
      <c r="G375" s="9">
        <f t="shared" si="52"/>
        <v>0</v>
      </c>
      <c r="H375" s="9">
        <f t="shared" si="53"/>
        <v>0</v>
      </c>
      <c r="I375" s="9">
        <f t="shared" si="54"/>
        <v>0</v>
      </c>
      <c r="J375" s="9">
        <f t="shared" si="55"/>
        <v>0</v>
      </c>
    </row>
    <row r="376" spans="1:10" x14ac:dyDescent="0.2">
      <c r="A376" s="1">
        <v>370</v>
      </c>
      <c r="B376" s="6">
        <v>0</v>
      </c>
      <c r="C376" s="8">
        <v>0</v>
      </c>
      <c r="D376" s="9">
        <f t="shared" si="49"/>
        <v>0</v>
      </c>
      <c r="E376" s="9">
        <f t="shared" si="50"/>
        <v>0</v>
      </c>
      <c r="F376" s="9">
        <f t="shared" si="51"/>
        <v>0</v>
      </c>
      <c r="G376" s="9">
        <f t="shared" si="52"/>
        <v>0</v>
      </c>
      <c r="H376" s="9">
        <f t="shared" si="53"/>
        <v>0</v>
      </c>
      <c r="I376" s="9">
        <f t="shared" si="54"/>
        <v>0</v>
      </c>
      <c r="J376" s="9">
        <f t="shared" si="55"/>
        <v>0</v>
      </c>
    </row>
    <row r="377" spans="1:10" x14ac:dyDescent="0.2">
      <c r="A377" s="1">
        <v>371</v>
      </c>
      <c r="B377" s="6">
        <v>0</v>
      </c>
      <c r="C377" s="8">
        <v>0</v>
      </c>
      <c r="D377" s="9">
        <f t="shared" si="49"/>
        <v>0</v>
      </c>
      <c r="E377" s="9">
        <f t="shared" si="50"/>
        <v>0</v>
      </c>
      <c r="F377" s="9">
        <f t="shared" si="51"/>
        <v>0</v>
      </c>
      <c r="G377" s="9">
        <f t="shared" si="52"/>
        <v>0</v>
      </c>
      <c r="H377" s="9">
        <f t="shared" si="53"/>
        <v>0</v>
      </c>
      <c r="I377" s="9">
        <f t="shared" si="54"/>
        <v>0</v>
      </c>
      <c r="J377" s="9">
        <f t="shared" si="55"/>
        <v>0</v>
      </c>
    </row>
    <row r="378" spans="1:10" x14ac:dyDescent="0.2">
      <c r="A378" s="1">
        <v>372</v>
      </c>
      <c r="B378" s="6">
        <v>0</v>
      </c>
      <c r="C378" s="8">
        <v>0</v>
      </c>
      <c r="D378" s="9">
        <f t="shared" si="49"/>
        <v>0</v>
      </c>
      <c r="E378" s="9">
        <f t="shared" si="50"/>
        <v>0</v>
      </c>
      <c r="F378" s="9">
        <f t="shared" si="51"/>
        <v>0</v>
      </c>
      <c r="G378" s="9">
        <f t="shared" si="52"/>
        <v>0</v>
      </c>
      <c r="H378" s="9">
        <f t="shared" si="53"/>
        <v>0</v>
      </c>
      <c r="I378" s="9">
        <f t="shared" si="54"/>
        <v>0</v>
      </c>
      <c r="J378" s="9">
        <f t="shared" si="55"/>
        <v>0</v>
      </c>
    </row>
    <row r="379" spans="1:10" x14ac:dyDescent="0.2">
      <c r="A379" s="1">
        <v>373</v>
      </c>
      <c r="B379" s="6">
        <v>0</v>
      </c>
      <c r="C379" s="8">
        <v>0</v>
      </c>
      <c r="D379" s="9">
        <f t="shared" si="49"/>
        <v>0</v>
      </c>
      <c r="E379" s="9">
        <f t="shared" si="50"/>
        <v>0</v>
      </c>
      <c r="F379" s="9">
        <f t="shared" si="51"/>
        <v>0</v>
      </c>
      <c r="G379" s="9">
        <f t="shared" si="52"/>
        <v>0</v>
      </c>
      <c r="H379" s="9">
        <f t="shared" si="53"/>
        <v>0</v>
      </c>
      <c r="I379" s="9">
        <f t="shared" si="54"/>
        <v>0</v>
      </c>
      <c r="J379" s="9">
        <f t="shared" si="55"/>
        <v>0</v>
      </c>
    </row>
    <row r="380" spans="1:10" x14ac:dyDescent="0.2">
      <c r="A380" s="1">
        <v>374</v>
      </c>
      <c r="B380" s="6">
        <v>0</v>
      </c>
      <c r="C380" s="8">
        <v>0</v>
      </c>
      <c r="D380" s="9">
        <f t="shared" si="49"/>
        <v>0</v>
      </c>
      <c r="E380" s="9">
        <f t="shared" si="50"/>
        <v>0</v>
      </c>
      <c r="F380" s="9">
        <f t="shared" si="51"/>
        <v>0</v>
      </c>
      <c r="G380" s="9">
        <f t="shared" si="52"/>
        <v>0</v>
      </c>
      <c r="H380" s="9">
        <f t="shared" si="53"/>
        <v>0</v>
      </c>
      <c r="I380" s="9">
        <f t="shared" si="54"/>
        <v>0</v>
      </c>
      <c r="J380" s="9">
        <f t="shared" si="55"/>
        <v>0</v>
      </c>
    </row>
    <row r="381" spans="1:10" x14ac:dyDescent="0.2">
      <c r="A381" s="1">
        <v>375</v>
      </c>
      <c r="B381" s="6">
        <v>0</v>
      </c>
      <c r="C381" s="8">
        <v>0</v>
      </c>
      <c r="D381" s="9">
        <f t="shared" si="49"/>
        <v>0</v>
      </c>
      <c r="E381" s="9">
        <f t="shared" si="50"/>
        <v>0</v>
      </c>
      <c r="F381" s="9">
        <f t="shared" si="51"/>
        <v>0</v>
      </c>
      <c r="G381" s="9">
        <f t="shared" si="52"/>
        <v>0</v>
      </c>
      <c r="H381" s="9">
        <f t="shared" si="53"/>
        <v>0</v>
      </c>
      <c r="I381" s="9">
        <f t="shared" si="54"/>
        <v>0</v>
      </c>
      <c r="J381" s="9">
        <f t="shared" si="55"/>
        <v>0</v>
      </c>
    </row>
    <row r="382" spans="1:10" x14ac:dyDescent="0.2">
      <c r="A382" s="1">
        <v>376</v>
      </c>
      <c r="B382" s="6">
        <v>0</v>
      </c>
      <c r="C382" s="8">
        <v>0</v>
      </c>
      <c r="D382" s="9">
        <f t="shared" si="49"/>
        <v>0</v>
      </c>
      <c r="E382" s="9">
        <f t="shared" si="50"/>
        <v>0</v>
      </c>
      <c r="F382" s="9">
        <f t="shared" si="51"/>
        <v>0</v>
      </c>
      <c r="G382" s="9">
        <f t="shared" si="52"/>
        <v>0</v>
      </c>
      <c r="H382" s="9">
        <f t="shared" si="53"/>
        <v>0</v>
      </c>
      <c r="I382" s="9">
        <f t="shared" si="54"/>
        <v>0</v>
      </c>
      <c r="J382" s="9">
        <f t="shared" si="55"/>
        <v>0</v>
      </c>
    </row>
    <row r="383" spans="1:10" x14ac:dyDescent="0.2">
      <c r="A383" s="1">
        <v>377</v>
      </c>
      <c r="B383" s="6">
        <v>0</v>
      </c>
      <c r="C383" s="8">
        <v>0</v>
      </c>
      <c r="D383" s="9">
        <f t="shared" si="49"/>
        <v>0</v>
      </c>
      <c r="E383" s="9">
        <f t="shared" si="50"/>
        <v>0</v>
      </c>
      <c r="F383" s="9">
        <f t="shared" si="51"/>
        <v>0</v>
      </c>
      <c r="G383" s="9">
        <f t="shared" si="52"/>
        <v>0</v>
      </c>
      <c r="H383" s="9">
        <f t="shared" si="53"/>
        <v>0</v>
      </c>
      <c r="I383" s="9">
        <f t="shared" si="54"/>
        <v>0</v>
      </c>
      <c r="J383" s="9">
        <f t="shared" si="55"/>
        <v>0</v>
      </c>
    </row>
    <row r="384" spans="1:10" x14ac:dyDescent="0.2">
      <c r="A384" s="1">
        <v>378</v>
      </c>
      <c r="B384" s="6">
        <v>0</v>
      </c>
      <c r="C384" s="8">
        <v>0</v>
      </c>
      <c r="D384" s="9">
        <f t="shared" si="49"/>
        <v>0</v>
      </c>
      <c r="E384" s="9">
        <f t="shared" si="50"/>
        <v>0</v>
      </c>
      <c r="F384" s="9">
        <f t="shared" si="51"/>
        <v>0</v>
      </c>
      <c r="G384" s="9">
        <f t="shared" si="52"/>
        <v>0</v>
      </c>
      <c r="H384" s="9">
        <f t="shared" si="53"/>
        <v>0</v>
      </c>
      <c r="I384" s="9">
        <f t="shared" si="54"/>
        <v>0</v>
      </c>
      <c r="J384" s="9">
        <f t="shared" si="55"/>
        <v>0</v>
      </c>
    </row>
    <row r="385" spans="1:10" x14ac:dyDescent="0.2">
      <c r="A385" s="1">
        <v>379</v>
      </c>
      <c r="B385" s="6">
        <v>0</v>
      </c>
      <c r="C385" s="8">
        <v>0</v>
      </c>
      <c r="D385" s="9">
        <f t="shared" si="49"/>
        <v>0</v>
      </c>
      <c r="E385" s="9">
        <f t="shared" si="50"/>
        <v>0</v>
      </c>
      <c r="F385" s="9">
        <f t="shared" si="51"/>
        <v>0</v>
      </c>
      <c r="G385" s="9">
        <f t="shared" si="52"/>
        <v>0</v>
      </c>
      <c r="H385" s="9">
        <f t="shared" si="53"/>
        <v>0</v>
      </c>
      <c r="I385" s="9">
        <f t="shared" si="54"/>
        <v>0</v>
      </c>
      <c r="J385" s="9">
        <f t="shared" si="55"/>
        <v>0</v>
      </c>
    </row>
    <row r="386" spans="1:10" x14ac:dyDescent="0.2">
      <c r="A386" s="1">
        <v>380</v>
      </c>
      <c r="B386" s="6">
        <v>0</v>
      </c>
      <c r="C386" s="8">
        <v>0</v>
      </c>
      <c r="D386" s="9">
        <f t="shared" si="49"/>
        <v>0</v>
      </c>
      <c r="E386" s="9">
        <f t="shared" si="50"/>
        <v>0</v>
      </c>
      <c r="F386" s="9">
        <f t="shared" si="51"/>
        <v>0</v>
      </c>
      <c r="G386" s="9">
        <f t="shared" si="52"/>
        <v>0</v>
      </c>
      <c r="H386" s="9">
        <f t="shared" si="53"/>
        <v>0</v>
      </c>
      <c r="I386" s="9">
        <f t="shared" si="54"/>
        <v>0</v>
      </c>
      <c r="J386" s="9">
        <f t="shared" si="55"/>
        <v>0</v>
      </c>
    </row>
    <row r="387" spans="1:10" x14ac:dyDescent="0.2">
      <c r="A387" s="1">
        <v>381</v>
      </c>
      <c r="B387" s="6">
        <v>0</v>
      </c>
      <c r="C387" s="8">
        <v>0</v>
      </c>
      <c r="D387" s="9">
        <f t="shared" si="49"/>
        <v>0</v>
      </c>
      <c r="E387" s="9">
        <f t="shared" si="50"/>
        <v>0</v>
      </c>
      <c r="F387" s="9">
        <f t="shared" si="51"/>
        <v>0</v>
      </c>
      <c r="G387" s="9">
        <f t="shared" si="52"/>
        <v>0</v>
      </c>
      <c r="H387" s="9">
        <f t="shared" si="53"/>
        <v>0</v>
      </c>
      <c r="I387" s="9">
        <f t="shared" si="54"/>
        <v>0</v>
      </c>
      <c r="J387" s="9">
        <f t="shared" si="55"/>
        <v>0</v>
      </c>
    </row>
    <row r="388" spans="1:10" x14ac:dyDescent="0.2">
      <c r="A388" s="1">
        <v>382</v>
      </c>
      <c r="B388" s="6">
        <v>0</v>
      </c>
      <c r="C388" s="8">
        <v>0</v>
      </c>
      <c r="D388" s="9">
        <f t="shared" si="49"/>
        <v>0</v>
      </c>
      <c r="E388" s="9">
        <f t="shared" si="50"/>
        <v>0</v>
      </c>
      <c r="F388" s="9">
        <f t="shared" si="51"/>
        <v>0</v>
      </c>
      <c r="G388" s="9">
        <f t="shared" si="52"/>
        <v>0</v>
      </c>
      <c r="H388" s="9">
        <f t="shared" si="53"/>
        <v>0</v>
      </c>
      <c r="I388" s="9">
        <f t="shared" si="54"/>
        <v>0</v>
      </c>
      <c r="J388" s="9">
        <f t="shared" si="55"/>
        <v>0</v>
      </c>
    </row>
    <row r="389" spans="1:10" x14ac:dyDescent="0.2">
      <c r="A389" s="1">
        <v>383</v>
      </c>
      <c r="B389" s="6">
        <v>0</v>
      </c>
      <c r="C389" s="8">
        <v>0</v>
      </c>
      <c r="D389" s="9">
        <f t="shared" si="49"/>
        <v>0</v>
      </c>
      <c r="E389" s="9">
        <f t="shared" si="50"/>
        <v>0</v>
      </c>
      <c r="F389" s="9">
        <f t="shared" si="51"/>
        <v>0</v>
      </c>
      <c r="G389" s="9">
        <f t="shared" si="52"/>
        <v>0</v>
      </c>
      <c r="H389" s="9">
        <f t="shared" si="53"/>
        <v>0</v>
      </c>
      <c r="I389" s="9">
        <f t="shared" si="54"/>
        <v>0</v>
      </c>
      <c r="J389" s="9">
        <f t="shared" si="55"/>
        <v>0</v>
      </c>
    </row>
    <row r="390" spans="1:10" x14ac:dyDescent="0.2">
      <c r="A390" s="1">
        <v>384</v>
      </c>
      <c r="B390" s="6">
        <v>0</v>
      </c>
      <c r="C390" s="8">
        <v>0</v>
      </c>
      <c r="D390" s="9">
        <f t="shared" si="49"/>
        <v>0</v>
      </c>
      <c r="E390" s="9">
        <f t="shared" si="50"/>
        <v>0</v>
      </c>
      <c r="F390" s="9">
        <f t="shared" si="51"/>
        <v>0</v>
      </c>
      <c r="G390" s="9">
        <f t="shared" si="52"/>
        <v>0</v>
      </c>
      <c r="H390" s="9">
        <f t="shared" si="53"/>
        <v>0</v>
      </c>
      <c r="I390" s="9">
        <f t="shared" si="54"/>
        <v>0</v>
      </c>
      <c r="J390" s="9">
        <f t="shared" si="55"/>
        <v>0</v>
      </c>
    </row>
    <row r="391" spans="1:10" x14ac:dyDescent="0.2">
      <c r="A391" s="1">
        <v>385</v>
      </c>
      <c r="B391" s="6">
        <v>0</v>
      </c>
      <c r="C391" s="8">
        <v>0</v>
      </c>
      <c r="D391" s="9">
        <f t="shared" si="49"/>
        <v>0</v>
      </c>
      <c r="E391" s="9">
        <f t="shared" si="50"/>
        <v>0</v>
      </c>
      <c r="F391" s="9">
        <f t="shared" si="51"/>
        <v>0</v>
      </c>
      <c r="G391" s="9">
        <f t="shared" si="52"/>
        <v>0</v>
      </c>
      <c r="H391" s="9">
        <f t="shared" si="53"/>
        <v>0</v>
      </c>
      <c r="I391" s="9">
        <f t="shared" si="54"/>
        <v>0</v>
      </c>
      <c r="J391" s="9">
        <f t="shared" si="55"/>
        <v>0</v>
      </c>
    </row>
    <row r="392" spans="1:10" x14ac:dyDescent="0.2">
      <c r="A392" s="1">
        <v>386</v>
      </c>
      <c r="B392" s="6">
        <v>0</v>
      </c>
      <c r="C392" s="8">
        <v>0</v>
      </c>
      <c r="D392" s="9">
        <f t="shared" si="49"/>
        <v>0</v>
      </c>
      <c r="E392" s="9">
        <f t="shared" si="50"/>
        <v>0</v>
      </c>
      <c r="F392" s="9">
        <f t="shared" si="51"/>
        <v>0</v>
      </c>
      <c r="G392" s="9">
        <f t="shared" si="52"/>
        <v>0</v>
      </c>
      <c r="H392" s="9">
        <f t="shared" si="53"/>
        <v>0</v>
      </c>
      <c r="I392" s="9">
        <f t="shared" si="54"/>
        <v>0</v>
      </c>
      <c r="J392" s="9">
        <f t="shared" si="55"/>
        <v>0</v>
      </c>
    </row>
    <row r="393" spans="1:10" x14ac:dyDescent="0.2">
      <c r="A393" s="1">
        <v>387</v>
      </c>
      <c r="B393" s="6">
        <v>0</v>
      </c>
      <c r="C393" s="8">
        <v>0</v>
      </c>
      <c r="D393" s="9">
        <f t="shared" si="49"/>
        <v>0</v>
      </c>
      <c r="E393" s="9">
        <f t="shared" si="50"/>
        <v>0</v>
      </c>
      <c r="F393" s="9">
        <f t="shared" si="51"/>
        <v>0</v>
      </c>
      <c r="G393" s="9">
        <f t="shared" si="52"/>
        <v>0</v>
      </c>
      <c r="H393" s="9">
        <f t="shared" si="53"/>
        <v>0</v>
      </c>
      <c r="I393" s="9">
        <f t="shared" si="54"/>
        <v>0</v>
      </c>
      <c r="J393" s="9">
        <f t="shared" si="55"/>
        <v>0</v>
      </c>
    </row>
    <row r="394" spans="1:10" x14ac:dyDescent="0.2">
      <c r="A394" s="1">
        <v>388</v>
      </c>
      <c r="B394" s="6">
        <v>0</v>
      </c>
      <c r="C394" s="8">
        <v>0</v>
      </c>
      <c r="D394" s="9">
        <f t="shared" si="49"/>
        <v>0</v>
      </c>
      <c r="E394" s="9">
        <f t="shared" si="50"/>
        <v>0</v>
      </c>
      <c r="F394" s="9">
        <f t="shared" si="51"/>
        <v>0</v>
      </c>
      <c r="G394" s="9">
        <f t="shared" si="52"/>
        <v>0</v>
      </c>
      <c r="H394" s="9">
        <f t="shared" si="53"/>
        <v>0</v>
      </c>
      <c r="I394" s="9">
        <f t="shared" si="54"/>
        <v>0</v>
      </c>
      <c r="J394" s="9">
        <f t="shared" si="55"/>
        <v>0</v>
      </c>
    </row>
    <row r="395" spans="1:10" x14ac:dyDescent="0.2">
      <c r="A395" s="1">
        <v>389</v>
      </c>
      <c r="B395" s="6">
        <v>0</v>
      </c>
      <c r="C395" s="8">
        <v>0</v>
      </c>
      <c r="D395" s="9">
        <f t="shared" si="49"/>
        <v>0</v>
      </c>
      <c r="E395" s="9">
        <f t="shared" si="50"/>
        <v>0</v>
      </c>
      <c r="F395" s="9">
        <f t="shared" si="51"/>
        <v>0</v>
      </c>
      <c r="G395" s="9">
        <f t="shared" si="52"/>
        <v>0</v>
      </c>
      <c r="H395" s="9">
        <f t="shared" si="53"/>
        <v>0</v>
      </c>
      <c r="I395" s="9">
        <f t="shared" si="54"/>
        <v>0</v>
      </c>
      <c r="J395" s="9">
        <f t="shared" si="55"/>
        <v>0</v>
      </c>
    </row>
    <row r="396" spans="1:10" x14ac:dyDescent="0.2">
      <c r="A396" s="1">
        <v>390</v>
      </c>
      <c r="B396" s="6">
        <v>0</v>
      </c>
      <c r="C396" s="8">
        <v>0</v>
      </c>
      <c r="D396" s="9">
        <f t="shared" si="49"/>
        <v>0</v>
      </c>
      <c r="E396" s="9">
        <f t="shared" si="50"/>
        <v>0</v>
      </c>
      <c r="F396" s="9">
        <f t="shared" si="51"/>
        <v>0</v>
      </c>
      <c r="G396" s="9">
        <f t="shared" si="52"/>
        <v>0</v>
      </c>
      <c r="H396" s="9">
        <f t="shared" si="53"/>
        <v>0</v>
      </c>
      <c r="I396" s="9">
        <f t="shared" si="54"/>
        <v>0</v>
      </c>
      <c r="J396" s="9">
        <f t="shared" si="55"/>
        <v>0</v>
      </c>
    </row>
    <row r="397" spans="1:10" x14ac:dyDescent="0.2">
      <c r="A397" s="1">
        <v>391</v>
      </c>
      <c r="B397" s="6">
        <v>0</v>
      </c>
      <c r="C397" s="8">
        <v>0</v>
      </c>
      <c r="D397" s="9">
        <f t="shared" si="49"/>
        <v>0</v>
      </c>
      <c r="E397" s="9">
        <f t="shared" si="50"/>
        <v>0</v>
      </c>
      <c r="F397" s="9">
        <f t="shared" si="51"/>
        <v>0</v>
      </c>
      <c r="G397" s="9">
        <f t="shared" si="52"/>
        <v>0</v>
      </c>
      <c r="H397" s="9">
        <f t="shared" si="53"/>
        <v>0</v>
      </c>
      <c r="I397" s="9">
        <f t="shared" si="54"/>
        <v>0</v>
      </c>
      <c r="J397" s="9">
        <f t="shared" si="55"/>
        <v>0</v>
      </c>
    </row>
    <row r="398" spans="1:10" x14ac:dyDescent="0.2">
      <c r="A398" s="1">
        <v>392</v>
      </c>
      <c r="B398" s="6">
        <v>0</v>
      </c>
      <c r="C398" s="8">
        <v>0</v>
      </c>
      <c r="D398" s="9">
        <f t="shared" si="49"/>
        <v>0</v>
      </c>
      <c r="E398" s="9">
        <f t="shared" si="50"/>
        <v>0</v>
      </c>
      <c r="F398" s="9">
        <f t="shared" si="51"/>
        <v>0</v>
      </c>
      <c r="G398" s="9">
        <f t="shared" si="52"/>
        <v>0</v>
      </c>
      <c r="H398" s="9">
        <f t="shared" si="53"/>
        <v>0</v>
      </c>
      <c r="I398" s="9">
        <f t="shared" si="54"/>
        <v>0</v>
      </c>
      <c r="J398" s="9">
        <f t="shared" si="55"/>
        <v>0</v>
      </c>
    </row>
    <row r="399" spans="1:10" x14ac:dyDescent="0.2">
      <c r="A399" s="1">
        <v>393</v>
      </c>
      <c r="B399" s="6">
        <v>0</v>
      </c>
      <c r="C399" s="8">
        <v>0</v>
      </c>
      <c r="D399" s="9">
        <f t="shared" si="49"/>
        <v>0</v>
      </c>
      <c r="E399" s="9">
        <f t="shared" si="50"/>
        <v>0</v>
      </c>
      <c r="F399" s="9">
        <f t="shared" si="51"/>
        <v>0</v>
      </c>
      <c r="G399" s="9">
        <f t="shared" si="52"/>
        <v>0</v>
      </c>
      <c r="H399" s="9">
        <f t="shared" si="53"/>
        <v>0</v>
      </c>
      <c r="I399" s="9">
        <f t="shared" si="54"/>
        <v>0</v>
      </c>
      <c r="J399" s="9">
        <f t="shared" si="55"/>
        <v>0</v>
      </c>
    </row>
    <row r="400" spans="1:10" x14ac:dyDescent="0.2">
      <c r="A400" s="1">
        <v>394</v>
      </c>
      <c r="B400" s="6">
        <v>0</v>
      </c>
      <c r="C400" s="8">
        <v>0</v>
      </c>
      <c r="D400" s="9">
        <f t="shared" si="49"/>
        <v>0</v>
      </c>
      <c r="E400" s="9">
        <f t="shared" si="50"/>
        <v>0</v>
      </c>
      <c r="F400" s="9">
        <f t="shared" si="51"/>
        <v>0</v>
      </c>
      <c r="G400" s="9">
        <f t="shared" si="52"/>
        <v>0</v>
      </c>
      <c r="H400" s="9">
        <f t="shared" si="53"/>
        <v>0</v>
      </c>
      <c r="I400" s="9">
        <f t="shared" si="54"/>
        <v>0</v>
      </c>
      <c r="J400" s="9">
        <f t="shared" si="55"/>
        <v>0</v>
      </c>
    </row>
    <row r="401" spans="1:10" x14ac:dyDescent="0.2">
      <c r="A401" s="1">
        <v>395</v>
      </c>
      <c r="B401" s="6">
        <v>0</v>
      </c>
      <c r="C401" s="8">
        <v>0</v>
      </c>
      <c r="D401" s="9">
        <f t="shared" si="49"/>
        <v>0</v>
      </c>
      <c r="E401" s="9">
        <f t="shared" si="50"/>
        <v>0</v>
      </c>
      <c r="F401" s="9">
        <f t="shared" si="51"/>
        <v>0</v>
      </c>
      <c r="G401" s="9">
        <f t="shared" si="52"/>
        <v>0</v>
      </c>
      <c r="H401" s="9">
        <f t="shared" si="53"/>
        <v>0</v>
      </c>
      <c r="I401" s="9">
        <f t="shared" si="54"/>
        <v>0</v>
      </c>
      <c r="J401" s="9">
        <f t="shared" si="55"/>
        <v>0</v>
      </c>
    </row>
    <row r="402" spans="1:10" x14ac:dyDescent="0.2">
      <c r="A402" s="1">
        <v>396</v>
      </c>
      <c r="B402" s="6">
        <v>0</v>
      </c>
      <c r="C402" s="8">
        <v>0</v>
      </c>
      <c r="D402" s="9">
        <f t="shared" si="49"/>
        <v>0</v>
      </c>
      <c r="E402" s="9">
        <f t="shared" si="50"/>
        <v>0</v>
      </c>
      <c r="F402" s="9">
        <f t="shared" si="51"/>
        <v>0</v>
      </c>
      <c r="G402" s="9">
        <f t="shared" si="52"/>
        <v>0</v>
      </c>
      <c r="H402" s="9">
        <f t="shared" si="53"/>
        <v>0</v>
      </c>
      <c r="I402" s="9">
        <f t="shared" si="54"/>
        <v>0</v>
      </c>
      <c r="J402" s="9">
        <f t="shared" si="55"/>
        <v>0</v>
      </c>
    </row>
    <row r="403" spans="1:10" x14ac:dyDescent="0.2">
      <c r="A403" s="1">
        <v>397</v>
      </c>
      <c r="B403" s="6">
        <v>0</v>
      </c>
      <c r="C403" s="8">
        <v>0</v>
      </c>
      <c r="D403" s="9">
        <f t="shared" si="49"/>
        <v>0</v>
      </c>
      <c r="E403" s="9">
        <f t="shared" si="50"/>
        <v>0</v>
      </c>
      <c r="F403" s="9">
        <f t="shared" si="51"/>
        <v>0</v>
      </c>
      <c r="G403" s="9">
        <f t="shared" si="52"/>
        <v>0</v>
      </c>
      <c r="H403" s="9">
        <f t="shared" si="53"/>
        <v>0</v>
      </c>
      <c r="I403" s="9">
        <f t="shared" si="54"/>
        <v>0</v>
      </c>
      <c r="J403" s="9">
        <f t="shared" si="55"/>
        <v>0</v>
      </c>
    </row>
    <row r="404" spans="1:10" x14ac:dyDescent="0.2">
      <c r="A404" s="1">
        <v>398</v>
      </c>
      <c r="B404" s="6">
        <v>0</v>
      </c>
      <c r="C404" s="8">
        <v>0</v>
      </c>
      <c r="D404" s="9">
        <f t="shared" si="49"/>
        <v>0</v>
      </c>
      <c r="E404" s="9">
        <f t="shared" si="50"/>
        <v>0</v>
      </c>
      <c r="F404" s="9">
        <f t="shared" si="51"/>
        <v>0</v>
      </c>
      <c r="G404" s="9">
        <f t="shared" si="52"/>
        <v>0</v>
      </c>
      <c r="H404" s="9">
        <f t="shared" si="53"/>
        <v>0</v>
      </c>
      <c r="I404" s="9">
        <f t="shared" si="54"/>
        <v>0</v>
      </c>
      <c r="J404" s="9">
        <f t="shared" si="55"/>
        <v>0</v>
      </c>
    </row>
    <row r="405" spans="1:10" x14ac:dyDescent="0.2">
      <c r="A405" s="1">
        <v>399</v>
      </c>
      <c r="B405" s="6">
        <v>0</v>
      </c>
      <c r="C405" s="8">
        <v>0</v>
      </c>
      <c r="D405" s="9">
        <f t="shared" si="49"/>
        <v>0</v>
      </c>
      <c r="E405" s="9">
        <f t="shared" si="50"/>
        <v>0</v>
      </c>
      <c r="F405" s="9">
        <f t="shared" si="51"/>
        <v>0</v>
      </c>
      <c r="G405" s="9">
        <f t="shared" si="52"/>
        <v>0</v>
      </c>
      <c r="H405" s="9">
        <f t="shared" si="53"/>
        <v>0</v>
      </c>
      <c r="I405" s="9">
        <f t="shared" si="54"/>
        <v>0</v>
      </c>
      <c r="J405" s="9">
        <f t="shared" si="55"/>
        <v>0</v>
      </c>
    </row>
    <row r="406" spans="1:10" x14ac:dyDescent="0.2">
      <c r="A406" s="1">
        <v>400</v>
      </c>
      <c r="B406" s="6">
        <v>0</v>
      </c>
      <c r="C406" s="8">
        <v>0</v>
      </c>
      <c r="D406" s="9">
        <f t="shared" si="49"/>
        <v>0</v>
      </c>
      <c r="E406" s="9">
        <f t="shared" si="50"/>
        <v>0</v>
      </c>
      <c r="F406" s="9">
        <f t="shared" si="51"/>
        <v>0</v>
      </c>
      <c r="G406" s="9">
        <f t="shared" si="52"/>
        <v>0</v>
      </c>
      <c r="H406" s="9">
        <f t="shared" si="53"/>
        <v>0</v>
      </c>
      <c r="I406" s="9">
        <f t="shared" si="54"/>
        <v>0</v>
      </c>
      <c r="J406" s="9">
        <f t="shared" si="55"/>
        <v>0</v>
      </c>
    </row>
    <row r="407" spans="1:10" x14ac:dyDescent="0.2">
      <c r="A407" s="1">
        <v>401</v>
      </c>
      <c r="B407" s="6">
        <v>0</v>
      </c>
      <c r="C407" s="8">
        <v>0</v>
      </c>
      <c r="D407" s="9">
        <f t="shared" si="49"/>
        <v>0</v>
      </c>
      <c r="E407" s="9">
        <f t="shared" si="50"/>
        <v>0</v>
      </c>
      <c r="F407" s="9">
        <f t="shared" si="51"/>
        <v>0</v>
      </c>
      <c r="G407" s="9">
        <f t="shared" si="52"/>
        <v>0</v>
      </c>
      <c r="H407" s="9">
        <f t="shared" si="53"/>
        <v>0</v>
      </c>
      <c r="I407" s="9">
        <f t="shared" si="54"/>
        <v>0</v>
      </c>
      <c r="J407" s="9">
        <f t="shared" si="55"/>
        <v>0</v>
      </c>
    </row>
    <row r="408" spans="1:10" x14ac:dyDescent="0.2">
      <c r="A408" s="1">
        <v>402</v>
      </c>
      <c r="B408" s="6">
        <v>0</v>
      </c>
      <c r="C408" s="8">
        <v>0</v>
      </c>
      <c r="D408" s="9">
        <f t="shared" si="49"/>
        <v>0</v>
      </c>
      <c r="E408" s="9">
        <f t="shared" si="50"/>
        <v>0</v>
      </c>
      <c r="F408" s="9">
        <f t="shared" si="51"/>
        <v>0</v>
      </c>
      <c r="G408" s="9">
        <f t="shared" si="52"/>
        <v>0</v>
      </c>
      <c r="H408" s="9">
        <f t="shared" si="53"/>
        <v>0</v>
      </c>
      <c r="I408" s="9">
        <f t="shared" si="54"/>
        <v>0</v>
      </c>
      <c r="J408" s="9">
        <f t="shared" si="55"/>
        <v>0</v>
      </c>
    </row>
    <row r="409" spans="1:10" x14ac:dyDescent="0.2">
      <c r="A409" s="1">
        <v>403</v>
      </c>
      <c r="B409" s="6">
        <v>0</v>
      </c>
      <c r="C409" s="8">
        <v>0</v>
      </c>
      <c r="D409" s="9">
        <f t="shared" si="49"/>
        <v>0</v>
      </c>
      <c r="E409" s="9">
        <f t="shared" si="50"/>
        <v>0</v>
      </c>
      <c r="F409" s="9">
        <f t="shared" si="51"/>
        <v>0</v>
      </c>
      <c r="G409" s="9">
        <f t="shared" si="52"/>
        <v>0</v>
      </c>
      <c r="H409" s="9">
        <f t="shared" si="53"/>
        <v>0</v>
      </c>
      <c r="I409" s="9">
        <f t="shared" si="54"/>
        <v>0</v>
      </c>
      <c r="J409" s="9">
        <f t="shared" si="55"/>
        <v>0</v>
      </c>
    </row>
    <row r="410" spans="1:10" x14ac:dyDescent="0.2">
      <c r="A410" s="1">
        <v>404</v>
      </c>
      <c r="B410" s="6">
        <v>0</v>
      </c>
      <c r="C410" s="8">
        <v>0</v>
      </c>
      <c r="D410" s="9">
        <f t="shared" si="49"/>
        <v>0</v>
      </c>
      <c r="E410" s="9">
        <f t="shared" si="50"/>
        <v>0</v>
      </c>
      <c r="F410" s="9">
        <f t="shared" si="51"/>
        <v>0</v>
      </c>
      <c r="G410" s="9">
        <f t="shared" si="52"/>
        <v>0</v>
      </c>
      <c r="H410" s="9">
        <f t="shared" si="53"/>
        <v>0</v>
      </c>
      <c r="I410" s="9">
        <f t="shared" si="54"/>
        <v>0</v>
      </c>
      <c r="J410" s="9">
        <f t="shared" si="55"/>
        <v>0</v>
      </c>
    </row>
    <row r="411" spans="1:10" x14ac:dyDescent="0.2">
      <c r="A411" s="1">
        <v>405</v>
      </c>
      <c r="B411" s="6">
        <v>0</v>
      </c>
      <c r="C411" s="8">
        <v>0</v>
      </c>
      <c r="D411" s="9">
        <f t="shared" si="49"/>
        <v>0</v>
      </c>
      <c r="E411" s="9">
        <f t="shared" si="50"/>
        <v>0</v>
      </c>
      <c r="F411" s="9">
        <f t="shared" si="51"/>
        <v>0</v>
      </c>
      <c r="G411" s="9">
        <f t="shared" si="52"/>
        <v>0</v>
      </c>
      <c r="H411" s="9">
        <f t="shared" si="53"/>
        <v>0</v>
      </c>
      <c r="I411" s="9">
        <f t="shared" si="54"/>
        <v>0</v>
      </c>
      <c r="J411" s="9">
        <f t="shared" si="55"/>
        <v>0</v>
      </c>
    </row>
    <row r="412" spans="1:10" x14ac:dyDescent="0.2">
      <c r="A412" s="1">
        <v>406</v>
      </c>
      <c r="B412" s="6">
        <v>0</v>
      </c>
      <c r="C412" s="8">
        <v>0</v>
      </c>
      <c r="D412" s="9">
        <f t="shared" si="49"/>
        <v>0</v>
      </c>
      <c r="E412" s="9">
        <f t="shared" si="50"/>
        <v>0</v>
      </c>
      <c r="F412" s="9">
        <f t="shared" si="51"/>
        <v>0</v>
      </c>
      <c r="G412" s="9">
        <f t="shared" si="52"/>
        <v>0</v>
      </c>
      <c r="H412" s="9">
        <f t="shared" si="53"/>
        <v>0</v>
      </c>
      <c r="I412" s="9">
        <f t="shared" si="54"/>
        <v>0</v>
      </c>
      <c r="J412" s="9">
        <f t="shared" si="55"/>
        <v>0</v>
      </c>
    </row>
    <row r="413" spans="1:10" x14ac:dyDescent="0.2">
      <c r="A413" s="1">
        <v>407</v>
      </c>
      <c r="B413" s="6">
        <v>0</v>
      </c>
      <c r="C413" s="8">
        <v>0</v>
      </c>
      <c r="D413" s="9">
        <f t="shared" si="49"/>
        <v>0</v>
      </c>
      <c r="E413" s="9">
        <f t="shared" si="50"/>
        <v>0</v>
      </c>
      <c r="F413" s="9">
        <f t="shared" si="51"/>
        <v>0</v>
      </c>
      <c r="G413" s="9">
        <f t="shared" si="52"/>
        <v>0</v>
      </c>
      <c r="H413" s="9">
        <f t="shared" si="53"/>
        <v>0</v>
      </c>
      <c r="I413" s="9">
        <f t="shared" si="54"/>
        <v>0</v>
      </c>
      <c r="J413" s="9">
        <f t="shared" si="55"/>
        <v>0</v>
      </c>
    </row>
    <row r="414" spans="1:10" x14ac:dyDescent="0.2">
      <c r="A414" s="1">
        <v>408</v>
      </c>
      <c r="B414" s="6">
        <v>0</v>
      </c>
      <c r="C414" s="8">
        <v>0</v>
      </c>
      <c r="D414" s="9">
        <f t="shared" si="49"/>
        <v>0</v>
      </c>
      <c r="E414" s="9">
        <f t="shared" si="50"/>
        <v>0</v>
      </c>
      <c r="F414" s="9">
        <f t="shared" si="51"/>
        <v>0</v>
      </c>
      <c r="G414" s="9">
        <f t="shared" si="52"/>
        <v>0</v>
      </c>
      <c r="H414" s="9">
        <f t="shared" si="53"/>
        <v>0</v>
      </c>
      <c r="I414" s="9">
        <f t="shared" si="54"/>
        <v>0</v>
      </c>
      <c r="J414" s="9">
        <f t="shared" si="55"/>
        <v>0</v>
      </c>
    </row>
    <row r="415" spans="1:10" x14ac:dyDescent="0.2">
      <c r="A415" s="1">
        <v>409</v>
      </c>
      <c r="B415" s="6">
        <v>0</v>
      </c>
      <c r="C415" s="8">
        <v>0</v>
      </c>
      <c r="D415" s="9">
        <f t="shared" si="49"/>
        <v>0</v>
      </c>
      <c r="E415" s="9">
        <f t="shared" si="50"/>
        <v>0</v>
      </c>
      <c r="F415" s="9">
        <f t="shared" si="51"/>
        <v>0</v>
      </c>
      <c r="G415" s="9">
        <f t="shared" si="52"/>
        <v>0</v>
      </c>
      <c r="H415" s="9">
        <f t="shared" si="53"/>
        <v>0</v>
      </c>
      <c r="I415" s="9">
        <f t="shared" si="54"/>
        <v>0</v>
      </c>
      <c r="J415" s="9">
        <f t="shared" si="55"/>
        <v>0</v>
      </c>
    </row>
    <row r="416" spans="1:10" x14ac:dyDescent="0.2">
      <c r="A416" s="1">
        <v>410</v>
      </c>
      <c r="B416" s="6">
        <v>0</v>
      </c>
      <c r="C416" s="8">
        <v>0</v>
      </c>
      <c r="D416" s="9">
        <f t="shared" si="49"/>
        <v>0</v>
      </c>
      <c r="E416" s="9">
        <f t="shared" si="50"/>
        <v>0</v>
      </c>
      <c r="F416" s="9">
        <f t="shared" si="51"/>
        <v>0</v>
      </c>
      <c r="G416" s="9">
        <f t="shared" si="52"/>
        <v>0</v>
      </c>
      <c r="H416" s="9">
        <f t="shared" si="53"/>
        <v>0</v>
      </c>
      <c r="I416" s="9">
        <f t="shared" si="54"/>
        <v>0</v>
      </c>
      <c r="J416" s="9">
        <f t="shared" si="55"/>
        <v>0</v>
      </c>
    </row>
    <row r="417" spans="1:10" x14ac:dyDescent="0.2">
      <c r="A417" s="1">
        <v>411</v>
      </c>
      <c r="B417" s="6">
        <v>0</v>
      </c>
      <c r="C417" s="8">
        <v>0</v>
      </c>
      <c r="D417" s="9">
        <f t="shared" si="49"/>
        <v>0</v>
      </c>
      <c r="E417" s="9">
        <f t="shared" si="50"/>
        <v>0</v>
      </c>
      <c r="F417" s="9">
        <f t="shared" si="51"/>
        <v>0</v>
      </c>
      <c r="G417" s="9">
        <f t="shared" si="52"/>
        <v>0</v>
      </c>
      <c r="H417" s="9">
        <f t="shared" si="53"/>
        <v>0</v>
      </c>
      <c r="I417" s="9">
        <f t="shared" si="54"/>
        <v>0</v>
      </c>
      <c r="J417" s="9">
        <f t="shared" si="55"/>
        <v>0</v>
      </c>
    </row>
    <row r="418" spans="1:10" x14ac:dyDescent="0.2">
      <c r="A418" s="1">
        <v>412</v>
      </c>
      <c r="B418" s="6">
        <v>0</v>
      </c>
      <c r="C418" s="8">
        <v>0</v>
      </c>
      <c r="D418" s="9">
        <f t="shared" si="49"/>
        <v>0</v>
      </c>
      <c r="E418" s="9">
        <f t="shared" si="50"/>
        <v>0</v>
      </c>
      <c r="F418" s="9">
        <f t="shared" si="51"/>
        <v>0</v>
      </c>
      <c r="G418" s="9">
        <f t="shared" si="52"/>
        <v>0</v>
      </c>
      <c r="H418" s="9">
        <f t="shared" si="53"/>
        <v>0</v>
      </c>
      <c r="I418" s="9">
        <f t="shared" si="54"/>
        <v>0</v>
      </c>
      <c r="J418" s="9">
        <f t="shared" si="55"/>
        <v>0</v>
      </c>
    </row>
    <row r="419" spans="1:10" x14ac:dyDescent="0.2">
      <c r="A419" s="1">
        <v>413</v>
      </c>
      <c r="B419" s="6">
        <v>0</v>
      </c>
      <c r="C419" s="8">
        <v>0</v>
      </c>
      <c r="D419" s="9">
        <f t="shared" si="49"/>
        <v>0</v>
      </c>
      <c r="E419" s="9">
        <f t="shared" si="50"/>
        <v>0</v>
      </c>
      <c r="F419" s="9">
        <f t="shared" si="51"/>
        <v>0</v>
      </c>
      <c r="G419" s="9">
        <f t="shared" si="52"/>
        <v>0</v>
      </c>
      <c r="H419" s="9">
        <f t="shared" si="53"/>
        <v>0</v>
      </c>
      <c r="I419" s="9">
        <f t="shared" si="54"/>
        <v>0</v>
      </c>
      <c r="J419" s="9">
        <f t="shared" si="55"/>
        <v>0</v>
      </c>
    </row>
    <row r="420" spans="1:10" x14ac:dyDescent="0.2">
      <c r="A420" s="1">
        <v>414</v>
      </c>
      <c r="B420" s="6">
        <v>0</v>
      </c>
      <c r="C420" s="8">
        <v>0</v>
      </c>
      <c r="D420" s="9">
        <f t="shared" si="49"/>
        <v>0</v>
      </c>
      <c r="E420" s="9">
        <f t="shared" si="50"/>
        <v>0</v>
      </c>
      <c r="F420" s="9">
        <f t="shared" si="51"/>
        <v>0</v>
      </c>
      <c r="G420" s="9">
        <f t="shared" si="52"/>
        <v>0</v>
      </c>
      <c r="H420" s="9">
        <f t="shared" si="53"/>
        <v>0</v>
      </c>
      <c r="I420" s="9">
        <f t="shared" si="54"/>
        <v>0</v>
      </c>
      <c r="J420" s="9">
        <f t="shared" si="55"/>
        <v>0</v>
      </c>
    </row>
    <row r="421" spans="1:10" x14ac:dyDescent="0.2">
      <c r="A421" s="1">
        <v>415</v>
      </c>
      <c r="B421" s="6">
        <v>0</v>
      </c>
      <c r="C421" s="8">
        <v>0</v>
      </c>
      <c r="D421" s="9">
        <f t="shared" si="49"/>
        <v>0</v>
      </c>
      <c r="E421" s="9">
        <f t="shared" si="50"/>
        <v>0</v>
      </c>
      <c r="F421" s="9">
        <f t="shared" si="51"/>
        <v>0</v>
      </c>
      <c r="G421" s="9">
        <f t="shared" si="52"/>
        <v>0</v>
      </c>
      <c r="H421" s="9">
        <f t="shared" si="53"/>
        <v>0</v>
      </c>
      <c r="I421" s="9">
        <f t="shared" si="54"/>
        <v>0</v>
      </c>
      <c r="J421" s="9">
        <f t="shared" si="55"/>
        <v>0</v>
      </c>
    </row>
    <row r="422" spans="1:10" x14ac:dyDescent="0.2">
      <c r="A422" s="1">
        <v>416</v>
      </c>
      <c r="B422" s="6">
        <v>0</v>
      </c>
      <c r="C422" s="8">
        <v>0</v>
      </c>
      <c r="D422" s="9">
        <f t="shared" si="49"/>
        <v>0</v>
      </c>
      <c r="E422" s="9">
        <f t="shared" si="50"/>
        <v>0</v>
      </c>
      <c r="F422" s="9">
        <f t="shared" si="51"/>
        <v>0</v>
      </c>
      <c r="G422" s="9">
        <f t="shared" si="52"/>
        <v>0</v>
      </c>
      <c r="H422" s="9">
        <f t="shared" si="53"/>
        <v>0</v>
      </c>
      <c r="I422" s="9">
        <f t="shared" si="54"/>
        <v>0</v>
      </c>
      <c r="J422" s="9">
        <f t="shared" si="55"/>
        <v>0</v>
      </c>
    </row>
    <row r="423" spans="1:10" x14ac:dyDescent="0.2">
      <c r="A423" s="1">
        <v>417</v>
      </c>
      <c r="B423" s="6">
        <v>0</v>
      </c>
      <c r="C423" s="8">
        <v>0</v>
      </c>
      <c r="D423" s="9">
        <f t="shared" si="49"/>
        <v>0</v>
      </c>
      <c r="E423" s="9">
        <f t="shared" si="50"/>
        <v>0</v>
      </c>
      <c r="F423" s="9">
        <f t="shared" si="51"/>
        <v>0</v>
      </c>
      <c r="G423" s="9">
        <f t="shared" si="52"/>
        <v>0</v>
      </c>
      <c r="H423" s="9">
        <f t="shared" si="53"/>
        <v>0</v>
      </c>
      <c r="I423" s="9">
        <f t="shared" si="54"/>
        <v>0</v>
      </c>
      <c r="J423" s="9">
        <f t="shared" si="55"/>
        <v>0</v>
      </c>
    </row>
    <row r="424" spans="1:10" x14ac:dyDescent="0.2">
      <c r="A424" s="1">
        <v>418</v>
      </c>
      <c r="B424" s="6">
        <v>0</v>
      </c>
      <c r="C424" s="8">
        <v>0</v>
      </c>
      <c r="D424" s="9">
        <f t="shared" si="49"/>
        <v>0</v>
      </c>
      <c r="E424" s="9">
        <f t="shared" si="50"/>
        <v>0</v>
      </c>
      <c r="F424" s="9">
        <f t="shared" si="51"/>
        <v>0</v>
      </c>
      <c r="G424" s="9">
        <f t="shared" si="52"/>
        <v>0</v>
      </c>
      <c r="H424" s="9">
        <f t="shared" si="53"/>
        <v>0</v>
      </c>
      <c r="I424" s="9">
        <f t="shared" si="54"/>
        <v>0</v>
      </c>
      <c r="J424" s="9">
        <f t="shared" si="55"/>
        <v>0</v>
      </c>
    </row>
    <row r="425" spans="1:10" x14ac:dyDescent="0.2">
      <c r="A425" s="1">
        <v>419</v>
      </c>
      <c r="B425" s="6">
        <v>0</v>
      </c>
      <c r="C425" s="8">
        <v>0</v>
      </c>
      <c r="D425" s="9">
        <f t="shared" si="49"/>
        <v>0</v>
      </c>
      <c r="E425" s="9">
        <f t="shared" si="50"/>
        <v>0</v>
      </c>
      <c r="F425" s="9">
        <f t="shared" si="51"/>
        <v>0</v>
      </c>
      <c r="G425" s="9">
        <f t="shared" si="52"/>
        <v>0</v>
      </c>
      <c r="H425" s="9">
        <f t="shared" si="53"/>
        <v>0</v>
      </c>
      <c r="I425" s="9">
        <f t="shared" si="54"/>
        <v>0</v>
      </c>
      <c r="J425" s="9">
        <f t="shared" si="55"/>
        <v>0</v>
      </c>
    </row>
    <row r="426" spans="1:10" x14ac:dyDescent="0.2">
      <c r="A426" s="1">
        <v>420</v>
      </c>
      <c r="B426" s="6">
        <v>0</v>
      </c>
      <c r="C426" s="8">
        <v>0</v>
      </c>
      <c r="D426" s="9">
        <f t="shared" si="49"/>
        <v>0</v>
      </c>
      <c r="E426" s="9">
        <f t="shared" si="50"/>
        <v>0</v>
      </c>
      <c r="F426" s="9">
        <f t="shared" si="51"/>
        <v>0</v>
      </c>
      <c r="G426" s="9">
        <f t="shared" si="52"/>
        <v>0</v>
      </c>
      <c r="H426" s="9">
        <f t="shared" si="53"/>
        <v>0</v>
      </c>
      <c r="I426" s="9">
        <f t="shared" si="54"/>
        <v>0</v>
      </c>
      <c r="J426" s="9">
        <f t="shared" si="55"/>
        <v>0</v>
      </c>
    </row>
    <row r="427" spans="1:10" x14ac:dyDescent="0.2">
      <c r="A427" s="1">
        <v>421</v>
      </c>
      <c r="B427" s="6">
        <v>0</v>
      </c>
      <c r="C427" s="8">
        <v>0</v>
      </c>
      <c r="D427" s="9">
        <f t="shared" ref="D427:D490" si="56">((B426*C427)-(B427*C426))*0.5</f>
        <v>0</v>
      </c>
      <c r="E427" s="9">
        <f t="shared" ref="E427:E490" si="57">(B427+B426)*((B426*C427)-(B427*C426))*(1/6)</f>
        <v>0</v>
      </c>
      <c r="F427" s="9">
        <f t="shared" ref="F427:F490" si="58">(C427+C426)*((B426*C427)-(B427*C426))*(1/6)</f>
        <v>0</v>
      </c>
      <c r="G427" s="9">
        <f t="shared" ref="G427:G490" si="59">(((C426*C426)+(C426*C427)+(C427*C427))*((B426*C427)-(B427*C426)))/12</f>
        <v>0</v>
      </c>
      <c r="H427" s="9">
        <f t="shared" ref="H427:H490" si="60">(((B426*B426)+(B426*B427)+(B427*B427))*((B426*C427)-(B427*C426)))/12</f>
        <v>0</v>
      </c>
      <c r="I427" s="9">
        <f t="shared" ref="I427:I490" si="61">(((B426*C427)+(2*B426*C426)+(2*B427*C427)+(B427*C426))*((B426*C427)-(B427*C426)))/24</f>
        <v>0</v>
      </c>
      <c r="J427" s="9">
        <f t="shared" ref="J427:J490" si="62">G427+H427</f>
        <v>0</v>
      </c>
    </row>
    <row r="428" spans="1:10" x14ac:dyDescent="0.2">
      <c r="A428" s="1">
        <v>422</v>
      </c>
      <c r="B428" s="6">
        <v>0</v>
      </c>
      <c r="C428" s="8">
        <v>0</v>
      </c>
      <c r="D428" s="9">
        <f t="shared" si="56"/>
        <v>0</v>
      </c>
      <c r="E428" s="9">
        <f t="shared" si="57"/>
        <v>0</v>
      </c>
      <c r="F428" s="9">
        <f t="shared" si="58"/>
        <v>0</v>
      </c>
      <c r="G428" s="9">
        <f t="shared" si="59"/>
        <v>0</v>
      </c>
      <c r="H428" s="9">
        <f t="shared" si="60"/>
        <v>0</v>
      </c>
      <c r="I428" s="9">
        <f t="shared" si="61"/>
        <v>0</v>
      </c>
      <c r="J428" s="9">
        <f t="shared" si="62"/>
        <v>0</v>
      </c>
    </row>
    <row r="429" spans="1:10" x14ac:dyDescent="0.2">
      <c r="A429" s="1">
        <v>423</v>
      </c>
      <c r="B429" s="6">
        <v>0</v>
      </c>
      <c r="C429" s="8">
        <v>0</v>
      </c>
      <c r="D429" s="9">
        <f t="shared" si="56"/>
        <v>0</v>
      </c>
      <c r="E429" s="9">
        <f t="shared" si="57"/>
        <v>0</v>
      </c>
      <c r="F429" s="9">
        <f t="shared" si="58"/>
        <v>0</v>
      </c>
      <c r="G429" s="9">
        <f t="shared" si="59"/>
        <v>0</v>
      </c>
      <c r="H429" s="9">
        <f t="shared" si="60"/>
        <v>0</v>
      </c>
      <c r="I429" s="9">
        <f t="shared" si="61"/>
        <v>0</v>
      </c>
      <c r="J429" s="9">
        <f t="shared" si="62"/>
        <v>0</v>
      </c>
    </row>
    <row r="430" spans="1:10" x14ac:dyDescent="0.2">
      <c r="A430" s="1">
        <v>424</v>
      </c>
      <c r="B430" s="6">
        <v>0</v>
      </c>
      <c r="C430" s="8">
        <v>0</v>
      </c>
      <c r="D430" s="9">
        <f t="shared" si="56"/>
        <v>0</v>
      </c>
      <c r="E430" s="9">
        <f t="shared" si="57"/>
        <v>0</v>
      </c>
      <c r="F430" s="9">
        <f t="shared" si="58"/>
        <v>0</v>
      </c>
      <c r="G430" s="9">
        <f t="shared" si="59"/>
        <v>0</v>
      </c>
      <c r="H430" s="9">
        <f t="shared" si="60"/>
        <v>0</v>
      </c>
      <c r="I430" s="9">
        <f t="shared" si="61"/>
        <v>0</v>
      </c>
      <c r="J430" s="9">
        <f t="shared" si="62"/>
        <v>0</v>
      </c>
    </row>
    <row r="431" spans="1:10" x14ac:dyDescent="0.2">
      <c r="A431" s="1">
        <v>425</v>
      </c>
      <c r="B431" s="6">
        <v>0</v>
      </c>
      <c r="C431" s="8">
        <v>0</v>
      </c>
      <c r="D431" s="9">
        <f t="shared" si="56"/>
        <v>0</v>
      </c>
      <c r="E431" s="9">
        <f t="shared" si="57"/>
        <v>0</v>
      </c>
      <c r="F431" s="9">
        <f t="shared" si="58"/>
        <v>0</v>
      </c>
      <c r="G431" s="9">
        <f t="shared" si="59"/>
        <v>0</v>
      </c>
      <c r="H431" s="9">
        <f t="shared" si="60"/>
        <v>0</v>
      </c>
      <c r="I431" s="9">
        <f t="shared" si="61"/>
        <v>0</v>
      </c>
      <c r="J431" s="9">
        <f t="shared" si="62"/>
        <v>0</v>
      </c>
    </row>
    <row r="432" spans="1:10" x14ac:dyDescent="0.2">
      <c r="A432" s="1">
        <v>426</v>
      </c>
      <c r="B432" s="6">
        <v>0</v>
      </c>
      <c r="C432" s="8">
        <v>0</v>
      </c>
      <c r="D432" s="9">
        <f t="shared" si="56"/>
        <v>0</v>
      </c>
      <c r="E432" s="9">
        <f t="shared" si="57"/>
        <v>0</v>
      </c>
      <c r="F432" s="9">
        <f t="shared" si="58"/>
        <v>0</v>
      </c>
      <c r="G432" s="9">
        <f t="shared" si="59"/>
        <v>0</v>
      </c>
      <c r="H432" s="9">
        <f t="shared" si="60"/>
        <v>0</v>
      </c>
      <c r="I432" s="9">
        <f t="shared" si="61"/>
        <v>0</v>
      </c>
      <c r="J432" s="9">
        <f t="shared" si="62"/>
        <v>0</v>
      </c>
    </row>
    <row r="433" spans="1:10" x14ac:dyDescent="0.2">
      <c r="A433" s="1">
        <v>427</v>
      </c>
      <c r="B433" s="6">
        <v>0</v>
      </c>
      <c r="C433" s="8">
        <v>0</v>
      </c>
      <c r="D433" s="9">
        <f t="shared" si="56"/>
        <v>0</v>
      </c>
      <c r="E433" s="9">
        <f t="shared" si="57"/>
        <v>0</v>
      </c>
      <c r="F433" s="9">
        <f t="shared" si="58"/>
        <v>0</v>
      </c>
      <c r="G433" s="9">
        <f t="shared" si="59"/>
        <v>0</v>
      </c>
      <c r="H433" s="9">
        <f t="shared" si="60"/>
        <v>0</v>
      </c>
      <c r="I433" s="9">
        <f t="shared" si="61"/>
        <v>0</v>
      </c>
      <c r="J433" s="9">
        <f t="shared" si="62"/>
        <v>0</v>
      </c>
    </row>
    <row r="434" spans="1:10" x14ac:dyDescent="0.2">
      <c r="A434" s="1">
        <v>428</v>
      </c>
      <c r="B434" s="6">
        <v>0</v>
      </c>
      <c r="C434" s="8">
        <v>0</v>
      </c>
      <c r="D434" s="9">
        <f t="shared" si="56"/>
        <v>0</v>
      </c>
      <c r="E434" s="9">
        <f t="shared" si="57"/>
        <v>0</v>
      </c>
      <c r="F434" s="9">
        <f t="shared" si="58"/>
        <v>0</v>
      </c>
      <c r="G434" s="9">
        <f t="shared" si="59"/>
        <v>0</v>
      </c>
      <c r="H434" s="9">
        <f t="shared" si="60"/>
        <v>0</v>
      </c>
      <c r="I434" s="9">
        <f t="shared" si="61"/>
        <v>0</v>
      </c>
      <c r="J434" s="9">
        <f t="shared" si="62"/>
        <v>0</v>
      </c>
    </row>
    <row r="435" spans="1:10" x14ac:dyDescent="0.2">
      <c r="A435" s="1">
        <v>429</v>
      </c>
      <c r="B435" s="6">
        <v>0</v>
      </c>
      <c r="C435" s="8">
        <v>0</v>
      </c>
      <c r="D435" s="9">
        <f t="shared" si="56"/>
        <v>0</v>
      </c>
      <c r="E435" s="9">
        <f t="shared" si="57"/>
        <v>0</v>
      </c>
      <c r="F435" s="9">
        <f t="shared" si="58"/>
        <v>0</v>
      </c>
      <c r="G435" s="9">
        <f t="shared" si="59"/>
        <v>0</v>
      </c>
      <c r="H435" s="9">
        <f t="shared" si="60"/>
        <v>0</v>
      </c>
      <c r="I435" s="9">
        <f t="shared" si="61"/>
        <v>0</v>
      </c>
      <c r="J435" s="9">
        <f t="shared" si="62"/>
        <v>0</v>
      </c>
    </row>
    <row r="436" spans="1:10" x14ac:dyDescent="0.2">
      <c r="A436" s="1">
        <v>430</v>
      </c>
      <c r="B436" s="6">
        <v>0</v>
      </c>
      <c r="C436" s="8">
        <v>0</v>
      </c>
      <c r="D436" s="9">
        <f t="shared" si="56"/>
        <v>0</v>
      </c>
      <c r="E436" s="9">
        <f t="shared" si="57"/>
        <v>0</v>
      </c>
      <c r="F436" s="9">
        <f t="shared" si="58"/>
        <v>0</v>
      </c>
      <c r="G436" s="9">
        <f t="shared" si="59"/>
        <v>0</v>
      </c>
      <c r="H436" s="9">
        <f t="shared" si="60"/>
        <v>0</v>
      </c>
      <c r="I436" s="9">
        <f t="shared" si="61"/>
        <v>0</v>
      </c>
      <c r="J436" s="9">
        <f t="shared" si="62"/>
        <v>0</v>
      </c>
    </row>
    <row r="437" spans="1:10" x14ac:dyDescent="0.2">
      <c r="A437" s="1">
        <v>431</v>
      </c>
      <c r="B437" s="6">
        <v>0</v>
      </c>
      <c r="C437" s="8">
        <v>0</v>
      </c>
      <c r="D437" s="9">
        <f t="shared" si="56"/>
        <v>0</v>
      </c>
      <c r="E437" s="9">
        <f t="shared" si="57"/>
        <v>0</v>
      </c>
      <c r="F437" s="9">
        <f t="shared" si="58"/>
        <v>0</v>
      </c>
      <c r="G437" s="9">
        <f t="shared" si="59"/>
        <v>0</v>
      </c>
      <c r="H437" s="9">
        <f t="shared" si="60"/>
        <v>0</v>
      </c>
      <c r="I437" s="9">
        <f t="shared" si="61"/>
        <v>0</v>
      </c>
      <c r="J437" s="9">
        <f t="shared" si="62"/>
        <v>0</v>
      </c>
    </row>
    <row r="438" spans="1:10" x14ac:dyDescent="0.2">
      <c r="A438" s="1">
        <v>432</v>
      </c>
      <c r="B438" s="6">
        <v>0</v>
      </c>
      <c r="C438" s="8">
        <v>0</v>
      </c>
      <c r="D438" s="9">
        <f t="shared" si="56"/>
        <v>0</v>
      </c>
      <c r="E438" s="9">
        <f t="shared" si="57"/>
        <v>0</v>
      </c>
      <c r="F438" s="9">
        <f t="shared" si="58"/>
        <v>0</v>
      </c>
      <c r="G438" s="9">
        <f t="shared" si="59"/>
        <v>0</v>
      </c>
      <c r="H438" s="9">
        <f t="shared" si="60"/>
        <v>0</v>
      </c>
      <c r="I438" s="9">
        <f t="shared" si="61"/>
        <v>0</v>
      </c>
      <c r="J438" s="9">
        <f t="shared" si="62"/>
        <v>0</v>
      </c>
    </row>
    <row r="439" spans="1:10" x14ac:dyDescent="0.2">
      <c r="A439" s="1">
        <v>433</v>
      </c>
      <c r="B439" s="6">
        <v>0</v>
      </c>
      <c r="C439" s="8">
        <v>0</v>
      </c>
      <c r="D439" s="9">
        <f t="shared" si="56"/>
        <v>0</v>
      </c>
      <c r="E439" s="9">
        <f t="shared" si="57"/>
        <v>0</v>
      </c>
      <c r="F439" s="9">
        <f t="shared" si="58"/>
        <v>0</v>
      </c>
      <c r="G439" s="9">
        <f t="shared" si="59"/>
        <v>0</v>
      </c>
      <c r="H439" s="9">
        <f t="shared" si="60"/>
        <v>0</v>
      </c>
      <c r="I439" s="9">
        <f t="shared" si="61"/>
        <v>0</v>
      </c>
      <c r="J439" s="9">
        <f t="shared" si="62"/>
        <v>0</v>
      </c>
    </row>
    <row r="440" spans="1:10" x14ac:dyDescent="0.2">
      <c r="A440" s="1">
        <v>434</v>
      </c>
      <c r="B440" s="6">
        <v>0</v>
      </c>
      <c r="C440" s="8">
        <v>0</v>
      </c>
      <c r="D440" s="9">
        <f t="shared" si="56"/>
        <v>0</v>
      </c>
      <c r="E440" s="9">
        <f t="shared" si="57"/>
        <v>0</v>
      </c>
      <c r="F440" s="9">
        <f t="shared" si="58"/>
        <v>0</v>
      </c>
      <c r="G440" s="9">
        <f t="shared" si="59"/>
        <v>0</v>
      </c>
      <c r="H440" s="9">
        <f t="shared" si="60"/>
        <v>0</v>
      </c>
      <c r="I440" s="9">
        <f t="shared" si="61"/>
        <v>0</v>
      </c>
      <c r="J440" s="9">
        <f t="shared" si="62"/>
        <v>0</v>
      </c>
    </row>
    <row r="441" spans="1:10" x14ac:dyDescent="0.2">
      <c r="A441" s="1">
        <v>435</v>
      </c>
      <c r="B441" s="6">
        <v>0</v>
      </c>
      <c r="C441" s="8">
        <v>0</v>
      </c>
      <c r="D441" s="9">
        <f t="shared" si="56"/>
        <v>0</v>
      </c>
      <c r="E441" s="9">
        <f t="shared" si="57"/>
        <v>0</v>
      </c>
      <c r="F441" s="9">
        <f t="shared" si="58"/>
        <v>0</v>
      </c>
      <c r="G441" s="9">
        <f t="shared" si="59"/>
        <v>0</v>
      </c>
      <c r="H441" s="9">
        <f t="shared" si="60"/>
        <v>0</v>
      </c>
      <c r="I441" s="9">
        <f t="shared" si="61"/>
        <v>0</v>
      </c>
      <c r="J441" s="9">
        <f t="shared" si="62"/>
        <v>0</v>
      </c>
    </row>
    <row r="442" spans="1:10" x14ac:dyDescent="0.2">
      <c r="A442" s="1">
        <v>436</v>
      </c>
      <c r="B442" s="6">
        <v>0</v>
      </c>
      <c r="C442" s="8">
        <v>0</v>
      </c>
      <c r="D442" s="9">
        <f t="shared" si="56"/>
        <v>0</v>
      </c>
      <c r="E442" s="9">
        <f t="shared" si="57"/>
        <v>0</v>
      </c>
      <c r="F442" s="9">
        <f t="shared" si="58"/>
        <v>0</v>
      </c>
      <c r="G442" s="9">
        <f t="shared" si="59"/>
        <v>0</v>
      </c>
      <c r="H442" s="9">
        <f t="shared" si="60"/>
        <v>0</v>
      </c>
      <c r="I442" s="9">
        <f t="shared" si="61"/>
        <v>0</v>
      </c>
      <c r="J442" s="9">
        <f t="shared" si="62"/>
        <v>0</v>
      </c>
    </row>
    <row r="443" spans="1:10" x14ac:dyDescent="0.2">
      <c r="A443" s="1">
        <v>437</v>
      </c>
      <c r="B443" s="6">
        <v>0</v>
      </c>
      <c r="C443" s="8">
        <v>0</v>
      </c>
      <c r="D443" s="9">
        <f t="shared" si="56"/>
        <v>0</v>
      </c>
      <c r="E443" s="9">
        <f t="shared" si="57"/>
        <v>0</v>
      </c>
      <c r="F443" s="9">
        <f t="shared" si="58"/>
        <v>0</v>
      </c>
      <c r="G443" s="9">
        <f t="shared" si="59"/>
        <v>0</v>
      </c>
      <c r="H443" s="9">
        <f t="shared" si="60"/>
        <v>0</v>
      </c>
      <c r="I443" s="9">
        <f t="shared" si="61"/>
        <v>0</v>
      </c>
      <c r="J443" s="9">
        <f t="shared" si="62"/>
        <v>0</v>
      </c>
    </row>
    <row r="444" spans="1:10" x14ac:dyDescent="0.2">
      <c r="A444" s="1">
        <v>438</v>
      </c>
      <c r="B444" s="6">
        <v>0</v>
      </c>
      <c r="C444" s="8">
        <v>0</v>
      </c>
      <c r="D444" s="9">
        <f t="shared" si="56"/>
        <v>0</v>
      </c>
      <c r="E444" s="9">
        <f t="shared" si="57"/>
        <v>0</v>
      </c>
      <c r="F444" s="9">
        <f t="shared" si="58"/>
        <v>0</v>
      </c>
      <c r="G444" s="9">
        <f t="shared" si="59"/>
        <v>0</v>
      </c>
      <c r="H444" s="9">
        <f t="shared" si="60"/>
        <v>0</v>
      </c>
      <c r="I444" s="9">
        <f t="shared" si="61"/>
        <v>0</v>
      </c>
      <c r="J444" s="9">
        <f t="shared" si="62"/>
        <v>0</v>
      </c>
    </row>
    <row r="445" spans="1:10" x14ac:dyDescent="0.2">
      <c r="A445" s="1">
        <v>439</v>
      </c>
      <c r="B445" s="6">
        <v>0</v>
      </c>
      <c r="C445" s="8">
        <v>0</v>
      </c>
      <c r="D445" s="9">
        <f t="shared" si="56"/>
        <v>0</v>
      </c>
      <c r="E445" s="9">
        <f t="shared" si="57"/>
        <v>0</v>
      </c>
      <c r="F445" s="9">
        <f t="shared" si="58"/>
        <v>0</v>
      </c>
      <c r="G445" s="9">
        <f t="shared" si="59"/>
        <v>0</v>
      </c>
      <c r="H445" s="9">
        <f t="shared" si="60"/>
        <v>0</v>
      </c>
      <c r="I445" s="9">
        <f t="shared" si="61"/>
        <v>0</v>
      </c>
      <c r="J445" s="9">
        <f t="shared" si="62"/>
        <v>0</v>
      </c>
    </row>
    <row r="446" spans="1:10" x14ac:dyDescent="0.2">
      <c r="A446" s="1">
        <v>440</v>
      </c>
      <c r="B446" s="6">
        <v>0</v>
      </c>
      <c r="C446" s="8">
        <v>0</v>
      </c>
      <c r="D446" s="9">
        <f t="shared" si="56"/>
        <v>0</v>
      </c>
      <c r="E446" s="9">
        <f t="shared" si="57"/>
        <v>0</v>
      </c>
      <c r="F446" s="9">
        <f t="shared" si="58"/>
        <v>0</v>
      </c>
      <c r="G446" s="9">
        <f t="shared" si="59"/>
        <v>0</v>
      </c>
      <c r="H446" s="9">
        <f t="shared" si="60"/>
        <v>0</v>
      </c>
      <c r="I446" s="9">
        <f t="shared" si="61"/>
        <v>0</v>
      </c>
      <c r="J446" s="9">
        <f t="shared" si="62"/>
        <v>0</v>
      </c>
    </row>
    <row r="447" spans="1:10" x14ac:dyDescent="0.2">
      <c r="A447" s="1">
        <v>441</v>
      </c>
      <c r="B447" s="6">
        <v>0</v>
      </c>
      <c r="C447" s="8">
        <v>0</v>
      </c>
      <c r="D447" s="9">
        <f t="shared" si="56"/>
        <v>0</v>
      </c>
      <c r="E447" s="9">
        <f t="shared" si="57"/>
        <v>0</v>
      </c>
      <c r="F447" s="9">
        <f t="shared" si="58"/>
        <v>0</v>
      </c>
      <c r="G447" s="9">
        <f t="shared" si="59"/>
        <v>0</v>
      </c>
      <c r="H447" s="9">
        <f t="shared" si="60"/>
        <v>0</v>
      </c>
      <c r="I447" s="9">
        <f t="shared" si="61"/>
        <v>0</v>
      </c>
      <c r="J447" s="9">
        <f t="shared" si="62"/>
        <v>0</v>
      </c>
    </row>
    <row r="448" spans="1:10" x14ac:dyDescent="0.2">
      <c r="A448" s="1">
        <v>442</v>
      </c>
      <c r="B448" s="6">
        <v>0</v>
      </c>
      <c r="C448" s="8">
        <v>0</v>
      </c>
      <c r="D448" s="9">
        <f t="shared" si="56"/>
        <v>0</v>
      </c>
      <c r="E448" s="9">
        <f t="shared" si="57"/>
        <v>0</v>
      </c>
      <c r="F448" s="9">
        <f t="shared" si="58"/>
        <v>0</v>
      </c>
      <c r="G448" s="9">
        <f t="shared" si="59"/>
        <v>0</v>
      </c>
      <c r="H448" s="9">
        <f t="shared" si="60"/>
        <v>0</v>
      </c>
      <c r="I448" s="9">
        <f t="shared" si="61"/>
        <v>0</v>
      </c>
      <c r="J448" s="9">
        <f t="shared" si="62"/>
        <v>0</v>
      </c>
    </row>
    <row r="449" spans="1:10" x14ac:dyDescent="0.2">
      <c r="A449" s="1">
        <v>443</v>
      </c>
      <c r="B449" s="6">
        <v>0</v>
      </c>
      <c r="C449" s="8">
        <v>0</v>
      </c>
      <c r="D449" s="9">
        <f t="shared" si="56"/>
        <v>0</v>
      </c>
      <c r="E449" s="9">
        <f t="shared" si="57"/>
        <v>0</v>
      </c>
      <c r="F449" s="9">
        <f t="shared" si="58"/>
        <v>0</v>
      </c>
      <c r="G449" s="9">
        <f t="shared" si="59"/>
        <v>0</v>
      </c>
      <c r="H449" s="9">
        <f t="shared" si="60"/>
        <v>0</v>
      </c>
      <c r="I449" s="9">
        <f t="shared" si="61"/>
        <v>0</v>
      </c>
      <c r="J449" s="9">
        <f t="shared" si="62"/>
        <v>0</v>
      </c>
    </row>
    <row r="450" spans="1:10" x14ac:dyDescent="0.2">
      <c r="A450" s="1">
        <v>444</v>
      </c>
      <c r="B450" s="6">
        <v>0</v>
      </c>
      <c r="C450" s="8">
        <v>0</v>
      </c>
      <c r="D450" s="9">
        <f t="shared" si="56"/>
        <v>0</v>
      </c>
      <c r="E450" s="9">
        <f t="shared" si="57"/>
        <v>0</v>
      </c>
      <c r="F450" s="9">
        <f t="shared" si="58"/>
        <v>0</v>
      </c>
      <c r="G450" s="9">
        <f t="shared" si="59"/>
        <v>0</v>
      </c>
      <c r="H450" s="9">
        <f t="shared" si="60"/>
        <v>0</v>
      </c>
      <c r="I450" s="9">
        <f t="shared" si="61"/>
        <v>0</v>
      </c>
      <c r="J450" s="9">
        <f t="shared" si="62"/>
        <v>0</v>
      </c>
    </row>
    <row r="451" spans="1:10" x14ac:dyDescent="0.2">
      <c r="A451" s="1">
        <v>445</v>
      </c>
      <c r="B451" s="6">
        <v>0</v>
      </c>
      <c r="C451" s="8">
        <v>0</v>
      </c>
      <c r="D451" s="9">
        <f t="shared" si="56"/>
        <v>0</v>
      </c>
      <c r="E451" s="9">
        <f t="shared" si="57"/>
        <v>0</v>
      </c>
      <c r="F451" s="9">
        <f t="shared" si="58"/>
        <v>0</v>
      </c>
      <c r="G451" s="9">
        <f t="shared" si="59"/>
        <v>0</v>
      </c>
      <c r="H451" s="9">
        <f t="shared" si="60"/>
        <v>0</v>
      </c>
      <c r="I451" s="9">
        <f t="shared" si="61"/>
        <v>0</v>
      </c>
      <c r="J451" s="9">
        <f t="shared" si="62"/>
        <v>0</v>
      </c>
    </row>
    <row r="452" spans="1:10" x14ac:dyDescent="0.2">
      <c r="A452" s="1">
        <v>446</v>
      </c>
      <c r="B452" s="6">
        <v>0</v>
      </c>
      <c r="C452" s="8">
        <v>0</v>
      </c>
      <c r="D452" s="9">
        <f t="shared" si="56"/>
        <v>0</v>
      </c>
      <c r="E452" s="9">
        <f t="shared" si="57"/>
        <v>0</v>
      </c>
      <c r="F452" s="9">
        <f t="shared" si="58"/>
        <v>0</v>
      </c>
      <c r="G452" s="9">
        <f t="shared" si="59"/>
        <v>0</v>
      </c>
      <c r="H452" s="9">
        <f t="shared" si="60"/>
        <v>0</v>
      </c>
      <c r="I452" s="9">
        <f t="shared" si="61"/>
        <v>0</v>
      </c>
      <c r="J452" s="9">
        <f t="shared" si="62"/>
        <v>0</v>
      </c>
    </row>
    <row r="453" spans="1:10" x14ac:dyDescent="0.2">
      <c r="A453" s="1">
        <v>447</v>
      </c>
      <c r="B453" s="6">
        <v>0</v>
      </c>
      <c r="C453" s="8">
        <v>0</v>
      </c>
      <c r="D453" s="9">
        <f t="shared" si="56"/>
        <v>0</v>
      </c>
      <c r="E453" s="9">
        <f t="shared" si="57"/>
        <v>0</v>
      </c>
      <c r="F453" s="9">
        <f t="shared" si="58"/>
        <v>0</v>
      </c>
      <c r="G453" s="9">
        <f t="shared" si="59"/>
        <v>0</v>
      </c>
      <c r="H453" s="9">
        <f t="shared" si="60"/>
        <v>0</v>
      </c>
      <c r="I453" s="9">
        <f t="shared" si="61"/>
        <v>0</v>
      </c>
      <c r="J453" s="9">
        <f t="shared" si="62"/>
        <v>0</v>
      </c>
    </row>
    <row r="454" spans="1:10" x14ac:dyDescent="0.2">
      <c r="A454" s="1">
        <v>448</v>
      </c>
      <c r="B454" s="6">
        <v>0</v>
      </c>
      <c r="C454" s="8">
        <v>0</v>
      </c>
      <c r="D454" s="9">
        <f t="shared" si="56"/>
        <v>0</v>
      </c>
      <c r="E454" s="9">
        <f t="shared" si="57"/>
        <v>0</v>
      </c>
      <c r="F454" s="9">
        <f t="shared" si="58"/>
        <v>0</v>
      </c>
      <c r="G454" s="9">
        <f t="shared" si="59"/>
        <v>0</v>
      </c>
      <c r="H454" s="9">
        <f t="shared" si="60"/>
        <v>0</v>
      </c>
      <c r="I454" s="9">
        <f t="shared" si="61"/>
        <v>0</v>
      </c>
      <c r="J454" s="9">
        <f t="shared" si="62"/>
        <v>0</v>
      </c>
    </row>
    <row r="455" spans="1:10" x14ac:dyDescent="0.2">
      <c r="A455" s="1">
        <v>449</v>
      </c>
      <c r="B455" s="6">
        <v>0</v>
      </c>
      <c r="C455" s="8">
        <v>0</v>
      </c>
      <c r="D455" s="9">
        <f t="shared" si="56"/>
        <v>0</v>
      </c>
      <c r="E455" s="9">
        <f t="shared" si="57"/>
        <v>0</v>
      </c>
      <c r="F455" s="9">
        <f t="shared" si="58"/>
        <v>0</v>
      </c>
      <c r="G455" s="9">
        <f t="shared" si="59"/>
        <v>0</v>
      </c>
      <c r="H455" s="9">
        <f t="shared" si="60"/>
        <v>0</v>
      </c>
      <c r="I455" s="9">
        <f t="shared" si="61"/>
        <v>0</v>
      </c>
      <c r="J455" s="9">
        <f t="shared" si="62"/>
        <v>0</v>
      </c>
    </row>
    <row r="456" spans="1:10" x14ac:dyDescent="0.2">
      <c r="A456" s="1">
        <v>450</v>
      </c>
      <c r="B456" s="6">
        <v>0</v>
      </c>
      <c r="C456" s="8">
        <v>0</v>
      </c>
      <c r="D456" s="9">
        <f t="shared" si="56"/>
        <v>0</v>
      </c>
      <c r="E456" s="9">
        <f t="shared" si="57"/>
        <v>0</v>
      </c>
      <c r="F456" s="9">
        <f t="shared" si="58"/>
        <v>0</v>
      </c>
      <c r="G456" s="9">
        <f t="shared" si="59"/>
        <v>0</v>
      </c>
      <c r="H456" s="9">
        <f t="shared" si="60"/>
        <v>0</v>
      </c>
      <c r="I456" s="9">
        <f t="shared" si="61"/>
        <v>0</v>
      </c>
      <c r="J456" s="9">
        <f t="shared" si="62"/>
        <v>0</v>
      </c>
    </row>
    <row r="457" spans="1:10" x14ac:dyDescent="0.2">
      <c r="A457" s="1">
        <v>451</v>
      </c>
      <c r="B457" s="6">
        <v>0</v>
      </c>
      <c r="C457" s="8">
        <v>0</v>
      </c>
      <c r="D457" s="9">
        <f t="shared" si="56"/>
        <v>0</v>
      </c>
      <c r="E457" s="9">
        <f t="shared" si="57"/>
        <v>0</v>
      </c>
      <c r="F457" s="9">
        <f t="shared" si="58"/>
        <v>0</v>
      </c>
      <c r="G457" s="9">
        <f t="shared" si="59"/>
        <v>0</v>
      </c>
      <c r="H457" s="9">
        <f t="shared" si="60"/>
        <v>0</v>
      </c>
      <c r="I457" s="9">
        <f t="shared" si="61"/>
        <v>0</v>
      </c>
      <c r="J457" s="9">
        <f t="shared" si="62"/>
        <v>0</v>
      </c>
    </row>
    <row r="458" spans="1:10" x14ac:dyDescent="0.2">
      <c r="A458" s="1">
        <v>452</v>
      </c>
      <c r="B458" s="6">
        <v>0</v>
      </c>
      <c r="C458" s="8">
        <v>0</v>
      </c>
      <c r="D458" s="9">
        <f t="shared" si="56"/>
        <v>0</v>
      </c>
      <c r="E458" s="9">
        <f t="shared" si="57"/>
        <v>0</v>
      </c>
      <c r="F458" s="9">
        <f t="shared" si="58"/>
        <v>0</v>
      </c>
      <c r="G458" s="9">
        <f t="shared" si="59"/>
        <v>0</v>
      </c>
      <c r="H458" s="9">
        <f t="shared" si="60"/>
        <v>0</v>
      </c>
      <c r="I458" s="9">
        <f t="shared" si="61"/>
        <v>0</v>
      </c>
      <c r="J458" s="9">
        <f t="shared" si="62"/>
        <v>0</v>
      </c>
    </row>
    <row r="459" spans="1:10" x14ac:dyDescent="0.2">
      <c r="A459" s="1">
        <v>453</v>
      </c>
      <c r="B459" s="6">
        <v>0</v>
      </c>
      <c r="C459" s="8">
        <v>0</v>
      </c>
      <c r="D459" s="9">
        <f t="shared" si="56"/>
        <v>0</v>
      </c>
      <c r="E459" s="9">
        <f t="shared" si="57"/>
        <v>0</v>
      </c>
      <c r="F459" s="9">
        <f t="shared" si="58"/>
        <v>0</v>
      </c>
      <c r="G459" s="9">
        <f t="shared" si="59"/>
        <v>0</v>
      </c>
      <c r="H459" s="9">
        <f t="shared" si="60"/>
        <v>0</v>
      </c>
      <c r="I459" s="9">
        <f t="shared" si="61"/>
        <v>0</v>
      </c>
      <c r="J459" s="9">
        <f t="shared" si="62"/>
        <v>0</v>
      </c>
    </row>
    <row r="460" spans="1:10" x14ac:dyDescent="0.2">
      <c r="A460" s="1">
        <v>454</v>
      </c>
      <c r="B460" s="6">
        <v>0</v>
      </c>
      <c r="C460" s="8">
        <v>0</v>
      </c>
      <c r="D460" s="9">
        <f t="shared" si="56"/>
        <v>0</v>
      </c>
      <c r="E460" s="9">
        <f t="shared" si="57"/>
        <v>0</v>
      </c>
      <c r="F460" s="9">
        <f t="shared" si="58"/>
        <v>0</v>
      </c>
      <c r="G460" s="9">
        <f t="shared" si="59"/>
        <v>0</v>
      </c>
      <c r="H460" s="9">
        <f t="shared" si="60"/>
        <v>0</v>
      </c>
      <c r="I460" s="9">
        <f t="shared" si="61"/>
        <v>0</v>
      </c>
      <c r="J460" s="9">
        <f t="shared" si="62"/>
        <v>0</v>
      </c>
    </row>
    <row r="461" spans="1:10" x14ac:dyDescent="0.2">
      <c r="A461" s="1">
        <v>455</v>
      </c>
      <c r="B461" s="6">
        <v>0</v>
      </c>
      <c r="C461" s="8">
        <v>0</v>
      </c>
      <c r="D461" s="9">
        <f t="shared" si="56"/>
        <v>0</v>
      </c>
      <c r="E461" s="9">
        <f t="shared" si="57"/>
        <v>0</v>
      </c>
      <c r="F461" s="9">
        <f t="shared" si="58"/>
        <v>0</v>
      </c>
      <c r="G461" s="9">
        <f t="shared" si="59"/>
        <v>0</v>
      </c>
      <c r="H461" s="9">
        <f t="shared" si="60"/>
        <v>0</v>
      </c>
      <c r="I461" s="9">
        <f t="shared" si="61"/>
        <v>0</v>
      </c>
      <c r="J461" s="9">
        <f t="shared" si="62"/>
        <v>0</v>
      </c>
    </row>
    <row r="462" spans="1:10" x14ac:dyDescent="0.2">
      <c r="A462" s="1">
        <v>456</v>
      </c>
      <c r="B462" s="6">
        <v>0</v>
      </c>
      <c r="C462" s="8">
        <v>0</v>
      </c>
      <c r="D462" s="9">
        <f t="shared" si="56"/>
        <v>0</v>
      </c>
      <c r="E462" s="9">
        <f t="shared" si="57"/>
        <v>0</v>
      </c>
      <c r="F462" s="9">
        <f t="shared" si="58"/>
        <v>0</v>
      </c>
      <c r="G462" s="9">
        <f t="shared" si="59"/>
        <v>0</v>
      </c>
      <c r="H462" s="9">
        <f t="shared" si="60"/>
        <v>0</v>
      </c>
      <c r="I462" s="9">
        <f t="shared" si="61"/>
        <v>0</v>
      </c>
      <c r="J462" s="9">
        <f t="shared" si="62"/>
        <v>0</v>
      </c>
    </row>
    <row r="463" spans="1:10" x14ac:dyDescent="0.2">
      <c r="A463" s="1">
        <v>457</v>
      </c>
      <c r="B463" s="6">
        <v>0</v>
      </c>
      <c r="C463" s="8">
        <v>0</v>
      </c>
      <c r="D463" s="9">
        <f t="shared" si="56"/>
        <v>0</v>
      </c>
      <c r="E463" s="9">
        <f t="shared" si="57"/>
        <v>0</v>
      </c>
      <c r="F463" s="9">
        <f t="shared" si="58"/>
        <v>0</v>
      </c>
      <c r="G463" s="9">
        <f t="shared" si="59"/>
        <v>0</v>
      </c>
      <c r="H463" s="9">
        <f t="shared" si="60"/>
        <v>0</v>
      </c>
      <c r="I463" s="9">
        <f t="shared" si="61"/>
        <v>0</v>
      </c>
      <c r="J463" s="9">
        <f t="shared" si="62"/>
        <v>0</v>
      </c>
    </row>
    <row r="464" spans="1:10" x14ac:dyDescent="0.2">
      <c r="A464" s="1">
        <v>458</v>
      </c>
      <c r="B464" s="6">
        <v>0</v>
      </c>
      <c r="C464" s="8">
        <v>0</v>
      </c>
      <c r="D464" s="9">
        <f t="shared" si="56"/>
        <v>0</v>
      </c>
      <c r="E464" s="9">
        <f t="shared" si="57"/>
        <v>0</v>
      </c>
      <c r="F464" s="9">
        <f t="shared" si="58"/>
        <v>0</v>
      </c>
      <c r="G464" s="9">
        <f t="shared" si="59"/>
        <v>0</v>
      </c>
      <c r="H464" s="9">
        <f t="shared" si="60"/>
        <v>0</v>
      </c>
      <c r="I464" s="9">
        <f t="shared" si="61"/>
        <v>0</v>
      </c>
      <c r="J464" s="9">
        <f t="shared" si="62"/>
        <v>0</v>
      </c>
    </row>
    <row r="465" spans="1:10" x14ac:dyDescent="0.2">
      <c r="A465" s="1">
        <v>459</v>
      </c>
      <c r="B465" s="6">
        <v>0</v>
      </c>
      <c r="C465" s="8">
        <v>0</v>
      </c>
      <c r="D465" s="9">
        <f t="shared" si="56"/>
        <v>0</v>
      </c>
      <c r="E465" s="9">
        <f t="shared" si="57"/>
        <v>0</v>
      </c>
      <c r="F465" s="9">
        <f t="shared" si="58"/>
        <v>0</v>
      </c>
      <c r="G465" s="9">
        <f t="shared" si="59"/>
        <v>0</v>
      </c>
      <c r="H465" s="9">
        <f t="shared" si="60"/>
        <v>0</v>
      </c>
      <c r="I465" s="9">
        <f t="shared" si="61"/>
        <v>0</v>
      </c>
      <c r="J465" s="9">
        <f t="shared" si="62"/>
        <v>0</v>
      </c>
    </row>
    <row r="466" spans="1:10" x14ac:dyDescent="0.2">
      <c r="A466" s="1">
        <v>460</v>
      </c>
      <c r="B466" s="6">
        <v>0</v>
      </c>
      <c r="C466" s="8">
        <v>0</v>
      </c>
      <c r="D466" s="9">
        <f t="shared" si="56"/>
        <v>0</v>
      </c>
      <c r="E466" s="9">
        <f t="shared" si="57"/>
        <v>0</v>
      </c>
      <c r="F466" s="9">
        <f t="shared" si="58"/>
        <v>0</v>
      </c>
      <c r="G466" s="9">
        <f t="shared" si="59"/>
        <v>0</v>
      </c>
      <c r="H466" s="9">
        <f t="shared" si="60"/>
        <v>0</v>
      </c>
      <c r="I466" s="9">
        <f t="shared" si="61"/>
        <v>0</v>
      </c>
      <c r="J466" s="9">
        <f t="shared" si="62"/>
        <v>0</v>
      </c>
    </row>
    <row r="467" spans="1:10" x14ac:dyDescent="0.2">
      <c r="A467" s="1">
        <v>461</v>
      </c>
      <c r="B467" s="6">
        <v>0</v>
      </c>
      <c r="C467" s="8">
        <v>0</v>
      </c>
      <c r="D467" s="9">
        <f t="shared" si="56"/>
        <v>0</v>
      </c>
      <c r="E467" s="9">
        <f t="shared" si="57"/>
        <v>0</v>
      </c>
      <c r="F467" s="9">
        <f t="shared" si="58"/>
        <v>0</v>
      </c>
      <c r="G467" s="9">
        <f t="shared" si="59"/>
        <v>0</v>
      </c>
      <c r="H467" s="9">
        <f t="shared" si="60"/>
        <v>0</v>
      </c>
      <c r="I467" s="9">
        <f t="shared" si="61"/>
        <v>0</v>
      </c>
      <c r="J467" s="9">
        <f t="shared" si="62"/>
        <v>0</v>
      </c>
    </row>
    <row r="468" spans="1:10" x14ac:dyDescent="0.2">
      <c r="A468" s="1">
        <v>462</v>
      </c>
      <c r="B468" s="6">
        <v>0</v>
      </c>
      <c r="C468" s="8">
        <v>0</v>
      </c>
      <c r="D468" s="9">
        <f t="shared" si="56"/>
        <v>0</v>
      </c>
      <c r="E468" s="9">
        <f t="shared" si="57"/>
        <v>0</v>
      </c>
      <c r="F468" s="9">
        <f t="shared" si="58"/>
        <v>0</v>
      </c>
      <c r="G468" s="9">
        <f t="shared" si="59"/>
        <v>0</v>
      </c>
      <c r="H468" s="9">
        <f t="shared" si="60"/>
        <v>0</v>
      </c>
      <c r="I468" s="9">
        <f t="shared" si="61"/>
        <v>0</v>
      </c>
      <c r="J468" s="9">
        <f t="shared" si="62"/>
        <v>0</v>
      </c>
    </row>
    <row r="469" spans="1:10" x14ac:dyDescent="0.2">
      <c r="A469" s="1">
        <v>463</v>
      </c>
      <c r="B469" s="6">
        <v>0</v>
      </c>
      <c r="C469" s="8">
        <v>0</v>
      </c>
      <c r="D469" s="9">
        <f t="shared" si="56"/>
        <v>0</v>
      </c>
      <c r="E469" s="9">
        <f t="shared" si="57"/>
        <v>0</v>
      </c>
      <c r="F469" s="9">
        <f t="shared" si="58"/>
        <v>0</v>
      </c>
      <c r="G469" s="9">
        <f t="shared" si="59"/>
        <v>0</v>
      </c>
      <c r="H469" s="9">
        <f t="shared" si="60"/>
        <v>0</v>
      </c>
      <c r="I469" s="9">
        <f t="shared" si="61"/>
        <v>0</v>
      </c>
      <c r="J469" s="9">
        <f t="shared" si="62"/>
        <v>0</v>
      </c>
    </row>
    <row r="470" spans="1:10" x14ac:dyDescent="0.2">
      <c r="A470" s="1">
        <v>464</v>
      </c>
      <c r="B470" s="6">
        <v>0</v>
      </c>
      <c r="C470" s="8">
        <v>0</v>
      </c>
      <c r="D470" s="9">
        <f t="shared" si="56"/>
        <v>0</v>
      </c>
      <c r="E470" s="9">
        <f t="shared" si="57"/>
        <v>0</v>
      </c>
      <c r="F470" s="9">
        <f t="shared" si="58"/>
        <v>0</v>
      </c>
      <c r="G470" s="9">
        <f t="shared" si="59"/>
        <v>0</v>
      </c>
      <c r="H470" s="9">
        <f t="shared" si="60"/>
        <v>0</v>
      </c>
      <c r="I470" s="9">
        <f t="shared" si="61"/>
        <v>0</v>
      </c>
      <c r="J470" s="9">
        <f t="shared" si="62"/>
        <v>0</v>
      </c>
    </row>
    <row r="471" spans="1:10" x14ac:dyDescent="0.2">
      <c r="A471" s="1">
        <v>465</v>
      </c>
      <c r="B471" s="6">
        <v>0</v>
      </c>
      <c r="C471" s="8">
        <v>0</v>
      </c>
      <c r="D471" s="9">
        <f t="shared" si="56"/>
        <v>0</v>
      </c>
      <c r="E471" s="9">
        <f t="shared" si="57"/>
        <v>0</v>
      </c>
      <c r="F471" s="9">
        <f t="shared" si="58"/>
        <v>0</v>
      </c>
      <c r="G471" s="9">
        <f t="shared" si="59"/>
        <v>0</v>
      </c>
      <c r="H471" s="9">
        <f t="shared" si="60"/>
        <v>0</v>
      </c>
      <c r="I471" s="9">
        <f t="shared" si="61"/>
        <v>0</v>
      </c>
      <c r="J471" s="9">
        <f t="shared" si="62"/>
        <v>0</v>
      </c>
    </row>
    <row r="472" spans="1:10" x14ac:dyDescent="0.2">
      <c r="A472" s="1">
        <v>466</v>
      </c>
      <c r="B472" s="6">
        <v>0</v>
      </c>
      <c r="C472" s="8">
        <v>0</v>
      </c>
      <c r="D472" s="9">
        <f t="shared" si="56"/>
        <v>0</v>
      </c>
      <c r="E472" s="9">
        <f t="shared" si="57"/>
        <v>0</v>
      </c>
      <c r="F472" s="9">
        <f t="shared" si="58"/>
        <v>0</v>
      </c>
      <c r="G472" s="9">
        <f t="shared" si="59"/>
        <v>0</v>
      </c>
      <c r="H472" s="9">
        <f t="shared" si="60"/>
        <v>0</v>
      </c>
      <c r="I472" s="9">
        <f t="shared" si="61"/>
        <v>0</v>
      </c>
      <c r="J472" s="9">
        <f t="shared" si="62"/>
        <v>0</v>
      </c>
    </row>
    <row r="473" spans="1:10" x14ac:dyDescent="0.2">
      <c r="A473" s="1">
        <v>467</v>
      </c>
      <c r="B473" s="6">
        <v>0</v>
      </c>
      <c r="C473" s="8">
        <v>0</v>
      </c>
      <c r="D473" s="9">
        <f t="shared" si="56"/>
        <v>0</v>
      </c>
      <c r="E473" s="9">
        <f t="shared" si="57"/>
        <v>0</v>
      </c>
      <c r="F473" s="9">
        <f t="shared" si="58"/>
        <v>0</v>
      </c>
      <c r="G473" s="9">
        <f t="shared" si="59"/>
        <v>0</v>
      </c>
      <c r="H473" s="9">
        <f t="shared" si="60"/>
        <v>0</v>
      </c>
      <c r="I473" s="9">
        <f t="shared" si="61"/>
        <v>0</v>
      </c>
      <c r="J473" s="9">
        <f t="shared" si="62"/>
        <v>0</v>
      </c>
    </row>
    <row r="474" spans="1:10" x14ac:dyDescent="0.2">
      <c r="A474" s="1">
        <v>468</v>
      </c>
      <c r="B474" s="6">
        <v>0</v>
      </c>
      <c r="C474" s="8">
        <v>0</v>
      </c>
      <c r="D474" s="9">
        <f t="shared" si="56"/>
        <v>0</v>
      </c>
      <c r="E474" s="9">
        <f t="shared" si="57"/>
        <v>0</v>
      </c>
      <c r="F474" s="9">
        <f t="shared" si="58"/>
        <v>0</v>
      </c>
      <c r="G474" s="9">
        <f t="shared" si="59"/>
        <v>0</v>
      </c>
      <c r="H474" s="9">
        <f t="shared" si="60"/>
        <v>0</v>
      </c>
      <c r="I474" s="9">
        <f t="shared" si="61"/>
        <v>0</v>
      </c>
      <c r="J474" s="9">
        <f t="shared" si="62"/>
        <v>0</v>
      </c>
    </row>
    <row r="475" spans="1:10" x14ac:dyDescent="0.2">
      <c r="A475" s="1">
        <v>469</v>
      </c>
      <c r="B475" s="6">
        <v>0</v>
      </c>
      <c r="C475" s="8">
        <v>0</v>
      </c>
      <c r="D475" s="9">
        <f t="shared" si="56"/>
        <v>0</v>
      </c>
      <c r="E475" s="9">
        <f t="shared" si="57"/>
        <v>0</v>
      </c>
      <c r="F475" s="9">
        <f t="shared" si="58"/>
        <v>0</v>
      </c>
      <c r="G475" s="9">
        <f t="shared" si="59"/>
        <v>0</v>
      </c>
      <c r="H475" s="9">
        <f t="shared" si="60"/>
        <v>0</v>
      </c>
      <c r="I475" s="9">
        <f t="shared" si="61"/>
        <v>0</v>
      </c>
      <c r="J475" s="9">
        <f t="shared" si="62"/>
        <v>0</v>
      </c>
    </row>
    <row r="476" spans="1:10" x14ac:dyDescent="0.2">
      <c r="A476" s="1">
        <v>470</v>
      </c>
      <c r="B476" s="6">
        <v>0</v>
      </c>
      <c r="C476" s="8">
        <v>0</v>
      </c>
      <c r="D476" s="9">
        <f t="shared" si="56"/>
        <v>0</v>
      </c>
      <c r="E476" s="9">
        <f t="shared" si="57"/>
        <v>0</v>
      </c>
      <c r="F476" s="9">
        <f t="shared" si="58"/>
        <v>0</v>
      </c>
      <c r="G476" s="9">
        <f t="shared" si="59"/>
        <v>0</v>
      </c>
      <c r="H476" s="9">
        <f t="shared" si="60"/>
        <v>0</v>
      </c>
      <c r="I476" s="9">
        <f t="shared" si="61"/>
        <v>0</v>
      </c>
      <c r="J476" s="9">
        <f t="shared" si="62"/>
        <v>0</v>
      </c>
    </row>
    <row r="477" spans="1:10" x14ac:dyDescent="0.2">
      <c r="A477" s="1">
        <v>471</v>
      </c>
      <c r="B477" s="6">
        <v>0</v>
      </c>
      <c r="C477" s="8">
        <v>0</v>
      </c>
      <c r="D477" s="9">
        <f t="shared" si="56"/>
        <v>0</v>
      </c>
      <c r="E477" s="9">
        <f t="shared" si="57"/>
        <v>0</v>
      </c>
      <c r="F477" s="9">
        <f t="shared" si="58"/>
        <v>0</v>
      </c>
      <c r="G477" s="9">
        <f t="shared" si="59"/>
        <v>0</v>
      </c>
      <c r="H477" s="9">
        <f t="shared" si="60"/>
        <v>0</v>
      </c>
      <c r="I477" s="9">
        <f t="shared" si="61"/>
        <v>0</v>
      </c>
      <c r="J477" s="9">
        <f t="shared" si="62"/>
        <v>0</v>
      </c>
    </row>
    <row r="478" spans="1:10" x14ac:dyDescent="0.2">
      <c r="A478" s="1">
        <v>472</v>
      </c>
      <c r="B478" s="6">
        <v>0</v>
      </c>
      <c r="C478" s="8">
        <v>0</v>
      </c>
      <c r="D478" s="9">
        <f t="shared" si="56"/>
        <v>0</v>
      </c>
      <c r="E478" s="9">
        <f t="shared" si="57"/>
        <v>0</v>
      </c>
      <c r="F478" s="9">
        <f t="shared" si="58"/>
        <v>0</v>
      </c>
      <c r="G478" s="9">
        <f t="shared" si="59"/>
        <v>0</v>
      </c>
      <c r="H478" s="9">
        <f t="shared" si="60"/>
        <v>0</v>
      </c>
      <c r="I478" s="9">
        <f t="shared" si="61"/>
        <v>0</v>
      </c>
      <c r="J478" s="9">
        <f t="shared" si="62"/>
        <v>0</v>
      </c>
    </row>
    <row r="479" spans="1:10" x14ac:dyDescent="0.2">
      <c r="A479" s="1">
        <v>473</v>
      </c>
      <c r="B479" s="6">
        <v>0</v>
      </c>
      <c r="C479" s="8">
        <v>0</v>
      </c>
      <c r="D479" s="9">
        <f t="shared" si="56"/>
        <v>0</v>
      </c>
      <c r="E479" s="9">
        <f t="shared" si="57"/>
        <v>0</v>
      </c>
      <c r="F479" s="9">
        <f t="shared" si="58"/>
        <v>0</v>
      </c>
      <c r="G479" s="9">
        <f t="shared" si="59"/>
        <v>0</v>
      </c>
      <c r="H479" s="9">
        <f t="shared" si="60"/>
        <v>0</v>
      </c>
      <c r="I479" s="9">
        <f t="shared" si="61"/>
        <v>0</v>
      </c>
      <c r="J479" s="9">
        <f t="shared" si="62"/>
        <v>0</v>
      </c>
    </row>
    <row r="480" spans="1:10" x14ac:dyDescent="0.2">
      <c r="A480" s="1">
        <v>474</v>
      </c>
      <c r="B480" s="6">
        <v>0</v>
      </c>
      <c r="C480" s="8">
        <v>0</v>
      </c>
      <c r="D480" s="9">
        <f t="shared" si="56"/>
        <v>0</v>
      </c>
      <c r="E480" s="9">
        <f t="shared" si="57"/>
        <v>0</v>
      </c>
      <c r="F480" s="9">
        <f t="shared" si="58"/>
        <v>0</v>
      </c>
      <c r="G480" s="9">
        <f t="shared" si="59"/>
        <v>0</v>
      </c>
      <c r="H480" s="9">
        <f t="shared" si="60"/>
        <v>0</v>
      </c>
      <c r="I480" s="9">
        <f t="shared" si="61"/>
        <v>0</v>
      </c>
      <c r="J480" s="9">
        <f t="shared" si="62"/>
        <v>0</v>
      </c>
    </row>
    <row r="481" spans="1:10" x14ac:dyDescent="0.2">
      <c r="A481" s="1">
        <v>475</v>
      </c>
      <c r="B481" s="6">
        <v>0</v>
      </c>
      <c r="C481" s="8">
        <v>0</v>
      </c>
      <c r="D481" s="9">
        <f t="shared" si="56"/>
        <v>0</v>
      </c>
      <c r="E481" s="9">
        <f t="shared" si="57"/>
        <v>0</v>
      </c>
      <c r="F481" s="9">
        <f t="shared" si="58"/>
        <v>0</v>
      </c>
      <c r="G481" s="9">
        <f t="shared" si="59"/>
        <v>0</v>
      </c>
      <c r="H481" s="9">
        <f t="shared" si="60"/>
        <v>0</v>
      </c>
      <c r="I481" s="9">
        <f t="shared" si="61"/>
        <v>0</v>
      </c>
      <c r="J481" s="9">
        <f t="shared" si="62"/>
        <v>0</v>
      </c>
    </row>
    <row r="482" spans="1:10" x14ac:dyDescent="0.2">
      <c r="A482" s="1">
        <v>476</v>
      </c>
      <c r="B482" s="6">
        <v>0</v>
      </c>
      <c r="C482" s="8">
        <v>0</v>
      </c>
      <c r="D482" s="9">
        <f t="shared" si="56"/>
        <v>0</v>
      </c>
      <c r="E482" s="9">
        <f t="shared" si="57"/>
        <v>0</v>
      </c>
      <c r="F482" s="9">
        <f t="shared" si="58"/>
        <v>0</v>
      </c>
      <c r="G482" s="9">
        <f t="shared" si="59"/>
        <v>0</v>
      </c>
      <c r="H482" s="9">
        <f t="shared" si="60"/>
        <v>0</v>
      </c>
      <c r="I482" s="9">
        <f t="shared" si="61"/>
        <v>0</v>
      </c>
      <c r="J482" s="9">
        <f t="shared" si="62"/>
        <v>0</v>
      </c>
    </row>
    <row r="483" spans="1:10" x14ac:dyDescent="0.2">
      <c r="A483" s="1">
        <v>477</v>
      </c>
      <c r="B483" s="6">
        <v>0</v>
      </c>
      <c r="C483" s="8">
        <v>0</v>
      </c>
      <c r="D483" s="9">
        <f t="shared" si="56"/>
        <v>0</v>
      </c>
      <c r="E483" s="9">
        <f t="shared" si="57"/>
        <v>0</v>
      </c>
      <c r="F483" s="9">
        <f t="shared" si="58"/>
        <v>0</v>
      </c>
      <c r="G483" s="9">
        <f t="shared" si="59"/>
        <v>0</v>
      </c>
      <c r="H483" s="9">
        <f t="shared" si="60"/>
        <v>0</v>
      </c>
      <c r="I483" s="9">
        <f t="shared" si="61"/>
        <v>0</v>
      </c>
      <c r="J483" s="9">
        <f t="shared" si="62"/>
        <v>0</v>
      </c>
    </row>
    <row r="484" spans="1:10" x14ac:dyDescent="0.2">
      <c r="A484" s="1">
        <v>478</v>
      </c>
      <c r="B484" s="6">
        <v>0</v>
      </c>
      <c r="C484" s="8">
        <v>0</v>
      </c>
      <c r="D484" s="9">
        <f t="shared" si="56"/>
        <v>0</v>
      </c>
      <c r="E484" s="9">
        <f t="shared" si="57"/>
        <v>0</v>
      </c>
      <c r="F484" s="9">
        <f t="shared" si="58"/>
        <v>0</v>
      </c>
      <c r="G484" s="9">
        <f t="shared" si="59"/>
        <v>0</v>
      </c>
      <c r="H484" s="9">
        <f t="shared" si="60"/>
        <v>0</v>
      </c>
      <c r="I484" s="9">
        <f t="shared" si="61"/>
        <v>0</v>
      </c>
      <c r="J484" s="9">
        <f t="shared" si="62"/>
        <v>0</v>
      </c>
    </row>
    <row r="485" spans="1:10" x14ac:dyDescent="0.2">
      <c r="A485" s="1">
        <v>479</v>
      </c>
      <c r="B485" s="6">
        <v>0</v>
      </c>
      <c r="C485" s="8">
        <v>0</v>
      </c>
      <c r="D485" s="9">
        <f t="shared" si="56"/>
        <v>0</v>
      </c>
      <c r="E485" s="9">
        <f t="shared" si="57"/>
        <v>0</v>
      </c>
      <c r="F485" s="9">
        <f t="shared" si="58"/>
        <v>0</v>
      </c>
      <c r="G485" s="9">
        <f t="shared" si="59"/>
        <v>0</v>
      </c>
      <c r="H485" s="9">
        <f t="shared" si="60"/>
        <v>0</v>
      </c>
      <c r="I485" s="9">
        <f t="shared" si="61"/>
        <v>0</v>
      </c>
      <c r="J485" s="9">
        <f t="shared" si="62"/>
        <v>0</v>
      </c>
    </row>
    <row r="486" spans="1:10" x14ac:dyDescent="0.2">
      <c r="A486" s="1">
        <v>480</v>
      </c>
      <c r="B486" s="6">
        <v>0</v>
      </c>
      <c r="C486" s="8">
        <v>0</v>
      </c>
      <c r="D486" s="9">
        <f t="shared" si="56"/>
        <v>0</v>
      </c>
      <c r="E486" s="9">
        <f t="shared" si="57"/>
        <v>0</v>
      </c>
      <c r="F486" s="9">
        <f t="shared" si="58"/>
        <v>0</v>
      </c>
      <c r="G486" s="9">
        <f t="shared" si="59"/>
        <v>0</v>
      </c>
      <c r="H486" s="9">
        <f t="shared" si="60"/>
        <v>0</v>
      </c>
      <c r="I486" s="9">
        <f t="shared" si="61"/>
        <v>0</v>
      </c>
      <c r="J486" s="9">
        <f t="shared" si="62"/>
        <v>0</v>
      </c>
    </row>
    <row r="487" spans="1:10" x14ac:dyDescent="0.2">
      <c r="A487" s="1">
        <v>481</v>
      </c>
      <c r="B487" s="6">
        <v>0</v>
      </c>
      <c r="C487" s="8">
        <v>0</v>
      </c>
      <c r="D487" s="9">
        <f t="shared" si="56"/>
        <v>0</v>
      </c>
      <c r="E487" s="9">
        <f t="shared" si="57"/>
        <v>0</v>
      </c>
      <c r="F487" s="9">
        <f t="shared" si="58"/>
        <v>0</v>
      </c>
      <c r="G487" s="9">
        <f t="shared" si="59"/>
        <v>0</v>
      </c>
      <c r="H487" s="9">
        <f t="shared" si="60"/>
        <v>0</v>
      </c>
      <c r="I487" s="9">
        <f t="shared" si="61"/>
        <v>0</v>
      </c>
      <c r="J487" s="9">
        <f t="shared" si="62"/>
        <v>0</v>
      </c>
    </row>
    <row r="488" spans="1:10" x14ac:dyDescent="0.2">
      <c r="A488" s="1">
        <v>482</v>
      </c>
      <c r="B488" s="6">
        <v>0</v>
      </c>
      <c r="C488" s="8">
        <v>0</v>
      </c>
      <c r="D488" s="9">
        <f t="shared" si="56"/>
        <v>0</v>
      </c>
      <c r="E488" s="9">
        <f t="shared" si="57"/>
        <v>0</v>
      </c>
      <c r="F488" s="9">
        <f t="shared" si="58"/>
        <v>0</v>
      </c>
      <c r="G488" s="9">
        <f t="shared" si="59"/>
        <v>0</v>
      </c>
      <c r="H488" s="9">
        <f t="shared" si="60"/>
        <v>0</v>
      </c>
      <c r="I488" s="9">
        <f t="shared" si="61"/>
        <v>0</v>
      </c>
      <c r="J488" s="9">
        <f t="shared" si="62"/>
        <v>0</v>
      </c>
    </row>
    <row r="489" spans="1:10" x14ac:dyDescent="0.2">
      <c r="A489" s="1">
        <v>483</v>
      </c>
      <c r="B489" s="6">
        <v>0</v>
      </c>
      <c r="C489" s="8">
        <v>0</v>
      </c>
      <c r="D489" s="9">
        <f t="shared" si="56"/>
        <v>0</v>
      </c>
      <c r="E489" s="9">
        <f t="shared" si="57"/>
        <v>0</v>
      </c>
      <c r="F489" s="9">
        <f t="shared" si="58"/>
        <v>0</v>
      </c>
      <c r="G489" s="9">
        <f t="shared" si="59"/>
        <v>0</v>
      </c>
      <c r="H489" s="9">
        <f t="shared" si="60"/>
        <v>0</v>
      </c>
      <c r="I489" s="9">
        <f t="shared" si="61"/>
        <v>0</v>
      </c>
      <c r="J489" s="9">
        <f t="shared" si="62"/>
        <v>0</v>
      </c>
    </row>
    <row r="490" spans="1:10" x14ac:dyDescent="0.2">
      <c r="A490" s="1">
        <v>484</v>
      </c>
      <c r="B490" s="6">
        <v>0</v>
      </c>
      <c r="C490" s="8">
        <v>0</v>
      </c>
      <c r="D490" s="9">
        <f t="shared" si="56"/>
        <v>0</v>
      </c>
      <c r="E490" s="9">
        <f t="shared" si="57"/>
        <v>0</v>
      </c>
      <c r="F490" s="9">
        <f t="shared" si="58"/>
        <v>0</v>
      </c>
      <c r="G490" s="9">
        <f t="shared" si="59"/>
        <v>0</v>
      </c>
      <c r="H490" s="9">
        <f t="shared" si="60"/>
        <v>0</v>
      </c>
      <c r="I490" s="9">
        <f t="shared" si="61"/>
        <v>0</v>
      </c>
      <c r="J490" s="9">
        <f t="shared" si="62"/>
        <v>0</v>
      </c>
    </row>
    <row r="491" spans="1:10" x14ac:dyDescent="0.2">
      <c r="A491" s="1">
        <v>485</v>
      </c>
      <c r="B491" s="6">
        <v>0</v>
      </c>
      <c r="C491" s="8">
        <v>0</v>
      </c>
      <c r="D491" s="9">
        <f t="shared" ref="D491:D550" si="63">((B490*C491)-(B491*C490))*0.5</f>
        <v>0</v>
      </c>
      <c r="E491" s="9">
        <f t="shared" ref="E491:E550" si="64">(B491+B490)*((B490*C491)-(B491*C490))*(1/6)</f>
        <v>0</v>
      </c>
      <c r="F491" s="9">
        <f t="shared" ref="F491:F550" si="65">(C491+C490)*((B490*C491)-(B491*C490))*(1/6)</f>
        <v>0</v>
      </c>
      <c r="G491" s="9">
        <f t="shared" ref="G491:G550" si="66">(((C490*C490)+(C490*C491)+(C491*C491))*((B490*C491)-(B491*C490)))/12</f>
        <v>0</v>
      </c>
      <c r="H491" s="9">
        <f t="shared" ref="H491:H550" si="67">(((B490*B490)+(B490*B491)+(B491*B491))*((B490*C491)-(B491*C490)))/12</f>
        <v>0</v>
      </c>
      <c r="I491" s="9">
        <f t="shared" ref="I491:I550" si="68">(((B490*C491)+(2*B490*C490)+(2*B491*C491)+(B491*C490))*((B490*C491)-(B491*C490)))/24</f>
        <v>0</v>
      </c>
      <c r="J491" s="9">
        <f t="shared" ref="J491:J550" si="69">G491+H491</f>
        <v>0</v>
      </c>
    </row>
    <row r="492" spans="1:10" x14ac:dyDescent="0.2">
      <c r="A492" s="1">
        <v>486</v>
      </c>
      <c r="B492" s="6">
        <v>0</v>
      </c>
      <c r="C492" s="8">
        <v>0</v>
      </c>
      <c r="D492" s="9">
        <f t="shared" si="63"/>
        <v>0</v>
      </c>
      <c r="E492" s="9">
        <f t="shared" si="64"/>
        <v>0</v>
      </c>
      <c r="F492" s="9">
        <f t="shared" si="65"/>
        <v>0</v>
      </c>
      <c r="G492" s="9">
        <f t="shared" si="66"/>
        <v>0</v>
      </c>
      <c r="H492" s="9">
        <f t="shared" si="67"/>
        <v>0</v>
      </c>
      <c r="I492" s="9">
        <f t="shared" si="68"/>
        <v>0</v>
      </c>
      <c r="J492" s="9">
        <f t="shared" si="69"/>
        <v>0</v>
      </c>
    </row>
    <row r="493" spans="1:10" x14ac:dyDescent="0.2">
      <c r="A493" s="1">
        <v>487</v>
      </c>
      <c r="B493" s="6">
        <v>0</v>
      </c>
      <c r="C493" s="8">
        <v>0</v>
      </c>
      <c r="D493" s="9">
        <f t="shared" si="63"/>
        <v>0</v>
      </c>
      <c r="E493" s="9">
        <f t="shared" si="64"/>
        <v>0</v>
      </c>
      <c r="F493" s="9">
        <f t="shared" si="65"/>
        <v>0</v>
      </c>
      <c r="G493" s="9">
        <f t="shared" si="66"/>
        <v>0</v>
      </c>
      <c r="H493" s="9">
        <f t="shared" si="67"/>
        <v>0</v>
      </c>
      <c r="I493" s="9">
        <f t="shared" si="68"/>
        <v>0</v>
      </c>
      <c r="J493" s="9">
        <f t="shared" si="69"/>
        <v>0</v>
      </c>
    </row>
    <row r="494" spans="1:10" x14ac:dyDescent="0.2">
      <c r="A494" s="1">
        <v>488</v>
      </c>
      <c r="B494" s="6">
        <v>0</v>
      </c>
      <c r="C494" s="8">
        <v>0</v>
      </c>
      <c r="D494" s="9">
        <f t="shared" si="63"/>
        <v>0</v>
      </c>
      <c r="E494" s="9">
        <f t="shared" si="64"/>
        <v>0</v>
      </c>
      <c r="F494" s="9">
        <f t="shared" si="65"/>
        <v>0</v>
      </c>
      <c r="G494" s="9">
        <f t="shared" si="66"/>
        <v>0</v>
      </c>
      <c r="H494" s="9">
        <f t="shared" si="67"/>
        <v>0</v>
      </c>
      <c r="I494" s="9">
        <f t="shared" si="68"/>
        <v>0</v>
      </c>
      <c r="J494" s="9">
        <f t="shared" si="69"/>
        <v>0</v>
      </c>
    </row>
    <row r="495" spans="1:10" x14ac:dyDescent="0.2">
      <c r="A495" s="1">
        <v>489</v>
      </c>
      <c r="B495" s="6">
        <v>0</v>
      </c>
      <c r="C495" s="8">
        <v>0</v>
      </c>
      <c r="D495" s="9">
        <f t="shared" si="63"/>
        <v>0</v>
      </c>
      <c r="E495" s="9">
        <f t="shared" si="64"/>
        <v>0</v>
      </c>
      <c r="F495" s="9">
        <f t="shared" si="65"/>
        <v>0</v>
      </c>
      <c r="G495" s="9">
        <f t="shared" si="66"/>
        <v>0</v>
      </c>
      <c r="H495" s="9">
        <f t="shared" si="67"/>
        <v>0</v>
      </c>
      <c r="I495" s="9">
        <f t="shared" si="68"/>
        <v>0</v>
      </c>
      <c r="J495" s="9">
        <f t="shared" si="69"/>
        <v>0</v>
      </c>
    </row>
    <row r="496" spans="1:10" x14ac:dyDescent="0.2">
      <c r="A496" s="1">
        <v>490</v>
      </c>
      <c r="B496" s="6">
        <v>0</v>
      </c>
      <c r="C496" s="8">
        <v>0</v>
      </c>
      <c r="D496" s="9">
        <f t="shared" si="63"/>
        <v>0</v>
      </c>
      <c r="E496" s="9">
        <f t="shared" si="64"/>
        <v>0</v>
      </c>
      <c r="F496" s="9">
        <f t="shared" si="65"/>
        <v>0</v>
      </c>
      <c r="G496" s="9">
        <f t="shared" si="66"/>
        <v>0</v>
      </c>
      <c r="H496" s="9">
        <f t="shared" si="67"/>
        <v>0</v>
      </c>
      <c r="I496" s="9">
        <f t="shared" si="68"/>
        <v>0</v>
      </c>
      <c r="J496" s="9">
        <f t="shared" si="69"/>
        <v>0</v>
      </c>
    </row>
    <row r="497" spans="1:10" x14ac:dyDescent="0.2">
      <c r="A497" s="1">
        <v>491</v>
      </c>
      <c r="B497" s="6">
        <v>0</v>
      </c>
      <c r="C497" s="8">
        <v>0</v>
      </c>
      <c r="D497" s="9">
        <f t="shared" si="63"/>
        <v>0</v>
      </c>
      <c r="E497" s="9">
        <f t="shared" si="64"/>
        <v>0</v>
      </c>
      <c r="F497" s="9">
        <f t="shared" si="65"/>
        <v>0</v>
      </c>
      <c r="G497" s="9">
        <f t="shared" si="66"/>
        <v>0</v>
      </c>
      <c r="H497" s="9">
        <f t="shared" si="67"/>
        <v>0</v>
      </c>
      <c r="I497" s="9">
        <f t="shared" si="68"/>
        <v>0</v>
      </c>
      <c r="J497" s="9">
        <f t="shared" si="69"/>
        <v>0</v>
      </c>
    </row>
    <row r="498" spans="1:10" x14ac:dyDescent="0.2">
      <c r="A498" s="1">
        <v>492</v>
      </c>
      <c r="B498" s="6">
        <v>0</v>
      </c>
      <c r="C498" s="8">
        <v>0</v>
      </c>
      <c r="D498" s="9">
        <f t="shared" si="63"/>
        <v>0</v>
      </c>
      <c r="E498" s="9">
        <f t="shared" si="64"/>
        <v>0</v>
      </c>
      <c r="F498" s="9">
        <f t="shared" si="65"/>
        <v>0</v>
      </c>
      <c r="G498" s="9">
        <f t="shared" si="66"/>
        <v>0</v>
      </c>
      <c r="H498" s="9">
        <f t="shared" si="67"/>
        <v>0</v>
      </c>
      <c r="I498" s="9">
        <f t="shared" si="68"/>
        <v>0</v>
      </c>
      <c r="J498" s="9">
        <f t="shared" si="69"/>
        <v>0</v>
      </c>
    </row>
    <row r="499" spans="1:10" x14ac:dyDescent="0.2">
      <c r="A499" s="1">
        <v>493</v>
      </c>
      <c r="B499" s="6">
        <v>0</v>
      </c>
      <c r="C499" s="8">
        <v>0</v>
      </c>
      <c r="D499" s="9">
        <f t="shared" si="63"/>
        <v>0</v>
      </c>
      <c r="E499" s="9">
        <f t="shared" si="64"/>
        <v>0</v>
      </c>
      <c r="F499" s="9">
        <f t="shared" si="65"/>
        <v>0</v>
      </c>
      <c r="G499" s="9">
        <f t="shared" si="66"/>
        <v>0</v>
      </c>
      <c r="H499" s="9">
        <f t="shared" si="67"/>
        <v>0</v>
      </c>
      <c r="I499" s="9">
        <f t="shared" si="68"/>
        <v>0</v>
      </c>
      <c r="J499" s="9">
        <f t="shared" si="69"/>
        <v>0</v>
      </c>
    </row>
    <row r="500" spans="1:10" x14ac:dyDescent="0.2">
      <c r="A500" s="1">
        <v>494</v>
      </c>
      <c r="B500" s="6">
        <v>0</v>
      </c>
      <c r="C500" s="8">
        <v>0</v>
      </c>
      <c r="D500" s="9">
        <f t="shared" si="63"/>
        <v>0</v>
      </c>
      <c r="E500" s="9">
        <f t="shared" si="64"/>
        <v>0</v>
      </c>
      <c r="F500" s="9">
        <f t="shared" si="65"/>
        <v>0</v>
      </c>
      <c r="G500" s="9">
        <f t="shared" si="66"/>
        <v>0</v>
      </c>
      <c r="H500" s="9">
        <f t="shared" si="67"/>
        <v>0</v>
      </c>
      <c r="I500" s="9">
        <f t="shared" si="68"/>
        <v>0</v>
      </c>
      <c r="J500" s="9">
        <f t="shared" si="69"/>
        <v>0</v>
      </c>
    </row>
    <row r="501" spans="1:10" x14ac:dyDescent="0.2">
      <c r="A501" s="1">
        <v>495</v>
      </c>
      <c r="B501" s="6">
        <v>0</v>
      </c>
      <c r="C501" s="8">
        <v>0</v>
      </c>
      <c r="D501" s="9">
        <f t="shared" si="63"/>
        <v>0</v>
      </c>
      <c r="E501" s="9">
        <f t="shared" si="64"/>
        <v>0</v>
      </c>
      <c r="F501" s="9">
        <f t="shared" si="65"/>
        <v>0</v>
      </c>
      <c r="G501" s="9">
        <f t="shared" si="66"/>
        <v>0</v>
      </c>
      <c r="H501" s="9">
        <f t="shared" si="67"/>
        <v>0</v>
      </c>
      <c r="I501" s="9">
        <f t="shared" si="68"/>
        <v>0</v>
      </c>
      <c r="J501" s="9">
        <f t="shared" si="69"/>
        <v>0</v>
      </c>
    </row>
    <row r="502" spans="1:10" x14ac:dyDescent="0.2">
      <c r="A502" s="1">
        <v>496</v>
      </c>
      <c r="B502" s="6">
        <v>0</v>
      </c>
      <c r="C502" s="8">
        <v>0</v>
      </c>
      <c r="D502" s="9">
        <f t="shared" si="63"/>
        <v>0</v>
      </c>
      <c r="E502" s="9">
        <f t="shared" si="64"/>
        <v>0</v>
      </c>
      <c r="F502" s="9">
        <f t="shared" si="65"/>
        <v>0</v>
      </c>
      <c r="G502" s="9">
        <f t="shared" si="66"/>
        <v>0</v>
      </c>
      <c r="H502" s="9">
        <f t="shared" si="67"/>
        <v>0</v>
      </c>
      <c r="I502" s="9">
        <f t="shared" si="68"/>
        <v>0</v>
      </c>
      <c r="J502" s="9">
        <f t="shared" si="69"/>
        <v>0</v>
      </c>
    </row>
    <row r="503" spans="1:10" x14ac:dyDescent="0.2">
      <c r="A503" s="1">
        <v>497</v>
      </c>
      <c r="B503" s="6">
        <v>0</v>
      </c>
      <c r="C503" s="8">
        <v>0</v>
      </c>
      <c r="D503" s="9">
        <f t="shared" si="63"/>
        <v>0</v>
      </c>
      <c r="E503" s="9">
        <f t="shared" si="64"/>
        <v>0</v>
      </c>
      <c r="F503" s="9">
        <f t="shared" si="65"/>
        <v>0</v>
      </c>
      <c r="G503" s="9">
        <f t="shared" si="66"/>
        <v>0</v>
      </c>
      <c r="H503" s="9">
        <f t="shared" si="67"/>
        <v>0</v>
      </c>
      <c r="I503" s="9">
        <f t="shared" si="68"/>
        <v>0</v>
      </c>
      <c r="J503" s="9">
        <f t="shared" si="69"/>
        <v>0</v>
      </c>
    </row>
    <row r="504" spans="1:10" x14ac:dyDescent="0.2">
      <c r="A504" s="1">
        <v>498</v>
      </c>
      <c r="B504" s="6">
        <v>0</v>
      </c>
      <c r="C504" s="8">
        <v>0</v>
      </c>
      <c r="D504" s="9">
        <f t="shared" si="63"/>
        <v>0</v>
      </c>
      <c r="E504" s="9">
        <f t="shared" si="64"/>
        <v>0</v>
      </c>
      <c r="F504" s="9">
        <f t="shared" si="65"/>
        <v>0</v>
      </c>
      <c r="G504" s="9">
        <f t="shared" si="66"/>
        <v>0</v>
      </c>
      <c r="H504" s="9">
        <f t="shared" si="67"/>
        <v>0</v>
      </c>
      <c r="I504" s="9">
        <f t="shared" si="68"/>
        <v>0</v>
      </c>
      <c r="J504" s="9">
        <f t="shared" si="69"/>
        <v>0</v>
      </c>
    </row>
    <row r="505" spans="1:10" x14ac:dyDescent="0.2">
      <c r="A505" s="1">
        <v>499</v>
      </c>
      <c r="B505" s="6">
        <v>0</v>
      </c>
      <c r="C505" s="8">
        <v>0</v>
      </c>
      <c r="D505" s="9">
        <f t="shared" si="63"/>
        <v>0</v>
      </c>
      <c r="E505" s="9">
        <f t="shared" si="64"/>
        <v>0</v>
      </c>
      <c r="F505" s="9">
        <f t="shared" si="65"/>
        <v>0</v>
      </c>
      <c r="G505" s="9">
        <f t="shared" si="66"/>
        <v>0</v>
      </c>
      <c r="H505" s="9">
        <f t="shared" si="67"/>
        <v>0</v>
      </c>
      <c r="I505" s="9">
        <f t="shared" si="68"/>
        <v>0</v>
      </c>
      <c r="J505" s="9">
        <f t="shared" si="69"/>
        <v>0</v>
      </c>
    </row>
    <row r="506" spans="1:10" x14ac:dyDescent="0.2">
      <c r="A506" s="1">
        <v>500</v>
      </c>
      <c r="B506" s="6">
        <v>0</v>
      </c>
      <c r="C506" s="8">
        <v>0</v>
      </c>
      <c r="D506" s="9">
        <f t="shared" si="63"/>
        <v>0</v>
      </c>
      <c r="E506" s="9">
        <f t="shared" si="64"/>
        <v>0</v>
      </c>
      <c r="F506" s="9">
        <f t="shared" si="65"/>
        <v>0</v>
      </c>
      <c r="G506" s="9">
        <f t="shared" si="66"/>
        <v>0</v>
      </c>
      <c r="H506" s="9">
        <f t="shared" si="67"/>
        <v>0</v>
      </c>
      <c r="I506" s="9">
        <f t="shared" si="68"/>
        <v>0</v>
      </c>
      <c r="J506" s="9">
        <f t="shared" si="69"/>
        <v>0</v>
      </c>
    </row>
    <row r="507" spans="1:10" x14ac:dyDescent="0.2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reset_shape">
                <anchor moveWithCells="1" sizeWithCells="1">
                  <from>
                    <xdr:col>1</xdr:col>
                    <xdr:colOff>317500</xdr:colOff>
                    <xdr:row>2</xdr:row>
                    <xdr:rowOff>101600</xdr:rowOff>
                  </from>
                  <to>
                    <xdr:col>2</xdr:col>
                    <xdr:colOff>774700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</dc:creator>
  <cp:lastModifiedBy>Donald Bockoven III</cp:lastModifiedBy>
  <dcterms:created xsi:type="dcterms:W3CDTF">2020-03-06T03:38:44Z</dcterms:created>
  <dcterms:modified xsi:type="dcterms:W3CDTF">2020-03-06T06:43:37Z</dcterms:modified>
</cp:coreProperties>
</file>