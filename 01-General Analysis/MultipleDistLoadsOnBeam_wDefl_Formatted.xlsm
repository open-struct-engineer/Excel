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hitten\Documents\MLW\DesignTools\general_analysis\"/>
    </mc:Choice>
  </mc:AlternateContent>
  <bookViews>
    <workbookView xWindow="0" yWindow="0" windowWidth="21630" windowHeight="8475"/>
  </bookViews>
  <sheets>
    <sheet name="Sheet1" sheetId="2" r:id="rId1"/>
  </sheets>
  <functionGroups builtInGroupCount="18"/>
  <definedNames>
    <definedName name="_xlnm.Print_Area" localSheetId="0">Sheet1!$A$1:$V$39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2" l="1"/>
  <c r="D12" i="2"/>
  <c r="G15" i="2"/>
  <c r="H15" i="2"/>
  <c r="J15" i="2" s="1"/>
  <c r="I15" i="2"/>
  <c r="K15" i="2" l="1"/>
  <c r="G16" i="2"/>
  <c r="H16" i="2"/>
  <c r="I16" i="2"/>
  <c r="J16" i="2" s="1"/>
  <c r="K16" i="2"/>
  <c r="M16" i="2"/>
  <c r="G17" i="2"/>
  <c r="H17" i="2"/>
  <c r="J17" i="2" s="1"/>
  <c r="I17" i="2"/>
  <c r="K17" i="2"/>
  <c r="M17" i="2"/>
  <c r="G18" i="2"/>
  <c r="I18" i="2" s="1"/>
  <c r="J18" i="2" s="1"/>
  <c r="H18" i="2"/>
  <c r="K18" i="2"/>
  <c r="M18" i="2"/>
  <c r="G19" i="2"/>
  <c r="H19" i="2"/>
  <c r="I19" i="2"/>
  <c r="J19" i="2"/>
  <c r="K19" i="2"/>
  <c r="M19" i="2"/>
  <c r="G20" i="2"/>
  <c r="H20" i="2"/>
  <c r="I20" i="2" s="1"/>
  <c r="J20" i="2" s="1"/>
  <c r="M20" i="2"/>
  <c r="K20" i="2" l="1"/>
  <c r="G21" i="2"/>
  <c r="H21" i="2"/>
  <c r="J21" i="2" s="1"/>
  <c r="I21" i="2"/>
  <c r="M21" i="2"/>
  <c r="K21" i="2" l="1"/>
  <c r="G22" i="2"/>
  <c r="H22" i="2"/>
  <c r="K22" i="2" s="1"/>
  <c r="I22" i="2"/>
  <c r="M22" i="2"/>
  <c r="J22" i="2" l="1"/>
  <c r="G23" i="2"/>
  <c r="H23" i="2"/>
  <c r="I23" i="2"/>
  <c r="J23" i="2" s="1"/>
  <c r="K23" i="2"/>
  <c r="M23" i="2"/>
  <c r="G24" i="2"/>
  <c r="H24" i="2"/>
  <c r="I24" i="2"/>
  <c r="J24" i="2" s="1"/>
  <c r="K24" i="2"/>
  <c r="M24" i="2"/>
  <c r="G25" i="2"/>
  <c r="H25" i="2"/>
  <c r="K25" i="2" s="1"/>
  <c r="I25" i="2"/>
  <c r="M25" i="2"/>
  <c r="J25" i="2" l="1"/>
  <c r="G26" i="2"/>
  <c r="H26" i="2"/>
  <c r="I26" i="2" s="1"/>
  <c r="J26" i="2" s="1"/>
  <c r="M26" i="2"/>
  <c r="K26" i="2" l="1"/>
  <c r="G27" i="2"/>
  <c r="H27" i="2"/>
  <c r="I27" i="2" s="1"/>
  <c r="K27" i="2"/>
  <c r="M27" i="2"/>
  <c r="J27" i="2" l="1"/>
  <c r="G28" i="2"/>
  <c r="H28" i="2"/>
  <c r="I28" i="2" s="1"/>
  <c r="K28" i="2"/>
  <c r="M28" i="2"/>
  <c r="J28" i="2" l="1"/>
  <c r="G29" i="2"/>
  <c r="I29" i="2" s="1"/>
  <c r="H29" i="2"/>
  <c r="J29" i="2" s="1"/>
  <c r="M29" i="2"/>
  <c r="K29" i="2" l="1"/>
  <c r="G30" i="2"/>
  <c r="H30" i="2"/>
  <c r="I30" i="2"/>
  <c r="J30" i="2"/>
  <c r="K30" i="2"/>
  <c r="M30" i="2"/>
  <c r="G31" i="2"/>
  <c r="H31" i="2"/>
  <c r="I31" i="2"/>
  <c r="J31" i="2" s="1"/>
  <c r="K31" i="2"/>
  <c r="M31" i="2"/>
  <c r="G32" i="2"/>
  <c r="I32" i="2" s="1"/>
  <c r="H32" i="2"/>
  <c r="K32" i="2"/>
  <c r="M32" i="2"/>
  <c r="J32" i="2" l="1"/>
  <c r="G33" i="2"/>
  <c r="I33" i="2" s="1"/>
  <c r="H33" i="2"/>
  <c r="J33" i="2" s="1"/>
  <c r="K33" i="2"/>
  <c r="M33" i="2"/>
  <c r="G34" i="2"/>
  <c r="H34" i="2"/>
  <c r="J34" i="2" s="1"/>
  <c r="I34" i="2"/>
  <c r="K34" i="2"/>
  <c r="M34" i="2"/>
  <c r="P33" i="2"/>
  <c r="O33" i="2"/>
  <c r="N33" i="2"/>
  <c r="P30" i="2"/>
  <c r="O30" i="2"/>
  <c r="N30" i="2"/>
  <c r="P28" i="2"/>
  <c r="O28" i="2"/>
  <c r="N28" i="2"/>
  <c r="P25" i="2"/>
  <c r="O25" i="2"/>
  <c r="N25" i="2"/>
  <c r="P24" i="2"/>
  <c r="O24" i="2"/>
  <c r="N24" i="2"/>
  <c r="P22" i="2"/>
  <c r="O22" i="2"/>
  <c r="N22" i="2"/>
  <c r="P21" i="2"/>
  <c r="O21" i="2"/>
  <c r="N21" i="2"/>
  <c r="P19" i="2"/>
  <c r="O19" i="2"/>
  <c r="N19" i="2"/>
  <c r="P17" i="2"/>
  <c r="O17" i="2"/>
  <c r="N17" i="2"/>
  <c r="P15" i="2"/>
  <c r="O15" i="2"/>
  <c r="N15" i="2"/>
  <c r="N16" i="2"/>
  <c r="O16" i="2"/>
  <c r="P16" i="2"/>
  <c r="N18" i="2"/>
  <c r="O18" i="2"/>
  <c r="P18" i="2"/>
  <c r="N20" i="2"/>
  <c r="O20" i="2"/>
  <c r="P20" i="2"/>
  <c r="N23" i="2"/>
  <c r="O23" i="2"/>
  <c r="P23" i="2"/>
  <c r="N26" i="2"/>
  <c r="O26" i="2"/>
  <c r="P26" i="2"/>
  <c r="N27" i="2"/>
  <c r="O27" i="2"/>
  <c r="P27" i="2"/>
  <c r="N29" i="2"/>
  <c r="O29" i="2"/>
  <c r="P29" i="2"/>
  <c r="N31" i="2"/>
  <c r="O31" i="2"/>
  <c r="P31" i="2"/>
  <c r="N32" i="2"/>
  <c r="O32" i="2"/>
  <c r="P32" i="2"/>
  <c r="N34" i="2"/>
  <c r="O34" i="2"/>
  <c r="P34" i="2"/>
  <c r="M35" i="2"/>
  <c r="N35" i="2"/>
  <c r="O35" i="2"/>
  <c r="P35" i="2"/>
  <c r="J37" i="2"/>
  <c r="K37" i="2"/>
  <c r="N37" i="2"/>
  <c r="O37" i="2"/>
  <c r="P37" i="2"/>
  <c r="A1" i="2"/>
  <c r="B6" i="2"/>
  <c r="L6" i="2"/>
</calcChain>
</file>

<file path=xl/sharedStrings.xml><?xml version="1.0" encoding="utf-8"?>
<sst xmlns="http://schemas.openxmlformats.org/spreadsheetml/2006/main" count="31" uniqueCount="29">
  <si>
    <t>L</t>
  </si>
  <si>
    <t>Number</t>
  </si>
  <si>
    <t>Ra component</t>
  </si>
  <si>
    <t>Rb component</t>
  </si>
  <si>
    <t>L/20</t>
  </si>
  <si>
    <t>E</t>
  </si>
  <si>
    <t>I</t>
  </si>
  <si>
    <t>ksf</t>
  </si>
  <si>
    <t>ft^4</t>
  </si>
  <si>
    <t>Reactions</t>
  </si>
  <si>
    <t>Max</t>
  </si>
  <si>
    <t>ft</t>
  </si>
  <si>
    <t>V [kip]</t>
  </si>
  <si>
    <t>M [kip-ft]</t>
  </si>
  <si>
    <r>
      <t>Δ</t>
    </r>
    <r>
      <rPr>
        <sz val="7.7"/>
        <color theme="1"/>
        <rFont val="Calibri"/>
        <family val="2"/>
      </rPr>
      <t xml:space="preserve"> [in]</t>
    </r>
  </si>
  <si>
    <t>w [k/ft]</t>
  </si>
  <si>
    <t>start [ft]</t>
  </si>
  <si>
    <t>end [ft]</t>
  </si>
  <si>
    <t>a [ft]</t>
  </si>
  <si>
    <t>b [ft]</t>
  </si>
  <si>
    <t>c [ft]</t>
  </si>
  <si>
    <t>Made</t>
  </si>
  <si>
    <t>Date</t>
  </si>
  <si>
    <t>Job No</t>
  </si>
  <si>
    <t>Checked</t>
  </si>
  <si>
    <t>Sheet No</t>
  </si>
  <si>
    <t>Backchk'd</t>
  </si>
  <si>
    <t>For</t>
  </si>
  <si>
    <t>Last Saved: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</si>
</sst>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mm/dd/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.7"/>
      <color theme="1"/>
      <name val="Calibri"/>
      <family val="2"/>
    </font>
    <font>
      <sz val="6"/>
      <color theme="1"/>
      <name val="Arial"/>
      <family val="2"/>
    </font>
    <font>
      <b/>
      <u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4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9" xfId="0" applyBorder="1"/>
    <xf numFmtId="0" fontId="0" fillId="2" borderId="0" xfId="0" applyFill="1" applyAlignment="1">
      <alignment horizontal="center"/>
    </xf>
    <xf numFmtId="0" fontId="0" fillId="0" borderId="13" xfId="0" applyBorder="1"/>
    <xf numFmtId="164" fontId="0" fillId="0" borderId="14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0" fontId="0" fillId="0" borderId="16" xfId="0" applyBorder="1"/>
    <xf numFmtId="0" fontId="0" fillId="0" borderId="5" xfId="0" applyBorder="1"/>
    <xf numFmtId="0" fontId="0" fillId="0" borderId="8" xfId="0" applyBorder="1"/>
    <xf numFmtId="0" fontId="1" fillId="0" borderId="3" xfId="1" applyFon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2" borderId="0" xfId="0" applyNumberFormat="1" applyFill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1" fillId="0" borderId="0" xfId="1"/>
    <xf numFmtId="0" fontId="0" fillId="0" borderId="17" xfId="0" applyBorder="1"/>
    <xf numFmtId="0" fontId="0" fillId="0" borderId="18" xfId="0" applyBorder="1"/>
    <xf numFmtId="0" fontId="0" fillId="0" borderId="19" xfId="0" applyBorder="1"/>
    <xf numFmtId="166" fontId="0" fillId="0" borderId="19" xfId="0" applyNumberFormat="1" applyBorder="1"/>
    <xf numFmtId="0" fontId="0" fillId="0" borderId="20" xfId="0" applyBorder="1"/>
    <xf numFmtId="0" fontId="0" fillId="0" borderId="21" xfId="0" applyBorder="1"/>
    <xf numFmtId="0" fontId="0" fillId="0" borderId="0" xfId="0" applyBorder="1"/>
    <xf numFmtId="0" fontId="0" fillId="0" borderId="22" xfId="0" applyBorder="1"/>
    <xf numFmtId="0" fontId="0" fillId="0" borderId="23" xfId="0" applyBorder="1"/>
    <xf numFmtId="49" fontId="0" fillId="0" borderId="24" xfId="0" applyNumberFormat="1" applyBorder="1" applyAlignment="1">
      <alignment horizontal="right"/>
    </xf>
    <xf numFmtId="0" fontId="0" fillId="0" borderId="25" xfId="0" applyBorder="1"/>
    <xf numFmtId="0" fontId="0" fillId="0" borderId="7" xfId="0" applyBorder="1"/>
    <xf numFmtId="0" fontId="0" fillId="0" borderId="6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12" xfId="0" applyBorder="1"/>
    <xf numFmtId="0" fontId="3" fillId="0" borderId="0" xfId="0" applyFont="1" applyAlignment="1">
      <alignment horizontal="left"/>
    </xf>
    <xf numFmtId="0" fontId="0" fillId="0" borderId="16" xfId="0" applyBorder="1" applyAlignment="1">
      <alignment horizontal="right"/>
    </xf>
    <xf numFmtId="22" fontId="0" fillId="0" borderId="16" xfId="0" applyNumberFormat="1" applyBorder="1" applyAlignment="1">
      <alignment horizontal="center"/>
    </xf>
    <xf numFmtId="0" fontId="1" fillId="0" borderId="9" xfId="1" applyBorder="1"/>
    <xf numFmtId="0" fontId="4" fillId="0" borderId="16" xfId="0" applyFont="1" applyBorder="1"/>
    <xf numFmtId="0" fontId="1" fillId="0" borderId="16" xfId="1" applyBorder="1"/>
    <xf numFmtId="0" fontId="1" fillId="0" borderId="21" xfId="1" applyBorder="1"/>
    <xf numFmtId="0" fontId="1" fillId="0" borderId="11" xfId="1" applyBorder="1"/>
    <xf numFmtId="0" fontId="0" fillId="0" borderId="10" xfId="0" applyBorder="1"/>
    <xf numFmtId="0" fontId="0" fillId="0" borderId="14" xfId="0" applyBorder="1" applyAlignment="1">
      <alignment horizontal="center"/>
    </xf>
    <xf numFmtId="0" fontId="0" fillId="0" borderId="14" xfId="0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Sheet1!$M$15:$M$35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Sheet1!$N$15:$N$35</c:f>
              <c:numCache>
                <c:formatCode>0.00</c:formatCode>
                <c:ptCount val="21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-2</c:v>
                </c:pt>
                <c:pt idx="13">
                  <c:v>-3</c:v>
                </c:pt>
                <c:pt idx="14">
                  <c:v>-4</c:v>
                </c:pt>
                <c:pt idx="15">
                  <c:v>-5</c:v>
                </c:pt>
                <c:pt idx="16">
                  <c:v>-6</c:v>
                </c:pt>
                <c:pt idx="17">
                  <c:v>-7</c:v>
                </c:pt>
                <c:pt idx="18">
                  <c:v>-8</c:v>
                </c:pt>
                <c:pt idx="19">
                  <c:v>-9</c:v>
                </c:pt>
                <c:pt idx="20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2B-418D-AC2E-1C513623F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828048"/>
        <c:axId val="595828376"/>
      </c:scatterChart>
      <c:valAx>
        <c:axId val="595828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28376"/>
        <c:crosses val="autoZero"/>
        <c:crossBetween val="midCat"/>
      </c:valAx>
      <c:valAx>
        <c:axId val="59582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 [kip]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2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Sheet1!$M$15:$M$35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Sheet1!$O$15:$O$35</c:f>
              <c:numCache>
                <c:formatCode>0.00</c:formatCode>
                <c:ptCount val="21"/>
                <c:pt idx="0">
                  <c:v>0</c:v>
                </c:pt>
                <c:pt idx="1">
                  <c:v>9.5</c:v>
                </c:pt>
                <c:pt idx="2">
                  <c:v>18</c:v>
                </c:pt>
                <c:pt idx="3">
                  <c:v>25.5</c:v>
                </c:pt>
                <c:pt idx="4">
                  <c:v>32</c:v>
                </c:pt>
                <c:pt idx="5">
                  <c:v>37.5</c:v>
                </c:pt>
                <c:pt idx="6">
                  <c:v>42</c:v>
                </c:pt>
                <c:pt idx="7">
                  <c:v>45.5</c:v>
                </c:pt>
                <c:pt idx="8">
                  <c:v>48</c:v>
                </c:pt>
                <c:pt idx="9">
                  <c:v>49.5</c:v>
                </c:pt>
                <c:pt idx="10">
                  <c:v>50</c:v>
                </c:pt>
                <c:pt idx="11">
                  <c:v>49.5</c:v>
                </c:pt>
                <c:pt idx="12">
                  <c:v>48</c:v>
                </c:pt>
                <c:pt idx="13">
                  <c:v>45.5</c:v>
                </c:pt>
                <c:pt idx="14">
                  <c:v>42</c:v>
                </c:pt>
                <c:pt idx="15">
                  <c:v>37.5</c:v>
                </c:pt>
                <c:pt idx="16">
                  <c:v>32</c:v>
                </c:pt>
                <c:pt idx="17">
                  <c:v>25.5</c:v>
                </c:pt>
                <c:pt idx="18">
                  <c:v>18</c:v>
                </c:pt>
                <c:pt idx="19">
                  <c:v>9.5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98-4B5B-8194-C6C090C6A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600312"/>
        <c:axId val="592598672"/>
      </c:scatterChart>
      <c:valAx>
        <c:axId val="592600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598672"/>
        <c:crosses val="autoZero"/>
        <c:crossBetween val="midCat"/>
      </c:valAx>
      <c:valAx>
        <c:axId val="59259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 [kip-ft]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00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Sheet1!$P$14</c:f>
              <c:strCache>
                <c:ptCount val="1"/>
                <c:pt idx="0">
                  <c:v>Δ [in]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Sheet1!$M$15:$M$35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Sheet1!$P$15:$P$35</c:f>
              <c:numCache>
                <c:formatCode>0.0000</c:formatCode>
                <c:ptCount val="21"/>
                <c:pt idx="0">
                  <c:v>0</c:v>
                </c:pt>
                <c:pt idx="1">
                  <c:v>-2.6179127654715688E-2</c:v>
                </c:pt>
                <c:pt idx="2">
                  <c:v>-5.1615071934231566E-2</c:v>
                </c:pt>
                <c:pt idx="3">
                  <c:v>-7.5636994747659281E-2</c:v>
                </c:pt>
                <c:pt idx="4">
                  <c:v>-9.7652980132450343E-2</c:v>
                </c:pt>
                <c:pt idx="5">
                  <c:v>-0.11715003425439596</c:v>
                </c:pt>
                <c:pt idx="6">
                  <c:v>-0.13369408540762731</c:v>
                </c:pt>
                <c:pt idx="7">
                  <c:v>-0.14692998401461521</c:v>
                </c:pt>
                <c:pt idx="8">
                  <c:v>-0.15658150262617035</c:v>
                </c:pt>
                <c:pt idx="9">
                  <c:v>-0.16245133592144326</c:v>
                </c:pt>
                <c:pt idx="10">
                  <c:v>-0.16442110070792421</c:v>
                </c:pt>
                <c:pt idx="11">
                  <c:v>-0.16245133592144326</c:v>
                </c:pt>
                <c:pt idx="12">
                  <c:v>-0.15658150262617038</c:v>
                </c:pt>
                <c:pt idx="13">
                  <c:v>-0.14692998401461521</c:v>
                </c:pt>
                <c:pt idx="14">
                  <c:v>-0.13369408540762728</c:v>
                </c:pt>
                <c:pt idx="15">
                  <c:v>-0.11715003425439599</c:v>
                </c:pt>
                <c:pt idx="16">
                  <c:v>-9.7652980132450343E-2</c:v>
                </c:pt>
                <c:pt idx="17">
                  <c:v>-7.5636994747659281E-2</c:v>
                </c:pt>
                <c:pt idx="18">
                  <c:v>-5.1615071934231566E-2</c:v>
                </c:pt>
                <c:pt idx="19">
                  <c:v>-2.6179127654715688E-2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DF-45E8-9CF7-52026453C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055520"/>
        <c:axId val="286056832"/>
      </c:scatterChart>
      <c:valAx>
        <c:axId val="28605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056832"/>
        <c:crosses val="autoZero"/>
        <c:crossBetween val="midCat"/>
      </c:valAx>
      <c:valAx>
        <c:axId val="28605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Defl [in]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05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304800</xdr:colOff>
      <xdr:row>2</xdr:row>
      <xdr:rowOff>66675</xdr:rowOff>
    </xdr:from>
    <xdr:ext cx="723900" cy="192260"/>
    <xdr:pic>
      <xdr:nvPicPr>
        <xdr:cNvPr id="2" name="Picture 1" descr="HNTB_BW_Min_Size">
          <a:extLst>
            <a:ext uri="{FF2B5EF4-FFF2-40B4-BE49-F238E27FC236}">
              <a16:creationId xmlns:a16="http://schemas.microsoft.com/office/drawing/2014/main" id="{A375F053-0192-4DD5-BA6F-3B7A29AA0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447675"/>
          <a:ext cx="723900" cy="192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228600</xdr:colOff>
      <xdr:row>1</xdr:row>
      <xdr:rowOff>228601</xdr:rowOff>
    </xdr:from>
    <xdr:ext cx="1944891" cy="40005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22115EE-6165-4A85-82DD-FF3D7152998D}"/>
            </a:ext>
          </a:extLst>
        </xdr:cNvPr>
        <xdr:cNvSpPr txBox="1"/>
      </xdr:nvSpPr>
      <xdr:spPr>
        <a:xfrm>
          <a:off x="2057400" y="381001"/>
          <a:ext cx="1944891" cy="40005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rtl="0"/>
          <a:r>
            <a:rPr lang="en-US" sz="1000" b="0" i="0" baseline="0">
              <a:solidFill>
                <a:schemeClr val="tx1"/>
              </a:solidFill>
              <a:effectLst/>
              <a:latin typeface="Interstate-Regular" pitchFamily="2" charset="0"/>
              <a:ea typeface="+mn-ea"/>
              <a:cs typeface="AngsanaUPC" pitchFamily="18" charset="-34"/>
            </a:rPr>
            <a:t>The HNTB Companies</a:t>
          </a:r>
          <a:endParaRPr lang="en-US" sz="1000">
            <a:effectLst/>
            <a:latin typeface="Interstate-Regular" pitchFamily="2" charset="0"/>
            <a:cs typeface="AngsanaUPC" pitchFamily="18" charset="-34"/>
          </a:endParaRPr>
        </a:p>
        <a:p>
          <a:pPr rtl="0"/>
          <a:r>
            <a:rPr lang="en-US" sz="1000" b="0" i="0" baseline="0">
              <a:solidFill>
                <a:srgbClr val="FF6600"/>
              </a:solidFill>
              <a:effectLst/>
              <a:latin typeface="Interstate-Light" pitchFamily="2" charset="0"/>
              <a:ea typeface="+mn-ea"/>
              <a:cs typeface="+mn-cs"/>
            </a:rPr>
            <a:t>Infrastructure Solutions</a:t>
          </a:r>
          <a:endParaRPr lang="en-US" sz="1000" baseline="0">
            <a:solidFill>
              <a:srgbClr val="FF6600"/>
            </a:solidFill>
          </a:endParaRPr>
        </a:p>
      </xdr:txBody>
    </xdr:sp>
    <xdr:clientData/>
  </xdr:oneCellAnchor>
  <xdr:twoCellAnchor>
    <xdr:from>
      <xdr:col>16</xdr:col>
      <xdr:colOff>185697</xdr:colOff>
      <xdr:row>6</xdr:row>
      <xdr:rowOff>29216</xdr:rowOff>
    </xdr:from>
    <xdr:to>
      <xdr:col>21</xdr:col>
      <xdr:colOff>470237</xdr:colOff>
      <xdr:row>16</xdr:row>
      <xdr:rowOff>85694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8A3AB71-FA0E-4E1A-98D9-3D45D1C2A5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195221</xdr:colOff>
      <xdr:row>16</xdr:row>
      <xdr:rowOff>149200</xdr:rowOff>
    </xdr:from>
    <xdr:to>
      <xdr:col>21</xdr:col>
      <xdr:colOff>479761</xdr:colOff>
      <xdr:row>27</xdr:row>
      <xdr:rowOff>37589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30DE9AD-6C17-40B0-ADAB-8A2298573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192500</xdr:colOff>
      <xdr:row>27</xdr:row>
      <xdr:rowOff>73559</xdr:rowOff>
    </xdr:from>
    <xdr:to>
      <xdr:col>21</xdr:col>
      <xdr:colOff>477040</xdr:colOff>
      <xdr:row>37</xdr:row>
      <xdr:rowOff>130037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FA794F2-D716-4CC0-ABAF-CC9ED7D86C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9"/>
  <sheetViews>
    <sheetView tabSelected="1" view="pageBreakPreview" zoomScale="85" zoomScaleNormal="100" zoomScaleSheetLayoutView="85" workbookViewId="0">
      <selection activeCell="I12" sqref="I12"/>
    </sheetView>
  </sheetViews>
  <sheetFormatPr defaultRowHeight="15" x14ac:dyDescent="0.25"/>
  <cols>
    <col min="1" max="1" width="0.7109375" customWidth="1"/>
    <col min="8" max="8" width="9.28515625" customWidth="1"/>
    <col min="9" max="9" width="10.42578125" customWidth="1"/>
    <col min="10" max="11" width="14.42578125" bestFit="1" customWidth="1"/>
  </cols>
  <sheetData>
    <row r="1" spans="1:22" ht="3.75" customHeight="1" thickBot="1" x14ac:dyDescent="0.3">
      <c r="A1">
        <f>1</f>
        <v>1</v>
      </c>
      <c r="N1" s="33"/>
      <c r="O1" s="33"/>
      <c r="P1" s="33"/>
      <c r="Q1" s="33"/>
      <c r="R1" s="33"/>
      <c r="S1" s="33"/>
      <c r="T1" s="33"/>
      <c r="U1" s="33"/>
    </row>
    <row r="2" spans="1:22" ht="21.95" customHeight="1" x14ac:dyDescent="0.25">
      <c r="B2" s="17"/>
      <c r="C2" s="22"/>
      <c r="D2" s="22"/>
      <c r="E2" s="22"/>
      <c r="F2" s="22"/>
      <c r="G2" s="34"/>
      <c r="H2" s="35" t="s">
        <v>21</v>
      </c>
      <c r="I2" s="36"/>
      <c r="J2" s="35" t="s">
        <v>22</v>
      </c>
      <c r="K2" s="37"/>
      <c r="L2" s="35" t="s">
        <v>23</v>
      </c>
      <c r="M2" s="38"/>
      <c r="N2" s="33"/>
      <c r="O2" s="33"/>
      <c r="P2" s="33"/>
      <c r="Q2" s="33"/>
      <c r="R2" s="33"/>
      <c r="S2" s="33"/>
      <c r="T2" s="33"/>
      <c r="U2" s="33"/>
    </row>
    <row r="3" spans="1:22" ht="21.95" customHeight="1" x14ac:dyDescent="0.25">
      <c r="B3" s="39"/>
      <c r="C3" s="40"/>
      <c r="D3" s="40"/>
      <c r="E3" s="40"/>
      <c r="F3" s="40"/>
      <c r="G3" s="23"/>
      <c r="H3" s="41" t="s">
        <v>24</v>
      </c>
      <c r="I3" s="42"/>
      <c r="J3" s="41" t="s">
        <v>22</v>
      </c>
      <c r="K3" s="42"/>
      <c r="L3" s="41" t="s">
        <v>25</v>
      </c>
      <c r="M3" s="43"/>
      <c r="N3" s="33"/>
      <c r="O3" s="33"/>
      <c r="P3" s="33"/>
      <c r="Q3" s="33"/>
      <c r="R3" s="33"/>
      <c r="S3" s="33"/>
      <c r="T3" s="33"/>
      <c r="U3" s="33"/>
    </row>
    <row r="4" spans="1:22" ht="21.95" customHeight="1" x14ac:dyDescent="0.25">
      <c r="B4" s="44"/>
      <c r="C4" s="45"/>
      <c r="D4" s="45"/>
      <c r="E4" s="45"/>
      <c r="F4" s="45"/>
      <c r="G4" s="24"/>
      <c r="H4" s="41" t="s">
        <v>26</v>
      </c>
      <c r="I4" s="42"/>
      <c r="J4" s="46" t="s">
        <v>22</v>
      </c>
      <c r="K4" s="24"/>
      <c r="L4" s="40"/>
      <c r="M4" s="47"/>
      <c r="N4" s="33"/>
      <c r="O4" s="33"/>
      <c r="P4" s="33"/>
      <c r="Q4" s="33"/>
      <c r="R4" s="33"/>
      <c r="S4" s="33"/>
      <c r="T4" s="33"/>
      <c r="U4" s="33"/>
    </row>
    <row r="5" spans="1:22" ht="21.95" customHeight="1" thickBot="1" x14ac:dyDescent="0.3">
      <c r="B5" s="48" t="s">
        <v>27</v>
      </c>
      <c r="C5" s="49"/>
      <c r="D5" s="49"/>
      <c r="E5" s="49"/>
      <c r="F5" s="49"/>
      <c r="G5" s="50"/>
      <c r="H5" s="51"/>
      <c r="I5" s="51"/>
      <c r="J5" s="51"/>
      <c r="K5" s="51"/>
      <c r="L5" s="51"/>
      <c r="M5" s="52"/>
      <c r="N5" s="33"/>
      <c r="O5" s="33"/>
      <c r="P5" s="33"/>
      <c r="Q5" s="33"/>
      <c r="R5" s="33"/>
      <c r="S5" s="33"/>
      <c r="T5" s="33"/>
      <c r="U5" s="33"/>
    </row>
    <row r="6" spans="1:22" ht="15.75" thickBot="1" x14ac:dyDescent="0.3">
      <c r="B6" s="53" t="str">
        <f ca="1">CELL("filename", A1)</f>
        <v>C:\Users\mwhitten\Documents\MLW\DesignTools\general_analysis\[MultipleDistLoadsOnBeam_wDefl.xlsm]Sheet1</v>
      </c>
      <c r="K6" s="54" t="s">
        <v>28</v>
      </c>
      <c r="L6" s="55" t="str">
        <f ca="1">TEXT(NOW(), "d-mm-yy hh:mm:ss AM/PM")</f>
        <v>11-07-18 11:41:17 AM</v>
      </c>
      <c r="M6" s="55"/>
      <c r="N6" s="33"/>
      <c r="O6" s="33"/>
      <c r="P6" s="33"/>
      <c r="Q6" s="33"/>
      <c r="R6" s="33"/>
      <c r="S6" s="33"/>
      <c r="T6" s="33"/>
      <c r="U6" s="33"/>
    </row>
    <row r="7" spans="1:22" ht="14.1" customHeight="1" x14ac:dyDescent="0.25">
      <c r="A7" s="33"/>
      <c r="B7" s="56"/>
      <c r="C7" s="57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58"/>
      <c r="Q7" s="58"/>
      <c r="R7" s="58"/>
      <c r="S7" s="58"/>
      <c r="T7" s="58"/>
      <c r="U7" s="58"/>
      <c r="V7" s="61"/>
    </row>
    <row r="8" spans="1:22" ht="14.1" customHeight="1" x14ac:dyDescent="0.25">
      <c r="A8" s="33"/>
      <c r="B8" s="59"/>
      <c r="U8" s="40"/>
      <c r="V8" s="47"/>
    </row>
    <row r="9" spans="1:22" ht="14.1" customHeight="1" x14ac:dyDescent="0.25">
      <c r="A9" s="33"/>
      <c r="B9" s="59"/>
      <c r="U9" s="40"/>
      <c r="V9" s="47"/>
    </row>
    <row r="10" spans="1:22" ht="14.1" customHeight="1" x14ac:dyDescent="0.25">
      <c r="A10" s="33"/>
      <c r="B10" s="59"/>
      <c r="C10" t="s">
        <v>0</v>
      </c>
      <c r="D10" s="18">
        <v>20</v>
      </c>
      <c r="E10" t="s">
        <v>11</v>
      </c>
      <c r="U10" s="40"/>
      <c r="V10" s="47"/>
    </row>
    <row r="11" spans="1:22" ht="14.1" customHeight="1" x14ac:dyDescent="0.25">
      <c r="A11" s="33"/>
      <c r="B11" s="59"/>
      <c r="C11" t="s">
        <v>5</v>
      </c>
      <c r="D11" s="28">
        <f>29000*144</f>
        <v>4176000</v>
      </c>
      <c r="E11" t="s">
        <v>7</v>
      </c>
      <c r="U11" s="40"/>
      <c r="V11" s="47"/>
    </row>
    <row r="12" spans="1:22" ht="14.1" customHeight="1" x14ac:dyDescent="0.25">
      <c r="A12" s="33"/>
      <c r="B12" s="59"/>
      <c r="C12" t="s">
        <v>6</v>
      </c>
      <c r="D12" s="18">
        <f>755/12^4</f>
        <v>3.6410108024691357E-2</v>
      </c>
      <c r="E12" t="s">
        <v>8</v>
      </c>
      <c r="U12" s="40"/>
      <c r="V12" s="47"/>
    </row>
    <row r="13" spans="1:22" ht="14.1" customHeight="1" x14ac:dyDescent="0.25">
      <c r="A13" s="33"/>
      <c r="B13" s="59"/>
      <c r="U13" s="40"/>
      <c r="V13" s="47"/>
    </row>
    <row r="14" spans="1:22" ht="14.1" customHeight="1" x14ac:dyDescent="0.25">
      <c r="A14" s="33"/>
      <c r="B14" s="59"/>
      <c r="C14" s="1" t="s">
        <v>1</v>
      </c>
      <c r="D14" s="2" t="s">
        <v>15</v>
      </c>
      <c r="E14" s="2" t="s">
        <v>16</v>
      </c>
      <c r="F14" s="2" t="s">
        <v>17</v>
      </c>
      <c r="G14" s="2" t="s">
        <v>18</v>
      </c>
      <c r="H14" s="2" t="s">
        <v>19</v>
      </c>
      <c r="I14" s="2" t="s">
        <v>20</v>
      </c>
      <c r="J14" s="2" t="s">
        <v>2</v>
      </c>
      <c r="K14" s="3" t="s">
        <v>3</v>
      </c>
      <c r="M14" s="1" t="s">
        <v>4</v>
      </c>
      <c r="N14" s="2" t="s">
        <v>12</v>
      </c>
      <c r="O14" s="2" t="s">
        <v>13</v>
      </c>
      <c r="P14" s="25" t="s">
        <v>14</v>
      </c>
      <c r="U14" s="40"/>
      <c r="V14" s="47"/>
    </row>
    <row r="15" spans="1:22" ht="14.1" customHeight="1" x14ac:dyDescent="0.25">
      <c r="A15" s="33"/>
      <c r="B15" s="59"/>
      <c r="C15" s="4">
        <v>1</v>
      </c>
      <c r="D15" s="5">
        <v>1</v>
      </c>
      <c r="E15" s="5">
        <v>0</v>
      </c>
      <c r="F15" s="5">
        <v>5</v>
      </c>
      <c r="G15" s="6">
        <f>IF(E15&lt;&gt;"",E15,"")</f>
        <v>0</v>
      </c>
      <c r="H15" s="6">
        <f>IF(F15&lt;&gt;"",F15-E15,"")</f>
        <v>5</v>
      </c>
      <c r="I15" s="6">
        <f>IF(D15&lt;&gt;"",$D$10-G15-H15,"")</f>
        <v>15</v>
      </c>
      <c r="J15" s="7">
        <f>IF(E15&lt;&gt;"",D15*H15/(2*D10)*(2*I15+H15),0)</f>
        <v>4.375</v>
      </c>
      <c r="K15" s="8">
        <f>IF(E15&lt;&gt;"",D15*H15/(2*D10)*(2*G15+H15),0)</f>
        <v>0.625</v>
      </c>
      <c r="M15" s="9">
        <v>0</v>
      </c>
      <c r="N15" s="10">
        <f>v_dist($J$15,$D$15,M15,$E$15,$F$15)+v_dist($J$16,$D$16,M15,$E$16,$F$16)+v_dist($J$17,$D$17,M15,$E$17,$F$17)+v_dist($J$18,$D$18,M15,$E$18,$F$18)+v_dist($J$19,$D$19,M15,$E$19,$F$19)+v_dist($J$20,$D$20,M15,$E$20,$F$20)+v_dist($J$21,$D$21,M15,$E$21,$F$21)+v_dist($J$22,$D$22,M15,$E$22,$F$22)+v_dist($J$23,$D$23,M15,$E$23,$F$23)+v_dist($J$24,$D$24,M15,$E$24,$F$24)+v_dist($J$25,$D$25,M15,$E$25,$F$25)+v_dist($J$26,$D$26,M15,$E$26,$F$26)+v_dist($J$27,$D$27,M15,$E$27,$F$27)+v_dist($J$28,$D$28,M15,$E$28,$F$28)+v_dist($J$29,$D$29,M15,$E$29,$F$29)+v_dist($J$30,$D$30,M15,$E$30,$F$30)+v_dist($J$31,$D$31,M15,$E$31,$F$31)+v_dist($J$32,$D$32,M15,$E$32,$F$32)+v_dist($J$33,$D$33,M15,$E$33,$F$33)+v_dist($J$34,$D$34,M15,$E$34,$F$34)</f>
        <v>10</v>
      </c>
      <c r="O15" s="10">
        <f>m_dist($J$15,$D$15,M15,$E$15,$F$15)+m_dist($J$16,$D$16,M15,$E$16,$F$16)+m_dist($J$17,$D$17,M15,$E$17,$F$17)+m_dist($J$18,$D$18,M15,$E$18,$F$18)+m_dist($J$19,$D$19,M15,$E$19,$F$19)+m_dist($J$20,$D$20,M15,$E$20,$F$20)+m_dist($J$21,$D$21,M15,$E$21,$F$21)+m_dist($J$22,$D$22,M15,$E$22,$F$22)+m_dist($J$23,$D$23,M15,$E$23,$F$23)+m_dist($J$24,$D$24,M15,$E$24,$F$24)+m_dist($J$25,$D$25,M15,$E$25,$F$25)+m_dist($J$26,$D$26,M15,$E$26,$F$26)+m_dist($J$27,$D$27,M15,$E$27,$F$27)+m_dist($J$28,$D$28,M15,$E$28,$F$28)+m_dist($J$29,$D$29,M15,$E$29,$F$29)+m_dist($J$30,$D$30,M15,$E$30,$F$30)+m_dist($J$31,$D$31,M15,$E$31,$F$31)+m_dist($J$32,$D$32,M15,$E$32,$F$32)+m_dist($J$33,$D$33,M15,$E$33,$F$33)+m_dist($J$34,$D$34,M15,$E$34,$F$34)</f>
        <v>0</v>
      </c>
      <c r="P15" s="29">
        <f>(y_dist($J$15,$D$15,M15,$E$15,$F$15,$D$10)+y_dist($J$16,$D$16,M15,$E$16,$F$16,$D$10)+y_dist($J$17,$D$17,M15,$E$17,$F$17,$D$10)+y_dist($J$18,$D$18,M15,$E$18,$F$18,$D$10)+y_dist($J$19,$D$19,M15,$E$19,$F$19,$D$10)+y_dist($J$20,$D$20,M15,$E$20,$F$20,$D$10)+y_dist($J$21,$D$21,M15,$E$21,$F$21,$D$10)+y_dist($J$22,$D$22,M15,$E$22,$F$22,$D$10)+y_dist($J$23,$D$23,M15,$E$23,$F$23,$D$10)+y_dist($J$24,$D$24,M15,$E$24,$F$24,$D$10)+y_dist($J$25,$D$25,M15,$E$25,$F$25,$D$10)+y_dist($J$26,$D$26,M15,$E$26,$F$26,$D$10)+y_dist($J$27,$D$27,M15,$E$27,$F$27,$D$10)+y_dist($J$28,$D$28,M15,$E$28,$F$28,$D$10)+y_dist($J$29,$D$29,M15,$E$29,$F$29,$D$10)+y_dist($J$30,$D$30,M15,$E$30,$F$30,$D$10)+y_dist($J$31,$D$31,M15,$E$31,$F$31,$D$10)+y_dist($J$32,$D$32,M15,$E$32,$F$32,$D$10)+y_dist($J$33,$D$33,M15,$E$33,$F$33,$D$10)+y_dist($J$34,$D$34,M15,$E$34,$F$34,$D$10))/$D$11/$D$12*12</f>
        <v>0</v>
      </c>
      <c r="U15" s="40"/>
      <c r="V15" s="47"/>
    </row>
    <row r="16" spans="1:22" ht="14.1" customHeight="1" x14ac:dyDescent="0.25">
      <c r="A16" s="33"/>
      <c r="B16" s="59"/>
      <c r="C16" s="4">
        <v>2</v>
      </c>
      <c r="D16" s="5">
        <v>1</v>
      </c>
      <c r="E16" s="5">
        <v>5</v>
      </c>
      <c r="F16" s="5">
        <v>10</v>
      </c>
      <c r="G16" s="6">
        <f>IF(E16&lt;&gt;"",E16,"")</f>
        <v>5</v>
      </c>
      <c r="H16" s="6">
        <f>IF(F16&lt;&gt;"",F16-E16,"")</f>
        <v>5</v>
      </c>
      <c r="I16" s="6">
        <f>IF(D16&lt;&gt;"",$D$10-G16-H16,"")</f>
        <v>10</v>
      </c>
      <c r="J16" s="7">
        <f>IF(E16&lt;&gt;"",D16*H16/(2*D10)*(2*I16+H16),0)</f>
        <v>3.125</v>
      </c>
      <c r="K16" s="8">
        <f>IF(E16&lt;&gt;"",D16*H16/(2*D10)*(2*G16+H16),0)</f>
        <v>1.875</v>
      </c>
      <c r="M16" s="9">
        <f>D10/20</f>
        <v>1</v>
      </c>
      <c r="N16" s="10">
        <f>v_dist($J$15,$D$15,M16,$E$15,$F$15)+v_dist($J$16,$D$16,M16,$E$16,$F$16)+v_dist($J$17,$D$17,M16,$E$17,$F$17)+v_dist($J$18,$D$18,M16,$E$18,$F$18)+v_dist($J$19,$D$19,M16,$E$19,$F$19)+v_dist($J$20,$D$20,M16,$E$20,$F$20)+v_dist($J$21,$D$21,M16,$E$21,$F$21)+v_dist($J$22,$D$22,M16,$E$22,$F$22)+v_dist($J$23,$D$23,M16,$E$23,$F$23)+v_dist($J$24,$D$24,M16,$E$24,$F$24)+v_dist($J$25,$D$25,M16,$E$25,$F$25)+v_dist($J$26,$D$26,M16,$E$26,$F$26)+v_dist($J$27,$D$27,M16,$E$27,$F$27)+v_dist($J$28,$D$28,M16,$E$28,$F$28)+v_dist($J$29,$D$29,M16,$E$29,$F$29)+v_dist($J$30,$D$30,M16,$E$30,$F$30)+v_dist($J$31,$D$31,M16,$E$31,$F$31)+v_dist($J$32,$D$32,M16,$E$32,$F$32)+v_dist($J$33,$D$33,M16,$E$33,$F$33)+v_dist($J$34,$D$34,M16,$E$34,$F$34)</f>
        <v>9</v>
      </c>
      <c r="O16" s="10">
        <f>m_dist($J$15,$D$15,M16,$E$15,$F$15)+m_dist($J$16,$D$16,M16,$E$16,$F$16)+m_dist($J$17,$D$17,M16,$E$17,$F$17)+m_dist($J$18,$D$18,M16,$E$18,$F$18)+m_dist($J$19,$D$19,M16,$E$19,$F$19)+m_dist($J$20,$D$20,M16,$E$20,$F$20)+m_dist($J$21,$D$21,M16,$E$21,$F$21)+m_dist($J$22,$D$22,M16,$E$22,$F$22)+m_dist($J$23,$D$23,M16,$E$23,$F$23)+m_dist($J$24,$D$24,M16,$E$24,$F$24)+m_dist($J$25,$D$25,M16,$E$25,$F$25)+m_dist($J$26,$D$26,M16,$E$26,$F$26)+m_dist($J$27,$D$27,M16,$E$27,$F$27)+m_dist($J$28,$D$28,M16,$E$28,$F$28)+m_dist($J$29,$D$29,M16,$E$29,$F$29)+m_dist($J$30,$D$30,M16,$E$30,$F$30)+m_dist($J$31,$D$31,M16,$E$31,$F$31)+m_dist($J$32,$D$32,M16,$E$32,$F$32)+m_dist($J$33,$D$33,M16,$E$33,$F$33)+m_dist($J$34,$D$34,M16,$E$34,$F$34)</f>
        <v>9.5</v>
      </c>
      <c r="P16" s="29">
        <f>(y_dist($J$15,$D$15,M16,$E$15,$F$15,$D$10)+y_dist($J$16,$D$16,M16,$E$16,$F$16,$D$10)+y_dist($J$17,$D$17,M16,$E$17,$F$17,$D$10)+y_dist($J$18,$D$18,M16,$E$18,$F$18,$D$10)+y_dist($J$19,$D$19,M16,$E$19,$F$19,$D$10)+y_dist($J$20,$D$20,M16,$E$20,$F$20,$D$10)+y_dist($J$21,$D$21,M16,$E$21,$F$21,$D$10)+y_dist($J$22,$D$22,M16,$E$22,$F$22,$D$10)+y_dist($J$23,$D$23,M16,$E$23,$F$23,$D$10)+y_dist($J$24,$D$24,M16,$E$24,$F$24,$D$10)+y_dist($J$25,$D$25,M16,$E$25,$F$25,$D$10)+y_dist($J$26,$D$26,M16,$E$26,$F$26,$D$10)+y_dist($J$27,$D$27,M16,$E$27,$F$27,$D$10)+y_dist($J$28,$D$28,M16,$E$28,$F$28,$D$10)+y_dist($J$29,$D$29,M16,$E$29,$F$29,$D$10)+y_dist($J$30,$D$30,M16,$E$30,$F$30,$D$10)+y_dist($J$31,$D$31,M16,$E$31,$F$31,$D$10)+y_dist($J$32,$D$32,M16,$E$32,$F$32,$D$10)+y_dist($J$33,$D$33,M16,$E$33,$F$33,$D$10)+y_dist($J$34,$D$34,M16,$E$34,$F$34,$D$10))/$D$11/$D$12*12</f>
        <v>-2.6179127654715688E-2</v>
      </c>
      <c r="U16" s="40"/>
      <c r="V16" s="47"/>
    </row>
    <row r="17" spans="1:22" ht="14.1" customHeight="1" x14ac:dyDescent="0.25">
      <c r="A17" s="33"/>
      <c r="B17" s="59"/>
      <c r="C17" s="4">
        <v>3</v>
      </c>
      <c r="D17" s="5">
        <v>1</v>
      </c>
      <c r="E17" s="5">
        <v>10</v>
      </c>
      <c r="F17" s="5">
        <v>15</v>
      </c>
      <c r="G17" s="6">
        <f>IF(E17&lt;&gt;"",E17,"")</f>
        <v>10</v>
      </c>
      <c r="H17" s="6">
        <f>IF(F17&lt;&gt;"",F17-E17,"")</f>
        <v>5</v>
      </c>
      <c r="I17" s="6">
        <f>IF(D17&lt;&gt;"",$D$10-G17-H17,"")</f>
        <v>5</v>
      </c>
      <c r="J17" s="7">
        <f>IF(E17&lt;&gt;"",D17*H17/(2*D10)*(2*I17+H17),0)</f>
        <v>1.875</v>
      </c>
      <c r="K17" s="8">
        <f>IF(E17&lt;&gt;"",D17*H17/(2*D10)*(2*G17+H17),0)</f>
        <v>3.125</v>
      </c>
      <c r="M17" s="9">
        <f>M16+D10/20</f>
        <v>2</v>
      </c>
      <c r="N17" s="10">
        <f>v_dist($J$15,$D$15,M17,$E$15,$F$15)+v_dist($J$16,$D$16,M17,$E$16,$F$16)+v_dist($J$17,$D$17,M17,$E$17,$F$17)+v_dist($J$18,$D$18,M17,$E$18,$F$18)+v_dist($J$19,$D$19,M17,$E$19,$F$19)+v_dist($J$20,$D$20,M17,$E$20,$F$20)+v_dist($J$21,$D$21,M17,$E$21,$F$21)+v_dist($J$22,$D$22,M17,$E$22,$F$22)+v_dist($J$23,$D$23,M17,$E$23,$F$23)+v_dist($J$24,$D$24,M17,$E$24,$F$24)+v_dist($J$25,$D$25,M17,$E$25,$F$25)+v_dist($J$26,$D$26,M17,$E$26,$F$26)+v_dist($J$27,$D$27,M17,$E$27,$F$27)+v_dist($J$28,$D$28,M17,$E$28,$F$28)+v_dist($J$29,$D$29,M17,$E$29,$F$29)+v_dist($J$30,$D$30,M17,$E$30,$F$30)+v_dist($J$31,$D$31,M17,$E$31,$F$31)+v_dist($J$32,$D$32,M17,$E$32,$F$32)+v_dist($J$33,$D$33,M17,$E$33,$F$33)+v_dist($J$34,$D$34,M17,$E$34,$F$34)</f>
        <v>8</v>
      </c>
      <c r="O17" s="10">
        <f>m_dist($J$15,$D$15,M17,$E$15,$F$15)+m_dist($J$16,$D$16,M17,$E$16,$F$16)+m_dist($J$17,$D$17,M17,$E$17,$F$17)+m_dist($J$18,$D$18,M17,$E$18,$F$18)+m_dist($J$19,$D$19,M17,$E$19,$F$19)+m_dist($J$20,$D$20,M17,$E$20,$F$20)+m_dist($J$21,$D$21,M17,$E$21,$F$21)+m_dist($J$22,$D$22,M17,$E$22,$F$22)+m_dist($J$23,$D$23,M17,$E$23,$F$23)+m_dist($J$24,$D$24,M17,$E$24,$F$24)+m_dist($J$25,$D$25,M17,$E$25,$F$25)+m_dist($J$26,$D$26,M17,$E$26,$F$26)+m_dist($J$27,$D$27,M17,$E$27,$F$27)+m_dist($J$28,$D$28,M17,$E$28,$F$28)+m_dist($J$29,$D$29,M17,$E$29,$F$29)+m_dist($J$30,$D$30,M17,$E$30,$F$30)+m_dist($J$31,$D$31,M17,$E$31,$F$31)+m_dist($J$32,$D$32,M17,$E$32,$F$32)+m_dist($J$33,$D$33,M17,$E$33,$F$33)+m_dist($J$34,$D$34,M17,$E$34,$F$34)</f>
        <v>18</v>
      </c>
      <c r="P17" s="29">
        <f>(y_dist($J$15,$D$15,M17,$E$15,$F$15,$D$10)+y_dist($J$16,$D$16,M17,$E$16,$F$16,$D$10)+y_dist($J$17,$D$17,M17,$E$17,$F$17,$D$10)+y_dist($J$18,$D$18,M17,$E$18,$F$18,$D$10)+y_dist($J$19,$D$19,M17,$E$19,$F$19,$D$10)+y_dist($J$20,$D$20,M17,$E$20,$F$20,$D$10)+y_dist($J$21,$D$21,M17,$E$21,$F$21,$D$10)+y_dist($J$22,$D$22,M17,$E$22,$F$22,$D$10)+y_dist($J$23,$D$23,M17,$E$23,$F$23,$D$10)+y_dist($J$24,$D$24,M17,$E$24,$F$24,$D$10)+y_dist($J$25,$D$25,M17,$E$25,$F$25,$D$10)+y_dist($J$26,$D$26,M17,$E$26,$F$26,$D$10)+y_dist($J$27,$D$27,M17,$E$27,$F$27,$D$10)+y_dist($J$28,$D$28,M17,$E$28,$F$28,$D$10)+y_dist($J$29,$D$29,M17,$E$29,$F$29,$D$10)+y_dist($J$30,$D$30,M17,$E$30,$F$30,$D$10)+y_dist($J$31,$D$31,M17,$E$31,$F$31,$D$10)+y_dist($J$32,$D$32,M17,$E$32,$F$32,$D$10)+y_dist($J$33,$D$33,M17,$E$33,$F$33,$D$10)+y_dist($J$34,$D$34,M17,$E$34,$F$34,$D$10))/$D$11/$D$12*12</f>
        <v>-5.1615071934231566E-2</v>
      </c>
      <c r="U17" s="40"/>
      <c r="V17" s="47"/>
    </row>
    <row r="18" spans="1:22" ht="14.1" customHeight="1" x14ac:dyDescent="0.25">
      <c r="A18" s="33"/>
      <c r="B18" s="59"/>
      <c r="C18" s="4">
        <v>4</v>
      </c>
      <c r="D18" s="5">
        <v>1</v>
      </c>
      <c r="E18" s="5">
        <v>15</v>
      </c>
      <c r="F18" s="5">
        <v>20</v>
      </c>
      <c r="G18" s="6">
        <f>IF(E18&lt;&gt;"",E18,"")</f>
        <v>15</v>
      </c>
      <c r="H18" s="6">
        <f>IF(F18&lt;&gt;"",F18-E18,"")</f>
        <v>5</v>
      </c>
      <c r="I18" s="6">
        <f>IF(D18&lt;&gt;"",$D$10-G18-H18,"")</f>
        <v>0</v>
      </c>
      <c r="J18" s="7">
        <f>IF(E18&lt;&gt;"",D18*H18/(2*D10)*(2*I18+H18),0)</f>
        <v>0.625</v>
      </c>
      <c r="K18" s="8">
        <f>IF(E18&lt;&gt;"",D18*H18/(2*D10)*(2*G18+H18),0)</f>
        <v>4.375</v>
      </c>
      <c r="M18" s="9">
        <f>M17+D10/20</f>
        <v>3</v>
      </c>
      <c r="N18" s="10">
        <f>v_dist($J$15,$D$15,M18,$E$15,$F$15)+v_dist($J$16,$D$16,M18,$E$16,$F$16)+v_dist($J$17,$D$17,M18,$E$17,$F$17)+v_dist($J$18,$D$18,M18,$E$18,$F$18)+v_dist($J$19,$D$19,M18,$E$19,$F$19)+v_dist($J$20,$D$20,M18,$E$20,$F$20)+v_dist($J$21,$D$21,M18,$E$21,$F$21)+v_dist($J$22,$D$22,M18,$E$22,$F$22)+v_dist($J$23,$D$23,M18,$E$23,$F$23)+v_dist($J$24,$D$24,M18,$E$24,$F$24)+v_dist($J$25,$D$25,M18,$E$25,$F$25)+v_dist($J$26,$D$26,M18,$E$26,$F$26)+v_dist($J$27,$D$27,M18,$E$27,$F$27)+v_dist($J$28,$D$28,M18,$E$28,$F$28)+v_dist($J$29,$D$29,M18,$E$29,$F$29)+v_dist($J$30,$D$30,M18,$E$30,$F$30)+v_dist($J$31,$D$31,M18,$E$31,$F$31)+v_dist($J$32,$D$32,M18,$E$32,$F$32)+v_dist($J$33,$D$33,M18,$E$33,$F$33)+v_dist($J$34,$D$34,M18,$E$34,$F$34)</f>
        <v>7</v>
      </c>
      <c r="O18" s="10">
        <f>m_dist($J$15,$D$15,M18,$E$15,$F$15)+m_dist($J$16,$D$16,M18,$E$16,$F$16)+m_dist($J$17,$D$17,M18,$E$17,$F$17)+m_dist($J$18,$D$18,M18,$E$18,$F$18)+m_dist($J$19,$D$19,M18,$E$19,$F$19)+m_dist($J$20,$D$20,M18,$E$20,$F$20)+m_dist($J$21,$D$21,M18,$E$21,$F$21)+m_dist($J$22,$D$22,M18,$E$22,$F$22)+m_dist($J$23,$D$23,M18,$E$23,$F$23)+m_dist($J$24,$D$24,M18,$E$24,$F$24)+m_dist($J$25,$D$25,M18,$E$25,$F$25)+m_dist($J$26,$D$26,M18,$E$26,$F$26)+m_dist($J$27,$D$27,M18,$E$27,$F$27)+m_dist($J$28,$D$28,M18,$E$28,$F$28)+m_dist($J$29,$D$29,M18,$E$29,$F$29)+m_dist($J$30,$D$30,M18,$E$30,$F$30)+m_dist($J$31,$D$31,M18,$E$31,$F$31)+m_dist($J$32,$D$32,M18,$E$32,$F$32)+m_dist($J$33,$D$33,M18,$E$33,$F$33)+m_dist($J$34,$D$34,M18,$E$34,$F$34)</f>
        <v>25.5</v>
      </c>
      <c r="P18" s="29">
        <f>(y_dist($J$15,$D$15,M18,$E$15,$F$15,$D$10)+y_dist($J$16,$D$16,M18,$E$16,$F$16,$D$10)+y_dist($J$17,$D$17,M18,$E$17,$F$17,$D$10)+y_dist($J$18,$D$18,M18,$E$18,$F$18,$D$10)+y_dist($J$19,$D$19,M18,$E$19,$F$19,$D$10)+y_dist($J$20,$D$20,M18,$E$20,$F$20,$D$10)+y_dist($J$21,$D$21,M18,$E$21,$F$21,$D$10)+y_dist($J$22,$D$22,M18,$E$22,$F$22,$D$10)+y_dist($J$23,$D$23,M18,$E$23,$F$23,$D$10)+y_dist($J$24,$D$24,M18,$E$24,$F$24,$D$10)+y_dist($J$25,$D$25,M18,$E$25,$F$25,$D$10)+y_dist($J$26,$D$26,M18,$E$26,$F$26,$D$10)+y_dist($J$27,$D$27,M18,$E$27,$F$27,$D$10)+y_dist($J$28,$D$28,M18,$E$28,$F$28,$D$10)+y_dist($J$29,$D$29,M18,$E$29,$F$29,$D$10)+y_dist($J$30,$D$30,M18,$E$30,$F$30,$D$10)+y_dist($J$31,$D$31,M18,$E$31,$F$31,$D$10)+y_dist($J$32,$D$32,M18,$E$32,$F$32,$D$10)+y_dist($J$33,$D$33,M18,$E$33,$F$33,$D$10)+y_dist($J$34,$D$34,M18,$E$34,$F$34,$D$10))/$D$11/$D$12*12</f>
        <v>-7.5636994747659281E-2</v>
      </c>
      <c r="U18" s="40"/>
      <c r="V18" s="47"/>
    </row>
    <row r="19" spans="1:22" ht="14.1" customHeight="1" x14ac:dyDescent="0.25">
      <c r="A19" s="33"/>
      <c r="B19" s="59"/>
      <c r="C19" s="4">
        <v>5</v>
      </c>
      <c r="D19" s="5">
        <v>0</v>
      </c>
      <c r="E19" s="5">
        <v>0</v>
      </c>
      <c r="F19" s="5">
        <v>0</v>
      </c>
      <c r="G19" s="6">
        <f>IF(E19&lt;&gt;"",E19,"")</f>
        <v>0</v>
      </c>
      <c r="H19" s="6">
        <f>IF(F19&lt;&gt;"",F19-E19,"")</f>
        <v>0</v>
      </c>
      <c r="I19" s="6">
        <f>IF(D19&lt;&gt;"",$D$10-G19-H19,"")</f>
        <v>20</v>
      </c>
      <c r="J19" s="7">
        <f>IF(E19&lt;&gt;"",D19*H19/(2*D10)*(2*I19+H19),0)</f>
        <v>0</v>
      </c>
      <c r="K19" s="8">
        <f>IF(E19&lt;&gt;"",D19*H19/(2*D10)*(2*G19+H19),0)</f>
        <v>0</v>
      </c>
      <c r="M19" s="9">
        <f>M18+D10/20</f>
        <v>4</v>
      </c>
      <c r="N19" s="10">
        <f>v_dist($J$15,$D$15,M19,$E$15,$F$15)+v_dist($J$16,$D$16,M19,$E$16,$F$16)+v_dist($J$17,$D$17,M19,$E$17,$F$17)+v_dist($J$18,$D$18,M19,$E$18,$F$18)+v_dist($J$19,$D$19,M19,$E$19,$F$19)+v_dist($J$20,$D$20,M19,$E$20,$F$20)+v_dist($J$21,$D$21,M19,$E$21,$F$21)+v_dist($J$22,$D$22,M19,$E$22,$F$22)+v_dist($J$23,$D$23,M19,$E$23,$F$23)+v_dist($J$24,$D$24,M19,$E$24,$F$24)+v_dist($J$25,$D$25,M19,$E$25,$F$25)+v_dist($J$26,$D$26,M19,$E$26,$F$26)+v_dist($J$27,$D$27,M19,$E$27,$F$27)+v_dist($J$28,$D$28,M19,$E$28,$F$28)+v_dist($J$29,$D$29,M19,$E$29,$F$29)+v_dist($J$30,$D$30,M19,$E$30,$F$30)+v_dist($J$31,$D$31,M19,$E$31,$F$31)+v_dist($J$32,$D$32,M19,$E$32,$F$32)+v_dist($J$33,$D$33,M19,$E$33,$F$33)+v_dist($J$34,$D$34,M19,$E$34,$F$34)</f>
        <v>6</v>
      </c>
      <c r="O19" s="10">
        <f>m_dist($J$15,$D$15,M19,$E$15,$F$15)+m_dist($J$16,$D$16,M19,$E$16,$F$16)+m_dist($J$17,$D$17,M19,$E$17,$F$17)+m_dist($J$18,$D$18,M19,$E$18,$F$18)+m_dist($J$19,$D$19,M19,$E$19,$F$19)+m_dist($J$20,$D$20,M19,$E$20,$F$20)+m_dist($J$21,$D$21,M19,$E$21,$F$21)+m_dist($J$22,$D$22,M19,$E$22,$F$22)+m_dist($J$23,$D$23,M19,$E$23,$F$23)+m_dist($J$24,$D$24,M19,$E$24,$F$24)+m_dist($J$25,$D$25,M19,$E$25,$F$25)+m_dist($J$26,$D$26,M19,$E$26,$F$26)+m_dist($J$27,$D$27,M19,$E$27,$F$27)+m_dist($J$28,$D$28,M19,$E$28,$F$28)+m_dist($J$29,$D$29,M19,$E$29,$F$29)+m_dist($J$30,$D$30,M19,$E$30,$F$30)+m_dist($J$31,$D$31,M19,$E$31,$F$31)+m_dist($J$32,$D$32,M19,$E$32,$F$32)+m_dist($J$33,$D$33,M19,$E$33,$F$33)+m_dist($J$34,$D$34,M19,$E$34,$F$34)</f>
        <v>32</v>
      </c>
      <c r="P19" s="29">
        <f>(y_dist($J$15,$D$15,M19,$E$15,$F$15,$D$10)+y_dist($J$16,$D$16,M19,$E$16,$F$16,$D$10)+y_dist($J$17,$D$17,M19,$E$17,$F$17,$D$10)+y_dist($J$18,$D$18,M19,$E$18,$F$18,$D$10)+y_dist($J$19,$D$19,M19,$E$19,$F$19,$D$10)+y_dist($J$20,$D$20,M19,$E$20,$F$20,$D$10)+y_dist($J$21,$D$21,M19,$E$21,$F$21,$D$10)+y_dist($J$22,$D$22,M19,$E$22,$F$22,$D$10)+y_dist($J$23,$D$23,M19,$E$23,$F$23,$D$10)+y_dist($J$24,$D$24,M19,$E$24,$F$24,$D$10)+y_dist($J$25,$D$25,M19,$E$25,$F$25,$D$10)+y_dist($J$26,$D$26,M19,$E$26,$F$26,$D$10)+y_dist($J$27,$D$27,M19,$E$27,$F$27,$D$10)+y_dist($J$28,$D$28,M19,$E$28,$F$28,$D$10)+y_dist($J$29,$D$29,M19,$E$29,$F$29,$D$10)+y_dist($J$30,$D$30,M19,$E$30,$F$30,$D$10)+y_dist($J$31,$D$31,M19,$E$31,$F$31,$D$10)+y_dist($J$32,$D$32,M19,$E$32,$F$32,$D$10)+y_dist($J$33,$D$33,M19,$E$33,$F$33,$D$10)+y_dist($J$34,$D$34,M19,$E$34,$F$34,$D$10))/$D$11/$D$12*12</f>
        <v>-9.7652980132450343E-2</v>
      </c>
      <c r="U19" s="40"/>
      <c r="V19" s="47"/>
    </row>
    <row r="20" spans="1:22" ht="14.1" customHeight="1" x14ac:dyDescent="0.25">
      <c r="A20" s="33"/>
      <c r="B20" s="59"/>
      <c r="C20" s="4">
        <v>6</v>
      </c>
      <c r="D20" s="5">
        <v>0</v>
      </c>
      <c r="E20" s="5">
        <v>0</v>
      </c>
      <c r="F20" s="5">
        <v>0</v>
      </c>
      <c r="G20" s="6">
        <f>IF(E20&lt;&gt;"",E20,"")</f>
        <v>0</v>
      </c>
      <c r="H20" s="6">
        <f>IF(F20&lt;&gt;"",F20-E20,"")</f>
        <v>0</v>
      </c>
      <c r="I20" s="6">
        <f>IF(D20&lt;&gt;"",$D$10-G20-H20,"")</f>
        <v>20</v>
      </c>
      <c r="J20" s="7">
        <f>IF(E20&lt;&gt;"",D20*H20/(2*D10)*(2*I20+H20),0)</f>
        <v>0</v>
      </c>
      <c r="K20" s="8">
        <f>IF(E20&lt;&gt;"",D20*H20/(2*D10)*(2*G20+H20),0)</f>
        <v>0</v>
      </c>
      <c r="M20" s="9">
        <f>M19+D10/20</f>
        <v>5</v>
      </c>
      <c r="N20" s="10">
        <f>v_dist($J$15,$D$15,M20,$E$15,$F$15)+v_dist($J$16,$D$16,M20,$E$16,$F$16)+v_dist($J$17,$D$17,M20,$E$17,$F$17)+v_dist($J$18,$D$18,M20,$E$18,$F$18)+v_dist($J$19,$D$19,M20,$E$19,$F$19)+v_dist($J$20,$D$20,M20,$E$20,$F$20)+v_dist($J$21,$D$21,M20,$E$21,$F$21)+v_dist($J$22,$D$22,M20,$E$22,$F$22)+v_dist($J$23,$D$23,M20,$E$23,$F$23)+v_dist($J$24,$D$24,M20,$E$24,$F$24)+v_dist($J$25,$D$25,M20,$E$25,$F$25)+v_dist($J$26,$D$26,M20,$E$26,$F$26)+v_dist($J$27,$D$27,M20,$E$27,$F$27)+v_dist($J$28,$D$28,M20,$E$28,$F$28)+v_dist($J$29,$D$29,M20,$E$29,$F$29)+v_dist($J$30,$D$30,M20,$E$30,$F$30)+v_dist($J$31,$D$31,M20,$E$31,$F$31)+v_dist($J$32,$D$32,M20,$E$32,$F$32)+v_dist($J$33,$D$33,M20,$E$33,$F$33)+v_dist($J$34,$D$34,M20,$E$34,$F$34)</f>
        <v>5</v>
      </c>
      <c r="O20" s="10">
        <f>m_dist($J$15,$D$15,M20,$E$15,$F$15)+m_dist($J$16,$D$16,M20,$E$16,$F$16)+m_dist($J$17,$D$17,M20,$E$17,$F$17)+m_dist($J$18,$D$18,M20,$E$18,$F$18)+m_dist($J$19,$D$19,M20,$E$19,$F$19)+m_dist($J$20,$D$20,M20,$E$20,$F$20)+m_dist($J$21,$D$21,M20,$E$21,$F$21)+m_dist($J$22,$D$22,M20,$E$22,$F$22)+m_dist($J$23,$D$23,M20,$E$23,$F$23)+m_dist($J$24,$D$24,M20,$E$24,$F$24)+m_dist($J$25,$D$25,M20,$E$25,$F$25)+m_dist($J$26,$D$26,M20,$E$26,$F$26)+m_dist($J$27,$D$27,M20,$E$27,$F$27)+m_dist($J$28,$D$28,M20,$E$28,$F$28)+m_dist($J$29,$D$29,M20,$E$29,$F$29)+m_dist($J$30,$D$30,M20,$E$30,$F$30)+m_dist($J$31,$D$31,M20,$E$31,$F$31)+m_dist($J$32,$D$32,M20,$E$32,$F$32)+m_dist($J$33,$D$33,M20,$E$33,$F$33)+m_dist($J$34,$D$34,M20,$E$34,$F$34)</f>
        <v>37.5</v>
      </c>
      <c r="P20" s="29">
        <f>(y_dist($J$15,$D$15,M20,$E$15,$F$15,$D$10)+y_dist($J$16,$D$16,M20,$E$16,$F$16,$D$10)+y_dist($J$17,$D$17,M20,$E$17,$F$17,$D$10)+y_dist($J$18,$D$18,M20,$E$18,$F$18,$D$10)+y_dist($J$19,$D$19,M20,$E$19,$F$19,$D$10)+y_dist($J$20,$D$20,M20,$E$20,$F$20,$D$10)+y_dist($J$21,$D$21,M20,$E$21,$F$21,$D$10)+y_dist($J$22,$D$22,M20,$E$22,$F$22,$D$10)+y_dist($J$23,$D$23,M20,$E$23,$F$23,$D$10)+y_dist($J$24,$D$24,M20,$E$24,$F$24,$D$10)+y_dist($J$25,$D$25,M20,$E$25,$F$25,$D$10)+y_dist($J$26,$D$26,M20,$E$26,$F$26,$D$10)+y_dist($J$27,$D$27,M20,$E$27,$F$27,$D$10)+y_dist($J$28,$D$28,M20,$E$28,$F$28,$D$10)+y_dist($J$29,$D$29,M20,$E$29,$F$29,$D$10)+y_dist($J$30,$D$30,M20,$E$30,$F$30,$D$10)+y_dist($J$31,$D$31,M20,$E$31,$F$31,$D$10)+y_dist($J$32,$D$32,M20,$E$32,$F$32,$D$10)+y_dist($J$33,$D$33,M20,$E$33,$F$33,$D$10)+y_dist($J$34,$D$34,M20,$E$34,$F$34,$D$10))/$D$11/$D$12*12</f>
        <v>-0.11715003425439596</v>
      </c>
      <c r="U20" s="40"/>
      <c r="V20" s="47"/>
    </row>
    <row r="21" spans="1:22" ht="14.1" customHeight="1" x14ac:dyDescent="0.25">
      <c r="A21" s="33"/>
      <c r="B21" s="59"/>
      <c r="C21" s="4">
        <v>7</v>
      </c>
      <c r="D21" s="5">
        <v>0</v>
      </c>
      <c r="E21" s="5">
        <v>0</v>
      </c>
      <c r="F21" s="5">
        <v>0</v>
      </c>
      <c r="G21" s="6">
        <f>IF(E21&lt;&gt;"",E21,"")</f>
        <v>0</v>
      </c>
      <c r="H21" s="6">
        <f>IF(F21&lt;&gt;"",F21-E21,"")</f>
        <v>0</v>
      </c>
      <c r="I21" s="6">
        <f>IF(D21&lt;&gt;"",$D$10-G21-H21,"")</f>
        <v>20</v>
      </c>
      <c r="J21" s="7">
        <f>IF(E21&lt;&gt;"",D21*H21/(2*D10)*(2*I21+H21),0)</f>
        <v>0</v>
      </c>
      <c r="K21" s="8">
        <f>IF(E21&lt;&gt;"",D21*H21/(2*D10)*(2*G21+H21),0)</f>
        <v>0</v>
      </c>
      <c r="M21" s="9">
        <f>M20+D10/20</f>
        <v>6</v>
      </c>
      <c r="N21" s="10">
        <f>v_dist($J$15,$D$15,M21,$E$15,$F$15)+v_dist($J$16,$D$16,M21,$E$16,$F$16)+v_dist($J$17,$D$17,M21,$E$17,$F$17)+v_dist($J$18,$D$18,M21,$E$18,$F$18)+v_dist($J$19,$D$19,M21,$E$19,$F$19)+v_dist($J$20,$D$20,M21,$E$20,$F$20)+v_dist($J$21,$D$21,M21,$E$21,$F$21)+v_dist($J$22,$D$22,M21,$E$22,$F$22)+v_dist($J$23,$D$23,M21,$E$23,$F$23)+v_dist($J$24,$D$24,M21,$E$24,$F$24)+v_dist($J$25,$D$25,M21,$E$25,$F$25)+v_dist($J$26,$D$26,M21,$E$26,$F$26)+v_dist($J$27,$D$27,M21,$E$27,$F$27)+v_dist($J$28,$D$28,M21,$E$28,$F$28)+v_dist($J$29,$D$29,M21,$E$29,$F$29)+v_dist($J$30,$D$30,M21,$E$30,$F$30)+v_dist($J$31,$D$31,M21,$E$31,$F$31)+v_dist($J$32,$D$32,M21,$E$32,$F$32)+v_dist($J$33,$D$33,M21,$E$33,$F$33)+v_dist($J$34,$D$34,M21,$E$34,$F$34)</f>
        <v>4</v>
      </c>
      <c r="O21" s="10">
        <f>m_dist($J$15,$D$15,M21,$E$15,$F$15)+m_dist($J$16,$D$16,M21,$E$16,$F$16)+m_dist($J$17,$D$17,M21,$E$17,$F$17)+m_dist($J$18,$D$18,M21,$E$18,$F$18)+m_dist($J$19,$D$19,M21,$E$19,$F$19)+m_dist($J$20,$D$20,M21,$E$20,$F$20)+m_dist($J$21,$D$21,M21,$E$21,$F$21)+m_dist($J$22,$D$22,M21,$E$22,$F$22)+m_dist($J$23,$D$23,M21,$E$23,$F$23)+m_dist($J$24,$D$24,M21,$E$24,$F$24)+m_dist($J$25,$D$25,M21,$E$25,$F$25)+m_dist($J$26,$D$26,M21,$E$26,$F$26)+m_dist($J$27,$D$27,M21,$E$27,$F$27)+m_dist($J$28,$D$28,M21,$E$28,$F$28)+m_dist($J$29,$D$29,M21,$E$29,$F$29)+m_dist($J$30,$D$30,M21,$E$30,$F$30)+m_dist($J$31,$D$31,M21,$E$31,$F$31)+m_dist($J$32,$D$32,M21,$E$32,$F$32)+m_dist($J$33,$D$33,M21,$E$33,$F$33)+m_dist($J$34,$D$34,M21,$E$34,$F$34)</f>
        <v>42</v>
      </c>
      <c r="P21" s="29">
        <f>(y_dist($J$15,$D$15,M21,$E$15,$F$15,$D$10)+y_dist($J$16,$D$16,M21,$E$16,$F$16,$D$10)+y_dist($J$17,$D$17,M21,$E$17,$F$17,$D$10)+y_dist($J$18,$D$18,M21,$E$18,$F$18,$D$10)+y_dist($J$19,$D$19,M21,$E$19,$F$19,$D$10)+y_dist($J$20,$D$20,M21,$E$20,$F$20,$D$10)+y_dist($J$21,$D$21,M21,$E$21,$F$21,$D$10)+y_dist($J$22,$D$22,M21,$E$22,$F$22,$D$10)+y_dist($J$23,$D$23,M21,$E$23,$F$23,$D$10)+y_dist($J$24,$D$24,M21,$E$24,$F$24,$D$10)+y_dist($J$25,$D$25,M21,$E$25,$F$25,$D$10)+y_dist($J$26,$D$26,M21,$E$26,$F$26,$D$10)+y_dist($J$27,$D$27,M21,$E$27,$F$27,$D$10)+y_dist($J$28,$D$28,M21,$E$28,$F$28,$D$10)+y_dist($J$29,$D$29,M21,$E$29,$F$29,$D$10)+y_dist($J$30,$D$30,M21,$E$30,$F$30,$D$10)+y_dist($J$31,$D$31,M21,$E$31,$F$31,$D$10)+y_dist($J$32,$D$32,M21,$E$32,$F$32,$D$10)+y_dist($J$33,$D$33,M21,$E$33,$F$33,$D$10)+y_dist($J$34,$D$34,M21,$E$34,$F$34,$D$10))/$D$11/$D$12*12</f>
        <v>-0.13369408540762731</v>
      </c>
      <c r="U21" s="40"/>
      <c r="V21" s="47"/>
    </row>
    <row r="22" spans="1:22" ht="14.1" customHeight="1" x14ac:dyDescent="0.25">
      <c r="A22" s="33"/>
      <c r="B22" s="59"/>
      <c r="C22" s="4">
        <v>8</v>
      </c>
      <c r="D22" s="5">
        <v>0</v>
      </c>
      <c r="E22" s="5">
        <v>0</v>
      </c>
      <c r="F22" s="5">
        <v>0</v>
      </c>
      <c r="G22" s="6">
        <f>IF(E22&lt;&gt;"",E22,"")</f>
        <v>0</v>
      </c>
      <c r="H22" s="6">
        <f>IF(F22&lt;&gt;"",F22-E22,"")</f>
        <v>0</v>
      </c>
      <c r="I22" s="6">
        <f>IF(D22&lt;&gt;"",$D$10-G22-H22,"")</f>
        <v>20</v>
      </c>
      <c r="J22" s="7">
        <f>IF(E22&lt;&gt;"",D22*H22/(2*D10)*(2*I22+H22),0)</f>
        <v>0</v>
      </c>
      <c r="K22" s="8">
        <f>IF(E22&lt;&gt;"",D22*H22/(2*D10)*(2*G22+H22),0)</f>
        <v>0</v>
      </c>
      <c r="M22" s="9">
        <f>M21+D10/20</f>
        <v>7</v>
      </c>
      <c r="N22" s="10">
        <f>v_dist($J$15,$D$15,M22,$E$15,$F$15)+v_dist($J$16,$D$16,M22,$E$16,$F$16)+v_dist($J$17,$D$17,M22,$E$17,$F$17)+v_dist($J$18,$D$18,M22,$E$18,$F$18)+v_dist($J$19,$D$19,M22,$E$19,$F$19)+v_dist($J$20,$D$20,M22,$E$20,$F$20)+v_dist($J$21,$D$21,M22,$E$21,$F$21)+v_dist($J$22,$D$22,M22,$E$22,$F$22)+v_dist($J$23,$D$23,M22,$E$23,$F$23)+v_dist($J$24,$D$24,M22,$E$24,$F$24)+v_dist($J$25,$D$25,M22,$E$25,$F$25)+v_dist($J$26,$D$26,M22,$E$26,$F$26)+v_dist($J$27,$D$27,M22,$E$27,$F$27)+v_dist($J$28,$D$28,M22,$E$28,$F$28)+v_dist($J$29,$D$29,M22,$E$29,$F$29)+v_dist($J$30,$D$30,M22,$E$30,$F$30)+v_dist($J$31,$D$31,M22,$E$31,$F$31)+v_dist($J$32,$D$32,M22,$E$32,$F$32)+v_dist($J$33,$D$33,M22,$E$33,$F$33)+v_dist($J$34,$D$34,M22,$E$34,$F$34)</f>
        <v>3</v>
      </c>
      <c r="O22" s="10">
        <f>m_dist($J$15,$D$15,M22,$E$15,$F$15)+m_dist($J$16,$D$16,M22,$E$16,$F$16)+m_dist($J$17,$D$17,M22,$E$17,$F$17)+m_dist($J$18,$D$18,M22,$E$18,$F$18)+m_dist($J$19,$D$19,M22,$E$19,$F$19)+m_dist($J$20,$D$20,M22,$E$20,$F$20)+m_dist($J$21,$D$21,M22,$E$21,$F$21)+m_dist($J$22,$D$22,M22,$E$22,$F$22)+m_dist($J$23,$D$23,M22,$E$23,$F$23)+m_dist($J$24,$D$24,M22,$E$24,$F$24)+m_dist($J$25,$D$25,M22,$E$25,$F$25)+m_dist($J$26,$D$26,M22,$E$26,$F$26)+m_dist($J$27,$D$27,M22,$E$27,$F$27)+m_dist($J$28,$D$28,M22,$E$28,$F$28)+m_dist($J$29,$D$29,M22,$E$29,$F$29)+m_dist($J$30,$D$30,M22,$E$30,$F$30)+m_dist($J$31,$D$31,M22,$E$31,$F$31)+m_dist($J$32,$D$32,M22,$E$32,$F$32)+m_dist($J$33,$D$33,M22,$E$33,$F$33)+m_dist($J$34,$D$34,M22,$E$34,$F$34)</f>
        <v>45.5</v>
      </c>
      <c r="P22" s="29">
        <f>(y_dist($J$15,$D$15,M22,$E$15,$F$15,$D$10)+y_dist($J$16,$D$16,M22,$E$16,$F$16,$D$10)+y_dist($J$17,$D$17,M22,$E$17,$F$17,$D$10)+y_dist($J$18,$D$18,M22,$E$18,$F$18,$D$10)+y_dist($J$19,$D$19,M22,$E$19,$F$19,$D$10)+y_dist($J$20,$D$20,M22,$E$20,$F$20,$D$10)+y_dist($J$21,$D$21,M22,$E$21,$F$21,$D$10)+y_dist($J$22,$D$22,M22,$E$22,$F$22,$D$10)+y_dist($J$23,$D$23,M22,$E$23,$F$23,$D$10)+y_dist($J$24,$D$24,M22,$E$24,$F$24,$D$10)+y_dist($J$25,$D$25,M22,$E$25,$F$25,$D$10)+y_dist($J$26,$D$26,M22,$E$26,$F$26,$D$10)+y_dist($J$27,$D$27,M22,$E$27,$F$27,$D$10)+y_dist($J$28,$D$28,M22,$E$28,$F$28,$D$10)+y_dist($J$29,$D$29,M22,$E$29,$F$29,$D$10)+y_dist($J$30,$D$30,M22,$E$30,$F$30,$D$10)+y_dist($J$31,$D$31,M22,$E$31,$F$31,$D$10)+y_dist($J$32,$D$32,M22,$E$32,$F$32,$D$10)+y_dist($J$33,$D$33,M22,$E$33,$F$33,$D$10)+y_dist($J$34,$D$34,M22,$E$34,$F$34,$D$10))/$D$11/$D$12*12</f>
        <v>-0.14692998401461521</v>
      </c>
      <c r="U22" s="40"/>
      <c r="V22" s="47"/>
    </row>
    <row r="23" spans="1:22" ht="14.1" customHeight="1" x14ac:dyDescent="0.25">
      <c r="A23" s="33"/>
      <c r="B23" s="59"/>
      <c r="C23" s="4">
        <v>9</v>
      </c>
      <c r="D23" s="5">
        <v>0</v>
      </c>
      <c r="E23" s="5">
        <v>0</v>
      </c>
      <c r="F23" s="5">
        <v>0</v>
      </c>
      <c r="G23" s="6">
        <f>IF(E23&lt;&gt;"",E23,"")</f>
        <v>0</v>
      </c>
      <c r="H23" s="6">
        <f>IF(F23&lt;&gt;"",F23-E23,"")</f>
        <v>0</v>
      </c>
      <c r="I23" s="6">
        <f>IF(D23&lt;&gt;"",$D$10-G23-H23,"")</f>
        <v>20</v>
      </c>
      <c r="J23" s="7">
        <f>IF(E23&lt;&gt;"",D23*H23/(2*D10)*(2*I23+H23),0)</f>
        <v>0</v>
      </c>
      <c r="K23" s="8">
        <f>IF(E23&lt;&gt;"",D23*H23/(2*D10)*(2*G23+H23),0)</f>
        <v>0</v>
      </c>
      <c r="M23" s="9">
        <f>M22+D10/20</f>
        <v>8</v>
      </c>
      <c r="N23" s="10">
        <f>v_dist($J$15,$D$15,M23,$E$15,$F$15)+v_dist($J$16,$D$16,M23,$E$16,$F$16)+v_dist($J$17,$D$17,M23,$E$17,$F$17)+v_dist($J$18,$D$18,M23,$E$18,$F$18)+v_dist($J$19,$D$19,M23,$E$19,$F$19)+v_dist($J$20,$D$20,M23,$E$20,$F$20)+v_dist($J$21,$D$21,M23,$E$21,$F$21)+v_dist($J$22,$D$22,M23,$E$22,$F$22)+v_dist($J$23,$D$23,M23,$E$23,$F$23)+v_dist($J$24,$D$24,M23,$E$24,$F$24)+v_dist($J$25,$D$25,M23,$E$25,$F$25)+v_dist($J$26,$D$26,M23,$E$26,$F$26)+v_dist($J$27,$D$27,M23,$E$27,$F$27)+v_dist($J$28,$D$28,M23,$E$28,$F$28)+v_dist($J$29,$D$29,M23,$E$29,$F$29)+v_dist($J$30,$D$30,M23,$E$30,$F$30)+v_dist($J$31,$D$31,M23,$E$31,$F$31)+v_dist($J$32,$D$32,M23,$E$32,$F$32)+v_dist($J$33,$D$33,M23,$E$33,$F$33)+v_dist($J$34,$D$34,M23,$E$34,$F$34)</f>
        <v>2</v>
      </c>
      <c r="O23" s="10">
        <f>m_dist($J$15,$D$15,M23,$E$15,$F$15)+m_dist($J$16,$D$16,M23,$E$16,$F$16)+m_dist($J$17,$D$17,M23,$E$17,$F$17)+m_dist($J$18,$D$18,M23,$E$18,$F$18)+m_dist($J$19,$D$19,M23,$E$19,$F$19)+m_dist($J$20,$D$20,M23,$E$20,$F$20)+m_dist($J$21,$D$21,M23,$E$21,$F$21)+m_dist($J$22,$D$22,M23,$E$22,$F$22)+m_dist($J$23,$D$23,M23,$E$23,$F$23)+m_dist($J$24,$D$24,M23,$E$24,$F$24)+m_dist($J$25,$D$25,M23,$E$25,$F$25)+m_dist($J$26,$D$26,M23,$E$26,$F$26)+m_dist($J$27,$D$27,M23,$E$27,$F$27)+m_dist($J$28,$D$28,M23,$E$28,$F$28)+m_dist($J$29,$D$29,M23,$E$29,$F$29)+m_dist($J$30,$D$30,M23,$E$30,$F$30)+m_dist($J$31,$D$31,M23,$E$31,$F$31)+m_dist($J$32,$D$32,M23,$E$32,$F$32)+m_dist($J$33,$D$33,M23,$E$33,$F$33)+m_dist($J$34,$D$34,M23,$E$34,$F$34)</f>
        <v>48</v>
      </c>
      <c r="P23" s="29">
        <f>(y_dist($J$15,$D$15,M23,$E$15,$F$15,$D$10)+y_dist($J$16,$D$16,M23,$E$16,$F$16,$D$10)+y_dist($J$17,$D$17,M23,$E$17,$F$17,$D$10)+y_dist($J$18,$D$18,M23,$E$18,$F$18,$D$10)+y_dist($J$19,$D$19,M23,$E$19,$F$19,$D$10)+y_dist($J$20,$D$20,M23,$E$20,$F$20,$D$10)+y_dist($J$21,$D$21,M23,$E$21,$F$21,$D$10)+y_dist($J$22,$D$22,M23,$E$22,$F$22,$D$10)+y_dist($J$23,$D$23,M23,$E$23,$F$23,$D$10)+y_dist($J$24,$D$24,M23,$E$24,$F$24,$D$10)+y_dist($J$25,$D$25,M23,$E$25,$F$25,$D$10)+y_dist($J$26,$D$26,M23,$E$26,$F$26,$D$10)+y_dist($J$27,$D$27,M23,$E$27,$F$27,$D$10)+y_dist($J$28,$D$28,M23,$E$28,$F$28,$D$10)+y_dist($J$29,$D$29,M23,$E$29,$F$29,$D$10)+y_dist($J$30,$D$30,M23,$E$30,$F$30,$D$10)+y_dist($J$31,$D$31,M23,$E$31,$F$31,$D$10)+y_dist($J$32,$D$32,M23,$E$32,$F$32,$D$10)+y_dist($J$33,$D$33,M23,$E$33,$F$33,$D$10)+y_dist($J$34,$D$34,M23,$E$34,$F$34,$D$10))/$D$11/$D$12*12</f>
        <v>-0.15658150262617035</v>
      </c>
      <c r="U23" s="40"/>
      <c r="V23" s="47"/>
    </row>
    <row r="24" spans="1:22" ht="14.1" customHeight="1" x14ac:dyDescent="0.25">
      <c r="A24" s="33"/>
      <c r="B24" s="59"/>
      <c r="C24" s="4">
        <v>10</v>
      </c>
      <c r="D24" s="5">
        <v>0</v>
      </c>
      <c r="E24" s="5">
        <v>0</v>
      </c>
      <c r="F24" s="5">
        <v>0</v>
      </c>
      <c r="G24" s="6">
        <f>IF(E24&lt;&gt;"",E24,"")</f>
        <v>0</v>
      </c>
      <c r="H24" s="6">
        <f>IF(F24&lt;&gt;"",F24-E24,"")</f>
        <v>0</v>
      </c>
      <c r="I24" s="6">
        <f>IF(D24&lt;&gt;"",$D$10-G24-H24,"")</f>
        <v>20</v>
      </c>
      <c r="J24" s="7">
        <f>IF(E24&lt;&gt;"",D24*H24/(2*D10)*(2*I24+H24),0)</f>
        <v>0</v>
      </c>
      <c r="K24" s="8">
        <f>IF(E24&lt;&gt;"",D24*H24/(2*D10)*(2*G24+H24),0)</f>
        <v>0</v>
      </c>
      <c r="M24" s="9">
        <f>M23+D10/20</f>
        <v>9</v>
      </c>
      <c r="N24" s="10">
        <f>v_dist($J$15,$D$15,M24,$E$15,$F$15)+v_dist($J$16,$D$16,M24,$E$16,$F$16)+v_dist($J$17,$D$17,M24,$E$17,$F$17)+v_dist($J$18,$D$18,M24,$E$18,$F$18)+v_dist($J$19,$D$19,M24,$E$19,$F$19)+v_dist($J$20,$D$20,M24,$E$20,$F$20)+v_dist($J$21,$D$21,M24,$E$21,$F$21)+v_dist($J$22,$D$22,M24,$E$22,$F$22)+v_dist($J$23,$D$23,M24,$E$23,$F$23)+v_dist($J$24,$D$24,M24,$E$24,$F$24)+v_dist($J$25,$D$25,M24,$E$25,$F$25)+v_dist($J$26,$D$26,M24,$E$26,$F$26)+v_dist($J$27,$D$27,M24,$E$27,$F$27)+v_dist($J$28,$D$28,M24,$E$28,$F$28)+v_dist($J$29,$D$29,M24,$E$29,$F$29)+v_dist($J$30,$D$30,M24,$E$30,$F$30)+v_dist($J$31,$D$31,M24,$E$31,$F$31)+v_dist($J$32,$D$32,M24,$E$32,$F$32)+v_dist($J$33,$D$33,M24,$E$33,$F$33)+v_dist($J$34,$D$34,M24,$E$34,$F$34)</f>
        <v>1</v>
      </c>
      <c r="O24" s="10">
        <f>m_dist($J$15,$D$15,M24,$E$15,$F$15)+m_dist($J$16,$D$16,M24,$E$16,$F$16)+m_dist($J$17,$D$17,M24,$E$17,$F$17)+m_dist($J$18,$D$18,M24,$E$18,$F$18)+m_dist($J$19,$D$19,M24,$E$19,$F$19)+m_dist($J$20,$D$20,M24,$E$20,$F$20)+m_dist($J$21,$D$21,M24,$E$21,$F$21)+m_dist($J$22,$D$22,M24,$E$22,$F$22)+m_dist($J$23,$D$23,M24,$E$23,$F$23)+m_dist($J$24,$D$24,M24,$E$24,$F$24)+m_dist($J$25,$D$25,M24,$E$25,$F$25)+m_dist($J$26,$D$26,M24,$E$26,$F$26)+m_dist($J$27,$D$27,M24,$E$27,$F$27)+m_dist($J$28,$D$28,M24,$E$28,$F$28)+m_dist($J$29,$D$29,M24,$E$29,$F$29)+m_dist($J$30,$D$30,M24,$E$30,$F$30)+m_dist($J$31,$D$31,M24,$E$31,$F$31)+m_dist($J$32,$D$32,M24,$E$32,$F$32)+m_dist($J$33,$D$33,M24,$E$33,$F$33)+m_dist($J$34,$D$34,M24,$E$34,$F$34)</f>
        <v>49.5</v>
      </c>
      <c r="P24" s="29">
        <f>(y_dist($J$15,$D$15,M24,$E$15,$F$15,$D$10)+y_dist($J$16,$D$16,M24,$E$16,$F$16,$D$10)+y_dist($J$17,$D$17,M24,$E$17,$F$17,$D$10)+y_dist($J$18,$D$18,M24,$E$18,$F$18,$D$10)+y_dist($J$19,$D$19,M24,$E$19,$F$19,$D$10)+y_dist($J$20,$D$20,M24,$E$20,$F$20,$D$10)+y_dist($J$21,$D$21,M24,$E$21,$F$21,$D$10)+y_dist($J$22,$D$22,M24,$E$22,$F$22,$D$10)+y_dist($J$23,$D$23,M24,$E$23,$F$23,$D$10)+y_dist($J$24,$D$24,M24,$E$24,$F$24,$D$10)+y_dist($J$25,$D$25,M24,$E$25,$F$25,$D$10)+y_dist($J$26,$D$26,M24,$E$26,$F$26,$D$10)+y_dist($J$27,$D$27,M24,$E$27,$F$27,$D$10)+y_dist($J$28,$D$28,M24,$E$28,$F$28,$D$10)+y_dist($J$29,$D$29,M24,$E$29,$F$29,$D$10)+y_dist($J$30,$D$30,M24,$E$30,$F$30,$D$10)+y_dist($J$31,$D$31,M24,$E$31,$F$31,$D$10)+y_dist($J$32,$D$32,M24,$E$32,$F$32,$D$10)+y_dist($J$33,$D$33,M24,$E$33,$F$33,$D$10)+y_dist($J$34,$D$34,M24,$E$34,$F$34,$D$10))/$D$11/$D$12*12</f>
        <v>-0.16245133592144326</v>
      </c>
      <c r="U24" s="40"/>
      <c r="V24" s="47"/>
    </row>
    <row r="25" spans="1:22" ht="14.1" customHeight="1" x14ac:dyDescent="0.25">
      <c r="A25" s="33"/>
      <c r="B25" s="59"/>
      <c r="C25" s="11">
        <v>11</v>
      </c>
      <c r="D25" s="5">
        <v>0</v>
      </c>
      <c r="E25" s="5">
        <v>0</v>
      </c>
      <c r="F25" s="5">
        <v>0</v>
      </c>
      <c r="G25" s="6">
        <f>IF(E25&lt;&gt;"",E25,"")</f>
        <v>0</v>
      </c>
      <c r="H25" s="6">
        <f>IF(F25&lt;&gt;"",F25-E25,"")</f>
        <v>0</v>
      </c>
      <c r="I25" s="6">
        <f>IF(D25&lt;&gt;"",$D$10-G25-H25,"")</f>
        <v>20</v>
      </c>
      <c r="J25" s="7">
        <f>IF(E25&lt;&gt;"",D25*H25/(2*D10)*(2*I25+H25),0)</f>
        <v>0</v>
      </c>
      <c r="K25" s="8">
        <f>IF(E25&lt;&gt;"",D25*H25/(2*D10)*(2*G25+H25),0)</f>
        <v>0</v>
      </c>
      <c r="M25" s="9">
        <f>M24+D10/20</f>
        <v>10</v>
      </c>
      <c r="N25" s="10">
        <f>v_dist($J$15,$D$15,M25,$E$15,$F$15)+v_dist($J$16,$D$16,M25,$E$16,$F$16)+v_dist($J$17,$D$17,M25,$E$17,$F$17)+v_dist($J$18,$D$18,M25,$E$18,$F$18)+v_dist($J$19,$D$19,M25,$E$19,$F$19)+v_dist($J$20,$D$20,M25,$E$20,$F$20)+v_dist($J$21,$D$21,M25,$E$21,$F$21)+v_dist($J$22,$D$22,M25,$E$22,$F$22)+v_dist($J$23,$D$23,M25,$E$23,$F$23)+v_dist($J$24,$D$24,M25,$E$24,$F$24)+v_dist($J$25,$D$25,M25,$E$25,$F$25)+v_dist($J$26,$D$26,M25,$E$26,$F$26)+v_dist($J$27,$D$27,M25,$E$27,$F$27)+v_dist($J$28,$D$28,M25,$E$28,$F$28)+v_dist($J$29,$D$29,M25,$E$29,$F$29)+v_dist($J$30,$D$30,M25,$E$30,$F$30)+v_dist($J$31,$D$31,M25,$E$31,$F$31)+v_dist($J$32,$D$32,M25,$E$32,$F$32)+v_dist($J$33,$D$33,M25,$E$33,$F$33)+v_dist($J$34,$D$34,M25,$E$34,$F$34)</f>
        <v>0</v>
      </c>
      <c r="O25" s="10">
        <f>m_dist($J$15,$D$15,M25,$E$15,$F$15)+m_dist($J$16,$D$16,M25,$E$16,$F$16)+m_dist($J$17,$D$17,M25,$E$17,$F$17)+m_dist($J$18,$D$18,M25,$E$18,$F$18)+m_dist($J$19,$D$19,M25,$E$19,$F$19)+m_dist($J$20,$D$20,M25,$E$20,$F$20)+m_dist($J$21,$D$21,M25,$E$21,$F$21)+m_dist($J$22,$D$22,M25,$E$22,$F$22)+m_dist($J$23,$D$23,M25,$E$23,$F$23)+m_dist($J$24,$D$24,M25,$E$24,$F$24)+m_dist($J$25,$D$25,M25,$E$25,$F$25)+m_dist($J$26,$D$26,M25,$E$26,$F$26)+m_dist($J$27,$D$27,M25,$E$27,$F$27)+m_dist($J$28,$D$28,M25,$E$28,$F$28)+m_dist($J$29,$D$29,M25,$E$29,$F$29)+m_dist($J$30,$D$30,M25,$E$30,$F$30)+m_dist($J$31,$D$31,M25,$E$31,$F$31)+m_dist($J$32,$D$32,M25,$E$32,$F$32)+m_dist($J$33,$D$33,M25,$E$33,$F$33)+m_dist($J$34,$D$34,M25,$E$34,$F$34)</f>
        <v>50</v>
      </c>
      <c r="P25" s="29">
        <f>(y_dist($J$15,$D$15,M25,$E$15,$F$15,$D$10)+y_dist($J$16,$D$16,M25,$E$16,$F$16,$D$10)+y_dist($J$17,$D$17,M25,$E$17,$F$17,$D$10)+y_dist($J$18,$D$18,M25,$E$18,$F$18,$D$10)+y_dist($J$19,$D$19,M25,$E$19,$F$19,$D$10)+y_dist($J$20,$D$20,M25,$E$20,$F$20,$D$10)+y_dist($J$21,$D$21,M25,$E$21,$F$21,$D$10)+y_dist($J$22,$D$22,M25,$E$22,$F$22,$D$10)+y_dist($J$23,$D$23,M25,$E$23,$F$23,$D$10)+y_dist($J$24,$D$24,M25,$E$24,$F$24,$D$10)+y_dist($J$25,$D$25,M25,$E$25,$F$25,$D$10)+y_dist($J$26,$D$26,M25,$E$26,$F$26,$D$10)+y_dist($J$27,$D$27,M25,$E$27,$F$27,$D$10)+y_dist($J$28,$D$28,M25,$E$28,$F$28,$D$10)+y_dist($J$29,$D$29,M25,$E$29,$F$29,$D$10)+y_dist($J$30,$D$30,M25,$E$30,$F$30,$D$10)+y_dist($J$31,$D$31,M25,$E$31,$F$31,$D$10)+y_dist($J$32,$D$32,M25,$E$32,$F$32,$D$10)+y_dist($J$33,$D$33,M25,$E$33,$F$33,$D$10)+y_dist($J$34,$D$34,M25,$E$34,$F$34,$D$10))/$D$11/$D$12*12</f>
        <v>-0.16442110070792421</v>
      </c>
      <c r="U25" s="40"/>
      <c r="V25" s="47"/>
    </row>
    <row r="26" spans="1:22" ht="14.1" customHeight="1" x14ac:dyDescent="0.25">
      <c r="A26" s="33"/>
      <c r="B26" s="59"/>
      <c r="C26" s="11">
        <v>12</v>
      </c>
      <c r="D26" s="5">
        <v>0</v>
      </c>
      <c r="E26" s="5">
        <v>0</v>
      </c>
      <c r="F26" s="5">
        <v>0</v>
      </c>
      <c r="G26" s="6">
        <f>IF(E26&lt;&gt;"",E26,"")</f>
        <v>0</v>
      </c>
      <c r="H26" s="6">
        <f>IF(F26&lt;&gt;"",F26-E26,"")</f>
        <v>0</v>
      </c>
      <c r="I26" s="6">
        <f>IF(D26&lt;&gt;"",$D$10-G26-H26,"")</f>
        <v>20</v>
      </c>
      <c r="J26" s="7">
        <f>IF(E26&lt;&gt;"",D26*H26/(2*D10)*(2*I26+H26),0)</f>
        <v>0</v>
      </c>
      <c r="K26" s="8">
        <f>IF(E26&lt;&gt;"",D26*H26/(2*D10)*(2*G26+H26),0)</f>
        <v>0</v>
      </c>
      <c r="M26" s="9">
        <f>M25+D10/20</f>
        <v>11</v>
      </c>
      <c r="N26" s="10">
        <f>v_dist($J$15,$D$15,M26,$E$15,$F$15)+v_dist($J$16,$D$16,M26,$E$16,$F$16)+v_dist($J$17,$D$17,M26,$E$17,$F$17)+v_dist($J$18,$D$18,M26,$E$18,$F$18)+v_dist($J$19,$D$19,M26,$E$19,$F$19)+v_dist($J$20,$D$20,M26,$E$20,$F$20)+v_dist($J$21,$D$21,M26,$E$21,$F$21)+v_dist($J$22,$D$22,M26,$E$22,$F$22)+v_dist($J$23,$D$23,M26,$E$23,$F$23)+v_dist($J$24,$D$24,M26,$E$24,$F$24)+v_dist($J$25,$D$25,M26,$E$25,$F$25)+v_dist($J$26,$D$26,M26,$E$26,$F$26)+v_dist($J$27,$D$27,M26,$E$27,$F$27)+v_dist($J$28,$D$28,M26,$E$28,$F$28)+v_dist($J$29,$D$29,M26,$E$29,$F$29)+v_dist($J$30,$D$30,M26,$E$30,$F$30)+v_dist($J$31,$D$31,M26,$E$31,$F$31)+v_dist($J$32,$D$32,M26,$E$32,$F$32)+v_dist($J$33,$D$33,M26,$E$33,$F$33)+v_dist($J$34,$D$34,M26,$E$34,$F$34)</f>
        <v>-1</v>
      </c>
      <c r="O26" s="10">
        <f>m_dist($J$15,$D$15,M26,$E$15,$F$15)+m_dist($J$16,$D$16,M26,$E$16,$F$16)+m_dist($J$17,$D$17,M26,$E$17,$F$17)+m_dist($J$18,$D$18,M26,$E$18,$F$18)+m_dist($J$19,$D$19,M26,$E$19,$F$19)+m_dist($J$20,$D$20,M26,$E$20,$F$20)+m_dist($J$21,$D$21,M26,$E$21,$F$21)+m_dist($J$22,$D$22,M26,$E$22,$F$22)+m_dist($J$23,$D$23,M26,$E$23,$F$23)+m_dist($J$24,$D$24,M26,$E$24,$F$24)+m_dist($J$25,$D$25,M26,$E$25,$F$25)+m_dist($J$26,$D$26,M26,$E$26,$F$26)+m_dist($J$27,$D$27,M26,$E$27,$F$27)+m_dist($J$28,$D$28,M26,$E$28,$F$28)+m_dist($J$29,$D$29,M26,$E$29,$F$29)+m_dist($J$30,$D$30,M26,$E$30,$F$30)+m_dist($J$31,$D$31,M26,$E$31,$F$31)+m_dist($J$32,$D$32,M26,$E$32,$F$32)+m_dist($J$33,$D$33,M26,$E$33,$F$33)+m_dist($J$34,$D$34,M26,$E$34,$F$34)</f>
        <v>49.5</v>
      </c>
      <c r="P26" s="29">
        <f>(y_dist($J$15,$D$15,M26,$E$15,$F$15,$D$10)+y_dist($J$16,$D$16,M26,$E$16,$F$16,$D$10)+y_dist($J$17,$D$17,M26,$E$17,$F$17,$D$10)+y_dist($J$18,$D$18,M26,$E$18,$F$18,$D$10)+y_dist($J$19,$D$19,M26,$E$19,$F$19,$D$10)+y_dist($J$20,$D$20,M26,$E$20,$F$20,$D$10)+y_dist($J$21,$D$21,M26,$E$21,$F$21,$D$10)+y_dist($J$22,$D$22,M26,$E$22,$F$22,$D$10)+y_dist($J$23,$D$23,M26,$E$23,$F$23,$D$10)+y_dist($J$24,$D$24,M26,$E$24,$F$24,$D$10)+y_dist($J$25,$D$25,M26,$E$25,$F$25,$D$10)+y_dist($J$26,$D$26,M26,$E$26,$F$26,$D$10)+y_dist($J$27,$D$27,M26,$E$27,$F$27,$D$10)+y_dist($J$28,$D$28,M26,$E$28,$F$28,$D$10)+y_dist($J$29,$D$29,M26,$E$29,$F$29,$D$10)+y_dist($J$30,$D$30,M26,$E$30,$F$30,$D$10)+y_dist($J$31,$D$31,M26,$E$31,$F$31,$D$10)+y_dist($J$32,$D$32,M26,$E$32,$F$32,$D$10)+y_dist($J$33,$D$33,M26,$E$33,$F$33,$D$10)+y_dist($J$34,$D$34,M26,$E$34,$F$34,$D$10))/$D$11/$D$12*12</f>
        <v>-0.16245133592144326</v>
      </c>
      <c r="U26" s="40"/>
      <c r="V26" s="47"/>
    </row>
    <row r="27" spans="1:22" ht="14.1" customHeight="1" x14ac:dyDescent="0.25">
      <c r="A27" s="33"/>
      <c r="B27" s="59"/>
      <c r="C27" s="11">
        <v>13</v>
      </c>
      <c r="D27" s="5">
        <v>0</v>
      </c>
      <c r="E27" s="5">
        <v>0</v>
      </c>
      <c r="F27" s="5">
        <v>0</v>
      </c>
      <c r="G27" s="6">
        <f>IF(E27&lt;&gt;"",E27,"")</f>
        <v>0</v>
      </c>
      <c r="H27" s="6">
        <f>IF(F27&lt;&gt;"",F27-E27,"")</f>
        <v>0</v>
      </c>
      <c r="I27" s="6">
        <f>IF(D27&lt;&gt;"",$D$10-G27-H27,"")</f>
        <v>20</v>
      </c>
      <c r="J27" s="7">
        <f>IF(E27&lt;&gt;"",D27*H27/(2*D10)*(2*I27+H27),0)</f>
        <v>0</v>
      </c>
      <c r="K27" s="8">
        <f>IF(E27&lt;&gt;"",D27*H27/(2*D10)*(2*G27+H27),0)</f>
        <v>0</v>
      </c>
      <c r="M27" s="9">
        <f>M26+D10/20</f>
        <v>12</v>
      </c>
      <c r="N27" s="10">
        <f>v_dist($J$15,$D$15,M27,$E$15,$F$15)+v_dist($J$16,$D$16,M27,$E$16,$F$16)+v_dist($J$17,$D$17,M27,$E$17,$F$17)+v_dist($J$18,$D$18,M27,$E$18,$F$18)+v_dist($J$19,$D$19,M27,$E$19,$F$19)+v_dist($J$20,$D$20,M27,$E$20,$F$20)+v_dist($J$21,$D$21,M27,$E$21,$F$21)+v_dist($J$22,$D$22,M27,$E$22,$F$22)+v_dist($J$23,$D$23,M27,$E$23,$F$23)+v_dist($J$24,$D$24,M27,$E$24,$F$24)+v_dist($J$25,$D$25,M27,$E$25,$F$25)+v_dist($J$26,$D$26,M27,$E$26,$F$26)+v_dist($J$27,$D$27,M27,$E$27,$F$27)+v_dist($J$28,$D$28,M27,$E$28,$F$28)+v_dist($J$29,$D$29,M27,$E$29,$F$29)+v_dist($J$30,$D$30,M27,$E$30,$F$30)+v_dist($J$31,$D$31,M27,$E$31,$F$31)+v_dist($J$32,$D$32,M27,$E$32,$F$32)+v_dist($J$33,$D$33,M27,$E$33,$F$33)+v_dist($J$34,$D$34,M27,$E$34,$F$34)</f>
        <v>-2</v>
      </c>
      <c r="O27" s="10">
        <f>m_dist($J$15,$D$15,M27,$E$15,$F$15)+m_dist($J$16,$D$16,M27,$E$16,$F$16)+m_dist($J$17,$D$17,M27,$E$17,$F$17)+m_dist($J$18,$D$18,M27,$E$18,$F$18)+m_dist($J$19,$D$19,M27,$E$19,$F$19)+m_dist($J$20,$D$20,M27,$E$20,$F$20)+m_dist($J$21,$D$21,M27,$E$21,$F$21)+m_dist($J$22,$D$22,M27,$E$22,$F$22)+m_dist($J$23,$D$23,M27,$E$23,$F$23)+m_dist($J$24,$D$24,M27,$E$24,$F$24)+m_dist($J$25,$D$25,M27,$E$25,$F$25)+m_dist($J$26,$D$26,M27,$E$26,$F$26)+m_dist($J$27,$D$27,M27,$E$27,$F$27)+m_dist($J$28,$D$28,M27,$E$28,$F$28)+m_dist($J$29,$D$29,M27,$E$29,$F$29)+m_dist($J$30,$D$30,M27,$E$30,$F$30)+m_dist($J$31,$D$31,M27,$E$31,$F$31)+m_dist($J$32,$D$32,M27,$E$32,$F$32)+m_dist($J$33,$D$33,M27,$E$33,$F$33)+m_dist($J$34,$D$34,M27,$E$34,$F$34)</f>
        <v>48</v>
      </c>
      <c r="P27" s="29">
        <f>(y_dist($J$15,$D$15,M27,$E$15,$F$15,$D$10)+y_dist($J$16,$D$16,M27,$E$16,$F$16,$D$10)+y_dist($J$17,$D$17,M27,$E$17,$F$17,$D$10)+y_dist($J$18,$D$18,M27,$E$18,$F$18,$D$10)+y_dist($J$19,$D$19,M27,$E$19,$F$19,$D$10)+y_dist($J$20,$D$20,M27,$E$20,$F$20,$D$10)+y_dist($J$21,$D$21,M27,$E$21,$F$21,$D$10)+y_dist($J$22,$D$22,M27,$E$22,$F$22,$D$10)+y_dist($J$23,$D$23,M27,$E$23,$F$23,$D$10)+y_dist($J$24,$D$24,M27,$E$24,$F$24,$D$10)+y_dist($J$25,$D$25,M27,$E$25,$F$25,$D$10)+y_dist($J$26,$D$26,M27,$E$26,$F$26,$D$10)+y_dist($J$27,$D$27,M27,$E$27,$F$27,$D$10)+y_dist($J$28,$D$28,M27,$E$28,$F$28,$D$10)+y_dist($J$29,$D$29,M27,$E$29,$F$29,$D$10)+y_dist($J$30,$D$30,M27,$E$30,$F$30,$D$10)+y_dist($J$31,$D$31,M27,$E$31,$F$31,$D$10)+y_dist($J$32,$D$32,M27,$E$32,$F$32,$D$10)+y_dist($J$33,$D$33,M27,$E$33,$F$33,$D$10)+y_dist($J$34,$D$34,M27,$E$34,$F$34,$D$10))/$D$11/$D$12*12</f>
        <v>-0.15658150262617038</v>
      </c>
      <c r="U27" s="40"/>
      <c r="V27" s="47"/>
    </row>
    <row r="28" spans="1:22" ht="14.1" customHeight="1" x14ac:dyDescent="0.25">
      <c r="A28" s="33"/>
      <c r="B28" s="59"/>
      <c r="C28" s="11">
        <v>14</v>
      </c>
      <c r="D28" s="5">
        <v>0</v>
      </c>
      <c r="E28" s="5">
        <v>0</v>
      </c>
      <c r="F28" s="5">
        <v>0</v>
      </c>
      <c r="G28" s="6">
        <f>IF(E28&lt;&gt;"",E28,"")</f>
        <v>0</v>
      </c>
      <c r="H28" s="6">
        <f>IF(F28&lt;&gt;"",F28-E28,"")</f>
        <v>0</v>
      </c>
      <c r="I28" s="6">
        <f>IF(D28&lt;&gt;"",$D$10-G28-H28,"")</f>
        <v>20</v>
      </c>
      <c r="J28" s="7">
        <f>IF(E28&lt;&gt;"",D28*H28/(2*D10)*(2*I28+H28),0)</f>
        <v>0</v>
      </c>
      <c r="K28" s="8">
        <f>IF(E28&lt;&gt;"",D28*H28/(2*D10)*(2*G28+H28),0)</f>
        <v>0</v>
      </c>
      <c r="M28" s="9">
        <f>M27+D10/20</f>
        <v>13</v>
      </c>
      <c r="N28" s="10">
        <f>v_dist($J$15,$D$15,M28,$E$15,$F$15)+v_dist($J$16,$D$16,M28,$E$16,$F$16)+v_dist($J$17,$D$17,M28,$E$17,$F$17)+v_dist($J$18,$D$18,M28,$E$18,$F$18)+v_dist($J$19,$D$19,M28,$E$19,$F$19)+v_dist($J$20,$D$20,M28,$E$20,$F$20)+v_dist($J$21,$D$21,M28,$E$21,$F$21)+v_dist($J$22,$D$22,M28,$E$22,$F$22)+v_dist($J$23,$D$23,M28,$E$23,$F$23)+v_dist($J$24,$D$24,M28,$E$24,$F$24)+v_dist($J$25,$D$25,M28,$E$25,$F$25)+v_dist($J$26,$D$26,M28,$E$26,$F$26)+v_dist($J$27,$D$27,M28,$E$27,$F$27)+v_dist($J$28,$D$28,M28,$E$28,$F$28)+v_dist($J$29,$D$29,M28,$E$29,$F$29)+v_dist($J$30,$D$30,M28,$E$30,$F$30)+v_dist($J$31,$D$31,M28,$E$31,$F$31)+v_dist($J$32,$D$32,M28,$E$32,$F$32)+v_dist($J$33,$D$33,M28,$E$33,$F$33)+v_dist($J$34,$D$34,M28,$E$34,$F$34)</f>
        <v>-3</v>
      </c>
      <c r="O28" s="10">
        <f>m_dist($J$15,$D$15,M28,$E$15,$F$15)+m_dist($J$16,$D$16,M28,$E$16,$F$16)+m_dist($J$17,$D$17,M28,$E$17,$F$17)+m_dist($J$18,$D$18,M28,$E$18,$F$18)+m_dist($J$19,$D$19,M28,$E$19,$F$19)+m_dist($J$20,$D$20,M28,$E$20,$F$20)+m_dist($J$21,$D$21,M28,$E$21,$F$21)+m_dist($J$22,$D$22,M28,$E$22,$F$22)+m_dist($J$23,$D$23,M28,$E$23,$F$23)+m_dist($J$24,$D$24,M28,$E$24,$F$24)+m_dist($J$25,$D$25,M28,$E$25,$F$25)+m_dist($J$26,$D$26,M28,$E$26,$F$26)+m_dist($J$27,$D$27,M28,$E$27,$F$27)+m_dist($J$28,$D$28,M28,$E$28,$F$28)+m_dist($J$29,$D$29,M28,$E$29,$F$29)+m_dist($J$30,$D$30,M28,$E$30,$F$30)+m_dist($J$31,$D$31,M28,$E$31,$F$31)+m_dist($J$32,$D$32,M28,$E$32,$F$32)+m_dist($J$33,$D$33,M28,$E$33,$F$33)+m_dist($J$34,$D$34,M28,$E$34,$F$34)</f>
        <v>45.5</v>
      </c>
      <c r="P28" s="29">
        <f>(y_dist($J$15,$D$15,M28,$E$15,$F$15,$D$10)+y_dist($J$16,$D$16,M28,$E$16,$F$16,$D$10)+y_dist($J$17,$D$17,M28,$E$17,$F$17,$D$10)+y_dist($J$18,$D$18,M28,$E$18,$F$18,$D$10)+y_dist($J$19,$D$19,M28,$E$19,$F$19,$D$10)+y_dist($J$20,$D$20,M28,$E$20,$F$20,$D$10)+y_dist($J$21,$D$21,M28,$E$21,$F$21,$D$10)+y_dist($J$22,$D$22,M28,$E$22,$F$22,$D$10)+y_dist($J$23,$D$23,M28,$E$23,$F$23,$D$10)+y_dist($J$24,$D$24,M28,$E$24,$F$24,$D$10)+y_dist($J$25,$D$25,M28,$E$25,$F$25,$D$10)+y_dist($J$26,$D$26,M28,$E$26,$F$26,$D$10)+y_dist($J$27,$D$27,M28,$E$27,$F$27,$D$10)+y_dist($J$28,$D$28,M28,$E$28,$F$28,$D$10)+y_dist($J$29,$D$29,M28,$E$29,$F$29,$D$10)+y_dist($J$30,$D$30,M28,$E$30,$F$30,$D$10)+y_dist($J$31,$D$31,M28,$E$31,$F$31,$D$10)+y_dist($J$32,$D$32,M28,$E$32,$F$32,$D$10)+y_dist($J$33,$D$33,M28,$E$33,$F$33,$D$10)+y_dist($J$34,$D$34,M28,$E$34,$F$34,$D$10))/$D$11/$D$12*12</f>
        <v>-0.14692998401461521</v>
      </c>
      <c r="U28" s="40"/>
      <c r="V28" s="47"/>
    </row>
    <row r="29" spans="1:22" ht="14.1" customHeight="1" x14ac:dyDescent="0.25">
      <c r="A29" s="33"/>
      <c r="B29" s="59"/>
      <c r="C29" s="11">
        <v>15</v>
      </c>
      <c r="D29" s="5">
        <v>0</v>
      </c>
      <c r="E29" s="5">
        <v>0</v>
      </c>
      <c r="F29" s="5">
        <v>0</v>
      </c>
      <c r="G29" s="6">
        <f>IF(E29&lt;&gt;"",E29,"")</f>
        <v>0</v>
      </c>
      <c r="H29" s="6">
        <f>IF(F29&lt;&gt;"",F29-E29,"")</f>
        <v>0</v>
      </c>
      <c r="I29" s="6">
        <f>IF(D29&lt;&gt;"",$D$10-G29-H29,"")</f>
        <v>20</v>
      </c>
      <c r="J29" s="7">
        <f>IF(E29&lt;&gt;"",D29*H29/(2*D10)*(2*I29+H29),0)</f>
        <v>0</v>
      </c>
      <c r="K29" s="8">
        <f>IF(E29&lt;&gt;"",D29*H29/(2*D10)*(2*G29+H29),0)</f>
        <v>0</v>
      </c>
      <c r="M29" s="9">
        <f>M28+D10/20</f>
        <v>14</v>
      </c>
      <c r="N29" s="10">
        <f>v_dist($J$15,$D$15,M29,$E$15,$F$15)+v_dist($J$16,$D$16,M29,$E$16,$F$16)+v_dist($J$17,$D$17,M29,$E$17,$F$17)+v_dist($J$18,$D$18,M29,$E$18,$F$18)+v_dist($J$19,$D$19,M29,$E$19,$F$19)+v_dist($J$20,$D$20,M29,$E$20,$F$20)+v_dist($J$21,$D$21,M29,$E$21,$F$21)+v_dist($J$22,$D$22,M29,$E$22,$F$22)+v_dist($J$23,$D$23,M29,$E$23,$F$23)+v_dist($J$24,$D$24,M29,$E$24,$F$24)+v_dist($J$25,$D$25,M29,$E$25,$F$25)+v_dist($J$26,$D$26,M29,$E$26,$F$26)+v_dist($J$27,$D$27,M29,$E$27,$F$27)+v_dist($J$28,$D$28,M29,$E$28,$F$28)+v_dist($J$29,$D$29,M29,$E$29,$F$29)+v_dist($J$30,$D$30,M29,$E$30,$F$30)+v_dist($J$31,$D$31,M29,$E$31,$F$31)+v_dist($J$32,$D$32,M29,$E$32,$F$32)+v_dist($J$33,$D$33,M29,$E$33,$F$33)+v_dist($J$34,$D$34,M29,$E$34,$F$34)</f>
        <v>-4</v>
      </c>
      <c r="O29" s="10">
        <f>m_dist($J$15,$D$15,M29,$E$15,$F$15)+m_dist($J$16,$D$16,M29,$E$16,$F$16)+m_dist($J$17,$D$17,M29,$E$17,$F$17)+m_dist($J$18,$D$18,M29,$E$18,$F$18)+m_dist($J$19,$D$19,M29,$E$19,$F$19)+m_dist($J$20,$D$20,M29,$E$20,$F$20)+m_dist($J$21,$D$21,M29,$E$21,$F$21)+m_dist($J$22,$D$22,M29,$E$22,$F$22)+m_dist($J$23,$D$23,M29,$E$23,$F$23)+m_dist($J$24,$D$24,M29,$E$24,$F$24)+m_dist($J$25,$D$25,M29,$E$25,$F$25)+m_dist($J$26,$D$26,M29,$E$26,$F$26)+m_dist($J$27,$D$27,M29,$E$27,$F$27)+m_dist($J$28,$D$28,M29,$E$28,$F$28)+m_dist($J$29,$D$29,M29,$E$29,$F$29)+m_dist($J$30,$D$30,M29,$E$30,$F$30)+m_dist($J$31,$D$31,M29,$E$31,$F$31)+m_dist($J$32,$D$32,M29,$E$32,$F$32)+m_dist($J$33,$D$33,M29,$E$33,$F$33)+m_dist($J$34,$D$34,M29,$E$34,$F$34)</f>
        <v>42</v>
      </c>
      <c r="P29" s="29">
        <f>(y_dist($J$15,$D$15,M29,$E$15,$F$15,$D$10)+y_dist($J$16,$D$16,M29,$E$16,$F$16,$D$10)+y_dist($J$17,$D$17,M29,$E$17,$F$17,$D$10)+y_dist($J$18,$D$18,M29,$E$18,$F$18,$D$10)+y_dist($J$19,$D$19,M29,$E$19,$F$19,$D$10)+y_dist($J$20,$D$20,M29,$E$20,$F$20,$D$10)+y_dist($J$21,$D$21,M29,$E$21,$F$21,$D$10)+y_dist($J$22,$D$22,M29,$E$22,$F$22,$D$10)+y_dist($J$23,$D$23,M29,$E$23,$F$23,$D$10)+y_dist($J$24,$D$24,M29,$E$24,$F$24,$D$10)+y_dist($J$25,$D$25,M29,$E$25,$F$25,$D$10)+y_dist($J$26,$D$26,M29,$E$26,$F$26,$D$10)+y_dist($J$27,$D$27,M29,$E$27,$F$27,$D$10)+y_dist($J$28,$D$28,M29,$E$28,$F$28,$D$10)+y_dist($J$29,$D$29,M29,$E$29,$F$29,$D$10)+y_dist($J$30,$D$30,M29,$E$30,$F$30,$D$10)+y_dist($J$31,$D$31,M29,$E$31,$F$31,$D$10)+y_dist($J$32,$D$32,M29,$E$32,$F$32,$D$10)+y_dist($J$33,$D$33,M29,$E$33,$F$33,$D$10)+y_dist($J$34,$D$34,M29,$E$34,$F$34,$D$10))/$D$11/$D$12*12</f>
        <v>-0.13369408540762728</v>
      </c>
      <c r="U29" s="40"/>
      <c r="V29" s="47"/>
    </row>
    <row r="30" spans="1:22" ht="14.1" customHeight="1" x14ac:dyDescent="0.25">
      <c r="A30" s="33"/>
      <c r="B30" s="59"/>
      <c r="C30" s="11">
        <v>16</v>
      </c>
      <c r="D30" s="5">
        <v>0</v>
      </c>
      <c r="E30" s="5">
        <v>0</v>
      </c>
      <c r="F30" s="5">
        <v>0</v>
      </c>
      <c r="G30" s="6">
        <f>IF(E30&lt;&gt;"",E30,"")</f>
        <v>0</v>
      </c>
      <c r="H30" s="6">
        <f>IF(F30&lt;&gt;"",F30-E30,"")</f>
        <v>0</v>
      </c>
      <c r="I30" s="6">
        <f>IF(D30&lt;&gt;"",$D$10-G30-H30,"")</f>
        <v>20</v>
      </c>
      <c r="J30" s="7">
        <f>IF(E30&lt;&gt;"",D30*H30/(2*D10)*(2*I30+H30),0)</f>
        <v>0</v>
      </c>
      <c r="K30" s="8">
        <f>IF(E30&lt;&gt;"",D30*H30/(2*D10)*(2*G30+H30),0)</f>
        <v>0</v>
      </c>
      <c r="M30" s="9">
        <f>M29+D10/20</f>
        <v>15</v>
      </c>
      <c r="N30" s="10">
        <f>v_dist($J$15,$D$15,M30,$E$15,$F$15)+v_dist($J$16,$D$16,M30,$E$16,$F$16)+v_dist($J$17,$D$17,M30,$E$17,$F$17)+v_dist($J$18,$D$18,M30,$E$18,$F$18)+v_dist($J$19,$D$19,M30,$E$19,$F$19)+v_dist($J$20,$D$20,M30,$E$20,$F$20)+v_dist($J$21,$D$21,M30,$E$21,$F$21)+v_dist($J$22,$D$22,M30,$E$22,$F$22)+v_dist($J$23,$D$23,M30,$E$23,$F$23)+v_dist($J$24,$D$24,M30,$E$24,$F$24)+v_dist($J$25,$D$25,M30,$E$25,$F$25)+v_dist($J$26,$D$26,M30,$E$26,$F$26)+v_dist($J$27,$D$27,M30,$E$27,$F$27)+v_dist($J$28,$D$28,M30,$E$28,$F$28)+v_dist($J$29,$D$29,M30,$E$29,$F$29)+v_dist($J$30,$D$30,M30,$E$30,$F$30)+v_dist($J$31,$D$31,M30,$E$31,$F$31)+v_dist($J$32,$D$32,M30,$E$32,$F$32)+v_dist($J$33,$D$33,M30,$E$33,$F$33)+v_dist($J$34,$D$34,M30,$E$34,$F$34)</f>
        <v>-5</v>
      </c>
      <c r="O30" s="10">
        <f>m_dist($J$15,$D$15,M30,$E$15,$F$15)+m_dist($J$16,$D$16,M30,$E$16,$F$16)+m_dist($J$17,$D$17,M30,$E$17,$F$17)+m_dist($J$18,$D$18,M30,$E$18,$F$18)+m_dist($J$19,$D$19,M30,$E$19,$F$19)+m_dist($J$20,$D$20,M30,$E$20,$F$20)+m_dist($J$21,$D$21,M30,$E$21,$F$21)+m_dist($J$22,$D$22,M30,$E$22,$F$22)+m_dist($J$23,$D$23,M30,$E$23,$F$23)+m_dist($J$24,$D$24,M30,$E$24,$F$24)+m_dist($J$25,$D$25,M30,$E$25,$F$25)+m_dist($J$26,$D$26,M30,$E$26,$F$26)+m_dist($J$27,$D$27,M30,$E$27,$F$27)+m_dist($J$28,$D$28,M30,$E$28,$F$28)+m_dist($J$29,$D$29,M30,$E$29,$F$29)+m_dist($J$30,$D$30,M30,$E$30,$F$30)+m_dist($J$31,$D$31,M30,$E$31,$F$31)+m_dist($J$32,$D$32,M30,$E$32,$F$32)+m_dist($J$33,$D$33,M30,$E$33,$F$33)+m_dist($J$34,$D$34,M30,$E$34,$F$34)</f>
        <v>37.5</v>
      </c>
      <c r="P30" s="29">
        <f>(y_dist($J$15,$D$15,M30,$E$15,$F$15,$D$10)+y_dist($J$16,$D$16,M30,$E$16,$F$16,$D$10)+y_dist($J$17,$D$17,M30,$E$17,$F$17,$D$10)+y_dist($J$18,$D$18,M30,$E$18,$F$18,$D$10)+y_dist($J$19,$D$19,M30,$E$19,$F$19,$D$10)+y_dist($J$20,$D$20,M30,$E$20,$F$20,$D$10)+y_dist($J$21,$D$21,M30,$E$21,$F$21,$D$10)+y_dist($J$22,$D$22,M30,$E$22,$F$22,$D$10)+y_dist($J$23,$D$23,M30,$E$23,$F$23,$D$10)+y_dist($J$24,$D$24,M30,$E$24,$F$24,$D$10)+y_dist($J$25,$D$25,M30,$E$25,$F$25,$D$10)+y_dist($J$26,$D$26,M30,$E$26,$F$26,$D$10)+y_dist($J$27,$D$27,M30,$E$27,$F$27,$D$10)+y_dist($J$28,$D$28,M30,$E$28,$F$28,$D$10)+y_dist($J$29,$D$29,M30,$E$29,$F$29,$D$10)+y_dist($J$30,$D$30,M30,$E$30,$F$30,$D$10)+y_dist($J$31,$D$31,M30,$E$31,$F$31,$D$10)+y_dist($J$32,$D$32,M30,$E$32,$F$32,$D$10)+y_dist($J$33,$D$33,M30,$E$33,$F$33,$D$10)+y_dist($J$34,$D$34,M30,$E$34,$F$34,$D$10))/$D$11/$D$12*12</f>
        <v>-0.11715003425439599</v>
      </c>
      <c r="U30" s="40"/>
      <c r="V30" s="47"/>
    </row>
    <row r="31" spans="1:22" ht="14.1" customHeight="1" x14ac:dyDescent="0.25">
      <c r="A31" s="33"/>
      <c r="B31" s="59"/>
      <c r="C31" s="11">
        <v>17</v>
      </c>
      <c r="D31" s="5">
        <v>0</v>
      </c>
      <c r="E31" s="5">
        <v>0</v>
      </c>
      <c r="F31" s="5">
        <v>0</v>
      </c>
      <c r="G31" s="6">
        <f>IF(E31&lt;&gt;"",E31,"")</f>
        <v>0</v>
      </c>
      <c r="H31" s="6">
        <f>IF(F31&lt;&gt;"",F31-E31,"")</f>
        <v>0</v>
      </c>
      <c r="I31" s="6">
        <f>IF(D31&lt;&gt;"",$D$10-G31-H31,"")</f>
        <v>20</v>
      </c>
      <c r="J31" s="7">
        <f>IF(E31&lt;&gt;"",D31*H31/(2*D10)*(2*I31+H31),0)</f>
        <v>0</v>
      </c>
      <c r="K31" s="8">
        <f>IF(E31&lt;&gt;"",D31*H31/(2*D10)*(2*G31+H31),0)</f>
        <v>0</v>
      </c>
      <c r="M31" s="9">
        <f>M30+D10/20</f>
        <v>16</v>
      </c>
      <c r="N31" s="10">
        <f>v_dist($J$15,$D$15,M31,$E$15,$F$15)+v_dist($J$16,$D$16,M31,$E$16,$F$16)+v_dist($J$17,$D$17,M31,$E$17,$F$17)+v_dist($J$18,$D$18,M31,$E$18,$F$18)+v_dist($J$19,$D$19,M31,$E$19,$F$19)+v_dist($J$20,$D$20,M31,$E$20,$F$20)+v_dist($J$21,$D$21,M31,$E$21,$F$21)+v_dist($J$22,$D$22,M31,$E$22,$F$22)+v_dist($J$23,$D$23,M31,$E$23,$F$23)+v_dist($J$24,$D$24,M31,$E$24,$F$24)+v_dist($J$25,$D$25,M31,$E$25,$F$25)+v_dist($J$26,$D$26,M31,$E$26,$F$26)+v_dist($J$27,$D$27,M31,$E$27,$F$27)+v_dist($J$28,$D$28,M31,$E$28,$F$28)+v_dist($J$29,$D$29,M31,$E$29,$F$29)+v_dist($J$30,$D$30,M31,$E$30,$F$30)+v_dist($J$31,$D$31,M31,$E$31,$F$31)+v_dist($J$32,$D$32,M31,$E$32,$F$32)+v_dist($J$33,$D$33,M31,$E$33,$F$33)+v_dist($J$34,$D$34,M31,$E$34,$F$34)</f>
        <v>-6</v>
      </c>
      <c r="O31" s="10">
        <f>m_dist($J$15,$D$15,M31,$E$15,$F$15)+m_dist($J$16,$D$16,M31,$E$16,$F$16)+m_dist($J$17,$D$17,M31,$E$17,$F$17)+m_dist($J$18,$D$18,M31,$E$18,$F$18)+m_dist($J$19,$D$19,M31,$E$19,$F$19)+m_dist($J$20,$D$20,M31,$E$20,$F$20)+m_dist($J$21,$D$21,M31,$E$21,$F$21)+m_dist($J$22,$D$22,M31,$E$22,$F$22)+m_dist($J$23,$D$23,M31,$E$23,$F$23)+m_dist($J$24,$D$24,M31,$E$24,$F$24)+m_dist($J$25,$D$25,M31,$E$25,$F$25)+m_dist($J$26,$D$26,M31,$E$26,$F$26)+m_dist($J$27,$D$27,M31,$E$27,$F$27)+m_dist($J$28,$D$28,M31,$E$28,$F$28)+m_dist($J$29,$D$29,M31,$E$29,$F$29)+m_dist($J$30,$D$30,M31,$E$30,$F$30)+m_dist($J$31,$D$31,M31,$E$31,$F$31)+m_dist($J$32,$D$32,M31,$E$32,$F$32)+m_dist($J$33,$D$33,M31,$E$33,$F$33)+m_dist($J$34,$D$34,M31,$E$34,$F$34)</f>
        <v>32</v>
      </c>
      <c r="P31" s="29">
        <f>(y_dist($J$15,$D$15,M31,$E$15,$F$15,$D$10)+y_dist($J$16,$D$16,M31,$E$16,$F$16,$D$10)+y_dist($J$17,$D$17,M31,$E$17,$F$17,$D$10)+y_dist($J$18,$D$18,M31,$E$18,$F$18,$D$10)+y_dist($J$19,$D$19,M31,$E$19,$F$19,$D$10)+y_dist($J$20,$D$20,M31,$E$20,$F$20,$D$10)+y_dist($J$21,$D$21,M31,$E$21,$F$21,$D$10)+y_dist($J$22,$D$22,M31,$E$22,$F$22,$D$10)+y_dist($J$23,$D$23,M31,$E$23,$F$23,$D$10)+y_dist($J$24,$D$24,M31,$E$24,$F$24,$D$10)+y_dist($J$25,$D$25,M31,$E$25,$F$25,$D$10)+y_dist($J$26,$D$26,M31,$E$26,$F$26,$D$10)+y_dist($J$27,$D$27,M31,$E$27,$F$27,$D$10)+y_dist($J$28,$D$28,M31,$E$28,$F$28,$D$10)+y_dist($J$29,$D$29,M31,$E$29,$F$29,$D$10)+y_dist($J$30,$D$30,M31,$E$30,$F$30,$D$10)+y_dist($J$31,$D$31,M31,$E$31,$F$31,$D$10)+y_dist($J$32,$D$32,M31,$E$32,$F$32,$D$10)+y_dist($J$33,$D$33,M31,$E$33,$F$33,$D$10)+y_dist($J$34,$D$34,M31,$E$34,$F$34,$D$10))/$D$11/$D$12*12</f>
        <v>-9.7652980132450343E-2</v>
      </c>
      <c r="U31" s="40"/>
      <c r="V31" s="47"/>
    </row>
    <row r="32" spans="1:22" ht="14.1" customHeight="1" x14ac:dyDescent="0.25">
      <c r="A32" s="33"/>
      <c r="B32" s="59"/>
      <c r="C32" s="11">
        <v>18</v>
      </c>
      <c r="D32" s="5">
        <v>0</v>
      </c>
      <c r="E32" s="5">
        <v>0</v>
      </c>
      <c r="F32" s="5">
        <v>0</v>
      </c>
      <c r="G32" s="6">
        <f>IF(E32&lt;&gt;"",E32,"")</f>
        <v>0</v>
      </c>
      <c r="H32" s="6">
        <f>IF(F32&lt;&gt;"",F32-E32,"")</f>
        <v>0</v>
      </c>
      <c r="I32" s="6">
        <f>IF(D32&lt;&gt;"",$D$10-G32-H32,"")</f>
        <v>20</v>
      </c>
      <c r="J32" s="7">
        <f>IF(E32&lt;&gt;"",D32*H32/(2*D10)*(2*I32+H32),0)</f>
        <v>0</v>
      </c>
      <c r="K32" s="8">
        <f>IF(E32&lt;&gt;"",D32*H32/(2*D10)*(2*G32+H32),0)</f>
        <v>0</v>
      </c>
      <c r="M32" s="9">
        <f>M31+D10/20</f>
        <v>17</v>
      </c>
      <c r="N32" s="10">
        <f>v_dist($J$15,$D$15,M32,$E$15,$F$15)+v_dist($J$16,$D$16,M32,$E$16,$F$16)+v_dist($J$17,$D$17,M32,$E$17,$F$17)+v_dist($J$18,$D$18,M32,$E$18,$F$18)+v_dist($J$19,$D$19,M32,$E$19,$F$19)+v_dist($J$20,$D$20,M32,$E$20,$F$20)+v_dist($J$21,$D$21,M32,$E$21,$F$21)+v_dist($J$22,$D$22,M32,$E$22,$F$22)+v_dist($J$23,$D$23,M32,$E$23,$F$23)+v_dist($J$24,$D$24,M32,$E$24,$F$24)+v_dist($J$25,$D$25,M32,$E$25,$F$25)+v_dist($J$26,$D$26,M32,$E$26,$F$26)+v_dist($J$27,$D$27,M32,$E$27,$F$27)+v_dist($J$28,$D$28,M32,$E$28,$F$28)+v_dist($J$29,$D$29,M32,$E$29,$F$29)+v_dist($J$30,$D$30,M32,$E$30,$F$30)+v_dist($J$31,$D$31,M32,$E$31,$F$31)+v_dist($J$32,$D$32,M32,$E$32,$F$32)+v_dist($J$33,$D$33,M32,$E$33,$F$33)+v_dist($J$34,$D$34,M32,$E$34,$F$34)</f>
        <v>-7</v>
      </c>
      <c r="O32" s="10">
        <f>m_dist($J$15,$D$15,M32,$E$15,$F$15)+m_dist($J$16,$D$16,M32,$E$16,$F$16)+m_dist($J$17,$D$17,M32,$E$17,$F$17)+m_dist($J$18,$D$18,M32,$E$18,$F$18)+m_dist($J$19,$D$19,M32,$E$19,$F$19)+m_dist($J$20,$D$20,M32,$E$20,$F$20)+m_dist($J$21,$D$21,M32,$E$21,$F$21)+m_dist($J$22,$D$22,M32,$E$22,$F$22)+m_dist($J$23,$D$23,M32,$E$23,$F$23)+m_dist($J$24,$D$24,M32,$E$24,$F$24)+m_dist($J$25,$D$25,M32,$E$25,$F$25)+m_dist($J$26,$D$26,M32,$E$26,$F$26)+m_dist($J$27,$D$27,M32,$E$27,$F$27)+m_dist($J$28,$D$28,M32,$E$28,$F$28)+m_dist($J$29,$D$29,M32,$E$29,$F$29)+m_dist($J$30,$D$30,M32,$E$30,$F$30)+m_dist($J$31,$D$31,M32,$E$31,$F$31)+m_dist($J$32,$D$32,M32,$E$32,$F$32)+m_dist($J$33,$D$33,M32,$E$33,$F$33)+m_dist($J$34,$D$34,M32,$E$34,$F$34)</f>
        <v>25.5</v>
      </c>
      <c r="P32" s="29">
        <f>(y_dist($J$15,$D$15,M32,$E$15,$F$15,$D$10)+y_dist($J$16,$D$16,M32,$E$16,$F$16,$D$10)+y_dist($J$17,$D$17,M32,$E$17,$F$17,$D$10)+y_dist($J$18,$D$18,M32,$E$18,$F$18,$D$10)+y_dist($J$19,$D$19,M32,$E$19,$F$19,$D$10)+y_dist($J$20,$D$20,M32,$E$20,$F$20,$D$10)+y_dist($J$21,$D$21,M32,$E$21,$F$21,$D$10)+y_dist($J$22,$D$22,M32,$E$22,$F$22,$D$10)+y_dist($J$23,$D$23,M32,$E$23,$F$23,$D$10)+y_dist($J$24,$D$24,M32,$E$24,$F$24,$D$10)+y_dist($J$25,$D$25,M32,$E$25,$F$25,$D$10)+y_dist($J$26,$D$26,M32,$E$26,$F$26,$D$10)+y_dist($J$27,$D$27,M32,$E$27,$F$27,$D$10)+y_dist($J$28,$D$28,M32,$E$28,$F$28,$D$10)+y_dist($J$29,$D$29,M32,$E$29,$F$29,$D$10)+y_dist($J$30,$D$30,M32,$E$30,$F$30,$D$10)+y_dist($J$31,$D$31,M32,$E$31,$F$31,$D$10)+y_dist($J$32,$D$32,M32,$E$32,$F$32,$D$10)+y_dist($J$33,$D$33,M32,$E$33,$F$33,$D$10)+y_dist($J$34,$D$34,M32,$E$34,$F$34,$D$10))/$D$11/$D$12*12</f>
        <v>-7.5636994747659281E-2</v>
      </c>
      <c r="U32" s="40"/>
      <c r="V32" s="47"/>
    </row>
    <row r="33" spans="1:22" ht="14.1" customHeight="1" x14ac:dyDescent="0.25">
      <c r="A33" s="33"/>
      <c r="B33" s="59"/>
      <c r="C33" s="11">
        <v>19</v>
      </c>
      <c r="D33" s="5">
        <v>0</v>
      </c>
      <c r="E33" s="5">
        <v>0</v>
      </c>
      <c r="F33" s="5">
        <v>0</v>
      </c>
      <c r="G33" s="6">
        <f>IF(E33&lt;&gt;"",E33,"")</f>
        <v>0</v>
      </c>
      <c r="H33" s="6">
        <f>IF(F33&lt;&gt;"",F33-E33,"")</f>
        <v>0</v>
      </c>
      <c r="I33" s="6">
        <f>IF(D33&lt;&gt;"",$D$10-G33-H33,"")</f>
        <v>20</v>
      </c>
      <c r="J33" s="7">
        <f>IF(E33&lt;&gt;"",D33*H33/(2*D10)*(2*I33+H33),0)</f>
        <v>0</v>
      </c>
      <c r="K33" s="8">
        <f>IF(E33&lt;&gt;"",D33*H33/(2*D10)*(2*G33+H33),0)</f>
        <v>0</v>
      </c>
      <c r="M33" s="9">
        <f>M32+D10/20</f>
        <v>18</v>
      </c>
      <c r="N33" s="10">
        <f>v_dist($J$15,$D$15,M33,$E$15,$F$15)+v_dist($J$16,$D$16,M33,$E$16,$F$16)+v_dist($J$17,$D$17,M33,$E$17,$F$17)+v_dist($J$18,$D$18,M33,$E$18,$F$18)+v_dist($J$19,$D$19,M33,$E$19,$F$19)+v_dist($J$20,$D$20,M33,$E$20,$F$20)+v_dist($J$21,$D$21,M33,$E$21,$F$21)+v_dist($J$22,$D$22,M33,$E$22,$F$22)+v_dist($J$23,$D$23,M33,$E$23,$F$23)+v_dist($J$24,$D$24,M33,$E$24,$F$24)+v_dist($J$25,$D$25,M33,$E$25,$F$25)+v_dist($J$26,$D$26,M33,$E$26,$F$26)+v_dist($J$27,$D$27,M33,$E$27,$F$27)+v_dist($J$28,$D$28,M33,$E$28,$F$28)+v_dist($J$29,$D$29,M33,$E$29,$F$29)+v_dist($J$30,$D$30,M33,$E$30,$F$30)+v_dist($J$31,$D$31,M33,$E$31,$F$31)+v_dist($J$32,$D$32,M33,$E$32,$F$32)+v_dist($J$33,$D$33,M33,$E$33,$F$33)+v_dist($J$34,$D$34,M33,$E$34,$F$34)</f>
        <v>-8</v>
      </c>
      <c r="O33" s="10">
        <f>m_dist($J$15,$D$15,M33,$E$15,$F$15)+m_dist($J$16,$D$16,M33,$E$16,$F$16)+m_dist($J$17,$D$17,M33,$E$17,$F$17)+m_dist($J$18,$D$18,M33,$E$18,$F$18)+m_dist($J$19,$D$19,M33,$E$19,$F$19)+m_dist($J$20,$D$20,M33,$E$20,$F$20)+m_dist($J$21,$D$21,M33,$E$21,$F$21)+m_dist($J$22,$D$22,M33,$E$22,$F$22)+m_dist($J$23,$D$23,M33,$E$23,$F$23)+m_dist($J$24,$D$24,M33,$E$24,$F$24)+m_dist($J$25,$D$25,M33,$E$25,$F$25)+m_dist($J$26,$D$26,M33,$E$26,$F$26)+m_dist($J$27,$D$27,M33,$E$27,$F$27)+m_dist($J$28,$D$28,M33,$E$28,$F$28)+m_dist($J$29,$D$29,M33,$E$29,$F$29)+m_dist($J$30,$D$30,M33,$E$30,$F$30)+m_dist($J$31,$D$31,M33,$E$31,$F$31)+m_dist($J$32,$D$32,M33,$E$32,$F$32)+m_dist($J$33,$D$33,M33,$E$33,$F$33)+m_dist($J$34,$D$34,M33,$E$34,$F$34)</f>
        <v>18</v>
      </c>
      <c r="P33" s="29">
        <f>(y_dist($J$15,$D$15,M33,$E$15,$F$15,$D$10)+y_dist($J$16,$D$16,M33,$E$16,$F$16,$D$10)+y_dist($J$17,$D$17,M33,$E$17,$F$17,$D$10)+y_dist($J$18,$D$18,M33,$E$18,$F$18,$D$10)+y_dist($J$19,$D$19,M33,$E$19,$F$19,$D$10)+y_dist($J$20,$D$20,M33,$E$20,$F$20,$D$10)+y_dist($J$21,$D$21,M33,$E$21,$F$21,$D$10)+y_dist($J$22,$D$22,M33,$E$22,$F$22,$D$10)+y_dist($J$23,$D$23,M33,$E$23,$F$23,$D$10)+y_dist($J$24,$D$24,M33,$E$24,$F$24,$D$10)+y_dist($J$25,$D$25,M33,$E$25,$F$25,$D$10)+y_dist($J$26,$D$26,M33,$E$26,$F$26,$D$10)+y_dist($J$27,$D$27,M33,$E$27,$F$27,$D$10)+y_dist($J$28,$D$28,M33,$E$28,$F$28,$D$10)+y_dist($J$29,$D$29,M33,$E$29,$F$29,$D$10)+y_dist($J$30,$D$30,M33,$E$30,$F$30,$D$10)+y_dist($J$31,$D$31,M33,$E$31,$F$31,$D$10)+y_dist($J$32,$D$32,M33,$E$32,$F$32,$D$10)+y_dist($J$33,$D$33,M33,$E$33,$F$33,$D$10)+y_dist($J$34,$D$34,M33,$E$34,$F$34,$D$10))/$D$11/$D$12*12</f>
        <v>-5.1615071934231566E-2</v>
      </c>
      <c r="U33" s="40"/>
      <c r="V33" s="47"/>
    </row>
    <row r="34" spans="1:22" ht="14.1" customHeight="1" x14ac:dyDescent="0.25">
      <c r="A34" s="33"/>
      <c r="B34" s="59"/>
      <c r="C34" s="12">
        <v>20</v>
      </c>
      <c r="D34" s="13">
        <v>0</v>
      </c>
      <c r="E34" s="13">
        <v>0</v>
      </c>
      <c r="F34" s="13">
        <v>0</v>
      </c>
      <c r="G34" s="14">
        <f>IF(E34&lt;&gt;"",E34,"")</f>
        <v>0</v>
      </c>
      <c r="H34" s="14">
        <f>IF(F34&lt;&gt;"",F34-E34,"")</f>
        <v>0</v>
      </c>
      <c r="I34" s="14">
        <f>IF(D34&lt;&gt;"",$D$10-G34-H34,"")</f>
        <v>20</v>
      </c>
      <c r="J34" s="26">
        <f>IF(E34&lt;&gt;"",D34*H34/(2*D10)*(2*I34+H34),0)</f>
        <v>0</v>
      </c>
      <c r="K34" s="27">
        <f>IF(E34&lt;&gt;"",D34*H34/(2*D10)*(2*G34+H34),0)</f>
        <v>0</v>
      </c>
      <c r="M34" s="9">
        <f>M33+D10/20</f>
        <v>19</v>
      </c>
      <c r="N34" s="10">
        <f>v_dist($J$15,$D$15,M34,$E$15,$F$15)+v_dist($J$16,$D$16,M34,$E$16,$F$16)+v_dist($J$17,$D$17,M34,$E$17,$F$17)+v_dist($J$18,$D$18,M34,$E$18,$F$18)+v_dist($J$19,$D$19,M34,$E$19,$F$19)+v_dist($J$20,$D$20,M34,$E$20,$F$20)+v_dist($J$21,$D$21,M34,$E$21,$F$21)+v_dist($J$22,$D$22,M34,$E$22,$F$22)+v_dist($J$23,$D$23,M34,$E$23,$F$23)+v_dist($J$24,$D$24,M34,$E$24,$F$24)+v_dist($J$25,$D$25,M34,$E$25,$F$25)+v_dist($J$26,$D$26,M34,$E$26,$F$26)+v_dist($J$27,$D$27,M34,$E$27,$F$27)+v_dist($J$28,$D$28,M34,$E$28,$F$28)+v_dist($J$29,$D$29,M34,$E$29,$F$29)+v_dist($J$30,$D$30,M34,$E$30,$F$30)+v_dist($J$31,$D$31,M34,$E$31,$F$31)+v_dist($J$32,$D$32,M34,$E$32,$F$32)+v_dist($J$33,$D$33,M34,$E$33,$F$33)+v_dist($J$34,$D$34,M34,$E$34,$F$34)</f>
        <v>-9</v>
      </c>
      <c r="O34" s="10">
        <f>m_dist($J$15,$D$15,M34,$E$15,$F$15)+m_dist($J$16,$D$16,M34,$E$16,$F$16)+m_dist($J$17,$D$17,M34,$E$17,$F$17)+m_dist($J$18,$D$18,M34,$E$18,$F$18)+m_dist($J$19,$D$19,M34,$E$19,$F$19)+m_dist($J$20,$D$20,M34,$E$20,$F$20)+m_dist($J$21,$D$21,M34,$E$21,$F$21)+m_dist($J$22,$D$22,M34,$E$22,$F$22)+m_dist($J$23,$D$23,M34,$E$23,$F$23)+m_dist($J$24,$D$24,M34,$E$24,$F$24)+m_dist($J$25,$D$25,M34,$E$25,$F$25)+m_dist($J$26,$D$26,M34,$E$26,$F$26)+m_dist($J$27,$D$27,M34,$E$27,$F$27)+m_dist($J$28,$D$28,M34,$E$28,$F$28)+m_dist($J$29,$D$29,M34,$E$29,$F$29)+m_dist($J$30,$D$30,M34,$E$30,$F$30)+m_dist($J$31,$D$31,M34,$E$31,$F$31)+m_dist($J$32,$D$32,M34,$E$32,$F$32)+m_dist($J$33,$D$33,M34,$E$33,$F$33)+m_dist($J$34,$D$34,M34,$E$34,$F$34)</f>
        <v>9.5</v>
      </c>
      <c r="P34" s="29">
        <f>(y_dist($J$15,$D$15,M34,$E$15,$F$15,$D$10)+y_dist($J$16,$D$16,M34,$E$16,$F$16,$D$10)+y_dist($J$17,$D$17,M34,$E$17,$F$17,$D$10)+y_dist($J$18,$D$18,M34,$E$18,$F$18,$D$10)+y_dist($J$19,$D$19,M34,$E$19,$F$19,$D$10)+y_dist($J$20,$D$20,M34,$E$20,$F$20,$D$10)+y_dist($J$21,$D$21,M34,$E$21,$F$21,$D$10)+y_dist($J$22,$D$22,M34,$E$22,$F$22,$D$10)+y_dist($J$23,$D$23,M34,$E$23,$F$23,$D$10)+y_dist($J$24,$D$24,M34,$E$24,$F$24,$D$10)+y_dist($J$25,$D$25,M34,$E$25,$F$25,$D$10)+y_dist($J$26,$D$26,M34,$E$26,$F$26,$D$10)+y_dist($J$27,$D$27,M34,$E$27,$F$27,$D$10)+y_dist($J$28,$D$28,M34,$E$28,$F$28,$D$10)+y_dist($J$29,$D$29,M34,$E$29,$F$29,$D$10)+y_dist($J$30,$D$30,M34,$E$30,$F$30,$D$10)+y_dist($J$31,$D$31,M34,$E$31,$F$31,$D$10)+y_dist($J$32,$D$32,M34,$E$32,$F$32,$D$10)+y_dist($J$33,$D$33,M34,$E$33,$F$33,$D$10)+y_dist($J$34,$D$34,M34,$E$34,$F$34,$D$10))/$D$11/$D$12*12</f>
        <v>-2.6179127654715688E-2</v>
      </c>
      <c r="U34" s="40"/>
      <c r="V34" s="47"/>
    </row>
    <row r="35" spans="1:22" ht="14.1" customHeight="1" x14ac:dyDescent="0.25">
      <c r="A35" s="33"/>
      <c r="B35" s="59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15">
        <f>M34+D10/20</f>
        <v>20</v>
      </c>
      <c r="N35" s="16">
        <f>v_dist($J$15,$D$15,M35,$E$15,$F$15)+v_dist($J$16,$D$16,M35,$E$16,$F$16)+v_dist($J$17,$D$17,M35,$E$17,$F$17)+v_dist($J$18,$D$18,M35,$E$18,$F$18)+v_dist($J$19,$D$19,M35,$E$19,$F$19)+v_dist($J$20,$D$20,M35,$E$20,$F$20)+v_dist($J$21,$D$21,M35,$E$21,$F$21)+v_dist($J$22,$D$22,M35,$E$22,$F$22)+v_dist($J$23,$D$23,M35,$E$23,$F$23)+v_dist($J$24,$D$24,M35,$E$24,$F$24)+v_dist($J$25,$D$25,M35,$E$25,$F$25)+v_dist($J$26,$D$26,M35,$E$26,$F$26)+v_dist($J$27,$D$27,M35,$E$27,$F$27)+v_dist($J$28,$D$28,M35,$E$28,$F$28)+v_dist($J$29,$D$29,M35,$E$29,$F$29)+v_dist($J$30,$D$30,M35,$E$30,$F$30)+v_dist($J$31,$D$31,M35,$E$31,$F$31)+v_dist($J$32,$D$32,M35,$E$32,$F$32)+v_dist($J$33,$D$33,M35,$E$33,$F$33)+v_dist($J$34,$D$34,M35,$E$34,$F$34)</f>
        <v>-10</v>
      </c>
      <c r="O35" s="16">
        <f>m_dist($J$15,$D$15,M35,$E$15,$F$15)+m_dist($J$16,$D$16,M35,$E$16,$F$16)+m_dist($J$17,$D$17,M35,$E$17,$F$17)+m_dist($J$18,$D$18,M35,$E$18,$F$18)+m_dist($J$19,$D$19,M35,$E$19,$F$19)+m_dist($J$20,$D$20,M35,$E$20,$F$20)+m_dist($J$21,$D$21,M35,$E$21,$F$21)+m_dist($J$22,$D$22,M35,$E$22,$F$22)+m_dist($J$23,$D$23,M35,$E$23,$F$23)+m_dist($J$24,$D$24,M35,$E$24,$F$24)+m_dist($J$25,$D$25,M35,$E$25,$F$25)+m_dist($J$26,$D$26,M35,$E$26,$F$26)+m_dist($J$27,$D$27,M35,$E$27,$F$27)+m_dist($J$28,$D$28,M35,$E$28,$F$28)+m_dist($J$29,$D$29,M35,$E$29,$F$29)+m_dist($J$30,$D$30,M35,$E$30,$F$30)+m_dist($J$31,$D$31,M35,$E$31,$F$31)+m_dist($J$32,$D$32,M35,$E$32,$F$32)+m_dist($J$33,$D$33,M35,$E$33,$F$33)+m_dist($J$34,$D$34,M35,$E$34,$F$34)</f>
        <v>0</v>
      </c>
      <c r="P35" s="30">
        <f>(y_dist($J$15,$D$15,M35,$E$15,$F$15,$D$10)+y_dist($J$16,$D$16,M35,$E$16,$F$16,$D$10)+y_dist($J$17,$D$17,M35,$E$17,$F$17,$D$10)+y_dist($J$18,$D$18,M35,$E$18,$F$18,$D$10)+y_dist($J$19,$D$19,M35,$E$19,$F$19,$D$10)+y_dist($J$20,$D$20,M35,$E$20,$F$20,$D$10)+y_dist($J$21,$D$21,M35,$E$21,$F$21,$D$10)+y_dist($J$22,$D$22,M35,$E$22,$F$22,$D$10)+y_dist($J$23,$D$23,M35,$E$23,$F$23,$D$10)+y_dist($J$24,$D$24,M35,$E$24,$F$24,$D$10)+y_dist($J$25,$D$25,M35,$E$25,$F$25,$D$10)+y_dist($J$26,$D$26,M35,$E$26,$F$26,$D$10)+y_dist($J$27,$D$27,M35,$E$27,$F$27,$D$10)+y_dist($J$28,$D$28,M35,$E$28,$F$28,$D$10)+y_dist($J$29,$D$29,M35,$E$29,$F$29,$D$10)+y_dist($J$30,$D$30,M35,$E$30,$F$30,$D$10)+y_dist($J$31,$D$31,M35,$E$31,$F$31,$D$10)+y_dist($J$32,$D$32,M35,$E$32,$F$32,$D$10)+y_dist($J$33,$D$33,M35,$E$33,$F$33,$D$10)+y_dist($J$34,$D$34,M35,$E$34,$F$34,$D$10))/$D$11/$D$12*12</f>
        <v>0</v>
      </c>
      <c r="Q35" s="40"/>
      <c r="R35" s="40"/>
      <c r="S35" s="40"/>
      <c r="T35" s="40"/>
      <c r="U35" s="40"/>
      <c r="V35" s="47"/>
    </row>
    <row r="36" spans="1:22" ht="14.1" customHeight="1" thickBot="1" x14ac:dyDescent="0.3">
      <c r="A36" s="33"/>
      <c r="B36" s="59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7"/>
    </row>
    <row r="37" spans="1:22" ht="14.1" customHeight="1" thickBot="1" x14ac:dyDescent="0.3">
      <c r="A37" s="33"/>
      <c r="B37" s="59"/>
      <c r="C37" s="40"/>
      <c r="D37" s="40"/>
      <c r="E37" s="40"/>
      <c r="F37" s="40"/>
      <c r="G37" s="40"/>
      <c r="H37" s="40"/>
      <c r="I37" s="19" t="s">
        <v>9</v>
      </c>
      <c r="J37" s="20">
        <f>SUM(J15:J34)</f>
        <v>10</v>
      </c>
      <c r="K37" s="21">
        <f>SUM(K15:K34)</f>
        <v>10</v>
      </c>
      <c r="L37" s="40"/>
      <c r="M37" s="19" t="s">
        <v>10</v>
      </c>
      <c r="N37" s="32">
        <f>MAX(ABS(MIN(N15:N35)),MAX(N15:N35))</f>
        <v>10</v>
      </c>
      <c r="O37" s="32">
        <f>MAX(O15:O35)</f>
        <v>50</v>
      </c>
      <c r="P37" s="31">
        <f>MIN(P15:P35)</f>
        <v>-0.16442110070792421</v>
      </c>
      <c r="Q37" s="40"/>
      <c r="R37" s="40"/>
      <c r="S37" s="40"/>
      <c r="T37" s="40"/>
      <c r="U37" s="40"/>
      <c r="V37" s="47"/>
    </row>
    <row r="38" spans="1:22" ht="14.1" customHeight="1" thickBot="1" x14ac:dyDescent="0.3">
      <c r="A38" s="33"/>
      <c r="B38" s="60"/>
      <c r="C38" s="51"/>
      <c r="D38" s="51"/>
      <c r="E38" s="51"/>
      <c r="F38" s="51"/>
      <c r="G38" s="51"/>
      <c r="H38" s="51"/>
      <c r="I38" s="51"/>
      <c r="J38" s="62"/>
      <c r="K38" s="51"/>
      <c r="L38" s="51"/>
      <c r="M38" s="51"/>
      <c r="N38" s="63"/>
      <c r="O38" s="51"/>
      <c r="P38" s="51"/>
      <c r="Q38" s="51"/>
      <c r="R38" s="51"/>
      <c r="S38" s="51"/>
      <c r="T38" s="51"/>
      <c r="U38" s="51"/>
      <c r="V38" s="52"/>
    </row>
    <row r="39" spans="1:22" x14ac:dyDescent="0.25">
      <c r="A39" s="33"/>
      <c r="B39" s="33"/>
    </row>
  </sheetData>
  <mergeCells count="1">
    <mergeCell ref="L6:M6"/>
  </mergeCells>
  <pageMargins left="0.7" right="0.7" top="0.75" bottom="0.75" header="0.3" footer="0.3"/>
  <pageSetup scale="4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Whitten</dc:creator>
  <cp:lastModifiedBy>Michael Whitten</cp:lastModifiedBy>
  <dcterms:created xsi:type="dcterms:W3CDTF">2018-07-11T13:42:56Z</dcterms:created>
  <dcterms:modified xsi:type="dcterms:W3CDTF">2018-07-11T16:41:32Z</dcterms:modified>
</cp:coreProperties>
</file>