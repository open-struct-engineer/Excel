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hitten\Documents\MLW\DesignTools\general_analysis\"/>
    </mc:Choice>
  </mc:AlternateContent>
  <xr:revisionPtr revIDLastSave="0" documentId="13_ncr:1_{66588F1A-FFA5-48B2-9EAB-CB9D2CE8A4A1}" xr6:coauthVersionLast="36" xr6:coauthVersionMax="36" xr10:uidLastSave="{00000000-0000-0000-0000-000000000000}"/>
  <bookViews>
    <workbookView xWindow="0" yWindow="0" windowWidth="14370" windowHeight="9450" xr2:uid="{00000000-000D-0000-FFFF-FFFF00000000}"/>
  </bookViews>
  <sheets>
    <sheet name="Sheet1" sheetId="1" r:id="rId1"/>
  </sheets>
  <functionGroups builtInGroupCount="19"/>
  <definedNames>
    <definedName name="_xlnm.Print_Area" localSheetId="0">Sheet1!$A$1:$V$39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3" i="1" l="1"/>
  <c r="E15" i="1" l="1"/>
  <c r="F13" i="1" l="1"/>
  <c r="G13" i="1" s="1"/>
  <c r="F15" i="1"/>
  <c r="G15" i="1" s="1"/>
  <c r="F14" i="1"/>
  <c r="G14" i="1" s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H13" i="1" l="1"/>
  <c r="D10" i="1"/>
  <c r="D9" i="1" l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L6" i="1"/>
  <c r="B6" i="1"/>
  <c r="A1" i="1"/>
  <c r="I13" i="1" l="1"/>
  <c r="I16" i="1"/>
  <c r="K14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16" i="1" l="1"/>
  <c r="K15" i="1"/>
  <c r="H14" i="1"/>
  <c r="I14" i="1"/>
  <c r="I15" i="1"/>
  <c r="H15" i="1"/>
  <c r="L15" i="1"/>
  <c r="N15" i="1"/>
  <c r="L14" i="1"/>
  <c r="N14" i="1"/>
  <c r="M13" i="1"/>
  <c r="N13" i="1"/>
  <c r="M15" i="1"/>
  <c r="M14" i="1"/>
  <c r="H35" i="1" l="1"/>
  <c r="L13" i="1" s="1"/>
  <c r="K16" i="1"/>
  <c r="I35" i="1"/>
  <c r="L33" i="1" s="1"/>
  <c r="L16" i="1"/>
  <c r="M16" i="1"/>
  <c r="N16" i="1"/>
  <c r="K17" i="1" l="1"/>
  <c r="M17" i="1"/>
  <c r="L17" i="1"/>
  <c r="N17" i="1"/>
  <c r="K18" i="1" l="1"/>
  <c r="K19" i="1" s="1"/>
  <c r="N18" i="1"/>
  <c r="L18" i="1"/>
  <c r="M18" i="1"/>
  <c r="L19" i="1"/>
  <c r="K20" i="1" l="1"/>
  <c r="M20" i="1"/>
  <c r="N20" i="1"/>
  <c r="L20" i="1"/>
  <c r="N19" i="1"/>
  <c r="M19" i="1"/>
  <c r="K21" i="1" l="1"/>
  <c r="N21" i="1"/>
  <c r="M21" i="1"/>
  <c r="L21" i="1"/>
  <c r="K22" i="1" l="1"/>
  <c r="N22" i="1"/>
  <c r="L22" i="1"/>
  <c r="M22" i="1"/>
  <c r="K23" i="1" l="1"/>
  <c r="M23" i="1"/>
  <c r="L23" i="1"/>
  <c r="N23" i="1"/>
  <c r="L37" i="1" l="1"/>
  <c r="M37" i="1"/>
  <c r="K24" i="1"/>
  <c r="M24" i="1"/>
  <c r="L24" i="1"/>
  <c r="N24" i="1"/>
  <c r="K25" i="1" l="1"/>
  <c r="M25" i="1"/>
  <c r="L25" i="1"/>
  <c r="N25" i="1"/>
  <c r="K26" i="1" l="1"/>
  <c r="M26" i="1"/>
  <c r="L26" i="1"/>
  <c r="N26" i="1"/>
  <c r="K27" i="1" l="1"/>
  <c r="M27" i="1"/>
  <c r="L27" i="1"/>
  <c r="N27" i="1"/>
  <c r="K28" i="1" l="1"/>
  <c r="N28" i="1"/>
  <c r="L28" i="1"/>
  <c r="M28" i="1"/>
  <c r="K29" i="1" l="1"/>
  <c r="M29" i="1"/>
  <c r="N29" i="1"/>
  <c r="L29" i="1"/>
  <c r="K30" i="1" l="1"/>
  <c r="M30" i="1"/>
  <c r="L30" i="1"/>
  <c r="N30" i="1"/>
  <c r="K31" i="1" l="1"/>
  <c r="M31" i="1"/>
  <c r="L31" i="1"/>
  <c r="N31" i="1"/>
  <c r="K32" i="1" l="1"/>
  <c r="M32" i="1"/>
  <c r="L32" i="1"/>
  <c r="N32" i="1"/>
  <c r="K33" i="1" l="1"/>
  <c r="M33" i="1"/>
  <c r="N33" i="1"/>
  <c r="M35" i="1" l="1"/>
  <c r="L35" i="1"/>
  <c r="N35" i="1"/>
</calcChain>
</file>

<file path=xl/sharedStrings.xml><?xml version="1.0" encoding="utf-8"?>
<sst xmlns="http://schemas.openxmlformats.org/spreadsheetml/2006/main" count="30" uniqueCount="28">
  <si>
    <t>Made</t>
  </si>
  <si>
    <t>Date</t>
  </si>
  <si>
    <t>Job No</t>
  </si>
  <si>
    <t>Checked</t>
  </si>
  <si>
    <t>Sheet No</t>
  </si>
  <si>
    <t>Backchk'd</t>
  </si>
  <si>
    <t>For</t>
  </si>
  <si>
    <t>Last Saved:</t>
  </si>
  <si>
    <t>L</t>
  </si>
  <si>
    <t>ft</t>
  </si>
  <si>
    <t>E</t>
  </si>
  <si>
    <t>ksf</t>
  </si>
  <si>
    <t>I</t>
  </si>
  <si>
    <t>ft4</t>
  </si>
  <si>
    <t>Number</t>
  </si>
  <si>
    <t>Ra component</t>
  </si>
  <si>
    <t>Rb component</t>
  </si>
  <si>
    <t>L/20</t>
  </si>
  <si>
    <t>V [kip]</t>
  </si>
  <si>
    <t>M [kip-ft]</t>
  </si>
  <si>
    <r>
      <t>Δ</t>
    </r>
    <r>
      <rPr>
        <sz val="7.7"/>
        <color theme="1"/>
        <rFont val="Calibri"/>
        <family val="2"/>
      </rPr>
      <t xml:space="preserve"> [in]</t>
    </r>
  </si>
  <si>
    <t>Load Name</t>
  </si>
  <si>
    <t>Reactions</t>
  </si>
  <si>
    <t>Max</t>
  </si>
  <si>
    <t>Load [kip]</t>
  </si>
  <si>
    <t>x [ft]</t>
  </si>
  <si>
    <t>a [ft]</t>
  </si>
  <si>
    <t>b [ft]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</si>
</sst>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0.000"/>
    <numFmt numFmtId="166" formatCode="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color theme="1"/>
      <name val="Arial"/>
      <family val="2"/>
    </font>
    <font>
      <b/>
      <u/>
      <sz val="10"/>
      <color theme="1"/>
      <name val="Arial"/>
      <family val="2"/>
    </font>
    <font>
      <sz val="7.7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1" fillId="0" borderId="0"/>
  </cellStyleXfs>
  <cellXfs count="76">
    <xf numFmtId="0" fontId="0" fillId="0" borderId="0" xfId="0"/>
    <xf numFmtId="0" fontId="1" fillId="0" borderId="0" xfId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4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49" fontId="0" fillId="0" borderId="11" xfId="0" applyNumberFormat="1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0" xfId="0" applyFont="1" applyAlignment="1">
      <alignment horizontal="left"/>
    </xf>
    <xf numFmtId="0" fontId="0" fillId="0" borderId="2" xfId="0" applyBorder="1" applyAlignment="1">
      <alignment horizontal="right"/>
    </xf>
    <xf numFmtId="0" fontId="1" fillId="0" borderId="1" xfId="1" applyBorder="1"/>
    <xf numFmtId="0" fontId="3" fillId="0" borderId="2" xfId="0" applyFont="1" applyBorder="1"/>
    <xf numFmtId="0" fontId="1" fillId="0" borderId="2" xfId="1" applyBorder="1"/>
    <xf numFmtId="0" fontId="1" fillId="0" borderId="22" xfId="1" applyBorder="1"/>
    <xf numFmtId="0" fontId="1" fillId="0" borderId="7" xfId="1" applyBorder="1"/>
    <xf numFmtId="0" fontId="0" fillId="0" borderId="0" xfId="0" applyBorder="1" applyAlignment="1">
      <alignment horizontal="right"/>
    </xf>
    <xf numFmtId="0" fontId="0" fillId="2" borderId="0" xfId="0" applyFill="1" applyBorder="1"/>
    <xf numFmtId="0" fontId="1" fillId="0" borderId="0" xfId="1" applyBorder="1"/>
    <xf numFmtId="0" fontId="1" fillId="0" borderId="16" xfId="1" applyBorder="1"/>
    <xf numFmtId="0" fontId="1" fillId="0" borderId="0" xfId="1" applyFont="1" applyBorder="1" applyAlignment="1">
      <alignment horizontal="right"/>
    </xf>
    <xf numFmtId="0" fontId="1" fillId="2" borderId="0" xfId="1" applyFill="1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1" fillId="0" borderId="25" xfId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0" fontId="1" fillId="0" borderId="27" xfId="1" applyBorder="1"/>
    <xf numFmtId="0" fontId="0" fillId="0" borderId="20" xfId="0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0" fontId="1" fillId="0" borderId="20" xfId="1" applyFont="1" applyBorder="1" applyAlignment="1">
      <alignment horizontal="right"/>
    </xf>
    <xf numFmtId="0" fontId="1" fillId="0" borderId="20" xfId="1" applyBorder="1"/>
    <xf numFmtId="0" fontId="1" fillId="0" borderId="21" xfId="1" applyBorder="1"/>
    <xf numFmtId="2" fontId="0" fillId="0" borderId="0" xfId="0" applyNumberFormat="1" applyBorder="1"/>
    <xf numFmtId="165" fontId="0" fillId="0" borderId="29" xfId="0" applyNumberFormat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0" fontId="0" fillId="0" borderId="28" xfId="0" applyBorder="1" applyAlignment="1">
      <alignment horizontal="right"/>
    </xf>
    <xf numFmtId="166" fontId="0" fillId="0" borderId="30" xfId="0" applyNumberForma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66" fontId="0" fillId="0" borderId="8" xfId="0" applyNumberFormat="1" applyFill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2" fontId="0" fillId="0" borderId="2" xfId="0" applyNumberForma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Sheet1!$K$13:$K$33</c:f>
              <c:numCache>
                <c:formatCode>0.00</c:formatCode>
                <c:ptCount val="21"/>
                <c:pt idx="0">
                  <c:v>0</c:v>
                </c:pt>
                <c:pt idx="1">
                  <c:v>5.5125000000000002</c:v>
                </c:pt>
                <c:pt idx="2">
                  <c:v>11.025</c:v>
                </c:pt>
                <c:pt idx="3">
                  <c:v>16.537500000000001</c:v>
                </c:pt>
                <c:pt idx="4">
                  <c:v>22.05</c:v>
                </c:pt>
                <c:pt idx="5">
                  <c:v>27.5625</c:v>
                </c:pt>
                <c:pt idx="6">
                  <c:v>33.075000000000003</c:v>
                </c:pt>
                <c:pt idx="7">
                  <c:v>38.587500000000006</c:v>
                </c:pt>
                <c:pt idx="8">
                  <c:v>44.100000000000009</c:v>
                </c:pt>
                <c:pt idx="9">
                  <c:v>49.612500000000011</c:v>
                </c:pt>
                <c:pt idx="10">
                  <c:v>55.125000000000014</c:v>
                </c:pt>
                <c:pt idx="11">
                  <c:v>60.637500000000017</c:v>
                </c:pt>
                <c:pt idx="12">
                  <c:v>66.15000000000002</c:v>
                </c:pt>
                <c:pt idx="13">
                  <c:v>71.662500000000023</c:v>
                </c:pt>
                <c:pt idx="14">
                  <c:v>77.175000000000026</c:v>
                </c:pt>
                <c:pt idx="15">
                  <c:v>82.687500000000028</c:v>
                </c:pt>
                <c:pt idx="16">
                  <c:v>88.200000000000031</c:v>
                </c:pt>
                <c:pt idx="17">
                  <c:v>93.712500000000034</c:v>
                </c:pt>
                <c:pt idx="18">
                  <c:v>99.225000000000037</c:v>
                </c:pt>
                <c:pt idx="19">
                  <c:v>104.73750000000004</c:v>
                </c:pt>
                <c:pt idx="20">
                  <c:v>110.25000000000004</c:v>
                </c:pt>
              </c:numCache>
            </c:numRef>
          </c:xVal>
          <c:yVal>
            <c:numRef>
              <c:f>Sheet1!$L$13:$L$33</c:f>
              <c:numCache>
                <c:formatCode>0.00</c:formatCode>
                <c:ptCount val="21"/>
                <c:pt idx="0">
                  <c:v>39.047619047619051</c:v>
                </c:pt>
                <c:pt idx="1">
                  <c:v>39.047619047619051</c:v>
                </c:pt>
                <c:pt idx="2">
                  <c:v>39.047619047619051</c:v>
                </c:pt>
                <c:pt idx="3">
                  <c:v>39.047619047619051</c:v>
                </c:pt>
                <c:pt idx="4">
                  <c:v>39.047619047619051</c:v>
                </c:pt>
                <c:pt idx="5">
                  <c:v>39.047619047619051</c:v>
                </c:pt>
                <c:pt idx="6">
                  <c:v>39.047619047619051</c:v>
                </c:pt>
                <c:pt idx="7">
                  <c:v>39.047619047619051</c:v>
                </c:pt>
                <c:pt idx="8">
                  <c:v>7.0476190476190474</c:v>
                </c:pt>
                <c:pt idx="9">
                  <c:v>7.0476190476190474</c:v>
                </c:pt>
                <c:pt idx="10">
                  <c:v>-24.952380952380953</c:v>
                </c:pt>
                <c:pt idx="11">
                  <c:v>-24.952380952380953</c:v>
                </c:pt>
                <c:pt idx="12">
                  <c:v>-24.952380952380953</c:v>
                </c:pt>
                <c:pt idx="13">
                  <c:v>-32.952380952380949</c:v>
                </c:pt>
                <c:pt idx="14">
                  <c:v>-32.952380952380949</c:v>
                </c:pt>
                <c:pt idx="15">
                  <c:v>-32.952380952380949</c:v>
                </c:pt>
                <c:pt idx="16">
                  <c:v>-32.952380952380949</c:v>
                </c:pt>
                <c:pt idx="17">
                  <c:v>-32.952380952380949</c:v>
                </c:pt>
                <c:pt idx="18">
                  <c:v>-32.952380952380949</c:v>
                </c:pt>
                <c:pt idx="19">
                  <c:v>-32.952380952380949</c:v>
                </c:pt>
                <c:pt idx="20">
                  <c:v>32.952380952380949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30-48CD-9971-30B0704F0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295872"/>
        <c:axId val="613298496"/>
      </c:scatterChart>
      <c:valAx>
        <c:axId val="613295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98496"/>
        <c:crosses val="autoZero"/>
        <c:crossBetween val="midCat"/>
      </c:valAx>
      <c:valAx>
        <c:axId val="61329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 [kip]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95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Sheet1!$K$13:$K$33</c:f>
              <c:numCache>
                <c:formatCode>0.00</c:formatCode>
                <c:ptCount val="21"/>
                <c:pt idx="0">
                  <c:v>0</c:v>
                </c:pt>
                <c:pt idx="1">
                  <c:v>5.5125000000000002</c:v>
                </c:pt>
                <c:pt idx="2">
                  <c:v>11.025</c:v>
                </c:pt>
                <c:pt idx="3">
                  <c:v>16.537500000000001</c:v>
                </c:pt>
                <c:pt idx="4">
                  <c:v>22.05</c:v>
                </c:pt>
                <c:pt idx="5">
                  <c:v>27.5625</c:v>
                </c:pt>
                <c:pt idx="6">
                  <c:v>33.075000000000003</c:v>
                </c:pt>
                <c:pt idx="7">
                  <c:v>38.587500000000006</c:v>
                </c:pt>
                <c:pt idx="8">
                  <c:v>44.100000000000009</c:v>
                </c:pt>
                <c:pt idx="9">
                  <c:v>49.612500000000011</c:v>
                </c:pt>
                <c:pt idx="10">
                  <c:v>55.125000000000014</c:v>
                </c:pt>
                <c:pt idx="11">
                  <c:v>60.637500000000017</c:v>
                </c:pt>
                <c:pt idx="12">
                  <c:v>66.15000000000002</c:v>
                </c:pt>
                <c:pt idx="13">
                  <c:v>71.662500000000023</c:v>
                </c:pt>
                <c:pt idx="14">
                  <c:v>77.175000000000026</c:v>
                </c:pt>
                <c:pt idx="15">
                  <c:v>82.687500000000028</c:v>
                </c:pt>
                <c:pt idx="16">
                  <c:v>88.200000000000031</c:v>
                </c:pt>
                <c:pt idx="17">
                  <c:v>93.712500000000034</c:v>
                </c:pt>
                <c:pt idx="18">
                  <c:v>99.225000000000037</c:v>
                </c:pt>
                <c:pt idx="19">
                  <c:v>104.73750000000004</c:v>
                </c:pt>
                <c:pt idx="20">
                  <c:v>110.25000000000004</c:v>
                </c:pt>
              </c:numCache>
            </c:numRef>
          </c:xVal>
          <c:yVal>
            <c:numRef>
              <c:f>Sheet1!$M$13:$M$33</c:f>
              <c:numCache>
                <c:formatCode>0.00</c:formatCode>
                <c:ptCount val="21"/>
                <c:pt idx="0">
                  <c:v>0</c:v>
                </c:pt>
                <c:pt idx="1">
                  <c:v>215.25</c:v>
                </c:pt>
                <c:pt idx="2">
                  <c:v>430.5</c:v>
                </c:pt>
                <c:pt idx="3">
                  <c:v>645.75000000000011</c:v>
                </c:pt>
                <c:pt idx="4">
                  <c:v>861</c:v>
                </c:pt>
                <c:pt idx="5">
                  <c:v>1076.25</c:v>
                </c:pt>
                <c:pt idx="6">
                  <c:v>1291.5000000000002</c:v>
                </c:pt>
                <c:pt idx="7">
                  <c:v>1506.7500000000005</c:v>
                </c:pt>
                <c:pt idx="8">
                  <c:v>1626.8000000000002</c:v>
                </c:pt>
                <c:pt idx="9">
                  <c:v>1665.6499999999999</c:v>
                </c:pt>
                <c:pt idx="10">
                  <c:v>1704.4999999999995</c:v>
                </c:pt>
                <c:pt idx="11">
                  <c:v>1566.9499999999996</c:v>
                </c:pt>
                <c:pt idx="12">
                  <c:v>1429.3999999999996</c:v>
                </c:pt>
                <c:pt idx="13">
                  <c:v>1271.5499999999993</c:v>
                </c:pt>
                <c:pt idx="14">
                  <c:v>1089.8999999999992</c:v>
                </c:pt>
                <c:pt idx="15">
                  <c:v>908.24999999999909</c:v>
                </c:pt>
                <c:pt idx="16">
                  <c:v>726.599999999999</c:v>
                </c:pt>
                <c:pt idx="17">
                  <c:v>544.94999999999891</c:v>
                </c:pt>
                <c:pt idx="18">
                  <c:v>363.29999999999882</c:v>
                </c:pt>
                <c:pt idx="19">
                  <c:v>181.64999999999867</c:v>
                </c:pt>
                <c:pt idx="20">
                  <c:v>-1.4235279621743757E-12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A-4DE7-99FB-637EEC080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295872"/>
        <c:axId val="613298496"/>
      </c:scatterChart>
      <c:valAx>
        <c:axId val="613295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98496"/>
        <c:crosses val="autoZero"/>
        <c:crossBetween val="midCat"/>
      </c:valAx>
      <c:valAx>
        <c:axId val="61329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 [kip-ft]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95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Sheet1!$K$13:$K$33</c:f>
              <c:numCache>
                <c:formatCode>0.00</c:formatCode>
                <c:ptCount val="21"/>
                <c:pt idx="0">
                  <c:v>0</c:v>
                </c:pt>
                <c:pt idx="1">
                  <c:v>5.5125000000000002</c:v>
                </c:pt>
                <c:pt idx="2">
                  <c:v>11.025</c:v>
                </c:pt>
                <c:pt idx="3">
                  <c:v>16.537500000000001</c:v>
                </c:pt>
                <c:pt idx="4">
                  <c:v>22.05</c:v>
                </c:pt>
                <c:pt idx="5">
                  <c:v>27.5625</c:v>
                </c:pt>
                <c:pt idx="6">
                  <c:v>33.075000000000003</c:v>
                </c:pt>
                <c:pt idx="7">
                  <c:v>38.587500000000006</c:v>
                </c:pt>
                <c:pt idx="8">
                  <c:v>44.100000000000009</c:v>
                </c:pt>
                <c:pt idx="9">
                  <c:v>49.612500000000011</c:v>
                </c:pt>
                <c:pt idx="10">
                  <c:v>55.125000000000014</c:v>
                </c:pt>
                <c:pt idx="11">
                  <c:v>60.637500000000017</c:v>
                </c:pt>
                <c:pt idx="12">
                  <c:v>66.15000000000002</c:v>
                </c:pt>
                <c:pt idx="13">
                  <c:v>71.662500000000023</c:v>
                </c:pt>
                <c:pt idx="14">
                  <c:v>77.175000000000026</c:v>
                </c:pt>
                <c:pt idx="15">
                  <c:v>82.687500000000028</c:v>
                </c:pt>
                <c:pt idx="16">
                  <c:v>88.200000000000031</c:v>
                </c:pt>
                <c:pt idx="17">
                  <c:v>93.712500000000034</c:v>
                </c:pt>
                <c:pt idx="18">
                  <c:v>99.225000000000037</c:v>
                </c:pt>
                <c:pt idx="19">
                  <c:v>104.73750000000004</c:v>
                </c:pt>
                <c:pt idx="20">
                  <c:v>110.25000000000004</c:v>
                </c:pt>
              </c:numCache>
            </c:numRef>
          </c:xVal>
          <c:yVal>
            <c:numRef>
              <c:f>Sheet1!$N$13:$N$33</c:f>
              <c:numCache>
                <c:formatCode>0.0000</c:formatCode>
                <c:ptCount val="21"/>
                <c:pt idx="0">
                  <c:v>0</c:v>
                </c:pt>
                <c:pt idx="1">
                  <c:v>-4.5109178152271633E-2</c:v>
                </c:pt>
                <c:pt idx="2">
                  <c:v>-8.9226858173413484E-2</c:v>
                </c:pt>
                <c:pt idx="3">
                  <c:v>-0.13136154193229574</c:v>
                </c:pt>
                <c:pt idx="4">
                  <c:v>-0.17052173129778869</c:v>
                </c:pt>
                <c:pt idx="5">
                  <c:v>-0.20571592813876249</c:v>
                </c:pt>
                <c:pt idx="6">
                  <c:v>-0.23595263432408736</c:v>
                </c:pt>
                <c:pt idx="7">
                  <c:v>-0.26024035172263349</c:v>
                </c:pt>
                <c:pt idx="8">
                  <c:v>-0.2776088690421511</c:v>
                </c:pt>
                <c:pt idx="9">
                  <c:v>-0.28749712651287301</c:v>
                </c:pt>
                <c:pt idx="10">
                  <c:v>-0.28971296185994189</c:v>
                </c:pt>
                <c:pt idx="11">
                  <c:v>-0.28421284589711293</c:v>
                </c:pt>
                <c:pt idx="12">
                  <c:v>-0.27149494597807577</c:v>
                </c:pt>
                <c:pt idx="13">
                  <c:v>-0.25219615582991084</c:v>
                </c:pt>
                <c:pt idx="14">
                  <c:v>-0.22704559355342613</c:v>
                </c:pt>
                <c:pt idx="15">
                  <c:v>-0.19687466513005009</c:v>
                </c:pt>
                <c:pt idx="16">
                  <c:v>-0.16252009825093133</c:v>
                </c:pt>
                <c:pt idx="17">
                  <c:v>-0.12481862060721832</c:v>
                </c:pt>
                <c:pt idx="18">
                  <c:v>-8.4606959890059605E-2</c:v>
                </c:pt>
                <c:pt idx="19">
                  <c:v>-4.2721843790603842E-2</c:v>
                </c:pt>
                <c:pt idx="20">
                  <c:v>4.3715034977972662E-16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23-48EB-B0F6-96DA7014A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295872"/>
        <c:axId val="613298496"/>
      </c:scatterChart>
      <c:valAx>
        <c:axId val="613295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98496"/>
        <c:crosses val="autoZero"/>
        <c:crossBetween val="midCat"/>
      </c:valAx>
      <c:valAx>
        <c:axId val="61329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Defl [in]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95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304800</xdr:colOff>
      <xdr:row>2</xdr:row>
      <xdr:rowOff>66675</xdr:rowOff>
    </xdr:from>
    <xdr:ext cx="723900" cy="192260"/>
    <xdr:pic>
      <xdr:nvPicPr>
        <xdr:cNvPr id="2" name="Picture 1" descr="HNTB_BW_Min_Size">
          <a:extLst>
            <a:ext uri="{FF2B5EF4-FFF2-40B4-BE49-F238E27FC236}">
              <a16:creationId xmlns:a16="http://schemas.microsoft.com/office/drawing/2014/main" id="{3649E5BA-46A8-4D69-8382-14E2E80C3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8126075"/>
          <a:ext cx="723900" cy="192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228600</xdr:colOff>
      <xdr:row>1</xdr:row>
      <xdr:rowOff>228601</xdr:rowOff>
    </xdr:from>
    <xdr:ext cx="1944891" cy="40005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9B4FC9E-2945-4653-8F45-25B52025C521}"/>
            </a:ext>
          </a:extLst>
        </xdr:cNvPr>
        <xdr:cNvSpPr txBox="1"/>
      </xdr:nvSpPr>
      <xdr:spPr>
        <a:xfrm>
          <a:off x="1790700" y="18011776"/>
          <a:ext cx="1944891" cy="4000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rtl="0"/>
          <a:r>
            <a:rPr lang="en-US" sz="1000" b="0" i="0" baseline="0">
              <a:solidFill>
                <a:schemeClr val="tx1"/>
              </a:solidFill>
              <a:effectLst/>
              <a:latin typeface="Interstate-Regular" pitchFamily="2" charset="0"/>
              <a:ea typeface="+mn-ea"/>
              <a:cs typeface="AngsanaUPC" pitchFamily="18" charset="-34"/>
            </a:rPr>
            <a:t>The HNTB Companies</a:t>
          </a:r>
          <a:endParaRPr lang="en-US" sz="1000">
            <a:effectLst/>
            <a:latin typeface="Interstate-Regular" pitchFamily="2" charset="0"/>
            <a:cs typeface="AngsanaUPC" pitchFamily="18" charset="-34"/>
          </a:endParaRPr>
        </a:p>
        <a:p>
          <a:pPr rtl="0"/>
          <a:r>
            <a:rPr lang="en-US" sz="1000" b="0" i="0" baseline="0">
              <a:solidFill>
                <a:srgbClr val="FF6600"/>
              </a:solidFill>
              <a:effectLst/>
              <a:latin typeface="Interstate-Light" pitchFamily="2" charset="0"/>
              <a:ea typeface="+mn-ea"/>
              <a:cs typeface="+mn-cs"/>
            </a:rPr>
            <a:t>Infrastructure Solutions</a:t>
          </a:r>
          <a:endParaRPr lang="en-US" sz="1000" baseline="0">
            <a:solidFill>
              <a:srgbClr val="FF6600"/>
            </a:solidFill>
          </a:endParaRPr>
        </a:p>
      </xdr:txBody>
    </xdr:sp>
    <xdr:clientData/>
  </xdr:oneCellAnchor>
  <xdr:twoCellAnchor>
    <xdr:from>
      <xdr:col>14</xdr:col>
      <xdr:colOff>484267</xdr:colOff>
      <xdr:row>6</xdr:row>
      <xdr:rowOff>82825</xdr:rowOff>
    </xdr:from>
    <xdr:to>
      <xdr:col>20</xdr:col>
      <xdr:colOff>132531</xdr:colOff>
      <xdr:row>16</xdr:row>
      <xdr:rowOff>107674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2EBCF15-FE80-49F5-852B-F477C242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483352</xdr:colOff>
      <xdr:row>17</xdr:row>
      <xdr:rowOff>15846</xdr:rowOff>
    </xdr:from>
    <xdr:to>
      <xdr:col>20</xdr:col>
      <xdr:colOff>132531</xdr:colOff>
      <xdr:row>27</xdr:row>
      <xdr:rowOff>33128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F9DE0B-C5F2-4D71-9D9E-808CA301D7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480401</xdr:colOff>
      <xdr:row>27</xdr:row>
      <xdr:rowOff>102510</xdr:rowOff>
    </xdr:from>
    <xdr:to>
      <xdr:col>20</xdr:col>
      <xdr:colOff>132531</xdr:colOff>
      <xdr:row>37</xdr:row>
      <xdr:rowOff>115951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4A8E07-FB9D-4E6A-B373-A9A5B9CF7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9"/>
  <sheetViews>
    <sheetView tabSelected="1" zoomScale="85" zoomScaleNormal="85" zoomScaleSheetLayoutView="100" workbookViewId="0">
      <selection activeCell="V5" sqref="V5"/>
    </sheetView>
  </sheetViews>
  <sheetFormatPr defaultRowHeight="15" x14ac:dyDescent="0.25"/>
  <cols>
    <col min="1" max="1" width="0.7109375" customWidth="1"/>
    <col min="8" max="8" width="13.85546875" bestFit="1" customWidth="1"/>
    <col min="9" max="9" width="14" bestFit="1" customWidth="1"/>
    <col min="11" max="11" width="9.7109375" bestFit="1" customWidth="1"/>
  </cols>
  <sheetData>
    <row r="1" spans="1:21" ht="3.75" customHeight="1" thickBot="1" x14ac:dyDescent="0.3">
      <c r="A1">
        <f>1</f>
        <v>1</v>
      </c>
      <c r="N1" s="1"/>
      <c r="O1" s="1"/>
      <c r="P1" s="1"/>
      <c r="Q1" s="1"/>
      <c r="R1" s="1"/>
      <c r="S1" s="1"/>
      <c r="T1" s="1"/>
      <c r="U1" s="1"/>
    </row>
    <row r="2" spans="1:21" ht="21.95" customHeight="1" x14ac:dyDescent="0.25">
      <c r="B2" s="2"/>
      <c r="C2" s="3"/>
      <c r="D2" s="3"/>
      <c r="E2" s="3"/>
      <c r="F2" s="3"/>
      <c r="G2" s="4"/>
      <c r="H2" s="5" t="s">
        <v>0</v>
      </c>
      <c r="I2" s="6"/>
      <c r="J2" s="5" t="s">
        <v>1</v>
      </c>
      <c r="K2" s="7"/>
      <c r="L2" s="5" t="s">
        <v>2</v>
      </c>
      <c r="M2" s="8"/>
      <c r="N2" s="1"/>
      <c r="O2" s="1"/>
      <c r="P2" s="1"/>
      <c r="Q2" s="1"/>
      <c r="R2" s="1"/>
      <c r="S2" s="1"/>
      <c r="T2" s="1"/>
      <c r="U2" s="1"/>
    </row>
    <row r="3" spans="1:21" ht="21.95" customHeight="1" x14ac:dyDescent="0.25">
      <c r="B3" s="9"/>
      <c r="C3" s="10"/>
      <c r="D3" s="10"/>
      <c r="E3" s="10"/>
      <c r="F3" s="10"/>
      <c r="G3" s="11"/>
      <c r="H3" s="12" t="s">
        <v>3</v>
      </c>
      <c r="I3" s="13"/>
      <c r="J3" s="12" t="s">
        <v>1</v>
      </c>
      <c r="K3" s="13"/>
      <c r="L3" s="12" t="s">
        <v>4</v>
      </c>
      <c r="M3" s="14"/>
      <c r="N3" s="1"/>
      <c r="O3" s="1"/>
      <c r="P3" s="1"/>
      <c r="Q3" s="1"/>
      <c r="R3" s="1"/>
      <c r="S3" s="1"/>
      <c r="T3" s="1"/>
      <c r="U3" s="1"/>
    </row>
    <row r="4" spans="1:21" ht="21.95" customHeight="1" x14ac:dyDescent="0.25">
      <c r="B4" s="15"/>
      <c r="C4" s="16"/>
      <c r="D4" s="16"/>
      <c r="E4" s="16"/>
      <c r="F4" s="16"/>
      <c r="G4" s="17"/>
      <c r="H4" s="12" t="s">
        <v>5</v>
      </c>
      <c r="I4" s="13"/>
      <c r="J4" s="18" t="s">
        <v>1</v>
      </c>
      <c r="K4" s="17"/>
      <c r="L4" s="10"/>
      <c r="M4" s="19"/>
      <c r="N4" s="1"/>
      <c r="O4" s="1"/>
      <c r="P4" s="1"/>
      <c r="Q4" s="1"/>
      <c r="R4" s="1"/>
      <c r="S4" s="1"/>
      <c r="T4" s="1"/>
      <c r="U4" s="1"/>
    </row>
    <row r="5" spans="1:21" ht="21.95" customHeight="1" thickBot="1" x14ac:dyDescent="0.3">
      <c r="B5" s="20" t="s">
        <v>6</v>
      </c>
      <c r="C5" s="21"/>
      <c r="D5" s="21"/>
      <c r="E5" s="21"/>
      <c r="F5" s="21"/>
      <c r="G5" s="22"/>
      <c r="H5" s="23"/>
      <c r="I5" s="23"/>
      <c r="J5" s="23"/>
      <c r="K5" s="23"/>
      <c r="L5" s="23"/>
      <c r="M5" s="24"/>
      <c r="N5" s="1"/>
      <c r="O5" s="1"/>
      <c r="P5" s="1"/>
      <c r="Q5" s="1"/>
      <c r="R5" s="1"/>
      <c r="S5" s="1"/>
      <c r="T5" s="1"/>
      <c r="U5" s="1"/>
    </row>
    <row r="6" spans="1:21" ht="15.75" thickBot="1" x14ac:dyDescent="0.3">
      <c r="B6" s="25" t="str">
        <f ca="1">CELL("filename", A1)</f>
        <v>C:\Users\mwhitten\Documents\MLW\DesignTools\general_analysis\[MultiplePointLoadsOnBeam_wDefl_Formatted.xlsm]Sheet1</v>
      </c>
      <c r="K6" s="26" t="s">
        <v>7</v>
      </c>
      <c r="L6" s="75" t="str">
        <f ca="1">TEXT(NOW(), "d-mm-yy hh:mm:ss AM/PM")</f>
        <v>16-08-19 07:28:16 AM</v>
      </c>
      <c r="M6" s="75"/>
      <c r="N6" s="1"/>
      <c r="O6" s="1"/>
      <c r="P6" s="1"/>
      <c r="Q6" s="1"/>
      <c r="R6" s="1"/>
      <c r="S6" s="1"/>
      <c r="T6" s="1"/>
      <c r="U6" s="1"/>
    </row>
    <row r="7" spans="1:21" ht="14.1" customHeight="1" x14ac:dyDescent="0.25">
      <c r="A7" s="1"/>
      <c r="B7" s="27"/>
      <c r="C7" s="28" t="s">
        <v>21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29"/>
      <c r="Q7" s="29"/>
      <c r="R7" s="29"/>
      <c r="S7" s="29"/>
      <c r="T7" s="29"/>
      <c r="U7" s="30"/>
    </row>
    <row r="8" spans="1:21" ht="14.1" customHeight="1" x14ac:dyDescent="0.25">
      <c r="A8" s="1"/>
      <c r="B8" s="31"/>
      <c r="C8" s="32" t="s">
        <v>8</v>
      </c>
      <c r="D8" s="33">
        <v>110.25</v>
      </c>
      <c r="E8" s="10" t="s">
        <v>9</v>
      </c>
      <c r="F8" s="10"/>
      <c r="I8" s="10"/>
      <c r="J8" s="10"/>
      <c r="K8" s="10"/>
      <c r="L8" s="10"/>
      <c r="M8" s="10"/>
      <c r="N8" s="10"/>
      <c r="O8" s="10"/>
      <c r="P8" s="34"/>
      <c r="Q8" s="34"/>
      <c r="R8" s="34"/>
      <c r="S8" s="34"/>
      <c r="T8" s="34"/>
      <c r="U8" s="35"/>
    </row>
    <row r="9" spans="1:21" ht="14.1" customHeight="1" x14ac:dyDescent="0.25">
      <c r="A9" s="1"/>
      <c r="B9" s="31"/>
      <c r="C9" s="36" t="s">
        <v>10</v>
      </c>
      <c r="D9" s="37">
        <f>29000*144</f>
        <v>4176000</v>
      </c>
      <c r="E9" s="10" t="s">
        <v>11</v>
      </c>
      <c r="F9" s="10"/>
      <c r="I9" s="10"/>
      <c r="J9" s="10"/>
      <c r="K9" s="10"/>
      <c r="L9" s="10"/>
      <c r="M9" s="10"/>
      <c r="N9" s="10"/>
      <c r="O9" s="10"/>
      <c r="P9" s="34"/>
      <c r="Q9" s="34"/>
      <c r="R9" s="34"/>
      <c r="S9" s="34"/>
      <c r="T9" s="34"/>
      <c r="U9" s="35"/>
    </row>
    <row r="10" spans="1:21" ht="14.1" customHeight="1" x14ac:dyDescent="0.25">
      <c r="A10" s="1"/>
      <c r="B10" s="31"/>
      <c r="C10" s="36" t="s">
        <v>12</v>
      </c>
      <c r="D10" s="37">
        <f>393092/12^4</f>
        <v>18.956983024691358</v>
      </c>
      <c r="E10" s="10" t="s">
        <v>13</v>
      </c>
      <c r="F10" s="10"/>
      <c r="I10" s="10"/>
      <c r="J10" s="10"/>
      <c r="K10" s="10"/>
      <c r="L10" s="10"/>
      <c r="M10" s="10"/>
      <c r="N10" s="10"/>
      <c r="O10" s="10"/>
      <c r="P10" s="34"/>
      <c r="Q10" s="34"/>
      <c r="R10" s="34"/>
      <c r="S10" s="34"/>
      <c r="T10" s="34"/>
      <c r="U10" s="35"/>
    </row>
    <row r="11" spans="1:21" ht="14.1" customHeight="1" x14ac:dyDescent="0.25">
      <c r="A11" s="1"/>
      <c r="B11" s="31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34"/>
      <c r="Q11" s="34"/>
      <c r="R11" s="34"/>
      <c r="S11" s="34"/>
      <c r="T11" s="34"/>
      <c r="U11" s="35"/>
    </row>
    <row r="12" spans="1:21" ht="14.1" customHeight="1" x14ac:dyDescent="0.25">
      <c r="A12" s="1"/>
      <c r="B12" s="31"/>
      <c r="C12" s="38" t="s">
        <v>14</v>
      </c>
      <c r="D12" s="39" t="s">
        <v>24</v>
      </c>
      <c r="E12" s="39" t="s">
        <v>25</v>
      </c>
      <c r="F12" s="39" t="s">
        <v>26</v>
      </c>
      <c r="G12" s="39" t="s">
        <v>27</v>
      </c>
      <c r="H12" s="39" t="s">
        <v>15</v>
      </c>
      <c r="I12" s="40" t="s">
        <v>16</v>
      </c>
      <c r="J12" s="10"/>
      <c r="K12" s="38" t="s">
        <v>17</v>
      </c>
      <c r="L12" s="39" t="s">
        <v>18</v>
      </c>
      <c r="M12" s="39" t="s">
        <v>19</v>
      </c>
      <c r="N12" s="41" t="s">
        <v>20</v>
      </c>
      <c r="O12" s="10"/>
      <c r="P12" s="34"/>
      <c r="Q12" s="34"/>
      <c r="R12" s="34"/>
      <c r="S12" s="34"/>
      <c r="T12" s="34"/>
      <c r="U12" s="35"/>
    </row>
    <row r="13" spans="1:21" ht="14.1" customHeight="1" x14ac:dyDescent="0.25">
      <c r="A13" s="1"/>
      <c r="B13" s="31"/>
      <c r="C13" s="42">
        <v>1</v>
      </c>
      <c r="D13" s="43">
        <v>32</v>
      </c>
      <c r="E13" s="43">
        <f>E14-14</f>
        <v>41.125</v>
      </c>
      <c r="F13" s="44">
        <f>IF(AND(E13&lt;&gt;"",E13&gt;=0),E13,0)</f>
        <v>41.125</v>
      </c>
      <c r="G13" s="44">
        <f>IF(AND(E13&lt;&gt;"",E13&gt;=0),$D$8-F13,0)</f>
        <v>69.125</v>
      </c>
      <c r="H13" s="45">
        <f>IF(E13&lt;&gt;"",D13*G13/D8,0)</f>
        <v>20.063492063492063</v>
      </c>
      <c r="I13" s="46">
        <f>IF(E13&lt;&gt;"",D13*F13/D8,0)</f>
        <v>11.936507936507937</v>
      </c>
      <c r="J13" s="10"/>
      <c r="K13" s="72">
        <v>0</v>
      </c>
      <c r="L13" s="47">
        <f>H35</f>
        <v>39.047619047619051</v>
      </c>
      <c r="M13" s="47">
        <f>(m_conc(H13,D13,K13,F13,D8)+m_conc(H14,D14,K13,F14,D8)+m_conc(H15,D15,K13,F15,D8)+m_conc(H16,D16,K13,F16,D8)+m_conc(H17,D17,K13,F17,D8)+m_conc(H18,D18,K13,F18,D8)+m_conc(H19,D19,K13,F19,D8)+m_conc(H20,D20,K13,F20,D8)+m_conc(H21,D21,K13,F21,D8)+m_conc(H22,D22,K13,F22,D8)+m_conc(H23,D23,K13,F23,D8)+m_conc(H24,D24,K13,F24,D8)+m_conc(H25,D25,K13,F25,D8)+m_conc(H26,D26,K13,F26,D8)+m_conc(H27,D27,K13,F27,D8)+m_conc(H28,D28,K13,F28,D8)+m_conc(H29,D29,K13,F29,D8)+m_conc(H30,D30,K13,F30,D8)+m_conc(H31,D31,K13,F31,D8)+m_conc(H32,D32,K13,F32,D8))</f>
        <v>0</v>
      </c>
      <c r="N13" s="48">
        <f>(y_conc(H13,D13,K13,F13,D8)+y_conc(H14,D14,K13,F14,D8)+y_conc(H15,D15,K13,F15,D8)+y_conc(H16,D16,K13,F16,D8)+y_conc(H17,D17,K13,F17,D8)+y_conc(H18,D18,K13,F18,D8)+y_conc(H19,D19,K13,F19,D8)+y_conc(H20,D20,K13,F20,D8)+y_conc(H21,D21,K13,F21,D8)+y_conc(H22,D22,K13,F22,D8)+y_conc(H23,D23,K13,F23,D8)+y_conc(H24,D24,K13,F24,D8)+y_conc(H25,D25,K13,F25,D8)+y_conc(H26,D26,K13,F26,D8)+y_conc(H27,D27,K13,F27,D8)+y_conc(H28,D28,K13,F28,D8)+y_conc(H29,D29,K13,F29,D8)+y_conc(H30,D30,K13,F30,D8)+y_conc(H31,D31,K13,F31,D8)+y_conc(H32,D32,K13,F32,D8))/D9/D10*12</f>
        <v>0</v>
      </c>
      <c r="O13" s="10"/>
      <c r="P13" s="34"/>
      <c r="Q13" s="34"/>
      <c r="R13" s="34"/>
      <c r="S13" s="34"/>
      <c r="T13" s="34"/>
      <c r="U13" s="35"/>
    </row>
    <row r="14" spans="1:21" ht="14.1" customHeight="1" x14ac:dyDescent="0.25">
      <c r="A14" s="1"/>
      <c r="B14" s="31"/>
      <c r="C14" s="42">
        <v>2</v>
      </c>
      <c r="D14" s="43">
        <v>32</v>
      </c>
      <c r="E14" s="43">
        <v>55.125</v>
      </c>
      <c r="F14" s="44">
        <f t="shared" ref="F14:F32" si="0">IF(AND(E14&lt;&gt;"",E14&gt;=0),E14,0)</f>
        <v>55.125</v>
      </c>
      <c r="G14" s="44">
        <f t="shared" ref="G14:G32" si="1">IF(AND(E14&lt;&gt;"",E14&gt;=0),$D$8-F14,0)</f>
        <v>55.125</v>
      </c>
      <c r="H14" s="45">
        <f>IF(E14&lt;&gt;"",D14*G14/D8,0)</f>
        <v>16</v>
      </c>
      <c r="I14" s="46">
        <f>IF(E14&lt;&gt;"",D14*F14/D8,0)</f>
        <v>16</v>
      </c>
      <c r="J14" s="10"/>
      <c r="K14" s="72">
        <f>D8/20</f>
        <v>5.5125000000000002</v>
      </c>
      <c r="L14" s="47">
        <f>(v_conc(H13,D13,K14,F13,D8)+v_conc(H14,D14,K14,F14,D8)+v_conc(H15,D15,K14,F15,D8)+v_conc(H16,D16,K14,F16,D8)+v_conc(H17,D17,K14,F17,D8)+v_conc(H18,D18,K14,F18,D8)+v_conc(H19,D19,K14,F19,D8)+v_conc(H20,D20,K14,F20,D8)+v_conc(H21,D21,K14,F21,D8)+v_conc(H22,D22,K14,F22,D8)+v_conc(H23,D23,K14,F23,D8)+v_conc(H24,D24,K14,F24,D8)+v_conc(H25,D25,K14,F25,D8)+v_conc(H26,D26,K14,F26,D8)+v_conc(H27,D27,K14,F27,D8)+v_conc(H28,D28,K14,F28,D8)+v_conc(H29,D29,K14,F29,D8)+v_conc(H30,D30,K14,F30,D8)+v_conc(H31,D31,K14,F31,D8)+v_conc(H32,D32,K14,F32,D8))</f>
        <v>39.047619047619051</v>
      </c>
      <c r="M14" s="47">
        <f>(m_conc(H13,D13,K14,F13,D8)+m_conc(H14,D14,K14,F14,D8)+m_conc(H15,D15,K14,F15,D8)+m_conc(H16,D16,K14,F16,D8)+m_conc(H17,D17,K14,F17,D8)+m_conc(H18,D18,K14,F18,D8)+m_conc(H19,D19,K14,F19,D8)+m_conc(H20,D20,K14,F20,D8)+m_conc(H21,D21,K14,F21,D8)+m_conc(H22,D22,K14,F22,D8)+m_conc(H23,D23,K14,F23,D8)+m_conc(H24,D24,K14,F24,D8)+m_conc(H25,D25,K14,F25,D8)+m_conc(H26,D26,K14,F26,D8)+m_conc(H27,D27,K14,F27,D8)+m_conc(H28,D28,K14,F28,D8)+m_conc(H29,D29,K14,F29,D8)+m_conc(H30,D30,K14,F30,D8)+m_conc(H31,D31,K14,F31,D8)+m_conc(H32,D32,K14,F32,D8))</f>
        <v>215.25</v>
      </c>
      <c r="N14" s="48">
        <f>(y_conc(H13,D13,K14,F13,D8)+y_conc(H14,D14,K14,F14,D8)+y_conc(H15,D15,K14,F15,D8)+y_conc(H16,D16,K14,F16,D8)+y_conc(H17,D17,K14,F17,D8)+y_conc(H18,D18,K14,F18,D8)+y_conc(H19,D19,K14,F19,D8)+y_conc(H20,D20,K14,F20,D8)+y_conc(H21,D21,K14,F21,D8)+y_conc(H22,D22,K14,F22,D8)+y_conc(H23,D23,K14,F23,D8)+y_conc(H24,D24,K14,F24,D8)+y_conc(H25,D25,K14,F25,D8)+y_conc(H26,D26,K14,F26,D8)+y_conc(H27,D27,K14,F27,D8)+y_conc(H28,D28,K14,F28,D8)+y_conc(H29,D29,K14,F29,D8)+y_conc(H30,D30,K14,F30,D8)+y_conc(H31,D31,K14,F31,D8)+y_conc(H32,D32,K14,F32,D8))/D9/D10*12</f>
        <v>-4.5109178152271633E-2</v>
      </c>
      <c r="O14" s="10"/>
      <c r="P14" s="34"/>
      <c r="Q14" s="34"/>
      <c r="R14" s="34"/>
      <c r="S14" s="34"/>
      <c r="T14" s="34"/>
      <c r="U14" s="35"/>
    </row>
    <row r="15" spans="1:21" ht="14.1" customHeight="1" x14ac:dyDescent="0.25">
      <c r="A15" s="1"/>
      <c r="B15" s="31"/>
      <c r="C15" s="42">
        <v>3</v>
      </c>
      <c r="D15" s="43">
        <v>8</v>
      </c>
      <c r="E15" s="43">
        <f>E14+14</f>
        <v>69.125</v>
      </c>
      <c r="F15" s="44">
        <f t="shared" si="0"/>
        <v>69.125</v>
      </c>
      <c r="G15" s="44">
        <f t="shared" si="1"/>
        <v>41.125</v>
      </c>
      <c r="H15" s="45">
        <f>IF(E15&lt;&gt;"",D15*G15/D8,0)</f>
        <v>2.9841269841269842</v>
      </c>
      <c r="I15" s="46">
        <f>IF(E15&lt;&gt;"",D15*F15/D8,0)</f>
        <v>5.0158730158730158</v>
      </c>
      <c r="J15" s="10"/>
      <c r="K15" s="72">
        <f>K14+D8/20</f>
        <v>11.025</v>
      </c>
      <c r="L15" s="47">
        <f>(v_conc(H13,D13,K15,F13,D8)+v_conc(H14,D14,K15,F14,D8)+v_conc(H15,D15,K15,F15,D8)+v_conc(H16,D16,K15,F16,D8)+v_conc(H17,D17,K15,F17,D8)+v_conc(H18,D18,K15,F18,D8)+v_conc(H19,D19,K15,F19,D8)+v_conc(H20,D20,K15,F20,D8)+v_conc(H21,D21,K15,F21,D8)+v_conc(H22,D22,K15,F22,D8)+v_conc(H23,D23,K15,F23,D8)+v_conc(H24,D24,K15,F24,D8)+v_conc(H25,D25,K15,F25,D8)+v_conc(H26,D26,K15,F26,D8)+v_conc(H27,D27,K15,F27,D8)+v_conc(H28,D28,K15,F28,D8)+v_conc(H29,D29,K15,F29,D8)+v_conc(H30,D30,K15,F30,D8)+v_conc(H31,D31,K15,F31,D8)+v_conc(H32,D32,K15,F32,D8))</f>
        <v>39.047619047619051</v>
      </c>
      <c r="M15" s="47">
        <f>(m_conc(H13,D13,K15,F13,D8)+m_conc(H14,D14,K15,F14,D8)+m_conc(H15,D15,K15,F15,D8)+m_conc(H16,D16,K15,F16,D8)+m_conc(H17,D17,K15,F17,D8)+m_conc(H18,D18,K15,F18,D8)+m_conc(H19,D19,K15,F19,D8)+m_conc(H20,D20,K15,F20,D8)+m_conc(H21,D21,K15,F21,D8)+m_conc(H22,D22,K15,F22,D8)+m_conc(H23,D23,K15,F23,D8)+m_conc(H24,D24,K15,F24,D8)+m_conc(H25,D25,K15,F25,D8)+m_conc(H26,D26,K15,F26,D8)+m_conc(H27,D27,K15,F27,D8)+m_conc(H28,D28,K15,F28,D8)+m_conc(H29,D29,K15,F29,D8)+m_conc(H30,D30,K15,F30,D8)+m_conc(H31,D31,K15,F31,D8)+m_conc(H32,D32,K15,F32,D8))</f>
        <v>430.5</v>
      </c>
      <c r="N15" s="48">
        <f>(y_conc(H13,D13,K15,F13,D8)+y_conc(H14,D14,K15,F14,D8)+y_conc(H15,D15,K15,F15,D8)+y_conc(H16,D16,K15,F16,D8)+y_conc(H17,D17,K15,F17,D8)+y_conc(H18,D18,K15,F18,D8)+y_conc(H19,D19,K15,F19,D8)+y_conc(H20,D20,K15,F20,D8)+y_conc(H21,D21,K15,F21,D8)+y_conc(H22,D22,K15,F22,D8)+y_conc(H23,D23,K15,F23,D8)+y_conc(H24,D24,K15,F24,D8)+y_conc(H25,D25,K15,F25,D8)+y_conc(H26,D26,K15,F26,D8)+y_conc(H27,D27,K15,F27,D8)+y_conc(H28,D28,K15,F28,D8)+y_conc(H29,D29,K15,F29,D8)+y_conc(H30,D30,K15,F30,D8)+y_conc(H31,D31,K15,F31,D8)+y_conc(H32,D32,K15,F32,D8))/D9/D10*12</f>
        <v>-8.9226858173413484E-2</v>
      </c>
      <c r="O15" s="10"/>
      <c r="P15" s="34"/>
      <c r="Q15" s="34"/>
      <c r="R15" s="34"/>
      <c r="S15" s="34"/>
      <c r="T15" s="34"/>
      <c r="U15" s="35"/>
    </row>
    <row r="16" spans="1:21" ht="14.1" customHeight="1" x14ac:dyDescent="0.25">
      <c r="A16" s="1"/>
      <c r="B16" s="31"/>
      <c r="C16" s="42">
        <v>4</v>
      </c>
      <c r="D16" s="43">
        <v>0</v>
      </c>
      <c r="E16" s="43">
        <v>0</v>
      </c>
      <c r="F16" s="44">
        <f t="shared" si="0"/>
        <v>0</v>
      </c>
      <c r="G16" s="44">
        <f>IF(AND(E16&lt;&gt;"",E16&gt;=0),$D$8-F16,0)</f>
        <v>110.25</v>
      </c>
      <c r="H16" s="45">
        <f>IF(E16&lt;&gt;"",D16*G16/D8,0)</f>
        <v>0</v>
      </c>
      <c r="I16" s="46">
        <f>IF(E16&lt;&gt;"",D16*F16/D8,0)</f>
        <v>0</v>
      </c>
      <c r="J16" s="10"/>
      <c r="K16" s="72">
        <f>K15+D8/20</f>
        <v>16.537500000000001</v>
      </c>
      <c r="L16" s="47">
        <f>(v_conc(H13,D13,K16,F13,D8)+v_conc(H14,D14,K16,F14,D8)+v_conc(H15,D15,K16,F15,D8)+v_conc(H16,D16,K16,F16,D8)+v_conc(H17,D17,K16,F17,D8)+v_conc(H18,D18,K16,F18,D8)+v_conc(H19,D19,K16,F19,D8)+v_conc(H20,D20,K16,F20,D8)+v_conc(H21,D21,K16,F21,D8)+v_conc(H22,D22,K16,F22,D8)+v_conc(H23,D23,K16,F23,D8)+v_conc(H24,D24,K16,F24,D8)+v_conc(H25,D25,K16,F25,D8)+v_conc(H26,D26,K16,F26,D8)+v_conc(H27,D27,K16,F27,D8)+v_conc(H28,D28,K16,F28,D8)+v_conc(H29,D29,K16,F29,D8)+v_conc(H30,D30,K16,F30,D8)+v_conc(H31,D31,K16,F31,D8)+v_conc(H32,D32,K16,F32,D8))</f>
        <v>39.047619047619051</v>
      </c>
      <c r="M16" s="47">
        <f>(m_conc(H13,D13,K16,F13,D8)+m_conc(H14,D14,K16,F14,D8)+m_conc(H15,D15,K16,F15,D8)+m_conc(H16,D16,K16,F16,D8)+m_conc(H17,D17,K16,F17,D8)+m_conc(H18,D18,K16,F18,D8)+m_conc(H19,D19,K16,F19,D8)+m_conc(H20,D20,K16,F20,D8)+m_conc(H21,D21,K16,F21,D8)+m_conc(H22,D22,K16,F22,D8)+m_conc(H23,D23,K16,F23,D8)+m_conc(H24,D24,K16,F24,D8)+m_conc(H25,D25,K16,F25,D8)+m_conc(H26,D26,K16,F26,D8)+m_conc(H27,D27,K16,F27,D8)+m_conc(H28,D28,K16,F28,D8)+m_conc(H29,D29,K16,F29,D8)+m_conc(H30,D30,K16,F30,D8)+m_conc(H31,D31,K16,F31,D8)+m_conc(H32,D32,K16,F32,D8))</f>
        <v>645.75000000000011</v>
      </c>
      <c r="N16" s="48">
        <f>(y_conc(H13,D13,K16,F13,D8)+y_conc(H14,D14,K16,F14,D8)+y_conc(H15,D15,K16,F15,D8)+y_conc(H16,D16,K16,F16,D8)+y_conc(H17,D17,K16,F17,D8)+y_conc(H18,D18,K16,F18,D8)+y_conc(H19,D19,K16,F19,D8)+y_conc(H20,D20,K16,F20,D8)+y_conc(H21,D21,K16,F21,D8)+y_conc(H22,D22,K16,F22,D8)+y_conc(H23,D23,K16,F23,D8)+y_conc(H24,D24,K16,F24,D8)+y_conc(H25,D25,K16,F25,D8)+y_conc(H26,D26,K16,F26,D8)+y_conc(H27,D27,K16,F27,D8)+y_conc(H28,D28,K16,F28,D8)+y_conc(H29,D29,K16,F29,D8)+y_conc(H30,D30,K16,F30,D8)+y_conc(H31,D31,K16,F31,D8)+y_conc(H32,D32,K16,F32,D8))/D9/D10*12</f>
        <v>-0.13136154193229574</v>
      </c>
      <c r="O16" s="10"/>
      <c r="P16" s="34"/>
      <c r="Q16" s="34"/>
      <c r="R16" s="34"/>
      <c r="S16" s="34"/>
      <c r="T16" s="34"/>
      <c r="U16" s="35"/>
    </row>
    <row r="17" spans="1:21" ht="14.1" customHeight="1" x14ac:dyDescent="0.25">
      <c r="A17" s="1"/>
      <c r="B17" s="31"/>
      <c r="C17" s="42">
        <v>5</v>
      </c>
      <c r="D17" s="43">
        <v>0</v>
      </c>
      <c r="E17" s="43">
        <v>0</v>
      </c>
      <c r="F17" s="44">
        <f t="shared" si="0"/>
        <v>0</v>
      </c>
      <c r="G17" s="44">
        <f t="shared" si="1"/>
        <v>110.25</v>
      </c>
      <c r="H17" s="45">
        <f>IF(E17&lt;&gt;"",D17*G17/D8,0)</f>
        <v>0</v>
      </c>
      <c r="I17" s="46">
        <f>IF(E17&lt;&gt;"",D17*F17/D8,0)</f>
        <v>0</v>
      </c>
      <c r="J17" s="10"/>
      <c r="K17" s="72">
        <f>K16+D8/20</f>
        <v>22.05</v>
      </c>
      <c r="L17" s="47">
        <f>(v_conc(H13,D13,K17,F13,D8)+v_conc(H14,D14,K17,F14,D8)+v_conc(H15,D15,K17,F15,D8)+v_conc(H16,D16,K17,F16,D8)+v_conc(H17,D17,K17,F17,D8)+v_conc(H18,D18,K17,F18,D8)+v_conc(H19,D19,K17,F19,D8)+v_conc(H20,D20,K17,F20,D8)+v_conc(H21,D21,K17,F21,D8)+v_conc(H22,D22,K17,F22,D8)+v_conc(H23,D23,K17,F23,D8)+v_conc(H24,D24,K17,F24,D8)+v_conc(H25,D25,K17,F25,D8)+v_conc(H26,D26,K17,F26,D8)+v_conc(H27,D27,K17,F27,D8)+v_conc(H28,D28,K17,F28,D8)+v_conc(H29,D29,K17,F29,D8)+v_conc(H30,D30,K17,F30,D8)+v_conc(H31,D31,K17,F31,D8)+v_conc(H32,D32,K17,F32,D8))</f>
        <v>39.047619047619051</v>
      </c>
      <c r="M17" s="47">
        <f>(m_conc(H13,D13,K17,F13,D8)+m_conc(H14,D14,K17,F14,D8)+m_conc(H15,D15,K17,F15,D8)+m_conc(H16,D16,K17,F16,D8)+m_conc(H17,D17,K17,F17,D8)+m_conc(H18,D18,K17,F18,D8)+m_conc(H19,D19,K17,F19,D8)+m_conc(H20,D20,K17,F20,D8)+m_conc(H21,D21,K17,F21,D8)+m_conc(H22,D22,K17,F22,D8)+m_conc(H23,D23,K17,F23,D8)+m_conc(H24,D24,K17,F24,D8)+m_conc(H25,D25,K17,F25,D8)+m_conc(H26,D26,K17,F26,D8)+m_conc(H27,D27,K17,F27,D8)+m_conc(H28,D28,K17,F28,D8)+m_conc(H29,D29,K17,F29,D8)+m_conc(H30,D30,K17,F30,D8)+m_conc(H31,D31,K17,F31,D8)+m_conc(H32,D32,K17,F32,D8))</f>
        <v>861</v>
      </c>
      <c r="N17" s="48">
        <f>(y_conc(H13,D13,K17,F13,D8)+y_conc(H14,D14,K17,F14,D8)+y_conc(H15,D15,K17,F15,D8)+y_conc(H16,D16,K17,F16,D8)+y_conc(H17,D17,K17,F17,D8)+y_conc(H18,D18,K17,F18,D8)+y_conc(H19,D19,K17,F19,D8)+y_conc(H20,D20,K17,F20,D8)+y_conc(H21,D21,K17,F21,D8)+y_conc(H22,D22,K17,F22,D8)+y_conc(H23,D23,K17,F23,D8)+y_conc(H24,D24,K17,F24,D8)+y_conc(H25,D25,K17,F25,D8)+y_conc(H26,D26,K17,F26,D8)+y_conc(H27,D27,K17,F27,D8)+y_conc(H28,D28,K17,F28,D8)+y_conc(H29,D29,K17,F29,D8)+y_conc(H30,D30,K17,F30,D8)+y_conc(H31,D31,K17,F31,D8)+y_conc(H32,D32,K17,F32,D8))/D9/D10*12</f>
        <v>-0.17052173129778869</v>
      </c>
      <c r="O17" s="10"/>
      <c r="P17" s="34"/>
      <c r="Q17" s="34"/>
      <c r="R17" s="34"/>
      <c r="S17" s="34"/>
      <c r="T17" s="34"/>
      <c r="U17" s="35"/>
    </row>
    <row r="18" spans="1:21" ht="14.1" customHeight="1" x14ac:dyDescent="0.25">
      <c r="A18" s="1"/>
      <c r="B18" s="31"/>
      <c r="C18" s="42">
        <v>6</v>
      </c>
      <c r="D18" s="43">
        <v>0</v>
      </c>
      <c r="E18" s="43">
        <v>0</v>
      </c>
      <c r="F18" s="44">
        <f t="shared" si="0"/>
        <v>0</v>
      </c>
      <c r="G18" s="44">
        <f t="shared" si="1"/>
        <v>110.25</v>
      </c>
      <c r="H18" s="45">
        <f>IF(E18&lt;&gt;"",D18*G18/D8,0)</f>
        <v>0</v>
      </c>
      <c r="I18" s="46">
        <f>IF(E18&lt;&gt;"",D18*F18/D8,0)</f>
        <v>0</v>
      </c>
      <c r="J18" s="10"/>
      <c r="K18" s="72">
        <f>K17+D8/20</f>
        <v>27.5625</v>
      </c>
      <c r="L18" s="47">
        <f>(v_conc(H13,D13,K18,F13,D8)+v_conc(H14,D14,K18,F14,D8)+v_conc(H15,D15,K18,F15,D8)+v_conc(H16,D16,K18,F16,D8)+v_conc(H17,D17,K18,F17,D8)+v_conc(H18,D18,K18,F18,D8)+v_conc(H19,D19,K18,F19,D8)+v_conc(H20,D20,K18,F20,D8)+v_conc(H21,D21,K18,F21,D8)+v_conc(H22,D22,K18,F22,D8)+v_conc(H23,D23,K18,F23,D8)+v_conc(H24,D24,K18,F24,D8)+v_conc(H25,D25,K18,F25,D8)+v_conc(H26,D26,K18,F26,D8)+v_conc(H27,D27,K18,F27,D8)+v_conc(H28,D28,K18,F28,D8)+v_conc(H29,D29,K18,F29,D8)+v_conc(H30,D30,K18,F30,D8)+v_conc(H31,D31,K18,F31,D8)+v_conc(H32,D32,K18,F32,D8))</f>
        <v>39.047619047619051</v>
      </c>
      <c r="M18" s="47">
        <f>(m_conc(H13,D13,K18,F13,D8)+m_conc(H14,D14,K18,F14,D8)+m_conc(H15,D15,K18,F15,D8)+m_conc(H16,D16,K18,F16,D8)+m_conc(H17,D17,K18,F17,D8)+m_conc(H18,D18,K18,F18,D8)+m_conc(H19,D19,K18,F19,D8)+m_conc(H20,D20,K18,F20,D8)+m_conc(H21,D21,K18,F21,D8)+m_conc(H22,D22,K18,F22,D8)+m_conc(H23,D23,K18,F23,D8)+m_conc(H24,D24,K18,F24,D8)+m_conc(H25,D25,K18,F25,D8)+m_conc(H26,D26,K18,F26,D8)+m_conc(H27,D27,K18,F27,D8)+m_conc(H28,D28,K18,F28,D8)+m_conc(H29,D29,K18,F29,D8)+m_conc(H30,D30,K18,F30,D8)+m_conc(H31,D31,K18,F31,D8)+m_conc(H32,D32,K18,F32,D8))</f>
        <v>1076.25</v>
      </c>
      <c r="N18" s="48">
        <f>(y_conc(H13,D13,K18,F13,D8)+y_conc(H14,D14,K18,F14,D8)+y_conc(H15,D15,K18,F15,D8)+y_conc(H16,D16,K18,F16,D8)+y_conc(H17,D17,K18,F17,D8)+y_conc(H18,D18,K18,F18,D8)+y_conc(H19,D19,K18,F19,D8)+y_conc(H20,D20,K18,F20,D8)+y_conc(H21,D21,K18,F21,D8)+y_conc(H22,D22,K18,F22,D8)+y_conc(H23,D23,K18,F23,D8)+y_conc(H24,D24,K18,F24,D8)+y_conc(H25,D25,K18,F25,D8)+y_conc(H26,D26,K18,F26,D8)+y_conc(H27,D27,K18,F27,D8)+y_conc(H28,D28,K18,F28,D8)+y_conc(H29,D29,K18,F29,D8)+y_conc(H30,D30,K18,F30,D8)+y_conc(H31,D31,K18,F31,D8)+y_conc(H32,D32,K18,F32,D8))/D9/D10*12</f>
        <v>-0.20571592813876249</v>
      </c>
      <c r="O18" s="10"/>
      <c r="P18" s="34"/>
      <c r="Q18" s="34"/>
      <c r="R18" s="34"/>
      <c r="S18" s="34"/>
      <c r="T18" s="34"/>
      <c r="U18" s="35"/>
    </row>
    <row r="19" spans="1:21" ht="14.1" customHeight="1" x14ac:dyDescent="0.25">
      <c r="A19" s="1"/>
      <c r="B19" s="31"/>
      <c r="C19" s="42">
        <v>7</v>
      </c>
      <c r="D19" s="43">
        <v>0</v>
      </c>
      <c r="E19" s="43">
        <v>0</v>
      </c>
      <c r="F19" s="44">
        <f t="shared" si="0"/>
        <v>0</v>
      </c>
      <c r="G19" s="44">
        <f t="shared" si="1"/>
        <v>110.25</v>
      </c>
      <c r="H19" s="45">
        <f>IF(E19&lt;&gt;"",D19*G19/D8,0)</f>
        <v>0</v>
      </c>
      <c r="I19" s="46">
        <f>IF(E19&lt;&gt;"",D19*F19/D8,0)</f>
        <v>0</v>
      </c>
      <c r="J19" s="10"/>
      <c r="K19" s="73">
        <f>K18+D8/20</f>
        <v>33.075000000000003</v>
      </c>
      <c r="L19" s="70">
        <f>(v_conc(H13,D13,K19,F13,D8)+v_conc(H14,D14,K19,F14,D8)+v_conc(H15,D15,K19,F15,D8)+v_conc(H16,D16,K19,F16,D8)+v_conc(H17,D17,K19,F17,D8)+v_conc(H18,D18,K19,F18,D8)+v_conc(H19,D19,K19,F19,D8)+v_conc(H20,D20,K19,F20,D8)+v_conc(H21,D21,K19,F21,D8)+v_conc(H22,D22,K19,F22,D8)+v_conc(H23,D23,K19,F23,D8)+v_conc(H24,D24,K19,F24,D8)+v_conc(H25,D25,K19,F25,D8)+v_conc(H26,D26,K19,F26,D8)+v_conc(H27,D27,K19,F27,D8)+v_conc(H28,D28,K19,F28,D8)+v_conc(H29,D29,K19,F29,D8)+v_conc(H30,D30,K19,F30,D8)+v_conc(H31,D31,K19,F31,D8)+v_conc(H32,D32,K19,F32,D8))</f>
        <v>39.047619047619051</v>
      </c>
      <c r="M19" s="70">
        <f>(m_conc(H13,D13,K19,F13,D8)+m_conc(H14,D14,K19,F14,D8)+m_conc(H15,D15,K19,F15,D8)+m_conc(H16,D16,K19,F16,D8)+m_conc(H17,D17,K19,F17,D8)+m_conc(H18,D18,K19,F18,D8)+m_conc(H19,D19,K19,F19,D8)+m_conc(H20,D20,K19,F20,D8)+m_conc(H21,D21,K19,F21,D8)+m_conc(H22,D22,K19,F22,D8)+m_conc(H23,D23,K19,F23,D8)+m_conc(H24,D24,K19,F24,D8)+m_conc(H25,D25,K19,F25,D8)+m_conc(H26,D26,K19,F26,D8)+m_conc(H27,D27,K19,F27,D8)+m_conc(H28,D28,K19,F28,D8)+m_conc(H29,D29,K19,F29,D8)+m_conc(H30,D30,K19,F30,D8)+m_conc(H31,D31,K19,F31,D8)+m_conc(H32,D32,K19,F32,D8))</f>
        <v>1291.5000000000002</v>
      </c>
      <c r="N19" s="71">
        <f>(y_conc(H13,D13,K19,F13,D8)+y_conc(H14,D14,K19,F14,D8)+y_conc(H15,D15,K19,F15,D8)+y_conc(H16,D16,K19,F16,D8)+y_conc(H17,D17,K19,F17,D8)+y_conc(H18,D18,K19,F18,D8)+y_conc(H19,D19,K19,F19,D8)+y_conc(H20,D20,K19,F20,D8)+y_conc(H21,D21,K19,F21,D8)+y_conc(H22,D22,K19,F22,D8)+y_conc(H23,D23,K19,F23,D8)+y_conc(H24,D24,K19,F24,D8)+y_conc(H25,D25,K19,F25,D8)+y_conc(H26,D26,K19,F26,D8)+y_conc(H27,D27,K19,F27,D8)+y_conc(H28,D28,K19,F28,D8)+y_conc(H29,D29,K19,F29,D8)+y_conc(H30,D30,K19,F30,D8)+y_conc(H31,D31,K19,F31,D8)+y_conc(H32,D32,K19,F32,D8))/D9/D10*12</f>
        <v>-0.23595263432408736</v>
      </c>
      <c r="O19" s="10"/>
      <c r="P19" s="34"/>
      <c r="Q19" s="34"/>
      <c r="R19" s="34"/>
      <c r="S19" s="34"/>
      <c r="T19" s="34"/>
      <c r="U19" s="35"/>
    </row>
    <row r="20" spans="1:21" ht="14.1" customHeight="1" x14ac:dyDescent="0.25">
      <c r="A20" s="1"/>
      <c r="B20" s="31"/>
      <c r="C20" s="42">
        <v>8</v>
      </c>
      <c r="D20" s="43">
        <v>0</v>
      </c>
      <c r="E20" s="43">
        <v>0</v>
      </c>
      <c r="F20" s="44">
        <f t="shared" si="0"/>
        <v>0</v>
      </c>
      <c r="G20" s="44">
        <f t="shared" si="1"/>
        <v>110.25</v>
      </c>
      <c r="H20" s="45">
        <f>IF(E20&lt;&gt;"",D20*G20/D8,0)</f>
        <v>0</v>
      </c>
      <c r="I20" s="46">
        <f>IF(E20&lt;&gt;"",D20*F20/D8,0)</f>
        <v>0</v>
      </c>
      <c r="J20" s="10"/>
      <c r="K20" s="73">
        <f>K19+D8/20</f>
        <v>38.587500000000006</v>
      </c>
      <c r="L20" s="70">
        <f>(v_conc(H13,D13,K20,F13,D8)+v_conc(H14,D14,K20,F14,D8)+v_conc(H15,D15,K20,F15,D8)+v_conc(H16,D16,K20,F16,D8)+v_conc(H17,D17,K20,F17,D8)+v_conc(H18,D18,K20,F18,D8)+v_conc(H19,D19,K20,F19,D8)+v_conc(H20,D20,K20,F20,D8)+v_conc(H21,D21,K20,F21,D8)+v_conc(H22,D22,K20,F22,D8)+v_conc(H23,D23,K20,F23,D8)+v_conc(H24,D24,K20,F24,D8)+v_conc(H25,D25,K20,F25,D8)+v_conc(H26,D26,K20,F26,D8)+v_conc(H27,D27,K20,F27,D8)+v_conc(H28,D28,K20,F28,D8)+v_conc(H29,D29,K20,F29,D8)+v_conc(H30,D30,K20,F30,D8)+v_conc(H31,D31,K20,F31,D8)+v_conc(H32,D32,K20,F32,D8))</f>
        <v>39.047619047619051</v>
      </c>
      <c r="M20" s="70">
        <f>(m_conc(H13,D13,K20,F13,D8)+m_conc(H14,D14,K20,F14,D8)+m_conc(H15,D15,K20,F15,D8)+m_conc(H16,D16,K20,F16,D8)+m_conc(H17,D17,K20,F17,D8)+m_conc(H18,D18,K20,F18,D8)+m_conc(H19,D19,K20,F19,D8)+m_conc(H20,D20,K20,F20,D8)+m_conc(H21,D21,K20,F21,D8)+m_conc(H22,D22,K20,F22,D8)+m_conc(H23,D23,K20,F23,D8)+m_conc(H24,D24,K20,F24,D8)+m_conc(H25,D25,K20,F25,D8)+m_conc(H26,D26,K20,F26,D8)+m_conc(H27,D27,K20,F27,D8)+m_conc(H28,D28,K20,F28,D8)+m_conc(H29,D29,K20,F29,D8)+m_conc(H30,D30,K20,F30,D8)+m_conc(H31,D31,K20,F31,D8)+m_conc(H32,D32,K20,F32,D8))</f>
        <v>1506.7500000000005</v>
      </c>
      <c r="N20" s="71">
        <f>(y_conc(H13,D13,K20,F13,D8)+y_conc(H14,D14,K20,F14,D8)+y_conc(H15,D15,K20,F15,D8)+y_conc(H16,D16,K20,F16,D8)+y_conc(H17,D17,K20,F17,D8)+y_conc(H18,D18,K20,F18,D8)+y_conc(H19,D19,K20,F19,D8)+y_conc(H20,D20,K20,F20,D8)+y_conc(H21,D21,K20,F21,D8)+y_conc(H22,D22,K20,F22,D8)+y_conc(H23,D23,K20,F23,D8)+y_conc(H24,D24,K20,F24,D8)+y_conc(H25,D25,K20,F25,D8)+y_conc(H26,D26,K20,F26,D8)+y_conc(H27,D27,K20,F27,D8)+y_conc(H28,D28,K20,F28,D8)+y_conc(H29,D29,K20,F29,D8)+y_conc(H30,D30,K20,F30,D8)+y_conc(H31,D31,K20,F31,D8)+y_conc(H32,D32,K20,F32,D8))/D9/D10*12</f>
        <v>-0.26024035172263349</v>
      </c>
      <c r="O20" s="10"/>
      <c r="P20" s="34"/>
      <c r="Q20" s="34"/>
      <c r="R20" s="34"/>
      <c r="S20" s="34"/>
      <c r="T20" s="34"/>
      <c r="U20" s="35"/>
    </row>
    <row r="21" spans="1:21" ht="14.1" customHeight="1" x14ac:dyDescent="0.25">
      <c r="A21" s="1"/>
      <c r="B21" s="31"/>
      <c r="C21" s="42">
        <v>9</v>
      </c>
      <c r="D21" s="43">
        <v>0</v>
      </c>
      <c r="E21" s="43">
        <v>0</v>
      </c>
      <c r="F21" s="44">
        <f t="shared" si="0"/>
        <v>0</v>
      </c>
      <c r="G21" s="44">
        <f t="shared" si="1"/>
        <v>110.25</v>
      </c>
      <c r="H21" s="45">
        <f>IF(E21&lt;&gt;"",D21*G21/D8,0)</f>
        <v>0</v>
      </c>
      <c r="I21" s="46">
        <f>IF(E21&lt;&gt;"",D21*F21/D8,0)</f>
        <v>0</v>
      </c>
      <c r="J21" s="10"/>
      <c r="K21" s="72">
        <f>K20+D8/20</f>
        <v>44.100000000000009</v>
      </c>
      <c r="L21" s="47">
        <f>(v_conc(H13,D13,K21,F13,D8)+v_conc(H14,D14,K21,F14,D8)+v_conc(H15,D15,K21,F15,D8)+v_conc(H16,D16,K21,F16,D8)+v_conc(H17,D17,K21,F17,D8)+v_conc(H18,D18,K21,F18,D8)+v_conc(H19,D19,K21,F19,D8)+v_conc(H20,D20,K21,F20,D8)+v_conc(H21,D21,K21,F21,D8)+v_conc(H22,D22,K21,F22,D8)+v_conc(H23,D23,K21,F23,D8)+v_conc(H24,D24,K21,F24,D8)+v_conc(H25,D25,K21,F25,D8)+v_conc(H26,D26,K21,F26,D8)+v_conc(H27,D27,K21,F27,D8)+v_conc(H28,D28,K21,F28,D8)+v_conc(H29,D29,K21,F29,D8)+v_conc(H30,D30,K21,F30,D8)+v_conc(H31,D31,K21,F31,D8)+v_conc(H32,D32,K21,F32,D8))</f>
        <v>7.0476190476190474</v>
      </c>
      <c r="M21" s="47">
        <f>(m_conc(H13,D13,K21,F13,D8)+m_conc(H14,D14,K21,F14,D8)+m_conc(H15,D15,K21,F15,D8)+m_conc(H16,D16,K21,F16,D8)+m_conc(H17,D17,K21,F17,D8)+m_conc(H18,D18,K21,F18,D8)+m_conc(H19,D19,K21,F19,D8)+m_conc(H20,D20,K21,F20,D8)+m_conc(H21,D21,K21,F21,D8)+m_conc(H22,D22,K21,F22,D8)+m_conc(H23,D23,K21,F23,D8)+m_conc(H24,D24,K21,F24,D8)+m_conc(H25,D25,K21,F25,D8)+m_conc(H26,D26,K21,F26,D8)+m_conc(H27,D27,K21,F27,D8)+m_conc(H28,D28,K21,F28,D8)+m_conc(H29,D29,K21,F29,D8)+m_conc(H30,D30,K21,F30,D8)+m_conc(H31,D31,K21,F31,D8)+m_conc(H32,D32,K21,F32,D8))</f>
        <v>1626.8000000000002</v>
      </c>
      <c r="N21" s="48">
        <f>(y_conc(H13,D13,K21,F13,D8)+y_conc(H14,D14,K21,F14,D8)+y_conc(H15,D15,K21,F15,D8)+y_conc(H16,D16,K21,F16,D8)+y_conc(H17,D17,K21,F17,D8)+y_conc(H18,D18,K21,F18,D8)+y_conc(H19,D19,K21,F19,D8)+y_conc(H20,D20,K21,F20,D8)+y_conc(H21,D21,K21,F21,D8)+y_conc(H22,D22,K21,F22,D8)+y_conc(H23,D23,K21,F23,D8)+y_conc(H24,D24,K21,F24,D8)+y_conc(H25,D25,K21,F25,D8)+y_conc(H26,D26,K21,F26,D8)+y_conc(H27,D27,K21,F27,D8)+y_conc(H28,D28,K21,F28,D8)+y_conc(H29,D29,K21,F29,D8)+y_conc(H30,D30,K21,F30,D8)+y_conc(H31,D31,K21,F31,D8)+y_conc(H32,D32,K21,F32,D8))/D9/D10*12</f>
        <v>-0.2776088690421511</v>
      </c>
      <c r="O21" s="10"/>
      <c r="P21" s="34"/>
      <c r="Q21" s="34"/>
      <c r="R21" s="34"/>
      <c r="S21" s="34"/>
      <c r="T21" s="34"/>
      <c r="U21" s="35"/>
    </row>
    <row r="22" spans="1:21" ht="14.1" customHeight="1" x14ac:dyDescent="0.25">
      <c r="A22" s="1"/>
      <c r="B22" s="31"/>
      <c r="C22" s="42">
        <v>10</v>
      </c>
      <c r="D22" s="43">
        <v>0</v>
      </c>
      <c r="E22" s="43">
        <v>0</v>
      </c>
      <c r="F22" s="44">
        <f t="shared" si="0"/>
        <v>0</v>
      </c>
      <c r="G22" s="44">
        <f t="shared" si="1"/>
        <v>110.25</v>
      </c>
      <c r="H22" s="45">
        <f>IF(E22&lt;&gt;"",D22*G22/D8,0)</f>
        <v>0</v>
      </c>
      <c r="I22" s="46">
        <f>IF(E22&lt;&gt;"",D22*F22/D8,0)</f>
        <v>0</v>
      </c>
      <c r="J22" s="10"/>
      <c r="K22" s="72">
        <f>K21+D8/20</f>
        <v>49.612500000000011</v>
      </c>
      <c r="L22" s="47">
        <f>(v_conc(H13,D13,K22,F13,D8)+v_conc(H14,D14,K22,F14,D8)+v_conc(H15,D15,K22,F15,D8)+v_conc(H16,D16,K22,F16,D8)+v_conc(H17,D17,K22,F17,D8)+v_conc(H18,D18,K22,F18,D8)+v_conc(H19,D19,K22,F19,D8)+v_conc(H20,D20,K22,F20,D8)+v_conc(H21,D21,K22,F21,D8)+v_conc(H22,D22,K22,F22,D8)+v_conc(H23,D23,K22,F23,D8)+v_conc(H24,D24,K22,F24,D8)+v_conc(H25,D25,K22,F25,D8)+v_conc(H26,D26,K22,F26,D8)+v_conc(H27,D27,K22,F27,D8)+v_conc(H28,D28,K22,F28,D8)+v_conc(H29,D29,K22,F29,D8)+v_conc(H30,D30,K22,F30,D8)+v_conc(H31,D31,K22,F31,D8)+v_conc(H32,D32,K22,F32,D8))</f>
        <v>7.0476190476190474</v>
      </c>
      <c r="M22" s="47">
        <f>(m_conc(H13,D13,K22,F13,D8)+m_conc(H14,D14,K22,F14,D8)+m_conc(H15,D15,K22,F15,D8)+m_conc(H16,D16,K22,F16,D8)+m_conc(H17,D17,K22,F17,D8)+m_conc(H18,D18,K22,F18,D8)+m_conc(H19,D19,K22,F19,D8)+m_conc(H20,D20,K22,F20,D8)+m_conc(H21,D21,K22,F21,D8)+m_conc(H22,D22,K22,F22,D8)+m_conc(H23,D23,K22,F23,D8)+m_conc(H24,D24,K22,F24,D8)+m_conc(H25,D25,K22,F25,D8)+m_conc(H26,D26,K22,F26,D8)+m_conc(H27,D27,K22,F27,D8)+m_conc(H28,D28,K22,F28,D8)+m_conc(H29,D29,K22,F29,D8)+m_conc(H30,D30,K22,F30,D8)+m_conc(H31,D31,K22,F31,D8)+m_conc(H32,D32,K22,F32,D8))</f>
        <v>1665.6499999999999</v>
      </c>
      <c r="N22" s="48">
        <f>(y_conc(H13,D13,K22,F13,D8)+y_conc(H14,D14,K22,F14,D8)+y_conc(H15,D15,K22,F15,D8)+y_conc(H16,D16,K22,F16,D8)+y_conc(H17,D17,K22,F17,D8)+y_conc(H18,D18,K22,F18,D8)+y_conc(H19,D19,K22,F19,D8)+y_conc(H20,D20,K22,F20,D8)+y_conc(H21,D21,K22,F21,D8)+y_conc(H22,D22,K22,F22,D8)+y_conc(H23,D23,K22,F23,D8)+y_conc(H24,D24,K22,F24,D8)+y_conc(H25,D25,K22,F25,D8)+y_conc(H26,D26,K22,F26,D8)+y_conc(H27,D27,K22,F27,D8)+y_conc(H28,D28,K22,F28,D8)+y_conc(H29,D29,K22,F29,D8)+y_conc(H30,D30,K22,F30,D8)+y_conc(H31,D31,K22,F31,D8)+y_conc(H32,D32,K22,F32,D8))/D9/D10*12</f>
        <v>-0.28749712651287301</v>
      </c>
      <c r="O22" s="10"/>
      <c r="P22" s="34"/>
      <c r="Q22" s="34"/>
      <c r="R22" s="34"/>
      <c r="S22" s="34"/>
      <c r="T22" s="34"/>
      <c r="U22" s="35"/>
    </row>
    <row r="23" spans="1:21" ht="14.1" customHeight="1" x14ac:dyDescent="0.25">
      <c r="A23" s="1"/>
      <c r="B23" s="31"/>
      <c r="C23" s="49">
        <v>11</v>
      </c>
      <c r="D23" s="43">
        <v>0</v>
      </c>
      <c r="E23" s="43">
        <v>0</v>
      </c>
      <c r="F23" s="44">
        <f t="shared" si="0"/>
        <v>0</v>
      </c>
      <c r="G23" s="44">
        <f t="shared" si="1"/>
        <v>110.25</v>
      </c>
      <c r="H23" s="45">
        <f>IF(E23&lt;&gt;"",D23*G23/D8,0)</f>
        <v>0</v>
      </c>
      <c r="I23" s="46">
        <f>IF(E23&lt;&gt;"",D23*F23/D8,0)</f>
        <v>0</v>
      </c>
      <c r="J23" s="10"/>
      <c r="K23" s="72">
        <f>K22+D8/20</f>
        <v>55.125000000000014</v>
      </c>
      <c r="L23" s="47">
        <f>(v_conc(H13,D13,K23,F13,D8)+v_conc(H14,D14,K23,F14,D8)+v_conc(H15,D15,K23,F15,D8)+v_conc(H16,D16,K23,F16,D8)+v_conc(H17,D17,K23,F17,D8)+v_conc(H18,D18,K23,F18,D8)+v_conc(H19,D19,K23,F19,D8)+v_conc(H20,D20,K23,F20,D8)+v_conc(H21,D21,K23,F21,D8)+v_conc(H22,D22,K23,F22,D8)+v_conc(H23,D23,K23,F23,D8)+v_conc(H24,D24,K23,F24,D8)+v_conc(H25,D25,K23,F25,D8)+v_conc(H26,D26,K23,F26,D8)+v_conc(H27,D27,K23,F27,D8)+v_conc(H28,D28,K23,F28,D8)+v_conc(H29,D29,K23,F29,D8)+v_conc(H30,D30,K23,F30,D8)+v_conc(H31,D31,K23,F31,D8)+v_conc(H32,D32,K23,F32,D8))</f>
        <v>-24.952380952380953</v>
      </c>
      <c r="M23" s="47">
        <f>(m_conc(H13,D13,K23,F13,D8)+m_conc(H14,D14,K23,F14,D8)+m_conc(H15,D15,K23,F15,D8)+m_conc(H16,D16,K23,F16,D8)+m_conc(H17,D17,K23,F17,D8)+m_conc(H18,D18,K23,F18,D8)+m_conc(H19,D19,K23,F19,D8)+m_conc(H20,D20,K23,F20,D8)+m_conc(H21,D21,K23,F21,D8)+m_conc(H22,D22,K23,F22,D8)+m_conc(H23,D23,K23,F23,D8)+m_conc(H24,D24,K23,F24,D8)+m_conc(H25,D25,K23,F25,D8)+m_conc(H26,D26,K23,F26,D8)+m_conc(H27,D27,K23,F27,D8)+m_conc(H28,D28,K23,F28,D8)+m_conc(H29,D29,K23,F29,D8)+m_conc(H30,D30,K23,F30,D8)+m_conc(H31,D31,K23,F31,D8)+m_conc(H32,D32,K23,F32,D8))</f>
        <v>1704.4999999999995</v>
      </c>
      <c r="N23" s="48">
        <f>(y_conc(H13,D13,K23,F13,D8)+y_conc(H14,D14,K23,F14,D8)+y_conc(H15,D15,K23,F15,D8)+y_conc(H16,D16,K23,F16,D8)+y_conc(H17,D17,K23,F17,D8)+y_conc(H18,D18,K23,F18,D8)+y_conc(H19,D19,K23,F19,D8)+y_conc(H20,D20,K23,F20,D8)+y_conc(H21,D21,K23,F21,D8)+y_conc(H22,D22,K23,F22,D8)+y_conc(H23,D23,K23,F23,D8)+y_conc(H24,D24,K23,F24,D8)+y_conc(H25,D25,K23,F25,D8)+y_conc(H26,D26,K23,F26,D8)+y_conc(H27,D27,K23,F27,D8)+y_conc(H28,D28,K23,F28,D8)+y_conc(H29,D29,K23,F29,D8)+y_conc(H30,D30,K23,F30,D8)+y_conc(H31,D31,K23,F31,D8)+y_conc(H32,D32,K23,F32,D8))/D9/D10*12</f>
        <v>-0.28971296185994189</v>
      </c>
      <c r="O23" s="10"/>
      <c r="P23" s="34"/>
      <c r="Q23" s="34"/>
      <c r="R23" s="34"/>
      <c r="S23" s="34"/>
      <c r="T23" s="34"/>
      <c r="U23" s="35"/>
    </row>
    <row r="24" spans="1:21" ht="14.1" customHeight="1" x14ac:dyDescent="0.25">
      <c r="A24" s="1"/>
      <c r="B24" s="31"/>
      <c r="C24" s="49">
        <v>12</v>
      </c>
      <c r="D24" s="43">
        <v>0</v>
      </c>
      <c r="E24" s="43">
        <v>0</v>
      </c>
      <c r="F24" s="44">
        <f t="shared" si="0"/>
        <v>0</v>
      </c>
      <c r="G24" s="44">
        <f t="shared" si="1"/>
        <v>110.25</v>
      </c>
      <c r="H24" s="45">
        <f>IF(E24&lt;&gt;"",D24*G24/D8,0)</f>
        <v>0</v>
      </c>
      <c r="I24" s="46">
        <f>IF(E24&lt;&gt;"",D24*F24/D8,0)</f>
        <v>0</v>
      </c>
      <c r="J24" s="10"/>
      <c r="K24" s="72">
        <f>K23+D8/20</f>
        <v>60.637500000000017</v>
      </c>
      <c r="L24" s="47">
        <f>(v_conc(H13,D13,K24,F13,D8)+v_conc(H14,D14,K24,F14,D8)+v_conc(H15,D15,K24,F15,D8)+v_conc(H16,D16,K24,F16,D8)+v_conc(H17,D17,K24,F17,D8)+v_conc(H18,D18,K24,F18,D8)+v_conc(H19,D19,K24,F19,D8)+v_conc(H20,D20,K24,F20,D8)+v_conc(H21,D21,K24,F21,D8)+v_conc(H22,D22,K24,F22,D8)+v_conc(H23,D23,K24,F23,D8)+v_conc(H24,D24,K24,F24,D8)+v_conc(H25,D25,K24,F25,D8)+v_conc(H26,D26,K24,F26,D8)+v_conc(H27,D27,K24,F27,D8)+v_conc(H28,D28,K24,F28,D8)+v_conc(H29,D29,K24,F29,D8)+v_conc(H30,D30,K24,F30,D8)+v_conc(H31,D31,K24,F31,D8)+v_conc(H32,D32,K24,F32,D8))</f>
        <v>-24.952380952380953</v>
      </c>
      <c r="M24" s="47">
        <f>(m_conc(H13,D13,K24,F13,D8)+m_conc(H14,D14,K24,F14,D8)+m_conc(H15,D15,K24,F15,D8)+m_conc(H16,D16,K24,F16,D8)+m_conc(H17,D17,K24,F17,D8)+m_conc(H18,D18,K24,F18,D8)+m_conc(H19,D19,K24,F19,D8)+m_conc(H20,D20,K24,F20,D8)+m_conc(H21,D21,K24,F21,D8)+m_conc(H22,D22,K24,F22,D8)+m_conc(H23,D23,K24,F23,D8)+m_conc(H24,D24,K24,F24,D8)+m_conc(H25,D25,K24,F25,D8)+m_conc(H26,D26,K24,F26,D8)+m_conc(H27,D27,K24,F27,D8)+m_conc(H28,D28,K24,F28,D8)+m_conc(H29,D29,K24,F29,D8)+m_conc(H30,D30,K24,F30,D8)+m_conc(H31,D31,K24,F31,D8)+m_conc(H32,D32,K24,F32,D8))</f>
        <v>1566.9499999999996</v>
      </c>
      <c r="N24" s="48">
        <f>(y_conc(H13,D13,K24,F13,D8)+y_conc(H14,D14,K24,F14,D8)+y_conc(H15,D15,K24,F15,D8)+y_conc(H16,D16,K24,F16,D8)+y_conc(H17,D17,K24,F17,D8)+y_conc(H18,D18,K24,F18,D8)+y_conc(H19,D19,K24,F19,D8)+y_conc(H20,D20,K24,F20,D8)+y_conc(H21,D21,K24,F21,D8)+y_conc(H22,D22,K24,F22,D8)+y_conc(H23,D23,K24,F23,D8)+y_conc(H24,D24,K24,F24,D8)+y_conc(H25,D25,K24,F25,D8)+y_conc(H26,D26,K24,F26,D8)+y_conc(H27,D27,K24,F27,D8)+y_conc(H28,D28,K24,F28,D8)+y_conc(H29,D29,K24,F29,D8)+y_conc(H30,D30,K24,F30,D8)+y_conc(H31,D31,K24,F31,D8)+y_conc(H32,D32,K24,F32,D8))/D9/D10*12</f>
        <v>-0.28421284589711293</v>
      </c>
      <c r="O24" s="10"/>
      <c r="P24" s="34"/>
      <c r="Q24" s="34"/>
      <c r="R24" s="34"/>
      <c r="S24" s="34"/>
      <c r="T24" s="34"/>
      <c r="U24" s="35"/>
    </row>
    <row r="25" spans="1:21" ht="14.1" customHeight="1" x14ac:dyDescent="0.25">
      <c r="A25" s="1"/>
      <c r="B25" s="31"/>
      <c r="C25" s="49">
        <v>13</v>
      </c>
      <c r="D25" s="43">
        <v>0</v>
      </c>
      <c r="E25" s="43">
        <v>0</v>
      </c>
      <c r="F25" s="44">
        <f t="shared" si="0"/>
        <v>0</v>
      </c>
      <c r="G25" s="44">
        <f t="shared" si="1"/>
        <v>110.25</v>
      </c>
      <c r="H25" s="45">
        <f>IF(E25&lt;&gt;"",D25*G25/D8,0)</f>
        <v>0</v>
      </c>
      <c r="I25" s="46">
        <f>IF(E25&lt;&gt;"",D25*F25/D8,0)</f>
        <v>0</v>
      </c>
      <c r="J25" s="10"/>
      <c r="K25" s="72">
        <f>K24+D8/20</f>
        <v>66.15000000000002</v>
      </c>
      <c r="L25" s="47">
        <f>(v_conc(H13,D13,K25,F13,D8)+v_conc(H14,D14,K25,F14,D8)+v_conc(H15,D15,K25,F15,D8)+v_conc(H16,D16,K25,F16,D8)+v_conc(H17,D17,K25,F17,D8)+v_conc(H18,D18,K25,F18,D8)+v_conc(H19,D19,K25,F19,D8)+v_conc(H20,D20,K25,F20,D8)+v_conc(H21,D21,K25,F21,D8)+v_conc(H22,D22,K25,F22,D8)+v_conc(H23,D23,K25,F23,D8)+v_conc(H24,D24,K25,F24,D8)+v_conc(H25,D25,K25,F25,D8)+v_conc(H26,D26,K25,F26,D8)+v_conc(H27,D27,K25,F27,D8)+v_conc(H28,D28,K25,F28,D8)+v_conc(H29,D29,K25,F29,D8)+v_conc(H30,D30,K25,F30,D8)+v_conc(H31,D31,K25,F31,D8)+v_conc(H32,D32,K25,F32,D8))</f>
        <v>-24.952380952380953</v>
      </c>
      <c r="M25" s="47">
        <f>(m_conc(H13,D13,K25,F13,D8)+m_conc(H14,D14,K25,F14,D8)+m_conc(H15,D15,K25,F15,D8)+m_conc(H16,D16,K25,F16,D8)+m_conc(H17,D17,K25,F17,D8)+m_conc(H18,D18,K25,F18,D8)+m_conc(H19,D19,K25,F19,D8)+m_conc(H20,D20,K25,F20,D8)+m_conc(H21,D21,K25,F21,D8)+m_conc(H22,D22,K25,F22,D8)+m_conc(H23,D23,K25,F23,D8)+m_conc(H24,D24,K25,F24,D8)+m_conc(H25,D25,K25,F25,D8)+m_conc(H26,D26,K25,F26,D8)+m_conc(H27,D27,K25,F27,D8)+m_conc(H28,D28,K25,F28,D8)+m_conc(H29,D29,K25,F29,D8)+m_conc(H30,D30,K25,F30,D8)+m_conc(H31,D31,K25,F31,D8)+m_conc(H32,D32,K25,F32,D8))</f>
        <v>1429.3999999999996</v>
      </c>
      <c r="N25" s="48">
        <f>(y_conc(H13,D13,K25,F13,D8)+y_conc(H14,D14,K25,F14,D8)+y_conc(H15,D15,K25,F15,D8)+y_conc(H16,D16,K25,F16,D8)+y_conc(H17,D17,K25,F17,D8)+y_conc(H18,D18,K25,F18,D8)+y_conc(H19,D19,K25,F19,D8)+y_conc(H20,D20,K25,F20,D8)+y_conc(H21,D21,K25,F21,D8)+y_conc(H22,D22,K25,F22,D8)+y_conc(H23,D23,K25,F23,D8)+y_conc(H24,D24,K25,F24,D8)+y_conc(H25,D25,K25,F25,D8)+y_conc(H26,D26,K25,F26,D8)+y_conc(H27,D27,K25,F27,D8)+y_conc(H28,D28,K25,F28,D8)+y_conc(H29,D29,K25,F29,D8)+y_conc(H30,D30,K25,F30,D8)+y_conc(H31,D31,K25,F31,D8)+y_conc(H32,D32,K25,F32,D8))/D9/D10*12</f>
        <v>-0.27149494597807577</v>
      </c>
      <c r="O25" s="10"/>
      <c r="P25" s="34"/>
      <c r="Q25" s="34"/>
      <c r="R25" s="34"/>
      <c r="S25" s="34"/>
      <c r="T25" s="34"/>
      <c r="U25" s="35"/>
    </row>
    <row r="26" spans="1:21" ht="14.1" customHeight="1" x14ac:dyDescent="0.25">
      <c r="A26" s="1"/>
      <c r="B26" s="31"/>
      <c r="C26" s="49">
        <v>14</v>
      </c>
      <c r="D26" s="43">
        <v>0</v>
      </c>
      <c r="E26" s="43">
        <v>0</v>
      </c>
      <c r="F26" s="44">
        <f t="shared" si="0"/>
        <v>0</v>
      </c>
      <c r="G26" s="44">
        <f t="shared" si="1"/>
        <v>110.25</v>
      </c>
      <c r="H26" s="45">
        <f>IF(E26&lt;&gt;"",D26*G26/D8,0)</f>
        <v>0</v>
      </c>
      <c r="I26" s="46">
        <f>IF(E26&lt;&gt;"",D26*F26/D8,0)</f>
        <v>0</v>
      </c>
      <c r="J26" s="10"/>
      <c r="K26" s="72">
        <f>K25+D8/20</f>
        <v>71.662500000000023</v>
      </c>
      <c r="L26" s="47">
        <f>(v_conc(H13,D13,K26,F13,D8)+v_conc(H14,D14,K26,F14,D8)+v_conc(H15,D15,K26,F15,D8)+v_conc(H16,D16,K26,F16,D8)+v_conc(H17,D17,K26,F17,D8)+v_conc(H18,D18,K26,F18,D8)+v_conc(H19,D19,K26,F19,D8)+v_conc(H20,D20,K26,F20,D8)+v_conc(H21,D21,K26,F21,D8)+v_conc(H22,D22,K26,F22,D8)+v_conc(H23,D23,K26,F23,D8)+v_conc(H24,D24,K26,F24,D8)+v_conc(H25,D25,K26,F25,D8)+v_conc(H26,D26,K26,F26,D8)+v_conc(H27,D27,K26,F27,D8)+v_conc(H28,D28,K26,F28,D8)+v_conc(H29,D29,K26,F29,D8)+v_conc(H30,D30,K26,F30,D8)+v_conc(H31,D31,K26,F31,D8)+v_conc(H32,D32,K26,F32,D8))</f>
        <v>-32.952380952380949</v>
      </c>
      <c r="M26" s="47">
        <f>(m_conc(H13,D13,K26,F13,D8)+m_conc(H14,D14,K26,F14,D8)+m_conc(H15,D15,K26,F15,D8)+m_conc(H16,D16,K26,F16,D8)+m_conc(H17,D17,K26,F17,D8)+m_conc(H18,D18,K26,F18,D8)+m_conc(H19,D19,K26,F19,D8)+m_conc(H20,D20,K26,F20,D8)+m_conc(H21,D21,K26,F21,D8)+m_conc(H22,D22,K26,F22,D8)+m_conc(H23,D23,K26,F23,D8)+m_conc(H24,D24,K26,F24,D8)+m_conc(H25,D25,K26,F25,D8)+m_conc(H26,D26,K26,F26,D8)+m_conc(H27,D27,K26,F27,D8)+m_conc(H28,D28,K26,F28,D8)+m_conc(H29,D29,K26,F29,D8)+m_conc(H30,D30,K26,F30,D8)+m_conc(H31,D31,K26,F31,D8)+m_conc(H32,D32,K26,F32,D8))</f>
        <v>1271.5499999999993</v>
      </c>
      <c r="N26" s="48">
        <f>(y_conc(H13,D13,K26,F13,D8)+y_conc(H14,D14,K26,F14,D8)+y_conc(H15,D15,K26,F15,D8)+y_conc(H16,D16,K26,F16,D8)+y_conc(H17,D17,K26,F17,D8)+y_conc(H18,D18,K26,F18,D8)+y_conc(H19,D19,K26,F19,D8)+y_conc(H20,D20,K26,F20,D8)+y_conc(H21,D21,K26,F21,D8)+y_conc(H22,D22,K26,F22,D8)+y_conc(H23,D23,K26,F23,D8)+y_conc(H24,D24,K26,F24,D8)+y_conc(H25,D25,K26,F25,D8)+y_conc(H26,D26,K26,F26,D8)+y_conc(H27,D27,K26,F27,D8)+y_conc(H28,D28,K26,F28,D8)+y_conc(H29,D29,K26,F29,D8)+y_conc(H30,D30,K26,F30,D8)+y_conc(H31,D31,K26,F31,D8)+y_conc(H32,D32,K26,F32,D8))/D9/D10*12</f>
        <v>-0.25219615582991084</v>
      </c>
      <c r="O26" s="10"/>
      <c r="P26" s="34"/>
      <c r="Q26" s="34"/>
      <c r="R26" s="34"/>
      <c r="S26" s="34"/>
      <c r="T26" s="34"/>
      <c r="U26" s="35"/>
    </row>
    <row r="27" spans="1:21" ht="14.1" customHeight="1" x14ac:dyDescent="0.25">
      <c r="A27" s="1"/>
      <c r="B27" s="31"/>
      <c r="C27" s="49">
        <v>15</v>
      </c>
      <c r="D27" s="43">
        <v>0</v>
      </c>
      <c r="E27" s="43">
        <v>0</v>
      </c>
      <c r="F27" s="44">
        <f t="shared" si="0"/>
        <v>0</v>
      </c>
      <c r="G27" s="44">
        <f t="shared" si="1"/>
        <v>110.25</v>
      </c>
      <c r="H27" s="45">
        <f>IF(E27&lt;&gt;"",D27*G27/D8,0)</f>
        <v>0</v>
      </c>
      <c r="I27" s="46">
        <f>IF(E27&lt;&gt;"",D27*F27/D8,0)</f>
        <v>0</v>
      </c>
      <c r="J27" s="10"/>
      <c r="K27" s="72">
        <f>K26+D8/20</f>
        <v>77.175000000000026</v>
      </c>
      <c r="L27" s="47">
        <f>(v_conc(H13,D13,K27,F13,D8)+v_conc(H14,D14,K27,F14,D8)+v_conc(H15,D15,K27,F15,D8)+v_conc(H16,D16,K27,F16,D8)+v_conc(H17,D17,K27,F17,D8)+v_conc(H18,D18,K27,F18,D8)+v_conc(H19,D19,K27,F19,D8)+v_conc(H20,D20,K27,F20,D8)+v_conc(H21,D21,K27,F21,D8)+v_conc(H22,D22,K27,F22,D8)+v_conc(H23,D23,K27,F23,D8)+v_conc(H24,D24,K27,F24,D8)+v_conc(H25,D25,K27,F25,D8)+v_conc(H26,D26,K27,F26,D8)+v_conc(H27,D27,K27,F27,D8)+v_conc(H28,D28,K27,F28,D8)+v_conc(H29,D29,K27,F29,D8)+v_conc(H30,D30,K27,F30,D8)+v_conc(H31,D31,K27,F31,D8)+v_conc(H32,D32,K27,F32,D8))</f>
        <v>-32.952380952380949</v>
      </c>
      <c r="M27" s="47">
        <f>(m_conc(H13,D13,K27,F13,D8)+m_conc(H14,D14,K27,F14,D8)+m_conc(H15,D15,K27,F15,D8)+m_conc(H16,D16,K27,F16,D8)+m_conc(H17,D17,K27,F17,D8)+m_conc(H18,D18,K27,F18,D8)+m_conc(H19,D19,K27,F19,D8)+m_conc(H20,D20,K27,F20,D8)+m_conc(H21,D21,K27,F21,D8)+m_conc(H22,D22,K27,F22,D8)+m_conc(H23,D23,K27,F23,D8)+m_conc(H24,D24,K27,F24,D8)+m_conc(H25,D25,K27,F25,D8)+m_conc(H26,D26,K27,F26,D8)+m_conc(H27,D27,K27,F27,D8)+m_conc(H28,D28,K27,F28,D8)+m_conc(H29,D29,K27,F29,D8)+m_conc(H30,D30,K27,F30,D8)+m_conc(H31,D31,K27,F31,D8)+m_conc(H32,D32,K27,F32,D8))</f>
        <v>1089.8999999999992</v>
      </c>
      <c r="N27" s="48">
        <f>(y_conc(H13,D13,K27,F13,D8)+y_conc(H14,D14,K27,F14,D8)+y_conc(H15,D15,K27,F15,D8)+y_conc(H16,D16,K27,F16,D8)+y_conc(H17,D17,K27,F17,D8)+y_conc(H18,D18,K27,F18,D8)+y_conc(H19,D19,K27,F19,D8)+y_conc(H20,D20,K27,F20,D8)+y_conc(H21,D21,K27,F21,D8)+y_conc(H22,D22,K27,F22,D8)+y_conc(H23,D23,K27,F23,D8)+y_conc(H24,D24,K27,F24,D8)+y_conc(H25,D25,K27,F25,D8)+y_conc(H26,D26,K27,F26,D8)+y_conc(H27,D27,K27,F27,D8)+y_conc(H28,D28,K27,F28,D8)+y_conc(H29,D29,K27,F29,D8)+y_conc(H30,D30,K27,F30,D8)+y_conc(H31,D31,K27,F31,D8)+y_conc(H32,D32,K27,F32,D8))/D9/D10*12</f>
        <v>-0.22704559355342613</v>
      </c>
      <c r="O27" s="10"/>
      <c r="P27" s="34"/>
      <c r="Q27" s="34"/>
      <c r="R27" s="34"/>
      <c r="S27" s="34"/>
      <c r="T27" s="34"/>
      <c r="U27" s="35"/>
    </row>
    <row r="28" spans="1:21" ht="14.1" customHeight="1" x14ac:dyDescent="0.25">
      <c r="A28" s="1"/>
      <c r="B28" s="31"/>
      <c r="C28" s="49">
        <v>16</v>
      </c>
      <c r="D28" s="43">
        <v>0</v>
      </c>
      <c r="E28" s="43">
        <v>0</v>
      </c>
      <c r="F28" s="44">
        <f t="shared" si="0"/>
        <v>0</v>
      </c>
      <c r="G28" s="44">
        <f t="shared" si="1"/>
        <v>110.25</v>
      </c>
      <c r="H28" s="45">
        <f>IF(E28&lt;&gt;"",D28*G28/D8,0)</f>
        <v>0</v>
      </c>
      <c r="I28" s="46">
        <f>IF(E28&lt;&gt;"",D28*F28/D8,0)</f>
        <v>0</v>
      </c>
      <c r="J28" s="10"/>
      <c r="K28" s="72">
        <f>K27+D8/20</f>
        <v>82.687500000000028</v>
      </c>
      <c r="L28" s="47">
        <f>(v_conc(H13,D13,K28,F13,D8)+v_conc(H14,D14,K28,F14,D8)+v_conc(H15,D15,K28,F15,D8)+v_conc(H16,D16,K28,F16,D8)+v_conc(H17,D17,K28,F17,D8)+v_conc(H18,D18,K28,F18,D8)+v_conc(H19,D19,K28,F19,D8)+v_conc(H20,D20,K28,F20,D8)+v_conc(H21,D21,K28,F21,D8)+v_conc(H22,D22,K28,F22,D8)+v_conc(H23,D23,K28,F23,D8)+v_conc(H24,D24,K28,F24,D8)+v_conc(H25,D25,K28,F25,D8)+v_conc(H26,D26,K28,F26,D8)+v_conc(H27,D27,K28,F27,D8)+v_conc(H28,D28,K28,F28,D8)+v_conc(H29,D29,K28,F29,D8)+v_conc(H30,D30,K28,F30,D8)+v_conc(H31,D31,K28,F31,D8)+v_conc(H32,D32,K28,F32,D8))</f>
        <v>-32.952380952380949</v>
      </c>
      <c r="M28" s="47">
        <f>(m_conc(H13,D13,K28,F13,D8)+m_conc(H14,D14,K28,F14,D8)+m_conc(H15,D15,K28,F15,D8)+m_conc(H16,D16,K28,F16,D8)+m_conc(H17,D17,K28,F17,D8)+m_conc(H18,D18,K28,F18,D8)+m_conc(H19,D19,K28,F19,D8)+m_conc(H20,D20,K28,F20,D8)+m_conc(H21,D21,K28,F21,D8)+m_conc(H22,D22,K28,F22,D8)+m_conc(H23,D23,K28,F23,D8)+m_conc(H24,D24,K28,F24,D8)+m_conc(H25,D25,K28,F25,D8)+m_conc(H26,D26,K28,F26,D8)+m_conc(H27,D27,K28,F27,D8)+m_conc(H28,D28,K28,F28,D8)+m_conc(H29,D29,K28,F29,D8)+m_conc(H30,D30,K28,F30,D8)+m_conc(H31,D31,K28,F31,D8)+m_conc(H32,D32,K28,F32,D8))</f>
        <v>908.24999999999909</v>
      </c>
      <c r="N28" s="48">
        <f>(y_conc(H13,D13,K28,F13,D8)+y_conc(H14,D14,K28,F14,D8)+y_conc(H15,D15,K28,F15,D8)+y_conc(H16,D16,K28,F16,D8)+y_conc(H17,D17,K28,F17,D8)+y_conc(H18,D18,K28,F18,D8)+y_conc(H19,D19,K28,F19,D8)+y_conc(H20,D20,K28,F20,D8)+y_conc(H21,D21,K28,F21,D8)+y_conc(H22,D22,K28,F22,D8)+y_conc(H23,D23,K28,F23,D8)+y_conc(H24,D24,K28,F24,D8)+y_conc(H25,D25,K28,F25,D8)+y_conc(H26,D26,K28,F26,D8)+y_conc(H27,D27,K28,F27,D8)+y_conc(H28,D28,K28,F28,D8)+y_conc(H29,D29,K28,F29,D8)+y_conc(H30,D30,K28,F30,D8)+y_conc(H31,D31,K28,F31,D8)+y_conc(H32,D32,K28,F32,D8))/D9/D10*12</f>
        <v>-0.19687466513005009</v>
      </c>
      <c r="O28" s="10"/>
      <c r="P28" s="34"/>
      <c r="Q28" s="34"/>
      <c r="R28" s="34"/>
      <c r="S28" s="34"/>
      <c r="T28" s="34"/>
      <c r="U28" s="35"/>
    </row>
    <row r="29" spans="1:21" ht="14.1" customHeight="1" x14ac:dyDescent="0.25">
      <c r="A29" s="1"/>
      <c r="B29" s="31"/>
      <c r="C29" s="49">
        <v>17</v>
      </c>
      <c r="D29" s="43">
        <v>0</v>
      </c>
      <c r="E29" s="43">
        <v>0</v>
      </c>
      <c r="F29" s="44">
        <f t="shared" si="0"/>
        <v>0</v>
      </c>
      <c r="G29" s="44">
        <f t="shared" si="1"/>
        <v>110.25</v>
      </c>
      <c r="H29" s="45">
        <f>IF(E29&lt;&gt;"",D29*G29/D8,0)</f>
        <v>0</v>
      </c>
      <c r="I29" s="46">
        <f>IF(E29&lt;&gt;"",D29*F29/D8,0)</f>
        <v>0</v>
      </c>
      <c r="J29" s="10"/>
      <c r="K29" s="72">
        <f>K28+D8/20</f>
        <v>88.200000000000031</v>
      </c>
      <c r="L29" s="47">
        <f>(v_conc(H13,D13,K29,F13,D8)+v_conc(H14,D14,K29,F14,D8)+v_conc(H15,D15,K29,F15,D8)+v_conc(H16,D16,K29,F16,D8)+v_conc(H17,D17,K29,F17,D8)+v_conc(H18,D18,K29,F18,D8)+v_conc(H19,D19,K29,F19,D8)+v_conc(H20,D20,K29,F20,D8)+v_conc(H21,D21,K29,F21,D8)+v_conc(H22,D22,K29,F22,D8)+v_conc(H23,D23,K29,F23,D8)+v_conc(H24,D24,K29,F24,D8)+v_conc(H25,D25,K29,F25,D8)+v_conc(H26,D26,K29,F26,D8)+v_conc(H27,D27,K29,F27,D8)+v_conc(H28,D28,K29,F28,D8)+v_conc(H29,D29,K29,F29,D8)+v_conc(H30,D30,K29,F30,D8)+v_conc(H31,D31,K29,F31,D8)+v_conc(H32,D32,K29,F32,D8))</f>
        <v>-32.952380952380949</v>
      </c>
      <c r="M29" s="47">
        <f>(m_conc(H13,D13,K29,F13,D8)+m_conc(H14,D14,K29,F14,D8)+m_conc(H15,D15,K29,F15,D8)+m_conc(H16,D16,K29,F16,D8)+m_conc(H17,D17,K29,F17,D8)+m_conc(H18,D18,K29,F18,D8)+m_conc(H19,D19,K29,F19,D8)+m_conc(H20,D20,K29,F20,D8)+m_conc(H21,D21,K29,F21,D8)+m_conc(H22,D22,K29,F22,D8)+m_conc(H23,D23,K29,F23,D8)+m_conc(H24,D24,K29,F24,D8)+m_conc(H25,D25,K29,F25,D8)+m_conc(H26,D26,K29,F26,D8)+m_conc(H27,D27,K29,F27,D8)+m_conc(H28,D28,K29,F28,D8)+m_conc(H29,D29,K29,F29,D8)+m_conc(H30,D30,K29,F30,D8)+m_conc(H31,D31,K29,F31,D8)+m_conc(H32,D32,K29,F32,D8))</f>
        <v>726.599999999999</v>
      </c>
      <c r="N29" s="48">
        <f>(y_conc(H13,D13,K29,F13,D8)+y_conc(H14,D14,K29,F14,D8)+y_conc(H15,D15,K29,F15,D8)+y_conc(H16,D16,K29,F16,D8)+y_conc(H17,D17,K29,F17,D8)+y_conc(H18,D18,K29,F18,D8)+y_conc(H19,D19,K29,F19,D8)+y_conc(H20,D20,K29,F20,D8)+y_conc(H21,D21,K29,F21,D8)+y_conc(H22,D22,K29,F22,D8)+y_conc(H23,D23,K29,F23,D8)+y_conc(H24,D24,K29,F24,D8)+y_conc(H25,D25,K29,F25,D8)+y_conc(H26,D26,K29,F26,D8)+y_conc(H27,D27,K29,F27,D8)+y_conc(H28,D28,K29,F28,D8)+y_conc(H29,D29,K29,F29,D8)+y_conc(H30,D30,K29,F30,D8)+y_conc(H31,D31,K29,F31,D8)+y_conc(H32,D32,K29,F32,D8))/D9/D10*12</f>
        <v>-0.16252009825093133</v>
      </c>
      <c r="O29" s="10"/>
      <c r="P29" s="34"/>
      <c r="Q29" s="34"/>
      <c r="R29" s="34"/>
      <c r="S29" s="34"/>
      <c r="T29" s="34"/>
      <c r="U29" s="35"/>
    </row>
    <row r="30" spans="1:21" ht="14.1" customHeight="1" x14ac:dyDescent="0.25">
      <c r="A30" s="1"/>
      <c r="B30" s="31"/>
      <c r="C30" s="49">
        <v>18</v>
      </c>
      <c r="D30" s="43">
        <v>0</v>
      </c>
      <c r="E30" s="43">
        <v>0</v>
      </c>
      <c r="F30" s="44">
        <f t="shared" si="0"/>
        <v>0</v>
      </c>
      <c r="G30" s="44">
        <f t="shared" si="1"/>
        <v>110.25</v>
      </c>
      <c r="H30" s="45">
        <f>IF(E30&lt;&gt;"",D30*G30/D8,0)</f>
        <v>0</v>
      </c>
      <c r="I30" s="46">
        <f>IF(E30&lt;&gt;"",D30*F30/D8,0)</f>
        <v>0</v>
      </c>
      <c r="J30" s="10"/>
      <c r="K30" s="72">
        <f>K29+D8/20</f>
        <v>93.712500000000034</v>
      </c>
      <c r="L30" s="47">
        <f>(v_conc(H13,D13,K30,F13,D8)+v_conc(H14,D14,K30,F14,D8)+v_conc(H15,D15,K30,F15,D8)+v_conc(H16,D16,K30,F16,D8)+v_conc(H17,D17,K30,F17,D8)+v_conc(H18,D18,K30,F18,D8)+v_conc(H19,D19,K30,F19,D8)+v_conc(H20,D20,K30,F20,D8)+v_conc(H21,D21,K30,F21,D8)+v_conc(H22,D22,K30,F22,D8)+v_conc(H23,D23,K30,F23,D8)+v_conc(H24,D24,K30,F24,D8)+v_conc(H25,D25,K30,F25,D8)+v_conc(H26,D26,K30,F26,D8)+v_conc(H27,D27,K30,F27,D8)+v_conc(H28,D28,K30,F28,D8)+v_conc(H29,D29,K30,F29,D8)+v_conc(H30,D30,K30,F30,D8)+v_conc(H31,D31,K30,F31,D8)+v_conc(H32,D32,K30,F32,D8))</f>
        <v>-32.952380952380949</v>
      </c>
      <c r="M30" s="47">
        <f>(m_conc(H13,D13,K30,F13,D8)+m_conc(H14,D14,K30,F14,D8)+m_conc(H15,D15,K30,F15,D8)+m_conc(H16,D16,K30,F16,D8)+m_conc(H17,D17,K30,F17,D8)+m_conc(H18,D18,K30,F18,D8)+m_conc(H19,D19,K30,F19,D8)+m_conc(H20,D20,K30,F20,D8)+m_conc(H21,D21,K30,F21,D8)+m_conc(H22,D22,K30,F22,D8)+m_conc(H23,D23,K30,F23,D8)+m_conc(H24,D24,K30,F24,D8)+m_conc(H25,D25,K30,F25,D8)+m_conc(H26,D26,K30,F26,D8)+m_conc(H27,D27,K30,F27,D8)+m_conc(H28,D28,K30,F28,D8)+m_conc(H29,D29,K30,F29,D8)+m_conc(H30,D30,K30,F30,D8)+m_conc(H31,D31,K30,F31,D8)+m_conc(H32,D32,K30,F32,D8))</f>
        <v>544.94999999999891</v>
      </c>
      <c r="N30" s="48">
        <f>(y_conc(H13,D13,K30,F13,D8)+y_conc(H14,D14,K30,F14,D8)+y_conc(H15,D15,K30,F15,D8)+y_conc(H16,D16,K30,F16,D8)+y_conc(H17,D17,K30,F17,D8)+y_conc(H18,D18,K30,F18,D8)+y_conc(H19,D19,K30,F19,D8)+y_conc(H20,D20,K30,F20,D8)+y_conc(H21,D21,K30,F21,D8)+y_conc(H22,D22,K30,F22,D8)+y_conc(H23,D23,K30,F23,D8)+y_conc(H24,D24,K30,F24,D8)+y_conc(H25,D25,K30,F25,D8)+y_conc(H26,D26,K30,F26,D8)+y_conc(H27,D27,K30,F27,D8)+y_conc(H28,D28,K30,F28,D8)+y_conc(H29,D29,K30,F29,D8)+y_conc(H30,D30,K30,F30,D8)+y_conc(H31,D31,K30,F31,D8)+y_conc(H32,D32,K30,F32,D8))/D9/D10*12</f>
        <v>-0.12481862060721832</v>
      </c>
      <c r="O30" s="10"/>
      <c r="P30" s="34"/>
      <c r="Q30" s="34"/>
      <c r="R30" s="34"/>
      <c r="S30" s="34"/>
      <c r="T30" s="34"/>
      <c r="U30" s="35"/>
    </row>
    <row r="31" spans="1:21" ht="14.1" customHeight="1" x14ac:dyDescent="0.25">
      <c r="A31" s="1"/>
      <c r="B31" s="31"/>
      <c r="C31" s="49">
        <v>19</v>
      </c>
      <c r="D31" s="43">
        <v>0</v>
      </c>
      <c r="E31" s="43">
        <v>0</v>
      </c>
      <c r="F31" s="44">
        <f t="shared" si="0"/>
        <v>0</v>
      </c>
      <c r="G31" s="44">
        <f t="shared" si="1"/>
        <v>110.25</v>
      </c>
      <c r="H31" s="45">
        <f>IF(E31&lt;&gt;"",D31*G31/D8,0)</f>
        <v>0</v>
      </c>
      <c r="I31" s="46">
        <f>IF(E31&lt;&gt;"",D31*F31/D8,0)</f>
        <v>0</v>
      </c>
      <c r="J31" s="10"/>
      <c r="K31" s="72">
        <f>K30+D8/20</f>
        <v>99.225000000000037</v>
      </c>
      <c r="L31" s="47">
        <f>(v_conc(H13,D13,K31,F13,D8)+v_conc(H14,D14,K31,F14,D8)+v_conc(H15,D15,K31,F15,D8)+v_conc(H16,D16,K31,F16,D8)+v_conc(H17,D17,K31,F17,D8)+v_conc(H18,D18,K31,F18,D8)+v_conc(H19,D19,K31,F19,D8)+v_conc(H20,D20,K31,F20,D8)+v_conc(H21,D21,K31,F21,D8)+v_conc(H22,D22,K31,F22,D8)+v_conc(H23,D23,K31,F23,D8)+v_conc(H24,D24,K31,F24,D8)+v_conc(H25,D25,K31,F25,D8)+v_conc(H26,D26,K31,F26,D8)+v_conc(H27,D27,K31,F27,D8)+v_conc(H28,D28,K31,F28,D8)+v_conc(H29,D29,K31,F29,D8)+v_conc(H30,D30,K31,F30,D8)+v_conc(H31,D31,K31,F31,D8)+v_conc(H32,D32,K31,F32,D8))</f>
        <v>-32.952380952380949</v>
      </c>
      <c r="M31" s="47">
        <f>(m_conc(H13,D13,K31,F13,D8)+m_conc(H14,D14,K31,F14,D8)+m_conc(H15,D15,K31,F15,D8)+m_conc(H16,D16,K31,F16,D8)+m_conc(H17,D17,K31,F17,D8)+m_conc(H18,D18,K31,F18,D8)+m_conc(H19,D19,K31,F19,D8)+m_conc(H20,D20,K31,F20,D8)+m_conc(H21,D21,K31,F21,D8)+m_conc(H22,D22,K31,F22,D8)+m_conc(H23,D23,K31,F23,D8)+m_conc(H24,D24,K31,F24,D8)+m_conc(H25,D25,K31,F25,D8)+m_conc(H26,D26,K31,F26,D8)+m_conc(H27,D27,K31,F27,D8)+m_conc(H28,D28,K31,F28,D8)+m_conc(H29,D29,K31,F29,D8)+m_conc(H30,D30,K31,F30,D8)+m_conc(H31,D31,K31,F31,D8)+m_conc(H32,D32,K31,F32,D8))</f>
        <v>363.29999999999882</v>
      </c>
      <c r="N31" s="48">
        <f>(y_conc(H13,D13,K31,F13,D8)+y_conc(H14,D14,K31,F14,D8)+y_conc(H15,D15,K31,F15,D8)+y_conc(H16,D16,K31,F16,D8)+y_conc(H17,D17,K31,F17,D8)+y_conc(H18,D18,K31,F18,D8)+y_conc(H19,D19,K31,F19,D8)+y_conc(H20,D20,K31,F20,D8)+y_conc(H21,D21,K31,F21,D8)+y_conc(H22,D22,K31,F22,D8)+y_conc(H23,D23,K31,F23,D8)+y_conc(H24,D24,K31,F24,D8)+y_conc(H25,D25,K31,F25,D8)+y_conc(H26,D26,K31,F26,D8)+y_conc(H27,D27,K31,F27,D8)+y_conc(H28,D28,K31,F28,D8)+y_conc(H29,D29,K31,F29,D8)+y_conc(H30,D30,K31,F30,D8)+y_conc(H31,D31,K31,F31,D8)+y_conc(H32,D32,K31,F32,D8))/D9/D10*12</f>
        <v>-8.4606959890059605E-2</v>
      </c>
      <c r="O31" s="10"/>
      <c r="P31" s="34"/>
      <c r="Q31" s="34"/>
      <c r="R31" s="34"/>
      <c r="S31" s="34"/>
      <c r="T31" s="34"/>
      <c r="U31" s="35"/>
    </row>
    <row r="32" spans="1:21" ht="14.1" customHeight="1" x14ac:dyDescent="0.25">
      <c r="A32" s="1"/>
      <c r="B32" s="31"/>
      <c r="C32" s="50">
        <v>20</v>
      </c>
      <c r="D32" s="51">
        <v>0</v>
      </c>
      <c r="E32" s="51">
        <v>0</v>
      </c>
      <c r="F32" s="52">
        <f t="shared" si="0"/>
        <v>0</v>
      </c>
      <c r="G32" s="52">
        <f t="shared" si="1"/>
        <v>110.25</v>
      </c>
      <c r="H32" s="53">
        <f>IF(E32&lt;&gt;"",D32*G32/D8,0)</f>
        <v>0</v>
      </c>
      <c r="I32" s="54">
        <f>IF(E32&lt;&gt;"",D32*F32/D8,0)</f>
        <v>0</v>
      </c>
      <c r="J32" s="10"/>
      <c r="K32" s="72">
        <f>K31+D8/20</f>
        <v>104.73750000000004</v>
      </c>
      <c r="L32" s="47">
        <f>(v_conc(H13,D13,K32,F13,D8)+v_conc(H14,D14,K32,F14,D8)+v_conc(H15,D15,K32,F15,D8)+v_conc(H16,D16,K32,F16,D8)+v_conc(H17,D17,K32,F17,D8)+v_conc(H18,D18,K32,F18,D8)+v_conc(H19,D19,K32,F19,D8)+v_conc(H20,D20,K32,F20,D8)+v_conc(H21,D21,K32,F21,D8)+v_conc(H22,D22,K32,F22,D8)+v_conc(H23,D23,K32,F23,D8)+v_conc(H24,D24,K32,F24,D8)+v_conc(H25,D25,K32,F25,D8)+v_conc(H26,D26,K32,F26,D8)+v_conc(H27,D27,K32,F27,D8)+v_conc(H28,D28,K32,F28,D8)+v_conc(H29,D29,K32,F29,D8)+v_conc(H30,D30,K32,F30,D8)+v_conc(H31,D31,K32,F31,D8)+v_conc(H32,D32,K32,F32,D8))</f>
        <v>-32.952380952380949</v>
      </c>
      <c r="M32" s="47">
        <f>(m_conc(H13,D13,K32,F13,D8)+m_conc(H14,D14,K32,F14,D8)+m_conc(H15,D15,K32,F15,D8)+m_conc(H16,D16,K32,F16,D8)+m_conc(H17,D17,K32,F17,D8)+m_conc(H18,D18,K32,F18,D8)+m_conc(H19,D19,K32,F19,D8)+m_conc(H20,D20,K32,F20,D8)+m_conc(H21,D21,K32,F21,D8)+m_conc(H22,D22,K32,F22,D8)+m_conc(H23,D23,K32,F23,D8)+m_conc(H24,D24,K32,F24,D8)+m_conc(H25,D25,K32,F25,D8)+m_conc(H26,D26,K32,F26,D8)+m_conc(H27,D27,K32,F27,D8)+m_conc(H28,D28,K32,F28,D8)+m_conc(H29,D29,K32,F29,D8)+m_conc(H30,D30,K32,F30,D8)+m_conc(H31,D31,K32,F31,D8)+m_conc(H32,D32,K32,F32,D8))</f>
        <v>181.64999999999867</v>
      </c>
      <c r="N32" s="48">
        <f>(y_conc(H13,D13,K32,F13,D8)+y_conc(H14,D14,K32,F14,D8)+y_conc(H15,D15,K32,F15,D8)+y_conc(H16,D16,K32,F16,D8)+y_conc(H17,D17,K32,F17,D8)+y_conc(H18,D18,K32,F18,D8)+y_conc(H19,D19,K32,F19,D8)+y_conc(H20,D20,K32,F20,D8)+y_conc(H21,D21,K32,F21,D8)+y_conc(H22,D22,K32,F22,D8)+y_conc(H23,D23,K32,F23,D8)+y_conc(H24,D24,K32,F24,D8)+y_conc(H25,D25,K32,F25,D8)+y_conc(H26,D26,K32,F26,D8)+y_conc(H27,D27,K32,F27,D8)+y_conc(H28,D28,K32,F28,D8)+y_conc(H29,D29,K32,F29,D8)+y_conc(H30,D30,K32,F30,D8)+y_conc(H31,D31,K32,F31,D8)+y_conc(H32,D32,K32,F32,D8))/D9/D10*12</f>
        <v>-4.2721843790603842E-2</v>
      </c>
      <c r="O32" s="10"/>
      <c r="P32" s="34"/>
      <c r="Q32" s="34"/>
      <c r="R32" s="34"/>
      <c r="S32" s="34"/>
      <c r="T32" s="34"/>
      <c r="U32" s="35"/>
    </row>
    <row r="33" spans="1:21" ht="14.1" customHeight="1" x14ac:dyDescent="0.25">
      <c r="A33" s="1"/>
      <c r="B33" s="31"/>
      <c r="C33" s="10"/>
      <c r="D33" s="10"/>
      <c r="E33" s="10"/>
      <c r="F33" s="10"/>
      <c r="G33" s="10"/>
      <c r="H33" s="10"/>
      <c r="I33" s="10"/>
      <c r="J33" s="10"/>
      <c r="K33" s="74">
        <f>K32+D8/20</f>
        <v>110.25000000000004</v>
      </c>
      <c r="L33" s="55">
        <f>I35</f>
        <v>32.952380952380949</v>
      </c>
      <c r="M33" s="55">
        <f>(m_conc(H13,D13,K33,F13,D8)+m_conc(H14,D14,K33,F14,D8)+m_conc(H15,D15,K33,F15,D8)+m_conc(H16,D16,K33,F16,D8)+m_conc(H17,D17,K33,F17,D8)+m_conc(H18,D18,K33,F18,D8)+m_conc(H19,D19,K33,F19,D8)+m_conc(H20,D20,K33,F20,D8)+m_conc(H21,D21,K33,F21,D8)+m_conc(H22,D22,K33,F22,D8)+m_conc(H23,D23,K33,F23,D8)+m_conc(H24,D24,K33,F24,D8)+m_conc(H25,D25,K33,F25,D8)+m_conc(H26,D26,K33,F26,D8)+m_conc(H27,D27,K33,F27,D8)+m_conc(H28,D28,K33,F28,D8)+m_conc(H29,D29,K33,F29,D8)+m_conc(H30,D30,K33,F30,D8)+m_conc(H31,D31,K33,F31,D8)+m_conc(H32,D32,K33,F32,D8))</f>
        <v>-1.4235279621743757E-12</v>
      </c>
      <c r="N33" s="56">
        <f>(y_conc(H13,D13,K33,F13,D8)+y_conc(H14,D14,K33,F14,D8)+y_conc(H15,D15,K33,F15,D8)+y_conc(H16,D16,K33,F16,D8)+y_conc(H17,D17,K33,F17,D8)+y_conc(H18,D18,K33,F18,D8)+y_conc(H19,D19,K33,F19,D8)+y_conc(H20,D20,K33,F20,D8)+y_conc(H21,D21,K33,F21,D8)+y_conc(H22,D22,K33,F22,D8)+y_conc(H23,D23,K33,F23,D8)+y_conc(H24,D24,K33,F24,D8)+y_conc(H25,D25,K33,F25,D8)+y_conc(H26,D26,K33,F26,D8)+y_conc(H27,D27,K33,F27,D8)+y_conc(H28,D28,K33,F28,D8)+y_conc(H29,D29,K33,F29,D8)+y_conc(H30,D30,K33,F30,D8)+y_conc(H31,D31,K33,F31,D8)+y_conc(H32,D32,K33,F32,D8))/D9/D10*12</f>
        <v>4.3715034977972662E-16</v>
      </c>
      <c r="O33" s="10"/>
      <c r="P33" s="34"/>
      <c r="Q33" s="34"/>
      <c r="R33" s="34"/>
      <c r="S33" s="34"/>
      <c r="T33" s="34"/>
      <c r="U33" s="35"/>
    </row>
    <row r="34" spans="1:21" ht="14.1" customHeight="1" thickBot="1" x14ac:dyDescent="0.3">
      <c r="A34" s="1"/>
      <c r="B34" s="31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34"/>
      <c r="Q34" s="34"/>
      <c r="R34" s="34"/>
      <c r="S34" s="34"/>
      <c r="T34" s="34"/>
      <c r="U34" s="35"/>
    </row>
    <row r="35" spans="1:21" ht="14.1" customHeight="1" thickBot="1" x14ac:dyDescent="0.3">
      <c r="A35" s="1"/>
      <c r="B35" s="31"/>
      <c r="C35" s="10"/>
      <c r="D35" s="10"/>
      <c r="E35" s="10"/>
      <c r="F35" s="10"/>
      <c r="G35" s="68" t="s">
        <v>22</v>
      </c>
      <c r="H35" s="65">
        <f>SUM(H13:H32)</f>
        <v>39.047619047619051</v>
      </c>
      <c r="I35" s="66">
        <f>SUM(I13:I32)</f>
        <v>32.952380952380949</v>
      </c>
      <c r="J35" s="10"/>
      <c r="K35" s="68" t="s">
        <v>23</v>
      </c>
      <c r="L35" s="67">
        <f>MAX(ABS(MIN(L13:L33)),MAX(L13:L33))</f>
        <v>39.047619047619051</v>
      </c>
      <c r="M35" s="67">
        <f>MAX(M13:M33)</f>
        <v>1704.4999999999995</v>
      </c>
      <c r="N35" s="69">
        <f>MIN(N13:N33)</f>
        <v>-0.28971296185994189</v>
      </c>
      <c r="O35" s="10"/>
      <c r="P35" s="34"/>
      <c r="Q35" s="34"/>
      <c r="R35" s="34"/>
      <c r="S35" s="34"/>
      <c r="T35" s="34"/>
      <c r="U35" s="35"/>
    </row>
    <row r="36" spans="1:21" ht="14.1" customHeight="1" x14ac:dyDescent="0.25">
      <c r="A36" s="1"/>
      <c r="B36" s="31"/>
      <c r="C36" s="10"/>
      <c r="D36" s="10"/>
      <c r="E36" s="10"/>
      <c r="F36" s="10"/>
      <c r="G36" s="10"/>
      <c r="H36" s="44"/>
      <c r="I36" s="10"/>
      <c r="J36" s="10"/>
      <c r="K36" s="10"/>
      <c r="L36" s="10"/>
      <c r="M36" s="32"/>
      <c r="N36" s="10"/>
      <c r="O36" s="10"/>
      <c r="P36" s="34"/>
      <c r="Q36" s="34"/>
      <c r="R36" s="34"/>
      <c r="S36" s="34"/>
      <c r="T36" s="34"/>
      <c r="U36" s="35"/>
    </row>
    <row r="37" spans="1:21" ht="14.1" customHeight="1" x14ac:dyDescent="0.25">
      <c r="A37" s="1"/>
      <c r="B37" s="31"/>
      <c r="C37" s="10"/>
      <c r="D37" s="10"/>
      <c r="E37" s="10"/>
      <c r="F37" s="10"/>
      <c r="G37" s="10"/>
      <c r="H37" s="44"/>
      <c r="I37" s="45"/>
      <c r="J37" s="10"/>
      <c r="K37" s="10"/>
      <c r="L37" s="10">
        <f>L23/2</f>
        <v>-12.476190476190476</v>
      </c>
      <c r="M37" s="10">
        <f>M23/2</f>
        <v>852.24999999999977</v>
      </c>
      <c r="N37" s="10"/>
      <c r="O37" s="10"/>
      <c r="P37" s="34"/>
      <c r="Q37" s="34"/>
      <c r="R37" s="34"/>
      <c r="S37" s="34"/>
      <c r="T37" s="34"/>
      <c r="U37" s="35"/>
    </row>
    <row r="38" spans="1:21" ht="14.1" customHeight="1" thickBot="1" x14ac:dyDescent="0.3">
      <c r="A38" s="1"/>
      <c r="B38" s="58"/>
      <c r="C38" s="23"/>
      <c r="D38" s="23"/>
      <c r="E38" s="23"/>
      <c r="F38" s="23"/>
      <c r="G38" s="23"/>
      <c r="H38" s="59"/>
      <c r="I38" s="60"/>
      <c r="J38" s="23"/>
      <c r="K38" s="23"/>
      <c r="L38" s="23"/>
      <c r="M38" s="61"/>
      <c r="N38" s="57"/>
      <c r="O38" s="23"/>
      <c r="P38" s="62"/>
      <c r="Q38" s="62"/>
      <c r="R38" s="62"/>
      <c r="S38" s="62"/>
      <c r="T38" s="62"/>
      <c r="U38" s="63"/>
    </row>
    <row r="39" spans="1:21" x14ac:dyDescent="0.25">
      <c r="A39" s="1"/>
      <c r="B39" s="1"/>
      <c r="H39" s="44"/>
      <c r="I39" s="45"/>
      <c r="M39" s="10"/>
      <c r="N39" s="64"/>
      <c r="P39" s="1"/>
      <c r="Q39" s="1"/>
      <c r="R39" s="1"/>
      <c r="S39" s="1"/>
      <c r="T39" s="1"/>
      <c r="U39" s="1"/>
    </row>
  </sheetData>
  <mergeCells count="1">
    <mergeCell ref="L6:M6"/>
  </mergeCells>
  <pageMargins left="0.7" right="0.7" top="0.75" bottom="0.75" header="0.3" footer="0.3"/>
  <pageSetup scale="4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Whitten</dc:creator>
  <cp:lastModifiedBy>Michael Whitten</cp:lastModifiedBy>
  <dcterms:created xsi:type="dcterms:W3CDTF">2018-06-13T20:51:19Z</dcterms:created>
  <dcterms:modified xsi:type="dcterms:W3CDTF">2019-08-16T13:46:11Z</dcterms:modified>
</cp:coreProperties>
</file>