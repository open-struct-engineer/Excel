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6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54D5AFFA-EA28-4C78-BCEB-D5FFD6CA47E0}" xr6:coauthVersionLast="45" xr6:coauthVersionMax="45" xr10:uidLastSave="{00000000-0000-0000-0000-000000000000}"/>
  <bookViews>
    <workbookView xWindow="28680" yWindow="-120" windowWidth="29040" windowHeight="16440" activeTab="5" xr2:uid="{99BF53D8-372F-4E71-AA0E-CF41D5DBF0B3}"/>
  </bookViews>
  <sheets>
    <sheet name="License" sheetId="15" r:id="rId1"/>
    <sheet name="BM_w_left_and_right_cantilever" sheetId="16" r:id="rId2"/>
    <sheet name="Point_Load" sheetId="1" r:id="rId3"/>
    <sheet name="Point_Moment" sheetId="2" r:id="rId4"/>
    <sheet name="Uniform_load" sheetId="3" r:id="rId5"/>
    <sheet name="Variable_load" sheetId="4" r:id="rId6"/>
    <sheet name="Cant_Right_Slope" sheetId="5" r:id="rId7"/>
    <sheet name="Cant_Right_Point_Load" sheetId="6" r:id="rId8"/>
    <sheet name="Cant_Right_Point_Moment" sheetId="7" r:id="rId9"/>
    <sheet name="Cant_Right_Uniform_load" sheetId="8" r:id="rId10"/>
    <sheet name="Cant_Right_Variable_load" sheetId="9" r:id="rId11"/>
    <sheet name="Cant_Left_Slope" sheetId="10" r:id="rId12"/>
    <sheet name="Cant_Left_Point_Load" sheetId="11" r:id="rId13"/>
    <sheet name="Cant_Left_Point_Moment" sheetId="12" r:id="rId14"/>
    <sheet name="Cant_Left_Uniform_load" sheetId="13" r:id="rId15"/>
    <sheet name="Cant_Left_Variable_load" sheetId="1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16" l="1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18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60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39" i="16"/>
  <c r="A80" i="16"/>
  <c r="A78" i="16"/>
  <c r="A79" i="16"/>
  <c r="A77" i="16"/>
  <c r="A72" i="16"/>
  <c r="A73" i="16"/>
  <c r="A74" i="16" s="1"/>
  <c r="A75" i="16" s="1"/>
  <c r="A76" i="16" s="1"/>
  <c r="A62" i="16"/>
  <c r="A63" i="16"/>
  <c r="A64" i="16" s="1"/>
  <c r="A65" i="16" s="1"/>
  <c r="A66" i="16" s="1"/>
  <c r="A67" i="16" s="1"/>
  <c r="A68" i="16" s="1"/>
  <c r="A69" i="16" s="1"/>
  <c r="A70" i="16" s="1"/>
  <c r="A71" i="16" s="1"/>
  <c r="A61" i="16"/>
  <c r="A41" i="16"/>
  <c r="A42" i="16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40" i="16"/>
  <c r="A38" i="16"/>
  <c r="A34" i="16"/>
  <c r="A35" i="16"/>
  <c r="A36" i="16" s="1"/>
  <c r="A37" i="16" s="1"/>
  <c r="A27" i="16"/>
  <c r="A28" i="16"/>
  <c r="A29" i="16" s="1"/>
  <c r="A30" i="16" s="1"/>
  <c r="A31" i="16" s="1"/>
  <c r="A32" i="16" s="1"/>
  <c r="A33" i="16" s="1"/>
  <c r="A24" i="16"/>
  <c r="A25" i="16" s="1"/>
  <c r="A26" i="16" s="1"/>
  <c r="A20" i="16"/>
  <c r="A21" i="16"/>
  <c r="A22" i="16" s="1"/>
  <c r="A23" i="16" s="1"/>
  <c r="A19" i="16"/>
  <c r="A18" i="16"/>
  <c r="H4" i="16"/>
  <c r="H3" i="16"/>
  <c r="H2" i="16"/>
  <c r="D5" i="16"/>
  <c r="D4" i="16"/>
  <c r="D10" i="16" a="1"/>
  <c r="G10" i="16" a="1"/>
  <c r="C11" i="16" a="1"/>
  <c r="H11" i="16" a="1"/>
  <c r="D10" i="16" l="1"/>
  <c r="G10" i="16"/>
  <c r="C11" i="16"/>
  <c r="H11" i="16"/>
  <c r="D7" i="14"/>
  <c r="D6" i="14"/>
  <c r="H2" i="14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D6" i="13"/>
  <c r="D5" i="13"/>
  <c r="H2" i="13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D11" i="16" a="1"/>
  <c r="G11" i="16" a="1"/>
  <c r="D12" i="16" a="1"/>
  <c r="G12" i="16" a="1"/>
  <c r="C39" i="16" a="1"/>
  <c r="C59" i="16" a="1"/>
  <c r="C55" i="16" a="1"/>
  <c r="C51" i="16" a="1"/>
  <c r="C47" i="16" a="1"/>
  <c r="C43" i="16" a="1"/>
  <c r="C58" i="16" a="1"/>
  <c r="C54" i="16" a="1"/>
  <c r="C50" i="16" a="1"/>
  <c r="C46" i="16" a="1"/>
  <c r="C42" i="16" a="1"/>
  <c r="C45" i="16" a="1"/>
  <c r="C57" i="16" a="1"/>
  <c r="C53" i="16" a="1"/>
  <c r="C49" i="16" a="1"/>
  <c r="C41" i="16" a="1"/>
  <c r="C56" i="16" a="1"/>
  <c r="C52" i="16" a="1"/>
  <c r="C48" i="16" a="1"/>
  <c r="C44" i="16" a="1"/>
  <c r="C40" i="16" a="1"/>
  <c r="D39" i="16" a="1"/>
  <c r="D50" i="16" a="1"/>
  <c r="D59" i="16" a="1"/>
  <c r="D55" i="16" a="1"/>
  <c r="D51" i="16" a="1"/>
  <c r="D47" i="16" a="1"/>
  <c r="D43" i="16" a="1"/>
  <c r="D54" i="16" a="1"/>
  <c r="D42" i="16" a="1"/>
  <c r="D57" i="16" a="1"/>
  <c r="D53" i="16" a="1"/>
  <c r="D49" i="16" a="1"/>
  <c r="D45" i="16" a="1"/>
  <c r="D41" i="16" a="1"/>
  <c r="D58" i="16" a="1"/>
  <c r="D46" i="16" a="1"/>
  <c r="D56" i="16" a="1"/>
  <c r="D52" i="16" a="1"/>
  <c r="D48" i="16" a="1"/>
  <c r="D44" i="16" a="1"/>
  <c r="D40" i="16" a="1"/>
  <c r="E39" i="16" a="1"/>
  <c r="E51" i="16" a="1"/>
  <c r="E43" i="16" a="1"/>
  <c r="E54" i="16" a="1"/>
  <c r="E46" i="16" a="1"/>
  <c r="E57" i="16" a="1"/>
  <c r="E53" i="16" a="1"/>
  <c r="E49" i="16" a="1"/>
  <c r="E45" i="16" a="1"/>
  <c r="E41" i="16" a="1"/>
  <c r="E59" i="16" a="1"/>
  <c r="E42" i="16" a="1"/>
  <c r="E55" i="16" a="1"/>
  <c r="E47" i="16" a="1"/>
  <c r="E58" i="16" a="1"/>
  <c r="E50" i="16" a="1"/>
  <c r="E56" i="16" a="1"/>
  <c r="E52" i="16" a="1"/>
  <c r="E48" i="16" a="1"/>
  <c r="E44" i="16" a="1"/>
  <c r="E40" i="16" a="1"/>
  <c r="F39" i="16" a="1"/>
  <c r="F50" i="16" a="1"/>
  <c r="F59" i="16" a="1"/>
  <c r="F55" i="16" a="1"/>
  <c r="F51" i="16" a="1"/>
  <c r="F47" i="16" a="1"/>
  <c r="F43" i="16" a="1"/>
  <c r="F54" i="16" a="1"/>
  <c r="F42" i="16" a="1"/>
  <c r="F57" i="16" a="1"/>
  <c r="F53" i="16" a="1"/>
  <c r="F49" i="16" a="1"/>
  <c r="F45" i="16" a="1"/>
  <c r="F41" i="16" a="1"/>
  <c r="F58" i="16" a="1"/>
  <c r="F46" i="16" a="1"/>
  <c r="F56" i="16" a="1"/>
  <c r="F52" i="16" a="1"/>
  <c r="F48" i="16" a="1"/>
  <c r="F44" i="16" a="1"/>
  <c r="F40" i="16" a="1"/>
  <c r="C27" i="14" a="1"/>
  <c r="D19" i="14" a="1"/>
  <c r="E19" i="14" a="1"/>
  <c r="E27" i="14" a="1"/>
  <c r="C23" i="14" a="1"/>
  <c r="D30" i="14" a="1"/>
  <c r="E22" i="14" a="1"/>
  <c r="B26" i="14" a="1"/>
  <c r="E23" i="14" a="1"/>
  <c r="E21" i="14" a="1"/>
  <c r="C17" i="14" a="1"/>
  <c r="E10" i="14" a="1"/>
  <c r="C12" i="14" a="1"/>
  <c r="C26" i="14" a="1"/>
  <c r="D10" i="14" a="1"/>
  <c r="C13" i="14" a="1"/>
  <c r="E29" i="14" a="1"/>
  <c r="B25" i="14" a="1"/>
  <c r="C20" i="14" a="1"/>
  <c r="B12" i="14" a="1"/>
  <c r="E28" i="14" a="1"/>
  <c r="D18" i="14" a="1"/>
  <c r="C21" i="14" a="1"/>
  <c r="D13" i="14" a="1"/>
  <c r="C11" i="14" a="1"/>
  <c r="D24" i="14" a="1"/>
  <c r="C30" i="14" a="1"/>
  <c r="C16" i="14" a="1"/>
  <c r="D27" i="14" a="1"/>
  <c r="E13" i="14" a="1"/>
  <c r="E17" i="14" a="1"/>
  <c r="B16" i="14" a="1"/>
  <c r="B20" i="14" a="1"/>
  <c r="B17" i="14" a="1"/>
  <c r="B15" i="14" a="1"/>
  <c r="D29" i="14" a="1"/>
  <c r="C25" i="14" a="1"/>
  <c r="E24" i="14" a="1"/>
  <c r="D25" i="14" a="1"/>
  <c r="B10" i="14" a="1"/>
  <c r="L5" i="14" a="1"/>
  <c r="L2" i="14" a="1"/>
  <c r="C10" i="14" a="1"/>
  <c r="D26" i="14" a="1"/>
  <c r="C18" i="14" a="1"/>
  <c r="C19" i="14" a="1"/>
  <c r="B29" i="14" a="1"/>
  <c r="C29" i="14" a="1"/>
  <c r="D21" i="14" a="1"/>
  <c r="E26" i="14" a="1"/>
  <c r="E30" i="14" a="1"/>
  <c r="D14" i="14" a="1"/>
  <c r="E16" i="14" a="1"/>
  <c r="E11" i="14" a="1"/>
  <c r="D12" i="14" a="1"/>
  <c r="B14" i="14" a="1"/>
  <c r="D16" i="14" a="1"/>
  <c r="B28" i="14" a="1"/>
  <c r="C15" i="14" a="1"/>
  <c r="D28" i="14" a="1"/>
  <c r="B30" i="14" a="1"/>
  <c r="D15" i="14" a="1"/>
  <c r="L1" i="14" a="1"/>
  <c r="B11" i="14" a="1"/>
  <c r="C28" i="14" a="1"/>
  <c r="L4" i="14" a="1"/>
  <c r="E18" i="14" a="1"/>
  <c r="B22" i="14" a="1"/>
  <c r="C14" i="14" a="1"/>
  <c r="C24" i="14" a="1"/>
  <c r="C22" i="14" a="1"/>
  <c r="E12" i="14" a="1"/>
  <c r="D20" i="14" a="1"/>
  <c r="E20" i="14" a="1"/>
  <c r="B24" i="14" a="1"/>
  <c r="B27" i="14" a="1"/>
  <c r="E25" i="14" a="1"/>
  <c r="D23" i="14" a="1"/>
  <c r="E15" i="14" a="1"/>
  <c r="B19" i="14" a="1"/>
  <c r="B23" i="14" a="1"/>
  <c r="B21" i="14" a="1"/>
  <c r="D11" i="14" a="1"/>
  <c r="D22" i="14" a="1"/>
  <c r="E14" i="14" a="1"/>
  <c r="B18" i="14" a="1"/>
  <c r="D17" i="14" a="1"/>
  <c r="B13" i="14" a="1"/>
  <c r="D14" i="13" a="1"/>
  <c r="D13" i="13" a="1"/>
  <c r="B9" i="13" a="1"/>
  <c r="D16" i="13" a="1"/>
  <c r="C27" i="13" a="1"/>
  <c r="E19" i="13" a="1"/>
  <c r="B27" i="13" a="1"/>
  <c r="C14" i="13" a="1"/>
  <c r="C29" i="13" a="1"/>
  <c r="D24" i="13" a="1"/>
  <c r="E12" i="13" a="1"/>
  <c r="D10" i="13" a="1"/>
  <c r="B23" i="13" a="1"/>
  <c r="B16" i="13" a="1"/>
  <c r="C26" i="13" a="1"/>
  <c r="B10" i="13" a="1"/>
  <c r="D20" i="13" a="1"/>
  <c r="B17" i="13" a="1"/>
  <c r="C10" i="13" a="1"/>
  <c r="D23" i="13" a="1"/>
  <c r="C16" i="13" a="1"/>
  <c r="C11" i="13" a="1"/>
  <c r="E25" i="13" a="1"/>
  <c r="E10" i="13" a="1"/>
  <c r="B14" i="13" a="1"/>
  <c r="E29" i="13" a="1"/>
  <c r="B21" i="13" a="1"/>
  <c r="E23" i="13" a="1"/>
  <c r="C13" i="13" a="1"/>
  <c r="L5" i="13" a="1"/>
  <c r="B24" i="13" a="1"/>
  <c r="C23" i="13" a="1"/>
  <c r="B29" i="13" a="1"/>
  <c r="E11" i="13" a="1"/>
  <c r="D26" i="13" a="1"/>
  <c r="D21" i="13" a="1"/>
  <c r="E16" i="13" a="1"/>
  <c r="L1" i="13" a="1"/>
  <c r="E14" i="13" a="1"/>
  <c r="E21" i="13" a="1"/>
  <c r="D17" i="13" a="1"/>
  <c r="D15" i="13" a="1"/>
  <c r="C19" i="13" a="1"/>
  <c r="E26" i="13" a="1"/>
  <c r="B19" i="13" a="1"/>
  <c r="D29" i="13" a="1"/>
  <c r="E27" i="13" a="1"/>
  <c r="C15" i="13" a="1"/>
  <c r="D22" i="13" a="1"/>
  <c r="D9" i="13" a="1"/>
  <c r="C20" i="13" a="1"/>
  <c r="C18" i="13" a="1"/>
  <c r="L4" i="13" a="1"/>
  <c r="E18" i="13" a="1"/>
  <c r="B15" i="13" a="1"/>
  <c r="D18" i="13" a="1"/>
  <c r="C28" i="13" a="1"/>
  <c r="D25" i="13" a="1"/>
  <c r="C12" i="13" a="1"/>
  <c r="D19" i="13" a="1"/>
  <c r="B28" i="13" a="1"/>
  <c r="B25" i="13" a="1"/>
  <c r="E9" i="13" a="1"/>
  <c r="E15" i="13" a="1"/>
  <c r="D12" i="13" a="1"/>
  <c r="C22" i="13" a="1"/>
  <c r="L2" i="13" a="1"/>
  <c r="C9" i="13" a="1"/>
  <c r="E13" i="13" a="1"/>
  <c r="B13" i="13" a="1"/>
  <c r="C25" i="13" a="1"/>
  <c r="D11" i="13" a="1"/>
  <c r="B11" i="13" a="1"/>
  <c r="D28" i="13" a="1"/>
  <c r="C17" i="13" a="1"/>
  <c r="B12" i="13" a="1"/>
  <c r="E24" i="13" a="1"/>
  <c r="C21" i="13" a="1"/>
  <c r="E20" i="13" a="1"/>
  <c r="B22" i="13" a="1"/>
  <c r="E17" i="13" a="1"/>
  <c r="E22" i="13" a="1"/>
  <c r="B20" i="13" a="1"/>
  <c r="E28" i="13" a="1"/>
  <c r="D27" i="13" a="1"/>
  <c r="B26" i="13" a="1"/>
  <c r="C24" i="13" a="1"/>
  <c r="B18" i="13" a="1"/>
  <c r="G11" i="16" l="1"/>
  <c r="D11" i="16"/>
  <c r="F40" i="16"/>
  <c r="F44" i="16"/>
  <c r="F48" i="16"/>
  <c r="F52" i="16"/>
  <c r="F56" i="16"/>
  <c r="F46" i="16"/>
  <c r="F58" i="16"/>
  <c r="F41" i="16"/>
  <c r="F45" i="16"/>
  <c r="F49" i="16"/>
  <c r="F53" i="16"/>
  <c r="F57" i="16"/>
  <c r="F42" i="16"/>
  <c r="F54" i="16"/>
  <c r="F43" i="16"/>
  <c r="F47" i="16"/>
  <c r="F51" i="16"/>
  <c r="F55" i="16"/>
  <c r="F59" i="16"/>
  <c r="F50" i="16"/>
  <c r="F39" i="16"/>
  <c r="E40" i="16"/>
  <c r="E44" i="16"/>
  <c r="E48" i="16"/>
  <c r="E52" i="16"/>
  <c r="E56" i="16"/>
  <c r="E50" i="16"/>
  <c r="E58" i="16"/>
  <c r="E47" i="16"/>
  <c r="E55" i="16"/>
  <c r="E42" i="16"/>
  <c r="E59" i="16"/>
  <c r="E41" i="16"/>
  <c r="E45" i="16"/>
  <c r="E49" i="16"/>
  <c r="E53" i="16"/>
  <c r="E57" i="16"/>
  <c r="E46" i="16"/>
  <c r="E54" i="16"/>
  <c r="E43" i="16"/>
  <c r="E51" i="16"/>
  <c r="E39" i="16"/>
  <c r="D40" i="16"/>
  <c r="D44" i="16"/>
  <c r="D48" i="16"/>
  <c r="D52" i="16"/>
  <c r="D56" i="16"/>
  <c r="D46" i="16"/>
  <c r="D58" i="16"/>
  <c r="D41" i="16"/>
  <c r="D45" i="16"/>
  <c r="D49" i="16"/>
  <c r="D53" i="16"/>
  <c r="D57" i="16"/>
  <c r="D42" i="16"/>
  <c r="D54" i="16"/>
  <c r="D43" i="16"/>
  <c r="D47" i="16"/>
  <c r="D51" i="16"/>
  <c r="D55" i="16"/>
  <c r="D59" i="16"/>
  <c r="D50" i="16"/>
  <c r="D39" i="16"/>
  <c r="C40" i="16"/>
  <c r="C44" i="16"/>
  <c r="C48" i="16"/>
  <c r="C52" i="16"/>
  <c r="C56" i="16"/>
  <c r="C41" i="16"/>
  <c r="C49" i="16"/>
  <c r="C53" i="16"/>
  <c r="C57" i="16"/>
  <c r="C45" i="16"/>
  <c r="C42" i="16"/>
  <c r="C46" i="16"/>
  <c r="C50" i="16"/>
  <c r="C54" i="16"/>
  <c r="C58" i="16"/>
  <c r="C43" i="16"/>
  <c r="C47" i="16"/>
  <c r="C51" i="16"/>
  <c r="C55" i="16"/>
  <c r="C59" i="16"/>
  <c r="C39" i="16"/>
  <c r="G12" i="16"/>
  <c r="G13" i="16" s="1"/>
  <c r="D12" i="16"/>
  <c r="L5" i="14"/>
  <c r="L4" i="14"/>
  <c r="L2" i="14"/>
  <c r="L1" i="14"/>
  <c r="E30" i="14"/>
  <c r="E26" i="14"/>
  <c r="E22" i="14"/>
  <c r="E18" i="14"/>
  <c r="E14" i="14"/>
  <c r="E29" i="14"/>
  <c r="E25" i="14"/>
  <c r="E21" i="14"/>
  <c r="E17" i="14"/>
  <c r="E13" i="14"/>
  <c r="E28" i="14"/>
  <c r="E24" i="14"/>
  <c r="E20" i="14"/>
  <c r="E16" i="14"/>
  <c r="E12" i="14"/>
  <c r="E27" i="14"/>
  <c r="E23" i="14"/>
  <c r="E19" i="14"/>
  <c r="E15" i="14"/>
  <c r="E11" i="14"/>
  <c r="E10" i="14"/>
  <c r="D30" i="14"/>
  <c r="D26" i="14"/>
  <c r="D22" i="14"/>
  <c r="D18" i="14"/>
  <c r="D14" i="14"/>
  <c r="D29" i="14"/>
  <c r="D25" i="14"/>
  <c r="D21" i="14"/>
  <c r="D17" i="14"/>
  <c r="D13" i="14"/>
  <c r="D20" i="14"/>
  <c r="D28" i="14"/>
  <c r="D24" i="14"/>
  <c r="D16" i="14"/>
  <c r="D12" i="14"/>
  <c r="D27" i="14"/>
  <c r="D23" i="14"/>
  <c r="D19" i="14"/>
  <c r="D15" i="14"/>
  <c r="D11" i="14"/>
  <c r="D10" i="14"/>
  <c r="C30" i="14"/>
  <c r="C26" i="14"/>
  <c r="C22" i="14"/>
  <c r="C18" i="14"/>
  <c r="C14" i="14"/>
  <c r="C29" i="14"/>
  <c r="C25" i="14"/>
  <c r="C21" i="14"/>
  <c r="C17" i="14"/>
  <c r="C13" i="14"/>
  <c r="C28" i="14"/>
  <c r="C24" i="14"/>
  <c r="C20" i="14"/>
  <c r="C16" i="14"/>
  <c r="C12" i="14"/>
  <c r="C27" i="14"/>
  <c r="C23" i="14"/>
  <c r="C19" i="14"/>
  <c r="C15" i="14"/>
  <c r="C11" i="14"/>
  <c r="C10" i="14"/>
  <c r="B30" i="14"/>
  <c r="B26" i="14"/>
  <c r="B22" i="14"/>
  <c r="B18" i="14"/>
  <c r="B14" i="14"/>
  <c r="B29" i="14"/>
  <c r="B25" i="14"/>
  <c r="B21" i="14"/>
  <c r="B17" i="14"/>
  <c r="B13" i="14"/>
  <c r="B28" i="14"/>
  <c r="B24" i="14"/>
  <c r="B20" i="14"/>
  <c r="B16" i="14"/>
  <c r="B12" i="14"/>
  <c r="B27" i="14"/>
  <c r="B23" i="14"/>
  <c r="B19" i="14"/>
  <c r="B15" i="14"/>
  <c r="B11" i="14"/>
  <c r="B10" i="14"/>
  <c r="L5" i="13"/>
  <c r="L4" i="13"/>
  <c r="L2" i="13"/>
  <c r="L1" i="13"/>
  <c r="E22" i="13"/>
  <c r="E14" i="13"/>
  <c r="E29" i="13"/>
  <c r="E21" i="13"/>
  <c r="E13" i="13"/>
  <c r="E28" i="13"/>
  <c r="E20" i="13"/>
  <c r="E16" i="13"/>
  <c r="E27" i="13"/>
  <c r="E23" i="13"/>
  <c r="E19" i="13"/>
  <c r="E11" i="13"/>
  <c r="E26" i="13"/>
  <c r="E18" i="13"/>
  <c r="E25" i="13"/>
  <c r="E17" i="13"/>
  <c r="E24" i="13"/>
  <c r="E12" i="13"/>
  <c r="E15" i="13"/>
  <c r="E10" i="13"/>
  <c r="E9" i="13"/>
  <c r="D25" i="13"/>
  <c r="D13" i="13"/>
  <c r="D24" i="13"/>
  <c r="D20" i="13"/>
  <c r="D16" i="13"/>
  <c r="D12" i="13"/>
  <c r="D29" i="13"/>
  <c r="D17" i="13"/>
  <c r="D28" i="13"/>
  <c r="D27" i="13"/>
  <c r="D23" i="13"/>
  <c r="D19" i="13"/>
  <c r="D15" i="13"/>
  <c r="D11" i="13"/>
  <c r="D21" i="13"/>
  <c r="D26" i="13"/>
  <c r="D22" i="13"/>
  <c r="D18" i="13"/>
  <c r="D14" i="13"/>
  <c r="D10" i="13"/>
  <c r="D9" i="13"/>
  <c r="C29" i="13"/>
  <c r="C21" i="13"/>
  <c r="C13" i="13"/>
  <c r="C20" i="13"/>
  <c r="C12" i="13"/>
  <c r="C27" i="13"/>
  <c r="C23" i="13"/>
  <c r="C19" i="13"/>
  <c r="C15" i="13"/>
  <c r="C11" i="13"/>
  <c r="C28" i="13"/>
  <c r="C25" i="13"/>
  <c r="C17" i="13"/>
  <c r="C24" i="13"/>
  <c r="C16" i="13"/>
  <c r="C26" i="13"/>
  <c r="C22" i="13"/>
  <c r="C18" i="13"/>
  <c r="C14" i="13"/>
  <c r="C10" i="13"/>
  <c r="C9" i="13"/>
  <c r="B25" i="13"/>
  <c r="B21" i="13"/>
  <c r="B17" i="13"/>
  <c r="B13" i="13"/>
  <c r="B28" i="13"/>
  <c r="B24" i="13"/>
  <c r="B20" i="13"/>
  <c r="B16" i="13"/>
  <c r="B12" i="13"/>
  <c r="B27" i="13"/>
  <c r="B23" i="13"/>
  <c r="B19" i="13"/>
  <c r="B15" i="13"/>
  <c r="B11" i="13"/>
  <c r="B29" i="13"/>
  <c r="B26" i="13"/>
  <c r="B22" i="13"/>
  <c r="B18" i="13"/>
  <c r="B14" i="13"/>
  <c r="B10" i="13"/>
  <c r="B9" i="13"/>
  <c r="D5" i="12"/>
  <c r="D4" i="12"/>
  <c r="H2" i="12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D5" i="11"/>
  <c r="D4" i="11"/>
  <c r="H2" i="1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D5" i="10"/>
  <c r="D4" i="10"/>
  <c r="H2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D1" i="10"/>
  <c r="D7" i="9"/>
  <c r="D6" i="9"/>
  <c r="H2" i="9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D6" i="8"/>
  <c r="D5" i="8"/>
  <c r="H2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15" i="7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D5" i="7"/>
  <c r="D4" i="7"/>
  <c r="H2" i="7"/>
  <c r="A9" i="7" s="1"/>
  <c r="A10" i="7" s="1"/>
  <c r="A11" i="7" s="1"/>
  <c r="A12" i="7" s="1"/>
  <c r="A13" i="7" s="1"/>
  <c r="A14" i="7" s="1"/>
  <c r="D5" i="6"/>
  <c r="D4" i="6"/>
  <c r="H2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D1" i="5"/>
  <c r="D5" i="5"/>
  <c r="D4" i="5"/>
  <c r="H2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D7" i="4"/>
  <c r="D6" i="4"/>
  <c r="H2" i="4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D28" i="5" a="1"/>
  <c r="E11" i="5" a="1"/>
  <c r="B18" i="5" a="1"/>
  <c r="E23" i="5" a="1"/>
  <c r="B8" i="5" a="1"/>
  <c r="B27" i="5" a="1"/>
  <c r="C13" i="5" a="1"/>
  <c r="E17" i="5" a="1"/>
  <c r="B10" i="5" a="1"/>
  <c r="D19" i="5" a="1"/>
  <c r="D27" i="5" a="1"/>
  <c r="C12" i="5" a="1"/>
  <c r="C26" i="5" a="1"/>
  <c r="D16" i="5" a="1"/>
  <c r="E14" i="5" a="1"/>
  <c r="D17" i="5" a="1"/>
  <c r="C19" i="5" a="1"/>
  <c r="E19" i="5" a="1"/>
  <c r="B15" i="5" a="1"/>
  <c r="E24" i="5" a="1"/>
  <c r="B19" i="5" a="1"/>
  <c r="L2" i="5" a="1"/>
  <c r="C18" i="5" a="1"/>
  <c r="E26" i="5" a="1"/>
  <c r="D25" i="5" a="1"/>
  <c r="E27" i="5" a="1"/>
  <c r="C15" i="5" a="1"/>
  <c r="C23" i="5" a="1"/>
  <c r="D9" i="5" a="1"/>
  <c r="B17" i="5" a="1"/>
  <c r="B23" i="5" a="1"/>
  <c r="B11" i="5" a="1"/>
  <c r="C14" i="5" a="1"/>
  <c r="B24" i="5" a="1"/>
  <c r="E18" i="5" a="1"/>
  <c r="L1" i="5" a="1"/>
  <c r="B20" i="5" a="1"/>
  <c r="E25" i="5" a="1"/>
  <c r="E15" i="5" a="1"/>
  <c r="D12" i="5" a="1"/>
  <c r="E9" i="5" a="1"/>
  <c r="B9" i="5" a="1"/>
  <c r="D14" i="5" a="1"/>
  <c r="D26" i="5" a="1"/>
  <c r="C25" i="5" a="1"/>
  <c r="B25" i="5" a="1"/>
  <c r="E10" i="5" a="1"/>
  <c r="L5" i="5" a="1"/>
  <c r="E28" i="5" a="1"/>
  <c r="C10" i="5" a="1"/>
  <c r="E13" i="5" a="1"/>
  <c r="C17" i="5" a="1"/>
  <c r="B22" i="5" a="1"/>
  <c r="E16" i="5" a="1"/>
  <c r="D8" i="5" a="1"/>
  <c r="D11" i="5" a="1"/>
  <c r="D24" i="5" a="1"/>
  <c r="B12" i="5" a="1"/>
  <c r="D18" i="5" a="1"/>
  <c r="C22" i="5" a="1"/>
  <c r="B13" i="5" a="1"/>
  <c r="D22" i="5" a="1"/>
  <c r="E12" i="5" a="1"/>
  <c r="B16" i="5" a="1"/>
  <c r="E8" i="5" a="1"/>
  <c r="B28" i="5" a="1"/>
  <c r="E21" i="5" a="1"/>
  <c r="C20" i="5" a="1"/>
  <c r="E20" i="5" a="1"/>
  <c r="L4" i="5" a="1"/>
  <c r="C24" i="5" a="1"/>
  <c r="D21" i="5" a="1"/>
  <c r="C9" i="5" a="1"/>
  <c r="C8" i="5" a="1"/>
  <c r="E22" i="5" a="1"/>
  <c r="D15" i="5" a="1"/>
  <c r="D23" i="5" a="1"/>
  <c r="D13" i="5" a="1"/>
  <c r="C21" i="5" a="1"/>
  <c r="D20" i="5" a="1"/>
  <c r="B21" i="5" a="1"/>
  <c r="C27" i="5" a="1"/>
  <c r="C28" i="5" a="1"/>
  <c r="C16" i="5" a="1"/>
  <c r="B26" i="5" a="1"/>
  <c r="D10" i="5" a="1"/>
  <c r="C11" i="5" a="1"/>
  <c r="B14" i="5" a="1"/>
  <c r="F61" i="16" a="1"/>
  <c r="F65" i="16" a="1"/>
  <c r="F69" i="16" a="1"/>
  <c r="F73" i="16" a="1"/>
  <c r="F77" i="16" a="1"/>
  <c r="F67" i="16" a="1"/>
  <c r="F79" i="16" a="1"/>
  <c r="F68" i="16" a="1"/>
  <c r="F80" i="16" a="1"/>
  <c r="F62" i="16" a="1"/>
  <c r="F66" i="16" a="1"/>
  <c r="F70" i="16" a="1"/>
  <c r="F74" i="16" a="1"/>
  <c r="F78" i="16" a="1"/>
  <c r="F63" i="16" a="1"/>
  <c r="F71" i="16" a="1"/>
  <c r="F75" i="16" a="1"/>
  <c r="F72" i="16" a="1"/>
  <c r="F64" i="16" a="1"/>
  <c r="F76" i="16" a="1"/>
  <c r="F60" i="16" a="1"/>
  <c r="E61" i="16" a="1"/>
  <c r="E65" i="16" a="1"/>
  <c r="E69" i="16" a="1"/>
  <c r="E73" i="16" a="1"/>
  <c r="E77" i="16" a="1"/>
  <c r="E62" i="16" a="1"/>
  <c r="E66" i="16" a="1"/>
  <c r="E70" i="16" a="1"/>
  <c r="E74" i="16" a="1"/>
  <c r="E78" i="16" a="1"/>
  <c r="E68" i="16" a="1"/>
  <c r="E76" i="16" a="1"/>
  <c r="E63" i="16" a="1"/>
  <c r="E67" i="16" a="1"/>
  <c r="E71" i="16" a="1"/>
  <c r="E75" i="16" a="1"/>
  <c r="E79" i="16" a="1"/>
  <c r="E64" i="16" a="1"/>
  <c r="E72" i="16" a="1"/>
  <c r="E80" i="16" a="1"/>
  <c r="E60" i="16" a="1"/>
  <c r="D61" i="16" a="1"/>
  <c r="D65" i="16" a="1"/>
  <c r="D69" i="16" a="1"/>
  <c r="D73" i="16" a="1"/>
  <c r="D77" i="16" a="1"/>
  <c r="D67" i="16" a="1"/>
  <c r="D75" i="16" a="1"/>
  <c r="D64" i="16" a="1"/>
  <c r="D72" i="16" a="1"/>
  <c r="D80" i="16" a="1"/>
  <c r="D62" i="16" a="1"/>
  <c r="D66" i="16" a="1"/>
  <c r="D70" i="16" a="1"/>
  <c r="D74" i="16" a="1"/>
  <c r="D78" i="16" a="1"/>
  <c r="D63" i="16" a="1"/>
  <c r="D71" i="16" a="1"/>
  <c r="D79" i="16" a="1"/>
  <c r="D68" i="16" a="1"/>
  <c r="D76" i="16" a="1"/>
  <c r="D60" i="16" a="1"/>
  <c r="C61" i="16" a="1"/>
  <c r="C65" i="16" a="1"/>
  <c r="C69" i="16" a="1"/>
  <c r="C73" i="16" a="1"/>
  <c r="C77" i="16" a="1"/>
  <c r="C62" i="16" a="1"/>
  <c r="C66" i="16" a="1"/>
  <c r="C70" i="16" a="1"/>
  <c r="C78" i="16" a="1"/>
  <c r="C74" i="16" a="1"/>
  <c r="C79" i="16" a="1"/>
  <c r="C64" i="16" a="1"/>
  <c r="C76" i="16" a="1"/>
  <c r="C63" i="16" a="1"/>
  <c r="C67" i="16" a="1"/>
  <c r="C71" i="16" a="1"/>
  <c r="C75" i="16" a="1"/>
  <c r="C68" i="16" a="1"/>
  <c r="C72" i="16" a="1"/>
  <c r="C80" i="16" a="1"/>
  <c r="C60" i="16" a="1"/>
  <c r="C16" i="4" a="1"/>
  <c r="B29" i="4" a="1"/>
  <c r="C19" i="4" a="1"/>
  <c r="B23" i="4" a="1"/>
  <c r="E20" i="4" a="1"/>
  <c r="D10" i="4" a="1"/>
  <c r="L5" i="4" a="1"/>
  <c r="E28" i="4" a="1"/>
  <c r="C17" i="4" a="1"/>
  <c r="D21" i="4" a="1"/>
  <c r="D17" i="4" a="1"/>
  <c r="B21" i="4" a="1"/>
  <c r="C12" i="4" a="1"/>
  <c r="B12" i="4" a="1"/>
  <c r="E10" i="4" a="1"/>
  <c r="C13" i="4" a="1"/>
  <c r="E15" i="4" a="1"/>
  <c r="C26" i="4" a="1"/>
  <c r="E17" i="4" a="1"/>
  <c r="E26" i="4" a="1"/>
  <c r="D27" i="4" a="1"/>
  <c r="C30" i="4" a="1"/>
  <c r="C22" i="4" a="1"/>
  <c r="C25" i="4" a="1"/>
  <c r="C14" i="4" a="1"/>
  <c r="B13" i="4" a="1"/>
  <c r="D28" i="4" a="1"/>
  <c r="E30" i="4" a="1"/>
  <c r="E21" i="4" a="1"/>
  <c r="E25" i="4" a="1"/>
  <c r="C27" i="4" a="1"/>
  <c r="B16" i="4" a="1"/>
  <c r="D18" i="4" a="1"/>
  <c r="C28" i="4" a="1"/>
  <c r="E24" i="4" a="1"/>
  <c r="B30" i="4" a="1"/>
  <c r="C24" i="4" a="1"/>
  <c r="B22" i="4" a="1"/>
  <c r="D11" i="4" a="1"/>
  <c r="C10" i="4" a="1"/>
  <c r="B24" i="4" a="1"/>
  <c r="E18" i="4" a="1"/>
  <c r="B15" i="4" a="1"/>
  <c r="D16" i="4" a="1"/>
  <c r="D24" i="4" a="1"/>
  <c r="D15" i="4" a="1"/>
  <c r="D14" i="4" a="1"/>
  <c r="B28" i="4" a="1"/>
  <c r="E23" i="4" a="1"/>
  <c r="L1" i="4" a="1"/>
  <c r="C11" i="4" a="1"/>
  <c r="C29" i="4" a="1"/>
  <c r="C18" i="4" a="1"/>
  <c r="L2" i="4" a="1"/>
  <c r="L4" i="4" a="1"/>
  <c r="B14" i="4" a="1"/>
  <c r="B19" i="4" a="1"/>
  <c r="D30" i="4" a="1"/>
  <c r="B17" i="4" a="1"/>
  <c r="B18" i="4" a="1"/>
  <c r="C15" i="4" a="1"/>
  <c r="B25" i="4" a="1"/>
  <c r="E22" i="4" a="1"/>
  <c r="D20" i="4" a="1"/>
  <c r="D12" i="4" a="1"/>
  <c r="D23" i="4" a="1"/>
  <c r="E19" i="4" a="1"/>
  <c r="E11" i="4" a="1"/>
  <c r="C20" i="4" a="1"/>
  <c r="D25" i="4" a="1"/>
  <c r="E27" i="4" a="1"/>
  <c r="D26" i="4" a="1"/>
  <c r="D19" i="4" a="1"/>
  <c r="C23" i="4" a="1"/>
  <c r="B20" i="4" a="1"/>
  <c r="B27" i="4" a="1"/>
  <c r="B11" i="4" a="1"/>
  <c r="D29" i="4" a="1"/>
  <c r="E13" i="4" a="1"/>
  <c r="C21" i="4" a="1"/>
  <c r="D13" i="4" a="1"/>
  <c r="B26" i="4" a="1"/>
  <c r="E12" i="4" a="1"/>
  <c r="D22" i="4" a="1"/>
  <c r="B10" i="4" a="1"/>
  <c r="E29" i="4" a="1"/>
  <c r="E16" i="4" a="1"/>
  <c r="E14" i="4" a="1"/>
  <c r="B9" i="3" a="1"/>
  <c r="L5" i="3" a="1"/>
  <c r="L2" i="3" a="1"/>
  <c r="E9" i="3" a="1"/>
  <c r="L1" i="3" a="1"/>
  <c r="C9" i="3" a="1"/>
  <c r="D9" i="3" a="1"/>
  <c r="L4" i="3" a="1"/>
  <c r="L5" i="2" a="1"/>
  <c r="L4" i="2" a="1"/>
  <c r="L5" i="1" a="1"/>
  <c r="L4" i="1" a="1"/>
  <c r="E13" i="8" a="1"/>
  <c r="B27" i="8" a="1"/>
  <c r="C13" i="8" a="1"/>
  <c r="C19" i="8" a="1"/>
  <c r="E27" i="8" a="1"/>
  <c r="E28" i="8" a="1"/>
  <c r="B25" i="8" a="1"/>
  <c r="D21" i="8" a="1"/>
  <c r="E25" i="8" a="1"/>
  <c r="E10" i="8" a="1"/>
  <c r="L5" i="8" a="1"/>
  <c r="B15" i="8" a="1"/>
  <c r="B12" i="8" a="1"/>
  <c r="E11" i="8" a="1"/>
  <c r="E26" i="8" a="1"/>
  <c r="B21" i="8" a="1"/>
  <c r="C26" i="8" a="1"/>
  <c r="E12" i="8" a="1"/>
  <c r="E29" i="8" a="1"/>
  <c r="C17" i="8" a="1"/>
  <c r="D27" i="8" a="1"/>
  <c r="B24" i="8" a="1"/>
  <c r="B28" i="8" a="1"/>
  <c r="C10" i="8" a="1"/>
  <c r="B23" i="8" a="1"/>
  <c r="D16" i="8" a="1"/>
  <c r="E14" i="8" a="1"/>
  <c r="B10" i="8" a="1"/>
  <c r="D25" i="8" a="1"/>
  <c r="B16" i="8" a="1"/>
  <c r="C12" i="8" a="1"/>
  <c r="D20" i="8" a="1"/>
  <c r="C23" i="8" a="1"/>
  <c r="C9" i="8" a="1"/>
  <c r="E19" i="8" a="1"/>
  <c r="C22" i="8" a="1"/>
  <c r="B17" i="8" a="1"/>
  <c r="E16" i="8" a="1"/>
  <c r="B18" i="8" a="1"/>
  <c r="D10" i="8" a="1"/>
  <c r="C29" i="8" a="1"/>
  <c r="B29" i="8" a="1"/>
  <c r="C28" i="8" a="1"/>
  <c r="D29" i="8" a="1"/>
  <c r="C25" i="8" a="1"/>
  <c r="D19" i="8" a="1"/>
  <c r="C21" i="8" a="1"/>
  <c r="E22" i="8" a="1"/>
  <c r="C15" i="8" a="1"/>
  <c r="D12" i="8" a="1"/>
  <c r="D26" i="8" a="1"/>
  <c r="C16" i="8" a="1"/>
  <c r="L1" i="8" a="1"/>
  <c r="D14" i="8" a="1"/>
  <c r="E21" i="8" a="1"/>
  <c r="B22" i="8" a="1"/>
  <c r="B26" i="8" a="1"/>
  <c r="D15" i="8" a="1"/>
  <c r="C24" i="8" a="1"/>
  <c r="C11" i="8" a="1"/>
  <c r="E15" i="8" a="1"/>
  <c r="E9" i="8" a="1"/>
  <c r="D22" i="8" a="1"/>
  <c r="C14" i="8" a="1"/>
  <c r="B19" i="8" a="1"/>
  <c r="C20" i="8" a="1"/>
  <c r="D9" i="8" a="1"/>
  <c r="B11" i="8" a="1"/>
  <c r="E24" i="8" a="1"/>
  <c r="B20" i="8" a="1"/>
  <c r="L4" i="8" a="1"/>
  <c r="D11" i="8" a="1"/>
  <c r="B14" i="8" a="1"/>
  <c r="D18" i="8" a="1"/>
  <c r="D24" i="8" a="1"/>
  <c r="B9" i="8" a="1"/>
  <c r="E20" i="8" a="1"/>
  <c r="C18" i="8" a="1"/>
  <c r="L2" i="8" a="1"/>
  <c r="E18" i="8" a="1"/>
  <c r="D13" i="8" a="1"/>
  <c r="C27" i="8" a="1"/>
  <c r="E23" i="8" a="1"/>
  <c r="D23" i="8" a="1"/>
  <c r="E17" i="8" a="1"/>
  <c r="D17" i="8" a="1"/>
  <c r="B13" i="8" a="1"/>
  <c r="D28" i="8" a="1"/>
  <c r="C24" i="7" a="1"/>
  <c r="B12" i="7" a="1"/>
  <c r="E15" i="7" a="1"/>
  <c r="C16" i="7" a="1"/>
  <c r="C13" i="7" a="1"/>
  <c r="D12" i="7" a="1"/>
  <c r="C10" i="7" a="1"/>
  <c r="D18" i="7" a="1"/>
  <c r="C14" i="7" a="1"/>
  <c r="D25" i="7" a="1"/>
  <c r="B26" i="7" a="1"/>
  <c r="C11" i="7" a="1"/>
  <c r="E28" i="7" a="1"/>
  <c r="L2" i="7" a="1"/>
  <c r="D11" i="7" a="1"/>
  <c r="B10" i="7" a="1"/>
  <c r="E18" i="7" a="1"/>
  <c r="C8" i="7" a="1"/>
  <c r="D21" i="7" a="1"/>
  <c r="D17" i="7" a="1"/>
  <c r="D16" i="7" a="1"/>
  <c r="B21" i="7" a="1"/>
  <c r="C22" i="7" a="1"/>
  <c r="E13" i="7" a="1"/>
  <c r="B15" i="7" a="1"/>
  <c r="B20" i="7" a="1"/>
  <c r="C21" i="7" a="1"/>
  <c r="E27" i="7" a="1"/>
  <c r="B16" i="7" a="1"/>
  <c r="E12" i="7" a="1"/>
  <c r="B11" i="7" a="1"/>
  <c r="B9" i="7" a="1"/>
  <c r="C18" i="7" a="1"/>
  <c r="C15" i="7" a="1"/>
  <c r="D28" i="7" a="1"/>
  <c r="B14" i="7" a="1"/>
  <c r="L5" i="7" a="1"/>
  <c r="E11" i="7" a="1"/>
  <c r="D22" i="7" a="1"/>
  <c r="C19" i="7" a="1"/>
  <c r="B28" i="7" a="1"/>
  <c r="B13" i="7" a="1"/>
  <c r="C9" i="7" a="1"/>
  <c r="L4" i="7" a="1"/>
  <c r="E19" i="7" a="1"/>
  <c r="B17" i="7" a="1"/>
  <c r="L1" i="7" a="1"/>
  <c r="B22" i="7" a="1"/>
  <c r="D14" i="7" a="1"/>
  <c r="E9" i="7" a="1"/>
  <c r="E10" i="7" a="1"/>
  <c r="E21" i="7" a="1"/>
  <c r="D9" i="7" a="1"/>
  <c r="D10" i="7" a="1"/>
  <c r="D13" i="7" a="1"/>
  <c r="B8" i="7" a="1"/>
  <c r="B25" i="7" a="1"/>
  <c r="E17" i="7" a="1"/>
  <c r="B19" i="7" a="1"/>
  <c r="E23" i="7" a="1"/>
  <c r="C27" i="7" a="1"/>
  <c r="E24" i="7" a="1"/>
  <c r="D26" i="7" a="1"/>
  <c r="C28" i="7" a="1"/>
  <c r="E16" i="7" a="1"/>
  <c r="E22" i="7" a="1"/>
  <c r="C17" i="7" a="1"/>
  <c r="C20" i="7" a="1"/>
  <c r="C25" i="7" a="1"/>
  <c r="B23" i="7" a="1"/>
  <c r="C26" i="7" a="1"/>
  <c r="C12" i="7" a="1"/>
  <c r="E8" i="7" a="1"/>
  <c r="E14" i="7" a="1"/>
  <c r="B27" i="7" a="1"/>
  <c r="D15" i="7" a="1"/>
  <c r="D8" i="7" a="1"/>
  <c r="E25" i="7" a="1"/>
  <c r="D19" i="7" a="1"/>
  <c r="D23" i="7" a="1"/>
  <c r="E26" i="7" a="1"/>
  <c r="B24" i="7" a="1"/>
  <c r="D24" i="7" a="1"/>
  <c r="B18" i="7" a="1"/>
  <c r="E20" i="7" a="1"/>
  <c r="D20" i="7" a="1"/>
  <c r="D27" i="7" a="1"/>
  <c r="C23" i="7" a="1"/>
  <c r="E9" i="6" a="1"/>
  <c r="C14" i="6" a="1"/>
  <c r="C17" i="6" a="1"/>
  <c r="E23" i="6" a="1"/>
  <c r="C23" i="6" a="1"/>
  <c r="B11" i="6" a="1"/>
  <c r="C28" i="6" a="1"/>
  <c r="C15" i="6" a="1"/>
  <c r="E15" i="6" a="1"/>
  <c r="E20" i="6" a="1"/>
  <c r="E8" i="6" a="1"/>
  <c r="B24" i="6" a="1"/>
  <c r="C20" i="6" a="1"/>
  <c r="C9" i="6" a="1"/>
  <c r="B17" i="6" a="1"/>
  <c r="L2" i="6" a="1"/>
  <c r="C19" i="6" a="1"/>
  <c r="D27" i="6" a="1"/>
  <c r="E17" i="6" a="1"/>
  <c r="D25" i="6" a="1"/>
  <c r="D12" i="6" a="1"/>
  <c r="E24" i="6" a="1"/>
  <c r="D15" i="6" a="1"/>
  <c r="B14" i="6" a="1"/>
  <c r="C25" i="6" a="1"/>
  <c r="E26" i="6" a="1"/>
  <c r="C21" i="6" a="1"/>
  <c r="B27" i="6" a="1"/>
  <c r="E11" i="6" a="1"/>
  <c r="D18" i="6" a="1"/>
  <c r="B18" i="6" a="1"/>
  <c r="B13" i="6" a="1"/>
  <c r="C26" i="6" a="1"/>
  <c r="E21" i="6" a="1"/>
  <c r="E12" i="6" a="1"/>
  <c r="C22" i="6" a="1"/>
  <c r="B22" i="6" a="1"/>
  <c r="D8" i="6" a="1"/>
  <c r="D17" i="6" a="1"/>
  <c r="B9" i="6" a="1"/>
  <c r="E14" i="6" a="1"/>
  <c r="B20" i="6" a="1"/>
  <c r="B26" i="6" a="1"/>
  <c r="E13" i="6" a="1"/>
  <c r="D28" i="6" a="1"/>
  <c r="D16" i="6" a="1"/>
  <c r="C13" i="6" a="1"/>
  <c r="B15" i="6" a="1"/>
  <c r="L5" i="6" a="1"/>
  <c r="B25" i="6" a="1"/>
  <c r="C10" i="6" a="1"/>
  <c r="D19" i="6" a="1"/>
  <c r="D13" i="6" a="1"/>
  <c r="B12" i="6" a="1"/>
  <c r="C12" i="6" a="1"/>
  <c r="D21" i="6" a="1"/>
  <c r="E10" i="6" a="1"/>
  <c r="E22" i="6" a="1"/>
  <c r="B8" i="6" a="1"/>
  <c r="E25" i="6" a="1"/>
  <c r="E16" i="6" a="1"/>
  <c r="B16" i="6" a="1"/>
  <c r="E27" i="6" a="1"/>
  <c r="B21" i="6" a="1"/>
  <c r="D14" i="6" a="1"/>
  <c r="D10" i="6" a="1"/>
  <c r="E18" i="6" a="1"/>
  <c r="D23" i="6" a="1"/>
  <c r="C24" i="6" a="1"/>
  <c r="C18" i="6" a="1"/>
  <c r="B28" i="6" a="1"/>
  <c r="D20" i="6" a="1"/>
  <c r="D24" i="6" a="1"/>
  <c r="D9" i="6" a="1"/>
  <c r="B19" i="6" a="1"/>
  <c r="B10" i="6" a="1"/>
  <c r="C8" i="6" a="1"/>
  <c r="D11" i="6" a="1"/>
  <c r="E19" i="6" a="1"/>
  <c r="C11" i="6" a="1"/>
  <c r="C16" i="6" a="1"/>
  <c r="E28" i="6" a="1"/>
  <c r="D26" i="6" a="1"/>
  <c r="L1" i="6" a="1"/>
  <c r="C27" i="6" a="1"/>
  <c r="L4" i="6" a="1"/>
  <c r="D22" i="6" a="1"/>
  <c r="B23" i="6" a="1"/>
  <c r="D23" i="12" a="1"/>
  <c r="B11" i="12" a="1"/>
  <c r="C8" i="12" a="1"/>
  <c r="C17" i="12" a="1"/>
  <c r="B24" i="12" a="1"/>
  <c r="L2" i="12" a="1"/>
  <c r="D11" i="12" a="1"/>
  <c r="D9" i="12" a="1"/>
  <c r="E17" i="12" a="1"/>
  <c r="B12" i="12" a="1"/>
  <c r="C11" i="12" a="1"/>
  <c r="C24" i="12" a="1"/>
  <c r="E10" i="12" a="1"/>
  <c r="E19" i="12" a="1"/>
  <c r="B16" i="12" a="1"/>
  <c r="D18" i="12" a="1"/>
  <c r="C13" i="12" a="1"/>
  <c r="E18" i="12" a="1"/>
  <c r="B20" i="12" a="1"/>
  <c r="D21" i="12" a="1"/>
  <c r="E12" i="12" a="1"/>
  <c r="D13" i="12" a="1"/>
  <c r="E8" i="12" a="1"/>
  <c r="D10" i="12" a="1"/>
  <c r="C12" i="12" a="1"/>
  <c r="D14" i="12" a="1"/>
  <c r="E20" i="12" a="1"/>
  <c r="E28" i="12" a="1"/>
  <c r="D20" i="12" a="1"/>
  <c r="C26" i="12" a="1"/>
  <c r="D24" i="12" a="1"/>
  <c r="E15" i="12" a="1"/>
  <c r="B21" i="12" a="1"/>
  <c r="D16" i="12" a="1"/>
  <c r="E25" i="12" a="1"/>
  <c r="C9" i="12" a="1"/>
  <c r="E26" i="12" a="1"/>
  <c r="C14" i="12" a="1"/>
  <c r="C25" i="12" a="1"/>
  <c r="E24" i="12" a="1"/>
  <c r="B25" i="12" a="1"/>
  <c r="D15" i="12" a="1"/>
  <c r="C22" i="12" a="1"/>
  <c r="L4" i="12" a="1"/>
  <c r="B17" i="12" a="1"/>
  <c r="B27" i="12" a="1"/>
  <c r="B9" i="12" a="1"/>
  <c r="B18" i="12" a="1"/>
  <c r="C20" i="12" a="1"/>
  <c r="C19" i="12" a="1"/>
  <c r="E23" i="12" a="1"/>
  <c r="E22" i="12" a="1"/>
  <c r="E11" i="12" a="1"/>
  <c r="L1" i="12" a="1"/>
  <c r="C10" i="12" a="1"/>
  <c r="B13" i="12" a="1"/>
  <c r="E21" i="12" a="1"/>
  <c r="D19" i="12" a="1"/>
  <c r="C18" i="12" a="1"/>
  <c r="D26" i="12" a="1"/>
  <c r="C23" i="12" a="1"/>
  <c r="E14" i="12" a="1"/>
  <c r="C21" i="12" a="1"/>
  <c r="E9" i="12" a="1"/>
  <c r="D27" i="12" a="1"/>
  <c r="B22" i="12" a="1"/>
  <c r="C28" i="12" a="1"/>
  <c r="D25" i="12" a="1"/>
  <c r="B15" i="12" a="1"/>
  <c r="E16" i="12" a="1"/>
  <c r="B14" i="12" a="1"/>
  <c r="B23" i="12" a="1"/>
  <c r="E13" i="12" a="1"/>
  <c r="D12" i="12" a="1"/>
  <c r="E27" i="12" a="1"/>
  <c r="C15" i="12" a="1"/>
  <c r="D22" i="12" a="1"/>
  <c r="C27" i="12" a="1"/>
  <c r="B26" i="12" a="1"/>
  <c r="D17" i="12" a="1"/>
  <c r="L5" i="12" a="1"/>
  <c r="B8" i="12" a="1"/>
  <c r="B10" i="12" a="1"/>
  <c r="B19" i="12" a="1"/>
  <c r="D28" i="12" a="1"/>
  <c r="C16" i="12" a="1"/>
  <c r="D8" i="12" a="1"/>
  <c r="B28" i="12" a="1"/>
  <c r="C10" i="11" a="1"/>
  <c r="C23" i="11" a="1"/>
  <c r="D27" i="11" a="1"/>
  <c r="E9" i="11" a="1"/>
  <c r="D21" i="11" a="1"/>
  <c r="E10" i="11" a="1"/>
  <c r="D11" i="11" a="1"/>
  <c r="B25" i="11" a="1"/>
  <c r="B16" i="11" a="1"/>
  <c r="D8" i="11" a="1"/>
  <c r="C16" i="11" a="1"/>
  <c r="D22" i="11" a="1"/>
  <c r="D9" i="11" a="1"/>
  <c r="B24" i="11" a="1"/>
  <c r="C17" i="11" a="1"/>
  <c r="D10" i="11" a="1"/>
  <c r="E26" i="11" a="1"/>
  <c r="B8" i="11" a="1"/>
  <c r="D20" i="11" a="1"/>
  <c r="C24" i="11" a="1"/>
  <c r="B20" i="11" a="1"/>
  <c r="C18" i="11" a="1"/>
  <c r="L5" i="11" a="1"/>
  <c r="L2" i="11" a="1"/>
  <c r="E20" i="11" a="1"/>
  <c r="E22" i="11" a="1"/>
  <c r="C26" i="11" a="1"/>
  <c r="D28" i="11" a="1"/>
  <c r="C27" i="11" a="1"/>
  <c r="C14" i="11" a="1"/>
  <c r="C12" i="11" a="1"/>
  <c r="C21" i="11" a="1"/>
  <c r="B23" i="11" a="1"/>
  <c r="E21" i="11" a="1"/>
  <c r="C9" i="11" a="1"/>
  <c r="E14" i="11" a="1"/>
  <c r="B27" i="11" a="1"/>
  <c r="L1" i="11" a="1"/>
  <c r="B11" i="11" a="1"/>
  <c r="B13" i="11" a="1"/>
  <c r="C8" i="11" a="1"/>
  <c r="B10" i="11" a="1"/>
  <c r="D15" i="11" a="1"/>
  <c r="E24" i="11" a="1"/>
  <c r="D13" i="11" a="1"/>
  <c r="C15" i="11" a="1"/>
  <c r="D16" i="11" a="1"/>
  <c r="D25" i="11" a="1"/>
  <c r="B9" i="11" a="1"/>
  <c r="E8" i="11" a="1"/>
  <c r="D19" i="11" a="1"/>
  <c r="B26" i="11" a="1"/>
  <c r="C25" i="11" a="1"/>
  <c r="E18" i="11" a="1"/>
  <c r="C22" i="11" a="1"/>
  <c r="C13" i="11" a="1"/>
  <c r="L4" i="11" a="1"/>
  <c r="C19" i="11" a="1"/>
  <c r="C11" i="11" a="1"/>
  <c r="E28" i="11" a="1"/>
  <c r="E17" i="11" a="1"/>
  <c r="B22" i="11" a="1"/>
  <c r="E19" i="11" a="1"/>
  <c r="D12" i="11" a="1"/>
  <c r="B15" i="11" a="1"/>
  <c r="B17" i="11" a="1"/>
  <c r="D26" i="11" a="1"/>
  <c r="E11" i="11" a="1"/>
  <c r="E23" i="11" a="1"/>
  <c r="E13" i="11" a="1"/>
  <c r="B19" i="11" a="1"/>
  <c r="E15" i="11" a="1"/>
  <c r="E27" i="11" a="1"/>
  <c r="D14" i="11" a="1"/>
  <c r="B18" i="11" a="1"/>
  <c r="B21" i="11" a="1"/>
  <c r="E16" i="11" a="1"/>
  <c r="D17" i="11" a="1"/>
  <c r="C20" i="11" a="1"/>
  <c r="D24" i="11" a="1"/>
  <c r="E12" i="11" a="1"/>
  <c r="C28" i="11" a="1"/>
  <c r="B14" i="11" a="1"/>
  <c r="B28" i="11" a="1"/>
  <c r="D23" i="11" a="1"/>
  <c r="E25" i="11" a="1"/>
  <c r="D18" i="11" a="1"/>
  <c r="B12" i="11" a="1"/>
  <c r="D15" i="10" a="1"/>
  <c r="C18" i="10" a="1"/>
  <c r="B10" i="10" a="1"/>
  <c r="E28" i="10" a="1"/>
  <c r="D23" i="10" a="1"/>
  <c r="E20" i="10" a="1"/>
  <c r="C16" i="10" a="1"/>
  <c r="D27" i="10" a="1"/>
  <c r="D12" i="10" a="1"/>
  <c r="E12" i="10" a="1"/>
  <c r="C22" i="10" a="1"/>
  <c r="L2" i="10" a="1"/>
  <c r="D11" i="10" a="1"/>
  <c r="E16" i="10" a="1"/>
  <c r="B28" i="10" a="1"/>
  <c r="B16" i="10" a="1"/>
  <c r="E18" i="10" a="1"/>
  <c r="E15" i="10" a="1"/>
  <c r="E25" i="10" a="1"/>
  <c r="B12" i="10" a="1"/>
  <c r="E27" i="10" a="1"/>
  <c r="D26" i="10" a="1"/>
  <c r="E24" i="10" a="1"/>
  <c r="D24" i="10" a="1"/>
  <c r="D18" i="10" a="1"/>
  <c r="C17" i="10" a="1"/>
  <c r="E21" i="10" a="1"/>
  <c r="C24" i="10" a="1"/>
  <c r="D13" i="10" a="1"/>
  <c r="C10" i="10" a="1"/>
  <c r="D25" i="10" a="1"/>
  <c r="E17" i="10" a="1"/>
  <c r="B21" i="10" a="1"/>
  <c r="D20" i="10" a="1"/>
  <c r="D9" i="10" a="1"/>
  <c r="B14" i="10" a="1"/>
  <c r="L1" i="10" a="1"/>
  <c r="C9" i="10" a="1"/>
  <c r="C13" i="10" a="1"/>
  <c r="B24" i="10" a="1"/>
  <c r="C8" i="10" a="1"/>
  <c r="D17" i="10" a="1"/>
  <c r="C15" i="10" a="1"/>
  <c r="B26" i="10" a="1"/>
  <c r="L5" i="10" a="1"/>
  <c r="D16" i="10" a="1"/>
  <c r="E22" i="10" a="1"/>
  <c r="B19" i="10" a="1"/>
  <c r="B17" i="10" a="1"/>
  <c r="D19" i="10" a="1"/>
  <c r="B23" i="10" a="1"/>
  <c r="E10" i="10" a="1"/>
  <c r="C27" i="10" a="1"/>
  <c r="E23" i="10" a="1"/>
  <c r="B27" i="10" a="1"/>
  <c r="D21" i="10" a="1"/>
  <c r="B15" i="10" a="1"/>
  <c r="B13" i="10" a="1"/>
  <c r="E8" i="10" a="1"/>
  <c r="C14" i="10" a="1"/>
  <c r="E9" i="10" a="1"/>
  <c r="E26" i="10" a="1"/>
  <c r="B18" i="10" a="1"/>
  <c r="B9" i="10" a="1"/>
  <c r="L4" i="10" a="1"/>
  <c r="C20" i="10" a="1"/>
  <c r="C11" i="10" a="1"/>
  <c r="E19" i="10" a="1"/>
  <c r="B22" i="10" a="1"/>
  <c r="B11" i="10" a="1"/>
  <c r="E14" i="10" a="1"/>
  <c r="D8" i="10" a="1"/>
  <c r="E13" i="10" a="1"/>
  <c r="E11" i="10" a="1"/>
  <c r="B8" i="10" a="1"/>
  <c r="C23" i="10" a="1"/>
  <c r="C19" i="10" a="1"/>
  <c r="C26" i="10" a="1"/>
  <c r="C25" i="10" a="1"/>
  <c r="B20" i="10" a="1"/>
  <c r="C28" i="10" a="1"/>
  <c r="B25" i="10" a="1"/>
  <c r="D14" i="10" a="1"/>
  <c r="C21" i="10" a="1"/>
  <c r="C12" i="10" a="1"/>
  <c r="D28" i="10" a="1"/>
  <c r="D22" i="10" a="1"/>
  <c r="D10" i="10" a="1"/>
  <c r="L2" i="9" a="1"/>
  <c r="D28" i="9" a="1"/>
  <c r="E24" i="9" a="1"/>
  <c r="B28" i="9" a="1"/>
  <c r="E25" i="9" a="1"/>
  <c r="B19" i="9" a="1"/>
  <c r="C17" i="9" a="1"/>
  <c r="E11" i="9" a="1"/>
  <c r="D10" i="9" a="1"/>
  <c r="C21" i="9" a="1"/>
  <c r="B14" i="9" a="1"/>
  <c r="L4" i="9" a="1"/>
  <c r="D22" i="9" a="1"/>
  <c r="E14" i="9" a="1"/>
  <c r="B13" i="9" a="1"/>
  <c r="C19" i="9" a="1"/>
  <c r="E30" i="9" a="1"/>
  <c r="D20" i="9" a="1"/>
  <c r="E12" i="9" a="1"/>
  <c r="C18" i="9" a="1"/>
  <c r="D13" i="9" a="1"/>
  <c r="B26" i="9" a="1"/>
  <c r="B30" i="9" a="1"/>
  <c r="B12" i="9" a="1"/>
  <c r="C20" i="9" a="1"/>
  <c r="D23" i="9" a="1"/>
  <c r="D15" i="9" a="1"/>
  <c r="D17" i="9" a="1"/>
  <c r="C11" i="9" a="1"/>
  <c r="L1" i="9" a="1"/>
  <c r="C16" i="9" a="1"/>
  <c r="E21" i="9" a="1"/>
  <c r="E29" i="9" a="1"/>
  <c r="E23" i="9" a="1"/>
  <c r="D14" i="9" a="1"/>
  <c r="E27" i="9" a="1"/>
  <c r="C24" i="9" a="1"/>
  <c r="E15" i="9" a="1"/>
  <c r="E22" i="9" a="1"/>
  <c r="C30" i="9" a="1"/>
  <c r="C27" i="9" a="1"/>
  <c r="D24" i="9" a="1"/>
  <c r="B29" i="9" a="1"/>
  <c r="B17" i="9" a="1"/>
  <c r="E20" i="9" a="1"/>
  <c r="C29" i="9" a="1"/>
  <c r="C28" i="9" a="1"/>
  <c r="D26" i="9" a="1"/>
  <c r="E13" i="9" a="1"/>
  <c r="B27" i="9" a="1"/>
  <c r="B16" i="9" a="1"/>
  <c r="D19" i="9" a="1"/>
  <c r="B24" i="9" a="1"/>
  <c r="D21" i="9" a="1"/>
  <c r="B20" i="9" a="1"/>
  <c r="L5" i="9" a="1"/>
  <c r="D16" i="9" a="1"/>
  <c r="D30" i="9" a="1"/>
  <c r="C13" i="9" a="1"/>
  <c r="C15" i="9" a="1"/>
  <c r="C22" i="9" a="1"/>
  <c r="B18" i="9" a="1"/>
  <c r="B10" i="9" a="1"/>
  <c r="C10" i="9" a="1"/>
  <c r="D25" i="9" a="1"/>
  <c r="C12" i="9" a="1"/>
  <c r="D11" i="9" a="1"/>
  <c r="C26" i="9" a="1"/>
  <c r="D29" i="9" a="1"/>
  <c r="D12" i="9" a="1"/>
  <c r="E28" i="9" a="1"/>
  <c r="B22" i="9" a="1"/>
  <c r="B11" i="9" a="1"/>
  <c r="B23" i="9" a="1"/>
  <c r="C14" i="9" a="1"/>
  <c r="D27" i="9" a="1"/>
  <c r="E19" i="9" a="1"/>
  <c r="E18" i="9" a="1"/>
  <c r="C23" i="9" a="1"/>
  <c r="B21" i="9" a="1"/>
  <c r="C25" i="9" a="1"/>
  <c r="E10" i="9" a="1"/>
  <c r="E26" i="9" a="1"/>
  <c r="E16" i="9" a="1"/>
  <c r="E17" i="9" a="1"/>
  <c r="B25" i="9" a="1"/>
  <c r="D18" i="9" a="1"/>
  <c r="B15" i="9" a="1"/>
  <c r="D13" i="16" l="1"/>
  <c r="C60" i="16"/>
  <c r="C80" i="16"/>
  <c r="C72" i="16"/>
  <c r="C68" i="16"/>
  <c r="C75" i="16"/>
  <c r="C71" i="16"/>
  <c r="C67" i="16"/>
  <c r="C63" i="16"/>
  <c r="C76" i="16"/>
  <c r="C64" i="16"/>
  <c r="C79" i="16"/>
  <c r="C74" i="16"/>
  <c r="C78" i="16"/>
  <c r="C70" i="16"/>
  <c r="C66" i="16"/>
  <c r="C62" i="16"/>
  <c r="C77" i="16"/>
  <c r="C73" i="16"/>
  <c r="C69" i="16"/>
  <c r="C65" i="16"/>
  <c r="C61" i="16"/>
  <c r="D60" i="16"/>
  <c r="D76" i="16"/>
  <c r="D68" i="16"/>
  <c r="D79" i="16"/>
  <c r="D71" i="16"/>
  <c r="D63" i="16"/>
  <c r="D78" i="16"/>
  <c r="D74" i="16"/>
  <c r="D70" i="16"/>
  <c r="D66" i="16"/>
  <c r="D62" i="16"/>
  <c r="D80" i="16"/>
  <c r="D72" i="16"/>
  <c r="D64" i="16"/>
  <c r="D75" i="16"/>
  <c r="D67" i="16"/>
  <c r="D77" i="16"/>
  <c r="D73" i="16"/>
  <c r="D69" i="16"/>
  <c r="D65" i="16"/>
  <c r="D61" i="16"/>
  <c r="E60" i="16"/>
  <c r="E80" i="16"/>
  <c r="E72" i="16"/>
  <c r="E64" i="16"/>
  <c r="E79" i="16"/>
  <c r="E75" i="16"/>
  <c r="E71" i="16"/>
  <c r="E67" i="16"/>
  <c r="E63" i="16"/>
  <c r="E76" i="16"/>
  <c r="E68" i="16"/>
  <c r="E78" i="16"/>
  <c r="E74" i="16"/>
  <c r="E70" i="16"/>
  <c r="E66" i="16"/>
  <c r="E62" i="16"/>
  <c r="E77" i="16"/>
  <c r="E73" i="16"/>
  <c r="E69" i="16"/>
  <c r="E65" i="16"/>
  <c r="E61" i="16"/>
  <c r="F60" i="16"/>
  <c r="F76" i="16"/>
  <c r="F64" i="16"/>
  <c r="F72" i="16"/>
  <c r="F75" i="16"/>
  <c r="F71" i="16"/>
  <c r="F63" i="16"/>
  <c r="F78" i="16"/>
  <c r="F74" i="16"/>
  <c r="F70" i="16"/>
  <c r="F66" i="16"/>
  <c r="F62" i="16"/>
  <c r="F80" i="16"/>
  <c r="F68" i="16"/>
  <c r="F79" i="16"/>
  <c r="F67" i="16"/>
  <c r="F77" i="16"/>
  <c r="F73" i="16"/>
  <c r="F69" i="16"/>
  <c r="F65" i="16"/>
  <c r="F61" i="16"/>
  <c r="L5" i="12"/>
  <c r="L4" i="12"/>
  <c r="L2" i="12"/>
  <c r="L1" i="12"/>
  <c r="E20" i="12"/>
  <c r="E27" i="12"/>
  <c r="E15" i="12"/>
  <c r="E26" i="12"/>
  <c r="E22" i="12"/>
  <c r="E18" i="12"/>
  <c r="E14" i="12"/>
  <c r="E10" i="12"/>
  <c r="E24" i="12"/>
  <c r="E12" i="12"/>
  <c r="E19" i="12"/>
  <c r="E28" i="12"/>
  <c r="E16" i="12"/>
  <c r="E23" i="12"/>
  <c r="E11" i="12"/>
  <c r="E25" i="12"/>
  <c r="E21" i="12"/>
  <c r="E17" i="12"/>
  <c r="E13" i="12"/>
  <c r="E9" i="12"/>
  <c r="E8" i="12"/>
  <c r="D24" i="12"/>
  <c r="D20" i="12"/>
  <c r="D16" i="12"/>
  <c r="D12" i="12"/>
  <c r="D28" i="12"/>
  <c r="D27" i="12"/>
  <c r="D23" i="12"/>
  <c r="D19" i="12"/>
  <c r="D15" i="12"/>
  <c r="D11" i="12"/>
  <c r="D26" i="12"/>
  <c r="D22" i="12"/>
  <c r="D18" i="12"/>
  <c r="D14" i="12"/>
  <c r="D10" i="12"/>
  <c r="D25" i="12"/>
  <c r="D21" i="12"/>
  <c r="D17" i="12"/>
  <c r="D13" i="12"/>
  <c r="D9" i="12"/>
  <c r="D8" i="12"/>
  <c r="C27" i="12"/>
  <c r="C11" i="12"/>
  <c r="C28" i="12"/>
  <c r="C24" i="12"/>
  <c r="C20" i="12"/>
  <c r="C16" i="12"/>
  <c r="C12" i="12"/>
  <c r="C19" i="12"/>
  <c r="C14" i="12"/>
  <c r="C23" i="12"/>
  <c r="C15" i="12"/>
  <c r="C26" i="12"/>
  <c r="C22" i="12"/>
  <c r="C18" i="12"/>
  <c r="C10" i="12"/>
  <c r="C25" i="12"/>
  <c r="C21" i="12"/>
  <c r="C17" i="12"/>
  <c r="C13" i="12"/>
  <c r="C9" i="12"/>
  <c r="C8" i="12"/>
  <c r="B28" i="12"/>
  <c r="B16" i="12"/>
  <c r="B19" i="12"/>
  <c r="B11" i="12"/>
  <c r="B26" i="12"/>
  <c r="B22" i="12"/>
  <c r="B18" i="12"/>
  <c r="B14" i="12"/>
  <c r="B10" i="12"/>
  <c r="B20" i="12"/>
  <c r="B27" i="12"/>
  <c r="B24" i="12"/>
  <c r="B12" i="12"/>
  <c r="B23" i="12"/>
  <c r="B15" i="12"/>
  <c r="B25" i="12"/>
  <c r="B21" i="12"/>
  <c r="B17" i="12"/>
  <c r="B13" i="12"/>
  <c r="B9" i="12"/>
  <c r="B8" i="12"/>
  <c r="L4" i="11"/>
  <c r="L5" i="11"/>
  <c r="L2" i="11"/>
  <c r="L1" i="11"/>
  <c r="E26" i="11"/>
  <c r="E22" i="11"/>
  <c r="E25" i="11"/>
  <c r="E21" i="11"/>
  <c r="E28" i="11"/>
  <c r="E20" i="11"/>
  <c r="E24" i="11"/>
  <c r="E27" i="11"/>
  <c r="E23" i="11"/>
  <c r="E19" i="11"/>
  <c r="E18" i="11"/>
  <c r="E16" i="11"/>
  <c r="E12" i="11"/>
  <c r="E15" i="11"/>
  <c r="E10" i="11"/>
  <c r="E11" i="11"/>
  <c r="E14" i="11"/>
  <c r="E17" i="11"/>
  <c r="E13" i="11"/>
  <c r="E9" i="11"/>
  <c r="E8" i="11"/>
  <c r="D24" i="11"/>
  <c r="D16" i="11"/>
  <c r="D12" i="11"/>
  <c r="D27" i="11"/>
  <c r="D23" i="11"/>
  <c r="D19" i="11"/>
  <c r="D15" i="11"/>
  <c r="D11" i="11"/>
  <c r="D20" i="11"/>
  <c r="D10" i="11"/>
  <c r="D28" i="11"/>
  <c r="D26" i="11"/>
  <c r="D22" i="11"/>
  <c r="D18" i="11"/>
  <c r="D14" i="11"/>
  <c r="D25" i="11"/>
  <c r="D21" i="11"/>
  <c r="D17" i="11"/>
  <c r="D13" i="11"/>
  <c r="D9" i="11"/>
  <c r="D8" i="11"/>
  <c r="C27" i="11"/>
  <c r="C19" i="11"/>
  <c r="C15" i="11"/>
  <c r="C11" i="11"/>
  <c r="C18" i="11"/>
  <c r="C10" i="11"/>
  <c r="C28" i="11"/>
  <c r="C24" i="11"/>
  <c r="C20" i="11"/>
  <c r="C16" i="11"/>
  <c r="C12" i="11"/>
  <c r="C26" i="11"/>
  <c r="C23" i="11"/>
  <c r="C22" i="11"/>
  <c r="C14" i="11"/>
  <c r="C25" i="11"/>
  <c r="C21" i="11"/>
  <c r="C17" i="11"/>
  <c r="C13" i="11"/>
  <c r="C9" i="11"/>
  <c r="C8" i="11"/>
  <c r="B28" i="11"/>
  <c r="B23" i="11"/>
  <c r="B26" i="11"/>
  <c r="B22" i="11"/>
  <c r="B18" i="11"/>
  <c r="B14" i="11"/>
  <c r="B10" i="11"/>
  <c r="B20" i="11"/>
  <c r="B12" i="11"/>
  <c r="B11" i="11"/>
  <c r="B24" i="11"/>
  <c r="B16" i="11"/>
  <c r="B27" i="11"/>
  <c r="B19" i="11"/>
  <c r="B15" i="11"/>
  <c r="B25" i="11"/>
  <c r="B21" i="11"/>
  <c r="B17" i="11"/>
  <c r="B13" i="11"/>
  <c r="B9" i="11"/>
  <c r="B8" i="11"/>
  <c r="L5" i="10"/>
  <c r="L4" i="10"/>
  <c r="L2" i="10"/>
  <c r="L1" i="10"/>
  <c r="E28" i="10"/>
  <c r="E24" i="10"/>
  <c r="E20" i="10"/>
  <c r="E16" i="10"/>
  <c r="E12" i="10"/>
  <c r="E27" i="10"/>
  <c r="E23" i="10"/>
  <c r="E19" i="10"/>
  <c r="E15" i="10"/>
  <c r="E11" i="10"/>
  <c r="E10" i="10"/>
  <c r="E26" i="10"/>
  <c r="E22" i="10"/>
  <c r="E18" i="10"/>
  <c r="E14" i="10"/>
  <c r="E25" i="10"/>
  <c r="E21" i="10"/>
  <c r="E17" i="10"/>
  <c r="E13" i="10"/>
  <c r="E9" i="10"/>
  <c r="E8" i="10"/>
  <c r="D24" i="10"/>
  <c r="D20" i="10"/>
  <c r="D12" i="10"/>
  <c r="D27" i="10"/>
  <c r="D23" i="10"/>
  <c r="D19" i="10"/>
  <c r="D15" i="10"/>
  <c r="D11" i="10"/>
  <c r="D26" i="10"/>
  <c r="D22" i="10"/>
  <c r="D18" i="10"/>
  <c r="D14" i="10"/>
  <c r="D10" i="10"/>
  <c r="D28" i="10"/>
  <c r="D16" i="10"/>
  <c r="D25" i="10"/>
  <c r="D21" i="10"/>
  <c r="D17" i="10"/>
  <c r="D13" i="10"/>
  <c r="D9" i="10"/>
  <c r="D8" i="10"/>
  <c r="C27" i="10"/>
  <c r="C11" i="10"/>
  <c r="C28" i="10"/>
  <c r="C24" i="10"/>
  <c r="C20" i="10"/>
  <c r="C16" i="10"/>
  <c r="C12" i="10"/>
  <c r="C19" i="10"/>
  <c r="C22" i="10"/>
  <c r="C23" i="10"/>
  <c r="C15" i="10"/>
  <c r="C26" i="10"/>
  <c r="C18" i="10"/>
  <c r="C14" i="10"/>
  <c r="C10" i="10"/>
  <c r="C25" i="10"/>
  <c r="C21" i="10"/>
  <c r="C17" i="10"/>
  <c r="C13" i="10"/>
  <c r="C9" i="10"/>
  <c r="C8" i="10"/>
  <c r="B28" i="10"/>
  <c r="B24" i="10"/>
  <c r="B16" i="10"/>
  <c r="B23" i="10"/>
  <c r="B11" i="10"/>
  <c r="B26" i="10"/>
  <c r="B22" i="10"/>
  <c r="B18" i="10"/>
  <c r="B14" i="10"/>
  <c r="B10" i="10"/>
  <c r="B19" i="10"/>
  <c r="B20" i="10"/>
  <c r="B12" i="10"/>
  <c r="B27" i="10"/>
  <c r="B15" i="10"/>
  <c r="B25" i="10"/>
  <c r="B21" i="10"/>
  <c r="B17" i="10"/>
  <c r="B13" i="10"/>
  <c r="B9" i="10"/>
  <c r="B8" i="10"/>
  <c r="L5" i="9"/>
  <c r="L4" i="9"/>
  <c r="L2" i="9"/>
  <c r="L1" i="9"/>
  <c r="E29" i="9"/>
  <c r="E21" i="9"/>
  <c r="E30" i="9"/>
  <c r="E26" i="9"/>
  <c r="E22" i="9"/>
  <c r="E18" i="9"/>
  <c r="E14" i="9"/>
  <c r="E25" i="9"/>
  <c r="E17" i="9"/>
  <c r="E13" i="9"/>
  <c r="E28" i="9"/>
  <c r="E24" i="9"/>
  <c r="E20" i="9"/>
  <c r="E16" i="9"/>
  <c r="E12" i="9"/>
  <c r="E27" i="9"/>
  <c r="E23" i="9"/>
  <c r="E19" i="9"/>
  <c r="E15" i="9"/>
  <c r="E11" i="9"/>
  <c r="E10" i="9"/>
  <c r="D26" i="9"/>
  <c r="D29" i="9"/>
  <c r="D21" i="9"/>
  <c r="D28" i="9"/>
  <c r="D24" i="9"/>
  <c r="D16" i="9"/>
  <c r="D12" i="9"/>
  <c r="D22" i="9"/>
  <c r="D14" i="9"/>
  <c r="D25" i="9"/>
  <c r="D17" i="9"/>
  <c r="D13" i="9"/>
  <c r="D20" i="9"/>
  <c r="D30" i="9"/>
  <c r="D18" i="9"/>
  <c r="D27" i="9"/>
  <c r="D23" i="9"/>
  <c r="D19" i="9"/>
  <c r="D15" i="9"/>
  <c r="D11" i="9"/>
  <c r="D10" i="9"/>
  <c r="C30" i="9"/>
  <c r="C22" i="9"/>
  <c r="C14" i="9"/>
  <c r="C25" i="9"/>
  <c r="C28" i="9"/>
  <c r="C24" i="9"/>
  <c r="C20" i="9"/>
  <c r="C16" i="9"/>
  <c r="C12" i="9"/>
  <c r="C13" i="9"/>
  <c r="C26" i="9"/>
  <c r="C18" i="9"/>
  <c r="C29" i="9"/>
  <c r="C21" i="9"/>
  <c r="C17" i="9"/>
  <c r="C27" i="9"/>
  <c r="C23" i="9"/>
  <c r="C19" i="9"/>
  <c r="C15" i="9"/>
  <c r="C11" i="9"/>
  <c r="C10" i="9"/>
  <c r="B26" i="9"/>
  <c r="B29" i="9"/>
  <c r="B25" i="9"/>
  <c r="B21" i="9"/>
  <c r="B17" i="9"/>
  <c r="B13" i="9"/>
  <c r="B30" i="9"/>
  <c r="B22" i="9"/>
  <c r="B18" i="9"/>
  <c r="B14" i="9"/>
  <c r="B28" i="9"/>
  <c r="B24" i="9"/>
  <c r="B20" i="9"/>
  <c r="B16" i="9"/>
  <c r="B12" i="9"/>
  <c r="B27" i="9"/>
  <c r="B23" i="9"/>
  <c r="B19" i="9"/>
  <c r="B15" i="9"/>
  <c r="B11" i="9"/>
  <c r="B10" i="9"/>
  <c r="L5" i="8"/>
  <c r="L4" i="8"/>
  <c r="L2" i="8"/>
  <c r="L1" i="8"/>
  <c r="E24" i="8"/>
  <c r="E16" i="8"/>
  <c r="E29" i="8"/>
  <c r="E25" i="8"/>
  <c r="E21" i="8"/>
  <c r="E17" i="8"/>
  <c r="E13" i="8"/>
  <c r="E23" i="8"/>
  <c r="E19" i="8"/>
  <c r="E15" i="8"/>
  <c r="E11" i="8"/>
  <c r="E28" i="8"/>
  <c r="E20" i="8"/>
  <c r="E12" i="8"/>
  <c r="E27" i="8"/>
  <c r="E26" i="8"/>
  <c r="E22" i="8"/>
  <c r="E18" i="8"/>
  <c r="E14" i="8"/>
  <c r="E10" i="8"/>
  <c r="E9" i="8"/>
  <c r="D29" i="8"/>
  <c r="D21" i="8"/>
  <c r="D13" i="8"/>
  <c r="D28" i="8"/>
  <c r="D24" i="8"/>
  <c r="D20" i="8"/>
  <c r="D16" i="8"/>
  <c r="D12" i="8"/>
  <c r="D27" i="8"/>
  <c r="D23" i="8"/>
  <c r="D19" i="8"/>
  <c r="D15" i="8"/>
  <c r="D11" i="8"/>
  <c r="D25" i="8"/>
  <c r="D17" i="8"/>
  <c r="D26" i="8"/>
  <c r="D22" i="8"/>
  <c r="D18" i="8"/>
  <c r="D14" i="8"/>
  <c r="D10" i="8"/>
  <c r="D9" i="8"/>
  <c r="C16" i="8"/>
  <c r="C29" i="8"/>
  <c r="C25" i="8"/>
  <c r="C21" i="8"/>
  <c r="C17" i="8"/>
  <c r="C13" i="8"/>
  <c r="C28" i="8"/>
  <c r="C20" i="8"/>
  <c r="C12" i="8"/>
  <c r="C27" i="8"/>
  <c r="C23" i="8"/>
  <c r="C19" i="8"/>
  <c r="C15" i="8"/>
  <c r="C11" i="8"/>
  <c r="C24" i="8"/>
  <c r="C26" i="8"/>
  <c r="C22" i="8"/>
  <c r="C18" i="8"/>
  <c r="C14" i="8"/>
  <c r="C10" i="8"/>
  <c r="C9" i="8"/>
  <c r="B24" i="8"/>
  <c r="B27" i="8"/>
  <c r="B19" i="8"/>
  <c r="B29" i="8"/>
  <c r="B25" i="8"/>
  <c r="B21" i="8"/>
  <c r="B17" i="8"/>
  <c r="B13" i="8"/>
  <c r="B20" i="8"/>
  <c r="B15" i="8"/>
  <c r="B28" i="8"/>
  <c r="B16" i="8"/>
  <c r="B12" i="8"/>
  <c r="B23" i="8"/>
  <c r="B11" i="8"/>
  <c r="B26" i="8"/>
  <c r="B22" i="8"/>
  <c r="B18" i="8"/>
  <c r="B14" i="8"/>
  <c r="B10" i="8"/>
  <c r="B9" i="8"/>
  <c r="L5" i="7"/>
  <c r="L4" i="7"/>
  <c r="L2" i="7"/>
  <c r="L1" i="7"/>
  <c r="E28" i="7"/>
  <c r="E16" i="7"/>
  <c r="E27" i="7"/>
  <c r="E23" i="7"/>
  <c r="E19" i="7"/>
  <c r="E15" i="7"/>
  <c r="E11" i="7"/>
  <c r="E20" i="7"/>
  <c r="E12" i="7"/>
  <c r="E26" i="7"/>
  <c r="E22" i="7"/>
  <c r="E18" i="7"/>
  <c r="E14" i="7"/>
  <c r="E10" i="7"/>
  <c r="E24" i="7"/>
  <c r="E25" i="7"/>
  <c r="E21" i="7"/>
  <c r="E17" i="7"/>
  <c r="E13" i="7"/>
  <c r="E9" i="7"/>
  <c r="E8" i="7"/>
  <c r="D20" i="7"/>
  <c r="D12" i="7"/>
  <c r="D23" i="7"/>
  <c r="D19" i="7"/>
  <c r="D15" i="7"/>
  <c r="D11" i="7"/>
  <c r="D28" i="7"/>
  <c r="D27" i="7"/>
  <c r="D22" i="7"/>
  <c r="D10" i="7"/>
  <c r="D24" i="7"/>
  <c r="D16" i="7"/>
  <c r="D26" i="7"/>
  <c r="D18" i="7"/>
  <c r="D14" i="7"/>
  <c r="D25" i="7"/>
  <c r="D21" i="7"/>
  <c r="D17" i="7"/>
  <c r="D13" i="7"/>
  <c r="D9" i="7"/>
  <c r="D8" i="7"/>
  <c r="C28" i="7"/>
  <c r="C20" i="7"/>
  <c r="C16" i="7"/>
  <c r="C12" i="7"/>
  <c r="C23" i="7"/>
  <c r="C11" i="7"/>
  <c r="C10" i="7"/>
  <c r="C24" i="7"/>
  <c r="C27" i="7"/>
  <c r="C19" i="7"/>
  <c r="C15" i="7"/>
  <c r="C26" i="7"/>
  <c r="C22" i="7"/>
  <c r="C18" i="7"/>
  <c r="C14" i="7"/>
  <c r="C25" i="7"/>
  <c r="C21" i="7"/>
  <c r="C17" i="7"/>
  <c r="C13" i="7"/>
  <c r="C9" i="7"/>
  <c r="C8" i="7"/>
  <c r="B25" i="7"/>
  <c r="B21" i="7"/>
  <c r="B17" i="7"/>
  <c r="B13" i="7"/>
  <c r="B9" i="7"/>
  <c r="B28" i="7"/>
  <c r="B24" i="7"/>
  <c r="B20" i="7"/>
  <c r="B16" i="7"/>
  <c r="B12" i="7"/>
  <c r="B27" i="7"/>
  <c r="B23" i="7"/>
  <c r="B19" i="7"/>
  <c r="B15" i="7"/>
  <c r="B11" i="7"/>
  <c r="B26" i="7"/>
  <c r="B22" i="7"/>
  <c r="B18" i="7"/>
  <c r="B14" i="7"/>
  <c r="B10" i="7"/>
  <c r="B8" i="7"/>
  <c r="L5" i="6"/>
  <c r="L4" i="6"/>
  <c r="L2" i="6"/>
  <c r="L1" i="6"/>
  <c r="E27" i="6"/>
  <c r="E19" i="6"/>
  <c r="E26" i="6"/>
  <c r="E18" i="6"/>
  <c r="E10" i="6"/>
  <c r="E28" i="6"/>
  <c r="E24" i="6"/>
  <c r="E20" i="6"/>
  <c r="E16" i="6"/>
  <c r="E12" i="6"/>
  <c r="E11" i="6"/>
  <c r="E23" i="6"/>
  <c r="E15" i="6"/>
  <c r="E22" i="6"/>
  <c r="E14" i="6"/>
  <c r="E25" i="6"/>
  <c r="E21" i="6"/>
  <c r="E17" i="6"/>
  <c r="E13" i="6"/>
  <c r="E9" i="6"/>
  <c r="E8" i="6"/>
  <c r="D24" i="6"/>
  <c r="D12" i="6"/>
  <c r="D27" i="6"/>
  <c r="D23" i="6"/>
  <c r="D19" i="6"/>
  <c r="D15" i="6"/>
  <c r="D11" i="6"/>
  <c r="D26" i="6"/>
  <c r="D22" i="6"/>
  <c r="D18" i="6"/>
  <c r="D14" i="6"/>
  <c r="D10" i="6"/>
  <c r="D20" i="6"/>
  <c r="D28" i="6"/>
  <c r="D16" i="6"/>
  <c r="D25" i="6"/>
  <c r="D21" i="6"/>
  <c r="D17" i="6"/>
  <c r="D13" i="6"/>
  <c r="D9" i="6"/>
  <c r="D8" i="6"/>
  <c r="C28" i="6"/>
  <c r="C20" i="6"/>
  <c r="C12" i="6"/>
  <c r="C27" i="6"/>
  <c r="C23" i="6"/>
  <c r="C19" i="6"/>
  <c r="C11" i="6"/>
  <c r="C26" i="6"/>
  <c r="C22" i="6"/>
  <c r="C18" i="6"/>
  <c r="C14" i="6"/>
  <c r="C10" i="6"/>
  <c r="C24" i="6"/>
  <c r="C16" i="6"/>
  <c r="C15" i="6"/>
  <c r="C25" i="6"/>
  <c r="C21" i="6"/>
  <c r="C17" i="6"/>
  <c r="C13" i="6"/>
  <c r="C9" i="6"/>
  <c r="C8" i="6"/>
  <c r="B25" i="6"/>
  <c r="B21" i="6"/>
  <c r="B17" i="6"/>
  <c r="B13" i="6"/>
  <c r="B9" i="6"/>
  <c r="B28" i="6"/>
  <c r="B24" i="6"/>
  <c r="B20" i="6"/>
  <c r="B16" i="6"/>
  <c r="B12" i="6"/>
  <c r="B27" i="6"/>
  <c r="B23" i="6"/>
  <c r="B19" i="6"/>
  <c r="B15" i="6"/>
  <c r="B11" i="6"/>
  <c r="B26" i="6"/>
  <c r="B22" i="6"/>
  <c r="B18" i="6"/>
  <c r="B14" i="6"/>
  <c r="B10" i="6"/>
  <c r="B8" i="6"/>
  <c r="L5" i="5"/>
  <c r="L4" i="5"/>
  <c r="L2" i="5"/>
  <c r="L1" i="5"/>
  <c r="E28" i="5"/>
  <c r="E24" i="5"/>
  <c r="E20" i="5"/>
  <c r="E16" i="5"/>
  <c r="E12" i="5"/>
  <c r="E27" i="5"/>
  <c r="E19" i="5"/>
  <c r="E26" i="5"/>
  <c r="E22" i="5"/>
  <c r="E18" i="5"/>
  <c r="E14" i="5"/>
  <c r="E10" i="5"/>
  <c r="E23" i="5"/>
  <c r="E15" i="5"/>
  <c r="E11" i="5"/>
  <c r="E25" i="5"/>
  <c r="E21" i="5"/>
  <c r="E17" i="5"/>
  <c r="E13" i="5"/>
  <c r="E9" i="5"/>
  <c r="E8" i="5"/>
  <c r="D28" i="5"/>
  <c r="D20" i="5"/>
  <c r="D12" i="5"/>
  <c r="D23" i="5"/>
  <c r="D15" i="5"/>
  <c r="D11" i="5"/>
  <c r="D26" i="5"/>
  <c r="D22" i="5"/>
  <c r="D18" i="5"/>
  <c r="D14" i="5"/>
  <c r="D10" i="5"/>
  <c r="D24" i="5"/>
  <c r="D16" i="5"/>
  <c r="D27" i="5"/>
  <c r="D19" i="5"/>
  <c r="D25" i="5"/>
  <c r="D21" i="5"/>
  <c r="D17" i="5"/>
  <c r="D13" i="5"/>
  <c r="D9" i="5"/>
  <c r="D8" i="5"/>
  <c r="C28" i="5"/>
  <c r="C20" i="5"/>
  <c r="C12" i="5"/>
  <c r="C23" i="5"/>
  <c r="C15" i="5"/>
  <c r="C26" i="5"/>
  <c r="C22" i="5"/>
  <c r="C18" i="5"/>
  <c r="C14" i="5"/>
  <c r="C10" i="5"/>
  <c r="C24" i="5"/>
  <c r="C16" i="5"/>
  <c r="C27" i="5"/>
  <c r="C19" i="5"/>
  <c r="C11" i="5"/>
  <c r="C25" i="5"/>
  <c r="C21" i="5"/>
  <c r="C17" i="5"/>
  <c r="C13" i="5"/>
  <c r="C9" i="5"/>
  <c r="C8" i="5"/>
  <c r="B24" i="5"/>
  <c r="B20" i="5"/>
  <c r="B16" i="5"/>
  <c r="B12" i="5"/>
  <c r="B23" i="5"/>
  <c r="B15" i="5"/>
  <c r="B10" i="5"/>
  <c r="B28" i="5"/>
  <c r="B27" i="5"/>
  <c r="B19" i="5"/>
  <c r="B11" i="5"/>
  <c r="B26" i="5"/>
  <c r="B22" i="5"/>
  <c r="B18" i="5"/>
  <c r="B14" i="5"/>
  <c r="B25" i="5"/>
  <c r="B21" i="5"/>
  <c r="B17" i="5"/>
  <c r="B13" i="5"/>
  <c r="B9" i="5"/>
  <c r="B8" i="5"/>
  <c r="L5" i="4"/>
  <c r="L4" i="4"/>
  <c r="L2" i="4"/>
  <c r="L1" i="4"/>
  <c r="E30" i="4"/>
  <c r="E26" i="4"/>
  <c r="E22" i="4"/>
  <c r="E18" i="4"/>
  <c r="E14" i="4"/>
  <c r="E29" i="4"/>
  <c r="E25" i="4"/>
  <c r="E21" i="4"/>
  <c r="E17" i="4"/>
  <c r="E13" i="4"/>
  <c r="E28" i="4"/>
  <c r="E24" i="4"/>
  <c r="E20" i="4"/>
  <c r="E16" i="4"/>
  <c r="E12" i="4"/>
  <c r="E27" i="4"/>
  <c r="E23" i="4"/>
  <c r="E19" i="4"/>
  <c r="E15" i="4"/>
  <c r="E11" i="4"/>
  <c r="E10" i="4"/>
  <c r="D25" i="4"/>
  <c r="D17" i="4"/>
  <c r="D20" i="4"/>
  <c r="D12" i="4"/>
  <c r="D30" i="4"/>
  <c r="D26" i="4"/>
  <c r="D22" i="4"/>
  <c r="D18" i="4"/>
  <c r="D14" i="4"/>
  <c r="D13" i="4"/>
  <c r="D29" i="4"/>
  <c r="D21" i="4"/>
  <c r="D28" i="4"/>
  <c r="D24" i="4"/>
  <c r="D16" i="4"/>
  <c r="D27" i="4"/>
  <c r="D23" i="4"/>
  <c r="D19" i="4"/>
  <c r="D15" i="4"/>
  <c r="D11" i="4"/>
  <c r="D10" i="4"/>
  <c r="C26" i="4"/>
  <c r="C22" i="4"/>
  <c r="C18" i="4"/>
  <c r="C14" i="4"/>
  <c r="C29" i="4"/>
  <c r="C21" i="4"/>
  <c r="C13" i="4"/>
  <c r="C28" i="4"/>
  <c r="C24" i="4"/>
  <c r="C20" i="4"/>
  <c r="C16" i="4"/>
  <c r="C12" i="4"/>
  <c r="C30" i="4"/>
  <c r="C25" i="4"/>
  <c r="C17" i="4"/>
  <c r="C27" i="4"/>
  <c r="C23" i="4"/>
  <c r="C19" i="4"/>
  <c r="C15" i="4"/>
  <c r="C11" i="4"/>
  <c r="C10" i="4"/>
  <c r="B17" i="4"/>
  <c r="B30" i="4"/>
  <c r="B26" i="4"/>
  <c r="B22" i="4"/>
  <c r="B18" i="4"/>
  <c r="B14" i="4"/>
  <c r="B25" i="4"/>
  <c r="B13" i="4"/>
  <c r="B28" i="4"/>
  <c r="B24" i="4"/>
  <c r="B20" i="4"/>
  <c r="B16" i="4"/>
  <c r="B12" i="4"/>
  <c r="B29" i="4"/>
  <c r="B21" i="4"/>
  <c r="B27" i="4"/>
  <c r="B23" i="4"/>
  <c r="B19" i="4"/>
  <c r="B15" i="4"/>
  <c r="B11" i="4"/>
  <c r="B10" i="4"/>
  <c r="L5" i="2"/>
  <c r="L4" i="2"/>
  <c r="L5" i="1"/>
  <c r="L4" i="1"/>
  <c r="L5" i="3"/>
  <c r="L4" i="3"/>
  <c r="L2" i="3"/>
  <c r="L1" i="3"/>
  <c r="E9" i="3"/>
  <c r="D9" i="3"/>
  <c r="C9" i="3"/>
  <c r="B9" i="3"/>
  <c r="A10" i="3"/>
  <c r="D6" i="3"/>
  <c r="D5" i="3"/>
  <c r="H2" i="3"/>
  <c r="A17" i="2"/>
  <c r="A18" i="2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8" i="1"/>
  <c r="A27" i="1"/>
  <c r="A17" i="1"/>
  <c r="A18" i="1"/>
  <c r="A19" i="1"/>
  <c r="A20" i="1"/>
  <c r="A21" i="1"/>
  <c r="A22" i="1"/>
  <c r="A23" i="1" s="1"/>
  <c r="A24" i="1" s="1"/>
  <c r="A25" i="1" s="1"/>
  <c r="A26" i="1" s="1"/>
  <c r="D5" i="2"/>
  <c r="D4" i="2"/>
  <c r="H2" i="2"/>
  <c r="A9" i="2" s="1"/>
  <c r="A10" i="2" s="1"/>
  <c r="A11" i="2" s="1"/>
  <c r="A12" i="2" s="1"/>
  <c r="A13" i="2" s="1"/>
  <c r="A14" i="2" s="1"/>
  <c r="A15" i="2" s="1"/>
  <c r="A16" i="2" s="1"/>
  <c r="C18" i="16" a="1"/>
  <c r="C38" i="16" a="1"/>
  <c r="C22" i="16" a="1"/>
  <c r="C29" i="16" a="1"/>
  <c r="C20" i="16" a="1"/>
  <c r="C34" i="16" a="1"/>
  <c r="C25" i="16" a="1"/>
  <c r="C30" i="16" a="1"/>
  <c r="C26" i="16" a="1"/>
  <c r="C37" i="16" a="1"/>
  <c r="C33" i="16" a="1"/>
  <c r="C21" i="16" a="1"/>
  <c r="C36" i="16" a="1"/>
  <c r="C32" i="16" a="1"/>
  <c r="C28" i="16" a="1"/>
  <c r="C24" i="16" a="1"/>
  <c r="C35" i="16" a="1"/>
  <c r="C31" i="16" a="1"/>
  <c r="C27" i="16" a="1"/>
  <c r="C23" i="16" a="1"/>
  <c r="C19" i="16" a="1"/>
  <c r="D18" i="16" a="1"/>
  <c r="D34" i="16" a="1"/>
  <c r="D26" i="16" a="1"/>
  <c r="D33" i="16" a="1"/>
  <c r="D21" i="16" a="1"/>
  <c r="D36" i="16" a="1"/>
  <c r="D32" i="16" a="1"/>
  <c r="D28" i="16" a="1"/>
  <c r="D24" i="16" a="1"/>
  <c r="D20" i="16" a="1"/>
  <c r="D29" i="16" a="1"/>
  <c r="D38" i="16" a="1"/>
  <c r="D30" i="16" a="1"/>
  <c r="D22" i="16" a="1"/>
  <c r="D37" i="16" a="1"/>
  <c r="D25" i="16" a="1"/>
  <c r="D35" i="16" a="1"/>
  <c r="D31" i="16" a="1"/>
  <c r="D27" i="16" a="1"/>
  <c r="D23" i="16" a="1"/>
  <c r="D19" i="16" a="1"/>
  <c r="E18" i="16" a="1"/>
  <c r="E32" i="16" a="1"/>
  <c r="E24" i="16" a="1"/>
  <c r="E38" i="16" a="1"/>
  <c r="E34" i="16" a="1"/>
  <c r="E30" i="16" a="1"/>
  <c r="E26" i="16" a="1"/>
  <c r="E22" i="16" a="1"/>
  <c r="E37" i="16" a="1"/>
  <c r="E33" i="16" a="1"/>
  <c r="E29" i="16" a="1"/>
  <c r="E25" i="16" a="1"/>
  <c r="E21" i="16" a="1"/>
  <c r="E36" i="16" a="1"/>
  <c r="E28" i="16" a="1"/>
  <c r="E20" i="16" a="1"/>
  <c r="E35" i="16" a="1"/>
  <c r="E31" i="16" a="1"/>
  <c r="E27" i="16" a="1"/>
  <c r="E23" i="16" a="1"/>
  <c r="E19" i="16" a="1"/>
  <c r="F18" i="16" a="1"/>
  <c r="F38" i="16" a="1"/>
  <c r="F34" i="16" a="1"/>
  <c r="F30" i="16" a="1"/>
  <c r="F26" i="16" a="1"/>
  <c r="F22" i="16" a="1"/>
  <c r="F37" i="16" a="1"/>
  <c r="F33" i="16" a="1"/>
  <c r="F29" i="16" a="1"/>
  <c r="F25" i="16" a="1"/>
  <c r="F21" i="16" a="1"/>
  <c r="F28" i="16" a="1"/>
  <c r="F36" i="16" a="1"/>
  <c r="F32" i="16" a="1"/>
  <c r="F24" i="16" a="1"/>
  <c r="F20" i="16" a="1"/>
  <c r="F35" i="16" a="1"/>
  <c r="F31" i="16" a="1"/>
  <c r="F27" i="16" a="1"/>
  <c r="F23" i="16" a="1"/>
  <c r="F19" i="16" a="1"/>
  <c r="B10" i="3" a="1"/>
  <c r="C10" i="3" a="1"/>
  <c r="D10" i="3" a="1"/>
  <c r="E10" i="3" a="1"/>
  <c r="D15" i="2" a="1"/>
  <c r="E27" i="2" a="1"/>
  <c r="E18" i="2" a="1"/>
  <c r="E12" i="2" a="1"/>
  <c r="B17" i="2" a="1"/>
  <c r="E10" i="2" a="1"/>
  <c r="B22" i="2" a="1"/>
  <c r="B27" i="2" a="1"/>
  <c r="E15" i="2" a="1"/>
  <c r="C23" i="2" a="1"/>
  <c r="C9" i="2" a="1"/>
  <c r="D14" i="2" a="1"/>
  <c r="D13" i="2" a="1"/>
  <c r="C13" i="2" a="1"/>
  <c r="E9" i="2" a="1"/>
  <c r="B28" i="2" a="1"/>
  <c r="E28" i="2" a="1"/>
  <c r="D23" i="2" a="1"/>
  <c r="B8" i="2" a="1"/>
  <c r="D20" i="2" a="1"/>
  <c r="E20" i="2" a="1"/>
  <c r="L2" i="2" a="1"/>
  <c r="C12" i="2" a="1"/>
  <c r="B10" i="2" a="1"/>
  <c r="D17" i="2" a="1"/>
  <c r="C8" i="2" a="1"/>
  <c r="E13" i="2" a="1"/>
  <c r="E11" i="2" a="1"/>
  <c r="C21" i="2" a="1"/>
  <c r="D18" i="2" a="1"/>
  <c r="D16" i="2" a="1"/>
  <c r="D9" i="2" a="1"/>
  <c r="C19" i="2" a="1"/>
  <c r="B11" i="2" a="1"/>
  <c r="D12" i="2" a="1"/>
  <c r="B15" i="2" a="1"/>
  <c r="C20" i="2" a="1"/>
  <c r="C11" i="2" a="1"/>
  <c r="D21" i="2" a="1"/>
  <c r="D11" i="2" a="1"/>
  <c r="B14" i="2" a="1"/>
  <c r="B18" i="2" a="1"/>
  <c r="E22" i="2" a="1"/>
  <c r="B13" i="2" a="1"/>
  <c r="E25" i="2" a="1"/>
  <c r="D8" i="2" a="1"/>
  <c r="C25" i="2" a="1"/>
  <c r="E14" i="2" a="1"/>
  <c r="B12" i="2" a="1"/>
  <c r="B9" i="2" a="1"/>
  <c r="L1" i="2" a="1"/>
  <c r="E21" i="2" a="1"/>
  <c r="D25" i="2" a="1"/>
  <c r="D10" i="2" a="1"/>
  <c r="D24" i="2" a="1"/>
  <c r="B24" i="2" a="1"/>
  <c r="C15" i="2" a="1"/>
  <c r="D22" i="2" a="1"/>
  <c r="E8" i="2" a="1"/>
  <c r="B25" i="2" a="1"/>
  <c r="E26" i="2" a="1"/>
  <c r="B19" i="2" a="1"/>
  <c r="B20" i="2" a="1"/>
  <c r="C26" i="2" a="1"/>
  <c r="E24" i="2" a="1"/>
  <c r="B21" i="2" a="1"/>
  <c r="B16" i="2" a="1"/>
  <c r="C10" i="2" a="1"/>
  <c r="B26" i="2" a="1"/>
  <c r="C16" i="2" a="1"/>
  <c r="E16" i="2" a="1"/>
  <c r="E19" i="2" a="1"/>
  <c r="C18" i="2" a="1"/>
  <c r="D19" i="2" a="1"/>
  <c r="D26" i="2" a="1"/>
  <c r="B23" i="2" a="1"/>
  <c r="D27" i="2" a="1"/>
  <c r="C24" i="2" a="1"/>
  <c r="E23" i="2" a="1"/>
  <c r="C28" i="2" a="1"/>
  <c r="C14" i="2" a="1"/>
  <c r="C27" i="2" a="1"/>
  <c r="D28" i="2" a="1"/>
  <c r="C22" i="2" a="1"/>
  <c r="C17" i="2" a="1"/>
  <c r="E17" i="2" a="1"/>
  <c r="B23" i="1" a="1"/>
  <c r="C28" i="1" a="1"/>
  <c r="D24" i="1" a="1"/>
  <c r="D18" i="1" a="1"/>
  <c r="C23" i="1" a="1"/>
  <c r="C22" i="1" a="1"/>
  <c r="E28" i="1" a="1"/>
  <c r="B19" i="1" a="1"/>
  <c r="E27" i="1" a="1"/>
  <c r="C27" i="1" a="1"/>
  <c r="E17" i="1" a="1"/>
  <c r="E21" i="1" a="1"/>
  <c r="D27" i="1" a="1"/>
  <c r="E20" i="1" a="1"/>
  <c r="D28" i="1" a="1"/>
  <c r="E26" i="1" a="1"/>
  <c r="C19" i="1" a="1"/>
  <c r="D21" i="1" a="1"/>
  <c r="B17" i="1" a="1"/>
  <c r="C8" i="1" a="1"/>
  <c r="C18" i="1" a="1"/>
  <c r="E8" i="1" a="1"/>
  <c r="B18" i="1" a="1"/>
  <c r="D19" i="1" a="1"/>
  <c r="D22" i="1" a="1"/>
  <c r="D8" i="1" a="1"/>
  <c r="D26" i="1" a="1"/>
  <c r="C17" i="1" a="1"/>
  <c r="E22" i="1" a="1"/>
  <c r="B26" i="1" a="1"/>
  <c r="B21" i="1" a="1"/>
  <c r="E25" i="1" a="1"/>
  <c r="D23" i="1" a="1"/>
  <c r="C24" i="1" a="1"/>
  <c r="L2" i="1" a="1"/>
  <c r="C20" i="1" a="1"/>
  <c r="E23" i="1" a="1"/>
  <c r="B24" i="1" a="1"/>
  <c r="C21" i="1" a="1"/>
  <c r="E18" i="1" a="1"/>
  <c r="E24" i="1" a="1"/>
  <c r="B22" i="1" a="1"/>
  <c r="B28" i="1" a="1"/>
  <c r="B27" i="1" a="1"/>
  <c r="C25" i="1" a="1"/>
  <c r="E19" i="1" a="1"/>
  <c r="B8" i="1" a="1"/>
  <c r="B20" i="1" a="1"/>
  <c r="D17" i="1" a="1"/>
  <c r="C26" i="1" a="1"/>
  <c r="D20" i="1" a="1"/>
  <c r="B25" i="1" a="1"/>
  <c r="D25" i="1" a="1"/>
  <c r="L1" i="1" a="1"/>
  <c r="F19" i="16" l="1"/>
  <c r="F23" i="16"/>
  <c r="F27" i="16"/>
  <c r="F31" i="16"/>
  <c r="F35" i="16"/>
  <c r="F20" i="16"/>
  <c r="F24" i="16"/>
  <c r="F32" i="16"/>
  <c r="F36" i="16"/>
  <c r="F28" i="16"/>
  <c r="F21" i="16"/>
  <c r="F25" i="16"/>
  <c r="F29" i="16"/>
  <c r="F33" i="16"/>
  <c r="F37" i="16"/>
  <c r="F22" i="16"/>
  <c r="F26" i="16"/>
  <c r="F30" i="16"/>
  <c r="F34" i="16"/>
  <c r="F38" i="16"/>
  <c r="F18" i="16"/>
  <c r="E19" i="16"/>
  <c r="E23" i="16"/>
  <c r="E27" i="16"/>
  <c r="E31" i="16"/>
  <c r="E35" i="16"/>
  <c r="E20" i="16"/>
  <c r="E28" i="16"/>
  <c r="E36" i="16"/>
  <c r="E21" i="16"/>
  <c r="E25" i="16"/>
  <c r="E29" i="16"/>
  <c r="E33" i="16"/>
  <c r="E37" i="16"/>
  <c r="E22" i="16"/>
  <c r="E26" i="16"/>
  <c r="E30" i="16"/>
  <c r="E34" i="16"/>
  <c r="E38" i="16"/>
  <c r="E24" i="16"/>
  <c r="E32" i="16"/>
  <c r="E18" i="16"/>
  <c r="D19" i="16"/>
  <c r="D23" i="16"/>
  <c r="D27" i="16"/>
  <c r="D31" i="16"/>
  <c r="D35" i="16"/>
  <c r="D25" i="16"/>
  <c r="D37" i="16"/>
  <c r="D22" i="16"/>
  <c r="D30" i="16"/>
  <c r="D38" i="16"/>
  <c r="D29" i="16"/>
  <c r="D20" i="16"/>
  <c r="D24" i="16"/>
  <c r="D28" i="16"/>
  <c r="D32" i="16"/>
  <c r="D36" i="16"/>
  <c r="D21" i="16"/>
  <c r="D33" i="16"/>
  <c r="D26" i="16"/>
  <c r="D34" i="16"/>
  <c r="D18" i="16"/>
  <c r="C19" i="16"/>
  <c r="C23" i="16"/>
  <c r="C27" i="16"/>
  <c r="C31" i="16"/>
  <c r="C35" i="16"/>
  <c r="C24" i="16"/>
  <c r="C28" i="16"/>
  <c r="C32" i="16"/>
  <c r="C36" i="16"/>
  <c r="C21" i="16"/>
  <c r="C33" i="16"/>
  <c r="C37" i="16"/>
  <c r="C26" i="16"/>
  <c r="C30" i="16"/>
  <c r="C25" i="16"/>
  <c r="C34" i="16"/>
  <c r="C20" i="16"/>
  <c r="C29" i="16"/>
  <c r="C22" i="16"/>
  <c r="C38" i="16"/>
  <c r="C18" i="16"/>
  <c r="E10" i="3"/>
  <c r="D10" i="3"/>
  <c r="C10" i="3"/>
  <c r="B10" i="3"/>
  <c r="A11" i="3"/>
  <c r="D26" i="2"/>
  <c r="D23" i="2"/>
  <c r="D20" i="2"/>
  <c r="D17" i="2"/>
  <c r="C28" i="2"/>
  <c r="C26" i="2"/>
  <c r="C24" i="2"/>
  <c r="C22" i="2"/>
  <c r="C20" i="2"/>
  <c r="C17" i="2"/>
  <c r="E28" i="2"/>
  <c r="E27" i="2"/>
  <c r="E26" i="2"/>
  <c r="E25" i="2"/>
  <c r="E24" i="2"/>
  <c r="E23" i="2"/>
  <c r="E22" i="2"/>
  <c r="E21" i="2"/>
  <c r="E20" i="2"/>
  <c r="E19" i="2"/>
  <c r="E18" i="2"/>
  <c r="E17" i="2"/>
  <c r="D28" i="2"/>
  <c r="D25" i="2"/>
  <c r="D22" i="2"/>
  <c r="D18" i="2"/>
  <c r="C18" i="2"/>
  <c r="D27" i="2"/>
  <c r="D24" i="2"/>
  <c r="D21" i="2"/>
  <c r="D19" i="2"/>
  <c r="C27" i="2"/>
  <c r="C25" i="2"/>
  <c r="C23" i="2"/>
  <c r="C21" i="2"/>
  <c r="C19" i="2"/>
  <c r="B28" i="2"/>
  <c r="B27" i="2"/>
  <c r="B26" i="2"/>
  <c r="B25" i="2"/>
  <c r="B24" i="2"/>
  <c r="B23" i="2"/>
  <c r="B22" i="2"/>
  <c r="B21" i="2"/>
  <c r="B20" i="2"/>
  <c r="B19" i="2"/>
  <c r="B18" i="2"/>
  <c r="B17" i="2"/>
  <c r="D27" i="1"/>
  <c r="D24" i="1"/>
  <c r="D22" i="1"/>
  <c r="D19" i="1"/>
  <c r="C26" i="1"/>
  <c r="E28" i="1"/>
  <c r="E27" i="1"/>
  <c r="E26" i="1"/>
  <c r="E25" i="1"/>
  <c r="E24" i="1"/>
  <c r="E23" i="1"/>
  <c r="E22" i="1"/>
  <c r="E21" i="1"/>
  <c r="E20" i="1"/>
  <c r="E19" i="1"/>
  <c r="E18" i="1"/>
  <c r="E17" i="1"/>
  <c r="D26" i="1"/>
  <c r="D23" i="1"/>
  <c r="D20" i="1"/>
  <c r="D17" i="1"/>
  <c r="C28" i="1"/>
  <c r="C25" i="1"/>
  <c r="C22" i="1"/>
  <c r="C17" i="1"/>
  <c r="D28" i="1"/>
  <c r="D25" i="1"/>
  <c r="D21" i="1"/>
  <c r="D18" i="1"/>
  <c r="C27" i="1"/>
  <c r="C24" i="1"/>
  <c r="C23" i="1"/>
  <c r="C21" i="1"/>
  <c r="C20" i="1"/>
  <c r="C19" i="1"/>
  <c r="C18" i="1"/>
  <c r="B28" i="1"/>
  <c r="B27" i="1"/>
  <c r="B26" i="1"/>
  <c r="B25" i="1"/>
  <c r="B24" i="1"/>
  <c r="B23" i="1"/>
  <c r="B22" i="1"/>
  <c r="B21" i="1"/>
  <c r="B20" i="1"/>
  <c r="B19" i="1"/>
  <c r="B18" i="1"/>
  <c r="B17" i="1"/>
  <c r="L2" i="2"/>
  <c r="L1" i="2"/>
  <c r="E12" i="2"/>
  <c r="E15" i="2"/>
  <c r="E11" i="2"/>
  <c r="E14" i="2"/>
  <c r="E10" i="2"/>
  <c r="E16" i="2"/>
  <c r="E13" i="2"/>
  <c r="E9" i="2"/>
  <c r="E8" i="2"/>
  <c r="D13" i="2"/>
  <c r="D11" i="2"/>
  <c r="D10" i="2"/>
  <c r="D9" i="2"/>
  <c r="D16" i="2"/>
  <c r="D12" i="2"/>
  <c r="D15" i="2"/>
  <c r="D14" i="2"/>
  <c r="D8" i="2"/>
  <c r="C16" i="2"/>
  <c r="C11" i="2"/>
  <c r="C14" i="2"/>
  <c r="C10" i="2"/>
  <c r="C12" i="2"/>
  <c r="C15" i="2"/>
  <c r="C13" i="2"/>
  <c r="C9" i="2"/>
  <c r="C8" i="2"/>
  <c r="B11" i="2"/>
  <c r="B10" i="2"/>
  <c r="B16" i="2"/>
  <c r="B12" i="2"/>
  <c r="B15" i="2"/>
  <c r="B14" i="2"/>
  <c r="B13" i="2"/>
  <c r="B9" i="2"/>
  <c r="B8" i="2"/>
  <c r="L2" i="1"/>
  <c r="L1" i="1"/>
  <c r="E8" i="1"/>
  <c r="D8" i="1"/>
  <c r="C8" i="1"/>
  <c r="B8" i="1"/>
  <c r="H2" i="1"/>
  <c r="A9" i="1" s="1"/>
  <c r="D5" i="1"/>
  <c r="D4" i="1"/>
  <c r="B11" i="3" a="1"/>
  <c r="C11" i="3" a="1"/>
  <c r="D11" i="3" a="1"/>
  <c r="E11" i="3" a="1"/>
  <c r="B9" i="1" a="1"/>
  <c r="C9" i="1" a="1"/>
  <c r="E9" i="1" a="1"/>
  <c r="D9" i="1" a="1"/>
  <c r="E11" i="3" l="1"/>
  <c r="D11" i="3"/>
  <c r="C11" i="3"/>
  <c r="B11" i="3"/>
  <c r="A12" i="3"/>
  <c r="E9" i="1"/>
  <c r="D9" i="1"/>
  <c r="C9" i="1"/>
  <c r="B9" i="1"/>
  <c r="A10" i="1"/>
  <c r="B12" i="3" a="1"/>
  <c r="D12" i="3" a="1"/>
  <c r="E12" i="3" a="1"/>
  <c r="C12" i="3" a="1"/>
  <c r="B10" i="1" a="1"/>
  <c r="D10" i="1" a="1"/>
  <c r="C10" i="1" a="1"/>
  <c r="E10" i="1" a="1"/>
  <c r="E12" i="3" l="1"/>
  <c r="D12" i="3"/>
  <c r="C12" i="3"/>
  <c r="B12" i="3"/>
  <c r="A13" i="3"/>
  <c r="E10" i="1"/>
  <c r="D10" i="1"/>
  <c r="C10" i="1"/>
  <c r="B10" i="1"/>
  <c r="A11" i="1"/>
  <c r="B13" i="3" a="1"/>
  <c r="C13" i="3" a="1"/>
  <c r="E13" i="3" a="1"/>
  <c r="D13" i="3" a="1"/>
  <c r="C11" i="1" a="1"/>
  <c r="B11" i="1" a="1"/>
  <c r="E11" i="1" a="1"/>
  <c r="D11" i="1" a="1"/>
  <c r="E13" i="3" l="1"/>
  <c r="D13" i="3"/>
  <c r="C13" i="3"/>
  <c r="B13" i="3"/>
  <c r="A14" i="3"/>
  <c r="E11" i="1"/>
  <c r="D11" i="1"/>
  <c r="C11" i="1"/>
  <c r="B11" i="1"/>
  <c r="A12" i="1"/>
  <c r="D14" i="3" a="1"/>
  <c r="B14" i="3" a="1"/>
  <c r="E14" i="3" a="1"/>
  <c r="C14" i="3" a="1"/>
  <c r="B12" i="1" a="1"/>
  <c r="D12" i="1" a="1"/>
  <c r="E12" i="1" a="1"/>
  <c r="C12" i="1" a="1"/>
  <c r="E14" i="3" l="1"/>
  <c r="D14" i="3"/>
  <c r="C14" i="3"/>
  <c r="B14" i="3"/>
  <c r="A15" i="3"/>
  <c r="E12" i="1"/>
  <c r="D12" i="1"/>
  <c r="C12" i="1"/>
  <c r="B12" i="1"/>
  <c r="A13" i="1"/>
  <c r="B15" i="3" a="1"/>
  <c r="E15" i="3" a="1"/>
  <c r="D15" i="3" a="1"/>
  <c r="C15" i="3" a="1"/>
  <c r="E13" i="1" a="1"/>
  <c r="B13" i="1" a="1"/>
  <c r="D13" i="1" a="1"/>
  <c r="C13" i="1" a="1"/>
  <c r="E15" i="3" l="1"/>
  <c r="D15" i="3"/>
  <c r="C15" i="3"/>
  <c r="B15" i="3"/>
  <c r="A16" i="3"/>
  <c r="E13" i="1"/>
  <c r="D13" i="1"/>
  <c r="C13" i="1"/>
  <c r="B13" i="1"/>
  <c r="A14" i="1"/>
  <c r="B16" i="3" a="1"/>
  <c r="E16" i="3" a="1"/>
  <c r="C16" i="3" a="1"/>
  <c r="D16" i="3" a="1"/>
  <c r="C14" i="1" a="1"/>
  <c r="E14" i="1" a="1"/>
  <c r="B14" i="1" a="1"/>
  <c r="D14" i="1" a="1"/>
  <c r="E16" i="3" l="1"/>
  <c r="D16" i="3"/>
  <c r="C16" i="3"/>
  <c r="B16" i="3"/>
  <c r="A17" i="3"/>
  <c r="E14" i="1"/>
  <c r="D14" i="1"/>
  <c r="C14" i="1"/>
  <c r="B14" i="1"/>
  <c r="A15" i="1"/>
  <c r="E17" i="3" a="1"/>
  <c r="B17" i="3" a="1"/>
  <c r="C17" i="3" a="1"/>
  <c r="D17" i="3" a="1"/>
  <c r="D15" i="1" a="1"/>
  <c r="C15" i="1" a="1"/>
  <c r="E15" i="1" a="1"/>
  <c r="B15" i="1" a="1"/>
  <c r="E17" i="3" l="1"/>
  <c r="D17" i="3"/>
  <c r="C17" i="3"/>
  <c r="B17" i="3"/>
  <c r="A18" i="3"/>
  <c r="E15" i="1"/>
  <c r="D15" i="1"/>
  <c r="C15" i="1"/>
  <c r="B15" i="1"/>
  <c r="A16" i="1"/>
  <c r="B18" i="3" a="1"/>
  <c r="D18" i="3" a="1"/>
  <c r="C18" i="3" a="1"/>
  <c r="E18" i="3" a="1"/>
  <c r="E16" i="1" a="1"/>
  <c r="B16" i="1" a="1"/>
  <c r="C16" i="1" a="1"/>
  <c r="D16" i="1" a="1"/>
  <c r="E18" i="3" l="1"/>
  <c r="D18" i="3"/>
  <c r="C18" i="3"/>
  <c r="B18" i="3"/>
  <c r="A19" i="3"/>
  <c r="E16" i="1"/>
  <c r="D16" i="1"/>
  <c r="C16" i="1"/>
  <c r="B16" i="1"/>
  <c r="B19" i="3" a="1"/>
  <c r="C19" i="3" a="1"/>
  <c r="E19" i="3" a="1"/>
  <c r="D19" i="3" a="1"/>
  <c r="E19" i="3" l="1"/>
  <c r="D19" i="3"/>
  <c r="C19" i="3"/>
  <c r="B19" i="3"/>
  <c r="A20" i="3"/>
  <c r="B20" i="3" a="1"/>
  <c r="D20" i="3" a="1"/>
  <c r="E20" i="3" a="1"/>
  <c r="C20" i="3" a="1"/>
  <c r="E20" i="3" l="1"/>
  <c r="D20" i="3"/>
  <c r="C20" i="3"/>
  <c r="B20" i="3"/>
  <c r="A21" i="3"/>
  <c r="E21" i="3" a="1"/>
  <c r="B21" i="3" a="1"/>
  <c r="C21" i="3" a="1"/>
  <c r="D21" i="3" a="1"/>
  <c r="E21" i="3" l="1"/>
  <c r="D21" i="3"/>
  <c r="C21" i="3"/>
  <c r="B21" i="3"/>
  <c r="A22" i="3"/>
  <c r="C22" i="3" a="1"/>
  <c r="D22" i="3" a="1"/>
  <c r="E22" i="3" a="1"/>
  <c r="B22" i="3" a="1"/>
  <c r="E22" i="3" l="1"/>
  <c r="D22" i="3"/>
  <c r="C22" i="3"/>
  <c r="B22" i="3"/>
  <c r="A23" i="3"/>
  <c r="E23" i="3" a="1"/>
  <c r="D23" i="3" a="1"/>
  <c r="B23" i="3" a="1"/>
  <c r="C23" i="3" a="1"/>
  <c r="E23" i="3" l="1"/>
  <c r="D23" i="3"/>
  <c r="C23" i="3"/>
  <c r="B23" i="3"/>
  <c r="A24" i="3"/>
  <c r="C24" i="3" a="1"/>
  <c r="B24" i="3" a="1"/>
  <c r="D24" i="3" a="1"/>
  <c r="E24" i="3" a="1"/>
  <c r="E24" i="3" l="1"/>
  <c r="D24" i="3"/>
  <c r="C24" i="3"/>
  <c r="B24" i="3"/>
  <c r="A25" i="3"/>
  <c r="E25" i="3" a="1"/>
  <c r="C25" i="3" a="1"/>
  <c r="B25" i="3" a="1"/>
  <c r="D25" i="3" a="1"/>
  <c r="E25" i="3" l="1"/>
  <c r="D25" i="3"/>
  <c r="C25" i="3"/>
  <c r="B25" i="3"/>
  <c r="A26" i="3"/>
  <c r="D26" i="3" a="1"/>
  <c r="C26" i="3" a="1"/>
  <c r="E26" i="3" a="1"/>
  <c r="B26" i="3" a="1"/>
  <c r="E26" i="3" l="1"/>
  <c r="D26" i="3"/>
  <c r="C26" i="3"/>
  <c r="B26" i="3"/>
  <c r="A27" i="3"/>
  <c r="D27" i="3" a="1"/>
  <c r="B27" i="3" a="1"/>
  <c r="C27" i="3" a="1"/>
  <c r="E27" i="3" a="1"/>
  <c r="E27" i="3" l="1"/>
  <c r="D27" i="3"/>
  <c r="C27" i="3"/>
  <c r="B27" i="3"/>
  <c r="A28" i="3"/>
  <c r="B28" i="3" a="1"/>
  <c r="C28" i="3" a="1"/>
  <c r="E28" i="3" a="1"/>
  <c r="D28" i="3" a="1"/>
  <c r="E28" i="3" l="1"/>
  <c r="D28" i="3"/>
  <c r="C28" i="3"/>
  <c r="B28" i="3"/>
  <c r="A29" i="3"/>
  <c r="E29" i="3" a="1"/>
  <c r="C29" i="3" a="1"/>
  <c r="B29" i="3" a="1"/>
  <c r="D29" i="3" a="1"/>
  <c r="E29" i="3" l="1"/>
  <c r="D29" i="3"/>
  <c r="C29" i="3"/>
  <c r="B2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<sst xmlns="http://schemas.openxmlformats.org/spreadsheetml/2006/main" count="450" uniqueCount="76">
  <si>
    <t xml:space="preserve">P = </t>
  </si>
  <si>
    <t>kip</t>
  </si>
  <si>
    <t xml:space="preserve">a = </t>
  </si>
  <si>
    <t>ft</t>
  </si>
  <si>
    <t xml:space="preserve">L = </t>
  </si>
  <si>
    <t xml:space="preserve">E = </t>
  </si>
  <si>
    <t xml:space="preserve">ksi = </t>
  </si>
  <si>
    <t xml:space="preserve">I = </t>
  </si>
  <si>
    <t xml:space="preserve">in4 = </t>
  </si>
  <si>
    <t>ksf</t>
  </si>
  <si>
    <t>ft4</t>
  </si>
  <si>
    <t>X</t>
  </si>
  <si>
    <t>V</t>
  </si>
  <si>
    <t>M</t>
  </si>
  <si>
    <t>S</t>
  </si>
  <si>
    <t>D</t>
  </si>
  <si>
    <t>steps:</t>
  </si>
  <si>
    <t>step</t>
  </si>
  <si>
    <t>FEML</t>
  </si>
  <si>
    <t>FEMR</t>
  </si>
  <si>
    <t xml:space="preserve">M = </t>
  </si>
  <si>
    <t>ft-kip</t>
  </si>
  <si>
    <t xml:space="preserve">b = </t>
  </si>
  <si>
    <t xml:space="preserve">w = </t>
  </si>
  <si>
    <t>klf</t>
  </si>
  <si>
    <t>RL</t>
  </si>
  <si>
    <t>RR</t>
  </si>
  <si>
    <t>kips</t>
  </si>
  <si>
    <t>ft-kips</t>
  </si>
  <si>
    <t xml:space="preserve">w2 = </t>
  </si>
  <si>
    <t xml:space="preserve">w1 = </t>
  </si>
  <si>
    <t xml:space="preserve">S = </t>
  </si>
  <si>
    <t>in-Rad</t>
  </si>
  <si>
    <t>ft-rad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</si>
  <si>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</si>
  <si>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</si>
  <si>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</si>
  <si>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</si>
  <si>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</si>
  <si>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</si>
  <si>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</si>
  <si>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</si>
  <si>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</si>
  <si>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</si>
  <si>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</si>
  <si>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</si>
  <si>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</si>
  <si>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</si>
  <si>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</si>
  <si>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</si>
  <si>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</si>
  <si>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</si>
  <si>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</si>
  <si>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</si>
  <si>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</si>
  <si>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</si>
  <si>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</si>
  <si>
    <t>Left Cant:</t>
  </si>
  <si>
    <t>Span:</t>
  </si>
  <si>
    <t>Right Cant:</t>
  </si>
  <si>
    <t>Left:</t>
  </si>
  <si>
    <t>P (kips)</t>
  </si>
  <si>
    <t>A (ft)</t>
  </si>
  <si>
    <t>Center:</t>
  </si>
  <si>
    <t>Right:</t>
  </si>
  <si>
    <t>ft-kips - Moment from Cantilver to Beam</t>
  </si>
  <si>
    <t>Slopes at ends of center span due to loading and moments from cantilever used to correct cantilever deflections with initial slope functions</t>
  </si>
  <si>
    <t>steps</t>
  </si>
  <si>
    <t>L_step</t>
  </si>
  <si>
    <t>c_step</t>
  </si>
  <si>
    <t>R_step</t>
  </si>
  <si>
    <t>X' (x plot)</t>
  </si>
  <si>
    <t>D (in)</t>
  </si>
  <si>
    <t>S (rad)</t>
  </si>
  <si>
    <t>M (ft-k)</t>
  </si>
  <si>
    <t>V (kip)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</si>
</sst>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" fillId="3" borderId="1" xfId="0" applyFont="1" applyFill="1" applyBorder="1" applyAlignment="1">
      <alignment vertical="top" wrapText="1" indent="1"/>
    </xf>
    <xf numFmtId="0" fontId="1" fillId="3" borderId="2" xfId="0" applyFont="1" applyFill="1" applyBorder="1"/>
    <xf numFmtId="0" fontId="2" fillId="3" borderId="3" xfId="0" applyFont="1" applyFill="1" applyBorder="1" applyAlignment="1">
      <alignment horizontal="right" vertical="top" indent="1"/>
    </xf>
    <xf numFmtId="0" fontId="2" fillId="3" borderId="4" xfId="0" applyFont="1" applyFill="1" applyBorder="1" applyAlignment="1">
      <alignment vertical="top" wrapText="1" indent="1"/>
    </xf>
    <xf numFmtId="0" fontId="1" fillId="3" borderId="5" xfId="0" applyFont="1" applyFill="1" applyBorder="1"/>
    <xf numFmtId="0" fontId="1" fillId="3" borderId="6" xfId="0" applyFont="1" applyFill="1" applyBorder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/>
    <xf numFmtId="0" fontId="0" fillId="0" borderId="0" xfId="0" applyFill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BM_w_left_and_right_cantilever!$C$18:$C$80</c:f>
              <c:numCache>
                <c:formatCode>General</c:formatCode>
                <c:ptCount val="6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45-456E-B1BC-594DF74B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BM_w_left_and_right_cantilever!$D$18:$D$80</c:f>
              <c:numCache>
                <c:formatCode>General</c:formatCode>
                <c:ptCount val="63"/>
                <c:pt idx="0">
                  <c:v>0</c:v>
                </c:pt>
                <c:pt idx="1">
                  <c:v>-0.25</c:v>
                </c:pt>
                <c:pt idx="2">
                  <c:v>-0.5</c:v>
                </c:pt>
                <c:pt idx="3">
                  <c:v>-0.75</c:v>
                </c:pt>
                <c:pt idx="4">
                  <c:v>-1</c:v>
                </c:pt>
                <c:pt idx="5">
                  <c:v>-1.25</c:v>
                </c:pt>
                <c:pt idx="6">
                  <c:v>-1.5</c:v>
                </c:pt>
                <c:pt idx="7">
                  <c:v>-1.75</c:v>
                </c:pt>
                <c:pt idx="8">
                  <c:v>-2</c:v>
                </c:pt>
                <c:pt idx="9">
                  <c:v>-2.25</c:v>
                </c:pt>
                <c:pt idx="10">
                  <c:v>-2.5</c:v>
                </c:pt>
                <c:pt idx="11">
                  <c:v>-2.75</c:v>
                </c:pt>
                <c:pt idx="12">
                  <c:v>-3</c:v>
                </c:pt>
                <c:pt idx="13">
                  <c:v>-3.25</c:v>
                </c:pt>
                <c:pt idx="14">
                  <c:v>-3.5</c:v>
                </c:pt>
                <c:pt idx="15">
                  <c:v>-3.75</c:v>
                </c:pt>
                <c:pt idx="16">
                  <c:v>-4</c:v>
                </c:pt>
                <c:pt idx="17">
                  <c:v>-4.25</c:v>
                </c:pt>
                <c:pt idx="18">
                  <c:v>-4.5</c:v>
                </c:pt>
                <c:pt idx="19">
                  <c:v>-4.75</c:v>
                </c:pt>
                <c:pt idx="20">
                  <c:v>-5</c:v>
                </c:pt>
                <c:pt idx="21">
                  <c:v>-5</c:v>
                </c:pt>
                <c:pt idx="22">
                  <c:v>-4.75</c:v>
                </c:pt>
                <c:pt idx="23">
                  <c:v>-4.5</c:v>
                </c:pt>
                <c:pt idx="24">
                  <c:v>-4.25</c:v>
                </c:pt>
                <c:pt idx="25">
                  <c:v>-4</c:v>
                </c:pt>
                <c:pt idx="26">
                  <c:v>-3.75</c:v>
                </c:pt>
                <c:pt idx="27">
                  <c:v>-3.5</c:v>
                </c:pt>
                <c:pt idx="28">
                  <c:v>-3.25</c:v>
                </c:pt>
                <c:pt idx="29">
                  <c:v>-3</c:v>
                </c:pt>
                <c:pt idx="30">
                  <c:v>-2.75</c:v>
                </c:pt>
                <c:pt idx="31">
                  <c:v>-2.5</c:v>
                </c:pt>
                <c:pt idx="32">
                  <c:v>-2.75</c:v>
                </c:pt>
                <c:pt idx="33">
                  <c:v>-3</c:v>
                </c:pt>
                <c:pt idx="34">
                  <c:v>-3.25</c:v>
                </c:pt>
                <c:pt idx="35">
                  <c:v>-3.5</c:v>
                </c:pt>
                <c:pt idx="36">
                  <c:v>-3.75</c:v>
                </c:pt>
                <c:pt idx="37">
                  <c:v>-4</c:v>
                </c:pt>
                <c:pt idx="38">
                  <c:v>-4.25</c:v>
                </c:pt>
                <c:pt idx="39">
                  <c:v>-4.5</c:v>
                </c:pt>
                <c:pt idx="40">
                  <c:v>-4.75</c:v>
                </c:pt>
                <c:pt idx="41">
                  <c:v>-5</c:v>
                </c:pt>
                <c:pt idx="42">
                  <c:v>-5</c:v>
                </c:pt>
                <c:pt idx="43">
                  <c:v>-4.75</c:v>
                </c:pt>
                <c:pt idx="44">
                  <c:v>-4.5</c:v>
                </c:pt>
                <c:pt idx="45">
                  <c:v>-4.25</c:v>
                </c:pt>
                <c:pt idx="46">
                  <c:v>-4</c:v>
                </c:pt>
                <c:pt idx="47">
                  <c:v>-3.75</c:v>
                </c:pt>
                <c:pt idx="48">
                  <c:v>-3.5</c:v>
                </c:pt>
                <c:pt idx="49">
                  <c:v>-3.25</c:v>
                </c:pt>
                <c:pt idx="50">
                  <c:v>-3</c:v>
                </c:pt>
                <c:pt idx="51">
                  <c:v>-2.75</c:v>
                </c:pt>
                <c:pt idx="52">
                  <c:v>-2.5</c:v>
                </c:pt>
                <c:pt idx="53">
                  <c:v>-2.25</c:v>
                </c:pt>
                <c:pt idx="54">
                  <c:v>-2</c:v>
                </c:pt>
                <c:pt idx="55">
                  <c:v>-1.75</c:v>
                </c:pt>
                <c:pt idx="56">
                  <c:v>-1.5</c:v>
                </c:pt>
                <c:pt idx="57">
                  <c:v>-1.25</c:v>
                </c:pt>
                <c:pt idx="58">
                  <c:v>-1</c:v>
                </c:pt>
                <c:pt idx="59">
                  <c:v>-0.75</c:v>
                </c:pt>
                <c:pt idx="60">
                  <c:v>-0.5</c:v>
                </c:pt>
                <c:pt idx="61">
                  <c:v>-0.25</c:v>
                </c:pt>
                <c:pt idx="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F3-494D-A534-06E29FBD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BM_w_left_and_right_cantilever!$E$18:$E$80</c:f>
              <c:numCache>
                <c:formatCode>General</c:formatCode>
                <c:ptCount val="63"/>
                <c:pt idx="0">
                  <c:v>5.0380653828929695E-3</c:v>
                </c:pt>
                <c:pt idx="1">
                  <c:v>5.0330273175100762E-3</c:v>
                </c:pt>
                <c:pt idx="2">
                  <c:v>5.0179131213613972E-3</c:v>
                </c:pt>
                <c:pt idx="3">
                  <c:v>4.9927227944469334E-3</c:v>
                </c:pt>
                <c:pt idx="4">
                  <c:v>4.9574563367666821E-3</c:v>
                </c:pt>
                <c:pt idx="5">
                  <c:v>4.9121137483206451E-3</c:v>
                </c:pt>
                <c:pt idx="6">
                  <c:v>4.8566950291088224E-3</c:v>
                </c:pt>
                <c:pt idx="7">
                  <c:v>4.791200179131214E-3</c:v>
                </c:pt>
                <c:pt idx="8">
                  <c:v>4.715629198387819E-3</c:v>
                </c:pt>
                <c:pt idx="9">
                  <c:v>4.6299820868786392E-3</c:v>
                </c:pt>
                <c:pt idx="10">
                  <c:v>4.5342588446036728E-3</c:v>
                </c:pt>
                <c:pt idx="11">
                  <c:v>4.4284594715629198E-3</c:v>
                </c:pt>
                <c:pt idx="12">
                  <c:v>4.312583967756382E-3</c:v>
                </c:pt>
                <c:pt idx="13">
                  <c:v>4.1866323331840576E-3</c:v>
                </c:pt>
                <c:pt idx="14">
                  <c:v>4.0506045678459475E-3</c:v>
                </c:pt>
                <c:pt idx="15">
                  <c:v>3.9045006717420513E-3</c:v>
                </c:pt>
                <c:pt idx="16">
                  <c:v>3.7483206448723693E-3</c:v>
                </c:pt>
                <c:pt idx="17">
                  <c:v>3.5820644872369013E-3</c:v>
                </c:pt>
                <c:pt idx="18">
                  <c:v>3.4057321988356475E-3</c:v>
                </c:pt>
                <c:pt idx="19">
                  <c:v>3.2193237796686075E-3</c:v>
                </c:pt>
                <c:pt idx="20">
                  <c:v>3.0228392297357819E-3</c:v>
                </c:pt>
                <c:pt idx="21">
                  <c:v>3.0228392297357819E-3</c:v>
                </c:pt>
                <c:pt idx="22">
                  <c:v>2.6298701298701306E-3</c:v>
                </c:pt>
                <c:pt idx="23">
                  <c:v>2.2570532915360507E-3</c:v>
                </c:pt>
                <c:pt idx="24">
                  <c:v>1.9043887147335427E-3</c:v>
                </c:pt>
                <c:pt idx="25">
                  <c:v>1.5718763994626069E-3</c:v>
                </c:pt>
                <c:pt idx="26">
                  <c:v>1.2595163457232426E-3</c:v>
                </c:pt>
                <c:pt idx="27">
                  <c:v>9.6730855351545054E-4</c:v>
                </c:pt>
                <c:pt idx="28">
                  <c:v>6.9525302283923035E-4</c:v>
                </c:pt>
                <c:pt idx="29">
                  <c:v>4.4334975369458184E-4</c:v>
                </c:pt>
                <c:pt idx="30">
                  <c:v>2.1159874608150524E-4</c:v>
                </c:pt>
                <c:pt idx="31">
                  <c:v>5.4210108624275222E-19</c:v>
                </c:pt>
                <c:pt idx="32">
                  <c:v>-2.1159874608150413E-4</c:v>
                </c:pt>
                <c:pt idx="33">
                  <c:v>-4.433497536945807E-4</c:v>
                </c:pt>
                <c:pt idx="34">
                  <c:v>-6.9525302283922916E-4</c:v>
                </c:pt>
                <c:pt idx="35">
                  <c:v>-9.6730855351544935E-4</c:v>
                </c:pt>
                <c:pt idx="36">
                  <c:v>-1.2595163457232417E-3</c:v>
                </c:pt>
                <c:pt idx="37">
                  <c:v>-1.5718763994626056E-3</c:v>
                </c:pt>
                <c:pt idx="38">
                  <c:v>-1.9043887147335418E-3</c:v>
                </c:pt>
                <c:pt idx="39">
                  <c:v>-2.2570532915360494E-3</c:v>
                </c:pt>
                <c:pt idx="40">
                  <c:v>-2.6298701298701293E-3</c:v>
                </c:pt>
                <c:pt idx="41">
                  <c:v>-3.0228392297357806E-3</c:v>
                </c:pt>
                <c:pt idx="42">
                  <c:v>-3.0228392297357806E-3</c:v>
                </c:pt>
                <c:pt idx="43">
                  <c:v>-3.2193237796686062E-3</c:v>
                </c:pt>
                <c:pt idx="44">
                  <c:v>-3.4057321988356462E-3</c:v>
                </c:pt>
                <c:pt idx="45">
                  <c:v>-3.5820644872369E-3</c:v>
                </c:pt>
                <c:pt idx="46">
                  <c:v>-3.748320644872368E-3</c:v>
                </c:pt>
                <c:pt idx="47">
                  <c:v>-3.90450067174205E-3</c:v>
                </c:pt>
                <c:pt idx="48">
                  <c:v>-4.0506045678459467E-3</c:v>
                </c:pt>
                <c:pt idx="49">
                  <c:v>-4.1866323331840559E-3</c:v>
                </c:pt>
                <c:pt idx="50">
                  <c:v>-4.3125839677563803E-3</c:v>
                </c:pt>
                <c:pt idx="51">
                  <c:v>-4.428459471562919E-3</c:v>
                </c:pt>
                <c:pt idx="52">
                  <c:v>-4.5342588446036711E-3</c:v>
                </c:pt>
                <c:pt idx="53">
                  <c:v>-4.6299820868786375E-3</c:v>
                </c:pt>
                <c:pt idx="54">
                  <c:v>-4.7156291983878182E-3</c:v>
                </c:pt>
                <c:pt idx="55">
                  <c:v>-4.7912001791312123E-3</c:v>
                </c:pt>
                <c:pt idx="56">
                  <c:v>-4.8566950291088207E-3</c:v>
                </c:pt>
                <c:pt idx="57">
                  <c:v>-4.9121137483206442E-3</c:v>
                </c:pt>
                <c:pt idx="58">
                  <c:v>-4.9574563367666804E-3</c:v>
                </c:pt>
                <c:pt idx="59">
                  <c:v>-4.9927227944469316E-3</c:v>
                </c:pt>
                <c:pt idx="60">
                  <c:v>-5.0179131213613963E-3</c:v>
                </c:pt>
                <c:pt idx="61">
                  <c:v>-5.0330273175100745E-3</c:v>
                </c:pt>
                <c:pt idx="62">
                  <c:v>-5.0380653828929686E-3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A5-4359-AFE7-FEC8688A9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BM_w_left_and_right_cantilever!$B$18:$B$80</c:f>
              <c:numCache>
                <c:formatCode>General</c:formatCode>
                <c:ptCount val="6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</c:v>
                </c:pt>
                <c:pt idx="22">
                  <c:v>5.5</c:v>
                </c:pt>
                <c:pt idx="23">
                  <c:v>6</c:v>
                </c:pt>
                <c:pt idx="24">
                  <c:v>6.5</c:v>
                </c:pt>
                <c:pt idx="25">
                  <c:v>7</c:v>
                </c:pt>
                <c:pt idx="26">
                  <c:v>7.5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9.5</c:v>
                </c:pt>
                <c:pt idx="31">
                  <c:v>10</c:v>
                </c:pt>
                <c:pt idx="32">
                  <c:v>10.5</c:v>
                </c:pt>
                <c:pt idx="33">
                  <c:v>11</c:v>
                </c:pt>
                <c:pt idx="34">
                  <c:v>11.5</c:v>
                </c:pt>
                <c:pt idx="35">
                  <c:v>12</c:v>
                </c:pt>
                <c:pt idx="36">
                  <c:v>12.5</c:v>
                </c:pt>
                <c:pt idx="37">
                  <c:v>13</c:v>
                </c:pt>
                <c:pt idx="38">
                  <c:v>13.5</c:v>
                </c:pt>
                <c:pt idx="39">
                  <c:v>14</c:v>
                </c:pt>
                <c:pt idx="40">
                  <c:v>14.5</c:v>
                </c:pt>
                <c:pt idx="41">
                  <c:v>15</c:v>
                </c:pt>
                <c:pt idx="42">
                  <c:v>15</c:v>
                </c:pt>
                <c:pt idx="43">
                  <c:v>15.25</c:v>
                </c:pt>
                <c:pt idx="44">
                  <c:v>15.5</c:v>
                </c:pt>
                <c:pt idx="45">
                  <c:v>15.75</c:v>
                </c:pt>
                <c:pt idx="46">
                  <c:v>16</c:v>
                </c:pt>
                <c:pt idx="47">
                  <c:v>16.25</c:v>
                </c:pt>
                <c:pt idx="48">
                  <c:v>16.5</c:v>
                </c:pt>
                <c:pt idx="49">
                  <c:v>16.75</c:v>
                </c:pt>
                <c:pt idx="50">
                  <c:v>17</c:v>
                </c:pt>
                <c:pt idx="51">
                  <c:v>17.25</c:v>
                </c:pt>
                <c:pt idx="52">
                  <c:v>17.5</c:v>
                </c:pt>
                <c:pt idx="53">
                  <c:v>17.75</c:v>
                </c:pt>
                <c:pt idx="54">
                  <c:v>18</c:v>
                </c:pt>
                <c:pt idx="55">
                  <c:v>18.25</c:v>
                </c:pt>
                <c:pt idx="56">
                  <c:v>18.5</c:v>
                </c:pt>
                <c:pt idx="57">
                  <c:v>18.75</c:v>
                </c:pt>
                <c:pt idx="58">
                  <c:v>19</c:v>
                </c:pt>
                <c:pt idx="59">
                  <c:v>19.25</c:v>
                </c:pt>
                <c:pt idx="60">
                  <c:v>19.5</c:v>
                </c:pt>
                <c:pt idx="61">
                  <c:v>19.75</c:v>
                </c:pt>
                <c:pt idx="62">
                  <c:v>20</c:v>
                </c:pt>
              </c:numCache>
            </c:numRef>
          </c:xVal>
          <c:yVal>
            <c:numRef>
              <c:f>BM_w_left_and_right_cantilever!$F$18:$F$80</c:f>
              <c:numCache>
                <c:formatCode>General</c:formatCode>
                <c:ptCount val="63"/>
                <c:pt idx="0">
                  <c:v>-0.2619793999104344</c:v>
                </c:pt>
                <c:pt idx="1">
                  <c:v>-0.2468702418271384</c:v>
                </c:pt>
                <c:pt idx="2">
                  <c:v>-0.23179131213613974</c:v>
                </c:pt>
                <c:pt idx="3">
                  <c:v>-0.21677283922973581</c:v>
                </c:pt>
                <c:pt idx="4">
                  <c:v>-0.20184505150022392</c:v>
                </c:pt>
                <c:pt idx="5">
                  <c:v>-0.18703817733990147</c:v>
                </c:pt>
                <c:pt idx="6">
                  <c:v>-0.17238244514106585</c:v>
                </c:pt>
                <c:pt idx="7">
                  <c:v>-0.15790808329601436</c:v>
                </c:pt>
                <c:pt idx="8">
                  <c:v>-0.14364532019704435</c:v>
                </c:pt>
                <c:pt idx="9">
                  <c:v>-0.1296243842364532</c:v>
                </c:pt>
                <c:pt idx="10">
                  <c:v>-0.1158755038065383</c:v>
                </c:pt>
                <c:pt idx="11">
                  <c:v>-0.10242890729959696</c:v>
                </c:pt>
                <c:pt idx="12">
                  <c:v>-8.9314823107926558E-2</c:v>
                </c:pt>
                <c:pt idx="13">
                  <c:v>-7.6563479623824454E-2</c:v>
                </c:pt>
                <c:pt idx="14">
                  <c:v>-6.4205105239588001E-2</c:v>
                </c:pt>
                <c:pt idx="15">
                  <c:v>-5.2269928347514552E-2</c:v>
                </c:pt>
                <c:pt idx="16">
                  <c:v>-4.0788177339901477E-2</c:v>
                </c:pt>
                <c:pt idx="17">
                  <c:v>-2.9790080609046123E-2</c:v>
                </c:pt>
                <c:pt idx="18">
                  <c:v>-1.9305866547245854E-2</c:v>
                </c:pt>
                <c:pt idx="19">
                  <c:v>-9.3657635467980262E-3</c:v>
                </c:pt>
                <c:pt idx="20">
                  <c:v>4.5776190719766306E-18</c:v>
                </c:pt>
                <c:pt idx="21">
                  <c:v>0</c:v>
                </c:pt>
                <c:pt idx="22">
                  <c:v>1.6948051948051927E-2</c:v>
                </c:pt>
                <c:pt idx="23">
                  <c:v>3.1598746081504689E-2</c:v>
                </c:pt>
                <c:pt idx="24">
                  <c:v>4.4072995969547682E-2</c:v>
                </c:pt>
                <c:pt idx="25">
                  <c:v>5.4491715181370338E-2</c:v>
                </c:pt>
                <c:pt idx="26">
                  <c:v>6.2975817286162111E-2</c:v>
                </c:pt>
                <c:pt idx="27">
                  <c:v>6.9646215853112398E-2</c:v>
                </c:pt>
                <c:pt idx="28">
                  <c:v>7.4623824451410664E-2</c:v>
                </c:pt>
                <c:pt idx="29">
                  <c:v>7.8029556650246301E-2</c:v>
                </c:pt>
                <c:pt idx="30">
                  <c:v>7.9984326018808782E-2</c:v>
                </c:pt>
                <c:pt idx="31">
                  <c:v>8.0609046126287526E-2</c:v>
                </c:pt>
                <c:pt idx="32">
                  <c:v>7.9984326018808782E-2</c:v>
                </c:pt>
                <c:pt idx="33">
                  <c:v>7.8029556650246315E-2</c:v>
                </c:pt>
                <c:pt idx="34">
                  <c:v>7.4623824451410678E-2</c:v>
                </c:pt>
                <c:pt idx="35">
                  <c:v>6.9646215853112425E-2</c:v>
                </c:pt>
                <c:pt idx="36">
                  <c:v>6.2975817286162139E-2</c:v>
                </c:pt>
                <c:pt idx="37">
                  <c:v>5.449171518137038E-2</c:v>
                </c:pt>
                <c:pt idx="38">
                  <c:v>4.4072995969547724E-2</c:v>
                </c:pt>
                <c:pt idx="39">
                  <c:v>3.1598746081504744E-2</c:v>
                </c:pt>
                <c:pt idx="40">
                  <c:v>1.694805194805199E-2</c:v>
                </c:pt>
                <c:pt idx="41">
                  <c:v>4.3494093235203174E-17</c:v>
                </c:pt>
                <c:pt idx="42">
                  <c:v>0</c:v>
                </c:pt>
                <c:pt idx="43">
                  <c:v>-9.3657635467980262E-3</c:v>
                </c:pt>
                <c:pt idx="44">
                  <c:v>-1.9305866547245851E-2</c:v>
                </c:pt>
                <c:pt idx="45">
                  <c:v>-2.9790080609046119E-2</c:v>
                </c:pt>
                <c:pt idx="46">
                  <c:v>-4.078817733990147E-2</c:v>
                </c:pt>
                <c:pt idx="47">
                  <c:v>-5.2269928347514538E-2</c:v>
                </c:pt>
                <c:pt idx="48">
                  <c:v>-6.4205105239587973E-2</c:v>
                </c:pt>
                <c:pt idx="49">
                  <c:v>-7.6563479623824426E-2</c:v>
                </c:pt>
                <c:pt idx="50">
                  <c:v>-8.9314823107926544E-2</c:v>
                </c:pt>
                <c:pt idx="51">
                  <c:v>-0.10242890729959694</c:v>
                </c:pt>
                <c:pt idx="52">
                  <c:v>-0.11587550380653826</c:v>
                </c:pt>
                <c:pt idx="53">
                  <c:v>-0.12962438423645317</c:v>
                </c:pt>
                <c:pt idx="54">
                  <c:v>-0.14364532019704429</c:v>
                </c:pt>
                <c:pt idx="55">
                  <c:v>-0.1579080832960143</c:v>
                </c:pt>
                <c:pt idx="56">
                  <c:v>-0.17238244514106577</c:v>
                </c:pt>
                <c:pt idx="57">
                  <c:v>-0.18703817733990141</c:v>
                </c:pt>
                <c:pt idx="58">
                  <c:v>-0.20184505150022389</c:v>
                </c:pt>
                <c:pt idx="59">
                  <c:v>-0.21677283922973573</c:v>
                </c:pt>
                <c:pt idx="60">
                  <c:v>-0.23179131213613968</c:v>
                </c:pt>
                <c:pt idx="61">
                  <c:v>-0.24687024182713832</c:v>
                </c:pt>
                <c:pt idx="62">
                  <c:v>-0.26197939991043434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2-460E-90DE-2E35653D3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AD-4F4A-8B1D-7E359232B8B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Point_Load!$B$8:$B$37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AD-4F4A-8B1D-7E359232B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2.25</c:v>
                </c:pt>
                <c:pt idx="12">
                  <c:v>2</c:v>
                </c:pt>
                <c:pt idx="13">
                  <c:v>1.75</c:v>
                </c:pt>
                <c:pt idx="14">
                  <c:v>1.5</c:v>
                </c:pt>
                <c:pt idx="15">
                  <c:v>1.25</c:v>
                </c:pt>
                <c:pt idx="16">
                  <c:v>1</c:v>
                </c:pt>
                <c:pt idx="17">
                  <c:v>0.75</c:v>
                </c:pt>
                <c:pt idx="18">
                  <c:v>0.5</c:v>
                </c:pt>
                <c:pt idx="19">
                  <c:v>0.25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C-4B0D-A949-815F9D716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Point_Load!$D$8:$D$37</c:f>
              <c:numCache>
                <c:formatCode>General</c:formatCode>
                <c:ptCount val="30"/>
                <c:pt idx="0">
                  <c:v>-1.0076130765785938E-3</c:v>
                </c:pt>
                <c:pt idx="1">
                  <c:v>-9.9753694581280789E-4</c:v>
                </c:pt>
                <c:pt idx="2">
                  <c:v>-9.6730855351545E-4</c:v>
                </c:pt>
                <c:pt idx="3">
                  <c:v>-9.1692789968652038E-4</c:v>
                </c:pt>
                <c:pt idx="4">
                  <c:v>-8.4639498432601879E-4</c:v>
                </c:pt>
                <c:pt idx="5">
                  <c:v>-7.5570980743394536E-4</c:v>
                </c:pt>
                <c:pt idx="6">
                  <c:v>-6.4487236901030007E-4</c:v>
                </c:pt>
                <c:pt idx="7">
                  <c:v>-5.1388266905508283E-4</c:v>
                </c:pt>
                <c:pt idx="8">
                  <c:v>-3.6274070756829374E-4</c:v>
                </c:pt>
                <c:pt idx="9">
                  <c:v>-1.9144648454993282E-4</c:v>
                </c:pt>
                <c:pt idx="10">
                  <c:v>0</c:v>
                </c:pt>
                <c:pt idx="11">
                  <c:v>1.9144648454993282E-4</c:v>
                </c:pt>
                <c:pt idx="12">
                  <c:v>3.6274070756829374E-4</c:v>
                </c:pt>
                <c:pt idx="13">
                  <c:v>5.1388266905508283E-4</c:v>
                </c:pt>
                <c:pt idx="14">
                  <c:v>6.4487236901030007E-4</c:v>
                </c:pt>
                <c:pt idx="15">
                  <c:v>7.5570980743394536E-4</c:v>
                </c:pt>
                <c:pt idx="16">
                  <c:v>8.4639498432601879E-4</c:v>
                </c:pt>
                <c:pt idx="17">
                  <c:v>9.1692789968652038E-4</c:v>
                </c:pt>
                <c:pt idx="18">
                  <c:v>9.6730855351545E-4</c:v>
                </c:pt>
                <c:pt idx="19">
                  <c:v>9.9753694581280789E-4</c:v>
                </c:pt>
                <c:pt idx="20">
                  <c:v>1.0076130765785938E-3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B-4610-966A-76297D71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-6.0255261979399915E-3</c:v>
                </c:pt>
                <c:pt idx="2">
                  <c:v>-1.1930138826690549E-2</c:v>
                </c:pt>
                <c:pt idx="3">
                  <c:v>-1.7592924317062247E-2</c:v>
                </c:pt>
                <c:pt idx="4">
                  <c:v>-2.289296909986565E-2</c:v>
                </c:pt>
                <c:pt idx="5">
                  <c:v>-2.7709359605911327E-2</c:v>
                </c:pt>
                <c:pt idx="6">
                  <c:v>-3.1921182266009852E-2</c:v>
                </c:pt>
                <c:pt idx="7">
                  <c:v>-3.5407523510971789E-2</c:v>
                </c:pt>
                <c:pt idx="8">
                  <c:v>-3.8047469771607702E-2</c:v>
                </c:pt>
                <c:pt idx="9">
                  <c:v>-3.9720107478728166E-2</c:v>
                </c:pt>
                <c:pt idx="10">
                  <c:v>-4.0304523063143749E-2</c:v>
                </c:pt>
                <c:pt idx="11">
                  <c:v>-3.9720107478728166E-2</c:v>
                </c:pt>
                <c:pt idx="12">
                  <c:v>-3.8047469771607702E-2</c:v>
                </c:pt>
                <c:pt idx="13">
                  <c:v>-3.5407523510971789E-2</c:v>
                </c:pt>
                <c:pt idx="14">
                  <c:v>-3.1921182266009852E-2</c:v>
                </c:pt>
                <c:pt idx="15">
                  <c:v>-2.7709359605911331E-2</c:v>
                </c:pt>
                <c:pt idx="16">
                  <c:v>-2.2892969099865653E-2</c:v>
                </c:pt>
                <c:pt idx="17">
                  <c:v>-1.7592924317062251E-2</c:v>
                </c:pt>
                <c:pt idx="18">
                  <c:v>-1.1930138826690553E-2</c:v>
                </c:pt>
                <c:pt idx="19">
                  <c:v>-6.0255261979399923E-3</c:v>
                </c:pt>
                <c:pt idx="20">
                  <c:v>-2.3089456902638721E-18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0-450F-B47C-CC5D0D725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E-4C5B-AEAC-C4C2DB3F68C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Point_Moment!$B$8:$B$37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E-4C5B-AEAC-C4C2DB3F6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Point_Moment!$C$8:$C$37</c:f>
              <c:numCache>
                <c:formatCode>General</c:formatCode>
                <c:ptCount val="30"/>
                <c:pt idx="0">
                  <c:v>-</c:v>
                </c:pt>
                <c:pt idx="1">
                  <c:v>-0.05</c:v>
                </c:pt>
                <c:pt idx="2">
                  <c:v>-0.1</c:v>
                </c:pt>
                <c:pt idx="3">
                  <c:v>-0.15000000000000002</c:v>
                </c:pt>
                <c:pt idx="4">
                  <c:v>-0.2</c:v>
                </c:pt>
                <c:pt idx="5">
                  <c:v>-0.25</c:v>
                </c:pt>
                <c:pt idx="6">
                  <c:v>-0.30000000000000004</c:v>
                </c:pt>
                <c:pt idx="7">
                  <c:v>-0.35000000000000003</c:v>
                </c:pt>
                <c:pt idx="8">
                  <c:v>-0.4</c:v>
                </c:pt>
                <c:pt idx="9">
                  <c:v>-0.45</c:v>
                </c:pt>
                <c:pt idx="10">
                  <c:v>-0.5</c:v>
                </c:pt>
                <c:pt idx="11">
                  <c:v>0.44999999999999996</c:v>
                </c:pt>
                <c:pt idx="12">
                  <c:v>0.39999999999999997</c:v>
                </c:pt>
                <c:pt idx="13">
                  <c:v>0.35</c:v>
                </c:pt>
                <c:pt idx="14">
                  <c:v>0.29999999999999993</c:v>
                </c:pt>
                <c:pt idx="15">
                  <c:v>0.24999999999999994</c:v>
                </c:pt>
                <c:pt idx="16">
                  <c:v>0.19999999999999996</c:v>
                </c:pt>
                <c:pt idx="17">
                  <c:v>0.14999999999999997</c:v>
                </c:pt>
                <c:pt idx="18">
                  <c:v>9.999999999999995E-2</c:v>
                </c:pt>
                <c:pt idx="19">
                  <c:v>4.9999999999999947E-2</c:v>
                </c:pt>
                <c:pt idx="20">
                  <c:v>-5.5511151231257827E-17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6-4A5D-9658-ADBAA860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Point_Moment!$D$8:$D$37</c:f>
              <c:numCache>
                <c:formatCode>General</c:formatCode>
                <c:ptCount val="30"/>
                <c:pt idx="0">
                  <c:v>6.7174205105239627E-5</c:v>
                </c:pt>
                <c:pt idx="1">
                  <c:v>6.5158978952082445E-5</c:v>
                </c:pt>
                <c:pt idx="2">
                  <c:v>5.9113300492610884E-5</c:v>
                </c:pt>
                <c:pt idx="3">
                  <c:v>4.9037169726824946E-5</c:v>
                </c:pt>
                <c:pt idx="4">
                  <c:v>3.4930586654724629E-5</c:v>
                </c:pt>
                <c:pt idx="5">
                  <c:v>1.6793551276309941E-5</c:v>
                </c:pt>
                <c:pt idx="6">
                  <c:v>-5.3739364084191232E-6</c:v>
                </c:pt>
                <c:pt idx="7">
                  <c:v>-3.1571876399462564E-5</c:v>
                </c:pt>
                <c:pt idx="8">
                  <c:v>-6.1800268696820379E-5</c:v>
                </c:pt>
                <c:pt idx="9">
                  <c:v>-9.6059113300492574E-5</c:v>
                </c:pt>
                <c:pt idx="10">
                  <c:v>-1.3434841021047915E-4</c:v>
                </c:pt>
                <c:pt idx="11">
                  <c:v>-9.6059113300492574E-5</c:v>
                </c:pt>
                <c:pt idx="12">
                  <c:v>-6.1800268696820393E-5</c:v>
                </c:pt>
                <c:pt idx="13">
                  <c:v>-3.1571876399462577E-5</c:v>
                </c:pt>
                <c:pt idx="14">
                  <c:v>-5.373936408419141E-6</c:v>
                </c:pt>
                <c:pt idx="15">
                  <c:v>1.679355127630992E-5</c:v>
                </c:pt>
                <c:pt idx="16">
                  <c:v>3.4930586654724602E-5</c:v>
                </c:pt>
                <c:pt idx="17">
                  <c:v>4.9037169726824912E-5</c:v>
                </c:pt>
                <c:pt idx="18">
                  <c:v>5.9113300492610844E-5</c:v>
                </c:pt>
                <c:pt idx="19">
                  <c:v>6.5158978952082404E-5</c:v>
                </c:pt>
                <c:pt idx="20">
                  <c:v>6.7174205105239587E-5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9-4B77-8B04-C50536C3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3.9901477832512337E-4</c:v>
                </c:pt>
                <c:pt idx="2">
                  <c:v>7.7384684281236061E-4</c:v>
                </c:pt>
                <c:pt idx="3">
                  <c:v>1.1003134796238251E-3</c:v>
                </c:pt>
                <c:pt idx="4">
                  <c:v>1.3542319749216313E-3</c:v>
                </c:pt>
                <c:pt idx="5">
                  <c:v>1.511419614867892E-3</c:v>
                </c:pt>
                <c:pt idx="6">
                  <c:v>1.5476936856247219E-3</c:v>
                </c:pt>
                <c:pt idx="7">
                  <c:v>1.4388714733542338E-3</c:v>
                </c:pt>
                <c:pt idx="8">
                  <c:v>1.1607702642185422E-3</c:v>
                </c:pt>
                <c:pt idx="9">
                  <c:v>6.8920734437976055E-4</c:v>
                </c:pt>
                <c:pt idx="10">
                  <c:v>2.6395142229542668E-18</c:v>
                </c:pt>
                <c:pt idx="11">
                  <c:v>-6.8920734437975871E-4</c:v>
                </c:pt>
                <c:pt idx="12">
                  <c:v>-1.1607702642185405E-3</c:v>
                </c:pt>
                <c:pt idx="13">
                  <c:v>-1.4388714733542321E-3</c:v>
                </c:pt>
                <c:pt idx="14">
                  <c:v>-1.5476936856247204E-3</c:v>
                </c:pt>
                <c:pt idx="15">
                  <c:v>-1.5114196148678907E-3</c:v>
                </c:pt>
                <c:pt idx="16">
                  <c:v>-1.3542319749216298E-3</c:v>
                </c:pt>
                <c:pt idx="17">
                  <c:v>-1.1003134796238241E-3</c:v>
                </c:pt>
                <c:pt idx="18">
                  <c:v>-7.7384684281235963E-4</c:v>
                </c:pt>
                <c:pt idx="19">
                  <c:v>-3.9901477832512267E-4</c:v>
                </c:pt>
                <c:pt idx="20">
                  <c:v>4.9669180546374001E-19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2-4B25-869F-E98CEBC78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2.5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0.5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9-40AE-AB48-0F45A479198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Uniform_load!$B$9:$B$38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2.5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0.5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E9-40AE-AB48-0F45A479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7.375</c:v>
                </c:pt>
                <c:pt idx="6">
                  <c:v>8.5</c:v>
                </c:pt>
                <c:pt idx="7">
                  <c:v>9.375</c:v>
                </c:pt>
                <c:pt idx="8">
                  <c:v>10</c:v>
                </c:pt>
                <c:pt idx="9">
                  <c:v>10.375</c:v>
                </c:pt>
                <c:pt idx="10">
                  <c:v>10.5</c:v>
                </c:pt>
                <c:pt idx="11">
                  <c:v>10.375</c:v>
                </c:pt>
                <c:pt idx="12">
                  <c:v>10</c:v>
                </c:pt>
                <c:pt idx="13">
                  <c:v>9.375</c:v>
                </c:pt>
                <c:pt idx="14">
                  <c:v>8.5</c:v>
                </c:pt>
                <c:pt idx="15">
                  <c:v>7.375</c:v>
                </c:pt>
                <c:pt idx="16">
                  <c:v>6</c:v>
                </c:pt>
                <c:pt idx="17">
                  <c:v>4.5</c:v>
                </c:pt>
                <c:pt idx="18">
                  <c:v>3</c:v>
                </c:pt>
                <c:pt idx="19">
                  <c:v>1.5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6-408F-97BE-77A688254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Uniform_load!$D$9:$D$38</c:f>
              <c:numCache>
                <c:formatCode>General</c:formatCode>
                <c:ptCount val="30"/>
                <c:pt idx="0">
                  <c:v>-5.3201970443349754E-3</c:v>
                </c:pt>
                <c:pt idx="1">
                  <c:v>-5.2597402597402594E-3</c:v>
                </c:pt>
                <c:pt idx="2">
                  <c:v>-5.0783699059561123E-3</c:v>
                </c:pt>
                <c:pt idx="3">
                  <c:v>-4.7760859829825341E-3</c:v>
                </c:pt>
                <c:pt idx="4">
                  <c:v>-4.3528884908195248E-3</c:v>
                </c:pt>
                <c:pt idx="5">
                  <c:v>-3.8121361397223468E-3</c:v>
                </c:pt>
                <c:pt idx="6">
                  <c:v>-3.1706224809673086E-3</c:v>
                </c:pt>
                <c:pt idx="7">
                  <c:v>-2.4484997760859831E-3</c:v>
                </c:pt>
                <c:pt idx="8">
                  <c:v>-1.6659202866099419E-3</c:v>
                </c:pt>
                <c:pt idx="9">
                  <c:v>-8.43036274070757E-4</c:v>
                </c:pt>
                <c:pt idx="10">
                  <c:v>-1.9129346561779174E-19</c:v>
                </c:pt>
                <c:pt idx="11">
                  <c:v>8.4303627407075657E-4</c:v>
                </c:pt>
                <c:pt idx="12">
                  <c:v>1.6659202866099415E-3</c:v>
                </c:pt>
                <c:pt idx="13">
                  <c:v>2.4484997760859826E-3</c:v>
                </c:pt>
                <c:pt idx="14">
                  <c:v>3.1706224809673082E-3</c:v>
                </c:pt>
                <c:pt idx="15">
                  <c:v>3.8121361397223464E-3</c:v>
                </c:pt>
                <c:pt idx="16">
                  <c:v>4.3528884908195248E-3</c:v>
                </c:pt>
                <c:pt idx="17">
                  <c:v>4.7760859829825341E-3</c:v>
                </c:pt>
                <c:pt idx="18">
                  <c:v>5.0783699059561123E-3</c:v>
                </c:pt>
                <c:pt idx="19">
                  <c:v>5.2597402597402594E-3</c:v>
                </c:pt>
                <c:pt idx="20">
                  <c:v>5.3201970443349754E-3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9-409F-9D90-03909043C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-3.180026869682042E-2</c:v>
                </c:pt>
                <c:pt idx="2">
                  <c:v>-6.2875055978504263E-2</c:v>
                </c:pt>
                <c:pt idx="3">
                  <c:v>-9.2498880429914915E-2</c:v>
                </c:pt>
                <c:pt idx="4">
                  <c:v>-0.11994626063591579</c:v>
                </c:pt>
                <c:pt idx="5">
                  <c:v>-0.14449675324675326</c:v>
                </c:pt>
                <c:pt idx="6">
                  <c:v>-0.16549037169726824</c:v>
                </c:pt>
                <c:pt idx="7">
                  <c:v>-0.18238300492610837</c:v>
                </c:pt>
                <c:pt idx="8">
                  <c:v>-0.19475145544111061</c:v>
                </c:pt>
                <c:pt idx="9">
                  <c:v>-0.20229343931930141</c:v>
                </c:pt>
                <c:pt idx="10">
                  <c:v>-0.20482758620689656</c:v>
                </c:pt>
                <c:pt idx="11">
                  <c:v>-0.20229343931930141</c:v>
                </c:pt>
                <c:pt idx="12">
                  <c:v>-0.19475145544111061</c:v>
                </c:pt>
                <c:pt idx="13">
                  <c:v>-0.1823830049261084</c:v>
                </c:pt>
                <c:pt idx="14">
                  <c:v>-0.16549037169726827</c:v>
                </c:pt>
                <c:pt idx="15">
                  <c:v>-0.14449675324675326</c:v>
                </c:pt>
                <c:pt idx="16">
                  <c:v>-0.11994626063591582</c:v>
                </c:pt>
                <c:pt idx="17">
                  <c:v>-9.2498880429914915E-2</c:v>
                </c:pt>
                <c:pt idx="18">
                  <c:v>-6.2875055978504263E-2</c:v>
                </c:pt>
                <c:pt idx="19">
                  <c:v>-3.180026869682042E-2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B-4DD7-9D47-0EB6B1A04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1.65</c:v>
                </c:pt>
                <c:pt idx="1">
                  <c:v>1.65</c:v>
                </c:pt>
                <c:pt idx="2">
                  <c:v>1.65</c:v>
                </c:pt>
                <c:pt idx="3">
                  <c:v>1.65</c:v>
                </c:pt>
                <c:pt idx="4">
                  <c:v>1.65</c:v>
                </c:pt>
                <c:pt idx="5">
                  <c:v>1.5093749999999999</c:v>
                </c:pt>
                <c:pt idx="6">
                  <c:v>1.3374999999999999</c:v>
                </c:pt>
                <c:pt idx="7">
                  <c:v>1.1343749999999999</c:v>
                </c:pt>
                <c:pt idx="8">
                  <c:v>0.89999999999999991</c:v>
                </c:pt>
                <c:pt idx="9">
                  <c:v>0.63437499999999991</c:v>
                </c:pt>
                <c:pt idx="10">
                  <c:v>0.33749999999999991</c:v>
                </c:pt>
                <c:pt idx="11">
                  <c:v>9.3749999999999112E-3</c:v>
                </c:pt>
                <c:pt idx="12">
                  <c:v>-0.35000000000000009</c:v>
                </c:pt>
                <c:pt idx="13">
                  <c:v>-0.74062500000000009</c:v>
                </c:pt>
                <c:pt idx="14">
                  <c:v>-1.1625000000000001</c:v>
                </c:pt>
                <c:pt idx="15">
                  <c:v>-1.6156250000000001</c:v>
                </c:pt>
                <c:pt idx="16">
                  <c:v>-2.1</c:v>
                </c:pt>
                <c:pt idx="17">
                  <c:v>-2.1</c:v>
                </c:pt>
                <c:pt idx="18">
                  <c:v>-2.1</c:v>
                </c:pt>
                <c:pt idx="19">
                  <c:v>-2.1</c:v>
                </c:pt>
                <c:pt idx="20">
                  <c:v>-2.1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1-4A34-840A-3341CCE374CA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Variable_load!$B$10:$B$39</c:f>
              <c:numCache>
                <c:formatCode>General</c:formatCode>
                <c:ptCount val="30"/>
                <c:pt idx="0">
                  <c:v>1.65</c:v>
                </c:pt>
                <c:pt idx="1">
                  <c:v>1.65</c:v>
                </c:pt>
                <c:pt idx="2">
                  <c:v>1.65</c:v>
                </c:pt>
                <c:pt idx="3">
                  <c:v>1.65</c:v>
                </c:pt>
                <c:pt idx="4">
                  <c:v>1.65</c:v>
                </c:pt>
                <c:pt idx="5">
                  <c:v>1.5093749999999999</c:v>
                </c:pt>
                <c:pt idx="6">
                  <c:v>1.3374999999999999</c:v>
                </c:pt>
                <c:pt idx="7">
                  <c:v>1.1343749999999999</c:v>
                </c:pt>
                <c:pt idx="8">
                  <c:v>0.89999999999999991</c:v>
                </c:pt>
                <c:pt idx="9">
                  <c:v>0.63437499999999991</c:v>
                </c:pt>
                <c:pt idx="10">
                  <c:v>0.33749999999999991</c:v>
                </c:pt>
                <c:pt idx="11">
                  <c:v>9.3749999999999112E-3</c:v>
                </c:pt>
                <c:pt idx="12">
                  <c:v>-0.35000000000000009</c:v>
                </c:pt>
                <c:pt idx="13">
                  <c:v>-0.74062500000000009</c:v>
                </c:pt>
                <c:pt idx="14">
                  <c:v>-1.1625000000000001</c:v>
                </c:pt>
                <c:pt idx="15">
                  <c:v>-1.6156250000000001</c:v>
                </c:pt>
                <c:pt idx="16">
                  <c:v>-2.1</c:v>
                </c:pt>
                <c:pt idx="17">
                  <c:v>-2.1</c:v>
                </c:pt>
                <c:pt idx="18">
                  <c:v>-2.1</c:v>
                </c:pt>
                <c:pt idx="19">
                  <c:v>-2.1</c:v>
                </c:pt>
                <c:pt idx="20">
                  <c:v>-2.1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F1-4A34-840A-3341CCE37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0.82499999999999996</c:v>
                </c:pt>
                <c:pt idx="2">
                  <c:v>1.65</c:v>
                </c:pt>
                <c:pt idx="3">
                  <c:v>2.4749999999999996</c:v>
                </c:pt>
                <c:pt idx="4">
                  <c:v>3.3</c:v>
                </c:pt>
                <c:pt idx="5">
                  <c:v>4.091145833333333</c:v>
                </c:pt>
                <c:pt idx="6">
                  <c:v>4.8041666666666663</c:v>
                </c:pt>
                <c:pt idx="7">
                  <c:v>5.4234374999999995</c:v>
                </c:pt>
                <c:pt idx="8">
                  <c:v>5.9333333333333327</c:v>
                </c:pt>
                <c:pt idx="9">
                  <c:v>6.3182291666666659</c:v>
                </c:pt>
                <c:pt idx="10">
                  <c:v>6.5625</c:v>
                </c:pt>
                <c:pt idx="11">
                  <c:v>6.6505208333333332</c:v>
                </c:pt>
                <c:pt idx="12">
                  <c:v>6.5666666666666664</c:v>
                </c:pt>
                <c:pt idx="13">
                  <c:v>6.2953124999999996</c:v>
                </c:pt>
                <c:pt idx="14">
                  <c:v>5.8208333333333329</c:v>
                </c:pt>
                <c:pt idx="15">
                  <c:v>5.1276041666666661</c:v>
                </c:pt>
                <c:pt idx="16">
                  <c:v>4.1999999999999993</c:v>
                </c:pt>
                <c:pt idx="17">
                  <c:v>3.1499999999999995</c:v>
                </c:pt>
                <c:pt idx="18">
                  <c:v>2.0999999999999992</c:v>
                </c:pt>
                <c:pt idx="19">
                  <c:v>1.0499999999999992</c:v>
                </c:pt>
                <c:pt idx="20">
                  <c:v>-8.8817841970012523E-16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C-47E0-B1FF-0FEA783F6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Variable_load!$D$10:$D$39</c:f>
              <c:numCache>
                <c:formatCode>General</c:formatCode>
                <c:ptCount val="30"/>
                <c:pt idx="0">
                  <c:v>-3.2066278549037169E-3</c:v>
                </c:pt>
                <c:pt idx="1">
                  <c:v>-3.1733766233766232E-3</c:v>
                </c:pt>
                <c:pt idx="2">
                  <c:v>-3.0736229287953425E-3</c:v>
                </c:pt>
                <c:pt idx="3">
                  <c:v>-2.9073667711598744E-3</c:v>
                </c:pt>
                <c:pt idx="4">
                  <c:v>-2.6746081504702194E-3</c:v>
                </c:pt>
                <c:pt idx="5">
                  <c:v>-2.3762392241379309E-3</c:v>
                </c:pt>
                <c:pt idx="6">
                  <c:v>-2.017140618002687E-3</c:v>
                </c:pt>
                <c:pt idx="7">
                  <c:v>-1.6042396719659652E-3</c:v>
                </c:pt>
                <c:pt idx="8">
                  <c:v>-1.1457232422749665E-3</c:v>
                </c:pt>
                <c:pt idx="9">
                  <c:v>-6.5103770152261553E-4</c:v>
                </c:pt>
                <c:pt idx="10">
                  <c:v>-1.3088893864755959E-4</c:v>
                </c:pt>
                <c:pt idx="11">
                  <c:v>4.0275764106583042E-4</c:v>
                </c:pt>
                <c:pt idx="12">
                  <c:v>9.3667711598746043E-4</c:v>
                </c:pt>
                <c:pt idx="13">
                  <c:v>1.4563850481415133E-3</c:v>
                </c:pt>
                <c:pt idx="14">
                  <c:v>1.9461374832064483E-3</c:v>
                </c:pt>
                <c:pt idx="15">
                  <c:v>2.3889309505150018E-3</c:v>
                </c:pt>
                <c:pt idx="16">
                  <c:v>2.7665024630541867E-3</c:v>
                </c:pt>
                <c:pt idx="17">
                  <c:v>3.062740707568293E-3</c:v>
                </c:pt>
                <c:pt idx="18">
                  <c:v>3.2743394536497977E-3</c:v>
                </c:pt>
                <c:pt idx="19">
                  <c:v>3.4012987012987006E-3</c:v>
                </c:pt>
                <c:pt idx="20">
                  <c:v>3.4436184505150015E-3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42-4BAA-AC73-FAB3456DD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-1.9173264666368116E-2</c:v>
                </c:pt>
                <c:pt idx="2">
                  <c:v>-3.7947514554411109E-2</c:v>
                </c:pt>
                <c:pt idx="3">
                  <c:v>-5.592373488580385E-2</c:v>
                </c:pt>
                <c:pt idx="4">
                  <c:v>-7.2702910882221222E-2</c:v>
                </c:pt>
                <c:pt idx="5">
                  <c:v>-8.7887350257501121E-2</c:v>
                </c:pt>
                <c:pt idx="6">
                  <c:v>-0.10109623824451411</c:v>
                </c:pt>
                <c:pt idx="7">
                  <c:v>-0.11198534902597404</c:v>
                </c:pt>
                <c:pt idx="8">
                  <c:v>-0.12025579937304075</c:v>
                </c:pt>
                <c:pt idx="9">
                  <c:v>-0.12566160574339455</c:v>
                </c:pt>
                <c:pt idx="10">
                  <c:v>-0.12801724137931036</c:v>
                </c:pt>
                <c:pt idx="11">
                  <c:v>-0.12720519340573222</c:v>
                </c:pt>
                <c:pt idx="12">
                  <c:v>-0.12318351992834753</c:v>
                </c:pt>
                <c:pt idx="13">
                  <c:v>-0.11599340713166145</c:v>
                </c:pt>
                <c:pt idx="14">
                  <c:v>-0.10576672637707121</c:v>
                </c:pt>
                <c:pt idx="15">
                  <c:v>-9.2733591300940457E-2</c:v>
                </c:pt>
                <c:pt idx="16">
                  <c:v>-7.7229914912673558E-2</c:v>
                </c:pt>
                <c:pt idx="17">
                  <c:v>-5.9699865651589801E-2</c:v>
                </c:pt>
                <c:pt idx="18">
                  <c:v>-4.0646305418719227E-2</c:v>
                </c:pt>
                <c:pt idx="19">
                  <c:v>-2.0577071204657436E-2</c:v>
                </c:pt>
                <c:pt idx="20">
                  <c:v>-2.8566490865590236E-17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8-44AC-A042-736C3314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E-4B2B-AA1F-26A56667616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6E-4B2B-AA1F-26A566676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8-4297-9A3B-FC1AF537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Cant_Right_Slope!$D$8:$D$37</c:f>
              <c:numCache>
                <c:formatCode>General</c:formatCode>
                <c:ptCount val="30"/>
                <c:pt idx="0">
                  <c:v>1.6666666666666667E-5</c:v>
                </c:pt>
                <c:pt idx="1">
                  <c:v>1.6666666666666667E-5</c:v>
                </c:pt>
                <c:pt idx="2">
                  <c:v>1.6666666666666667E-5</c:v>
                </c:pt>
                <c:pt idx="3">
                  <c:v>1.6666666666666667E-5</c:v>
                </c:pt>
                <c:pt idx="4">
                  <c:v>1.6666666666666667E-5</c:v>
                </c:pt>
                <c:pt idx="5">
                  <c:v>1.6666666666666667E-5</c:v>
                </c:pt>
                <c:pt idx="6">
                  <c:v>1.6666666666666667E-5</c:v>
                </c:pt>
                <c:pt idx="7">
                  <c:v>1.6666666666666667E-5</c:v>
                </c:pt>
                <c:pt idx="8">
                  <c:v>1.6666666666666667E-5</c:v>
                </c:pt>
                <c:pt idx="9">
                  <c:v>1.6666666666666667E-5</c:v>
                </c:pt>
                <c:pt idx="10">
                  <c:v>1.6666666666666667E-5</c:v>
                </c:pt>
                <c:pt idx="11">
                  <c:v>1.6666666666666667E-5</c:v>
                </c:pt>
                <c:pt idx="12">
                  <c:v>1.6666666666666667E-5</c:v>
                </c:pt>
                <c:pt idx="13">
                  <c:v>1.6666666666666667E-5</c:v>
                </c:pt>
                <c:pt idx="14">
                  <c:v>1.6666666666666667E-5</c:v>
                </c:pt>
                <c:pt idx="15">
                  <c:v>1.6666666666666667E-5</c:v>
                </c:pt>
                <c:pt idx="16">
                  <c:v>1.6666666666666667E-5</c:v>
                </c:pt>
                <c:pt idx="17">
                  <c:v>1.6666666666666667E-5</c:v>
                </c:pt>
                <c:pt idx="18">
                  <c:v>1.6666666666666667E-5</c:v>
                </c:pt>
                <c:pt idx="19">
                  <c:v>1.6666666666666667E-5</c:v>
                </c:pt>
                <c:pt idx="20">
                  <c:v>1.6666666666666667E-5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2-419D-A00E-B12887260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Cant_Right_Slope!$E$8:$E$37</c:f>
              <c:numCache>
                <c:formatCode>General</c:formatCode>
                <c:ptCount val="3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3.0000000000000003E-4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6.0000000000000006E-4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9.0000000000000008E-4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1.2000000000000001E-3</c:v>
                </c:pt>
                <c:pt idx="13">
                  <c:v>1.3000000000000002E-3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1.7000000000000001E-3</c:v>
                </c:pt>
                <c:pt idx="18">
                  <c:v>1.8000000000000002E-3</c:v>
                </c:pt>
                <c:pt idx="19">
                  <c:v>1.9000000000000002E-3</c:v>
                </c:pt>
                <c:pt idx="20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B-41D5-93E2-045CCB068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D-4F74-9F08-EE64D9C4C70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Cant_Right_Point_Load!$B$8:$B$37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5D-4F74-9F08-EE64D9C4C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Cant_Right_Point_Load!$C$8:$C$37</c:f>
              <c:numCache>
                <c:formatCode>General</c:formatCode>
                <c:ptCount val="30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4-4939-B31C-1E58FD8F7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Cant_Right_Point_Load!$D$8:$D$37</c:f>
              <c:numCache>
                <c:formatCode>General</c:formatCode>
                <c:ptCount val="30"/>
                <c:pt idx="0">
                  <c:v>0</c:v>
                </c:pt>
                <c:pt idx="1">
                  <c:v>-3.8289296909986564E-4</c:v>
                </c:pt>
                <c:pt idx="2">
                  <c:v>-7.2548141513658747E-4</c:v>
                </c:pt>
                <c:pt idx="3">
                  <c:v>-1.0277653381101657E-3</c:v>
                </c:pt>
                <c:pt idx="4">
                  <c:v>-1.2897447380205999E-3</c:v>
                </c:pt>
                <c:pt idx="5">
                  <c:v>-1.5114196148678905E-3</c:v>
                </c:pt>
                <c:pt idx="6">
                  <c:v>-1.6927899686520376E-3</c:v>
                </c:pt>
                <c:pt idx="7">
                  <c:v>-1.8338557993730405E-3</c:v>
                </c:pt>
                <c:pt idx="8">
                  <c:v>-1.9346171070309E-3</c:v>
                </c:pt>
                <c:pt idx="9">
                  <c:v>-1.9950738916256158E-3</c:v>
                </c:pt>
                <c:pt idx="10">
                  <c:v>-2.0152261531571876E-3</c:v>
                </c:pt>
                <c:pt idx="11">
                  <c:v>-2.0152261531571876E-3</c:v>
                </c:pt>
                <c:pt idx="12">
                  <c:v>-2.0152261531571876E-3</c:v>
                </c:pt>
                <c:pt idx="13">
                  <c:v>-2.0152261531571876E-3</c:v>
                </c:pt>
                <c:pt idx="14">
                  <c:v>-2.0152261531571876E-3</c:v>
                </c:pt>
                <c:pt idx="15">
                  <c:v>-2.0152261531571876E-3</c:v>
                </c:pt>
                <c:pt idx="16">
                  <c:v>-2.0152261531571876E-3</c:v>
                </c:pt>
                <c:pt idx="17">
                  <c:v>-2.0152261531571876E-3</c:v>
                </c:pt>
                <c:pt idx="18">
                  <c:v>-2.0152261531571876E-3</c:v>
                </c:pt>
                <c:pt idx="19">
                  <c:v>-2.0152261531571876E-3</c:v>
                </c:pt>
                <c:pt idx="20">
                  <c:v>-2.0152261531571876E-3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8-42D5-A39D-18E1F96BE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Cant_Right_Point_Load!$E$8:$E$37</c:f>
              <c:numCache>
                <c:formatCode>General</c:formatCode>
                <c:ptCount val="30"/>
                <c:pt idx="0">
                  <c:v>0</c:v>
                </c:pt>
                <c:pt idx="1">
                  <c:v>-1.1688311688311686E-3</c:v>
                </c:pt>
                <c:pt idx="2">
                  <c:v>-4.5141065830720997E-3</c:v>
                </c:pt>
                <c:pt idx="3">
                  <c:v>-9.7939991043439305E-3</c:v>
                </c:pt>
                <c:pt idx="4">
                  <c:v>-1.67666815942678E-2</c:v>
                </c:pt>
                <c:pt idx="5">
                  <c:v>-2.5190326914464843E-2</c:v>
                </c:pt>
                <c:pt idx="6">
                  <c:v>-3.4823107926556199E-2</c:v>
                </c:pt>
                <c:pt idx="7">
                  <c:v>-4.542319749216301E-2</c:v>
                </c:pt>
                <c:pt idx="8">
                  <c:v>-5.67487684729064E-2</c:v>
                </c:pt>
                <c:pt idx="9">
                  <c:v>-6.8557993730407524E-2</c:v>
                </c:pt>
                <c:pt idx="10">
                  <c:v>-8.0609046126287512E-2</c:v>
                </c:pt>
                <c:pt idx="11">
                  <c:v>-9.2700403045230639E-2</c:v>
                </c:pt>
                <c:pt idx="12">
                  <c:v>-0.10479175996417375</c:v>
                </c:pt>
                <c:pt idx="13">
                  <c:v>-0.11688311688311688</c:v>
                </c:pt>
                <c:pt idx="14">
                  <c:v>-0.12897447380206001</c:v>
                </c:pt>
                <c:pt idx="15">
                  <c:v>-0.14106583072100315</c:v>
                </c:pt>
                <c:pt idx="16">
                  <c:v>-0.15315718763994626</c:v>
                </c:pt>
                <c:pt idx="17">
                  <c:v>-0.16524854455888938</c:v>
                </c:pt>
                <c:pt idx="18">
                  <c:v>-0.17733990147783252</c:v>
                </c:pt>
                <c:pt idx="19">
                  <c:v>-0.18943125839677566</c:v>
                </c:pt>
                <c:pt idx="20">
                  <c:v>-0.2015226153157188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9-41C7-8E8D-B15648B2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FC-402B-A164-F1B9249A72B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FC-402B-A164-F1B9249A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Cant_Right_Point_Moment!$C$8:$C$37</c:f>
              <c:numCache>
                <c:formatCode>General</c:formatCode>
                <c:ptCount val="3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F-46AB-86AF-DDA7ACF6A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Cant_Right_Point_Moment!$D$8:$D$37</c:f>
              <c:numCache>
                <c:formatCode>General</c:formatCode>
                <c:ptCount val="30"/>
                <c:pt idx="0">
                  <c:v>0</c:v>
                </c:pt>
                <c:pt idx="1">
                  <c:v>-8.0609046126287496E-5</c:v>
                </c:pt>
                <c:pt idx="2">
                  <c:v>-1.6121809225257499E-4</c:v>
                </c:pt>
                <c:pt idx="3">
                  <c:v>-2.418271383788625E-4</c:v>
                </c:pt>
                <c:pt idx="4">
                  <c:v>-3.2243618450514998E-4</c:v>
                </c:pt>
                <c:pt idx="5">
                  <c:v>-4.0304523063143749E-4</c:v>
                </c:pt>
                <c:pt idx="6">
                  <c:v>-4.83654276757725E-4</c:v>
                </c:pt>
                <c:pt idx="7">
                  <c:v>-5.6426332288401246E-4</c:v>
                </c:pt>
                <c:pt idx="8">
                  <c:v>-6.4487236901029997E-4</c:v>
                </c:pt>
                <c:pt idx="9">
                  <c:v>-7.2548141513658747E-4</c:v>
                </c:pt>
                <c:pt idx="10">
                  <c:v>-8.0609046126287498E-4</c:v>
                </c:pt>
                <c:pt idx="11">
                  <c:v>-8.0609046126287498E-4</c:v>
                </c:pt>
                <c:pt idx="12">
                  <c:v>-8.0609046126287498E-4</c:v>
                </c:pt>
                <c:pt idx="13">
                  <c:v>-8.0609046126287498E-4</c:v>
                </c:pt>
                <c:pt idx="14">
                  <c:v>-8.0609046126287498E-4</c:v>
                </c:pt>
                <c:pt idx="15">
                  <c:v>-8.0609046126287498E-4</c:v>
                </c:pt>
                <c:pt idx="16">
                  <c:v>-8.0609046126287498E-4</c:v>
                </c:pt>
                <c:pt idx="17">
                  <c:v>-8.0609046126287498E-4</c:v>
                </c:pt>
                <c:pt idx="18">
                  <c:v>-8.0609046126287498E-4</c:v>
                </c:pt>
                <c:pt idx="19">
                  <c:v>-8.0609046126287498E-4</c:v>
                </c:pt>
                <c:pt idx="20">
                  <c:v>-8.0609046126287498E-4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7-4471-B1BE-0392BDFDA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Cant_Right_Point_Moment!$E$8:$E$37</c:f>
              <c:numCache>
                <c:formatCode>General</c:formatCode>
                <c:ptCount val="30"/>
                <c:pt idx="0">
                  <c:v>0</c:v>
                </c:pt>
                <c:pt idx="1">
                  <c:v>-2.4182713837886247E-4</c:v>
                </c:pt>
                <c:pt idx="2">
                  <c:v>-9.6730855351544989E-4</c:v>
                </c:pt>
                <c:pt idx="3">
                  <c:v>-2.1764442454097624E-3</c:v>
                </c:pt>
                <c:pt idx="4">
                  <c:v>-3.8692342140617996E-3</c:v>
                </c:pt>
                <c:pt idx="5">
                  <c:v>-6.0456784594715629E-3</c:v>
                </c:pt>
                <c:pt idx="6">
                  <c:v>-8.7057769816390497E-3</c:v>
                </c:pt>
                <c:pt idx="7">
                  <c:v>-1.1849529780564264E-2</c:v>
                </c:pt>
                <c:pt idx="8">
                  <c:v>-1.5476936856247198E-2</c:v>
                </c:pt>
                <c:pt idx="9">
                  <c:v>-1.9587998208687861E-2</c:v>
                </c:pt>
                <c:pt idx="10">
                  <c:v>-2.4182713837886251E-2</c:v>
                </c:pt>
                <c:pt idx="11">
                  <c:v>-2.9019256605463499E-2</c:v>
                </c:pt>
                <c:pt idx="12">
                  <c:v>-3.385579937304075E-2</c:v>
                </c:pt>
                <c:pt idx="13">
                  <c:v>-3.8692342140618001E-2</c:v>
                </c:pt>
                <c:pt idx="14">
                  <c:v>-4.3528884908195252E-2</c:v>
                </c:pt>
                <c:pt idx="15">
                  <c:v>-4.8365427675772503E-2</c:v>
                </c:pt>
                <c:pt idx="16">
                  <c:v>-5.3201970443349747E-2</c:v>
                </c:pt>
                <c:pt idx="17">
                  <c:v>-5.8038513210926998E-2</c:v>
                </c:pt>
                <c:pt idx="18">
                  <c:v>-6.2875055978504263E-2</c:v>
                </c:pt>
                <c:pt idx="19">
                  <c:v>-6.77115987460815E-2</c:v>
                </c:pt>
                <c:pt idx="20">
                  <c:v>-7.2548141513658751E-2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72B-BE81-49EF8B551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7-4188-B9D7-C853360398B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Cant_Right_Uniform_load!$B$9:$B$38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5.5</c:v>
                </c:pt>
                <c:pt idx="6">
                  <c:v>5</c:v>
                </c:pt>
                <c:pt idx="7">
                  <c:v>4.5</c:v>
                </c:pt>
                <c:pt idx="8">
                  <c:v>4</c:v>
                </c:pt>
                <c:pt idx="9">
                  <c:v>3.5</c:v>
                </c:pt>
                <c:pt idx="10">
                  <c:v>3</c:v>
                </c:pt>
                <c:pt idx="11">
                  <c:v>2.5</c:v>
                </c:pt>
                <c:pt idx="12">
                  <c:v>2</c:v>
                </c:pt>
                <c:pt idx="13">
                  <c:v>1.5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7-4188-B9D7-C85336039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Cant_Right_Uniform_load!$C$9:$C$38</c:f>
              <c:numCache>
                <c:formatCode>General</c:formatCode>
                <c:ptCount val="30"/>
                <c:pt idx="0">
                  <c:v>-30</c:v>
                </c:pt>
                <c:pt idx="1">
                  <c:v>-27</c:v>
                </c:pt>
                <c:pt idx="2">
                  <c:v>-24</c:v>
                </c:pt>
                <c:pt idx="3">
                  <c:v>-21</c:v>
                </c:pt>
                <c:pt idx="4">
                  <c:v>-18</c:v>
                </c:pt>
                <c:pt idx="5">
                  <c:v>-15.125</c:v>
                </c:pt>
                <c:pt idx="6">
                  <c:v>-12.5</c:v>
                </c:pt>
                <c:pt idx="7">
                  <c:v>-10.125</c:v>
                </c:pt>
                <c:pt idx="8">
                  <c:v>-8</c:v>
                </c:pt>
                <c:pt idx="9">
                  <c:v>-6.125</c:v>
                </c:pt>
                <c:pt idx="10">
                  <c:v>-4.5</c:v>
                </c:pt>
                <c:pt idx="11">
                  <c:v>-3.125</c:v>
                </c:pt>
                <c:pt idx="12">
                  <c:v>-2</c:v>
                </c:pt>
                <c:pt idx="13">
                  <c:v>-1.125</c:v>
                </c:pt>
                <c:pt idx="14">
                  <c:v>-0.5</c:v>
                </c:pt>
                <c:pt idx="15">
                  <c:v>-0.125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59D-9F08-D866BD43A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Cant_Right_Uniform_load!$D$9:$D$38</c:f>
              <c:numCache>
                <c:formatCode>General</c:formatCode>
                <c:ptCount val="30"/>
                <c:pt idx="0">
                  <c:v>0</c:v>
                </c:pt>
                <c:pt idx="1">
                  <c:v>-2.2973578145991935E-3</c:v>
                </c:pt>
                <c:pt idx="2">
                  <c:v>-4.3528884908195248E-3</c:v>
                </c:pt>
                <c:pt idx="3">
                  <c:v>-6.166592028660994E-3</c:v>
                </c:pt>
                <c:pt idx="4">
                  <c:v>-7.7384684281236E-3</c:v>
                </c:pt>
                <c:pt idx="5">
                  <c:v>-9.0718763994626066E-3</c:v>
                </c:pt>
                <c:pt idx="6">
                  <c:v>-1.018360949395432E-2</c:v>
                </c:pt>
                <c:pt idx="7">
                  <c:v>-1.1093819973130317E-2</c:v>
                </c:pt>
                <c:pt idx="8">
                  <c:v>-1.1822660098522167E-2</c:v>
                </c:pt>
                <c:pt idx="9">
                  <c:v>-1.2390282131661441E-2</c:v>
                </c:pt>
                <c:pt idx="10">
                  <c:v>-1.2816838334079712E-2</c:v>
                </c:pt>
                <c:pt idx="11">
                  <c:v>-1.3122480967308552E-2</c:v>
                </c:pt>
                <c:pt idx="12">
                  <c:v>-1.3327362292879534E-2</c:v>
                </c:pt>
                <c:pt idx="13">
                  <c:v>-1.3451634572324227E-2</c:v>
                </c:pt>
                <c:pt idx="14">
                  <c:v>-1.3515450067174204E-2</c:v>
                </c:pt>
                <c:pt idx="15">
                  <c:v>-1.3538961038961038E-2</c:v>
                </c:pt>
                <c:pt idx="16">
                  <c:v>-1.3542319749216301E-2</c:v>
                </c:pt>
                <c:pt idx="17">
                  <c:v>-1.3542319749216301E-2</c:v>
                </c:pt>
                <c:pt idx="18">
                  <c:v>-1.3542319749216301E-2</c:v>
                </c:pt>
                <c:pt idx="19">
                  <c:v>-1.3542319749216301E-2</c:v>
                </c:pt>
                <c:pt idx="20">
                  <c:v>-1.3542319749216301E-2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0-4A45-98EC-B26309B37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Cant_Right_Uniform_load!$E$9:$E$38</c:f>
              <c:numCache>
                <c:formatCode>General</c:formatCode>
                <c:ptCount val="30"/>
                <c:pt idx="0">
                  <c:v>0</c:v>
                </c:pt>
                <c:pt idx="1">
                  <c:v>-7.0129870129870125E-3</c:v>
                </c:pt>
                <c:pt idx="2">
                  <c:v>-2.7084639498432598E-2</c:v>
                </c:pt>
                <c:pt idx="3">
                  <c:v>-5.8763994626063583E-2</c:v>
                </c:pt>
                <c:pt idx="4">
                  <c:v>-0.1006000895656068</c:v>
                </c:pt>
                <c:pt idx="5">
                  <c:v>-0.15114699955217195</c:v>
                </c:pt>
                <c:pt idx="6">
                  <c:v>-0.2090192566054635</c:v>
                </c:pt>
                <c:pt idx="7">
                  <c:v>-0.27294726824899235</c:v>
                </c:pt>
                <c:pt idx="8">
                  <c:v>-0.341782355575459</c:v>
                </c:pt>
                <c:pt idx="9">
                  <c:v>-0.41449675324675322</c:v>
                </c:pt>
                <c:pt idx="10">
                  <c:v>-0.49018360949395434</c:v>
                </c:pt>
                <c:pt idx="11">
                  <c:v>-0.56805698611733091</c:v>
                </c:pt>
                <c:pt idx="12">
                  <c:v>-0.64745185848634124</c:v>
                </c:pt>
                <c:pt idx="13">
                  <c:v>-0.72782411553963278</c:v>
                </c:pt>
                <c:pt idx="14">
                  <c:v>-0.80875055978504251</c:v>
                </c:pt>
                <c:pt idx="15">
                  <c:v>-0.88992890729959695</c:v>
                </c:pt>
                <c:pt idx="16">
                  <c:v>-0.9711777877295118</c:v>
                </c:pt>
                <c:pt idx="17">
                  <c:v>-1.0524317062248096</c:v>
                </c:pt>
                <c:pt idx="18">
                  <c:v>-1.1336856247201075</c:v>
                </c:pt>
                <c:pt idx="19">
                  <c:v>-1.2149395432154053</c:v>
                </c:pt>
                <c:pt idx="20">
                  <c:v>-1.2961934617107029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1-4F7D-AE04-7F044C775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3.609375</c:v>
                </c:pt>
                <c:pt idx="6">
                  <c:v>3.4375</c:v>
                </c:pt>
                <c:pt idx="7">
                  <c:v>3.234375</c:v>
                </c:pt>
                <c:pt idx="8">
                  <c:v>3</c:v>
                </c:pt>
                <c:pt idx="9">
                  <c:v>2.734375</c:v>
                </c:pt>
                <c:pt idx="10">
                  <c:v>2.4375</c:v>
                </c:pt>
                <c:pt idx="11">
                  <c:v>2.109375</c:v>
                </c:pt>
                <c:pt idx="12">
                  <c:v>1.75</c:v>
                </c:pt>
                <c:pt idx="13">
                  <c:v>1.359375</c:v>
                </c:pt>
                <c:pt idx="14">
                  <c:v>0.9375</c:v>
                </c:pt>
                <c:pt idx="15">
                  <c:v>0.484375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B35-BE18-2CBC42F5CDE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Cant_Right_Variable_load!$B$10:$B$39</c:f>
              <c:numCache>
                <c:formatCode>General</c:formatCode>
                <c:ptCount val="30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3.609375</c:v>
                </c:pt>
                <c:pt idx="6">
                  <c:v>3.4375</c:v>
                </c:pt>
                <c:pt idx="7">
                  <c:v>3.234375</c:v>
                </c:pt>
                <c:pt idx="8">
                  <c:v>3</c:v>
                </c:pt>
                <c:pt idx="9">
                  <c:v>2.734375</c:v>
                </c:pt>
                <c:pt idx="10">
                  <c:v>2.4375</c:v>
                </c:pt>
                <c:pt idx="11">
                  <c:v>2.109375</c:v>
                </c:pt>
                <c:pt idx="12">
                  <c:v>1.75</c:v>
                </c:pt>
                <c:pt idx="13">
                  <c:v>1.359375</c:v>
                </c:pt>
                <c:pt idx="14">
                  <c:v>0.9375</c:v>
                </c:pt>
                <c:pt idx="15">
                  <c:v>0.484375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07-4B35-BE18-2CBC42F5C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Cant_Right_Variable_load!$C$10:$C$39</c:f>
              <c:numCache>
                <c:formatCode>General</c:formatCode>
                <c:ptCount val="30"/>
                <c:pt idx="0">
                  <c:v>-21</c:v>
                </c:pt>
                <c:pt idx="1">
                  <c:v>-19.125</c:v>
                </c:pt>
                <c:pt idx="2">
                  <c:v>-17.25</c:v>
                </c:pt>
                <c:pt idx="3">
                  <c:v>-15.375</c:v>
                </c:pt>
                <c:pt idx="4">
                  <c:v>-13.5</c:v>
                </c:pt>
                <c:pt idx="5">
                  <c:v>-11.658854166666666</c:v>
                </c:pt>
                <c:pt idx="6">
                  <c:v>-9.8958333333333321</c:v>
                </c:pt>
                <c:pt idx="7">
                  <c:v>-8.2265624999999982</c:v>
                </c:pt>
                <c:pt idx="8">
                  <c:v>-6.6666666666666652</c:v>
                </c:pt>
                <c:pt idx="9">
                  <c:v>-5.2317708333333321</c:v>
                </c:pt>
                <c:pt idx="10">
                  <c:v>-3.9374999999999987</c:v>
                </c:pt>
                <c:pt idx="11">
                  <c:v>-2.7994791666666656</c:v>
                </c:pt>
                <c:pt idx="12">
                  <c:v>-1.8333333333333321</c:v>
                </c:pt>
                <c:pt idx="13">
                  <c:v>-1.0546874999999989</c:v>
                </c:pt>
                <c:pt idx="14">
                  <c:v>-0.47916666666666546</c:v>
                </c:pt>
                <c:pt idx="15">
                  <c:v>-0.12239583333333215</c:v>
                </c:pt>
                <c:pt idx="16">
                  <c:v>1.1839487723541708E-15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D-4E51-A0F1-6331EF575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Cant_Right_Variable_load!$D$10:$D$39</c:f>
              <c:numCache>
                <c:formatCode>General</c:formatCode>
                <c:ptCount val="30"/>
                <c:pt idx="0">
                  <c:v>0</c:v>
                </c:pt>
                <c:pt idx="1">
                  <c:v>-1.617218987908643E-3</c:v>
                </c:pt>
                <c:pt idx="2">
                  <c:v>-3.083296014330497E-3</c:v>
                </c:pt>
                <c:pt idx="3">
                  <c:v>-4.3982310792655618E-3</c:v>
                </c:pt>
                <c:pt idx="4">
                  <c:v>-5.5620241827138376E-3</c:v>
                </c:pt>
                <c:pt idx="5">
                  <c:v>-6.5755674820868783E-3</c:v>
                </c:pt>
                <c:pt idx="6">
                  <c:v>-7.4437416032243613E-3</c:v>
                </c:pt>
                <c:pt idx="7">
                  <c:v>-8.1734738860277639E-3</c:v>
                </c:pt>
                <c:pt idx="8">
                  <c:v>-8.7729511867442895E-3</c:v>
                </c:pt>
                <c:pt idx="9">
                  <c:v>-9.2516198779668598E-3</c:v>
                </c:pt>
                <c:pt idx="10">
                  <c:v>-9.6201858486341229E-3</c:v>
                </c:pt>
                <c:pt idx="11">
                  <c:v>-9.8906145040304518E-3</c:v>
                </c:pt>
                <c:pt idx="12">
                  <c:v>-1.0076130765785937E-2</c:v>
                </c:pt>
                <c:pt idx="13">
                  <c:v>-1.0191219071876399E-2</c:v>
                </c:pt>
                <c:pt idx="14">
                  <c:v>-1.0251623376623374E-2</c:v>
                </c:pt>
                <c:pt idx="15">
                  <c:v>-1.0274347150694132E-2</c:v>
                </c:pt>
                <c:pt idx="16">
                  <c:v>-1.0277653381101655E-2</c:v>
                </c:pt>
                <c:pt idx="17">
                  <c:v>-1.0277653381101655E-2</c:v>
                </c:pt>
                <c:pt idx="18">
                  <c:v>-1.0277653381101655E-2</c:v>
                </c:pt>
                <c:pt idx="19">
                  <c:v>-1.0277653381101655E-2</c:v>
                </c:pt>
                <c:pt idx="20">
                  <c:v>-1.0277653381101655E-2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F-4F67-A3C1-235EBCDDE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Cant_Right_Variable_load!$A$10:$A$39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Cant_Right_Variable_load!$E$10:$E$39</c:f>
              <c:numCache>
                <c:formatCode>General</c:formatCode>
                <c:ptCount val="30"/>
                <c:pt idx="0">
                  <c:v>0</c:v>
                </c:pt>
                <c:pt idx="1">
                  <c:v>-4.9272279444693232E-3</c:v>
                </c:pt>
                <c:pt idx="2">
                  <c:v>-1.9104343931930137E-2</c:v>
                </c:pt>
                <c:pt idx="3">
                  <c:v>-4.1624496193461702E-2</c:v>
                </c:pt>
                <c:pt idx="4">
                  <c:v>-7.1580832960143295E-2</c:v>
                </c:pt>
                <c:pt idx="5">
                  <c:v>-0.10806782495521719</c:v>
                </c:pt>
                <c:pt idx="6">
                  <c:v>-0.15019682042095833</c:v>
                </c:pt>
                <c:pt idx="7">
                  <c:v>-0.19711575654948499</c:v>
                </c:pt>
                <c:pt idx="8">
                  <c:v>-0.24801791312136134</c:v>
                </c:pt>
                <c:pt idx="9">
                  <c:v>-0.30214946960367217</c:v>
                </c:pt>
                <c:pt idx="10">
                  <c:v>-0.35881706224809667</c:v>
                </c:pt>
                <c:pt idx="11">
                  <c:v>-0.41739534118898336</c:v>
                </c:pt>
                <c:pt idx="12">
                  <c:v>-0.47733452754142403</c:v>
                </c:pt>
                <c:pt idx="13">
                  <c:v>-0.53816797049932819</c:v>
                </c:pt>
                <c:pt idx="14">
                  <c:v>-0.59951970443349745</c:v>
                </c:pt>
                <c:pt idx="15">
                  <c:v>-0.66111200598969988</c:v>
                </c:pt>
                <c:pt idx="16">
                  <c:v>-0.72277295118674423</c:v>
                </c:pt>
                <c:pt idx="17">
                  <c:v>-0.78443887147335412</c:v>
                </c:pt>
                <c:pt idx="18">
                  <c:v>-0.846104791759964</c:v>
                </c:pt>
                <c:pt idx="19">
                  <c:v>-0.90777071204657389</c:v>
                </c:pt>
                <c:pt idx="20">
                  <c:v>-0.969436632333184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49-4BDA-9FE3-645CDE716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8-460D-AFBF-5DAEA75AFDB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E8-460D-AFBF-5DAEA75A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C-47FB-B659-CAC4FEAC2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Cant_Left_Slope!$D$8:$D$37</c:f>
              <c:numCache>
                <c:formatCode>General</c:formatCode>
                <c:ptCount val="30"/>
                <c:pt idx="0">
                  <c:v>1.6666666666666669E-6</c:v>
                </c:pt>
                <c:pt idx="1">
                  <c:v>1.6666666666666669E-6</c:v>
                </c:pt>
                <c:pt idx="2">
                  <c:v>1.6666666666666669E-6</c:v>
                </c:pt>
                <c:pt idx="3">
                  <c:v>1.6666666666666669E-6</c:v>
                </c:pt>
                <c:pt idx="4">
                  <c:v>1.6666666666666669E-6</c:v>
                </c:pt>
                <c:pt idx="5">
                  <c:v>1.6666666666666669E-6</c:v>
                </c:pt>
                <c:pt idx="6">
                  <c:v>1.6666666666666669E-6</c:v>
                </c:pt>
                <c:pt idx="7">
                  <c:v>1.6666666666666669E-6</c:v>
                </c:pt>
                <c:pt idx="8">
                  <c:v>1.6666666666666669E-6</c:v>
                </c:pt>
                <c:pt idx="9">
                  <c:v>1.6666666666666669E-6</c:v>
                </c:pt>
                <c:pt idx="10">
                  <c:v>1.6666666666666669E-6</c:v>
                </c:pt>
                <c:pt idx="11">
                  <c:v>1.6666666666666669E-6</c:v>
                </c:pt>
                <c:pt idx="12">
                  <c:v>1.6666666666666669E-6</c:v>
                </c:pt>
                <c:pt idx="13">
                  <c:v>1.6666666666666669E-6</c:v>
                </c:pt>
                <c:pt idx="14">
                  <c:v>1.6666666666666669E-6</c:v>
                </c:pt>
                <c:pt idx="15">
                  <c:v>1.6666666666666669E-6</c:v>
                </c:pt>
                <c:pt idx="16">
                  <c:v>1.6666666666666669E-6</c:v>
                </c:pt>
                <c:pt idx="17">
                  <c:v>1.6666666666666669E-6</c:v>
                </c:pt>
                <c:pt idx="18">
                  <c:v>1.6666666666666669E-6</c:v>
                </c:pt>
                <c:pt idx="19">
                  <c:v>1.6666666666666669E-6</c:v>
                </c:pt>
                <c:pt idx="20">
                  <c:v>1.6666666666666669E-6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7D-47C0-B9BF-C8280E27E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Cant_Left_Slope!$A$8:$A$37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Cant_Left_Slope!$E$8:$E$37</c:f>
              <c:numCache>
                <c:formatCode>General</c:formatCode>
                <c:ptCount val="30"/>
                <c:pt idx="0">
                  <c:v>-2.0000000000000001E-4</c:v>
                </c:pt>
                <c:pt idx="1">
                  <c:v>-1.9000000000000001E-4</c:v>
                </c:pt>
                <c:pt idx="2">
                  <c:v>-1.8000000000000001E-4</c:v>
                </c:pt>
                <c:pt idx="3">
                  <c:v>-1.7000000000000001E-4</c:v>
                </c:pt>
                <c:pt idx="4">
                  <c:v>-1.5999999999999999E-4</c:v>
                </c:pt>
                <c:pt idx="5">
                  <c:v>-1.5000000000000001E-4</c:v>
                </c:pt>
                <c:pt idx="6">
                  <c:v>-1.3999999999999999E-4</c:v>
                </c:pt>
                <c:pt idx="7">
                  <c:v>-1.3000000000000002E-4</c:v>
                </c:pt>
                <c:pt idx="8">
                  <c:v>-1.1999999999999999E-4</c:v>
                </c:pt>
                <c:pt idx="9">
                  <c:v>-1.0999999999999999E-4</c:v>
                </c:pt>
                <c:pt idx="10">
                  <c:v>-1E-4</c:v>
                </c:pt>
                <c:pt idx="11">
                  <c:v>-8.9999999999999992E-5</c:v>
                </c:pt>
                <c:pt idx="12">
                  <c:v>-7.9999999999999993E-5</c:v>
                </c:pt>
                <c:pt idx="13">
                  <c:v>-6.9999999999999994E-5</c:v>
                </c:pt>
                <c:pt idx="14">
                  <c:v>-5.9999999999999995E-5</c:v>
                </c:pt>
                <c:pt idx="15">
                  <c:v>-4.9999999999999996E-5</c:v>
                </c:pt>
                <c:pt idx="16">
                  <c:v>-3.999999999999999E-5</c:v>
                </c:pt>
                <c:pt idx="17">
                  <c:v>-2.9999999999999987E-5</c:v>
                </c:pt>
                <c:pt idx="18">
                  <c:v>-1.9999999999999988E-5</c:v>
                </c:pt>
                <c:pt idx="19">
                  <c:v>-9.9999999999999856E-6</c:v>
                </c:pt>
                <c:pt idx="20">
                  <c:v>1.5246593050577406E-20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A-4BA1-BA46-CD23A74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C-4A10-9F7D-3E7405D9E1D2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C-4A10-9F7D-3E7405D9E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-0.5</c:v>
                </c:pt>
                <c:pt idx="12">
                  <c:v>-1</c:v>
                </c:pt>
                <c:pt idx="13">
                  <c:v>-1.5</c:v>
                </c:pt>
                <c:pt idx="14">
                  <c:v>-2</c:v>
                </c:pt>
                <c:pt idx="15">
                  <c:v>-2.5</c:v>
                </c:pt>
                <c:pt idx="16">
                  <c:v>-3</c:v>
                </c:pt>
                <c:pt idx="17">
                  <c:v>-3.5</c:v>
                </c:pt>
                <c:pt idx="18">
                  <c:v>-4</c:v>
                </c:pt>
                <c:pt idx="19">
                  <c:v>-4.5</c:v>
                </c:pt>
                <c:pt idx="2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51-4A3D-8A8A-519AD9F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Cant_Left_Point_Load!$D$8:$D$37</c:f>
              <c:numCache>
                <c:formatCode>General</c:formatCode>
                <c:ptCount val="30"/>
                <c:pt idx="0">
                  <c:v>2.0152261531571876E-3</c:v>
                </c:pt>
                <c:pt idx="1">
                  <c:v>2.0152261531571876E-3</c:v>
                </c:pt>
                <c:pt idx="2">
                  <c:v>2.0152261531571876E-3</c:v>
                </c:pt>
                <c:pt idx="3">
                  <c:v>2.0152261531571876E-3</c:v>
                </c:pt>
                <c:pt idx="4">
                  <c:v>2.0152261531571876E-3</c:v>
                </c:pt>
                <c:pt idx="5">
                  <c:v>2.0152261531571876E-3</c:v>
                </c:pt>
                <c:pt idx="6">
                  <c:v>2.0152261531571876E-3</c:v>
                </c:pt>
                <c:pt idx="7">
                  <c:v>2.0152261531571876E-3</c:v>
                </c:pt>
                <c:pt idx="8">
                  <c:v>2.0152261531571876E-3</c:v>
                </c:pt>
                <c:pt idx="9">
                  <c:v>2.0152261531571876E-3</c:v>
                </c:pt>
                <c:pt idx="10">
                  <c:v>2.0152261531571876E-3</c:v>
                </c:pt>
                <c:pt idx="11">
                  <c:v>1.9950738916256158E-3</c:v>
                </c:pt>
                <c:pt idx="12">
                  <c:v>1.9346171070309E-3</c:v>
                </c:pt>
                <c:pt idx="13">
                  <c:v>1.8338557993730408E-3</c:v>
                </c:pt>
                <c:pt idx="14">
                  <c:v>1.6927899686520376E-3</c:v>
                </c:pt>
                <c:pt idx="15">
                  <c:v>1.5114196148678907E-3</c:v>
                </c:pt>
                <c:pt idx="16">
                  <c:v>1.2897447380206001E-3</c:v>
                </c:pt>
                <c:pt idx="17">
                  <c:v>1.0277653381101657E-3</c:v>
                </c:pt>
                <c:pt idx="18">
                  <c:v>7.2548141513658747E-4</c:v>
                </c:pt>
                <c:pt idx="19">
                  <c:v>3.8289296909986564E-4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7-4A5B-882C-0BE7911D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Cant_Left_Point_Load!$A$8:$A$37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Cant_Left_Point_Load!$E$8:$E$37</c:f>
              <c:numCache>
                <c:formatCode>General</c:formatCode>
                <c:ptCount val="30"/>
                <c:pt idx="0">
                  <c:v>-0.2015226153157188</c:v>
                </c:pt>
                <c:pt idx="1">
                  <c:v>-0.18943125839677566</c:v>
                </c:pt>
                <c:pt idx="2">
                  <c:v>-0.17733990147783252</c:v>
                </c:pt>
                <c:pt idx="3">
                  <c:v>-0.16524854455888938</c:v>
                </c:pt>
                <c:pt idx="4">
                  <c:v>-0.15315718763994626</c:v>
                </c:pt>
                <c:pt idx="5">
                  <c:v>-0.14106583072100315</c:v>
                </c:pt>
                <c:pt idx="6">
                  <c:v>-0.12897447380206001</c:v>
                </c:pt>
                <c:pt idx="7">
                  <c:v>-0.11688311688311688</c:v>
                </c:pt>
                <c:pt idx="8">
                  <c:v>-0.10479175996417375</c:v>
                </c:pt>
                <c:pt idx="9">
                  <c:v>-9.2700403045230639E-2</c:v>
                </c:pt>
                <c:pt idx="10">
                  <c:v>-8.0609046126287512E-2</c:v>
                </c:pt>
                <c:pt idx="11">
                  <c:v>-6.8557993730407524E-2</c:v>
                </c:pt>
                <c:pt idx="12">
                  <c:v>-5.6748768472906413E-2</c:v>
                </c:pt>
                <c:pt idx="13">
                  <c:v>-4.5423197492163017E-2</c:v>
                </c:pt>
                <c:pt idx="14">
                  <c:v>-3.4823107926556213E-2</c:v>
                </c:pt>
                <c:pt idx="15">
                  <c:v>-2.5190326914464854E-2</c:v>
                </c:pt>
                <c:pt idx="16">
                  <c:v>-1.6766681594267807E-2</c:v>
                </c:pt>
                <c:pt idx="17">
                  <c:v>-9.7939991043439409E-3</c:v>
                </c:pt>
                <c:pt idx="18">
                  <c:v>-4.5141065830721092E-3</c:v>
                </c:pt>
                <c:pt idx="19">
                  <c:v>-1.1688311688311779E-3</c:v>
                </c:pt>
                <c:pt idx="20">
                  <c:v>-9.1686622468036326E-18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9-4308-88CC-5159FB0EF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E-432B-8470-672046A5E4A3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Cant_Left_Point_Moment!$B$8:$B$37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E-432B-8470-672046A5E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Cant_Left_Point_Moment!$C$8:$C$37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5-4D3B-A38E-476A31AEA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Cant_Left_Point_Moment!$D$8:$D$37</c:f>
              <c:numCache>
                <c:formatCode>General</c:formatCode>
                <c:ptCount val="30"/>
                <c:pt idx="0">
                  <c:v>-8.0609046126287498E-4</c:v>
                </c:pt>
                <c:pt idx="1">
                  <c:v>-8.0609046126287498E-4</c:v>
                </c:pt>
                <c:pt idx="2">
                  <c:v>-8.0609046126287498E-4</c:v>
                </c:pt>
                <c:pt idx="3">
                  <c:v>-8.0609046126287498E-4</c:v>
                </c:pt>
                <c:pt idx="4">
                  <c:v>-8.0609046126287498E-4</c:v>
                </c:pt>
                <c:pt idx="5">
                  <c:v>-8.0609046126287498E-4</c:v>
                </c:pt>
                <c:pt idx="6">
                  <c:v>-8.0609046126287498E-4</c:v>
                </c:pt>
                <c:pt idx="7">
                  <c:v>-8.0609046126287498E-4</c:v>
                </c:pt>
                <c:pt idx="8">
                  <c:v>-8.0609046126287498E-4</c:v>
                </c:pt>
                <c:pt idx="9">
                  <c:v>-8.0609046126287498E-4</c:v>
                </c:pt>
                <c:pt idx="10">
                  <c:v>-8.0609046126287498E-4</c:v>
                </c:pt>
                <c:pt idx="11">
                  <c:v>-7.2548141513658747E-4</c:v>
                </c:pt>
                <c:pt idx="12">
                  <c:v>-6.4487236901030007E-4</c:v>
                </c:pt>
                <c:pt idx="13">
                  <c:v>-5.6426332288401256E-4</c:v>
                </c:pt>
                <c:pt idx="14">
                  <c:v>-4.83654276757725E-4</c:v>
                </c:pt>
                <c:pt idx="15">
                  <c:v>-4.0304523063143749E-4</c:v>
                </c:pt>
                <c:pt idx="16">
                  <c:v>-3.2243618450515004E-4</c:v>
                </c:pt>
                <c:pt idx="17">
                  <c:v>-2.418271383788625E-4</c:v>
                </c:pt>
                <c:pt idx="18">
                  <c:v>-1.6121809225257502E-4</c:v>
                </c:pt>
                <c:pt idx="19">
                  <c:v>-8.0609046126287509E-5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D-4E6E-A4AF-A9FF51107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Cant_Left_Point_Moment!$A$8:$A$37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Cant_Left_Point_Moment!$E$8:$E$37</c:f>
              <c:numCache>
                <c:formatCode>General</c:formatCode>
                <c:ptCount val="30"/>
                <c:pt idx="0">
                  <c:v>7.2548141513658751E-2</c:v>
                </c:pt>
                <c:pt idx="1">
                  <c:v>6.77115987460815E-2</c:v>
                </c:pt>
                <c:pt idx="2">
                  <c:v>6.2875055978504263E-2</c:v>
                </c:pt>
                <c:pt idx="3">
                  <c:v>5.8038513210926998E-2</c:v>
                </c:pt>
                <c:pt idx="4">
                  <c:v>5.3201970443349747E-2</c:v>
                </c:pt>
                <c:pt idx="5">
                  <c:v>4.8365427675772503E-2</c:v>
                </c:pt>
                <c:pt idx="6">
                  <c:v>4.3528884908195252E-2</c:v>
                </c:pt>
                <c:pt idx="7">
                  <c:v>3.8692342140618001E-2</c:v>
                </c:pt>
                <c:pt idx="8">
                  <c:v>3.385579937304075E-2</c:v>
                </c:pt>
                <c:pt idx="9">
                  <c:v>2.9019256605463499E-2</c:v>
                </c:pt>
                <c:pt idx="10">
                  <c:v>2.4182713837886251E-2</c:v>
                </c:pt>
                <c:pt idx="11">
                  <c:v>1.9587998208687864E-2</c:v>
                </c:pt>
                <c:pt idx="12">
                  <c:v>1.5476936856247202E-2</c:v>
                </c:pt>
                <c:pt idx="13">
                  <c:v>1.1849529780564264E-2</c:v>
                </c:pt>
                <c:pt idx="14">
                  <c:v>8.7057769816390497E-3</c:v>
                </c:pt>
                <c:pt idx="15">
                  <c:v>6.0456784594715629E-3</c:v>
                </c:pt>
                <c:pt idx="16">
                  <c:v>3.8692342140618004E-3</c:v>
                </c:pt>
                <c:pt idx="17">
                  <c:v>2.1764442454097624E-3</c:v>
                </c:pt>
                <c:pt idx="18">
                  <c:v>9.6730855351545011E-4</c:v>
                </c:pt>
                <c:pt idx="19">
                  <c:v>2.4182713837886253E-4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A-4BF7-B4E4-CA1598D12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4-4E4D-9AA8-A27FE58B9EE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4-4E4D-9AA8-A27FE58B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-0.125</c:v>
                </c:pt>
                <c:pt idx="6">
                  <c:v>-0.5</c:v>
                </c:pt>
                <c:pt idx="7">
                  <c:v>-1.125</c:v>
                </c:pt>
                <c:pt idx="8">
                  <c:v>-2</c:v>
                </c:pt>
                <c:pt idx="9">
                  <c:v>-3.125</c:v>
                </c:pt>
                <c:pt idx="10">
                  <c:v>-4.5</c:v>
                </c:pt>
                <c:pt idx="11">
                  <c:v>-6.125</c:v>
                </c:pt>
                <c:pt idx="12">
                  <c:v>-8</c:v>
                </c:pt>
                <c:pt idx="13">
                  <c:v>-10.125</c:v>
                </c:pt>
                <c:pt idx="14">
                  <c:v>-12.5</c:v>
                </c:pt>
                <c:pt idx="15">
                  <c:v>-15.125</c:v>
                </c:pt>
                <c:pt idx="16">
                  <c:v>-18</c:v>
                </c:pt>
                <c:pt idx="17">
                  <c:v>-21</c:v>
                </c:pt>
                <c:pt idx="18">
                  <c:v>-24</c:v>
                </c:pt>
                <c:pt idx="19">
                  <c:v>-27</c:v>
                </c:pt>
                <c:pt idx="2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5-4528-8BF1-75C1014EC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Cant_Left_Uniform_load!$D$9:$D$38</c:f>
              <c:numCache>
                <c:formatCode>General</c:formatCode>
                <c:ptCount val="30"/>
                <c:pt idx="0">
                  <c:v>1.3542319749216301E-2</c:v>
                </c:pt>
                <c:pt idx="1">
                  <c:v>1.3542319749216301E-2</c:v>
                </c:pt>
                <c:pt idx="2">
                  <c:v>1.3542319749216301E-2</c:v>
                </c:pt>
                <c:pt idx="3">
                  <c:v>1.3542319749216301E-2</c:v>
                </c:pt>
                <c:pt idx="4">
                  <c:v>1.3542319749216301E-2</c:v>
                </c:pt>
                <c:pt idx="5">
                  <c:v>1.3538961038961038E-2</c:v>
                </c:pt>
                <c:pt idx="6">
                  <c:v>1.3515450067174205E-2</c:v>
                </c:pt>
                <c:pt idx="7">
                  <c:v>1.3451634572324227E-2</c:v>
                </c:pt>
                <c:pt idx="8">
                  <c:v>1.3327362292879534E-2</c:v>
                </c:pt>
                <c:pt idx="9">
                  <c:v>1.3122480967308553E-2</c:v>
                </c:pt>
                <c:pt idx="10">
                  <c:v>1.2816838334079712E-2</c:v>
                </c:pt>
                <c:pt idx="11">
                  <c:v>1.2390282131661441E-2</c:v>
                </c:pt>
                <c:pt idx="12">
                  <c:v>1.1822660098522167E-2</c:v>
                </c:pt>
                <c:pt idx="13">
                  <c:v>1.1093819973130317E-2</c:v>
                </c:pt>
                <c:pt idx="14">
                  <c:v>1.0183609493954322E-2</c:v>
                </c:pt>
                <c:pt idx="15">
                  <c:v>9.0718763994626066E-3</c:v>
                </c:pt>
                <c:pt idx="16">
                  <c:v>7.7384684281236E-3</c:v>
                </c:pt>
                <c:pt idx="17">
                  <c:v>6.166592028660994E-3</c:v>
                </c:pt>
                <c:pt idx="18">
                  <c:v>4.3528884908195248E-3</c:v>
                </c:pt>
                <c:pt idx="19">
                  <c:v>2.297357814599194E-3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1-44BA-AA23-3F760BE06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Cant_Left_Uniform_load!$A$9:$A$38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Cant_Left_Uniform_load!$E$9:$E$38</c:f>
              <c:numCache>
                <c:formatCode>General</c:formatCode>
                <c:ptCount val="30"/>
                <c:pt idx="0">
                  <c:v>-1.2961934617107029</c:v>
                </c:pt>
                <c:pt idx="1">
                  <c:v>-1.2149395432154053</c:v>
                </c:pt>
                <c:pt idx="2">
                  <c:v>-1.1336856247201075</c:v>
                </c:pt>
                <c:pt idx="3">
                  <c:v>-1.0524317062248096</c:v>
                </c:pt>
                <c:pt idx="4">
                  <c:v>-0.9711777877295118</c:v>
                </c:pt>
                <c:pt idx="5">
                  <c:v>-0.88992890729959695</c:v>
                </c:pt>
                <c:pt idx="6">
                  <c:v>-0.80875055978504251</c:v>
                </c:pt>
                <c:pt idx="7">
                  <c:v>-0.72782411553963278</c:v>
                </c:pt>
                <c:pt idx="8">
                  <c:v>-0.64745185848634124</c:v>
                </c:pt>
                <c:pt idx="9">
                  <c:v>-0.56805698611733091</c:v>
                </c:pt>
                <c:pt idx="10">
                  <c:v>-0.49018360949395434</c:v>
                </c:pt>
                <c:pt idx="11">
                  <c:v>-0.41449675324675322</c:v>
                </c:pt>
                <c:pt idx="12">
                  <c:v>-0.341782355575459</c:v>
                </c:pt>
                <c:pt idx="13">
                  <c:v>-0.2729472682489924</c:v>
                </c:pt>
                <c:pt idx="14">
                  <c:v>-0.2090192566054635</c:v>
                </c:pt>
                <c:pt idx="15">
                  <c:v>-0.15114699955217195</c:v>
                </c:pt>
                <c:pt idx="16">
                  <c:v>-0.1006000895656068</c:v>
                </c:pt>
                <c:pt idx="17">
                  <c:v>-5.876399462606359E-2</c:v>
                </c:pt>
                <c:pt idx="18">
                  <c:v>-2.7084639498432601E-2</c:v>
                </c:pt>
                <c:pt idx="19">
                  <c:v>-7.0129870129870125E-3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E-49C8-A181-43A8BFCA3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9048556430446193E-2"/>
          <c:y val="0.17171296296296298"/>
          <c:w val="0.91606255468066489"/>
          <c:h val="0.77736111111111106"/>
        </c:manualLayout>
      </c:layout>
      <c:scatterChart>
        <c:scatterStyle val="lineMarker"/>
        <c:varyColors val="0"/>
        <c:ser>
          <c:idx val="1"/>
          <c:order val="0"/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2-4922-8074-57897BEA482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Cant_Left_Variable_load!$B$10:$B$39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-0.484375</c:v>
                </c:pt>
                <c:pt idx="6">
                  <c:v>-0.9375</c:v>
                </c:pt>
                <c:pt idx="7">
                  <c:v>-1.359375</c:v>
                </c:pt>
                <c:pt idx="8">
                  <c:v>-1.75</c:v>
                </c:pt>
                <c:pt idx="9">
                  <c:v>-2.109375</c:v>
                </c:pt>
                <c:pt idx="10">
                  <c:v>-2.4375</c:v>
                </c:pt>
                <c:pt idx="11">
                  <c:v>-2.734375</c:v>
                </c:pt>
                <c:pt idx="12">
                  <c:v>-3</c:v>
                </c:pt>
                <c:pt idx="13">
                  <c:v>-3.234375</c:v>
                </c:pt>
                <c:pt idx="14">
                  <c:v>-3.4375</c:v>
                </c:pt>
                <c:pt idx="15">
                  <c:v>-3.609375</c:v>
                </c:pt>
                <c:pt idx="16">
                  <c:v>-3.75</c:v>
                </c:pt>
                <c:pt idx="17">
                  <c:v>-3.75</c:v>
                </c:pt>
                <c:pt idx="18">
                  <c:v>-3.75</c:v>
                </c:pt>
                <c:pt idx="19">
                  <c:v>-3.75</c:v>
                </c:pt>
                <c:pt idx="20">
                  <c:v>-3.75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2-4922-8074-57897BEA4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Cant_Left_Variable_load!$C$10:$C$39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-0.12239583333333319</c:v>
                </c:pt>
                <c:pt idx="6">
                  <c:v>-0.47916666666666652</c:v>
                </c:pt>
                <c:pt idx="7">
                  <c:v>-1.0546874999999998</c:v>
                </c:pt>
                <c:pt idx="8">
                  <c:v>-1.8333333333333333</c:v>
                </c:pt>
                <c:pt idx="9">
                  <c:v>-2.7994791666666665</c:v>
                </c:pt>
                <c:pt idx="10">
                  <c:v>-3.9375</c:v>
                </c:pt>
                <c:pt idx="11">
                  <c:v>-5.231770833333333</c:v>
                </c:pt>
                <c:pt idx="12">
                  <c:v>-6.6666666666666661</c:v>
                </c:pt>
                <c:pt idx="13">
                  <c:v>-8.2265625</c:v>
                </c:pt>
                <c:pt idx="14">
                  <c:v>-9.8958333333333339</c:v>
                </c:pt>
                <c:pt idx="15">
                  <c:v>-11.658854166666666</c:v>
                </c:pt>
                <c:pt idx="16">
                  <c:v>-13.5</c:v>
                </c:pt>
                <c:pt idx="17">
                  <c:v>-15.374999999999998</c:v>
                </c:pt>
                <c:pt idx="18">
                  <c:v>-17.25</c:v>
                </c:pt>
                <c:pt idx="19">
                  <c:v>-19.125</c:v>
                </c:pt>
                <c:pt idx="20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14-418A-A4E0-E686116F6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Cant_Left_Variable_load!$D$10:$D$39</c:f>
              <c:numCache>
                <c:formatCode>General</c:formatCode>
                <c:ptCount val="30"/>
                <c:pt idx="0">
                  <c:v>1.0277653381101655E-2</c:v>
                </c:pt>
                <c:pt idx="1">
                  <c:v>1.0277653381101655E-2</c:v>
                </c:pt>
                <c:pt idx="2">
                  <c:v>1.0277653381101655E-2</c:v>
                </c:pt>
                <c:pt idx="3">
                  <c:v>1.0277653381101655E-2</c:v>
                </c:pt>
                <c:pt idx="4">
                  <c:v>1.0277653381101655E-2</c:v>
                </c:pt>
                <c:pt idx="5">
                  <c:v>1.0274347150694132E-2</c:v>
                </c:pt>
                <c:pt idx="6">
                  <c:v>1.0251623376623374E-2</c:v>
                </c:pt>
                <c:pt idx="7">
                  <c:v>1.0191219071876399E-2</c:v>
                </c:pt>
                <c:pt idx="8">
                  <c:v>1.0076130765785937E-2</c:v>
                </c:pt>
                <c:pt idx="9">
                  <c:v>9.89061450403045E-3</c:v>
                </c:pt>
                <c:pt idx="10">
                  <c:v>9.6201858486341229E-3</c:v>
                </c:pt>
                <c:pt idx="11">
                  <c:v>9.2516198779668598E-3</c:v>
                </c:pt>
                <c:pt idx="12">
                  <c:v>8.7729511867442878E-3</c:v>
                </c:pt>
                <c:pt idx="13">
                  <c:v>8.1734738860277639E-3</c:v>
                </c:pt>
                <c:pt idx="14">
                  <c:v>7.4437416032243605E-3</c:v>
                </c:pt>
                <c:pt idx="15">
                  <c:v>6.5755674820868774E-3</c:v>
                </c:pt>
                <c:pt idx="16">
                  <c:v>5.5620241827138367E-3</c:v>
                </c:pt>
                <c:pt idx="17">
                  <c:v>4.398231079265561E-3</c:v>
                </c:pt>
                <c:pt idx="18">
                  <c:v>3.0832960143304966E-3</c:v>
                </c:pt>
                <c:pt idx="19">
                  <c:v>1.6172189879086426E-3</c:v>
                </c:pt>
                <c:pt idx="20">
                  <c:v>-4.010450726548441E-19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5-4AE1-A6D5-FAA3360E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layout>
        <c:manualLayout>
          <c:xMode val="edge"/>
          <c:yMode val="edge"/>
          <c:x val="0.4206041119860017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Cant_Left_Variable_load!$A$10:$A$39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Cant_Left_Variable_load!$E$10:$E$39</c:f>
              <c:numCache>
                <c:formatCode>General</c:formatCode>
                <c:ptCount val="30"/>
                <c:pt idx="0">
                  <c:v>-0.96943663233318378</c:v>
                </c:pt>
                <c:pt idx="1">
                  <c:v>-0.90777071204657389</c:v>
                </c:pt>
                <c:pt idx="2">
                  <c:v>-0.846104791759964</c:v>
                </c:pt>
                <c:pt idx="3">
                  <c:v>-0.784438871473354</c:v>
                </c:pt>
                <c:pt idx="4">
                  <c:v>-0.72277295118674412</c:v>
                </c:pt>
                <c:pt idx="5">
                  <c:v>-0.66111200598969977</c:v>
                </c:pt>
                <c:pt idx="6">
                  <c:v>-0.59951970443349734</c:v>
                </c:pt>
                <c:pt idx="7">
                  <c:v>-0.53816797049932807</c:v>
                </c:pt>
                <c:pt idx="8">
                  <c:v>-0.47733452754142391</c:v>
                </c:pt>
                <c:pt idx="9">
                  <c:v>-0.41739534118898325</c:v>
                </c:pt>
                <c:pt idx="10">
                  <c:v>-0.35881706224809662</c:v>
                </c:pt>
                <c:pt idx="11">
                  <c:v>-0.30214946960367206</c:v>
                </c:pt>
                <c:pt idx="12">
                  <c:v>-0.24801791312136132</c:v>
                </c:pt>
                <c:pt idx="13">
                  <c:v>-0.19711575654948488</c:v>
                </c:pt>
                <c:pt idx="14">
                  <c:v>-0.15019682042095828</c:v>
                </c:pt>
                <c:pt idx="15">
                  <c:v>-0.10806782495521713</c:v>
                </c:pt>
                <c:pt idx="16">
                  <c:v>-7.158083296014324E-2</c:v>
                </c:pt>
                <c:pt idx="17">
                  <c:v>-4.1624496193461646E-2</c:v>
                </c:pt>
                <c:pt idx="18">
                  <c:v>-1.9104343931930085E-2</c:v>
                </c:pt>
                <c:pt idx="19">
                  <c:v>-4.9272279444692703E-3</c:v>
                </c:pt>
                <c:pt idx="20">
                  <c:v>5.0313537483191829E-17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1-4F65-A2E5-82A9757F0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3456"/>
        <c:axId val="450030592"/>
      </c:scatterChart>
      <c:valAx>
        <c:axId val="44628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30592"/>
        <c:crosses val="autoZero"/>
        <c:crossBetween val="midCat"/>
      </c:valAx>
      <c:valAx>
        <c:axId val="4500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15</xdr:row>
      <xdr:rowOff>9525</xdr:rowOff>
    </xdr:from>
    <xdr:to>
      <xdr:col>17</xdr:col>
      <xdr:colOff>190500</xdr:colOff>
      <xdr:row>36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10CEC1-7BE0-4079-88BF-BD2327DE7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257174</xdr:colOff>
      <xdr:row>14</xdr:row>
      <xdr:rowOff>180975</xdr:rowOff>
    </xdr:from>
    <xdr:to>
      <xdr:col>28</xdr:col>
      <xdr:colOff>38099</xdr:colOff>
      <xdr:row>36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C39703-3EF6-4943-A2A5-8FD42835C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161925</xdr:colOff>
      <xdr:row>36</xdr:row>
      <xdr:rowOff>133349</xdr:rowOff>
    </xdr:from>
    <xdr:to>
      <xdr:col>17</xdr:col>
      <xdr:colOff>133350</xdr:colOff>
      <xdr:row>57</xdr:row>
      <xdr:rowOff>28574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6086AC-5DD8-42BB-9926-9AC8749EE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228599</xdr:colOff>
      <xdr:row>36</xdr:row>
      <xdr:rowOff>123824</xdr:rowOff>
    </xdr:from>
    <xdr:to>
      <xdr:col>28</xdr:col>
      <xdr:colOff>28574</xdr:colOff>
      <xdr:row>57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B468855-D3CC-465E-81E0-37D9686E1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D93F3B-0F41-4910-8690-96C1659BA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010D08-BBB6-4D92-9B0C-DBC6A2A0C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FDDCD3-E266-45F4-BFC0-715013E95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7C3E69-5318-4C93-9D91-92417E81F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2B4A8A-4F5F-420D-A88A-E6203D867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E4496C-1781-4EF8-B07A-9200DBF1D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23F463-C339-404C-BF5A-0BC866432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72994BC-46F6-488F-9576-E30C8D6C9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5E5DCE-82E2-458F-BAE6-DDA80F793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053D46-E33D-44CB-8AF8-62BA12CB1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1FCF4C-8995-4B16-814F-188D24531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9BCB748-6E74-408D-91F8-7A763FF97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1B371D-9C7C-4FD0-B201-5EB464169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29EADE-3758-4947-BC0D-4B075752C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36D9AA-C41E-42B6-BC1B-E2FEB9070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909921-3F70-497A-BCFB-213B8B9C1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2F15DE-9E0C-45B3-B588-97EF50051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28F5EC-91D8-4A54-8BDF-DE2F22E7E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FBE80D-82B2-4E4B-B942-E0297D5F7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8A3BA4-D482-4A31-8F8B-A261BBC00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BFCEF2-F6C6-40A1-8BE0-C17714678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E5305-16DD-45D0-BAD1-46768E865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861016-7471-47F1-AA8F-1E7D0CFB0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DAA66A-C4C9-4204-BB4B-446692269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B1F42-C868-41DB-9D72-41685C695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EC4499-349F-464C-9DE1-3B02B419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CD7B55-E69A-45C4-9CE9-7D20BBF09B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81145A-B838-4DF8-BEA6-55EFB355F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47427-5BC4-4154-B7A4-35834330C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64D69A-A36C-4571-8FA0-2715FA1BD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D34817-6D9F-4DE0-87A7-322445333D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FA28990-1E44-4781-AEB4-443A528A6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4C5C10-D1D7-4FD9-91F3-1FDCDE008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5BF797-599B-413D-A7A7-CED7A4C6B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459B29-B622-495A-AB3A-C133C725F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8A7F80-8B06-41A1-A1EA-1560D115A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ED0D29-E2DB-473E-82E7-35A0ADC25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BDA1CE-7B73-4C65-9AC4-DDB432557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18B02B-F501-4F1D-BB56-7E52F15BE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9071B3-A205-49E6-AB0B-2C47965AD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11C71-20A5-440B-940D-9548A4A4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DBF8E-17B5-46A6-AD0E-3EF050157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532996-DE2F-4D58-AA96-5AE6F4E0E4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087189-6A70-40BA-9B30-AE32A0C17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5</xdr:row>
      <xdr:rowOff>23812</xdr:rowOff>
    </xdr:from>
    <xdr:to>
      <xdr:col>14</xdr:col>
      <xdr:colOff>542925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C8A8F-D568-4413-9AA3-AD9632A3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5</xdr:row>
      <xdr:rowOff>9525</xdr:rowOff>
    </xdr:from>
    <xdr:to>
      <xdr:col>22</xdr:col>
      <xdr:colOff>409575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23AF9B-0C5B-479A-BC82-E0ADBFA6C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20</xdr:row>
      <xdr:rowOff>47625</xdr:rowOff>
    </xdr:from>
    <xdr:to>
      <xdr:col>14</xdr:col>
      <xdr:colOff>504825</xdr:colOff>
      <xdr:row>34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174AC1-B86C-4CB1-8165-582D93835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20</xdr:row>
      <xdr:rowOff>38100</xdr:rowOff>
    </xdr:from>
    <xdr:to>
      <xdr:col>22</xdr:col>
      <xdr:colOff>409575</xdr:colOff>
      <xdr:row>34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B343EA-BCE9-4137-8538-15FCBD5FC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6</xdr:row>
      <xdr:rowOff>23812</xdr:rowOff>
    </xdr:from>
    <xdr:to>
      <xdr:col>14</xdr:col>
      <xdr:colOff>542925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0B3381-5DB3-4374-8D7A-2DF4A01F9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6</xdr:row>
      <xdr:rowOff>9525</xdr:rowOff>
    </xdr:from>
    <xdr:to>
      <xdr:col>22</xdr:col>
      <xdr:colOff>409575</xdr:colOff>
      <xdr:row>20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E08BC8-5A55-4EEA-9F91-D489C2F2D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21</xdr:row>
      <xdr:rowOff>47625</xdr:rowOff>
    </xdr:from>
    <xdr:to>
      <xdr:col>14</xdr:col>
      <xdr:colOff>504825</xdr:colOff>
      <xdr:row>35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AD51D8-C27E-4EA1-A106-D6D9C5DBA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21</xdr:row>
      <xdr:rowOff>38100</xdr:rowOff>
    </xdr:from>
    <xdr:to>
      <xdr:col>22</xdr:col>
      <xdr:colOff>409575</xdr:colOff>
      <xdr:row>35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8C56E8-5A21-4D94-B8A1-3E25D4A2F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23812</xdr:rowOff>
    </xdr:from>
    <xdr:to>
      <xdr:col>14</xdr:col>
      <xdr:colOff>542925</xdr:colOff>
      <xdr:row>21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329F2B-3082-4E1D-91D8-A4B6B1CF1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104775</xdr:colOff>
      <xdr:row>7</xdr:row>
      <xdr:rowOff>9525</xdr:rowOff>
    </xdr:from>
    <xdr:to>
      <xdr:col>22</xdr:col>
      <xdr:colOff>409575</xdr:colOff>
      <xdr:row>21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87C53B-B61F-42D6-A4C0-02CE57327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200025</xdr:colOff>
      <xdr:row>22</xdr:row>
      <xdr:rowOff>47625</xdr:rowOff>
    </xdr:from>
    <xdr:to>
      <xdr:col>14</xdr:col>
      <xdr:colOff>504825</xdr:colOff>
      <xdr:row>36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47B184-20B9-4E50-86CD-B9385A1ED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104775</xdr:colOff>
      <xdr:row>22</xdr:row>
      <xdr:rowOff>38100</xdr:rowOff>
    </xdr:from>
    <xdr:to>
      <xdr:col>22</xdr:col>
      <xdr:colOff>409575</xdr:colOff>
      <xdr:row>36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78160B-C028-4FC2-9F28-DA529ECCB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F67A-57FD-4C16-9670-280C6CEAE53D}">
  <sheetPr codeName="Sheet15"/>
  <dimension ref="A1:B30"/>
  <sheetViews>
    <sheetView workbookViewId="0">
      <selection activeCell="D19" sqref="D19"/>
    </sheetView>
  </sheetViews>
  <sheetFormatPr defaultRowHeight="24" customHeight="1" x14ac:dyDescent="0.25"/>
  <cols>
    <col min="1" max="1" width="25.85546875" customWidth="1"/>
    <col min="2" max="2" width="60.42578125" customWidth="1"/>
  </cols>
  <sheetData>
    <row r="1" spans="1:2" ht="24" customHeight="1" x14ac:dyDescent="0.25">
      <c r="A1" s="5" t="s">
        <v>34</v>
      </c>
      <c r="B1" s="6"/>
    </row>
    <row r="2" spans="1:2" ht="24" customHeight="1" x14ac:dyDescent="0.25">
      <c r="A2" s="7"/>
      <c r="B2" s="8"/>
    </row>
    <row r="3" spans="1:2" ht="24" customHeight="1" x14ac:dyDescent="0.25">
      <c r="A3" s="7"/>
      <c r="B3" s="8" t="s">
        <v>35</v>
      </c>
    </row>
    <row r="4" spans="1:2" ht="24" customHeight="1" x14ac:dyDescent="0.25">
      <c r="A4" s="7"/>
      <c r="B4" s="8" t="s">
        <v>36</v>
      </c>
    </row>
    <row r="5" spans="1:2" ht="24" customHeight="1" x14ac:dyDescent="0.25">
      <c r="A5" s="7"/>
      <c r="B5" s="8"/>
    </row>
    <row r="6" spans="1:2" ht="24" customHeight="1" x14ac:dyDescent="0.25">
      <c r="A6" s="7"/>
      <c r="B6" s="8" t="s">
        <v>37</v>
      </c>
    </row>
    <row r="7" spans="1:2" ht="24" customHeight="1" x14ac:dyDescent="0.25">
      <c r="A7" s="7"/>
      <c r="B7" s="8" t="s">
        <v>38</v>
      </c>
    </row>
    <row r="8" spans="1:2" ht="24" customHeight="1" x14ac:dyDescent="0.25">
      <c r="A8" s="7"/>
      <c r="B8" s="8"/>
    </row>
    <row r="9" spans="1:2" ht="24" customHeight="1" x14ac:dyDescent="0.25">
      <c r="A9" s="7"/>
      <c r="B9" s="8" t="s">
        <v>39</v>
      </c>
    </row>
    <row r="10" spans="1:2" ht="24" customHeight="1" x14ac:dyDescent="0.25">
      <c r="A10" s="7"/>
      <c r="B10" s="8" t="s">
        <v>40</v>
      </c>
    </row>
    <row r="11" spans="1:2" ht="24" customHeight="1" x14ac:dyDescent="0.25">
      <c r="A11" s="7"/>
      <c r="B11" s="8"/>
    </row>
    <row r="12" spans="1:2" ht="24" customHeight="1" x14ac:dyDescent="0.25">
      <c r="A12" s="7"/>
      <c r="B12" s="8" t="s">
        <v>41</v>
      </c>
    </row>
    <row r="13" spans="1:2" ht="24" customHeight="1" x14ac:dyDescent="0.25">
      <c r="A13" s="7"/>
      <c r="B13" s="8" t="s">
        <v>42</v>
      </c>
    </row>
    <row r="14" spans="1:2" ht="24" customHeight="1" x14ac:dyDescent="0.25">
      <c r="A14" s="7"/>
      <c r="B14" s="8" t="s">
        <v>43</v>
      </c>
    </row>
    <row r="15" spans="1:2" ht="24" customHeight="1" x14ac:dyDescent="0.25">
      <c r="A15" s="7"/>
      <c r="B15" s="8"/>
    </row>
    <row r="16" spans="1:2" ht="24" customHeight="1" x14ac:dyDescent="0.25">
      <c r="A16" s="7"/>
      <c r="B16" s="8" t="s">
        <v>44</v>
      </c>
    </row>
    <row r="17" spans="1:2" ht="24" customHeight="1" x14ac:dyDescent="0.25">
      <c r="A17" s="7"/>
      <c r="B17" s="8" t="s">
        <v>45</v>
      </c>
    </row>
    <row r="18" spans="1:2" ht="24" customHeight="1" x14ac:dyDescent="0.25">
      <c r="A18" s="7"/>
      <c r="B18" s="8" t="s">
        <v>46</v>
      </c>
    </row>
    <row r="19" spans="1:2" ht="24" customHeight="1" x14ac:dyDescent="0.25">
      <c r="A19" s="7"/>
      <c r="B19" s="8"/>
    </row>
    <row r="20" spans="1:2" ht="24" customHeight="1" x14ac:dyDescent="0.25">
      <c r="A20" s="7"/>
      <c r="B20" s="8" t="s">
        <v>47</v>
      </c>
    </row>
    <row r="21" spans="1:2" ht="24" customHeight="1" x14ac:dyDescent="0.25">
      <c r="A21" s="7"/>
      <c r="B21" s="8" t="s">
        <v>48</v>
      </c>
    </row>
    <row r="22" spans="1:2" ht="24" customHeight="1" x14ac:dyDescent="0.25">
      <c r="A22" s="7"/>
      <c r="B22" s="8" t="s">
        <v>49</v>
      </c>
    </row>
    <row r="23" spans="1:2" ht="24" customHeight="1" x14ac:dyDescent="0.25">
      <c r="A23" s="7"/>
      <c r="B23" s="8" t="s">
        <v>50</v>
      </c>
    </row>
    <row r="24" spans="1:2" ht="24" customHeight="1" x14ac:dyDescent="0.25">
      <c r="A24" s="7"/>
      <c r="B24" s="8" t="s">
        <v>51</v>
      </c>
    </row>
    <row r="25" spans="1:2" ht="24" customHeight="1" x14ac:dyDescent="0.25">
      <c r="A25" s="7"/>
      <c r="B25" s="8" t="s">
        <v>52</v>
      </c>
    </row>
    <row r="26" spans="1:2" ht="24" customHeight="1" x14ac:dyDescent="0.25">
      <c r="A26" s="7"/>
      <c r="B26" s="8" t="s">
        <v>53</v>
      </c>
    </row>
    <row r="27" spans="1:2" ht="24" customHeight="1" x14ac:dyDescent="0.25">
      <c r="A27" s="7"/>
      <c r="B27" s="8" t="s">
        <v>54</v>
      </c>
    </row>
    <row r="28" spans="1:2" ht="24" customHeight="1" x14ac:dyDescent="0.25">
      <c r="A28" s="7"/>
      <c r="B28" s="8" t="s">
        <v>55</v>
      </c>
    </row>
    <row r="29" spans="1:2" ht="24" customHeight="1" x14ac:dyDescent="0.25">
      <c r="A29" s="7"/>
      <c r="B29" s="8" t="s">
        <v>56</v>
      </c>
    </row>
    <row r="30" spans="1:2" ht="24" customHeight="1" thickBot="1" x14ac:dyDescent="0.3">
      <c r="A30" s="9"/>
      <c r="B30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AC221-5E12-427F-8051-41E8E33F99CC}">
  <sheetPr codeName="Sheet16"/>
  <dimension ref="A1:J80"/>
  <sheetViews>
    <sheetView workbookViewId="0">
      <selection activeCell="O11" sqref="O11"/>
    </sheetView>
  </sheetViews>
  <sheetFormatPr defaultRowHeight="15" x14ac:dyDescent="0.25"/>
  <cols>
    <col min="1" max="1" width="13.28515625" customWidth="1"/>
  </cols>
  <sheetData>
    <row r="1" spans="1:10" x14ac:dyDescent="0.25">
      <c r="A1" s="2" t="s">
        <v>57</v>
      </c>
      <c r="B1" s="11">
        <v>5</v>
      </c>
      <c r="C1" t="s">
        <v>3</v>
      </c>
      <c r="G1" s="2" t="s">
        <v>67</v>
      </c>
      <c r="H1">
        <v>20</v>
      </c>
    </row>
    <row r="2" spans="1:10" x14ac:dyDescent="0.25">
      <c r="A2" s="2" t="s">
        <v>58</v>
      </c>
      <c r="B2" s="11">
        <v>10</v>
      </c>
      <c r="C2" t="s">
        <v>3</v>
      </c>
      <c r="G2" s="2" t="s">
        <v>68</v>
      </c>
      <c r="H2">
        <f>B1/H1</f>
        <v>0.25</v>
      </c>
    </row>
    <row r="3" spans="1:10" x14ac:dyDescent="0.25">
      <c r="A3" s="2" t="s">
        <v>59</v>
      </c>
      <c r="B3" s="11">
        <v>5</v>
      </c>
      <c r="C3" t="s">
        <v>3</v>
      </c>
      <c r="G3" s="2" t="s">
        <v>69</v>
      </c>
      <c r="H3">
        <f>B2/H1</f>
        <v>0.5</v>
      </c>
    </row>
    <row r="4" spans="1:10" x14ac:dyDescent="0.25">
      <c r="A4" s="2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G4" s="2" t="s">
        <v>70</v>
      </c>
      <c r="H4">
        <f>B3/H1</f>
        <v>0.25</v>
      </c>
    </row>
    <row r="5" spans="1:10" x14ac:dyDescent="0.25">
      <c r="A5" s="2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</row>
    <row r="8" spans="1:10" x14ac:dyDescent="0.25">
      <c r="A8" s="12" t="s">
        <v>60</v>
      </c>
      <c r="E8" t="s">
        <v>63</v>
      </c>
      <c r="I8" t="s">
        <v>64</v>
      </c>
    </row>
    <row r="9" spans="1:10" x14ac:dyDescent="0.25">
      <c r="A9" s="13" t="s">
        <v>61</v>
      </c>
      <c r="B9" s="13" t="s">
        <v>62</v>
      </c>
      <c r="C9" s="13"/>
      <c r="E9" s="13" t="s">
        <v>61</v>
      </c>
      <c r="F9" s="13" t="s">
        <v>62</v>
      </c>
      <c r="G9" s="13"/>
      <c r="I9" s="13" t="s">
        <v>61</v>
      </c>
      <c r="J9" s="13" t="s">
        <v>62</v>
      </c>
    </row>
    <row r="10" spans="1:10" x14ac:dyDescent="0.25">
      <c r="A10" s="14">
        <v>1</v>
      </c>
      <c r="B10" s="14">
        <v>0</v>
      </c>
      <c r="C10" s="13"/>
      <c r="D10" cm="1">
        <f t="array" ref="D10">point_load(E10,F10,B2,D4,D5,0,4)</f>
        <v>-1.0076130765785938E-3</v>
      </c>
      <c r="E10" s="14">
        <v>1</v>
      </c>
      <c r="F10" s="14">
        <v>5</v>
      </c>
      <c r="G10" s="13" cm="1">
        <f t="array" ref="G10">point_load(E10,F10,B2,D4,D5,B2,4)</f>
        <v>1.0076130765785938E-3</v>
      </c>
      <c r="I10" s="14">
        <v>1</v>
      </c>
      <c r="J10" s="14">
        <v>5</v>
      </c>
    </row>
    <row r="11" spans="1:10" x14ac:dyDescent="0.25">
      <c r="B11" s="2"/>
      <c r="C11" cm="1">
        <f t="array" ref="C11">cant_left_point_load(A10,B10,B1,D4,D5,0,7)</f>
        <v>-5</v>
      </c>
      <c r="D11" cm="1">
        <f t="array" ref="D11">point_moment(C11,0,B2,D4,D5,0,4)</f>
        <v>2.6869682042095838E-3</v>
      </c>
      <c r="G11" cm="1">
        <f t="array" ref="G11">point_moment(C11,0,B2,D4,D5,B2,4)</f>
        <v>-1.3434841021047915E-3</v>
      </c>
      <c r="H11" s="1" cm="1">
        <f t="array" ref="H11">cant_right_point_load(I10,J10,B3,D4,D5,0,6)</f>
        <v>-5</v>
      </c>
      <c r="I11" t="s">
        <v>65</v>
      </c>
    </row>
    <row r="12" spans="1:10" ht="15.75" thickBot="1" x14ac:dyDescent="0.3">
      <c r="D12" s="17" cm="1">
        <f t="array" ref="D12">point_moment(-1*H11,B2,B2,D4,D5,0,4)</f>
        <v>1.3434841021047921E-3</v>
      </c>
      <c r="G12" s="17" cm="1">
        <f t="array" ref="G12">point_moment(-1*H11,B2,B2,D4,D5,B2,4)</f>
        <v>-2.6869682042095829E-3</v>
      </c>
    </row>
    <row r="13" spans="1:10" ht="15.75" thickTop="1" x14ac:dyDescent="0.25">
      <c r="D13">
        <f>SUM(D10:D12)</f>
        <v>3.0228392297357819E-3</v>
      </c>
      <c r="G13">
        <f>SUM(G10:G12)</f>
        <v>-3.0228392297357806E-3</v>
      </c>
      <c r="I13" t="s">
        <v>66</v>
      </c>
    </row>
    <row r="17" spans="1:6" x14ac:dyDescent="0.25">
      <c r="A17" t="s">
        <v>11</v>
      </c>
      <c r="B17" t="s">
        <v>71</v>
      </c>
      <c r="C17" t="s">
        <v>75</v>
      </c>
      <c r="D17" t="s">
        <v>74</v>
      </c>
      <c r="E17" t="s">
        <v>73</v>
      </c>
      <c r="F17" t="s">
        <v>72</v>
      </c>
    </row>
    <row r="18" spans="1:6" x14ac:dyDescent="0.25">
      <c r="A18">
        <f>0</f>
        <v>0</v>
      </c>
      <c r="B18">
        <f>A18</f>
        <v>0</v>
      </c>
      <c r="C18" cm="1">
        <f t="array" ref="C18">cant_left_point_load($A$10,$B$10,$B$1,$D$4,$D$5,A18,2)+cant_left_initialSlope($D$13,$B$1,$D$4,$D$5,A18,2)</f>
        <v>0</v>
      </c>
      <c r="D18" cm="1">
        <f t="array" ref="D18">cant_left_point_load($A$10,$B$10,$B$1,$D$4,$D$5,A18,3)+cant_left_initialSlope($D$13,$B$1,$D$4,$D$5,A18,3)</f>
        <v>0</v>
      </c>
      <c r="E18" cm="1">
        <f t="array" ref="E18">cant_left_point_load($A$10,$B$10,$B$1,$D$4,$D$5,A18,4)+cant_left_initialSlope($D$13,$B$1,$D$4,$D$5,A18,4)</f>
        <v>5.0380653828929695E-3</v>
      </c>
      <c r="F18" cm="1">
        <f t="array" ref="F18">12*(cant_left_point_load($A$10,$B$10,$B$1,$D$4,$D$5,A18,5)+cant_left_initialSlope($D$13,$B$1,$D$4,$D$5,A18,5))</f>
        <v>-0.2619793999104344</v>
      </c>
    </row>
    <row r="19" spans="1:6" x14ac:dyDescent="0.25">
      <c r="A19">
        <f>A18+H$2</f>
        <v>0.25</v>
      </c>
      <c r="B19">
        <f t="shared" ref="B19:B38" si="0">A19</f>
        <v>0.25</v>
      </c>
      <c r="C19" cm="1">
        <f t="array" ref="C19">cant_left_point_load($A$10,$B$10,$B$1,$D$4,$D$5,A19,2)+cant_left_initialSlope($D$13,$B$1,$D$4,$D$5,A19,2)</f>
        <v>-1</v>
      </c>
      <c r="D19" cm="1">
        <f t="array" ref="D19">cant_left_point_load($A$10,$B$10,$B$1,$D$4,$D$5,A19,3)+cant_left_initialSlope($D$13,$B$1,$D$4,$D$5,A19,3)</f>
        <v>-0.25</v>
      </c>
      <c r="E19" cm="1">
        <f t="array" ref="E19">cant_left_point_load($A$10,$B$10,$B$1,$D$4,$D$5,A19,4)+cant_left_initialSlope($D$13,$B$1,$D$4,$D$5,A19,4)</f>
        <v>5.0330273175100762E-3</v>
      </c>
      <c r="F19" cm="1">
        <f t="array" ref="F19">12*(cant_left_point_load($A$10,$B$10,$B$1,$D$4,$D$5,A19,5)+cant_left_initialSlope($D$13,$B$1,$D$4,$D$5,A19,5))</f>
        <v>-0.2468702418271384</v>
      </c>
    </row>
    <row r="20" spans="1:6" x14ac:dyDescent="0.25">
      <c r="A20">
        <f t="shared" ref="A20:A37" si="1">A19+H$2</f>
        <v>0.5</v>
      </c>
      <c r="B20">
        <f t="shared" si="0"/>
        <v>0.5</v>
      </c>
      <c r="C20" cm="1">
        <f t="array" ref="C20">cant_left_point_load($A$10,$B$10,$B$1,$D$4,$D$5,A20,2)+cant_left_initialSlope($D$13,$B$1,$D$4,$D$5,A20,2)</f>
        <v>-1</v>
      </c>
      <c r="D20" cm="1">
        <f t="array" ref="D20">cant_left_point_load($A$10,$B$10,$B$1,$D$4,$D$5,A20,3)+cant_left_initialSlope($D$13,$B$1,$D$4,$D$5,A20,3)</f>
        <v>-0.5</v>
      </c>
      <c r="E20" cm="1">
        <f t="array" ref="E20">cant_left_point_load($A$10,$B$10,$B$1,$D$4,$D$5,A20,4)+cant_left_initialSlope($D$13,$B$1,$D$4,$D$5,A20,4)</f>
        <v>5.0179131213613972E-3</v>
      </c>
      <c r="F20" cm="1">
        <f t="array" ref="F20">12*(cant_left_point_load($A$10,$B$10,$B$1,$D$4,$D$5,A20,5)+cant_left_initialSlope($D$13,$B$1,$D$4,$D$5,A20,5))</f>
        <v>-0.23179131213613974</v>
      </c>
    </row>
    <row r="21" spans="1:6" x14ac:dyDescent="0.25">
      <c r="A21">
        <f t="shared" si="1"/>
        <v>0.75</v>
      </c>
      <c r="B21">
        <f t="shared" si="0"/>
        <v>0.75</v>
      </c>
      <c r="C21" cm="1">
        <f t="array" ref="C21">cant_left_point_load($A$10,$B$10,$B$1,$D$4,$D$5,A21,2)+cant_left_initialSlope($D$13,$B$1,$D$4,$D$5,A21,2)</f>
        <v>-1</v>
      </c>
      <c r="D21" cm="1">
        <f t="array" ref="D21">cant_left_point_load($A$10,$B$10,$B$1,$D$4,$D$5,A21,3)+cant_left_initialSlope($D$13,$B$1,$D$4,$D$5,A21,3)</f>
        <v>-0.75</v>
      </c>
      <c r="E21" cm="1">
        <f t="array" ref="E21">cant_left_point_load($A$10,$B$10,$B$1,$D$4,$D$5,A21,4)+cant_left_initialSlope($D$13,$B$1,$D$4,$D$5,A21,4)</f>
        <v>4.9927227944469334E-3</v>
      </c>
      <c r="F21" cm="1">
        <f t="array" ref="F21">12*(cant_left_point_load($A$10,$B$10,$B$1,$D$4,$D$5,A21,5)+cant_left_initialSlope($D$13,$B$1,$D$4,$D$5,A21,5))</f>
        <v>-0.21677283922973581</v>
      </c>
    </row>
    <row r="22" spans="1:6" x14ac:dyDescent="0.25">
      <c r="A22">
        <f t="shared" si="1"/>
        <v>1</v>
      </c>
      <c r="B22">
        <f t="shared" si="0"/>
        <v>1</v>
      </c>
      <c r="C22" cm="1">
        <f t="array" ref="C22">cant_left_point_load($A$10,$B$10,$B$1,$D$4,$D$5,A22,2)+cant_left_initialSlope($D$13,$B$1,$D$4,$D$5,A22,2)</f>
        <v>-1</v>
      </c>
      <c r="D22" cm="1">
        <f t="array" ref="D22">cant_left_point_load($A$10,$B$10,$B$1,$D$4,$D$5,A22,3)+cant_left_initialSlope($D$13,$B$1,$D$4,$D$5,A22,3)</f>
        <v>-1</v>
      </c>
      <c r="E22" cm="1">
        <f t="array" ref="E22">cant_left_point_load($A$10,$B$10,$B$1,$D$4,$D$5,A22,4)+cant_left_initialSlope($D$13,$B$1,$D$4,$D$5,A22,4)</f>
        <v>4.9574563367666821E-3</v>
      </c>
      <c r="F22" cm="1">
        <f t="array" ref="F22">12*(cant_left_point_load($A$10,$B$10,$B$1,$D$4,$D$5,A22,5)+cant_left_initialSlope($D$13,$B$1,$D$4,$D$5,A22,5))</f>
        <v>-0.20184505150022392</v>
      </c>
    </row>
    <row r="23" spans="1:6" x14ac:dyDescent="0.25">
      <c r="A23">
        <f t="shared" si="1"/>
        <v>1.25</v>
      </c>
      <c r="B23">
        <f t="shared" si="0"/>
        <v>1.25</v>
      </c>
      <c r="C23" cm="1">
        <f t="array" ref="C23">cant_left_point_load($A$10,$B$10,$B$1,$D$4,$D$5,A23,2)+cant_left_initialSlope($D$13,$B$1,$D$4,$D$5,A23,2)</f>
        <v>-1</v>
      </c>
      <c r="D23" cm="1">
        <f t="array" ref="D23">cant_left_point_load($A$10,$B$10,$B$1,$D$4,$D$5,A23,3)+cant_left_initialSlope($D$13,$B$1,$D$4,$D$5,A23,3)</f>
        <v>-1.25</v>
      </c>
      <c r="E23" cm="1">
        <f t="array" ref="E23">cant_left_point_load($A$10,$B$10,$B$1,$D$4,$D$5,A23,4)+cant_left_initialSlope($D$13,$B$1,$D$4,$D$5,A23,4)</f>
        <v>4.9121137483206451E-3</v>
      </c>
      <c r="F23" cm="1">
        <f t="array" ref="F23">12*(cant_left_point_load($A$10,$B$10,$B$1,$D$4,$D$5,A23,5)+cant_left_initialSlope($D$13,$B$1,$D$4,$D$5,A23,5))</f>
        <v>-0.18703817733990147</v>
      </c>
    </row>
    <row r="24" spans="1:6" x14ac:dyDescent="0.25">
      <c r="A24">
        <f>A23+H$2</f>
        <v>1.5</v>
      </c>
      <c r="B24">
        <f t="shared" si="0"/>
        <v>1.5</v>
      </c>
      <c r="C24" cm="1">
        <f t="array" ref="C24">cant_left_point_load($A$10,$B$10,$B$1,$D$4,$D$5,A24,2)+cant_left_initialSlope($D$13,$B$1,$D$4,$D$5,A24,2)</f>
        <v>-1</v>
      </c>
      <c r="D24" cm="1">
        <f t="array" ref="D24">cant_left_point_load($A$10,$B$10,$B$1,$D$4,$D$5,A24,3)+cant_left_initialSlope($D$13,$B$1,$D$4,$D$5,A24,3)</f>
        <v>-1.5</v>
      </c>
      <c r="E24" cm="1">
        <f t="array" ref="E24">cant_left_point_load($A$10,$B$10,$B$1,$D$4,$D$5,A24,4)+cant_left_initialSlope($D$13,$B$1,$D$4,$D$5,A24,4)</f>
        <v>4.8566950291088224E-3</v>
      </c>
      <c r="F24" cm="1">
        <f t="array" ref="F24">12*(cant_left_point_load($A$10,$B$10,$B$1,$D$4,$D$5,A24,5)+cant_left_initialSlope($D$13,$B$1,$D$4,$D$5,A24,5))</f>
        <v>-0.17238244514106585</v>
      </c>
    </row>
    <row r="25" spans="1:6" x14ac:dyDescent="0.25">
      <c r="A25">
        <f t="shared" si="1"/>
        <v>1.75</v>
      </c>
      <c r="B25">
        <f t="shared" si="0"/>
        <v>1.75</v>
      </c>
      <c r="C25" cm="1">
        <f t="array" ref="C25">cant_left_point_load($A$10,$B$10,$B$1,$D$4,$D$5,A25,2)+cant_left_initialSlope($D$13,$B$1,$D$4,$D$5,A25,2)</f>
        <v>-1</v>
      </c>
      <c r="D25" cm="1">
        <f t="array" ref="D25">cant_left_point_load($A$10,$B$10,$B$1,$D$4,$D$5,A25,3)+cant_left_initialSlope($D$13,$B$1,$D$4,$D$5,A25,3)</f>
        <v>-1.75</v>
      </c>
      <c r="E25" cm="1">
        <f t="array" ref="E25">cant_left_point_load($A$10,$B$10,$B$1,$D$4,$D$5,A25,4)+cant_left_initialSlope($D$13,$B$1,$D$4,$D$5,A25,4)</f>
        <v>4.791200179131214E-3</v>
      </c>
      <c r="F25" cm="1">
        <f t="array" ref="F25">12*(cant_left_point_load($A$10,$B$10,$B$1,$D$4,$D$5,A25,5)+cant_left_initialSlope($D$13,$B$1,$D$4,$D$5,A25,5))</f>
        <v>-0.15790808329601436</v>
      </c>
    </row>
    <row r="26" spans="1:6" x14ac:dyDescent="0.25">
      <c r="A26">
        <f t="shared" si="1"/>
        <v>2</v>
      </c>
      <c r="B26">
        <f t="shared" si="0"/>
        <v>2</v>
      </c>
      <c r="C26" cm="1">
        <f t="array" ref="C26">cant_left_point_load($A$10,$B$10,$B$1,$D$4,$D$5,A26,2)+cant_left_initialSlope($D$13,$B$1,$D$4,$D$5,A26,2)</f>
        <v>-1</v>
      </c>
      <c r="D26" cm="1">
        <f t="array" ref="D26">cant_left_point_load($A$10,$B$10,$B$1,$D$4,$D$5,A26,3)+cant_left_initialSlope($D$13,$B$1,$D$4,$D$5,A26,3)</f>
        <v>-2</v>
      </c>
      <c r="E26" cm="1">
        <f t="array" ref="E26">cant_left_point_load($A$10,$B$10,$B$1,$D$4,$D$5,A26,4)+cant_left_initialSlope($D$13,$B$1,$D$4,$D$5,A26,4)</f>
        <v>4.715629198387819E-3</v>
      </c>
      <c r="F26" cm="1">
        <f t="array" ref="F26">12*(cant_left_point_load($A$10,$B$10,$B$1,$D$4,$D$5,A26,5)+cant_left_initialSlope($D$13,$B$1,$D$4,$D$5,A26,5))</f>
        <v>-0.14364532019704435</v>
      </c>
    </row>
    <row r="27" spans="1:6" x14ac:dyDescent="0.25">
      <c r="A27">
        <f>A26+H$2</f>
        <v>2.25</v>
      </c>
      <c r="B27">
        <f t="shared" si="0"/>
        <v>2.25</v>
      </c>
      <c r="C27" cm="1">
        <f t="array" ref="C27">cant_left_point_load($A$10,$B$10,$B$1,$D$4,$D$5,A27,2)+cant_left_initialSlope($D$13,$B$1,$D$4,$D$5,A27,2)</f>
        <v>-1</v>
      </c>
      <c r="D27" cm="1">
        <f t="array" ref="D27">cant_left_point_load($A$10,$B$10,$B$1,$D$4,$D$5,A27,3)+cant_left_initialSlope($D$13,$B$1,$D$4,$D$5,A27,3)</f>
        <v>-2.25</v>
      </c>
      <c r="E27" cm="1">
        <f t="array" ref="E27">cant_left_point_load($A$10,$B$10,$B$1,$D$4,$D$5,A27,4)+cant_left_initialSlope($D$13,$B$1,$D$4,$D$5,A27,4)</f>
        <v>4.6299820868786392E-3</v>
      </c>
      <c r="F27" cm="1">
        <f t="array" ref="F27">12*(cant_left_point_load($A$10,$B$10,$B$1,$D$4,$D$5,A27,5)+cant_left_initialSlope($D$13,$B$1,$D$4,$D$5,A27,5))</f>
        <v>-0.1296243842364532</v>
      </c>
    </row>
    <row r="28" spans="1:6" x14ac:dyDescent="0.25">
      <c r="A28">
        <f t="shared" si="1"/>
        <v>2.5</v>
      </c>
      <c r="B28">
        <f t="shared" si="0"/>
        <v>2.5</v>
      </c>
      <c r="C28" cm="1">
        <f t="array" ref="C28">cant_left_point_load($A$10,$B$10,$B$1,$D$4,$D$5,A28,2)+cant_left_initialSlope($D$13,$B$1,$D$4,$D$5,A28,2)</f>
        <v>-1</v>
      </c>
      <c r="D28" cm="1">
        <f t="array" ref="D28">cant_left_point_load($A$10,$B$10,$B$1,$D$4,$D$5,A28,3)+cant_left_initialSlope($D$13,$B$1,$D$4,$D$5,A28,3)</f>
        <v>-2.5</v>
      </c>
      <c r="E28" cm="1">
        <f t="array" ref="E28">cant_left_point_load($A$10,$B$10,$B$1,$D$4,$D$5,A28,4)+cant_left_initialSlope($D$13,$B$1,$D$4,$D$5,A28,4)</f>
        <v>4.5342588446036728E-3</v>
      </c>
      <c r="F28" cm="1">
        <f t="array" ref="F28">12*(cant_left_point_load($A$10,$B$10,$B$1,$D$4,$D$5,A28,5)+cant_left_initialSlope($D$13,$B$1,$D$4,$D$5,A28,5))</f>
        <v>-0.1158755038065383</v>
      </c>
    </row>
    <row r="29" spans="1:6" x14ac:dyDescent="0.25">
      <c r="A29">
        <f t="shared" si="1"/>
        <v>2.75</v>
      </c>
      <c r="B29">
        <f t="shared" si="0"/>
        <v>2.75</v>
      </c>
      <c r="C29" cm="1">
        <f t="array" ref="C29">cant_left_point_load($A$10,$B$10,$B$1,$D$4,$D$5,A29,2)+cant_left_initialSlope($D$13,$B$1,$D$4,$D$5,A29,2)</f>
        <v>-1</v>
      </c>
      <c r="D29" cm="1">
        <f t="array" ref="D29">cant_left_point_load($A$10,$B$10,$B$1,$D$4,$D$5,A29,3)+cant_left_initialSlope($D$13,$B$1,$D$4,$D$5,A29,3)</f>
        <v>-2.75</v>
      </c>
      <c r="E29" cm="1">
        <f t="array" ref="E29">cant_left_point_load($A$10,$B$10,$B$1,$D$4,$D$5,A29,4)+cant_left_initialSlope($D$13,$B$1,$D$4,$D$5,A29,4)</f>
        <v>4.4284594715629198E-3</v>
      </c>
      <c r="F29" cm="1">
        <f t="array" ref="F29">12*(cant_left_point_load($A$10,$B$10,$B$1,$D$4,$D$5,A29,5)+cant_left_initialSlope($D$13,$B$1,$D$4,$D$5,A29,5))</f>
        <v>-0.10242890729959696</v>
      </c>
    </row>
    <row r="30" spans="1:6" x14ac:dyDescent="0.25">
      <c r="A30">
        <f t="shared" si="1"/>
        <v>3</v>
      </c>
      <c r="B30">
        <f t="shared" si="0"/>
        <v>3</v>
      </c>
      <c r="C30" cm="1">
        <f t="array" ref="C30">cant_left_point_load($A$10,$B$10,$B$1,$D$4,$D$5,A30,2)+cant_left_initialSlope($D$13,$B$1,$D$4,$D$5,A30,2)</f>
        <v>-1</v>
      </c>
      <c r="D30" cm="1">
        <f t="array" ref="D30">cant_left_point_load($A$10,$B$10,$B$1,$D$4,$D$5,A30,3)+cant_left_initialSlope($D$13,$B$1,$D$4,$D$5,A30,3)</f>
        <v>-3</v>
      </c>
      <c r="E30" cm="1">
        <f t="array" ref="E30">cant_left_point_load($A$10,$B$10,$B$1,$D$4,$D$5,A30,4)+cant_left_initialSlope($D$13,$B$1,$D$4,$D$5,A30,4)</f>
        <v>4.312583967756382E-3</v>
      </c>
      <c r="F30" cm="1">
        <f t="array" ref="F30">12*(cant_left_point_load($A$10,$B$10,$B$1,$D$4,$D$5,A30,5)+cant_left_initialSlope($D$13,$B$1,$D$4,$D$5,A30,5))</f>
        <v>-8.9314823107926558E-2</v>
      </c>
    </row>
    <row r="31" spans="1:6" x14ac:dyDescent="0.25">
      <c r="A31">
        <f t="shared" si="1"/>
        <v>3.25</v>
      </c>
      <c r="B31">
        <f t="shared" si="0"/>
        <v>3.25</v>
      </c>
      <c r="C31" cm="1">
        <f t="array" ref="C31">cant_left_point_load($A$10,$B$10,$B$1,$D$4,$D$5,A31,2)+cant_left_initialSlope($D$13,$B$1,$D$4,$D$5,A31,2)</f>
        <v>-1</v>
      </c>
      <c r="D31" cm="1">
        <f t="array" ref="D31">cant_left_point_load($A$10,$B$10,$B$1,$D$4,$D$5,A31,3)+cant_left_initialSlope($D$13,$B$1,$D$4,$D$5,A31,3)</f>
        <v>-3.25</v>
      </c>
      <c r="E31" cm="1">
        <f t="array" ref="E31">cant_left_point_load($A$10,$B$10,$B$1,$D$4,$D$5,A31,4)+cant_left_initialSlope($D$13,$B$1,$D$4,$D$5,A31,4)</f>
        <v>4.1866323331840576E-3</v>
      </c>
      <c r="F31" cm="1">
        <f t="array" ref="F31">12*(cant_left_point_load($A$10,$B$10,$B$1,$D$4,$D$5,A31,5)+cant_left_initialSlope($D$13,$B$1,$D$4,$D$5,A31,5))</f>
        <v>-7.6563479623824454E-2</v>
      </c>
    </row>
    <row r="32" spans="1:6" x14ac:dyDescent="0.25">
      <c r="A32">
        <f>A31+H$2</f>
        <v>3.5</v>
      </c>
      <c r="B32">
        <f t="shared" si="0"/>
        <v>3.5</v>
      </c>
      <c r="C32" cm="1">
        <f t="array" ref="C32">cant_left_point_load($A$10,$B$10,$B$1,$D$4,$D$5,A32,2)+cant_left_initialSlope($D$13,$B$1,$D$4,$D$5,A32,2)</f>
        <v>-1</v>
      </c>
      <c r="D32" cm="1">
        <f t="array" ref="D32">cant_left_point_load($A$10,$B$10,$B$1,$D$4,$D$5,A32,3)+cant_left_initialSlope($D$13,$B$1,$D$4,$D$5,A32,3)</f>
        <v>-3.5</v>
      </c>
      <c r="E32" cm="1">
        <f t="array" ref="E32">cant_left_point_load($A$10,$B$10,$B$1,$D$4,$D$5,A32,4)+cant_left_initialSlope($D$13,$B$1,$D$4,$D$5,A32,4)</f>
        <v>4.0506045678459475E-3</v>
      </c>
      <c r="F32" cm="1">
        <f t="array" ref="F32">12*(cant_left_point_load($A$10,$B$10,$B$1,$D$4,$D$5,A32,5)+cant_left_initialSlope($D$13,$B$1,$D$4,$D$5,A32,5))</f>
        <v>-6.4205105239588001E-2</v>
      </c>
    </row>
    <row r="33" spans="1:6" x14ac:dyDescent="0.25">
      <c r="A33">
        <f t="shared" si="1"/>
        <v>3.75</v>
      </c>
      <c r="B33">
        <f t="shared" si="0"/>
        <v>3.75</v>
      </c>
      <c r="C33" cm="1">
        <f t="array" ref="C33">cant_left_point_load($A$10,$B$10,$B$1,$D$4,$D$5,A33,2)+cant_left_initialSlope($D$13,$B$1,$D$4,$D$5,A33,2)</f>
        <v>-1</v>
      </c>
      <c r="D33" cm="1">
        <f t="array" ref="D33">cant_left_point_load($A$10,$B$10,$B$1,$D$4,$D$5,A33,3)+cant_left_initialSlope($D$13,$B$1,$D$4,$D$5,A33,3)</f>
        <v>-3.75</v>
      </c>
      <c r="E33" cm="1">
        <f t="array" ref="E33">cant_left_point_load($A$10,$B$10,$B$1,$D$4,$D$5,A33,4)+cant_left_initialSlope($D$13,$B$1,$D$4,$D$5,A33,4)</f>
        <v>3.9045006717420513E-3</v>
      </c>
      <c r="F33" cm="1">
        <f t="array" ref="F33">12*(cant_left_point_load($A$10,$B$10,$B$1,$D$4,$D$5,A33,5)+cant_left_initialSlope($D$13,$B$1,$D$4,$D$5,A33,5))</f>
        <v>-5.2269928347514552E-2</v>
      </c>
    </row>
    <row r="34" spans="1:6" x14ac:dyDescent="0.25">
      <c r="A34">
        <f>A33+H$2</f>
        <v>4</v>
      </c>
      <c r="B34">
        <f t="shared" si="0"/>
        <v>4</v>
      </c>
      <c r="C34" cm="1">
        <f t="array" ref="C34">cant_left_point_load($A$10,$B$10,$B$1,$D$4,$D$5,A34,2)+cant_left_initialSlope($D$13,$B$1,$D$4,$D$5,A34,2)</f>
        <v>-1</v>
      </c>
      <c r="D34" cm="1">
        <f t="array" ref="D34">cant_left_point_load($A$10,$B$10,$B$1,$D$4,$D$5,A34,3)+cant_left_initialSlope($D$13,$B$1,$D$4,$D$5,A34,3)</f>
        <v>-4</v>
      </c>
      <c r="E34" cm="1">
        <f t="array" ref="E34">cant_left_point_load($A$10,$B$10,$B$1,$D$4,$D$5,A34,4)+cant_left_initialSlope($D$13,$B$1,$D$4,$D$5,A34,4)</f>
        <v>3.7483206448723693E-3</v>
      </c>
      <c r="F34" cm="1">
        <f t="array" ref="F34">12*(cant_left_point_load($A$10,$B$10,$B$1,$D$4,$D$5,A34,5)+cant_left_initialSlope($D$13,$B$1,$D$4,$D$5,A34,5))</f>
        <v>-4.0788177339901477E-2</v>
      </c>
    </row>
    <row r="35" spans="1:6" x14ac:dyDescent="0.25">
      <c r="A35">
        <f t="shared" si="1"/>
        <v>4.25</v>
      </c>
      <c r="B35">
        <f t="shared" si="0"/>
        <v>4.25</v>
      </c>
      <c r="C35" cm="1">
        <f t="array" ref="C35">cant_left_point_load($A$10,$B$10,$B$1,$D$4,$D$5,A35,2)+cant_left_initialSlope($D$13,$B$1,$D$4,$D$5,A35,2)</f>
        <v>-1</v>
      </c>
      <c r="D35" cm="1">
        <f t="array" ref="D35">cant_left_point_load($A$10,$B$10,$B$1,$D$4,$D$5,A35,3)+cant_left_initialSlope($D$13,$B$1,$D$4,$D$5,A35,3)</f>
        <v>-4.25</v>
      </c>
      <c r="E35" cm="1">
        <f t="array" ref="E35">cant_left_point_load($A$10,$B$10,$B$1,$D$4,$D$5,A35,4)+cant_left_initialSlope($D$13,$B$1,$D$4,$D$5,A35,4)</f>
        <v>3.5820644872369013E-3</v>
      </c>
      <c r="F35" cm="1">
        <f t="array" ref="F35">12*(cant_left_point_load($A$10,$B$10,$B$1,$D$4,$D$5,A35,5)+cant_left_initialSlope($D$13,$B$1,$D$4,$D$5,A35,5))</f>
        <v>-2.9790080609046123E-2</v>
      </c>
    </row>
    <row r="36" spans="1:6" x14ac:dyDescent="0.25">
      <c r="A36">
        <f t="shared" si="1"/>
        <v>4.5</v>
      </c>
      <c r="B36">
        <f t="shared" si="0"/>
        <v>4.5</v>
      </c>
      <c r="C36" cm="1">
        <f t="array" ref="C36">cant_left_point_load($A$10,$B$10,$B$1,$D$4,$D$5,A36,2)+cant_left_initialSlope($D$13,$B$1,$D$4,$D$5,A36,2)</f>
        <v>-1</v>
      </c>
      <c r="D36" cm="1">
        <f t="array" ref="D36">cant_left_point_load($A$10,$B$10,$B$1,$D$4,$D$5,A36,3)+cant_left_initialSlope($D$13,$B$1,$D$4,$D$5,A36,3)</f>
        <v>-4.5</v>
      </c>
      <c r="E36" cm="1">
        <f t="array" ref="E36">cant_left_point_load($A$10,$B$10,$B$1,$D$4,$D$5,A36,4)+cant_left_initialSlope($D$13,$B$1,$D$4,$D$5,A36,4)</f>
        <v>3.4057321988356475E-3</v>
      </c>
      <c r="F36" cm="1">
        <f t="array" ref="F36">12*(cant_left_point_load($A$10,$B$10,$B$1,$D$4,$D$5,A36,5)+cant_left_initialSlope($D$13,$B$1,$D$4,$D$5,A36,5))</f>
        <v>-1.9305866547245854E-2</v>
      </c>
    </row>
    <row r="37" spans="1:6" x14ac:dyDescent="0.25">
      <c r="A37">
        <f t="shared" si="1"/>
        <v>4.75</v>
      </c>
      <c r="B37">
        <f t="shared" si="0"/>
        <v>4.75</v>
      </c>
      <c r="C37" cm="1">
        <f t="array" ref="C37">cant_left_point_load($A$10,$B$10,$B$1,$D$4,$D$5,A37,2)+cant_left_initialSlope($D$13,$B$1,$D$4,$D$5,A37,2)</f>
        <v>-1</v>
      </c>
      <c r="D37" cm="1">
        <f t="array" ref="D37">cant_left_point_load($A$10,$B$10,$B$1,$D$4,$D$5,A37,3)+cant_left_initialSlope($D$13,$B$1,$D$4,$D$5,A37,3)</f>
        <v>-4.75</v>
      </c>
      <c r="E37" cm="1">
        <f t="array" ref="E37">cant_left_point_load($A$10,$B$10,$B$1,$D$4,$D$5,A37,4)+cant_left_initialSlope($D$13,$B$1,$D$4,$D$5,A37,4)</f>
        <v>3.2193237796686075E-3</v>
      </c>
      <c r="F37" cm="1">
        <f t="array" ref="F37">12*(cant_left_point_load($A$10,$B$10,$B$1,$D$4,$D$5,A37,5)+cant_left_initialSlope($D$13,$B$1,$D$4,$D$5,A37,5))</f>
        <v>-9.3657635467980262E-3</v>
      </c>
    </row>
    <row r="38" spans="1:6" x14ac:dyDescent="0.25">
      <c r="A38">
        <f>A37+H$2</f>
        <v>5</v>
      </c>
      <c r="B38">
        <f t="shared" si="0"/>
        <v>5</v>
      </c>
      <c r="C38" cm="1">
        <f t="array" ref="C38">cant_left_point_load($A$10,$B$10,$B$1,$D$4,$D$5,A38,2)+cant_left_initialSlope($D$13,$B$1,$D$4,$D$5,A38,2)</f>
        <v>-1</v>
      </c>
      <c r="D38" cm="1">
        <f t="array" ref="D38">cant_left_point_load($A$10,$B$10,$B$1,$D$4,$D$5,A38,3)+cant_left_initialSlope($D$13,$B$1,$D$4,$D$5,A38,3)</f>
        <v>-5</v>
      </c>
      <c r="E38" cm="1">
        <f t="array" ref="E38">cant_left_point_load($A$10,$B$10,$B$1,$D$4,$D$5,A38,4)+cant_left_initialSlope($D$13,$B$1,$D$4,$D$5,A38,4)</f>
        <v>3.0228392297357819E-3</v>
      </c>
      <c r="F38" cm="1">
        <f t="array" ref="F38">12*(cant_left_point_load($A$10,$B$10,$B$1,$D$4,$D$5,A38,5)+cant_left_initialSlope($D$13,$B$1,$D$4,$D$5,A38,5))</f>
        <v>4.5776190719766306E-18</v>
      </c>
    </row>
    <row r="39" spans="1:6" x14ac:dyDescent="0.25">
      <c r="A39" s="15">
        <v>0</v>
      </c>
      <c r="B39">
        <f>A39+A$38</f>
        <v>5</v>
      </c>
      <c r="C39" cm="1">
        <f t="array" ref="C39">point_load($E$10,$F$10,$B$2,$D$4,$D$5,A39,2)+point_moment($C$11,0,$B$2,$D$4,$D$5,A39,2)+point_moment(-1*$H$11,$B$2,$B$2,$D$4,$D$5,A39,2)</f>
        <v>0.5</v>
      </c>
      <c r="D39" cm="1">
        <f t="array" ref="D39">point_load($E$10,$F$10,$B$2,$D$4,$D$5,A39,3)+point_moment($C$11,0,$B$2,$D$4,$D$5,A39,3)+point_moment(-1*$H$11,$B$2,$B$2,$D$4,$D$5,A39,3)</f>
        <v>-5</v>
      </c>
      <c r="E39" cm="1">
        <f t="array" ref="E39">point_load($E$10,$F$10,$B$2,$D$4,$D$5,A39,4)+point_moment($C$11,0,$B$2,$D$4,$D$5,A39,4)+point_moment(-1*$H$11,$B$2,$B$2,$D$4,$D$5,A39,4)</f>
        <v>3.0228392297357819E-3</v>
      </c>
      <c r="F39" cm="1">
        <f t="array" ref="F39">12*(point_load($E$10,$F$10,$B$2,$D$4,$D$5,A39,5)+point_moment($C$11,0,$B$2,$D$4,$D$5,A39,5)+point_moment(-1*$H$11,$B$2,$B$2,$D$4,$D$5,A39,5))</f>
        <v>0</v>
      </c>
    </row>
    <row r="40" spans="1:6" x14ac:dyDescent="0.25">
      <c r="A40" s="15">
        <f>A39+H$3</f>
        <v>0.5</v>
      </c>
      <c r="B40">
        <f t="shared" ref="B40:B59" si="2">A40+A$38</f>
        <v>5.5</v>
      </c>
      <c r="C40" cm="1">
        <f t="array" ref="C40">point_load($E$10,$F$10,$B$2,$D$4,$D$5,A40,2)+point_moment($C$11,0,$B$2,$D$4,$D$5,A40,2)+point_moment(-1*$H$11,$B$2,$B$2,$D$4,$D$5,A40,2)</f>
        <v>0.5</v>
      </c>
      <c r="D40" cm="1">
        <f t="array" ref="D40">point_load($E$10,$F$10,$B$2,$D$4,$D$5,A40,3)+point_moment($C$11,0,$B$2,$D$4,$D$5,A40,3)+point_moment(-1*$H$11,$B$2,$B$2,$D$4,$D$5,A40,3)</f>
        <v>-4.75</v>
      </c>
      <c r="E40" cm="1">
        <f t="array" ref="E40">point_load($E$10,$F$10,$B$2,$D$4,$D$5,A40,4)+point_moment($C$11,0,$B$2,$D$4,$D$5,A40,4)+point_moment(-1*$H$11,$B$2,$B$2,$D$4,$D$5,A40,4)</f>
        <v>2.6298701298701306E-3</v>
      </c>
      <c r="F40" cm="1">
        <f t="array" ref="F40">12*(point_load($E$10,$F$10,$B$2,$D$4,$D$5,A40,5)+point_moment($C$11,0,$B$2,$D$4,$D$5,A40,5)+point_moment(-1*$H$11,$B$2,$B$2,$D$4,$D$5,A40,5))</f>
        <v>1.6948051948051927E-2</v>
      </c>
    </row>
    <row r="41" spans="1:6" x14ac:dyDescent="0.25">
      <c r="A41" s="15">
        <f t="shared" ref="A41:A59" si="3">A40+H$3</f>
        <v>1</v>
      </c>
      <c r="B41">
        <f t="shared" si="2"/>
        <v>6</v>
      </c>
      <c r="C41" cm="1">
        <f t="array" ref="C41">point_load($E$10,$F$10,$B$2,$D$4,$D$5,A41,2)+point_moment($C$11,0,$B$2,$D$4,$D$5,A41,2)+point_moment(-1*$H$11,$B$2,$B$2,$D$4,$D$5,A41,2)</f>
        <v>0.5</v>
      </c>
      <c r="D41" cm="1">
        <f t="array" ref="D41">point_load($E$10,$F$10,$B$2,$D$4,$D$5,A41,3)+point_moment($C$11,0,$B$2,$D$4,$D$5,A41,3)+point_moment(-1*$H$11,$B$2,$B$2,$D$4,$D$5,A41,3)</f>
        <v>-4.5</v>
      </c>
      <c r="E41" cm="1">
        <f t="array" ref="E41">point_load($E$10,$F$10,$B$2,$D$4,$D$5,A41,4)+point_moment($C$11,0,$B$2,$D$4,$D$5,A41,4)+point_moment(-1*$H$11,$B$2,$B$2,$D$4,$D$5,A41,4)</f>
        <v>2.2570532915360507E-3</v>
      </c>
      <c r="F41" cm="1">
        <f t="array" ref="F41">12*(point_load($E$10,$F$10,$B$2,$D$4,$D$5,A41,5)+point_moment($C$11,0,$B$2,$D$4,$D$5,A41,5)+point_moment(-1*$H$11,$B$2,$B$2,$D$4,$D$5,A41,5))</f>
        <v>3.1598746081504689E-2</v>
      </c>
    </row>
    <row r="42" spans="1:6" x14ac:dyDescent="0.25">
      <c r="A42" s="15">
        <f t="shared" si="3"/>
        <v>1.5</v>
      </c>
      <c r="B42">
        <f t="shared" si="2"/>
        <v>6.5</v>
      </c>
      <c r="C42" cm="1">
        <f t="array" ref="C42">point_load($E$10,$F$10,$B$2,$D$4,$D$5,A42,2)+point_moment($C$11,0,$B$2,$D$4,$D$5,A42,2)+point_moment(-1*$H$11,$B$2,$B$2,$D$4,$D$5,A42,2)</f>
        <v>0.5</v>
      </c>
      <c r="D42" cm="1">
        <f t="array" ref="D42">point_load($E$10,$F$10,$B$2,$D$4,$D$5,A42,3)+point_moment($C$11,0,$B$2,$D$4,$D$5,A42,3)+point_moment(-1*$H$11,$B$2,$B$2,$D$4,$D$5,A42,3)</f>
        <v>-4.25</v>
      </c>
      <c r="E42" cm="1">
        <f t="array" ref="E42">point_load($E$10,$F$10,$B$2,$D$4,$D$5,A42,4)+point_moment($C$11,0,$B$2,$D$4,$D$5,A42,4)+point_moment(-1*$H$11,$B$2,$B$2,$D$4,$D$5,A42,4)</f>
        <v>1.9043887147335427E-3</v>
      </c>
      <c r="F42" cm="1">
        <f t="array" ref="F42">12*(point_load($E$10,$F$10,$B$2,$D$4,$D$5,A42,5)+point_moment($C$11,0,$B$2,$D$4,$D$5,A42,5)+point_moment(-1*$H$11,$B$2,$B$2,$D$4,$D$5,A42,5))</f>
        <v>4.4072995969547682E-2</v>
      </c>
    </row>
    <row r="43" spans="1:6" x14ac:dyDescent="0.25">
      <c r="A43" s="15">
        <f t="shared" si="3"/>
        <v>2</v>
      </c>
      <c r="B43">
        <f t="shared" si="2"/>
        <v>7</v>
      </c>
      <c r="C43" cm="1">
        <f t="array" ref="C43">point_load($E$10,$F$10,$B$2,$D$4,$D$5,A43,2)+point_moment($C$11,0,$B$2,$D$4,$D$5,A43,2)+point_moment(-1*$H$11,$B$2,$B$2,$D$4,$D$5,A43,2)</f>
        <v>0.5</v>
      </c>
      <c r="D43" cm="1">
        <f t="array" ref="D43">point_load($E$10,$F$10,$B$2,$D$4,$D$5,A43,3)+point_moment($C$11,0,$B$2,$D$4,$D$5,A43,3)+point_moment(-1*$H$11,$B$2,$B$2,$D$4,$D$5,A43,3)</f>
        <v>-4</v>
      </c>
      <c r="E43" cm="1">
        <f t="array" ref="E43">point_load($E$10,$F$10,$B$2,$D$4,$D$5,A43,4)+point_moment($C$11,0,$B$2,$D$4,$D$5,A43,4)+point_moment(-1*$H$11,$B$2,$B$2,$D$4,$D$5,A43,4)</f>
        <v>1.5718763994626069E-3</v>
      </c>
      <c r="F43" cm="1">
        <f t="array" ref="F43">12*(point_load($E$10,$F$10,$B$2,$D$4,$D$5,A43,5)+point_moment($C$11,0,$B$2,$D$4,$D$5,A43,5)+point_moment(-1*$H$11,$B$2,$B$2,$D$4,$D$5,A43,5))</f>
        <v>5.4491715181370338E-2</v>
      </c>
    </row>
    <row r="44" spans="1:6" x14ac:dyDescent="0.25">
      <c r="A44" s="15">
        <f t="shared" si="3"/>
        <v>2.5</v>
      </c>
      <c r="B44">
        <f t="shared" si="2"/>
        <v>7.5</v>
      </c>
      <c r="C44" cm="1">
        <f t="array" ref="C44">point_load($E$10,$F$10,$B$2,$D$4,$D$5,A44,2)+point_moment($C$11,0,$B$2,$D$4,$D$5,A44,2)+point_moment(-1*$H$11,$B$2,$B$2,$D$4,$D$5,A44,2)</f>
        <v>0.5</v>
      </c>
      <c r="D44" cm="1">
        <f t="array" ref="D44">point_load($E$10,$F$10,$B$2,$D$4,$D$5,A44,3)+point_moment($C$11,0,$B$2,$D$4,$D$5,A44,3)+point_moment(-1*$H$11,$B$2,$B$2,$D$4,$D$5,A44,3)</f>
        <v>-3.75</v>
      </c>
      <c r="E44" cm="1">
        <f t="array" ref="E44">point_load($E$10,$F$10,$B$2,$D$4,$D$5,A44,4)+point_moment($C$11,0,$B$2,$D$4,$D$5,A44,4)+point_moment(-1*$H$11,$B$2,$B$2,$D$4,$D$5,A44,4)</f>
        <v>1.2595163457232426E-3</v>
      </c>
      <c r="F44" cm="1">
        <f t="array" ref="F44">12*(point_load($E$10,$F$10,$B$2,$D$4,$D$5,A44,5)+point_moment($C$11,0,$B$2,$D$4,$D$5,A44,5)+point_moment(-1*$H$11,$B$2,$B$2,$D$4,$D$5,A44,5))</f>
        <v>6.2975817286162111E-2</v>
      </c>
    </row>
    <row r="45" spans="1:6" x14ac:dyDescent="0.25">
      <c r="A45" s="15">
        <f t="shared" si="3"/>
        <v>3</v>
      </c>
      <c r="B45">
        <f t="shared" si="2"/>
        <v>8</v>
      </c>
      <c r="C45" cm="1">
        <f t="array" ref="C45">point_load($E$10,$F$10,$B$2,$D$4,$D$5,A45,2)+point_moment($C$11,0,$B$2,$D$4,$D$5,A45,2)+point_moment(-1*$H$11,$B$2,$B$2,$D$4,$D$5,A45,2)</f>
        <v>0.5</v>
      </c>
      <c r="D45" cm="1">
        <f t="array" ref="D45">point_load($E$10,$F$10,$B$2,$D$4,$D$5,A45,3)+point_moment($C$11,0,$B$2,$D$4,$D$5,A45,3)+point_moment(-1*$H$11,$B$2,$B$2,$D$4,$D$5,A45,3)</f>
        <v>-3.5</v>
      </c>
      <c r="E45" cm="1">
        <f t="array" ref="E45">point_load($E$10,$F$10,$B$2,$D$4,$D$5,A45,4)+point_moment($C$11,0,$B$2,$D$4,$D$5,A45,4)+point_moment(-1*$H$11,$B$2,$B$2,$D$4,$D$5,A45,4)</f>
        <v>9.6730855351545054E-4</v>
      </c>
      <c r="F45" cm="1">
        <f t="array" ref="F45">12*(point_load($E$10,$F$10,$B$2,$D$4,$D$5,A45,5)+point_moment($C$11,0,$B$2,$D$4,$D$5,A45,5)+point_moment(-1*$H$11,$B$2,$B$2,$D$4,$D$5,A45,5))</f>
        <v>6.9646215853112398E-2</v>
      </c>
    </row>
    <row r="46" spans="1:6" x14ac:dyDescent="0.25">
      <c r="A46" s="15">
        <f t="shared" si="3"/>
        <v>3.5</v>
      </c>
      <c r="B46">
        <f t="shared" si="2"/>
        <v>8.5</v>
      </c>
      <c r="C46" cm="1">
        <f t="array" ref="C46">point_load($E$10,$F$10,$B$2,$D$4,$D$5,A46,2)+point_moment($C$11,0,$B$2,$D$4,$D$5,A46,2)+point_moment(-1*$H$11,$B$2,$B$2,$D$4,$D$5,A46,2)</f>
        <v>0.5</v>
      </c>
      <c r="D46" cm="1">
        <f t="array" ref="D46">point_load($E$10,$F$10,$B$2,$D$4,$D$5,A46,3)+point_moment($C$11,0,$B$2,$D$4,$D$5,A46,3)+point_moment(-1*$H$11,$B$2,$B$2,$D$4,$D$5,A46,3)</f>
        <v>-3.25</v>
      </c>
      <c r="E46" cm="1">
        <f t="array" ref="E46">point_load($E$10,$F$10,$B$2,$D$4,$D$5,A46,4)+point_moment($C$11,0,$B$2,$D$4,$D$5,A46,4)+point_moment(-1*$H$11,$B$2,$B$2,$D$4,$D$5,A46,4)</f>
        <v>6.9525302283923035E-4</v>
      </c>
      <c r="F46" cm="1">
        <f t="array" ref="F46">12*(point_load($E$10,$F$10,$B$2,$D$4,$D$5,A46,5)+point_moment($C$11,0,$B$2,$D$4,$D$5,A46,5)+point_moment(-1*$H$11,$B$2,$B$2,$D$4,$D$5,A46,5))</f>
        <v>7.4623824451410664E-2</v>
      </c>
    </row>
    <row r="47" spans="1:6" x14ac:dyDescent="0.25">
      <c r="A47" s="15">
        <f t="shared" si="3"/>
        <v>4</v>
      </c>
      <c r="B47">
        <f t="shared" si="2"/>
        <v>9</v>
      </c>
      <c r="C47" cm="1">
        <f t="array" ref="C47">point_load($E$10,$F$10,$B$2,$D$4,$D$5,A47,2)+point_moment($C$11,0,$B$2,$D$4,$D$5,A47,2)+point_moment(-1*$H$11,$B$2,$B$2,$D$4,$D$5,A47,2)</f>
        <v>0.5</v>
      </c>
      <c r="D47" cm="1">
        <f t="array" ref="D47">point_load($E$10,$F$10,$B$2,$D$4,$D$5,A47,3)+point_moment($C$11,0,$B$2,$D$4,$D$5,A47,3)+point_moment(-1*$H$11,$B$2,$B$2,$D$4,$D$5,A47,3)</f>
        <v>-3</v>
      </c>
      <c r="E47" cm="1">
        <f t="array" ref="E47">point_load($E$10,$F$10,$B$2,$D$4,$D$5,A47,4)+point_moment($C$11,0,$B$2,$D$4,$D$5,A47,4)+point_moment(-1*$H$11,$B$2,$B$2,$D$4,$D$5,A47,4)</f>
        <v>4.4334975369458184E-4</v>
      </c>
      <c r="F47" cm="1">
        <f t="array" ref="F47">12*(point_load($E$10,$F$10,$B$2,$D$4,$D$5,A47,5)+point_moment($C$11,0,$B$2,$D$4,$D$5,A47,5)+point_moment(-1*$H$11,$B$2,$B$2,$D$4,$D$5,A47,5))</f>
        <v>7.8029556650246301E-2</v>
      </c>
    </row>
    <row r="48" spans="1:6" x14ac:dyDescent="0.25">
      <c r="A48" s="15">
        <f t="shared" si="3"/>
        <v>4.5</v>
      </c>
      <c r="B48">
        <f t="shared" si="2"/>
        <v>9.5</v>
      </c>
      <c r="C48" cm="1">
        <f t="array" ref="C48">point_load($E$10,$F$10,$B$2,$D$4,$D$5,A48,2)+point_moment($C$11,0,$B$2,$D$4,$D$5,A48,2)+point_moment(-1*$H$11,$B$2,$B$2,$D$4,$D$5,A48,2)</f>
        <v>0.5</v>
      </c>
      <c r="D48" cm="1">
        <f t="array" ref="D48">point_load($E$10,$F$10,$B$2,$D$4,$D$5,A48,3)+point_moment($C$11,0,$B$2,$D$4,$D$5,A48,3)+point_moment(-1*$H$11,$B$2,$B$2,$D$4,$D$5,A48,3)</f>
        <v>-2.75</v>
      </c>
      <c r="E48" cm="1">
        <f t="array" ref="E48">point_load($E$10,$F$10,$B$2,$D$4,$D$5,A48,4)+point_moment($C$11,0,$B$2,$D$4,$D$5,A48,4)+point_moment(-1*$H$11,$B$2,$B$2,$D$4,$D$5,A48,4)</f>
        <v>2.1159874608150524E-4</v>
      </c>
      <c r="F48" cm="1">
        <f t="array" ref="F48">12*(point_load($E$10,$F$10,$B$2,$D$4,$D$5,A48,5)+point_moment($C$11,0,$B$2,$D$4,$D$5,A48,5)+point_moment(-1*$H$11,$B$2,$B$2,$D$4,$D$5,A48,5))</f>
        <v>7.9984326018808782E-2</v>
      </c>
    </row>
    <row r="49" spans="1:6" x14ac:dyDescent="0.25">
      <c r="A49" s="15">
        <f t="shared" si="3"/>
        <v>5</v>
      </c>
      <c r="B49">
        <f t="shared" si="2"/>
        <v>10</v>
      </c>
      <c r="C49" cm="1">
        <f t="array" ref="C49">point_load($E$10,$F$10,$B$2,$D$4,$D$5,A49,2)+point_moment($C$11,0,$B$2,$D$4,$D$5,A49,2)+point_moment(-1*$H$11,$B$2,$B$2,$D$4,$D$5,A49,2)</f>
        <v>0.5</v>
      </c>
      <c r="D49" cm="1">
        <f t="array" ref="D49">point_load($E$10,$F$10,$B$2,$D$4,$D$5,A49,3)+point_moment($C$11,0,$B$2,$D$4,$D$5,A49,3)+point_moment(-1*$H$11,$B$2,$B$2,$D$4,$D$5,A49,3)</f>
        <v>-2.5</v>
      </c>
      <c r="E49" cm="1">
        <f t="array" ref="E49">point_load($E$10,$F$10,$B$2,$D$4,$D$5,A49,4)+point_moment($C$11,0,$B$2,$D$4,$D$5,A49,4)+point_moment(-1*$H$11,$B$2,$B$2,$D$4,$D$5,A49,4)</f>
        <v>5.4210108624275222E-19</v>
      </c>
      <c r="F49" cm="1">
        <f t="array" ref="F49">12*(point_load($E$10,$F$10,$B$2,$D$4,$D$5,A49,5)+point_moment($C$11,0,$B$2,$D$4,$D$5,A49,5)+point_moment(-1*$H$11,$B$2,$B$2,$D$4,$D$5,A49,5))</f>
        <v>8.0609046126287526E-2</v>
      </c>
    </row>
    <row r="50" spans="1:6" x14ac:dyDescent="0.25">
      <c r="A50" s="15">
        <f t="shared" si="3"/>
        <v>5.5</v>
      </c>
      <c r="B50">
        <f t="shared" si="2"/>
        <v>10.5</v>
      </c>
      <c r="C50" cm="1">
        <f t="array" ref="C50">point_load($E$10,$F$10,$B$2,$D$4,$D$5,A50,2)+point_moment($C$11,0,$B$2,$D$4,$D$5,A50,2)+point_moment(-1*$H$11,$B$2,$B$2,$D$4,$D$5,A50,2)</f>
        <v>-0.5</v>
      </c>
      <c r="D50" cm="1">
        <f t="array" ref="D50">point_load($E$10,$F$10,$B$2,$D$4,$D$5,A50,3)+point_moment($C$11,0,$B$2,$D$4,$D$5,A50,3)+point_moment(-1*$H$11,$B$2,$B$2,$D$4,$D$5,A50,3)</f>
        <v>-2.75</v>
      </c>
      <c r="E50" cm="1">
        <f t="array" ref="E50">point_load($E$10,$F$10,$B$2,$D$4,$D$5,A50,4)+point_moment($C$11,0,$B$2,$D$4,$D$5,A50,4)+point_moment(-1*$H$11,$B$2,$B$2,$D$4,$D$5,A50,4)</f>
        <v>-2.1159874608150413E-4</v>
      </c>
      <c r="F50" cm="1">
        <f t="array" ref="F50">12*(point_load($E$10,$F$10,$B$2,$D$4,$D$5,A50,5)+point_moment($C$11,0,$B$2,$D$4,$D$5,A50,5)+point_moment(-1*$H$11,$B$2,$B$2,$D$4,$D$5,A50,5))</f>
        <v>7.9984326018808782E-2</v>
      </c>
    </row>
    <row r="51" spans="1:6" x14ac:dyDescent="0.25">
      <c r="A51" s="15">
        <f t="shared" si="3"/>
        <v>6</v>
      </c>
      <c r="B51">
        <f t="shared" si="2"/>
        <v>11</v>
      </c>
      <c r="C51" cm="1">
        <f t="array" ref="C51">point_load($E$10,$F$10,$B$2,$D$4,$D$5,A51,2)+point_moment($C$11,0,$B$2,$D$4,$D$5,A51,2)+point_moment(-1*$H$11,$B$2,$B$2,$D$4,$D$5,A51,2)</f>
        <v>-0.5</v>
      </c>
      <c r="D51" cm="1">
        <f t="array" ref="D51">point_load($E$10,$F$10,$B$2,$D$4,$D$5,A51,3)+point_moment($C$11,0,$B$2,$D$4,$D$5,A51,3)+point_moment(-1*$H$11,$B$2,$B$2,$D$4,$D$5,A51,3)</f>
        <v>-3</v>
      </c>
      <c r="E51" cm="1">
        <f t="array" ref="E51">point_load($E$10,$F$10,$B$2,$D$4,$D$5,A51,4)+point_moment($C$11,0,$B$2,$D$4,$D$5,A51,4)+point_moment(-1*$H$11,$B$2,$B$2,$D$4,$D$5,A51,4)</f>
        <v>-4.433497536945807E-4</v>
      </c>
      <c r="F51" cm="1">
        <f t="array" ref="F51">12*(point_load($E$10,$F$10,$B$2,$D$4,$D$5,A51,5)+point_moment($C$11,0,$B$2,$D$4,$D$5,A51,5)+point_moment(-1*$H$11,$B$2,$B$2,$D$4,$D$5,A51,5))</f>
        <v>7.8029556650246315E-2</v>
      </c>
    </row>
    <row r="52" spans="1:6" x14ac:dyDescent="0.25">
      <c r="A52" s="15">
        <f t="shared" si="3"/>
        <v>6.5</v>
      </c>
      <c r="B52">
        <f t="shared" si="2"/>
        <v>11.5</v>
      </c>
      <c r="C52" cm="1">
        <f t="array" ref="C52">point_load($E$10,$F$10,$B$2,$D$4,$D$5,A52,2)+point_moment($C$11,0,$B$2,$D$4,$D$5,A52,2)+point_moment(-1*$H$11,$B$2,$B$2,$D$4,$D$5,A52,2)</f>
        <v>-0.5</v>
      </c>
      <c r="D52" cm="1">
        <f t="array" ref="D52">point_load($E$10,$F$10,$B$2,$D$4,$D$5,A52,3)+point_moment($C$11,0,$B$2,$D$4,$D$5,A52,3)+point_moment(-1*$H$11,$B$2,$B$2,$D$4,$D$5,A52,3)</f>
        <v>-3.25</v>
      </c>
      <c r="E52" cm="1">
        <f t="array" ref="E52">point_load($E$10,$F$10,$B$2,$D$4,$D$5,A52,4)+point_moment($C$11,0,$B$2,$D$4,$D$5,A52,4)+point_moment(-1*$H$11,$B$2,$B$2,$D$4,$D$5,A52,4)</f>
        <v>-6.9525302283922916E-4</v>
      </c>
      <c r="F52" cm="1">
        <f t="array" ref="F52">12*(point_load($E$10,$F$10,$B$2,$D$4,$D$5,A52,5)+point_moment($C$11,0,$B$2,$D$4,$D$5,A52,5)+point_moment(-1*$H$11,$B$2,$B$2,$D$4,$D$5,A52,5))</f>
        <v>7.4623824451410678E-2</v>
      </c>
    </row>
    <row r="53" spans="1:6" x14ac:dyDescent="0.25">
      <c r="A53" s="15">
        <f t="shared" si="3"/>
        <v>7</v>
      </c>
      <c r="B53">
        <f t="shared" si="2"/>
        <v>12</v>
      </c>
      <c r="C53" cm="1">
        <f t="array" ref="C53">point_load($E$10,$F$10,$B$2,$D$4,$D$5,A53,2)+point_moment($C$11,0,$B$2,$D$4,$D$5,A53,2)+point_moment(-1*$H$11,$B$2,$B$2,$D$4,$D$5,A53,2)</f>
        <v>-0.5</v>
      </c>
      <c r="D53" cm="1">
        <f t="array" ref="D53">point_load($E$10,$F$10,$B$2,$D$4,$D$5,A53,3)+point_moment($C$11,0,$B$2,$D$4,$D$5,A53,3)+point_moment(-1*$H$11,$B$2,$B$2,$D$4,$D$5,A53,3)</f>
        <v>-3.5</v>
      </c>
      <c r="E53" cm="1">
        <f t="array" ref="E53">point_load($E$10,$F$10,$B$2,$D$4,$D$5,A53,4)+point_moment($C$11,0,$B$2,$D$4,$D$5,A53,4)+point_moment(-1*$H$11,$B$2,$B$2,$D$4,$D$5,A53,4)</f>
        <v>-9.6730855351544935E-4</v>
      </c>
      <c r="F53" cm="1">
        <f t="array" ref="F53">12*(point_load($E$10,$F$10,$B$2,$D$4,$D$5,A53,5)+point_moment($C$11,0,$B$2,$D$4,$D$5,A53,5)+point_moment(-1*$H$11,$B$2,$B$2,$D$4,$D$5,A53,5))</f>
        <v>6.9646215853112425E-2</v>
      </c>
    </row>
    <row r="54" spans="1:6" x14ac:dyDescent="0.25">
      <c r="A54" s="15">
        <f t="shared" si="3"/>
        <v>7.5</v>
      </c>
      <c r="B54">
        <f t="shared" si="2"/>
        <v>12.5</v>
      </c>
      <c r="C54" cm="1">
        <f t="array" ref="C54">point_load($E$10,$F$10,$B$2,$D$4,$D$5,A54,2)+point_moment($C$11,0,$B$2,$D$4,$D$5,A54,2)+point_moment(-1*$H$11,$B$2,$B$2,$D$4,$D$5,A54,2)</f>
        <v>-0.5</v>
      </c>
      <c r="D54" cm="1">
        <f t="array" ref="D54">point_load($E$10,$F$10,$B$2,$D$4,$D$5,A54,3)+point_moment($C$11,0,$B$2,$D$4,$D$5,A54,3)+point_moment(-1*$H$11,$B$2,$B$2,$D$4,$D$5,A54,3)</f>
        <v>-3.75</v>
      </c>
      <c r="E54" cm="1">
        <f t="array" ref="E54">point_load($E$10,$F$10,$B$2,$D$4,$D$5,A54,4)+point_moment($C$11,0,$B$2,$D$4,$D$5,A54,4)+point_moment(-1*$H$11,$B$2,$B$2,$D$4,$D$5,A54,4)</f>
        <v>-1.2595163457232417E-3</v>
      </c>
      <c r="F54" cm="1">
        <f t="array" ref="F54">12*(point_load($E$10,$F$10,$B$2,$D$4,$D$5,A54,5)+point_moment($C$11,0,$B$2,$D$4,$D$5,A54,5)+point_moment(-1*$H$11,$B$2,$B$2,$D$4,$D$5,A54,5))</f>
        <v>6.2975817286162139E-2</v>
      </c>
    </row>
    <row r="55" spans="1:6" x14ac:dyDescent="0.25">
      <c r="A55" s="15">
        <f t="shared" si="3"/>
        <v>8</v>
      </c>
      <c r="B55">
        <f t="shared" si="2"/>
        <v>13</v>
      </c>
      <c r="C55" cm="1">
        <f t="array" ref="C55">point_load($E$10,$F$10,$B$2,$D$4,$D$5,A55,2)+point_moment($C$11,0,$B$2,$D$4,$D$5,A55,2)+point_moment(-1*$H$11,$B$2,$B$2,$D$4,$D$5,A55,2)</f>
        <v>-0.5</v>
      </c>
      <c r="D55" cm="1">
        <f t="array" ref="D55">point_load($E$10,$F$10,$B$2,$D$4,$D$5,A55,3)+point_moment($C$11,0,$B$2,$D$4,$D$5,A55,3)+point_moment(-1*$H$11,$B$2,$B$2,$D$4,$D$5,A55,3)</f>
        <v>-4</v>
      </c>
      <c r="E55" cm="1">
        <f t="array" ref="E55">point_load($E$10,$F$10,$B$2,$D$4,$D$5,A55,4)+point_moment($C$11,0,$B$2,$D$4,$D$5,A55,4)+point_moment(-1*$H$11,$B$2,$B$2,$D$4,$D$5,A55,4)</f>
        <v>-1.5718763994626056E-3</v>
      </c>
      <c r="F55" cm="1">
        <f t="array" ref="F55">12*(point_load($E$10,$F$10,$B$2,$D$4,$D$5,A55,5)+point_moment($C$11,0,$B$2,$D$4,$D$5,A55,5)+point_moment(-1*$H$11,$B$2,$B$2,$D$4,$D$5,A55,5))</f>
        <v>5.449171518137038E-2</v>
      </c>
    </row>
    <row r="56" spans="1:6" x14ac:dyDescent="0.25">
      <c r="A56" s="15">
        <f t="shared" si="3"/>
        <v>8.5</v>
      </c>
      <c r="B56">
        <f t="shared" si="2"/>
        <v>13.5</v>
      </c>
      <c r="C56" cm="1">
        <f t="array" ref="C56">point_load($E$10,$F$10,$B$2,$D$4,$D$5,A56,2)+point_moment($C$11,0,$B$2,$D$4,$D$5,A56,2)+point_moment(-1*$H$11,$B$2,$B$2,$D$4,$D$5,A56,2)</f>
        <v>-0.5</v>
      </c>
      <c r="D56" cm="1">
        <f t="array" ref="D56">point_load($E$10,$F$10,$B$2,$D$4,$D$5,A56,3)+point_moment($C$11,0,$B$2,$D$4,$D$5,A56,3)+point_moment(-1*$H$11,$B$2,$B$2,$D$4,$D$5,A56,3)</f>
        <v>-4.25</v>
      </c>
      <c r="E56" cm="1">
        <f t="array" ref="E56">point_load($E$10,$F$10,$B$2,$D$4,$D$5,A56,4)+point_moment($C$11,0,$B$2,$D$4,$D$5,A56,4)+point_moment(-1*$H$11,$B$2,$B$2,$D$4,$D$5,A56,4)</f>
        <v>-1.9043887147335418E-3</v>
      </c>
      <c r="F56" cm="1">
        <f t="array" ref="F56">12*(point_load($E$10,$F$10,$B$2,$D$4,$D$5,A56,5)+point_moment($C$11,0,$B$2,$D$4,$D$5,A56,5)+point_moment(-1*$H$11,$B$2,$B$2,$D$4,$D$5,A56,5))</f>
        <v>4.4072995969547724E-2</v>
      </c>
    </row>
    <row r="57" spans="1:6" x14ac:dyDescent="0.25">
      <c r="A57" s="15">
        <f t="shared" si="3"/>
        <v>9</v>
      </c>
      <c r="B57">
        <f t="shared" si="2"/>
        <v>14</v>
      </c>
      <c r="C57" cm="1">
        <f t="array" ref="C57">point_load($E$10,$F$10,$B$2,$D$4,$D$5,A57,2)+point_moment($C$11,0,$B$2,$D$4,$D$5,A57,2)+point_moment(-1*$H$11,$B$2,$B$2,$D$4,$D$5,A57,2)</f>
        <v>-0.5</v>
      </c>
      <c r="D57" cm="1">
        <f t="array" ref="D57">point_load($E$10,$F$10,$B$2,$D$4,$D$5,A57,3)+point_moment($C$11,0,$B$2,$D$4,$D$5,A57,3)+point_moment(-1*$H$11,$B$2,$B$2,$D$4,$D$5,A57,3)</f>
        <v>-4.5</v>
      </c>
      <c r="E57" cm="1">
        <f t="array" ref="E57">point_load($E$10,$F$10,$B$2,$D$4,$D$5,A57,4)+point_moment($C$11,0,$B$2,$D$4,$D$5,A57,4)+point_moment(-1*$H$11,$B$2,$B$2,$D$4,$D$5,A57,4)</f>
        <v>-2.2570532915360494E-3</v>
      </c>
      <c r="F57" cm="1">
        <f t="array" ref="F57">12*(point_load($E$10,$F$10,$B$2,$D$4,$D$5,A57,5)+point_moment($C$11,0,$B$2,$D$4,$D$5,A57,5)+point_moment(-1*$H$11,$B$2,$B$2,$D$4,$D$5,A57,5))</f>
        <v>3.1598746081504744E-2</v>
      </c>
    </row>
    <row r="58" spans="1:6" x14ac:dyDescent="0.25">
      <c r="A58" s="15">
        <f t="shared" si="3"/>
        <v>9.5</v>
      </c>
      <c r="B58">
        <f t="shared" si="2"/>
        <v>14.5</v>
      </c>
      <c r="C58" cm="1">
        <f t="array" ref="C58">point_load($E$10,$F$10,$B$2,$D$4,$D$5,A58,2)+point_moment($C$11,0,$B$2,$D$4,$D$5,A58,2)+point_moment(-1*$H$11,$B$2,$B$2,$D$4,$D$5,A58,2)</f>
        <v>-0.5</v>
      </c>
      <c r="D58" cm="1">
        <f t="array" ref="D58">point_load($E$10,$F$10,$B$2,$D$4,$D$5,A58,3)+point_moment($C$11,0,$B$2,$D$4,$D$5,A58,3)+point_moment(-1*$H$11,$B$2,$B$2,$D$4,$D$5,A58,3)</f>
        <v>-4.75</v>
      </c>
      <c r="E58" cm="1">
        <f t="array" ref="E58">point_load($E$10,$F$10,$B$2,$D$4,$D$5,A58,4)+point_moment($C$11,0,$B$2,$D$4,$D$5,A58,4)+point_moment(-1*$H$11,$B$2,$B$2,$D$4,$D$5,A58,4)</f>
        <v>-2.6298701298701293E-3</v>
      </c>
      <c r="F58" cm="1">
        <f t="array" ref="F58">12*(point_load($E$10,$F$10,$B$2,$D$4,$D$5,A58,5)+point_moment($C$11,0,$B$2,$D$4,$D$5,A58,5)+point_moment(-1*$H$11,$B$2,$B$2,$D$4,$D$5,A58,5))</f>
        <v>1.694805194805199E-2</v>
      </c>
    </row>
    <row r="59" spans="1:6" x14ac:dyDescent="0.25">
      <c r="A59" s="15">
        <f t="shared" si="3"/>
        <v>10</v>
      </c>
      <c r="B59">
        <f t="shared" si="2"/>
        <v>15</v>
      </c>
      <c r="C59" cm="1">
        <f t="array" ref="C59">point_load($E$10,$F$10,$B$2,$D$4,$D$5,A59,2)+point_moment($C$11,0,$B$2,$D$4,$D$5,A59,2)+point_moment(-1*$H$11,$B$2,$B$2,$D$4,$D$5,A59,2)</f>
        <v>-0.5</v>
      </c>
      <c r="D59" cm="1">
        <f t="array" ref="D59">point_load($E$10,$F$10,$B$2,$D$4,$D$5,A59,3)+point_moment($C$11,0,$B$2,$D$4,$D$5,A59,3)+point_moment(-1*$H$11,$B$2,$B$2,$D$4,$D$5,A59,3)</f>
        <v>-5</v>
      </c>
      <c r="E59" cm="1">
        <f t="array" ref="E59">point_load($E$10,$F$10,$B$2,$D$4,$D$5,A59,4)+point_moment($C$11,0,$B$2,$D$4,$D$5,A59,4)+point_moment(-1*$H$11,$B$2,$B$2,$D$4,$D$5,A59,4)</f>
        <v>-3.0228392297357806E-3</v>
      </c>
      <c r="F59" cm="1">
        <f t="array" ref="F59">12*(point_load($E$10,$F$10,$B$2,$D$4,$D$5,A59,5)+point_moment($C$11,0,$B$2,$D$4,$D$5,A59,5)+point_moment(-1*$H$11,$B$2,$B$2,$D$4,$D$5,A59,5))</f>
        <v>4.3494093235203174E-17</v>
      </c>
    </row>
    <row r="60" spans="1:6" x14ac:dyDescent="0.25">
      <c r="A60">
        <v>0</v>
      </c>
      <c r="B60">
        <f>A60+B$59</f>
        <v>15</v>
      </c>
      <c r="C60" cm="1">
        <f t="array" ref="C60">cant_right_point_load($I$10,$J$10,$B$3,$D$4,$D$5,A60,2)+cant_right_initialSlope($G$13,$B$3,$D$4,$D$5,A60,2)</f>
        <v>1</v>
      </c>
      <c r="D60" cm="1">
        <f t="array" ref="D60">cant_right_point_load($I$10,$J$10,$B$3,$D$4,$D$5,A60,3)+cant_right_initialSlope($G$13,$B$3,$D$4,$D$5,A60,3)</f>
        <v>-5</v>
      </c>
      <c r="E60" cm="1">
        <f t="array" ref="E60">cant_right_point_load($I$10,$J$10,$B$3,$D$4,$D$5,A60,4)+cant_right_initialSlope($G$13,$B$3,$D$4,$D$5,A60,4)</f>
        <v>-3.0228392297357806E-3</v>
      </c>
      <c r="F60" cm="1">
        <f t="array" ref="F60">12*(cant_right_point_load($I$10,$J$10,$B$3,$D$4,$D$5,A60,5)+cant_right_initialSlope($G$13,$B$3,$D$4,$D$5,A60,5))</f>
        <v>0</v>
      </c>
    </row>
    <row r="61" spans="1:6" x14ac:dyDescent="0.25">
      <c r="A61" s="16">
        <f>A60+H$4</f>
        <v>0.25</v>
      </c>
      <c r="B61">
        <f t="shared" ref="B61:B80" si="4">A61+B$59</f>
        <v>15.25</v>
      </c>
      <c r="C61" cm="1">
        <f t="array" ref="C61">cant_right_point_load($I$10,$J$10,$B$3,$D$4,$D$5,A61,2)+cant_right_initialSlope($G$13,$B$3,$D$4,$D$5,A61,2)</f>
        <v>1</v>
      </c>
      <c r="D61" cm="1">
        <f t="array" ref="D61">cant_right_point_load($I$10,$J$10,$B$3,$D$4,$D$5,A61,3)+cant_right_initialSlope($G$13,$B$3,$D$4,$D$5,A61,3)</f>
        <v>-4.75</v>
      </c>
      <c r="E61" cm="1">
        <f t="array" ref="E61">cant_right_point_load($I$10,$J$10,$B$3,$D$4,$D$5,A61,4)+cant_right_initialSlope($G$13,$B$3,$D$4,$D$5,A61,4)</f>
        <v>-3.2193237796686062E-3</v>
      </c>
      <c r="F61" cm="1">
        <f t="array" ref="F61">12*(cant_right_point_load($I$10,$J$10,$B$3,$D$4,$D$5,A61,5)+cant_right_initialSlope($G$13,$B$3,$D$4,$D$5,A61,5))</f>
        <v>-9.3657635467980262E-3</v>
      </c>
    </row>
    <row r="62" spans="1:6" x14ac:dyDescent="0.25">
      <c r="A62" s="16">
        <f t="shared" ref="A62:A76" si="5">A61+H$4</f>
        <v>0.5</v>
      </c>
      <c r="B62">
        <f t="shared" si="4"/>
        <v>15.5</v>
      </c>
      <c r="C62" cm="1">
        <f t="array" ref="C62">cant_right_point_load($I$10,$J$10,$B$3,$D$4,$D$5,A62,2)+cant_right_initialSlope($G$13,$B$3,$D$4,$D$5,A62,2)</f>
        <v>1</v>
      </c>
      <c r="D62" cm="1">
        <f t="array" ref="D62">cant_right_point_load($I$10,$J$10,$B$3,$D$4,$D$5,A62,3)+cant_right_initialSlope($G$13,$B$3,$D$4,$D$5,A62,3)</f>
        <v>-4.5</v>
      </c>
      <c r="E62" cm="1">
        <f t="array" ref="E62">cant_right_point_load($I$10,$J$10,$B$3,$D$4,$D$5,A62,4)+cant_right_initialSlope($G$13,$B$3,$D$4,$D$5,A62,4)</f>
        <v>-3.4057321988356462E-3</v>
      </c>
      <c r="F62" cm="1">
        <f t="array" ref="F62">12*(cant_right_point_load($I$10,$J$10,$B$3,$D$4,$D$5,A62,5)+cant_right_initialSlope($G$13,$B$3,$D$4,$D$5,A62,5))</f>
        <v>-1.9305866547245851E-2</v>
      </c>
    </row>
    <row r="63" spans="1:6" x14ac:dyDescent="0.25">
      <c r="A63" s="16">
        <f t="shared" si="5"/>
        <v>0.75</v>
      </c>
      <c r="B63">
        <f t="shared" si="4"/>
        <v>15.75</v>
      </c>
      <c r="C63" cm="1">
        <f t="array" ref="C63">cant_right_point_load($I$10,$J$10,$B$3,$D$4,$D$5,A63,2)+cant_right_initialSlope($G$13,$B$3,$D$4,$D$5,A63,2)</f>
        <v>1</v>
      </c>
      <c r="D63" cm="1">
        <f t="array" ref="D63">cant_right_point_load($I$10,$J$10,$B$3,$D$4,$D$5,A63,3)+cant_right_initialSlope($G$13,$B$3,$D$4,$D$5,A63,3)</f>
        <v>-4.25</v>
      </c>
      <c r="E63" cm="1">
        <f t="array" ref="E63">cant_right_point_load($I$10,$J$10,$B$3,$D$4,$D$5,A63,4)+cant_right_initialSlope($G$13,$B$3,$D$4,$D$5,A63,4)</f>
        <v>-3.5820644872369E-3</v>
      </c>
      <c r="F63" cm="1">
        <f t="array" ref="F63">12*(cant_right_point_load($I$10,$J$10,$B$3,$D$4,$D$5,A63,5)+cant_right_initialSlope($G$13,$B$3,$D$4,$D$5,A63,5))</f>
        <v>-2.9790080609046119E-2</v>
      </c>
    </row>
    <row r="64" spans="1:6" x14ac:dyDescent="0.25">
      <c r="A64" s="16">
        <f t="shared" si="5"/>
        <v>1</v>
      </c>
      <c r="B64">
        <f t="shared" si="4"/>
        <v>16</v>
      </c>
      <c r="C64" cm="1">
        <f t="array" ref="C64">cant_right_point_load($I$10,$J$10,$B$3,$D$4,$D$5,A64,2)+cant_right_initialSlope($G$13,$B$3,$D$4,$D$5,A64,2)</f>
        <v>1</v>
      </c>
      <c r="D64" cm="1">
        <f t="array" ref="D64">cant_right_point_load($I$10,$J$10,$B$3,$D$4,$D$5,A64,3)+cant_right_initialSlope($G$13,$B$3,$D$4,$D$5,A64,3)</f>
        <v>-4</v>
      </c>
      <c r="E64" cm="1">
        <f t="array" ref="E64">cant_right_point_load($I$10,$J$10,$B$3,$D$4,$D$5,A64,4)+cant_right_initialSlope($G$13,$B$3,$D$4,$D$5,A64,4)</f>
        <v>-3.748320644872368E-3</v>
      </c>
      <c r="F64" cm="1">
        <f t="array" ref="F64">12*(cant_right_point_load($I$10,$J$10,$B$3,$D$4,$D$5,A64,5)+cant_right_initialSlope($G$13,$B$3,$D$4,$D$5,A64,5))</f>
        <v>-4.078817733990147E-2</v>
      </c>
    </row>
    <row r="65" spans="1:6" x14ac:dyDescent="0.25">
      <c r="A65" s="16">
        <f t="shared" si="5"/>
        <v>1.25</v>
      </c>
      <c r="B65">
        <f t="shared" si="4"/>
        <v>16.25</v>
      </c>
      <c r="C65" cm="1">
        <f t="array" ref="C65">cant_right_point_load($I$10,$J$10,$B$3,$D$4,$D$5,A65,2)+cant_right_initialSlope($G$13,$B$3,$D$4,$D$5,A65,2)</f>
        <v>1</v>
      </c>
      <c r="D65" cm="1">
        <f t="array" ref="D65">cant_right_point_load($I$10,$J$10,$B$3,$D$4,$D$5,A65,3)+cant_right_initialSlope($G$13,$B$3,$D$4,$D$5,A65,3)</f>
        <v>-3.75</v>
      </c>
      <c r="E65" cm="1">
        <f t="array" ref="E65">cant_right_point_load($I$10,$J$10,$B$3,$D$4,$D$5,A65,4)+cant_right_initialSlope($G$13,$B$3,$D$4,$D$5,A65,4)</f>
        <v>-3.90450067174205E-3</v>
      </c>
      <c r="F65" cm="1">
        <f t="array" ref="F65">12*(cant_right_point_load($I$10,$J$10,$B$3,$D$4,$D$5,A65,5)+cant_right_initialSlope($G$13,$B$3,$D$4,$D$5,A65,5))</f>
        <v>-5.2269928347514538E-2</v>
      </c>
    </row>
    <row r="66" spans="1:6" x14ac:dyDescent="0.25">
      <c r="A66" s="16">
        <f t="shared" si="5"/>
        <v>1.5</v>
      </c>
      <c r="B66">
        <f t="shared" si="4"/>
        <v>16.5</v>
      </c>
      <c r="C66" cm="1">
        <f t="array" ref="C66">cant_right_point_load($I$10,$J$10,$B$3,$D$4,$D$5,A66,2)+cant_right_initialSlope($G$13,$B$3,$D$4,$D$5,A66,2)</f>
        <v>1</v>
      </c>
      <c r="D66" cm="1">
        <f t="array" ref="D66">cant_right_point_load($I$10,$J$10,$B$3,$D$4,$D$5,A66,3)+cant_right_initialSlope($G$13,$B$3,$D$4,$D$5,A66,3)</f>
        <v>-3.5</v>
      </c>
      <c r="E66" cm="1">
        <f t="array" ref="E66">cant_right_point_load($I$10,$J$10,$B$3,$D$4,$D$5,A66,4)+cant_right_initialSlope($G$13,$B$3,$D$4,$D$5,A66,4)</f>
        <v>-4.0506045678459467E-3</v>
      </c>
      <c r="F66" cm="1">
        <f t="array" ref="F66">12*(cant_right_point_load($I$10,$J$10,$B$3,$D$4,$D$5,A66,5)+cant_right_initialSlope($G$13,$B$3,$D$4,$D$5,A66,5))</f>
        <v>-6.4205105239587973E-2</v>
      </c>
    </row>
    <row r="67" spans="1:6" x14ac:dyDescent="0.25">
      <c r="A67" s="16">
        <f t="shared" si="5"/>
        <v>1.75</v>
      </c>
      <c r="B67">
        <f t="shared" si="4"/>
        <v>16.75</v>
      </c>
      <c r="C67" cm="1">
        <f t="array" ref="C67">cant_right_point_load($I$10,$J$10,$B$3,$D$4,$D$5,A67,2)+cant_right_initialSlope($G$13,$B$3,$D$4,$D$5,A67,2)</f>
        <v>1</v>
      </c>
      <c r="D67" cm="1">
        <f t="array" ref="D67">cant_right_point_load($I$10,$J$10,$B$3,$D$4,$D$5,A67,3)+cant_right_initialSlope($G$13,$B$3,$D$4,$D$5,A67,3)</f>
        <v>-3.25</v>
      </c>
      <c r="E67" cm="1">
        <f t="array" ref="E67">cant_right_point_load($I$10,$J$10,$B$3,$D$4,$D$5,A67,4)+cant_right_initialSlope($G$13,$B$3,$D$4,$D$5,A67,4)</f>
        <v>-4.1866323331840559E-3</v>
      </c>
      <c r="F67" cm="1">
        <f t="array" ref="F67">12*(cant_right_point_load($I$10,$J$10,$B$3,$D$4,$D$5,A67,5)+cant_right_initialSlope($G$13,$B$3,$D$4,$D$5,A67,5))</f>
        <v>-7.6563479623824426E-2</v>
      </c>
    </row>
    <row r="68" spans="1:6" x14ac:dyDescent="0.25">
      <c r="A68" s="16">
        <f t="shared" si="5"/>
        <v>2</v>
      </c>
      <c r="B68">
        <f t="shared" si="4"/>
        <v>17</v>
      </c>
      <c r="C68" cm="1">
        <f t="array" ref="C68">cant_right_point_load($I$10,$J$10,$B$3,$D$4,$D$5,A68,2)+cant_right_initialSlope($G$13,$B$3,$D$4,$D$5,A68,2)</f>
        <v>1</v>
      </c>
      <c r="D68" cm="1">
        <f t="array" ref="D68">cant_right_point_load($I$10,$J$10,$B$3,$D$4,$D$5,A68,3)+cant_right_initialSlope($G$13,$B$3,$D$4,$D$5,A68,3)</f>
        <v>-3</v>
      </c>
      <c r="E68" cm="1">
        <f t="array" ref="E68">cant_right_point_load($I$10,$J$10,$B$3,$D$4,$D$5,A68,4)+cant_right_initialSlope($G$13,$B$3,$D$4,$D$5,A68,4)</f>
        <v>-4.3125839677563803E-3</v>
      </c>
      <c r="F68" cm="1">
        <f t="array" ref="F68">12*(cant_right_point_load($I$10,$J$10,$B$3,$D$4,$D$5,A68,5)+cant_right_initialSlope($G$13,$B$3,$D$4,$D$5,A68,5))</f>
        <v>-8.9314823107926544E-2</v>
      </c>
    </row>
    <row r="69" spans="1:6" x14ac:dyDescent="0.25">
      <c r="A69" s="16">
        <f t="shared" si="5"/>
        <v>2.25</v>
      </c>
      <c r="B69">
        <f t="shared" si="4"/>
        <v>17.25</v>
      </c>
      <c r="C69" cm="1">
        <f t="array" ref="C69">cant_right_point_load($I$10,$J$10,$B$3,$D$4,$D$5,A69,2)+cant_right_initialSlope($G$13,$B$3,$D$4,$D$5,A69,2)</f>
        <v>1</v>
      </c>
      <c r="D69" cm="1">
        <f t="array" ref="D69">cant_right_point_load($I$10,$J$10,$B$3,$D$4,$D$5,A69,3)+cant_right_initialSlope($G$13,$B$3,$D$4,$D$5,A69,3)</f>
        <v>-2.75</v>
      </c>
      <c r="E69" cm="1">
        <f t="array" ref="E69">cant_right_point_load($I$10,$J$10,$B$3,$D$4,$D$5,A69,4)+cant_right_initialSlope($G$13,$B$3,$D$4,$D$5,A69,4)</f>
        <v>-4.428459471562919E-3</v>
      </c>
      <c r="F69" cm="1">
        <f t="array" ref="F69">12*(cant_right_point_load($I$10,$J$10,$B$3,$D$4,$D$5,A69,5)+cant_right_initialSlope($G$13,$B$3,$D$4,$D$5,A69,5))</f>
        <v>-0.10242890729959694</v>
      </c>
    </row>
    <row r="70" spans="1:6" x14ac:dyDescent="0.25">
      <c r="A70" s="16">
        <f t="shared" si="5"/>
        <v>2.5</v>
      </c>
      <c r="B70">
        <f t="shared" si="4"/>
        <v>17.5</v>
      </c>
      <c r="C70" cm="1">
        <f t="array" ref="C70">cant_right_point_load($I$10,$J$10,$B$3,$D$4,$D$5,A70,2)+cant_right_initialSlope($G$13,$B$3,$D$4,$D$5,A70,2)</f>
        <v>1</v>
      </c>
      <c r="D70" cm="1">
        <f t="array" ref="D70">cant_right_point_load($I$10,$J$10,$B$3,$D$4,$D$5,A70,3)+cant_right_initialSlope($G$13,$B$3,$D$4,$D$5,A70,3)</f>
        <v>-2.5</v>
      </c>
      <c r="E70" cm="1">
        <f t="array" ref="E70">cant_right_point_load($I$10,$J$10,$B$3,$D$4,$D$5,A70,4)+cant_right_initialSlope($G$13,$B$3,$D$4,$D$5,A70,4)</f>
        <v>-4.5342588446036711E-3</v>
      </c>
      <c r="F70" cm="1">
        <f t="array" ref="F70">12*(cant_right_point_load($I$10,$J$10,$B$3,$D$4,$D$5,A70,5)+cant_right_initialSlope($G$13,$B$3,$D$4,$D$5,A70,5))</f>
        <v>-0.11587550380653826</v>
      </c>
    </row>
    <row r="71" spans="1:6" x14ac:dyDescent="0.25">
      <c r="A71" s="16">
        <f t="shared" si="5"/>
        <v>2.75</v>
      </c>
      <c r="B71">
        <f t="shared" si="4"/>
        <v>17.75</v>
      </c>
      <c r="C71" cm="1">
        <f t="array" ref="C71">cant_right_point_load($I$10,$J$10,$B$3,$D$4,$D$5,A71,2)+cant_right_initialSlope($G$13,$B$3,$D$4,$D$5,A71,2)</f>
        <v>1</v>
      </c>
      <c r="D71" cm="1">
        <f t="array" ref="D71">cant_right_point_load($I$10,$J$10,$B$3,$D$4,$D$5,A71,3)+cant_right_initialSlope($G$13,$B$3,$D$4,$D$5,A71,3)</f>
        <v>-2.25</v>
      </c>
      <c r="E71" cm="1">
        <f t="array" ref="E71">cant_right_point_load($I$10,$J$10,$B$3,$D$4,$D$5,A71,4)+cant_right_initialSlope($G$13,$B$3,$D$4,$D$5,A71,4)</f>
        <v>-4.6299820868786375E-3</v>
      </c>
      <c r="F71" cm="1">
        <f t="array" ref="F71">12*(cant_right_point_load($I$10,$J$10,$B$3,$D$4,$D$5,A71,5)+cant_right_initialSlope($G$13,$B$3,$D$4,$D$5,A71,5))</f>
        <v>-0.12962438423645317</v>
      </c>
    </row>
    <row r="72" spans="1:6" x14ac:dyDescent="0.25">
      <c r="A72" s="16">
        <f>A71+H$4</f>
        <v>3</v>
      </c>
      <c r="B72">
        <f t="shared" si="4"/>
        <v>18</v>
      </c>
      <c r="C72" cm="1">
        <f t="array" ref="C72">cant_right_point_load($I$10,$J$10,$B$3,$D$4,$D$5,A72,2)+cant_right_initialSlope($G$13,$B$3,$D$4,$D$5,A72,2)</f>
        <v>1</v>
      </c>
      <c r="D72" cm="1">
        <f t="array" ref="D72">cant_right_point_load($I$10,$J$10,$B$3,$D$4,$D$5,A72,3)+cant_right_initialSlope($G$13,$B$3,$D$4,$D$5,A72,3)</f>
        <v>-2</v>
      </c>
      <c r="E72" cm="1">
        <f t="array" ref="E72">cant_right_point_load($I$10,$J$10,$B$3,$D$4,$D$5,A72,4)+cant_right_initialSlope($G$13,$B$3,$D$4,$D$5,A72,4)</f>
        <v>-4.7156291983878182E-3</v>
      </c>
      <c r="F72" cm="1">
        <f t="array" ref="F72">12*(cant_right_point_load($I$10,$J$10,$B$3,$D$4,$D$5,A72,5)+cant_right_initialSlope($G$13,$B$3,$D$4,$D$5,A72,5))</f>
        <v>-0.14364532019704429</v>
      </c>
    </row>
    <row r="73" spans="1:6" x14ac:dyDescent="0.25">
      <c r="A73" s="16">
        <f t="shared" si="5"/>
        <v>3.25</v>
      </c>
      <c r="B73">
        <f t="shared" si="4"/>
        <v>18.25</v>
      </c>
      <c r="C73" cm="1">
        <f t="array" ref="C73">cant_right_point_load($I$10,$J$10,$B$3,$D$4,$D$5,A73,2)+cant_right_initialSlope($G$13,$B$3,$D$4,$D$5,A73,2)</f>
        <v>1</v>
      </c>
      <c r="D73" cm="1">
        <f t="array" ref="D73">cant_right_point_load($I$10,$J$10,$B$3,$D$4,$D$5,A73,3)+cant_right_initialSlope($G$13,$B$3,$D$4,$D$5,A73,3)</f>
        <v>-1.75</v>
      </c>
      <c r="E73" cm="1">
        <f t="array" ref="E73">cant_right_point_load($I$10,$J$10,$B$3,$D$4,$D$5,A73,4)+cant_right_initialSlope($G$13,$B$3,$D$4,$D$5,A73,4)</f>
        <v>-4.7912001791312123E-3</v>
      </c>
      <c r="F73" cm="1">
        <f t="array" ref="F73">12*(cant_right_point_load($I$10,$J$10,$B$3,$D$4,$D$5,A73,5)+cant_right_initialSlope($G$13,$B$3,$D$4,$D$5,A73,5))</f>
        <v>-0.1579080832960143</v>
      </c>
    </row>
    <row r="74" spans="1:6" x14ac:dyDescent="0.25">
      <c r="A74" s="16">
        <f t="shared" si="5"/>
        <v>3.5</v>
      </c>
      <c r="B74">
        <f t="shared" si="4"/>
        <v>18.5</v>
      </c>
      <c r="C74" cm="1">
        <f t="array" ref="C74">cant_right_point_load($I$10,$J$10,$B$3,$D$4,$D$5,A74,2)+cant_right_initialSlope($G$13,$B$3,$D$4,$D$5,A74,2)</f>
        <v>1</v>
      </c>
      <c r="D74" cm="1">
        <f t="array" ref="D74">cant_right_point_load($I$10,$J$10,$B$3,$D$4,$D$5,A74,3)+cant_right_initialSlope($G$13,$B$3,$D$4,$D$5,A74,3)</f>
        <v>-1.5</v>
      </c>
      <c r="E74" cm="1">
        <f t="array" ref="E74">cant_right_point_load($I$10,$J$10,$B$3,$D$4,$D$5,A74,4)+cant_right_initialSlope($G$13,$B$3,$D$4,$D$5,A74,4)</f>
        <v>-4.8566950291088207E-3</v>
      </c>
      <c r="F74" cm="1">
        <f t="array" ref="F74">12*(cant_right_point_load($I$10,$J$10,$B$3,$D$4,$D$5,A74,5)+cant_right_initialSlope($G$13,$B$3,$D$4,$D$5,A74,5))</f>
        <v>-0.17238244514106577</v>
      </c>
    </row>
    <row r="75" spans="1:6" x14ac:dyDescent="0.25">
      <c r="A75" s="16">
        <f t="shared" si="5"/>
        <v>3.75</v>
      </c>
      <c r="B75">
        <f t="shared" si="4"/>
        <v>18.75</v>
      </c>
      <c r="C75" cm="1">
        <f t="array" ref="C75">cant_right_point_load($I$10,$J$10,$B$3,$D$4,$D$5,A75,2)+cant_right_initialSlope($G$13,$B$3,$D$4,$D$5,A75,2)</f>
        <v>1</v>
      </c>
      <c r="D75" cm="1">
        <f t="array" ref="D75">cant_right_point_load($I$10,$J$10,$B$3,$D$4,$D$5,A75,3)+cant_right_initialSlope($G$13,$B$3,$D$4,$D$5,A75,3)</f>
        <v>-1.25</v>
      </c>
      <c r="E75" cm="1">
        <f t="array" ref="E75">cant_right_point_load($I$10,$J$10,$B$3,$D$4,$D$5,A75,4)+cant_right_initialSlope($G$13,$B$3,$D$4,$D$5,A75,4)</f>
        <v>-4.9121137483206442E-3</v>
      </c>
      <c r="F75" cm="1">
        <f t="array" ref="F75">12*(cant_right_point_load($I$10,$J$10,$B$3,$D$4,$D$5,A75,5)+cant_right_initialSlope($G$13,$B$3,$D$4,$D$5,A75,5))</f>
        <v>-0.18703817733990141</v>
      </c>
    </row>
    <row r="76" spans="1:6" x14ac:dyDescent="0.25">
      <c r="A76" s="16">
        <f t="shared" si="5"/>
        <v>4</v>
      </c>
      <c r="B76">
        <f t="shared" si="4"/>
        <v>19</v>
      </c>
      <c r="C76" cm="1">
        <f t="array" ref="C76">cant_right_point_load($I$10,$J$10,$B$3,$D$4,$D$5,A76,2)+cant_right_initialSlope($G$13,$B$3,$D$4,$D$5,A76,2)</f>
        <v>1</v>
      </c>
      <c r="D76" cm="1">
        <f t="array" ref="D76">cant_right_point_load($I$10,$J$10,$B$3,$D$4,$D$5,A76,3)+cant_right_initialSlope($G$13,$B$3,$D$4,$D$5,A76,3)</f>
        <v>-1</v>
      </c>
      <c r="E76" cm="1">
        <f t="array" ref="E76">cant_right_point_load($I$10,$J$10,$B$3,$D$4,$D$5,A76,4)+cant_right_initialSlope($G$13,$B$3,$D$4,$D$5,A76,4)</f>
        <v>-4.9574563367666804E-3</v>
      </c>
      <c r="F76" cm="1">
        <f t="array" ref="F76">12*(cant_right_point_load($I$10,$J$10,$B$3,$D$4,$D$5,A76,5)+cant_right_initialSlope($G$13,$B$3,$D$4,$D$5,A76,5))</f>
        <v>-0.20184505150022389</v>
      </c>
    </row>
    <row r="77" spans="1:6" x14ac:dyDescent="0.25">
      <c r="A77" s="16">
        <f>A76+H$4</f>
        <v>4.25</v>
      </c>
      <c r="B77">
        <f t="shared" si="4"/>
        <v>19.25</v>
      </c>
      <c r="C77" cm="1">
        <f t="array" ref="C77">cant_right_point_load($I$10,$J$10,$B$3,$D$4,$D$5,A77,2)+cant_right_initialSlope($G$13,$B$3,$D$4,$D$5,A77,2)</f>
        <v>1</v>
      </c>
      <c r="D77" cm="1">
        <f t="array" ref="D77">cant_right_point_load($I$10,$J$10,$B$3,$D$4,$D$5,A77,3)+cant_right_initialSlope($G$13,$B$3,$D$4,$D$5,A77,3)</f>
        <v>-0.75</v>
      </c>
      <c r="E77" cm="1">
        <f t="array" ref="E77">cant_right_point_load($I$10,$J$10,$B$3,$D$4,$D$5,A77,4)+cant_right_initialSlope($G$13,$B$3,$D$4,$D$5,A77,4)</f>
        <v>-4.9927227944469316E-3</v>
      </c>
      <c r="F77" cm="1">
        <f t="array" ref="F77">12*(cant_right_point_load($I$10,$J$10,$B$3,$D$4,$D$5,A77,5)+cant_right_initialSlope($G$13,$B$3,$D$4,$D$5,A77,5))</f>
        <v>-0.21677283922973573</v>
      </c>
    </row>
    <row r="78" spans="1:6" x14ac:dyDescent="0.25">
      <c r="A78" s="16">
        <f>A77+H$4</f>
        <v>4.5</v>
      </c>
      <c r="B78">
        <f t="shared" si="4"/>
        <v>19.5</v>
      </c>
      <c r="C78" cm="1">
        <f t="array" ref="C78">cant_right_point_load($I$10,$J$10,$B$3,$D$4,$D$5,A78,2)+cant_right_initialSlope($G$13,$B$3,$D$4,$D$5,A78,2)</f>
        <v>1</v>
      </c>
      <c r="D78" cm="1">
        <f t="array" ref="D78">cant_right_point_load($I$10,$J$10,$B$3,$D$4,$D$5,A78,3)+cant_right_initialSlope($G$13,$B$3,$D$4,$D$5,A78,3)</f>
        <v>-0.5</v>
      </c>
      <c r="E78" cm="1">
        <f t="array" ref="E78">cant_right_point_load($I$10,$J$10,$B$3,$D$4,$D$5,A78,4)+cant_right_initialSlope($G$13,$B$3,$D$4,$D$5,A78,4)</f>
        <v>-5.0179131213613963E-3</v>
      </c>
      <c r="F78" cm="1">
        <f t="array" ref="F78">12*(cant_right_point_load($I$10,$J$10,$B$3,$D$4,$D$5,A78,5)+cant_right_initialSlope($G$13,$B$3,$D$4,$D$5,A78,5))</f>
        <v>-0.23179131213613968</v>
      </c>
    </row>
    <row r="79" spans="1:6" x14ac:dyDescent="0.25">
      <c r="A79" s="16">
        <f t="shared" ref="A79" si="6">A78+H$4</f>
        <v>4.75</v>
      </c>
      <c r="B79">
        <f t="shared" si="4"/>
        <v>19.75</v>
      </c>
      <c r="C79" cm="1">
        <f t="array" ref="C79">cant_right_point_load($I$10,$J$10,$B$3,$D$4,$D$5,A79,2)+cant_right_initialSlope($G$13,$B$3,$D$4,$D$5,A79,2)</f>
        <v>1</v>
      </c>
      <c r="D79" cm="1">
        <f t="array" ref="D79">cant_right_point_load($I$10,$J$10,$B$3,$D$4,$D$5,A79,3)+cant_right_initialSlope($G$13,$B$3,$D$4,$D$5,A79,3)</f>
        <v>-0.25</v>
      </c>
      <c r="E79" cm="1">
        <f t="array" ref="E79">cant_right_point_load($I$10,$J$10,$B$3,$D$4,$D$5,A79,4)+cant_right_initialSlope($G$13,$B$3,$D$4,$D$5,A79,4)</f>
        <v>-5.0330273175100745E-3</v>
      </c>
      <c r="F79" cm="1">
        <f t="array" ref="F79">12*(cant_right_point_load($I$10,$J$10,$B$3,$D$4,$D$5,A79,5)+cant_right_initialSlope($G$13,$B$3,$D$4,$D$5,A79,5))</f>
        <v>-0.24687024182713832</v>
      </c>
    </row>
    <row r="80" spans="1:6" x14ac:dyDescent="0.25">
      <c r="A80" s="16">
        <f>A79+H$4</f>
        <v>5</v>
      </c>
      <c r="B80">
        <f t="shared" si="4"/>
        <v>20</v>
      </c>
      <c r="C80" cm="1">
        <f t="array" ref="C80">cant_right_point_load($I$10,$J$10,$B$3,$D$4,$D$5,A80,2)+cant_right_initialSlope($G$13,$B$3,$D$4,$D$5,A80,2)</f>
        <v>1</v>
      </c>
      <c r="D80" cm="1">
        <f t="array" ref="D80">cant_right_point_load($I$10,$J$10,$B$3,$D$4,$D$5,A80,3)+cant_right_initialSlope($G$13,$B$3,$D$4,$D$5,A80,3)</f>
        <v>0</v>
      </c>
      <c r="E80" cm="1">
        <f t="array" ref="E80">cant_right_point_load($I$10,$J$10,$B$3,$D$4,$D$5,A80,4)+cant_right_initialSlope($G$13,$B$3,$D$4,$D$5,A80,4)</f>
        <v>-5.0380653828929686E-3</v>
      </c>
      <c r="F80" cm="1">
        <f t="array" ref="F80">12*(cant_right_point_load($I$10,$J$10,$B$3,$D$4,$D$5,A80,5)+cant_right_initialSlope($G$13,$B$3,$D$4,$D$5,A80,5))</f>
        <v>-0.26197939991043434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661B-05A6-4226-97E2-BB8EE643A00B}">
  <sheetPr codeName="Sheet1"/>
  <dimension ref="A1:M28"/>
  <sheetViews>
    <sheetView workbookViewId="0">
      <selection activeCell="B2" sqref="B2"/>
    </sheetView>
  </sheetViews>
  <sheetFormatPr defaultRowHeight="15" x14ac:dyDescent="0.25"/>
  <cols>
    <col min="2" max="2" width="16.140625" customWidth="1"/>
  </cols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point_load($B$1,$B$2,$B$3,$D$4,$D$5,$A8,6)</f>
        <v>-1.25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point_load($B$1,$B$2,$B$3,$D$4,$D$5,$A8,7)</f>
        <v>1.25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point_load($B$1,$B$2,$B$3,$D$4,$D$5,$A8,0)</f>
        <v>0.5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point_load($B$1,$B$2,$B$3,$D$4,$D$5,$A8,1)</f>
        <v>0.5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point_load($B$1,$B$2,$B$3,$D$4,$D$5,$A8,2)</f>
        <v>0.5</v>
      </c>
      <c r="C8" cm="1">
        <f t="array" ref="C8">point_load($B$1,$B$2,$B$3,$D$4,$D$5,$A8,3)</f>
        <v>0</v>
      </c>
      <c r="D8" cm="1">
        <f t="array" ref="D8">point_load($B$1,$B$2,$B$3,$D$4,$D$5,$A8,4)</f>
        <v>-1.0076130765785938E-3</v>
      </c>
      <c r="E8" cm="1">
        <f t="array" ref="E8">point_load($B$1,$B$2,$B$3,$D$4,$D$5,$A8,5)*12</f>
        <v>0</v>
      </c>
    </row>
    <row r="9" spans="1:13" x14ac:dyDescent="0.25">
      <c r="A9">
        <f>A8+$H$2</f>
        <v>0.5</v>
      </c>
      <c r="B9" cm="1">
        <f t="array" ref="B9">point_load($B$1,$B$2,$B$3,$D$4,$D$5,$A9,2)</f>
        <v>0.5</v>
      </c>
      <c r="C9" cm="1">
        <f t="array" ref="C9">point_load($B$1,$B$2,$B$3,$D$4,$D$5,$A9,3)</f>
        <v>0.25</v>
      </c>
      <c r="D9" cm="1">
        <f t="array" ref="D9">point_load($B$1,$B$2,$B$3,$D$4,$D$5,$A9,4)</f>
        <v>-9.9753694581280789E-4</v>
      </c>
      <c r="E9" cm="1">
        <f t="array" ref="E9">point_load($B$1,$B$2,$B$3,$D$4,$D$5,$A9,5)*12</f>
        <v>-6.0255261979399915E-3</v>
      </c>
    </row>
    <row r="10" spans="1:13" x14ac:dyDescent="0.25">
      <c r="A10">
        <f t="shared" ref="A10:A28" si="0">A9+$H$2</f>
        <v>1</v>
      </c>
      <c r="B10" cm="1">
        <f t="array" ref="B10">point_load($B$1,$B$2,$B$3,$D$4,$D$5,$A10,2)</f>
        <v>0.5</v>
      </c>
      <c r="C10" cm="1">
        <f t="array" ref="C10">point_load($B$1,$B$2,$B$3,$D$4,$D$5,$A10,3)</f>
        <v>0.5</v>
      </c>
      <c r="D10" cm="1">
        <f t="array" ref="D10">point_load($B$1,$B$2,$B$3,$D$4,$D$5,$A10,4)</f>
        <v>-9.6730855351545E-4</v>
      </c>
      <c r="E10" cm="1">
        <f t="array" ref="E10">point_load($B$1,$B$2,$B$3,$D$4,$D$5,$A10,5)*12</f>
        <v>-1.1930138826690549E-2</v>
      </c>
    </row>
    <row r="11" spans="1:13" x14ac:dyDescent="0.25">
      <c r="A11">
        <f t="shared" si="0"/>
        <v>1.5</v>
      </c>
      <c r="B11" cm="1">
        <f t="array" ref="B11">point_load($B$1,$B$2,$B$3,$D$4,$D$5,$A11,2)</f>
        <v>0.5</v>
      </c>
      <c r="C11" cm="1">
        <f t="array" ref="C11">point_load($B$1,$B$2,$B$3,$D$4,$D$5,$A11,3)</f>
        <v>0.75</v>
      </c>
      <c r="D11" cm="1">
        <f t="array" ref="D11">point_load($B$1,$B$2,$B$3,$D$4,$D$5,$A11,4)</f>
        <v>-9.1692789968652038E-4</v>
      </c>
      <c r="E11" cm="1">
        <f t="array" ref="E11">point_load($B$1,$B$2,$B$3,$D$4,$D$5,$A11,5)*12</f>
        <v>-1.7592924317062247E-2</v>
      </c>
    </row>
    <row r="12" spans="1:13" x14ac:dyDescent="0.25">
      <c r="A12">
        <f t="shared" si="0"/>
        <v>2</v>
      </c>
      <c r="B12" cm="1">
        <f t="array" ref="B12">point_load($B$1,$B$2,$B$3,$D$4,$D$5,$A12,2)</f>
        <v>0.5</v>
      </c>
      <c r="C12" cm="1">
        <f t="array" ref="C12">point_load($B$1,$B$2,$B$3,$D$4,$D$5,$A12,3)</f>
        <v>1</v>
      </c>
      <c r="D12" cm="1">
        <f t="array" ref="D12">point_load($B$1,$B$2,$B$3,$D$4,$D$5,$A12,4)</f>
        <v>-8.4639498432601879E-4</v>
      </c>
      <c r="E12" cm="1">
        <f t="array" ref="E12">point_load($B$1,$B$2,$B$3,$D$4,$D$5,$A12,5)*12</f>
        <v>-2.289296909986565E-2</v>
      </c>
    </row>
    <row r="13" spans="1:13" x14ac:dyDescent="0.25">
      <c r="A13">
        <f t="shared" si="0"/>
        <v>2.5</v>
      </c>
      <c r="B13" cm="1">
        <f t="array" ref="B13">point_load($B$1,$B$2,$B$3,$D$4,$D$5,$A13,2)</f>
        <v>0.5</v>
      </c>
      <c r="C13" cm="1">
        <f t="array" ref="C13">point_load($B$1,$B$2,$B$3,$D$4,$D$5,$A13,3)</f>
        <v>1.25</v>
      </c>
      <c r="D13" cm="1">
        <f t="array" ref="D13">point_load($B$1,$B$2,$B$3,$D$4,$D$5,$A13,4)</f>
        <v>-7.5570980743394536E-4</v>
      </c>
      <c r="E13" cm="1">
        <f t="array" ref="E13">point_load($B$1,$B$2,$B$3,$D$4,$D$5,$A13,5)*12</f>
        <v>-2.7709359605911327E-2</v>
      </c>
    </row>
    <row r="14" spans="1:13" x14ac:dyDescent="0.25">
      <c r="A14">
        <f t="shared" si="0"/>
        <v>3</v>
      </c>
      <c r="B14" cm="1">
        <f t="array" ref="B14">point_load($B$1,$B$2,$B$3,$D$4,$D$5,$A14,2)</f>
        <v>0.5</v>
      </c>
      <c r="C14" cm="1">
        <f t="array" ref="C14">point_load($B$1,$B$2,$B$3,$D$4,$D$5,$A14,3)</f>
        <v>1.5</v>
      </c>
      <c r="D14" cm="1">
        <f t="array" ref="D14">point_load($B$1,$B$2,$B$3,$D$4,$D$5,$A14,4)</f>
        <v>-6.4487236901030007E-4</v>
      </c>
      <c r="E14" cm="1">
        <f t="array" ref="E14">point_load($B$1,$B$2,$B$3,$D$4,$D$5,$A14,5)*12</f>
        <v>-3.1921182266009852E-2</v>
      </c>
    </row>
    <row r="15" spans="1:13" x14ac:dyDescent="0.25">
      <c r="A15">
        <f t="shared" si="0"/>
        <v>3.5</v>
      </c>
      <c r="B15" cm="1">
        <f t="array" ref="B15">point_load($B$1,$B$2,$B$3,$D$4,$D$5,$A15,2)</f>
        <v>0.5</v>
      </c>
      <c r="C15" cm="1">
        <f t="array" ref="C15">point_load($B$1,$B$2,$B$3,$D$4,$D$5,$A15,3)</f>
        <v>1.75</v>
      </c>
      <c r="D15" cm="1">
        <f t="array" ref="D15">point_load($B$1,$B$2,$B$3,$D$4,$D$5,$A15,4)</f>
        <v>-5.1388266905508283E-4</v>
      </c>
      <c r="E15" cm="1">
        <f t="array" ref="E15">point_load($B$1,$B$2,$B$3,$D$4,$D$5,$A15,5)*12</f>
        <v>-3.5407523510971789E-2</v>
      </c>
    </row>
    <row r="16" spans="1:13" x14ac:dyDescent="0.25">
      <c r="A16">
        <f t="shared" si="0"/>
        <v>4</v>
      </c>
      <c r="B16" cm="1">
        <f t="array" ref="B16">point_load($B$1,$B$2,$B$3,$D$4,$D$5,$A16,2)</f>
        <v>0.5</v>
      </c>
      <c r="C16" cm="1">
        <f t="array" ref="C16">point_load($B$1,$B$2,$B$3,$D$4,$D$5,$A16,3)</f>
        <v>2</v>
      </c>
      <c r="D16" cm="1">
        <f t="array" ref="D16">point_load($B$1,$B$2,$B$3,$D$4,$D$5,$A16,4)</f>
        <v>-3.6274070756829374E-4</v>
      </c>
      <c r="E16" cm="1">
        <f t="array" ref="E16">point_load($B$1,$B$2,$B$3,$D$4,$D$5,$A16,5)*12</f>
        <v>-3.8047469771607702E-2</v>
      </c>
    </row>
    <row r="17" spans="1:5" x14ac:dyDescent="0.25">
      <c r="A17">
        <f t="shared" si="0"/>
        <v>4.5</v>
      </c>
      <c r="B17" cm="1">
        <f t="array" ref="B17">point_load($B$1,$B$2,$B$3,$D$4,$D$5,$A17,2)</f>
        <v>0.5</v>
      </c>
      <c r="C17" cm="1">
        <f t="array" ref="C17">point_load($B$1,$B$2,$B$3,$D$4,$D$5,$A17,3)</f>
        <v>2.25</v>
      </c>
      <c r="D17" cm="1">
        <f t="array" ref="D17">point_load($B$1,$B$2,$B$3,$D$4,$D$5,$A17,4)</f>
        <v>-1.9144648454993282E-4</v>
      </c>
      <c r="E17" cm="1">
        <f t="array" ref="E17">point_load($B$1,$B$2,$B$3,$D$4,$D$5,$A17,5)*12</f>
        <v>-3.9720107478728166E-2</v>
      </c>
    </row>
    <row r="18" spans="1:5" x14ac:dyDescent="0.25">
      <c r="A18">
        <f t="shared" si="0"/>
        <v>5</v>
      </c>
      <c r="B18" cm="1">
        <f t="array" ref="B18">point_load($B$1,$B$2,$B$3,$D$4,$D$5,$A18,2)</f>
        <v>0.5</v>
      </c>
      <c r="C18" cm="1">
        <f t="array" ref="C18">point_load($B$1,$B$2,$B$3,$D$4,$D$5,$A18,3)</f>
        <v>2.5</v>
      </c>
      <c r="D18" cm="1">
        <f t="array" ref="D18">point_load($B$1,$B$2,$B$3,$D$4,$D$5,$A18,4)</f>
        <v>0</v>
      </c>
      <c r="E18" cm="1">
        <f t="array" ref="E18">point_load($B$1,$B$2,$B$3,$D$4,$D$5,$A18,5)*12</f>
        <v>-4.0304523063143749E-2</v>
      </c>
    </row>
    <row r="19" spans="1:5" x14ac:dyDescent="0.25">
      <c r="A19">
        <f t="shared" si="0"/>
        <v>5.5</v>
      </c>
      <c r="B19" cm="1">
        <f t="array" ref="B19">point_load($B$1,$B$2,$B$3,$D$4,$D$5,$A19,2)</f>
        <v>-0.5</v>
      </c>
      <c r="C19" cm="1">
        <f t="array" ref="C19">point_load($B$1,$B$2,$B$3,$D$4,$D$5,$A19,3)</f>
        <v>2.25</v>
      </c>
      <c r="D19" cm="1">
        <f t="array" ref="D19">point_load($B$1,$B$2,$B$3,$D$4,$D$5,$A19,4)</f>
        <v>1.9144648454993282E-4</v>
      </c>
      <c r="E19" cm="1">
        <f t="array" ref="E19">point_load($B$1,$B$2,$B$3,$D$4,$D$5,$A19,5)*12</f>
        <v>-3.9720107478728166E-2</v>
      </c>
    </row>
    <row r="20" spans="1:5" x14ac:dyDescent="0.25">
      <c r="A20">
        <f t="shared" si="0"/>
        <v>6</v>
      </c>
      <c r="B20" cm="1">
        <f t="array" ref="B20">point_load($B$1,$B$2,$B$3,$D$4,$D$5,$A20,2)</f>
        <v>-0.5</v>
      </c>
      <c r="C20" cm="1">
        <f t="array" ref="C20">point_load($B$1,$B$2,$B$3,$D$4,$D$5,$A20,3)</f>
        <v>2</v>
      </c>
      <c r="D20" cm="1">
        <f t="array" ref="D20">point_load($B$1,$B$2,$B$3,$D$4,$D$5,$A20,4)</f>
        <v>3.6274070756829374E-4</v>
      </c>
      <c r="E20" cm="1">
        <f t="array" ref="E20">point_load($B$1,$B$2,$B$3,$D$4,$D$5,$A20,5)*12</f>
        <v>-3.8047469771607702E-2</v>
      </c>
    </row>
    <row r="21" spans="1:5" x14ac:dyDescent="0.25">
      <c r="A21">
        <f t="shared" si="0"/>
        <v>6.5</v>
      </c>
      <c r="B21" cm="1">
        <f t="array" ref="B21">point_load($B$1,$B$2,$B$3,$D$4,$D$5,$A21,2)</f>
        <v>-0.5</v>
      </c>
      <c r="C21" cm="1">
        <f t="array" ref="C21">point_load($B$1,$B$2,$B$3,$D$4,$D$5,$A21,3)</f>
        <v>1.75</v>
      </c>
      <c r="D21" cm="1">
        <f t="array" ref="D21">point_load($B$1,$B$2,$B$3,$D$4,$D$5,$A21,4)</f>
        <v>5.1388266905508283E-4</v>
      </c>
      <c r="E21" cm="1">
        <f t="array" ref="E21">point_load($B$1,$B$2,$B$3,$D$4,$D$5,$A21,5)*12</f>
        <v>-3.5407523510971789E-2</v>
      </c>
    </row>
    <row r="22" spans="1:5" x14ac:dyDescent="0.25">
      <c r="A22">
        <f t="shared" si="0"/>
        <v>7</v>
      </c>
      <c r="B22" cm="1">
        <f t="array" ref="B22">point_load($B$1,$B$2,$B$3,$D$4,$D$5,$A22,2)</f>
        <v>-0.5</v>
      </c>
      <c r="C22" cm="1">
        <f t="array" ref="C22">point_load($B$1,$B$2,$B$3,$D$4,$D$5,$A22,3)</f>
        <v>1.5</v>
      </c>
      <c r="D22" cm="1">
        <f t="array" ref="D22">point_load($B$1,$B$2,$B$3,$D$4,$D$5,$A22,4)</f>
        <v>6.4487236901030007E-4</v>
      </c>
      <c r="E22" cm="1">
        <f t="array" ref="E22">point_load($B$1,$B$2,$B$3,$D$4,$D$5,$A22,5)*12</f>
        <v>-3.1921182266009852E-2</v>
      </c>
    </row>
    <row r="23" spans="1:5" x14ac:dyDescent="0.25">
      <c r="A23">
        <f t="shared" si="0"/>
        <v>7.5</v>
      </c>
      <c r="B23" cm="1">
        <f t="array" ref="B23">point_load($B$1,$B$2,$B$3,$D$4,$D$5,$A23,2)</f>
        <v>-0.5</v>
      </c>
      <c r="C23" cm="1">
        <f t="array" ref="C23">point_load($B$1,$B$2,$B$3,$D$4,$D$5,$A23,3)</f>
        <v>1.25</v>
      </c>
      <c r="D23" cm="1">
        <f t="array" ref="D23">point_load($B$1,$B$2,$B$3,$D$4,$D$5,$A23,4)</f>
        <v>7.5570980743394536E-4</v>
      </c>
      <c r="E23" cm="1">
        <f t="array" ref="E23">point_load($B$1,$B$2,$B$3,$D$4,$D$5,$A23,5)*12</f>
        <v>-2.7709359605911331E-2</v>
      </c>
    </row>
    <row r="24" spans="1:5" x14ac:dyDescent="0.25">
      <c r="A24">
        <f t="shared" si="0"/>
        <v>8</v>
      </c>
      <c r="B24" cm="1">
        <f t="array" ref="B24">point_load($B$1,$B$2,$B$3,$D$4,$D$5,$A24,2)</f>
        <v>-0.5</v>
      </c>
      <c r="C24" cm="1">
        <f t="array" ref="C24">point_load($B$1,$B$2,$B$3,$D$4,$D$5,$A24,3)</f>
        <v>1</v>
      </c>
      <c r="D24" cm="1">
        <f t="array" ref="D24">point_load($B$1,$B$2,$B$3,$D$4,$D$5,$A24,4)</f>
        <v>8.4639498432601879E-4</v>
      </c>
      <c r="E24" cm="1">
        <f t="array" ref="E24">point_load($B$1,$B$2,$B$3,$D$4,$D$5,$A24,5)*12</f>
        <v>-2.2892969099865653E-2</v>
      </c>
    </row>
    <row r="25" spans="1:5" x14ac:dyDescent="0.25">
      <c r="A25">
        <f t="shared" si="0"/>
        <v>8.5</v>
      </c>
      <c r="B25" cm="1">
        <f t="array" ref="B25">point_load($B$1,$B$2,$B$3,$D$4,$D$5,$A25,2)</f>
        <v>-0.5</v>
      </c>
      <c r="C25" cm="1">
        <f t="array" ref="C25">point_load($B$1,$B$2,$B$3,$D$4,$D$5,$A25,3)</f>
        <v>0.75</v>
      </c>
      <c r="D25" cm="1">
        <f t="array" ref="D25">point_load($B$1,$B$2,$B$3,$D$4,$D$5,$A25,4)</f>
        <v>9.1692789968652038E-4</v>
      </c>
      <c r="E25" cm="1">
        <f t="array" ref="E25">point_load($B$1,$B$2,$B$3,$D$4,$D$5,$A25,5)*12</f>
        <v>-1.7592924317062251E-2</v>
      </c>
    </row>
    <row r="26" spans="1:5" x14ac:dyDescent="0.25">
      <c r="A26">
        <f t="shared" si="0"/>
        <v>9</v>
      </c>
      <c r="B26" cm="1">
        <f t="array" ref="B26">point_load($B$1,$B$2,$B$3,$D$4,$D$5,$A26,2)</f>
        <v>-0.5</v>
      </c>
      <c r="C26" cm="1">
        <f t="array" ref="C26">point_load($B$1,$B$2,$B$3,$D$4,$D$5,$A26,3)</f>
        <v>0.5</v>
      </c>
      <c r="D26" cm="1">
        <f t="array" ref="D26">point_load($B$1,$B$2,$B$3,$D$4,$D$5,$A26,4)</f>
        <v>9.6730855351545E-4</v>
      </c>
      <c r="E26" cm="1">
        <f t="array" ref="E26">point_load($B$1,$B$2,$B$3,$D$4,$D$5,$A26,5)*12</f>
        <v>-1.1930138826690553E-2</v>
      </c>
    </row>
    <row r="27" spans="1:5" x14ac:dyDescent="0.25">
      <c r="A27">
        <f t="shared" si="0"/>
        <v>9.5</v>
      </c>
      <c r="B27" cm="1">
        <f t="array" ref="B27">point_load($B$1,$B$2,$B$3,$D$4,$D$5,$A27,2)</f>
        <v>-0.5</v>
      </c>
      <c r="C27" cm="1">
        <f t="array" ref="C27">point_load($B$1,$B$2,$B$3,$D$4,$D$5,$A27,3)</f>
        <v>0.25</v>
      </c>
      <c r="D27" cm="1">
        <f t="array" ref="D27">point_load($B$1,$B$2,$B$3,$D$4,$D$5,$A27,4)</f>
        <v>9.9753694581280789E-4</v>
      </c>
      <c r="E27" cm="1">
        <f t="array" ref="E27">point_load($B$1,$B$2,$B$3,$D$4,$D$5,$A27,5)*12</f>
        <v>-6.0255261979399923E-3</v>
      </c>
    </row>
    <row r="28" spans="1:5" x14ac:dyDescent="0.25">
      <c r="A28">
        <f t="shared" si="0"/>
        <v>10</v>
      </c>
      <c r="B28" cm="1">
        <f t="array" ref="B28">point_load($B$1,$B$2,$B$3,$D$4,$D$5,$A28,2)</f>
        <v>-0.5</v>
      </c>
      <c r="C28" cm="1">
        <f t="array" ref="C28">point_load($B$1,$B$2,$B$3,$D$4,$D$5,$A28,3)</f>
        <v>0</v>
      </c>
      <c r="D28" cm="1">
        <f t="array" ref="D28">point_load($B$1,$B$2,$B$3,$D$4,$D$5,$A28,4)</f>
        <v>1.0076130765785938E-3</v>
      </c>
      <c r="E28" cm="1">
        <f t="array" ref="E28">point_load($B$1,$B$2,$B$3,$D$4,$D$5,$A28,5)*12</f>
        <v>-2.3089456902638721E-18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8615F-BBB3-4261-B0FC-171045D8FB7B}">
  <sheetPr codeName="Sheet2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point_moment($B$1,$B$2,$B$3,$D$4,$D$5,$A8,6)</f>
        <v>0.25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point_moment($B$1,$B$2,$B$3,$D$4,$D$5,$A8,7)</f>
        <v>0.25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point_moment($B$1,$B$2,$B$3,$D$4,$D$5,$A8,0)</f>
        <v>-0.1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point_moment($B$1,$B$2,$B$3,$D$4,$D$5,$A8,1)</f>
        <v>0.1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point_moment($B$1,$B$2,$B$3,$D$4,$D$5,$A8,2)</f>
        <v>-0.1</v>
      </c>
      <c r="C8" cm="1">
        <f t="array" ref="C8">point_moment($B$1,$B$2,$B$3,$D$4,$D$5,$A8,3)</f>
        <v>0</v>
      </c>
      <c r="D8" cm="1">
        <f t="array" ref="D8">point_moment($B$1,$B$2,$B$3,$D$4,$D$5,$A8,4)</f>
        <v>6.7174205105239627E-5</v>
      </c>
      <c r="E8" cm="1">
        <f t="array" ref="E8">point_moment($B$1,$B$2,$B$3,$D$4,$D$5,$A8,5)*12</f>
        <v>0</v>
      </c>
    </row>
    <row r="9" spans="1:13" x14ac:dyDescent="0.25">
      <c r="A9">
        <f>A8+$H$2</f>
        <v>0.5</v>
      </c>
      <c r="B9" cm="1">
        <f t="array" ref="B9">point_moment($B$1,$B$2,$B$3,$D$4,$D$5,$A9,2)</f>
        <v>-0.1</v>
      </c>
      <c r="C9" cm="1">
        <f t="array" ref="C9">point_moment($B$1,$B$2,$B$3,$D$4,$D$5,$A9,3)</f>
        <v>-0.05</v>
      </c>
      <c r="D9" cm="1">
        <f t="array" ref="D9">point_moment($B$1,$B$2,$B$3,$D$4,$D$5,$A9,4)</f>
        <v>6.5158978952082445E-5</v>
      </c>
      <c r="E9" cm="1">
        <f t="array" ref="E9">point_moment($B$1,$B$2,$B$3,$D$4,$D$5,$A9,5)*12</f>
        <v>3.9901477832512337E-4</v>
      </c>
    </row>
    <row r="10" spans="1:13" x14ac:dyDescent="0.25">
      <c r="A10">
        <f t="shared" ref="A10:A12" si="0">A9+$H$2</f>
        <v>1</v>
      </c>
      <c r="B10" cm="1">
        <f t="array" ref="B10">point_moment($B$1,$B$2,$B$3,$D$4,$D$5,$A10,2)</f>
        <v>-0.1</v>
      </c>
      <c r="C10" cm="1">
        <f t="array" ref="C10">point_moment($B$1,$B$2,$B$3,$D$4,$D$5,$A10,3)</f>
        <v>-0.1</v>
      </c>
      <c r="D10" cm="1">
        <f t="array" ref="D10">point_moment($B$1,$B$2,$B$3,$D$4,$D$5,$A10,4)</f>
        <v>5.9113300492610884E-5</v>
      </c>
      <c r="E10" cm="1">
        <f t="array" ref="E10">point_moment($B$1,$B$2,$B$3,$D$4,$D$5,$A10,5)*12</f>
        <v>7.7384684281236061E-4</v>
      </c>
    </row>
    <row r="11" spans="1:13" x14ac:dyDescent="0.25">
      <c r="A11">
        <f t="shared" si="0"/>
        <v>1.5</v>
      </c>
      <c r="B11" cm="1">
        <f t="array" ref="B11">point_moment($B$1,$B$2,$B$3,$D$4,$D$5,$A11,2)</f>
        <v>-0.1</v>
      </c>
      <c r="C11" cm="1">
        <f t="array" ref="C11">point_moment($B$1,$B$2,$B$3,$D$4,$D$5,$A11,3)</f>
        <v>-0.15000000000000002</v>
      </c>
      <c r="D11" cm="1">
        <f t="array" ref="D11">point_moment($B$1,$B$2,$B$3,$D$4,$D$5,$A11,4)</f>
        <v>4.9037169726824946E-5</v>
      </c>
      <c r="E11" cm="1">
        <f t="array" ref="E11">point_moment($B$1,$B$2,$B$3,$D$4,$D$5,$A11,5)*12</f>
        <v>1.1003134796238251E-3</v>
      </c>
    </row>
    <row r="12" spans="1:13" x14ac:dyDescent="0.25">
      <c r="A12">
        <f t="shared" si="0"/>
        <v>2</v>
      </c>
      <c r="B12" cm="1">
        <f t="array" ref="B12">point_moment($B$1,$B$2,$B$3,$D$4,$D$5,$A12,2)</f>
        <v>-0.1</v>
      </c>
      <c r="C12" cm="1">
        <f t="array" ref="C12">point_moment($B$1,$B$2,$B$3,$D$4,$D$5,$A12,3)</f>
        <v>-0.2</v>
      </c>
      <c r="D12" cm="1">
        <f t="array" ref="D12">point_moment($B$1,$B$2,$B$3,$D$4,$D$5,$A12,4)</f>
        <v>3.4930586654724629E-5</v>
      </c>
      <c r="E12" cm="1">
        <f t="array" ref="E12">point_moment($B$1,$B$2,$B$3,$D$4,$D$5,$A12,5)*12</f>
        <v>1.3542319749216313E-3</v>
      </c>
    </row>
    <row r="13" spans="1:13" x14ac:dyDescent="0.25">
      <c r="A13">
        <f>A12+$H$2</f>
        <v>2.5</v>
      </c>
      <c r="B13" cm="1">
        <f t="array" ref="B13">point_moment($B$1,$B$2,$B$3,$D$4,$D$5,$A13,2)</f>
        <v>-0.1</v>
      </c>
      <c r="C13" cm="1">
        <f t="array" ref="C13">point_moment($B$1,$B$2,$B$3,$D$4,$D$5,$A13,3)</f>
        <v>-0.25</v>
      </c>
      <c r="D13" cm="1">
        <f t="array" ref="D13">point_moment($B$1,$B$2,$B$3,$D$4,$D$5,$A13,4)</f>
        <v>1.6793551276309941E-5</v>
      </c>
      <c r="E13" cm="1">
        <f t="array" ref="E13">point_moment($B$1,$B$2,$B$3,$D$4,$D$5,$A13,5)*12</f>
        <v>1.511419614867892E-3</v>
      </c>
    </row>
    <row r="14" spans="1:13" x14ac:dyDescent="0.25">
      <c r="A14">
        <f>A13+$H$2</f>
        <v>3</v>
      </c>
      <c r="B14" cm="1">
        <f t="array" ref="B14">point_moment($B$1,$B$2,$B$3,$D$4,$D$5,$A14,2)</f>
        <v>-0.1</v>
      </c>
      <c r="C14" cm="1">
        <f t="array" ref="C14">point_moment($B$1,$B$2,$B$3,$D$4,$D$5,$A14,3)</f>
        <v>-0.30000000000000004</v>
      </c>
      <c r="D14" cm="1">
        <f t="array" ref="D14">point_moment($B$1,$B$2,$B$3,$D$4,$D$5,$A14,4)</f>
        <v>-5.3739364084191232E-6</v>
      </c>
      <c r="E14" cm="1">
        <f t="array" ref="E14">point_moment($B$1,$B$2,$B$3,$D$4,$D$5,$A14,5)*12</f>
        <v>1.5476936856247219E-3</v>
      </c>
    </row>
    <row r="15" spans="1:13" x14ac:dyDescent="0.25">
      <c r="A15">
        <f>A14+$H$2</f>
        <v>3.5</v>
      </c>
      <c r="B15" cm="1">
        <f t="array" ref="B15">point_moment($B$1,$B$2,$B$3,$D$4,$D$5,$A15,2)</f>
        <v>-0.1</v>
      </c>
      <c r="C15" cm="1">
        <f t="array" ref="C15">point_moment($B$1,$B$2,$B$3,$D$4,$D$5,$A15,3)</f>
        <v>-0.35000000000000003</v>
      </c>
      <c r="D15" cm="1">
        <f t="array" ref="D15">point_moment($B$1,$B$2,$B$3,$D$4,$D$5,$A15,4)</f>
        <v>-3.1571876399462564E-5</v>
      </c>
      <c r="E15" cm="1">
        <f t="array" ref="E15">point_moment($B$1,$B$2,$B$3,$D$4,$D$5,$A15,5)*12</f>
        <v>1.4388714733542338E-3</v>
      </c>
    </row>
    <row r="16" spans="1:13" x14ac:dyDescent="0.25">
      <c r="A16">
        <f>A15+$H$2</f>
        <v>4</v>
      </c>
      <c r="B16" cm="1">
        <f t="array" ref="B16">point_moment($B$1,$B$2,$B$3,$D$4,$D$5,$A16,2)</f>
        <v>-0.1</v>
      </c>
      <c r="C16" cm="1">
        <f t="array" ref="C16">point_moment($B$1,$B$2,$B$3,$D$4,$D$5,$A16,3)</f>
        <v>-0.4</v>
      </c>
      <c r="D16" cm="1">
        <f t="array" ref="D16">point_moment($B$1,$B$2,$B$3,$D$4,$D$5,$A16,4)</f>
        <v>-6.1800268696820379E-5</v>
      </c>
      <c r="E16" cm="1">
        <f t="array" ref="E16">point_moment($B$1,$B$2,$B$3,$D$4,$D$5,$A16,5)*12</f>
        <v>1.1607702642185422E-3</v>
      </c>
    </row>
    <row r="17" spans="1:5" x14ac:dyDescent="0.25">
      <c r="A17">
        <f t="shared" ref="A17:A28" si="1">A16+$H$2</f>
        <v>4.5</v>
      </c>
      <c r="B17" cm="1">
        <f t="array" ref="B17">point_moment($B$1,$B$2,$B$3,$D$4,$D$5,$A17,2)</f>
        <v>-0.1</v>
      </c>
      <c r="C17" cm="1">
        <f t="array" ref="C17">point_moment($B$1,$B$2,$B$3,$D$4,$D$5,$A17,3)</f>
        <v>-0.45</v>
      </c>
      <c r="D17" cm="1">
        <f t="array" ref="D17">point_moment($B$1,$B$2,$B$3,$D$4,$D$5,$A17,4)</f>
        <v>-9.6059113300492574E-5</v>
      </c>
      <c r="E17" cm="1">
        <f t="array" ref="E17">point_moment($B$1,$B$2,$B$3,$D$4,$D$5,$A17,5)*12</f>
        <v>6.8920734437976055E-4</v>
      </c>
    </row>
    <row r="18" spans="1:5" x14ac:dyDescent="0.25">
      <c r="A18">
        <f t="shared" si="1"/>
        <v>5</v>
      </c>
      <c r="B18" cm="1">
        <f t="array" ref="B18">point_moment($B$1,$B$2,$B$3,$D$4,$D$5,$A18,2)</f>
        <v>-0.1</v>
      </c>
      <c r="C18" cm="1">
        <f t="array" ref="C18">point_moment($B$1,$B$2,$B$3,$D$4,$D$5,$A18,3)</f>
        <v>-0.5</v>
      </c>
      <c r="D18" cm="1">
        <f t="array" ref="D18">point_moment($B$1,$B$2,$B$3,$D$4,$D$5,$A18,4)</f>
        <v>-1.3434841021047915E-4</v>
      </c>
      <c r="E18" cm="1">
        <f t="array" ref="E18">point_moment($B$1,$B$2,$B$3,$D$4,$D$5,$A18,5)*12</f>
        <v>2.6395142229542668E-18</v>
      </c>
    </row>
    <row r="19" spans="1:5" x14ac:dyDescent="0.25">
      <c r="A19">
        <f t="shared" si="1"/>
        <v>5.5</v>
      </c>
      <c r="B19" cm="1">
        <f t="array" ref="B19">point_moment($B$1,$B$2,$B$3,$D$4,$D$5,$A19,2)</f>
        <v>-0.1</v>
      </c>
      <c r="C19" cm="1">
        <f t="array" ref="C19">point_moment($B$1,$B$2,$B$3,$D$4,$D$5,$A19,3)</f>
        <v>0.44999999999999996</v>
      </c>
      <c r="D19" cm="1">
        <f t="array" ref="D19">point_moment($B$1,$B$2,$B$3,$D$4,$D$5,$A19,4)</f>
        <v>-9.6059113300492574E-5</v>
      </c>
      <c r="E19" cm="1">
        <f t="array" ref="E19">point_moment($B$1,$B$2,$B$3,$D$4,$D$5,$A19,5)*12</f>
        <v>-6.8920734437975871E-4</v>
      </c>
    </row>
    <row r="20" spans="1:5" x14ac:dyDescent="0.25">
      <c r="A20">
        <f t="shared" si="1"/>
        <v>6</v>
      </c>
      <c r="B20" cm="1">
        <f t="array" ref="B20">point_moment($B$1,$B$2,$B$3,$D$4,$D$5,$A20,2)</f>
        <v>-0.1</v>
      </c>
      <c r="C20" cm="1">
        <f t="array" ref="C20">point_moment($B$1,$B$2,$B$3,$D$4,$D$5,$A20,3)</f>
        <v>0.39999999999999997</v>
      </c>
      <c r="D20" cm="1">
        <f t="array" ref="D20">point_moment($B$1,$B$2,$B$3,$D$4,$D$5,$A20,4)</f>
        <v>-6.1800268696820393E-5</v>
      </c>
      <c r="E20" cm="1">
        <f t="array" ref="E20">point_moment($B$1,$B$2,$B$3,$D$4,$D$5,$A20,5)*12</f>
        <v>-1.1607702642185405E-3</v>
      </c>
    </row>
    <row r="21" spans="1:5" x14ac:dyDescent="0.25">
      <c r="A21">
        <f t="shared" si="1"/>
        <v>6.5</v>
      </c>
      <c r="B21" cm="1">
        <f t="array" ref="B21">point_moment($B$1,$B$2,$B$3,$D$4,$D$5,$A21,2)</f>
        <v>-0.1</v>
      </c>
      <c r="C21" cm="1">
        <f t="array" ref="C21">point_moment($B$1,$B$2,$B$3,$D$4,$D$5,$A21,3)</f>
        <v>0.35</v>
      </c>
      <c r="D21" cm="1">
        <f t="array" ref="D21">point_moment($B$1,$B$2,$B$3,$D$4,$D$5,$A21,4)</f>
        <v>-3.1571876399462577E-5</v>
      </c>
      <c r="E21" cm="1">
        <f t="array" ref="E21">point_moment($B$1,$B$2,$B$3,$D$4,$D$5,$A21,5)*12</f>
        <v>-1.4388714733542321E-3</v>
      </c>
    </row>
    <row r="22" spans="1:5" x14ac:dyDescent="0.25">
      <c r="A22">
        <f t="shared" si="1"/>
        <v>7</v>
      </c>
      <c r="B22" cm="1">
        <f t="array" ref="B22">point_moment($B$1,$B$2,$B$3,$D$4,$D$5,$A22,2)</f>
        <v>-0.1</v>
      </c>
      <c r="C22" cm="1">
        <f t="array" ref="C22">point_moment($B$1,$B$2,$B$3,$D$4,$D$5,$A22,3)</f>
        <v>0.29999999999999993</v>
      </c>
      <c r="D22" cm="1">
        <f t="array" ref="D22">point_moment($B$1,$B$2,$B$3,$D$4,$D$5,$A22,4)</f>
        <v>-5.373936408419141E-6</v>
      </c>
      <c r="E22" cm="1">
        <f t="array" ref="E22">point_moment($B$1,$B$2,$B$3,$D$4,$D$5,$A22,5)*12</f>
        <v>-1.5476936856247204E-3</v>
      </c>
    </row>
    <row r="23" spans="1:5" x14ac:dyDescent="0.25">
      <c r="A23">
        <f t="shared" si="1"/>
        <v>7.5</v>
      </c>
      <c r="B23" cm="1">
        <f t="array" ref="B23">point_moment($B$1,$B$2,$B$3,$D$4,$D$5,$A23,2)</f>
        <v>-0.1</v>
      </c>
      <c r="C23" cm="1">
        <f t="array" ref="C23">point_moment($B$1,$B$2,$B$3,$D$4,$D$5,$A23,3)</f>
        <v>0.24999999999999994</v>
      </c>
      <c r="D23" cm="1">
        <f t="array" ref="D23">point_moment($B$1,$B$2,$B$3,$D$4,$D$5,$A23,4)</f>
        <v>1.679355127630992E-5</v>
      </c>
      <c r="E23" cm="1">
        <f t="array" ref="E23">point_moment($B$1,$B$2,$B$3,$D$4,$D$5,$A23,5)*12</f>
        <v>-1.5114196148678907E-3</v>
      </c>
    </row>
    <row r="24" spans="1:5" x14ac:dyDescent="0.25">
      <c r="A24">
        <f t="shared" si="1"/>
        <v>8</v>
      </c>
      <c r="B24" cm="1">
        <f t="array" ref="B24">point_moment($B$1,$B$2,$B$3,$D$4,$D$5,$A24,2)</f>
        <v>-0.1</v>
      </c>
      <c r="C24" cm="1">
        <f t="array" ref="C24">point_moment($B$1,$B$2,$B$3,$D$4,$D$5,$A24,3)</f>
        <v>0.19999999999999996</v>
      </c>
      <c r="D24" cm="1">
        <f t="array" ref="D24">point_moment($B$1,$B$2,$B$3,$D$4,$D$5,$A24,4)</f>
        <v>3.4930586654724602E-5</v>
      </c>
      <c r="E24" cm="1">
        <f t="array" ref="E24">point_moment($B$1,$B$2,$B$3,$D$4,$D$5,$A24,5)*12</f>
        <v>-1.3542319749216298E-3</v>
      </c>
    </row>
    <row r="25" spans="1:5" x14ac:dyDescent="0.25">
      <c r="A25">
        <f t="shared" si="1"/>
        <v>8.5</v>
      </c>
      <c r="B25" cm="1">
        <f t="array" ref="B25">point_moment($B$1,$B$2,$B$3,$D$4,$D$5,$A25,2)</f>
        <v>-0.1</v>
      </c>
      <c r="C25" cm="1">
        <f t="array" ref="C25">point_moment($B$1,$B$2,$B$3,$D$4,$D$5,$A25,3)</f>
        <v>0.14999999999999997</v>
      </c>
      <c r="D25" cm="1">
        <f t="array" ref="D25">point_moment($B$1,$B$2,$B$3,$D$4,$D$5,$A25,4)</f>
        <v>4.9037169726824912E-5</v>
      </c>
      <c r="E25" cm="1">
        <f t="array" ref="E25">point_moment($B$1,$B$2,$B$3,$D$4,$D$5,$A25,5)*12</f>
        <v>-1.1003134796238241E-3</v>
      </c>
    </row>
    <row r="26" spans="1:5" x14ac:dyDescent="0.25">
      <c r="A26">
        <f t="shared" si="1"/>
        <v>9</v>
      </c>
      <c r="B26" cm="1">
        <f t="array" ref="B26">point_moment($B$1,$B$2,$B$3,$D$4,$D$5,$A26,2)</f>
        <v>-0.1</v>
      </c>
      <c r="C26" cm="1">
        <f t="array" ref="C26">point_moment($B$1,$B$2,$B$3,$D$4,$D$5,$A26,3)</f>
        <v>9.999999999999995E-2</v>
      </c>
      <c r="D26" cm="1">
        <f t="array" ref="D26">point_moment($B$1,$B$2,$B$3,$D$4,$D$5,$A26,4)</f>
        <v>5.9113300492610844E-5</v>
      </c>
      <c r="E26" cm="1">
        <f t="array" ref="E26">point_moment($B$1,$B$2,$B$3,$D$4,$D$5,$A26,5)*12</f>
        <v>-7.7384684281235963E-4</v>
      </c>
    </row>
    <row r="27" spans="1:5" x14ac:dyDescent="0.25">
      <c r="A27">
        <f t="shared" si="1"/>
        <v>9.5</v>
      </c>
      <c r="B27" cm="1">
        <f t="array" ref="B27">point_moment($B$1,$B$2,$B$3,$D$4,$D$5,$A27,2)</f>
        <v>-0.1</v>
      </c>
      <c r="C27" cm="1">
        <f t="array" ref="C27">point_moment($B$1,$B$2,$B$3,$D$4,$D$5,$A27,3)</f>
        <v>4.9999999999999947E-2</v>
      </c>
      <c r="D27" cm="1">
        <f t="array" ref="D27">point_moment($B$1,$B$2,$B$3,$D$4,$D$5,$A27,4)</f>
        <v>6.5158978952082404E-5</v>
      </c>
      <c r="E27" cm="1">
        <f t="array" ref="E27">point_moment($B$1,$B$2,$B$3,$D$4,$D$5,$A27,5)*12</f>
        <v>-3.9901477832512267E-4</v>
      </c>
    </row>
    <row r="28" spans="1:5" x14ac:dyDescent="0.25">
      <c r="A28">
        <f t="shared" si="1"/>
        <v>10</v>
      </c>
      <c r="B28" cm="1">
        <f t="array" ref="B28">point_moment($B$1,$B$2,$B$3,$D$4,$D$5,$A28,2)</f>
        <v>-0.1</v>
      </c>
      <c r="C28" cm="1">
        <f t="array" ref="C28">point_moment($B$1,$B$2,$B$3,$D$4,$D$5,$A28,3)</f>
        <v>-5.5511151231257827E-17</v>
      </c>
      <c r="D28" cm="1">
        <f t="array" ref="D28">point_moment($B$1,$B$2,$B$3,$D$4,$D$5,$A28,4)</f>
        <v>6.7174205105239587E-5</v>
      </c>
      <c r="E28" cm="1">
        <f t="array" ref="E28">point_moment($B$1,$B$2,$B$3,$D$4,$D$5,$A28,5)*12</f>
        <v>4.9669180546374001E-19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566B-6AD1-406B-9EF8-7B114EF3683A}">
  <sheetPr codeName="Sheet3"/>
  <dimension ref="A1:M29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uniform_load($B$1,$B$2,$B$3,$B$4,$D$5,$D$6,$A9,6)</f>
        <v>-6.6000000000000005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uniform_load($B$1,$B$2,$B$3,$B$4,$D$5,$D$6,$A9,7)</f>
        <v>6.6000000000000005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uniform_load($B$1,$B$2,$B$3,$B$4,$D$5,$D$6,$A9,0)</f>
        <v>3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uniform_load($B$1,$B$2,$B$3,$B$4,$D$5,$D$6,$A9,1)</f>
        <v>3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uniform_load($B$1,$B$2,$B$3,$B$4,$D$5,$D$6,$A9,2)</f>
        <v>3</v>
      </c>
      <c r="C9" cm="1">
        <f t="array" ref="C9">uniform_load($B$1,$B$2,$B$3,$B$4,$D$5,$D$6,$A9,3)</f>
        <v>0</v>
      </c>
      <c r="D9" cm="1">
        <f t="array" ref="D9">uniform_load($B$1,$B$2,$B$3,$B$4,$D$5,$D$6,$A9,4)</f>
        <v>-5.3201970443349754E-3</v>
      </c>
      <c r="E9" cm="1">
        <f t="array" ref="E9">uniform_load($B$1,$B$2,$B$3,$B$4,$D$5,$D$6,$A9,5)*12</f>
        <v>0</v>
      </c>
    </row>
    <row r="10" spans="1:13" x14ac:dyDescent="0.25">
      <c r="A10">
        <f>A9+$H$2</f>
        <v>0.5</v>
      </c>
      <c r="B10" cm="1">
        <f t="array" ref="B10">uniform_load($B$1,$B$2,$B$3,$B$4,$D$5,$D$6,$A10,2)</f>
        <v>3</v>
      </c>
      <c r="C10" cm="1">
        <f t="array" ref="C10">uniform_load($B$1,$B$2,$B$3,$B$4,$D$5,$D$6,$A10,3)</f>
        <v>1.5</v>
      </c>
      <c r="D10" cm="1">
        <f t="array" ref="D10">uniform_load($B$1,$B$2,$B$3,$B$4,$D$5,$D$6,$A10,4)</f>
        <v>-5.2597402597402594E-3</v>
      </c>
      <c r="E10" cm="1">
        <f t="array" ref="E10">uniform_load($B$1,$B$2,$B$3,$B$4,$D$5,$D$6,$A10,5)*12</f>
        <v>-3.180026869682042E-2</v>
      </c>
    </row>
    <row r="11" spans="1:13" x14ac:dyDescent="0.25">
      <c r="A11">
        <f t="shared" ref="A11:A13" si="0">A10+$H$2</f>
        <v>1</v>
      </c>
      <c r="B11" cm="1">
        <f t="array" ref="B11">uniform_load($B$1,$B$2,$B$3,$B$4,$D$5,$D$6,$A11,2)</f>
        <v>3</v>
      </c>
      <c r="C11" cm="1">
        <f t="array" ref="C11">uniform_load($B$1,$B$2,$B$3,$B$4,$D$5,$D$6,$A11,3)</f>
        <v>3</v>
      </c>
      <c r="D11" cm="1">
        <f t="array" ref="D11">uniform_load($B$1,$B$2,$B$3,$B$4,$D$5,$D$6,$A11,4)</f>
        <v>-5.0783699059561123E-3</v>
      </c>
      <c r="E11" cm="1">
        <f t="array" ref="E11">uniform_load($B$1,$B$2,$B$3,$B$4,$D$5,$D$6,$A11,5)*12</f>
        <v>-6.2875055978504263E-2</v>
      </c>
    </row>
    <row r="12" spans="1:13" x14ac:dyDescent="0.25">
      <c r="A12">
        <f t="shared" si="0"/>
        <v>1.5</v>
      </c>
      <c r="B12" cm="1">
        <f t="array" ref="B12">uniform_load($B$1,$B$2,$B$3,$B$4,$D$5,$D$6,$A12,2)</f>
        <v>3</v>
      </c>
      <c r="C12" cm="1">
        <f t="array" ref="C12">uniform_load($B$1,$B$2,$B$3,$B$4,$D$5,$D$6,$A12,3)</f>
        <v>4.5</v>
      </c>
      <c r="D12" cm="1">
        <f t="array" ref="D12">uniform_load($B$1,$B$2,$B$3,$B$4,$D$5,$D$6,$A12,4)</f>
        <v>-4.7760859829825341E-3</v>
      </c>
      <c r="E12" cm="1">
        <f t="array" ref="E12">uniform_load($B$1,$B$2,$B$3,$B$4,$D$5,$D$6,$A12,5)*12</f>
        <v>-9.2498880429914915E-2</v>
      </c>
    </row>
    <row r="13" spans="1:13" x14ac:dyDescent="0.25">
      <c r="A13">
        <f t="shared" si="0"/>
        <v>2</v>
      </c>
      <c r="B13" cm="1">
        <f t="array" ref="B13">uniform_load($B$1,$B$2,$B$3,$B$4,$D$5,$D$6,$A13,2)</f>
        <v>3</v>
      </c>
      <c r="C13" cm="1">
        <f t="array" ref="C13">uniform_load($B$1,$B$2,$B$3,$B$4,$D$5,$D$6,$A13,3)</f>
        <v>6</v>
      </c>
      <c r="D13" cm="1">
        <f t="array" ref="D13">uniform_load($B$1,$B$2,$B$3,$B$4,$D$5,$D$6,$A13,4)</f>
        <v>-4.3528884908195248E-3</v>
      </c>
      <c r="E13" cm="1">
        <f t="array" ref="E13">uniform_load($B$1,$B$2,$B$3,$B$4,$D$5,$D$6,$A13,5)*12</f>
        <v>-0.11994626063591579</v>
      </c>
    </row>
    <row r="14" spans="1:13" x14ac:dyDescent="0.25">
      <c r="A14">
        <f>A13+$H$2</f>
        <v>2.5</v>
      </c>
      <c r="B14" cm="1">
        <f t="array" ref="B14">uniform_load($B$1,$B$2,$B$3,$B$4,$D$5,$D$6,$A14,2)</f>
        <v>2.5</v>
      </c>
      <c r="C14" cm="1">
        <f t="array" ref="C14">uniform_load($B$1,$B$2,$B$3,$B$4,$D$5,$D$6,$A14,3)</f>
        <v>7.375</v>
      </c>
      <c r="D14" cm="1">
        <f t="array" ref="D14">uniform_load($B$1,$B$2,$B$3,$B$4,$D$5,$D$6,$A14,4)</f>
        <v>-3.8121361397223468E-3</v>
      </c>
      <c r="E14" cm="1">
        <f t="array" ref="E14">uniform_load($B$1,$B$2,$B$3,$B$4,$D$5,$D$6,$A14,5)*12</f>
        <v>-0.14449675324675326</v>
      </c>
    </row>
    <row r="15" spans="1:13" x14ac:dyDescent="0.25">
      <c r="A15">
        <f>A14+$H$2</f>
        <v>3</v>
      </c>
      <c r="B15" cm="1">
        <f t="array" ref="B15">uniform_load($B$1,$B$2,$B$3,$B$4,$D$5,$D$6,$A15,2)</f>
        <v>2</v>
      </c>
      <c r="C15" cm="1">
        <f t="array" ref="C15">uniform_load($B$1,$B$2,$B$3,$B$4,$D$5,$D$6,$A15,3)</f>
        <v>8.5</v>
      </c>
      <c r="D15" cm="1">
        <f t="array" ref="D15">uniform_load($B$1,$B$2,$B$3,$B$4,$D$5,$D$6,$A15,4)</f>
        <v>-3.1706224809673086E-3</v>
      </c>
      <c r="E15" cm="1">
        <f t="array" ref="E15">uniform_load($B$1,$B$2,$B$3,$B$4,$D$5,$D$6,$A15,5)*12</f>
        <v>-0.16549037169726824</v>
      </c>
    </row>
    <row r="16" spans="1:13" x14ac:dyDescent="0.25">
      <c r="A16">
        <f>A15+$H$2</f>
        <v>3.5</v>
      </c>
      <c r="B16" cm="1">
        <f t="array" ref="B16">uniform_load($B$1,$B$2,$B$3,$B$4,$D$5,$D$6,$A16,2)</f>
        <v>1.5</v>
      </c>
      <c r="C16" cm="1">
        <f t="array" ref="C16">uniform_load($B$1,$B$2,$B$3,$B$4,$D$5,$D$6,$A16,3)</f>
        <v>9.375</v>
      </c>
      <c r="D16" cm="1">
        <f t="array" ref="D16">uniform_load($B$1,$B$2,$B$3,$B$4,$D$5,$D$6,$A16,4)</f>
        <v>-2.4484997760859831E-3</v>
      </c>
      <c r="E16" cm="1">
        <f t="array" ref="E16">uniform_load($B$1,$B$2,$B$3,$B$4,$D$5,$D$6,$A16,5)*12</f>
        <v>-0.18238300492610837</v>
      </c>
    </row>
    <row r="17" spans="1:5" x14ac:dyDescent="0.25">
      <c r="A17">
        <f>A16+$H$2</f>
        <v>4</v>
      </c>
      <c r="B17" cm="1">
        <f t="array" ref="B17">uniform_load($B$1,$B$2,$B$3,$B$4,$D$5,$D$6,$A17,2)</f>
        <v>1</v>
      </c>
      <c r="C17" cm="1">
        <f t="array" ref="C17">uniform_load($B$1,$B$2,$B$3,$B$4,$D$5,$D$6,$A17,3)</f>
        <v>10</v>
      </c>
      <c r="D17" cm="1">
        <f t="array" ref="D17">uniform_load($B$1,$B$2,$B$3,$B$4,$D$5,$D$6,$A17,4)</f>
        <v>-1.6659202866099419E-3</v>
      </c>
      <c r="E17" cm="1">
        <f t="array" ref="E17">uniform_load($B$1,$B$2,$B$3,$B$4,$D$5,$D$6,$A17,5)*12</f>
        <v>-0.19475145544111061</v>
      </c>
    </row>
    <row r="18" spans="1:5" x14ac:dyDescent="0.25">
      <c r="A18">
        <f t="shared" ref="A18:A29" si="1">A17+$H$2</f>
        <v>4.5</v>
      </c>
      <c r="B18" cm="1">
        <f t="array" ref="B18">uniform_load($B$1,$B$2,$B$3,$B$4,$D$5,$D$6,$A18,2)</f>
        <v>0.5</v>
      </c>
      <c r="C18" cm="1">
        <f t="array" ref="C18">uniform_load($B$1,$B$2,$B$3,$B$4,$D$5,$D$6,$A18,3)</f>
        <v>10.375</v>
      </c>
      <c r="D18" cm="1">
        <f t="array" ref="D18">uniform_load($B$1,$B$2,$B$3,$B$4,$D$5,$D$6,$A18,4)</f>
        <v>-8.43036274070757E-4</v>
      </c>
      <c r="E18" cm="1">
        <f t="array" ref="E18">uniform_load($B$1,$B$2,$B$3,$B$4,$D$5,$D$6,$A18,5)*12</f>
        <v>-0.20229343931930141</v>
      </c>
    </row>
    <row r="19" spans="1:5" x14ac:dyDescent="0.25">
      <c r="A19">
        <f t="shared" si="1"/>
        <v>5</v>
      </c>
      <c r="B19" cm="1">
        <f t="array" ref="B19">uniform_load($B$1,$B$2,$B$3,$B$4,$D$5,$D$6,$A19,2)</f>
        <v>0</v>
      </c>
      <c r="C19" cm="1">
        <f t="array" ref="C19">uniform_load($B$1,$B$2,$B$3,$B$4,$D$5,$D$6,$A19,3)</f>
        <v>10.5</v>
      </c>
      <c r="D19" cm="1">
        <f t="array" ref="D19">uniform_load($B$1,$B$2,$B$3,$B$4,$D$5,$D$6,$A19,4)</f>
        <v>-1.9129346561779174E-19</v>
      </c>
      <c r="E19" cm="1">
        <f t="array" ref="E19">uniform_load($B$1,$B$2,$B$3,$B$4,$D$5,$D$6,$A19,5)*12</f>
        <v>-0.20482758620689656</v>
      </c>
    </row>
    <row r="20" spans="1:5" x14ac:dyDescent="0.25">
      <c r="A20">
        <f t="shared" si="1"/>
        <v>5.5</v>
      </c>
      <c r="B20" cm="1">
        <f t="array" ref="B20">uniform_load($B$1,$B$2,$B$3,$B$4,$D$5,$D$6,$A20,2)</f>
        <v>-0.5</v>
      </c>
      <c r="C20" cm="1">
        <f t="array" ref="C20">uniform_load($B$1,$B$2,$B$3,$B$4,$D$5,$D$6,$A20,3)</f>
        <v>10.375</v>
      </c>
      <c r="D20" cm="1">
        <f t="array" ref="D20">uniform_load($B$1,$B$2,$B$3,$B$4,$D$5,$D$6,$A20,4)</f>
        <v>8.4303627407075657E-4</v>
      </c>
      <c r="E20" cm="1">
        <f t="array" ref="E20">uniform_load($B$1,$B$2,$B$3,$B$4,$D$5,$D$6,$A20,5)*12</f>
        <v>-0.20229343931930141</v>
      </c>
    </row>
    <row r="21" spans="1:5" x14ac:dyDescent="0.25">
      <c r="A21">
        <f t="shared" si="1"/>
        <v>6</v>
      </c>
      <c r="B21" cm="1">
        <f t="array" ref="B21">uniform_load($B$1,$B$2,$B$3,$B$4,$D$5,$D$6,$A21,2)</f>
        <v>-1</v>
      </c>
      <c r="C21" cm="1">
        <f t="array" ref="C21">uniform_load($B$1,$B$2,$B$3,$B$4,$D$5,$D$6,$A21,3)</f>
        <v>10</v>
      </c>
      <c r="D21" cm="1">
        <f t="array" ref="D21">uniform_load($B$1,$B$2,$B$3,$B$4,$D$5,$D$6,$A21,4)</f>
        <v>1.6659202866099415E-3</v>
      </c>
      <c r="E21" cm="1">
        <f t="array" ref="E21">uniform_load($B$1,$B$2,$B$3,$B$4,$D$5,$D$6,$A21,5)*12</f>
        <v>-0.19475145544111061</v>
      </c>
    </row>
    <row r="22" spans="1:5" x14ac:dyDescent="0.25">
      <c r="A22">
        <f t="shared" si="1"/>
        <v>6.5</v>
      </c>
      <c r="B22" cm="1">
        <f t="array" ref="B22">uniform_load($B$1,$B$2,$B$3,$B$4,$D$5,$D$6,$A22,2)</f>
        <v>-1.5</v>
      </c>
      <c r="C22" cm="1">
        <f t="array" ref="C22">uniform_load($B$1,$B$2,$B$3,$B$4,$D$5,$D$6,$A22,3)</f>
        <v>9.375</v>
      </c>
      <c r="D22" cm="1">
        <f t="array" ref="D22">uniform_load($B$1,$B$2,$B$3,$B$4,$D$5,$D$6,$A22,4)</f>
        <v>2.4484997760859826E-3</v>
      </c>
      <c r="E22" cm="1">
        <f t="array" ref="E22">uniform_load($B$1,$B$2,$B$3,$B$4,$D$5,$D$6,$A22,5)*12</f>
        <v>-0.1823830049261084</v>
      </c>
    </row>
    <row r="23" spans="1:5" x14ac:dyDescent="0.25">
      <c r="A23">
        <f t="shared" si="1"/>
        <v>7</v>
      </c>
      <c r="B23" cm="1">
        <f t="array" ref="B23">uniform_load($B$1,$B$2,$B$3,$B$4,$D$5,$D$6,$A23,2)</f>
        <v>-2</v>
      </c>
      <c r="C23" cm="1">
        <f t="array" ref="C23">uniform_load($B$1,$B$2,$B$3,$B$4,$D$5,$D$6,$A23,3)</f>
        <v>8.5</v>
      </c>
      <c r="D23" cm="1">
        <f t="array" ref="D23">uniform_load($B$1,$B$2,$B$3,$B$4,$D$5,$D$6,$A23,4)</f>
        <v>3.1706224809673082E-3</v>
      </c>
      <c r="E23" cm="1">
        <f t="array" ref="E23">uniform_load($B$1,$B$2,$B$3,$B$4,$D$5,$D$6,$A23,5)*12</f>
        <v>-0.16549037169726827</v>
      </c>
    </row>
    <row r="24" spans="1:5" x14ac:dyDescent="0.25">
      <c r="A24">
        <f t="shared" si="1"/>
        <v>7.5</v>
      </c>
      <c r="B24" cm="1">
        <f t="array" ref="B24">uniform_load($B$1,$B$2,$B$3,$B$4,$D$5,$D$6,$A24,2)</f>
        <v>-2.5</v>
      </c>
      <c r="C24" cm="1">
        <f t="array" ref="C24">uniform_load($B$1,$B$2,$B$3,$B$4,$D$5,$D$6,$A24,3)</f>
        <v>7.375</v>
      </c>
      <c r="D24" cm="1">
        <f t="array" ref="D24">uniform_load($B$1,$B$2,$B$3,$B$4,$D$5,$D$6,$A24,4)</f>
        <v>3.8121361397223464E-3</v>
      </c>
      <c r="E24" cm="1">
        <f t="array" ref="E24">uniform_load($B$1,$B$2,$B$3,$B$4,$D$5,$D$6,$A24,5)*12</f>
        <v>-0.14449675324675326</v>
      </c>
    </row>
    <row r="25" spans="1:5" x14ac:dyDescent="0.25">
      <c r="A25">
        <f t="shared" si="1"/>
        <v>8</v>
      </c>
      <c r="B25" cm="1">
        <f t="array" ref="B25">uniform_load($B$1,$B$2,$B$3,$B$4,$D$5,$D$6,$A25,2)</f>
        <v>-3</v>
      </c>
      <c r="C25" cm="1">
        <f t="array" ref="C25">uniform_load($B$1,$B$2,$B$3,$B$4,$D$5,$D$6,$A25,3)</f>
        <v>6</v>
      </c>
      <c r="D25" cm="1">
        <f t="array" ref="D25">uniform_load($B$1,$B$2,$B$3,$B$4,$D$5,$D$6,$A25,4)</f>
        <v>4.3528884908195248E-3</v>
      </c>
      <c r="E25" cm="1">
        <f t="array" ref="E25">uniform_load($B$1,$B$2,$B$3,$B$4,$D$5,$D$6,$A25,5)*12</f>
        <v>-0.11994626063591582</v>
      </c>
    </row>
    <row r="26" spans="1:5" x14ac:dyDescent="0.25">
      <c r="A26">
        <f t="shared" si="1"/>
        <v>8.5</v>
      </c>
      <c r="B26" cm="1">
        <f t="array" ref="B26">uniform_load($B$1,$B$2,$B$3,$B$4,$D$5,$D$6,$A26,2)</f>
        <v>-3</v>
      </c>
      <c r="C26" cm="1">
        <f t="array" ref="C26">uniform_load($B$1,$B$2,$B$3,$B$4,$D$5,$D$6,$A26,3)</f>
        <v>4.5</v>
      </c>
      <c r="D26" cm="1">
        <f t="array" ref="D26">uniform_load($B$1,$B$2,$B$3,$B$4,$D$5,$D$6,$A26,4)</f>
        <v>4.7760859829825341E-3</v>
      </c>
      <c r="E26" cm="1">
        <f t="array" ref="E26">uniform_load($B$1,$B$2,$B$3,$B$4,$D$5,$D$6,$A26,5)*12</f>
        <v>-9.2498880429914915E-2</v>
      </c>
    </row>
    <row r="27" spans="1:5" x14ac:dyDescent="0.25">
      <c r="A27">
        <f t="shared" si="1"/>
        <v>9</v>
      </c>
      <c r="B27" cm="1">
        <f t="array" ref="B27">uniform_load($B$1,$B$2,$B$3,$B$4,$D$5,$D$6,$A27,2)</f>
        <v>-3</v>
      </c>
      <c r="C27" cm="1">
        <f t="array" ref="C27">uniform_load($B$1,$B$2,$B$3,$B$4,$D$5,$D$6,$A27,3)</f>
        <v>3</v>
      </c>
      <c r="D27" cm="1">
        <f t="array" ref="D27">uniform_load($B$1,$B$2,$B$3,$B$4,$D$5,$D$6,$A27,4)</f>
        <v>5.0783699059561123E-3</v>
      </c>
      <c r="E27" cm="1">
        <f t="array" ref="E27">uniform_load($B$1,$B$2,$B$3,$B$4,$D$5,$D$6,$A27,5)*12</f>
        <v>-6.2875055978504263E-2</v>
      </c>
    </row>
    <row r="28" spans="1:5" x14ac:dyDescent="0.25">
      <c r="A28">
        <f t="shared" si="1"/>
        <v>9.5</v>
      </c>
      <c r="B28" cm="1">
        <f t="array" ref="B28">uniform_load($B$1,$B$2,$B$3,$B$4,$D$5,$D$6,$A28,2)</f>
        <v>-3</v>
      </c>
      <c r="C28" cm="1">
        <f t="array" ref="C28">uniform_load($B$1,$B$2,$B$3,$B$4,$D$5,$D$6,$A28,3)</f>
        <v>1.5</v>
      </c>
      <c r="D28" cm="1">
        <f t="array" ref="D28">uniform_load($B$1,$B$2,$B$3,$B$4,$D$5,$D$6,$A28,4)</f>
        <v>5.2597402597402594E-3</v>
      </c>
      <c r="E28" cm="1">
        <f t="array" ref="E28">uniform_load($B$1,$B$2,$B$3,$B$4,$D$5,$D$6,$A28,5)*12</f>
        <v>-3.180026869682042E-2</v>
      </c>
    </row>
    <row r="29" spans="1:5" x14ac:dyDescent="0.25">
      <c r="A29">
        <f t="shared" si="1"/>
        <v>10</v>
      </c>
      <c r="B29" cm="1">
        <f t="array" ref="B29">uniform_load($B$1,$B$2,$B$3,$B$4,$D$5,$D$6,$A29,2)</f>
        <v>-3</v>
      </c>
      <c r="C29" cm="1">
        <f t="array" ref="C29">uniform_load($B$1,$B$2,$B$3,$B$4,$D$5,$D$6,$A29,3)</f>
        <v>0</v>
      </c>
      <c r="D29" cm="1">
        <f t="array" ref="D29">uniform_load($B$1,$B$2,$B$3,$B$4,$D$5,$D$6,$A29,4)</f>
        <v>5.3201970443349754E-3</v>
      </c>
      <c r="E29" cm="1">
        <f t="array" ref="E29">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2E852-06E3-406A-8EEE-22875D39107A}">
  <sheetPr codeName="Sheet4"/>
  <dimension ref="A1:M30"/>
  <sheetViews>
    <sheetView tabSelected="1" workbookViewId="0">
      <selection activeCell="D3" sqref="D3"/>
    </sheetView>
  </sheetViews>
  <sheetFormatPr defaultRowHeight="15" x14ac:dyDescent="0.25"/>
  <cols>
    <col min="3" max="3" width="15.42578125" customWidth="1"/>
    <col min="4" max="4" width="12" bestFit="1" customWidth="1"/>
  </cols>
  <sheetData>
    <row r="1" spans="1:13" x14ac:dyDescent="0.25">
      <c r="A1" t="s">
        <v>30</v>
      </c>
      <c r="B1" s="3">
        <v>0.25</v>
      </c>
      <c r="C1" t="s">
        <v>24</v>
      </c>
      <c r="G1" t="s">
        <v>16</v>
      </c>
      <c r="H1">
        <v>20</v>
      </c>
      <c r="K1" s="2" t="s">
        <v>18</v>
      </c>
      <c r="L1" cm="1">
        <f t="array" ref="L1">variable_load($B$1,$B$2,$B$3,$B$4,$B$5,$D$6,$D$7,$A10,6)</f>
        <v>-3.6840000000000015</v>
      </c>
      <c r="M1" t="s">
        <v>28</v>
      </c>
    </row>
    <row r="2" spans="1:13" x14ac:dyDescent="0.25">
      <c r="A2" t="s">
        <v>29</v>
      </c>
      <c r="B2" s="3">
        <v>1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variable_load($B$1,$B$2,$B$3,$B$4,$B$5,$D$6,$D$7,$A10,7)</f>
        <v>4.5659999999999981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variable_load($B$1,$B$2,$B$3,$B$4,$B$5,$D$6,$D$7,$A10,0)</f>
        <v>1.65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variable_load($B$1,$B$2,$B$3,$B$4,$B$5,$D$6,$D$7,$A10,1)</f>
        <v>2.1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variable_load($B$1,$B$2,$B$3,$B$4,$B$5,$D$6,$D$7,$A10,2)</f>
        <v>1.65</v>
      </c>
      <c r="C10" cm="1">
        <f t="array" ref="C10">variable_load($B$1,$B$2,$B$3,$B$4,$B$5,$D$6,$D$7,$A10,3)</f>
        <v>0</v>
      </c>
      <c r="D10" cm="1">
        <f t="array" ref="D10">variable_load($B$1,$B$2,$B$3,$B$4,$B$5,$D$6,$D$7,$A10,4)</f>
        <v>-3.2066278549037169E-3</v>
      </c>
      <c r="E10" cm="1">
        <f t="array" ref="E10">variable_load($B$1,$B$2,$B$3,$B$4,$B$5,$D$6,$D$7,$A10,5)*12</f>
        <v>0</v>
      </c>
    </row>
    <row r="11" spans="1:13" x14ac:dyDescent="0.25">
      <c r="A11">
        <f t="shared" ref="A11:A30" si="0">A10+$H$2</f>
        <v>0.5</v>
      </c>
      <c r="B11" cm="1">
        <f t="array" ref="B11">variable_load($B$1,$B$2,$B$3,$B$4,$B$5,$D$6,$D$7,$A11,2)</f>
        <v>1.65</v>
      </c>
      <c r="C11" cm="1">
        <f t="array" ref="C11">variable_load($B$1,$B$2,$B$3,$B$4,$B$5,$D$6,$D$7,$A11,3)</f>
        <v>0.82499999999999996</v>
      </c>
      <c r="D11" cm="1">
        <f t="array" ref="D11">variable_load($B$1,$B$2,$B$3,$B$4,$B$5,$D$6,$D$7,$A11,4)</f>
        <v>-3.1733766233766232E-3</v>
      </c>
      <c r="E11" cm="1">
        <f t="array" ref="E11">variable_load($B$1,$B$2,$B$3,$B$4,$B$5,$D$6,$D$7,$A11,5)*12</f>
        <v>-1.9173264666368116E-2</v>
      </c>
    </row>
    <row r="12" spans="1:13" x14ac:dyDescent="0.25">
      <c r="A12">
        <f t="shared" si="0"/>
        <v>1</v>
      </c>
      <c r="B12" cm="1">
        <f t="array" ref="B12">variable_load($B$1,$B$2,$B$3,$B$4,$B$5,$D$6,$D$7,$A12,2)</f>
        <v>1.65</v>
      </c>
      <c r="C12" cm="1">
        <f t="array" ref="C12">variable_load($B$1,$B$2,$B$3,$B$4,$B$5,$D$6,$D$7,$A12,3)</f>
        <v>1.65</v>
      </c>
      <c r="D12" cm="1">
        <f t="array" ref="D12">variable_load($B$1,$B$2,$B$3,$B$4,$B$5,$D$6,$D$7,$A12,4)</f>
        <v>-3.0736229287953425E-3</v>
      </c>
      <c r="E12" cm="1">
        <f t="array" ref="E12">variable_load($B$1,$B$2,$B$3,$B$4,$B$5,$D$6,$D$7,$A12,5)*12</f>
        <v>-3.7947514554411109E-2</v>
      </c>
    </row>
    <row r="13" spans="1:13" x14ac:dyDescent="0.25">
      <c r="A13">
        <f t="shared" si="0"/>
        <v>1.5</v>
      </c>
      <c r="B13" cm="1">
        <f t="array" ref="B13">variable_load($B$1,$B$2,$B$3,$B$4,$B$5,$D$6,$D$7,$A13,2)</f>
        <v>1.65</v>
      </c>
      <c r="C13" cm="1">
        <f t="array" ref="C13">variable_load($B$1,$B$2,$B$3,$B$4,$B$5,$D$6,$D$7,$A13,3)</f>
        <v>2.4749999999999996</v>
      </c>
      <c r="D13" cm="1">
        <f t="array" ref="D13">variable_load($B$1,$B$2,$B$3,$B$4,$B$5,$D$6,$D$7,$A13,4)</f>
        <v>-2.9073667711598744E-3</v>
      </c>
      <c r="E13" cm="1">
        <f t="array" ref="E13">variable_load($B$1,$B$2,$B$3,$B$4,$B$5,$D$6,$D$7,$A13,5)*12</f>
        <v>-5.592373488580385E-2</v>
      </c>
    </row>
    <row r="14" spans="1:13" x14ac:dyDescent="0.25">
      <c r="A14">
        <f t="shared" si="0"/>
        <v>2</v>
      </c>
      <c r="B14" cm="1">
        <f t="array" ref="B14">variable_load($B$1,$B$2,$B$3,$B$4,$B$5,$D$6,$D$7,$A14,2)</f>
        <v>1.65</v>
      </c>
      <c r="C14" cm="1">
        <f t="array" ref="C14">variable_load($B$1,$B$2,$B$3,$B$4,$B$5,$D$6,$D$7,$A14,3)</f>
        <v>3.3</v>
      </c>
      <c r="D14" cm="1">
        <f t="array" ref="D14">variable_load($B$1,$B$2,$B$3,$B$4,$B$5,$D$6,$D$7,$A14,4)</f>
        <v>-2.6746081504702194E-3</v>
      </c>
      <c r="E14" cm="1">
        <f t="array" ref="E14">variable_load($B$1,$B$2,$B$3,$B$4,$B$5,$D$6,$D$7,$A14,5)*12</f>
        <v>-7.2702910882221222E-2</v>
      </c>
    </row>
    <row r="15" spans="1:13" x14ac:dyDescent="0.25">
      <c r="A15">
        <f t="shared" si="0"/>
        <v>2.5</v>
      </c>
      <c r="B15" cm="1">
        <f t="array" ref="B15">variable_load($B$1,$B$2,$B$3,$B$4,$B$5,$D$6,$D$7,$A15,2)</f>
        <v>1.5093749999999999</v>
      </c>
      <c r="C15" cm="1">
        <f t="array" ref="C15">variable_load($B$1,$B$2,$B$3,$B$4,$B$5,$D$6,$D$7,$A15,3)</f>
        <v>4.091145833333333</v>
      </c>
      <c r="D15" cm="1">
        <f t="array" ref="D15">variable_load($B$1,$B$2,$B$3,$B$4,$B$5,$D$6,$D$7,$A15,4)</f>
        <v>-2.3762392241379309E-3</v>
      </c>
      <c r="E15" cm="1">
        <f t="array" ref="E15">variable_load($B$1,$B$2,$B$3,$B$4,$B$5,$D$6,$D$7,$A15,5)*12</f>
        <v>-8.7887350257501121E-2</v>
      </c>
    </row>
    <row r="16" spans="1:13" x14ac:dyDescent="0.25">
      <c r="A16">
        <f t="shared" si="0"/>
        <v>3</v>
      </c>
      <c r="B16" cm="1">
        <f t="array" ref="B16">variable_load($B$1,$B$2,$B$3,$B$4,$B$5,$D$6,$D$7,$A16,2)</f>
        <v>1.3374999999999999</v>
      </c>
      <c r="C16" cm="1">
        <f t="array" ref="C16">variable_load($B$1,$B$2,$B$3,$B$4,$B$5,$D$6,$D$7,$A16,3)</f>
        <v>4.8041666666666663</v>
      </c>
      <c r="D16" cm="1">
        <f t="array" ref="D16">variable_load($B$1,$B$2,$B$3,$B$4,$B$5,$D$6,$D$7,$A16,4)</f>
        <v>-2.017140618002687E-3</v>
      </c>
      <c r="E16" cm="1">
        <f t="array" ref="E16">variable_load($B$1,$B$2,$B$3,$B$4,$B$5,$D$6,$D$7,$A16,5)*12</f>
        <v>-0.10109623824451411</v>
      </c>
    </row>
    <row r="17" spans="1:5" x14ac:dyDescent="0.25">
      <c r="A17">
        <f t="shared" si="0"/>
        <v>3.5</v>
      </c>
      <c r="B17" cm="1">
        <f t="array" ref="B17">variable_load($B$1,$B$2,$B$3,$B$4,$B$5,$D$6,$D$7,$A17,2)</f>
        <v>1.1343749999999999</v>
      </c>
      <c r="C17" cm="1">
        <f t="array" ref="C17">variable_load($B$1,$B$2,$B$3,$B$4,$B$5,$D$6,$D$7,$A17,3)</f>
        <v>5.4234374999999995</v>
      </c>
      <c r="D17" cm="1">
        <f t="array" ref="D17">variable_load($B$1,$B$2,$B$3,$B$4,$B$5,$D$6,$D$7,$A17,4)</f>
        <v>-1.6042396719659652E-3</v>
      </c>
      <c r="E17" cm="1">
        <f t="array" ref="E17">variable_load($B$1,$B$2,$B$3,$B$4,$B$5,$D$6,$D$7,$A17,5)*12</f>
        <v>-0.11198534902597404</v>
      </c>
    </row>
    <row r="18" spans="1:5" x14ac:dyDescent="0.25">
      <c r="A18">
        <f t="shared" si="0"/>
        <v>4</v>
      </c>
      <c r="B18" cm="1">
        <f t="array" ref="B18">variable_load($B$1,$B$2,$B$3,$B$4,$B$5,$D$6,$D$7,$A18,2)</f>
        <v>0.89999999999999991</v>
      </c>
      <c r="C18" cm="1">
        <f t="array" ref="C18">variable_load($B$1,$B$2,$B$3,$B$4,$B$5,$D$6,$D$7,$A18,3)</f>
        <v>5.9333333333333327</v>
      </c>
      <c r="D18" cm="1">
        <f t="array" ref="D18">variable_load($B$1,$B$2,$B$3,$B$4,$B$5,$D$6,$D$7,$A18,4)</f>
        <v>-1.1457232422749665E-3</v>
      </c>
      <c r="E18" cm="1">
        <f t="array" ref="E18">variable_load($B$1,$B$2,$B$3,$B$4,$B$5,$D$6,$D$7,$A18,5)*12</f>
        <v>-0.12025579937304075</v>
      </c>
    </row>
    <row r="19" spans="1:5" x14ac:dyDescent="0.25">
      <c r="A19">
        <f t="shared" si="0"/>
        <v>4.5</v>
      </c>
      <c r="B19" cm="1">
        <f t="array" ref="B19">variable_load($B$1,$B$2,$B$3,$B$4,$B$5,$D$6,$D$7,$A19,2)</f>
        <v>0.63437499999999991</v>
      </c>
      <c r="C19" cm="1">
        <f t="array" ref="C19">variable_load($B$1,$B$2,$B$3,$B$4,$B$5,$D$6,$D$7,$A19,3)</f>
        <v>6.3182291666666659</v>
      </c>
      <c r="D19" cm="1">
        <f t="array" ref="D19">variable_load($B$1,$B$2,$B$3,$B$4,$B$5,$D$6,$D$7,$A19,4)</f>
        <v>-6.5103770152261553E-4</v>
      </c>
      <c r="E19" cm="1">
        <f t="array" ref="E19">variable_load($B$1,$B$2,$B$3,$B$4,$B$5,$D$6,$D$7,$A19,5)*12</f>
        <v>-0.12566160574339455</v>
      </c>
    </row>
    <row r="20" spans="1:5" x14ac:dyDescent="0.25">
      <c r="A20">
        <f t="shared" si="0"/>
        <v>5</v>
      </c>
      <c r="B20" cm="1">
        <f t="array" ref="B20">variable_load($B$1,$B$2,$B$3,$B$4,$B$5,$D$6,$D$7,$A20,2)</f>
        <v>0.33749999999999991</v>
      </c>
      <c r="C20" cm="1">
        <f t="array" ref="C20">variable_load($B$1,$B$2,$B$3,$B$4,$B$5,$D$6,$D$7,$A20,3)</f>
        <v>6.5625</v>
      </c>
      <c r="D20" cm="1">
        <f t="array" ref="D20">variable_load($B$1,$B$2,$B$3,$B$4,$B$5,$D$6,$D$7,$A20,4)</f>
        <v>-1.3088893864755959E-4</v>
      </c>
      <c r="E20" cm="1">
        <f t="array" ref="E20">variable_load($B$1,$B$2,$B$3,$B$4,$B$5,$D$6,$D$7,$A20,5)*12</f>
        <v>-0.12801724137931036</v>
      </c>
    </row>
    <row r="21" spans="1:5" x14ac:dyDescent="0.25">
      <c r="A21">
        <f t="shared" si="0"/>
        <v>5.5</v>
      </c>
      <c r="B21" cm="1">
        <f t="array" ref="B21">variable_load($B$1,$B$2,$B$3,$B$4,$B$5,$D$6,$D$7,$A21,2)</f>
        <v>9.3749999999999112E-3</v>
      </c>
      <c r="C21" cm="1">
        <f t="array" ref="C21">variable_load($B$1,$B$2,$B$3,$B$4,$B$5,$D$6,$D$7,$A21,3)</f>
        <v>6.6505208333333332</v>
      </c>
      <c r="D21" cm="1">
        <f t="array" ref="D21">variable_load($B$1,$B$2,$B$3,$B$4,$B$5,$D$6,$D$7,$A21,4)</f>
        <v>4.0275764106583042E-4</v>
      </c>
      <c r="E21" cm="1">
        <f t="array" ref="E21">variable_load($B$1,$B$2,$B$3,$B$4,$B$5,$D$6,$D$7,$A21,5)*12</f>
        <v>-0.12720519340573222</v>
      </c>
    </row>
    <row r="22" spans="1:5" x14ac:dyDescent="0.25">
      <c r="A22">
        <f t="shared" si="0"/>
        <v>6</v>
      </c>
      <c r="B22" cm="1">
        <f t="array" ref="B22">variable_load($B$1,$B$2,$B$3,$B$4,$B$5,$D$6,$D$7,$A22,2)</f>
        <v>-0.35000000000000009</v>
      </c>
      <c r="C22" cm="1">
        <f t="array" ref="C22">variable_load($B$1,$B$2,$B$3,$B$4,$B$5,$D$6,$D$7,$A22,3)</f>
        <v>6.5666666666666664</v>
      </c>
      <c r="D22" cm="1">
        <f t="array" ref="D22">variable_load($B$1,$B$2,$B$3,$B$4,$B$5,$D$6,$D$7,$A22,4)</f>
        <v>9.3667711598746043E-4</v>
      </c>
      <c r="E22" cm="1">
        <f t="array" ref="E22">variable_load($B$1,$B$2,$B$3,$B$4,$B$5,$D$6,$D$7,$A22,5)*12</f>
        <v>-0.12318351992834753</v>
      </c>
    </row>
    <row r="23" spans="1:5" x14ac:dyDescent="0.25">
      <c r="A23">
        <f t="shared" si="0"/>
        <v>6.5</v>
      </c>
      <c r="B23" cm="1">
        <f t="array" ref="B23">variable_load($B$1,$B$2,$B$3,$B$4,$B$5,$D$6,$D$7,$A23,2)</f>
        <v>-0.74062500000000009</v>
      </c>
      <c r="C23" cm="1">
        <f t="array" ref="C23">variable_load($B$1,$B$2,$B$3,$B$4,$B$5,$D$6,$D$7,$A23,3)</f>
        <v>6.2953124999999996</v>
      </c>
      <c r="D23" cm="1">
        <f t="array" ref="D23">variable_load($B$1,$B$2,$B$3,$B$4,$B$5,$D$6,$D$7,$A23,4)</f>
        <v>1.4563850481415133E-3</v>
      </c>
      <c r="E23" cm="1">
        <f t="array" ref="E23">variable_load($B$1,$B$2,$B$3,$B$4,$B$5,$D$6,$D$7,$A23,5)*12</f>
        <v>-0.11599340713166145</v>
      </c>
    </row>
    <row r="24" spans="1:5" x14ac:dyDescent="0.25">
      <c r="A24">
        <f t="shared" si="0"/>
        <v>7</v>
      </c>
      <c r="B24" cm="1">
        <f t="array" ref="B24">variable_load($B$1,$B$2,$B$3,$B$4,$B$5,$D$6,$D$7,$A24,2)</f>
        <v>-1.1625000000000001</v>
      </c>
      <c r="C24" cm="1">
        <f t="array" ref="C24">variable_load($B$1,$B$2,$B$3,$B$4,$B$5,$D$6,$D$7,$A24,3)</f>
        <v>5.8208333333333329</v>
      </c>
      <c r="D24" cm="1">
        <f t="array" ref="D24">variable_load($B$1,$B$2,$B$3,$B$4,$B$5,$D$6,$D$7,$A24,4)</f>
        <v>1.9461374832064483E-3</v>
      </c>
      <c r="E24" cm="1">
        <f t="array" ref="E24">variable_load($B$1,$B$2,$B$3,$B$4,$B$5,$D$6,$D$7,$A24,5)*12</f>
        <v>-0.10576672637707121</v>
      </c>
    </row>
    <row r="25" spans="1:5" x14ac:dyDescent="0.25">
      <c r="A25">
        <f t="shared" si="0"/>
        <v>7.5</v>
      </c>
      <c r="B25" cm="1">
        <f t="array" ref="B25">variable_load($B$1,$B$2,$B$3,$B$4,$B$5,$D$6,$D$7,$A25,2)</f>
        <v>-1.6156250000000001</v>
      </c>
      <c r="C25" cm="1">
        <f t="array" ref="C25">variable_load($B$1,$B$2,$B$3,$B$4,$B$5,$D$6,$D$7,$A25,3)</f>
        <v>5.1276041666666661</v>
      </c>
      <c r="D25" cm="1">
        <f t="array" ref="D25">variable_load($B$1,$B$2,$B$3,$B$4,$B$5,$D$6,$D$7,$A25,4)</f>
        <v>2.3889309505150018E-3</v>
      </c>
      <c r="E25" cm="1">
        <f t="array" ref="E25">variable_load($B$1,$B$2,$B$3,$B$4,$B$5,$D$6,$D$7,$A25,5)*12</f>
        <v>-9.2733591300940457E-2</v>
      </c>
    </row>
    <row r="26" spans="1:5" x14ac:dyDescent="0.25">
      <c r="A26">
        <f t="shared" si="0"/>
        <v>8</v>
      </c>
      <c r="B26" cm="1">
        <f t="array" ref="B26">variable_load($B$1,$B$2,$B$3,$B$4,$B$5,$D$6,$D$7,$A26,2)</f>
        <v>-2.1</v>
      </c>
      <c r="C26" cm="1">
        <f t="array" ref="C26">variable_load($B$1,$B$2,$B$3,$B$4,$B$5,$D$6,$D$7,$A26,3)</f>
        <v>4.1999999999999993</v>
      </c>
      <c r="D26" cm="1">
        <f t="array" ref="D26">variable_load($B$1,$B$2,$B$3,$B$4,$B$5,$D$6,$D$7,$A26,4)</f>
        <v>2.7665024630541867E-3</v>
      </c>
      <c r="E26" cm="1">
        <f t="array" ref="E26">variable_load($B$1,$B$2,$B$3,$B$4,$B$5,$D$6,$D$7,$A26,5)*12</f>
        <v>-7.7229914912673558E-2</v>
      </c>
    </row>
    <row r="27" spans="1:5" x14ac:dyDescent="0.25">
      <c r="A27">
        <f t="shared" si="0"/>
        <v>8.5</v>
      </c>
      <c r="B27" cm="1">
        <f t="array" ref="B27">variable_load($B$1,$B$2,$B$3,$B$4,$B$5,$D$6,$D$7,$A27,2)</f>
        <v>-2.1</v>
      </c>
      <c r="C27" cm="1">
        <f t="array" ref="C27">variable_load($B$1,$B$2,$B$3,$B$4,$B$5,$D$6,$D$7,$A27,3)</f>
        <v>3.1499999999999995</v>
      </c>
      <c r="D27" cm="1">
        <f t="array" ref="D27">variable_load($B$1,$B$2,$B$3,$B$4,$B$5,$D$6,$D$7,$A27,4)</f>
        <v>3.062740707568293E-3</v>
      </c>
      <c r="E27" cm="1">
        <f t="array" ref="E27">variable_load($B$1,$B$2,$B$3,$B$4,$B$5,$D$6,$D$7,$A27,5)*12</f>
        <v>-5.9699865651589801E-2</v>
      </c>
    </row>
    <row r="28" spans="1:5" x14ac:dyDescent="0.25">
      <c r="A28">
        <f t="shared" si="0"/>
        <v>9</v>
      </c>
      <c r="B28" cm="1">
        <f t="array" ref="B28">variable_load($B$1,$B$2,$B$3,$B$4,$B$5,$D$6,$D$7,$A28,2)</f>
        <v>-2.1</v>
      </c>
      <c r="C28" cm="1">
        <f t="array" ref="C28">variable_load($B$1,$B$2,$B$3,$B$4,$B$5,$D$6,$D$7,$A28,3)</f>
        <v>2.0999999999999992</v>
      </c>
      <c r="D28" cm="1">
        <f t="array" ref="D28">variable_load($B$1,$B$2,$B$3,$B$4,$B$5,$D$6,$D$7,$A28,4)</f>
        <v>3.2743394536497977E-3</v>
      </c>
      <c r="E28" cm="1">
        <f t="array" ref="E28">variable_load($B$1,$B$2,$B$3,$B$4,$B$5,$D$6,$D$7,$A28,5)*12</f>
        <v>-4.0646305418719227E-2</v>
      </c>
    </row>
    <row r="29" spans="1:5" x14ac:dyDescent="0.25">
      <c r="A29">
        <f t="shared" si="0"/>
        <v>9.5</v>
      </c>
      <c r="B29" cm="1">
        <f t="array" ref="B29">variable_load($B$1,$B$2,$B$3,$B$4,$B$5,$D$6,$D$7,$A29,2)</f>
        <v>-2.1</v>
      </c>
      <c r="C29" cm="1">
        <f t="array" ref="C29">variable_load($B$1,$B$2,$B$3,$B$4,$B$5,$D$6,$D$7,$A29,3)</f>
        <v>1.0499999999999992</v>
      </c>
      <c r="D29" cm="1">
        <f t="array" ref="D29">variable_load($B$1,$B$2,$B$3,$B$4,$B$5,$D$6,$D$7,$A29,4)</f>
        <v>3.4012987012987006E-3</v>
      </c>
      <c r="E29" cm="1">
        <f t="array" ref="E29">variable_load($B$1,$B$2,$B$3,$B$4,$B$5,$D$6,$D$7,$A29,5)*12</f>
        <v>-2.0577071204657436E-2</v>
      </c>
    </row>
    <row r="30" spans="1:5" x14ac:dyDescent="0.25">
      <c r="A30">
        <f t="shared" si="0"/>
        <v>10</v>
      </c>
      <c r="B30" cm="1">
        <f t="array" ref="B30">variable_load($B$1,$B$2,$B$3,$B$4,$B$5,$D$6,$D$7,$A30,2)</f>
        <v>-2.1</v>
      </c>
      <c r="C30" cm="1">
        <f t="array" ref="C30">variable_load($B$1,$B$2,$B$3,$B$4,$B$5,$D$6,$D$7,$A30,3)</f>
        <v>-8.8817841970012523E-16</v>
      </c>
      <c r="D30" cm="1">
        <f t="array" ref="D30">variable_load($B$1,$B$2,$B$3,$B$4,$B$5,$D$6,$D$7,$A30,4)</f>
        <v>3.4436184505150015E-3</v>
      </c>
      <c r="E30" cm="1">
        <f t="array" ref="E30">variable_load($B$1,$B$2,$B$3,$B$4,$B$5,$D$6,$D$7,$A30,5)*12</f>
        <v>-2.8566490865590236E-17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5581-F5EE-4161-8F5B-007327BD0903}">
  <sheetPr codeName="Sheet5"/>
  <dimension ref="A1:M28"/>
  <sheetViews>
    <sheetView workbookViewId="0">
      <selection activeCell="F7" sqref="F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2.0000000000000001E-4</v>
      </c>
      <c r="C1" t="s">
        <v>32</v>
      </c>
      <c r="D1">
        <f>B1/12</f>
        <v>1.6666666666666667E-5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cant_right_initialSlope($D$1,$B$3,$D$4,$D$5,$A8,6)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cant_right_initialSlope($D$1,$B$3,$D$4,$D$5,$A8,7)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cant_right_initialSlope($D$1,$B$3,$D$4,$D$5,$A8,2)</f>
        <v>0</v>
      </c>
      <c r="C8" cm="1">
        <f t="array" ref="C8">cant_right_initialSlope($D$1,$B$3,$D$4,$D$5,$A8,3)</f>
        <v>0</v>
      </c>
      <c r="D8" cm="1">
        <f t="array" ref="D8">cant_right_initialSlope($D$1,$B$3,$D$4,$D$5,$A8,4)</f>
        <v>1.6666666666666667E-5</v>
      </c>
      <c r="E8" cm="1">
        <f t="array" ref="E8">cant_right_initialSlope($D$1,$B$3,$D$4,$D$5,$A8,5)*12</f>
        <v>0</v>
      </c>
    </row>
    <row r="9" spans="1:13" x14ac:dyDescent="0.25">
      <c r="A9">
        <f>A8+$H$2</f>
        <v>0.5</v>
      </c>
      <c r="B9" cm="1">
        <f t="array" ref="B9">cant_right_initialSlope($D$1,$B$3,$D$4,$D$5,$A9,2)</f>
        <v>0</v>
      </c>
      <c r="C9" cm="1">
        <f t="array" ref="C9">cant_right_initialSlope($D$1,$B$3,$D$4,$D$5,$A9,3)</f>
        <v>0</v>
      </c>
      <c r="D9" cm="1">
        <f t="array" ref="D9">cant_right_initialSlope($D$1,$B$3,$D$4,$D$5,$A9,4)</f>
        <v>1.6666666666666667E-5</v>
      </c>
      <c r="E9" cm="1">
        <f t="array" ref="E9">cant_right_initialSlope($D$1,$B$3,$D$4,$D$5,$A9,5)*12</f>
        <v>1E-4</v>
      </c>
    </row>
    <row r="10" spans="1:13" x14ac:dyDescent="0.25">
      <c r="A10">
        <f t="shared" ref="A10:A28" si="0">A9+$H$2</f>
        <v>1</v>
      </c>
      <c r="B10" cm="1">
        <f t="array" ref="B10">cant_right_initialSlope($D$1,$B$3,$D$4,$D$5,$A10,2)</f>
        <v>0</v>
      </c>
      <c r="C10" cm="1">
        <f t="array" ref="C10">cant_right_initialSlope($D$1,$B$3,$D$4,$D$5,$A10,3)</f>
        <v>0</v>
      </c>
      <c r="D10" cm="1">
        <f t="array" ref="D10">cant_right_initialSlope($D$1,$B$3,$D$4,$D$5,$A10,4)</f>
        <v>1.6666666666666667E-5</v>
      </c>
      <c r="E10" cm="1">
        <f t="array" ref="E10">cant_right_initialSlope($D$1,$B$3,$D$4,$D$5,$A10,5)*12</f>
        <v>2.0000000000000001E-4</v>
      </c>
    </row>
    <row r="11" spans="1:13" x14ac:dyDescent="0.25">
      <c r="A11">
        <f t="shared" si="0"/>
        <v>1.5</v>
      </c>
      <c r="B11" cm="1">
        <f t="array" ref="B11">cant_right_initialSlope($D$1,$B$3,$D$4,$D$5,$A11,2)</f>
        <v>0</v>
      </c>
      <c r="C11" cm="1">
        <f t="array" ref="C11">cant_right_initialSlope($D$1,$B$3,$D$4,$D$5,$A11,3)</f>
        <v>0</v>
      </c>
      <c r="D11" cm="1">
        <f t="array" ref="D11">cant_right_initialSlope($D$1,$B$3,$D$4,$D$5,$A11,4)</f>
        <v>1.6666666666666667E-5</v>
      </c>
      <c r="E11" cm="1">
        <f t="array" ref="E11">cant_right_initialSlope($D$1,$B$3,$D$4,$D$5,$A11,5)*12</f>
        <v>3.0000000000000003E-4</v>
      </c>
    </row>
    <row r="12" spans="1:13" x14ac:dyDescent="0.25">
      <c r="A12">
        <f t="shared" si="0"/>
        <v>2</v>
      </c>
      <c r="B12" cm="1">
        <f t="array" ref="B12">cant_right_initialSlope($D$1,$B$3,$D$4,$D$5,$A12,2)</f>
        <v>0</v>
      </c>
      <c r="C12" cm="1">
        <f t="array" ref="C12">cant_right_initialSlope($D$1,$B$3,$D$4,$D$5,$A12,3)</f>
        <v>0</v>
      </c>
      <c r="D12" cm="1">
        <f t="array" ref="D12">cant_right_initialSlope($D$1,$B$3,$D$4,$D$5,$A12,4)</f>
        <v>1.6666666666666667E-5</v>
      </c>
      <c r="E12" cm="1">
        <f t="array" ref="E12">cant_right_initialSlope($D$1,$B$3,$D$4,$D$5,$A12,5)*12</f>
        <v>4.0000000000000002E-4</v>
      </c>
    </row>
    <row r="13" spans="1:13" x14ac:dyDescent="0.25">
      <c r="A13">
        <f t="shared" si="0"/>
        <v>2.5</v>
      </c>
      <c r="B13" cm="1">
        <f t="array" ref="B13">cant_right_initialSlope($D$1,$B$3,$D$4,$D$5,$A13,2)</f>
        <v>0</v>
      </c>
      <c r="C13" cm="1">
        <f t="array" ref="C13">cant_right_initialSlope($D$1,$B$3,$D$4,$D$5,$A13,3)</f>
        <v>0</v>
      </c>
      <c r="D13" cm="1">
        <f t="array" ref="D13">cant_right_initialSlope($D$1,$B$3,$D$4,$D$5,$A13,4)</f>
        <v>1.6666666666666667E-5</v>
      </c>
      <c r="E13" cm="1">
        <f t="array" ref="E13">cant_right_initialSlope($D$1,$B$3,$D$4,$D$5,$A13,5)*12</f>
        <v>5.0000000000000001E-4</v>
      </c>
    </row>
    <row r="14" spans="1:13" x14ac:dyDescent="0.25">
      <c r="A14">
        <f t="shared" si="0"/>
        <v>3</v>
      </c>
      <c r="B14" cm="1">
        <f t="array" ref="B14">cant_right_initialSlope($D$1,$B$3,$D$4,$D$5,$A14,2)</f>
        <v>0</v>
      </c>
      <c r="C14" cm="1">
        <f t="array" ref="C14">cant_right_initialSlope($D$1,$B$3,$D$4,$D$5,$A14,3)</f>
        <v>0</v>
      </c>
      <c r="D14" cm="1">
        <f t="array" ref="D14">cant_right_initialSlope($D$1,$B$3,$D$4,$D$5,$A14,4)</f>
        <v>1.6666666666666667E-5</v>
      </c>
      <c r="E14" cm="1">
        <f t="array" ref="E14">cant_right_initialSlope($D$1,$B$3,$D$4,$D$5,$A14,5)*12</f>
        <v>6.0000000000000006E-4</v>
      </c>
    </row>
    <row r="15" spans="1:13" x14ac:dyDescent="0.25">
      <c r="A15">
        <f t="shared" si="0"/>
        <v>3.5</v>
      </c>
      <c r="B15" cm="1">
        <f t="array" ref="B15">cant_right_initialSlope($D$1,$B$3,$D$4,$D$5,$A15,2)</f>
        <v>0</v>
      </c>
      <c r="C15" cm="1">
        <f t="array" ref="C15">cant_right_initialSlope($D$1,$B$3,$D$4,$D$5,$A15,3)</f>
        <v>0</v>
      </c>
      <c r="D15" cm="1">
        <f t="array" ref="D15">cant_right_initialSlope($D$1,$B$3,$D$4,$D$5,$A15,4)</f>
        <v>1.6666666666666667E-5</v>
      </c>
      <c r="E15" cm="1">
        <f t="array" ref="E15">cant_right_initialSlope($D$1,$B$3,$D$4,$D$5,$A15,5)*12</f>
        <v>6.9999999999999999E-4</v>
      </c>
    </row>
    <row r="16" spans="1:13" x14ac:dyDescent="0.25">
      <c r="A16">
        <f t="shared" si="0"/>
        <v>4</v>
      </c>
      <c r="B16" cm="1">
        <f t="array" ref="B16">cant_right_initialSlope($D$1,$B$3,$D$4,$D$5,$A16,2)</f>
        <v>0</v>
      </c>
      <c r="C16" cm="1">
        <f t="array" ref="C16">cant_right_initialSlope($D$1,$B$3,$D$4,$D$5,$A16,3)</f>
        <v>0</v>
      </c>
      <c r="D16" cm="1">
        <f t="array" ref="D16">cant_right_initialSlope($D$1,$B$3,$D$4,$D$5,$A16,4)</f>
        <v>1.6666666666666667E-5</v>
      </c>
      <c r="E16" cm="1">
        <f t="array" ref="E16">cant_right_initialSlope($D$1,$B$3,$D$4,$D$5,$A16,5)*12</f>
        <v>8.0000000000000004E-4</v>
      </c>
    </row>
    <row r="17" spans="1:5" x14ac:dyDescent="0.25">
      <c r="A17">
        <f t="shared" si="0"/>
        <v>4.5</v>
      </c>
      <c r="B17" cm="1">
        <f t="array" ref="B17">cant_right_initialSlope($D$1,$B$3,$D$4,$D$5,$A17,2)</f>
        <v>0</v>
      </c>
      <c r="C17" cm="1">
        <f t="array" ref="C17">cant_right_initialSlope($D$1,$B$3,$D$4,$D$5,$A17,3)</f>
        <v>0</v>
      </c>
      <c r="D17" cm="1">
        <f t="array" ref="D17">cant_right_initialSlope($D$1,$B$3,$D$4,$D$5,$A17,4)</f>
        <v>1.6666666666666667E-5</v>
      </c>
      <c r="E17" cm="1">
        <f t="array" ref="E17">cant_right_initialSlope($D$1,$B$3,$D$4,$D$5,$A17,5)*12</f>
        <v>9.0000000000000008E-4</v>
      </c>
    </row>
    <row r="18" spans="1:5" x14ac:dyDescent="0.25">
      <c r="A18">
        <f t="shared" si="0"/>
        <v>5</v>
      </c>
      <c r="B18" cm="1">
        <f t="array" ref="B18">cant_right_initialSlope($D$1,$B$3,$D$4,$D$5,$A18,2)</f>
        <v>0</v>
      </c>
      <c r="C18" cm="1">
        <f t="array" ref="C18">cant_right_initialSlope($D$1,$B$3,$D$4,$D$5,$A18,3)</f>
        <v>0</v>
      </c>
      <c r="D18" cm="1">
        <f t="array" ref="D18">cant_right_initialSlope($D$1,$B$3,$D$4,$D$5,$A18,4)</f>
        <v>1.6666666666666667E-5</v>
      </c>
      <c r="E18" cm="1">
        <f t="array" ref="E18">cant_right_initialSlope($D$1,$B$3,$D$4,$D$5,$A18,5)*12</f>
        <v>1E-3</v>
      </c>
    </row>
    <row r="19" spans="1:5" x14ac:dyDescent="0.25">
      <c r="A19">
        <f t="shared" si="0"/>
        <v>5.5</v>
      </c>
      <c r="B19" cm="1">
        <f t="array" ref="B19">cant_right_initialSlope($D$1,$B$3,$D$4,$D$5,$A19,2)</f>
        <v>0</v>
      </c>
      <c r="C19" cm="1">
        <f t="array" ref="C19">cant_right_initialSlope($D$1,$B$3,$D$4,$D$5,$A19,3)</f>
        <v>0</v>
      </c>
      <c r="D19" cm="1">
        <f t="array" ref="D19">cant_right_initialSlope($D$1,$B$3,$D$4,$D$5,$A19,4)</f>
        <v>1.6666666666666667E-5</v>
      </c>
      <c r="E19" cm="1">
        <f t="array" ref="E19">cant_right_initialSlope($D$1,$B$3,$D$4,$D$5,$A19,5)*12</f>
        <v>1.1000000000000001E-3</v>
      </c>
    </row>
    <row r="20" spans="1:5" x14ac:dyDescent="0.25">
      <c r="A20">
        <f t="shared" si="0"/>
        <v>6</v>
      </c>
      <c r="B20" cm="1">
        <f t="array" ref="B20">cant_right_initialSlope($D$1,$B$3,$D$4,$D$5,$A20,2)</f>
        <v>0</v>
      </c>
      <c r="C20" cm="1">
        <f t="array" ref="C20">cant_right_initialSlope($D$1,$B$3,$D$4,$D$5,$A20,3)</f>
        <v>0</v>
      </c>
      <c r="D20" cm="1">
        <f t="array" ref="D20">cant_right_initialSlope($D$1,$B$3,$D$4,$D$5,$A20,4)</f>
        <v>1.6666666666666667E-5</v>
      </c>
      <c r="E20" cm="1">
        <f t="array" ref="E20">cant_right_initialSlope($D$1,$B$3,$D$4,$D$5,$A20,5)*12</f>
        <v>1.2000000000000001E-3</v>
      </c>
    </row>
    <row r="21" spans="1:5" x14ac:dyDescent="0.25">
      <c r="A21">
        <f t="shared" si="0"/>
        <v>6.5</v>
      </c>
      <c r="B21" cm="1">
        <f t="array" ref="B21">cant_right_initialSlope($D$1,$B$3,$D$4,$D$5,$A21,2)</f>
        <v>0</v>
      </c>
      <c r="C21" cm="1">
        <f t="array" ref="C21">cant_right_initialSlope($D$1,$B$3,$D$4,$D$5,$A21,3)</f>
        <v>0</v>
      </c>
      <c r="D21" cm="1">
        <f t="array" ref="D21">cant_right_initialSlope($D$1,$B$3,$D$4,$D$5,$A21,4)</f>
        <v>1.6666666666666667E-5</v>
      </c>
      <c r="E21" cm="1">
        <f t="array" ref="E21">cant_right_initialSlope($D$1,$B$3,$D$4,$D$5,$A21,5)*12</f>
        <v>1.3000000000000002E-3</v>
      </c>
    </row>
    <row r="22" spans="1:5" x14ac:dyDescent="0.25">
      <c r="A22">
        <f t="shared" si="0"/>
        <v>7</v>
      </c>
      <c r="B22" cm="1">
        <f t="array" ref="B22">cant_right_initialSlope($D$1,$B$3,$D$4,$D$5,$A22,2)</f>
        <v>0</v>
      </c>
      <c r="C22" cm="1">
        <f t="array" ref="C22">cant_right_initialSlope($D$1,$B$3,$D$4,$D$5,$A22,3)</f>
        <v>0</v>
      </c>
      <c r="D22" cm="1">
        <f t="array" ref="D22">cant_right_initialSlope($D$1,$B$3,$D$4,$D$5,$A22,4)</f>
        <v>1.6666666666666667E-5</v>
      </c>
      <c r="E22" cm="1">
        <f t="array" ref="E22">cant_right_initialSlope($D$1,$B$3,$D$4,$D$5,$A22,5)*12</f>
        <v>1.4E-3</v>
      </c>
    </row>
    <row r="23" spans="1:5" x14ac:dyDescent="0.25">
      <c r="A23">
        <f t="shared" si="0"/>
        <v>7.5</v>
      </c>
      <c r="B23" cm="1">
        <f t="array" ref="B23">cant_right_initialSlope($D$1,$B$3,$D$4,$D$5,$A23,2)</f>
        <v>0</v>
      </c>
      <c r="C23" cm="1">
        <f t="array" ref="C23">cant_right_initialSlope($D$1,$B$3,$D$4,$D$5,$A23,3)</f>
        <v>0</v>
      </c>
      <c r="D23" cm="1">
        <f t="array" ref="D23">cant_right_initialSlope($D$1,$B$3,$D$4,$D$5,$A23,4)</f>
        <v>1.6666666666666667E-5</v>
      </c>
      <c r="E23" cm="1">
        <f t="array" ref="E23">cant_right_initialSlope($D$1,$B$3,$D$4,$D$5,$A23,5)*12</f>
        <v>1.5E-3</v>
      </c>
    </row>
    <row r="24" spans="1:5" x14ac:dyDescent="0.25">
      <c r="A24">
        <f t="shared" si="0"/>
        <v>8</v>
      </c>
      <c r="B24" cm="1">
        <f t="array" ref="B24">cant_right_initialSlope($D$1,$B$3,$D$4,$D$5,$A24,2)</f>
        <v>0</v>
      </c>
      <c r="C24" cm="1">
        <f t="array" ref="C24">cant_right_initialSlope($D$1,$B$3,$D$4,$D$5,$A24,3)</f>
        <v>0</v>
      </c>
      <c r="D24" cm="1">
        <f t="array" ref="D24">cant_right_initialSlope($D$1,$B$3,$D$4,$D$5,$A24,4)</f>
        <v>1.6666666666666667E-5</v>
      </c>
      <c r="E24" cm="1">
        <f t="array" ref="E24">cant_right_initialSlope($D$1,$B$3,$D$4,$D$5,$A24,5)*12</f>
        <v>1.6000000000000001E-3</v>
      </c>
    </row>
    <row r="25" spans="1:5" x14ac:dyDescent="0.25">
      <c r="A25">
        <f t="shared" si="0"/>
        <v>8.5</v>
      </c>
      <c r="B25" cm="1">
        <f t="array" ref="B25">cant_right_initialSlope($D$1,$B$3,$D$4,$D$5,$A25,2)</f>
        <v>0</v>
      </c>
      <c r="C25" cm="1">
        <f t="array" ref="C25">cant_right_initialSlope($D$1,$B$3,$D$4,$D$5,$A25,3)</f>
        <v>0</v>
      </c>
      <c r="D25" cm="1">
        <f t="array" ref="D25">cant_right_initialSlope($D$1,$B$3,$D$4,$D$5,$A25,4)</f>
        <v>1.6666666666666667E-5</v>
      </c>
      <c r="E25" cm="1">
        <f t="array" ref="E25">cant_right_initialSlope($D$1,$B$3,$D$4,$D$5,$A25,5)*12</f>
        <v>1.7000000000000001E-3</v>
      </c>
    </row>
    <row r="26" spans="1:5" x14ac:dyDescent="0.25">
      <c r="A26">
        <f t="shared" si="0"/>
        <v>9</v>
      </c>
      <c r="B26" cm="1">
        <f t="array" ref="B26">cant_right_initialSlope($D$1,$B$3,$D$4,$D$5,$A26,2)</f>
        <v>0</v>
      </c>
      <c r="C26" cm="1">
        <f t="array" ref="C26">cant_right_initialSlope($D$1,$B$3,$D$4,$D$5,$A26,3)</f>
        <v>0</v>
      </c>
      <c r="D26" cm="1">
        <f t="array" ref="D26">cant_right_initialSlope($D$1,$B$3,$D$4,$D$5,$A26,4)</f>
        <v>1.6666666666666667E-5</v>
      </c>
      <c r="E26" cm="1">
        <f t="array" ref="E26">cant_right_initialSlope($D$1,$B$3,$D$4,$D$5,$A26,5)*12</f>
        <v>1.8000000000000002E-3</v>
      </c>
    </row>
    <row r="27" spans="1:5" x14ac:dyDescent="0.25">
      <c r="A27">
        <f t="shared" si="0"/>
        <v>9.5</v>
      </c>
      <c r="B27" cm="1">
        <f t="array" ref="B27">cant_right_initialSlope($D$1,$B$3,$D$4,$D$5,$A27,2)</f>
        <v>0</v>
      </c>
      <c r="C27" cm="1">
        <f t="array" ref="C27">cant_right_initialSlope($D$1,$B$3,$D$4,$D$5,$A27,3)</f>
        <v>0</v>
      </c>
      <c r="D27" cm="1">
        <f t="array" ref="D27">cant_right_initialSlope($D$1,$B$3,$D$4,$D$5,$A27,4)</f>
        <v>1.6666666666666667E-5</v>
      </c>
      <c r="E27" cm="1">
        <f t="array" ref="E27">cant_right_initialSlope($D$1,$B$3,$D$4,$D$5,$A27,5)*12</f>
        <v>1.9000000000000002E-3</v>
      </c>
    </row>
    <row r="28" spans="1:5" x14ac:dyDescent="0.25">
      <c r="A28">
        <f t="shared" si="0"/>
        <v>10</v>
      </c>
      <c r="B28" cm="1">
        <f t="array" ref="B28">cant_right_initialSlope($D$1,$B$3,$D$4,$D$5,$A28,2)</f>
        <v>0</v>
      </c>
      <c r="C28" cm="1">
        <f t="array" ref="C28">cant_right_initialSlope($D$1,$B$3,$D$4,$D$5,$A28,3)</f>
        <v>0</v>
      </c>
      <c r="D28" cm="1">
        <f t="array" ref="D28">cant_right_initialSlope($D$1,$B$3,$D$4,$D$5,$A28,4)</f>
        <v>1.6666666666666667E-5</v>
      </c>
      <c r="E28" cm="1">
        <f t="array" ref="E28">cant_right_initialSlope($D$1,$B$3,$D$4,$D$5,$A28,5)*12</f>
        <v>2E-3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872D-A4F8-4323-B5F5-36E0DF7F2762}">
  <sheetPr codeName="Sheet6"/>
  <dimension ref="A1:M28"/>
  <sheetViews>
    <sheetView workbookViewId="0">
      <selection activeCell="B3" sqref="B3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cant_right_point_load($B$1,$B$2,$B$3,$D$4,$D$5,$A8,6)</f>
        <v>-5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cant_right_point_load($B$1,$B$2,$B$3,$D$4,$D$5,$A8,7)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cant_right_point_load($B$1,$B$2,$B$3,$D$4,$D$5,$A8,0)</f>
        <v>1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cant_right_point_load($B$1,$B$2,$B$3,$D$4,$D$5,$A8,1)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cant_right_point_load($B$1,$B$2,$B$3,$D$4,$D$5,$A8,2)</f>
        <v>1</v>
      </c>
      <c r="C8" cm="1">
        <f t="array" ref="C8">cant_right_point_load($B$1,$B$2,$B$3,$D$4,$D$5,$A8,3)</f>
        <v>-5</v>
      </c>
      <c r="D8" cm="1">
        <f t="array" ref="D8">cant_right_point_load($B$1,$B$2,$B$3,$D$4,$D$5,$A8,4)</f>
        <v>0</v>
      </c>
      <c r="E8" cm="1">
        <f t="array" ref="E8">cant_right_point_load($B$1,$B$2,$B$3,$D$4,$D$5,$A8,5)*12</f>
        <v>0</v>
      </c>
    </row>
    <row r="9" spans="1:13" x14ac:dyDescent="0.25">
      <c r="A9">
        <f>A8+$H$2</f>
        <v>0.5</v>
      </c>
      <c r="B9" cm="1">
        <f t="array" ref="B9">cant_right_point_load($B$1,$B$2,$B$3,$D$4,$D$5,$A9,2)</f>
        <v>1</v>
      </c>
      <c r="C9" cm="1">
        <f t="array" ref="C9">cant_right_point_load($B$1,$B$2,$B$3,$D$4,$D$5,$A9,3)</f>
        <v>-4.5</v>
      </c>
      <c r="D9" cm="1">
        <f t="array" ref="D9">cant_right_point_load($B$1,$B$2,$B$3,$D$4,$D$5,$A9,4)</f>
        <v>-3.8289296909986564E-4</v>
      </c>
      <c r="E9" cm="1">
        <f t="array" ref="E9">cant_right_point_load($B$1,$B$2,$B$3,$D$4,$D$5,$A9,5)*12</f>
        <v>-1.1688311688311686E-3</v>
      </c>
    </row>
    <row r="10" spans="1:13" x14ac:dyDescent="0.25">
      <c r="A10">
        <f t="shared" ref="A10:A28" si="0">A9+$H$2</f>
        <v>1</v>
      </c>
      <c r="B10" cm="1">
        <f t="array" ref="B10">cant_right_point_load($B$1,$B$2,$B$3,$D$4,$D$5,$A10,2)</f>
        <v>1</v>
      </c>
      <c r="C10" cm="1">
        <f t="array" ref="C10">cant_right_point_load($B$1,$B$2,$B$3,$D$4,$D$5,$A10,3)</f>
        <v>-4</v>
      </c>
      <c r="D10" cm="1">
        <f t="array" ref="D10">cant_right_point_load($B$1,$B$2,$B$3,$D$4,$D$5,$A10,4)</f>
        <v>-7.2548141513658747E-4</v>
      </c>
      <c r="E10" cm="1">
        <f t="array" ref="E10">cant_right_point_load($B$1,$B$2,$B$3,$D$4,$D$5,$A10,5)*12</f>
        <v>-4.5141065830720997E-3</v>
      </c>
    </row>
    <row r="11" spans="1:13" x14ac:dyDescent="0.25">
      <c r="A11">
        <f t="shared" si="0"/>
        <v>1.5</v>
      </c>
      <c r="B11" cm="1">
        <f t="array" ref="B11">cant_right_point_load($B$1,$B$2,$B$3,$D$4,$D$5,$A11,2)</f>
        <v>1</v>
      </c>
      <c r="C11" cm="1">
        <f t="array" ref="C11">cant_right_point_load($B$1,$B$2,$B$3,$D$4,$D$5,$A11,3)</f>
        <v>-3.5</v>
      </c>
      <c r="D11" cm="1">
        <f t="array" ref="D11">cant_right_point_load($B$1,$B$2,$B$3,$D$4,$D$5,$A11,4)</f>
        <v>-1.0277653381101657E-3</v>
      </c>
      <c r="E11" cm="1">
        <f t="array" ref="E11">cant_right_point_load($B$1,$B$2,$B$3,$D$4,$D$5,$A11,5)*12</f>
        <v>-9.7939991043439305E-3</v>
      </c>
    </row>
    <row r="12" spans="1:13" x14ac:dyDescent="0.25">
      <c r="A12">
        <f t="shared" si="0"/>
        <v>2</v>
      </c>
      <c r="B12" cm="1">
        <f t="array" ref="B12">cant_right_point_load($B$1,$B$2,$B$3,$D$4,$D$5,$A12,2)</f>
        <v>1</v>
      </c>
      <c r="C12" cm="1">
        <f t="array" ref="C12">cant_right_point_load($B$1,$B$2,$B$3,$D$4,$D$5,$A12,3)</f>
        <v>-3</v>
      </c>
      <c r="D12" cm="1">
        <f t="array" ref="D12">cant_right_point_load($B$1,$B$2,$B$3,$D$4,$D$5,$A12,4)</f>
        <v>-1.2897447380205999E-3</v>
      </c>
      <c r="E12" cm="1">
        <f t="array" ref="E12">cant_right_point_load($B$1,$B$2,$B$3,$D$4,$D$5,$A12,5)*12</f>
        <v>-1.67666815942678E-2</v>
      </c>
    </row>
    <row r="13" spans="1:13" x14ac:dyDescent="0.25">
      <c r="A13">
        <f t="shared" si="0"/>
        <v>2.5</v>
      </c>
      <c r="B13" cm="1">
        <f t="array" ref="B13">cant_right_point_load($B$1,$B$2,$B$3,$D$4,$D$5,$A13,2)</f>
        <v>1</v>
      </c>
      <c r="C13" cm="1">
        <f t="array" ref="C13">cant_right_point_load($B$1,$B$2,$B$3,$D$4,$D$5,$A13,3)</f>
        <v>-2.5</v>
      </c>
      <c r="D13" cm="1">
        <f t="array" ref="D13">cant_right_point_load($B$1,$B$2,$B$3,$D$4,$D$5,$A13,4)</f>
        <v>-1.5114196148678905E-3</v>
      </c>
      <c r="E13" cm="1">
        <f t="array" ref="E13">cant_right_point_load($B$1,$B$2,$B$3,$D$4,$D$5,$A13,5)*12</f>
        <v>-2.5190326914464843E-2</v>
      </c>
    </row>
    <row r="14" spans="1:13" x14ac:dyDescent="0.25">
      <c r="A14">
        <f t="shared" si="0"/>
        <v>3</v>
      </c>
      <c r="B14" cm="1">
        <f t="array" ref="B14">cant_right_point_load($B$1,$B$2,$B$3,$D$4,$D$5,$A14,2)</f>
        <v>1</v>
      </c>
      <c r="C14" cm="1">
        <f t="array" ref="C14">cant_right_point_load($B$1,$B$2,$B$3,$D$4,$D$5,$A14,3)</f>
        <v>-2</v>
      </c>
      <c r="D14" cm="1">
        <f t="array" ref="D14">cant_right_point_load($B$1,$B$2,$B$3,$D$4,$D$5,$A14,4)</f>
        <v>-1.6927899686520376E-3</v>
      </c>
      <c r="E14" cm="1">
        <f t="array" ref="E14">cant_right_point_load($B$1,$B$2,$B$3,$D$4,$D$5,$A14,5)*12</f>
        <v>-3.4823107926556199E-2</v>
      </c>
    </row>
    <row r="15" spans="1:13" x14ac:dyDescent="0.25">
      <c r="A15">
        <f t="shared" si="0"/>
        <v>3.5</v>
      </c>
      <c r="B15" cm="1">
        <f t="array" ref="B15">cant_right_point_load($B$1,$B$2,$B$3,$D$4,$D$5,$A15,2)</f>
        <v>1</v>
      </c>
      <c r="C15" cm="1">
        <f t="array" ref="C15">cant_right_point_load($B$1,$B$2,$B$3,$D$4,$D$5,$A15,3)</f>
        <v>-1.5</v>
      </c>
      <c r="D15" cm="1">
        <f t="array" ref="D15">cant_right_point_load($B$1,$B$2,$B$3,$D$4,$D$5,$A15,4)</f>
        <v>-1.8338557993730405E-3</v>
      </c>
      <c r="E15" cm="1">
        <f t="array" ref="E15">cant_right_point_load($B$1,$B$2,$B$3,$D$4,$D$5,$A15,5)*12</f>
        <v>-4.542319749216301E-2</v>
      </c>
    </row>
    <row r="16" spans="1:13" x14ac:dyDescent="0.25">
      <c r="A16">
        <f t="shared" si="0"/>
        <v>4</v>
      </c>
      <c r="B16" cm="1">
        <f t="array" ref="B16">cant_right_point_load($B$1,$B$2,$B$3,$D$4,$D$5,$A16,2)</f>
        <v>1</v>
      </c>
      <c r="C16" cm="1">
        <f t="array" ref="C16">cant_right_point_load($B$1,$B$2,$B$3,$D$4,$D$5,$A16,3)</f>
        <v>-1</v>
      </c>
      <c r="D16" cm="1">
        <f t="array" ref="D16">cant_right_point_load($B$1,$B$2,$B$3,$D$4,$D$5,$A16,4)</f>
        <v>-1.9346171070309E-3</v>
      </c>
      <c r="E16" cm="1">
        <f t="array" ref="E16">cant_right_point_load($B$1,$B$2,$B$3,$D$4,$D$5,$A16,5)*12</f>
        <v>-5.67487684729064E-2</v>
      </c>
    </row>
    <row r="17" spans="1:5" x14ac:dyDescent="0.25">
      <c r="A17">
        <f t="shared" si="0"/>
        <v>4.5</v>
      </c>
      <c r="B17" cm="1">
        <f t="array" ref="B17">cant_right_point_load($B$1,$B$2,$B$3,$D$4,$D$5,$A17,2)</f>
        <v>1</v>
      </c>
      <c r="C17" cm="1">
        <f t="array" ref="C17">cant_right_point_load($B$1,$B$2,$B$3,$D$4,$D$5,$A17,3)</f>
        <v>-0.5</v>
      </c>
      <c r="D17" cm="1">
        <f t="array" ref="D17">cant_right_point_load($B$1,$B$2,$B$3,$D$4,$D$5,$A17,4)</f>
        <v>-1.9950738916256158E-3</v>
      </c>
      <c r="E17" cm="1">
        <f t="array" ref="E17">cant_right_point_load($B$1,$B$2,$B$3,$D$4,$D$5,$A17,5)*12</f>
        <v>-6.8557993730407524E-2</v>
      </c>
    </row>
    <row r="18" spans="1:5" x14ac:dyDescent="0.25">
      <c r="A18">
        <f t="shared" si="0"/>
        <v>5</v>
      </c>
      <c r="B18" cm="1">
        <f t="array" ref="B18">cant_right_point_load($B$1,$B$2,$B$3,$D$4,$D$5,$A18,2)</f>
        <v>1</v>
      </c>
      <c r="C18" cm="1">
        <f t="array" ref="C18">cant_right_point_load($B$1,$B$2,$B$3,$D$4,$D$5,$A18,3)</f>
        <v>0</v>
      </c>
      <c r="D18" cm="1">
        <f t="array" ref="D18">cant_right_point_load($B$1,$B$2,$B$3,$D$4,$D$5,$A18,4)</f>
        <v>-2.0152261531571876E-3</v>
      </c>
      <c r="E18" cm="1">
        <f t="array" ref="E18">cant_right_point_load($B$1,$B$2,$B$3,$D$4,$D$5,$A18,5)*12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cant_right_point_load($B$1,$B$2,$B$3,$D$4,$D$5,$A19,2)</f>
        <v>0</v>
      </c>
      <c r="C19" cm="1">
        <f t="array" ref="C19">cant_right_point_load($B$1,$B$2,$B$3,$D$4,$D$5,$A19,3)</f>
        <v>0</v>
      </c>
      <c r="D19" cm="1">
        <f t="array" ref="D19">cant_right_point_load($B$1,$B$2,$B$3,$D$4,$D$5,$A19,4)</f>
        <v>-2.0152261531571876E-3</v>
      </c>
      <c r="E19" cm="1">
        <f t="array" ref="E19">cant_right_point_load($B$1,$B$2,$B$3,$D$4,$D$5,$A19,5)*12</f>
        <v>-9.2700403045230639E-2</v>
      </c>
    </row>
    <row r="20" spans="1:5" x14ac:dyDescent="0.25">
      <c r="A20">
        <f t="shared" si="0"/>
        <v>6</v>
      </c>
      <c r="B20" cm="1">
        <f t="array" ref="B20">cant_right_point_load($B$1,$B$2,$B$3,$D$4,$D$5,$A20,2)</f>
        <v>0</v>
      </c>
      <c r="C20" cm="1">
        <f t="array" ref="C20">cant_right_point_load($B$1,$B$2,$B$3,$D$4,$D$5,$A20,3)</f>
        <v>0</v>
      </c>
      <c r="D20" cm="1">
        <f t="array" ref="D20">cant_right_point_load($B$1,$B$2,$B$3,$D$4,$D$5,$A20,4)</f>
        <v>-2.0152261531571876E-3</v>
      </c>
      <c r="E20" cm="1">
        <f t="array" ref="E20">cant_right_point_load($B$1,$B$2,$B$3,$D$4,$D$5,$A20,5)*12</f>
        <v>-0.10479175996417375</v>
      </c>
    </row>
    <row r="21" spans="1:5" x14ac:dyDescent="0.25">
      <c r="A21">
        <f t="shared" si="0"/>
        <v>6.5</v>
      </c>
      <c r="B21" cm="1">
        <f t="array" ref="B21">cant_right_point_load($B$1,$B$2,$B$3,$D$4,$D$5,$A21,2)</f>
        <v>0</v>
      </c>
      <c r="C21" cm="1">
        <f t="array" ref="C21">cant_right_point_load($B$1,$B$2,$B$3,$D$4,$D$5,$A21,3)</f>
        <v>0</v>
      </c>
      <c r="D21" cm="1">
        <f t="array" ref="D21">cant_right_point_load($B$1,$B$2,$B$3,$D$4,$D$5,$A21,4)</f>
        <v>-2.0152261531571876E-3</v>
      </c>
      <c r="E21" cm="1">
        <f t="array" ref="E21">cant_right_point_load($B$1,$B$2,$B$3,$D$4,$D$5,$A21,5)*12</f>
        <v>-0.11688311688311688</v>
      </c>
    </row>
    <row r="22" spans="1:5" x14ac:dyDescent="0.25">
      <c r="A22">
        <f t="shared" si="0"/>
        <v>7</v>
      </c>
      <c r="B22" cm="1">
        <f t="array" ref="B22">cant_right_point_load($B$1,$B$2,$B$3,$D$4,$D$5,$A22,2)</f>
        <v>0</v>
      </c>
      <c r="C22" cm="1">
        <f t="array" ref="C22">cant_right_point_load($B$1,$B$2,$B$3,$D$4,$D$5,$A22,3)</f>
        <v>0</v>
      </c>
      <c r="D22" cm="1">
        <f t="array" ref="D22">cant_right_point_load($B$1,$B$2,$B$3,$D$4,$D$5,$A22,4)</f>
        <v>-2.0152261531571876E-3</v>
      </c>
      <c r="E22" cm="1">
        <f t="array" ref="E22">cant_right_point_load($B$1,$B$2,$B$3,$D$4,$D$5,$A22,5)*12</f>
        <v>-0.12897447380206001</v>
      </c>
    </row>
    <row r="23" spans="1:5" x14ac:dyDescent="0.25">
      <c r="A23">
        <f t="shared" si="0"/>
        <v>7.5</v>
      </c>
      <c r="B23" cm="1">
        <f t="array" ref="B23">cant_right_point_load($B$1,$B$2,$B$3,$D$4,$D$5,$A23,2)</f>
        <v>0</v>
      </c>
      <c r="C23" cm="1">
        <f t="array" ref="C23">cant_right_point_load($B$1,$B$2,$B$3,$D$4,$D$5,$A23,3)</f>
        <v>0</v>
      </c>
      <c r="D23" cm="1">
        <f t="array" ref="D23">cant_right_point_load($B$1,$B$2,$B$3,$D$4,$D$5,$A23,4)</f>
        <v>-2.0152261531571876E-3</v>
      </c>
      <c r="E23" cm="1">
        <f t="array" ref="E23">cant_right_point_load($B$1,$B$2,$B$3,$D$4,$D$5,$A23,5)*12</f>
        <v>-0.14106583072100315</v>
      </c>
    </row>
    <row r="24" spans="1:5" x14ac:dyDescent="0.25">
      <c r="A24">
        <f t="shared" si="0"/>
        <v>8</v>
      </c>
      <c r="B24" cm="1">
        <f t="array" ref="B24">cant_right_point_load($B$1,$B$2,$B$3,$D$4,$D$5,$A24,2)</f>
        <v>0</v>
      </c>
      <c r="C24" cm="1">
        <f t="array" ref="C24">cant_right_point_load($B$1,$B$2,$B$3,$D$4,$D$5,$A24,3)</f>
        <v>0</v>
      </c>
      <c r="D24" cm="1">
        <f t="array" ref="D24">cant_right_point_load($B$1,$B$2,$B$3,$D$4,$D$5,$A24,4)</f>
        <v>-2.0152261531571876E-3</v>
      </c>
      <c r="E24" cm="1">
        <f t="array" ref="E24">cant_right_point_load($B$1,$B$2,$B$3,$D$4,$D$5,$A24,5)*12</f>
        <v>-0.15315718763994626</v>
      </c>
    </row>
    <row r="25" spans="1:5" x14ac:dyDescent="0.25">
      <c r="A25">
        <f t="shared" si="0"/>
        <v>8.5</v>
      </c>
      <c r="B25" cm="1">
        <f t="array" ref="B25">cant_right_point_load($B$1,$B$2,$B$3,$D$4,$D$5,$A25,2)</f>
        <v>0</v>
      </c>
      <c r="C25" cm="1">
        <f t="array" ref="C25">cant_right_point_load($B$1,$B$2,$B$3,$D$4,$D$5,$A25,3)</f>
        <v>0</v>
      </c>
      <c r="D25" cm="1">
        <f t="array" ref="D25">cant_right_point_load($B$1,$B$2,$B$3,$D$4,$D$5,$A25,4)</f>
        <v>-2.0152261531571876E-3</v>
      </c>
      <c r="E25" cm="1">
        <f t="array" ref="E25">cant_right_point_load($B$1,$B$2,$B$3,$D$4,$D$5,$A25,5)*12</f>
        <v>-0.16524854455888938</v>
      </c>
    </row>
    <row r="26" spans="1:5" x14ac:dyDescent="0.25">
      <c r="A26">
        <f t="shared" si="0"/>
        <v>9</v>
      </c>
      <c r="B26" cm="1">
        <f t="array" ref="B26">cant_right_point_load($B$1,$B$2,$B$3,$D$4,$D$5,$A26,2)</f>
        <v>0</v>
      </c>
      <c r="C26" cm="1">
        <f t="array" ref="C26">cant_right_point_load($B$1,$B$2,$B$3,$D$4,$D$5,$A26,3)</f>
        <v>0</v>
      </c>
      <c r="D26" cm="1">
        <f t="array" ref="D26">cant_right_point_load($B$1,$B$2,$B$3,$D$4,$D$5,$A26,4)</f>
        <v>-2.0152261531571876E-3</v>
      </c>
      <c r="E26" cm="1">
        <f t="array" ref="E26">cant_right_point_load($B$1,$B$2,$B$3,$D$4,$D$5,$A26,5)*12</f>
        <v>-0.17733990147783252</v>
      </c>
    </row>
    <row r="27" spans="1:5" x14ac:dyDescent="0.25">
      <c r="A27">
        <f t="shared" si="0"/>
        <v>9.5</v>
      </c>
      <c r="B27" cm="1">
        <f t="array" ref="B27">cant_right_point_load($B$1,$B$2,$B$3,$D$4,$D$5,$A27,2)</f>
        <v>0</v>
      </c>
      <c r="C27" cm="1">
        <f t="array" ref="C27">cant_right_point_load($B$1,$B$2,$B$3,$D$4,$D$5,$A27,3)</f>
        <v>0</v>
      </c>
      <c r="D27" cm="1">
        <f t="array" ref="D27">cant_right_point_load($B$1,$B$2,$B$3,$D$4,$D$5,$A27,4)</f>
        <v>-2.0152261531571876E-3</v>
      </c>
      <c r="E27" cm="1">
        <f t="array" ref="E27">cant_right_point_load($B$1,$B$2,$B$3,$D$4,$D$5,$A27,5)*12</f>
        <v>-0.18943125839677566</v>
      </c>
    </row>
    <row r="28" spans="1:5" x14ac:dyDescent="0.25">
      <c r="A28">
        <f t="shared" si="0"/>
        <v>10</v>
      </c>
      <c r="B28" cm="1">
        <f t="array" ref="B28">cant_right_point_load($B$1,$B$2,$B$3,$D$4,$D$5,$A28,2)</f>
        <v>0</v>
      </c>
      <c r="C28" cm="1">
        <f t="array" ref="C28">cant_right_point_load($B$1,$B$2,$B$3,$D$4,$D$5,$A28,3)</f>
        <v>0</v>
      </c>
      <c r="D28" cm="1">
        <f t="array" ref="D28">cant_right_point_load($B$1,$B$2,$B$3,$D$4,$D$5,$A28,4)</f>
        <v>-2.0152261531571876E-3</v>
      </c>
      <c r="E28" cm="1">
        <f t="array" ref="E28">cant_right_point_load($B$1,$B$2,$B$3,$D$4,$D$5,$A28,5)*12</f>
        <v>-0.2015226153157188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C4D6-D74E-475F-A4D1-4F75A0539269}">
  <sheetPr codeName="Sheet7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cant_right_point_moment($B$1,$B$2,$B$3,$D$4,$D$5,$A8,6)</f>
        <v>-1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cant_right_point_moment($B$1,$B$2,$B$3,$D$4,$D$5,$A8,7)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cant_right_point_moment($B$1,$B$2,$B$3,$D$4,$D$5,$A8,0)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cant_right_point_moment($B$1,$B$2,$B$3,$D$4,$D$5,$A8,1)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cant_right_point_moment($B$1,$B$2,$B$3,$D$4,$D$5,$A8,2)</f>
        <v>0</v>
      </c>
      <c r="C8" cm="1">
        <f t="array" ref="C8">cant_right_point_moment($B$1,$B$2,$B$3,$D$4,$D$5,$A8,3)</f>
        <v>-1</v>
      </c>
      <c r="D8" cm="1">
        <f t="array" ref="D8">cant_right_point_moment($B$1,$B$2,$B$3,$D$4,$D$5,$A8,4)</f>
        <v>0</v>
      </c>
      <c r="E8" cm="1">
        <f t="array" ref="E8">cant_right_point_moment($B$1,$B$2,$B$3,$D$4,$D$5,$A8,5)*12</f>
        <v>0</v>
      </c>
    </row>
    <row r="9" spans="1:13" x14ac:dyDescent="0.25">
      <c r="A9">
        <f>A8+$H$2</f>
        <v>0.5</v>
      </c>
      <c r="B9" cm="1">
        <f t="array" ref="B9">cant_right_point_moment($B$1,$B$2,$B$3,$D$4,$D$5,$A9,2)</f>
        <v>0</v>
      </c>
      <c r="C9" cm="1">
        <f t="array" ref="C9">cant_right_point_moment($B$1,$B$2,$B$3,$D$4,$D$5,$A9,3)</f>
        <v>-1</v>
      </c>
      <c r="D9" cm="1">
        <f t="array" ref="D9">cant_right_point_moment($B$1,$B$2,$B$3,$D$4,$D$5,$A9,4)</f>
        <v>-8.0609046126287496E-5</v>
      </c>
      <c r="E9" cm="1">
        <f t="array" ref="E9">cant_right_point_moment($B$1,$B$2,$B$3,$D$4,$D$5,$A9,5)*12</f>
        <v>-2.4182713837886247E-4</v>
      </c>
    </row>
    <row r="10" spans="1:13" x14ac:dyDescent="0.25">
      <c r="A10">
        <f t="shared" ref="A10:A12" si="0">A9+$H$2</f>
        <v>1</v>
      </c>
      <c r="B10" cm="1">
        <f t="array" ref="B10">cant_right_point_moment($B$1,$B$2,$B$3,$D$4,$D$5,$A10,2)</f>
        <v>0</v>
      </c>
      <c r="C10" cm="1">
        <f t="array" ref="C10">cant_right_point_moment($B$1,$B$2,$B$3,$D$4,$D$5,$A10,3)</f>
        <v>-1</v>
      </c>
      <c r="D10" cm="1">
        <f t="array" ref="D10">cant_right_point_moment($B$1,$B$2,$B$3,$D$4,$D$5,$A10,4)</f>
        <v>-1.6121809225257499E-4</v>
      </c>
      <c r="E10" cm="1">
        <f t="array" ref="E10">cant_right_point_moment($B$1,$B$2,$B$3,$D$4,$D$5,$A10,5)*12</f>
        <v>-9.6730855351544989E-4</v>
      </c>
    </row>
    <row r="11" spans="1:13" x14ac:dyDescent="0.25">
      <c r="A11">
        <f t="shared" si="0"/>
        <v>1.5</v>
      </c>
      <c r="B11" cm="1">
        <f t="array" ref="B11">cant_right_point_moment($B$1,$B$2,$B$3,$D$4,$D$5,$A11,2)</f>
        <v>0</v>
      </c>
      <c r="C11" cm="1">
        <f t="array" ref="C11">cant_right_point_moment($B$1,$B$2,$B$3,$D$4,$D$5,$A11,3)</f>
        <v>-1</v>
      </c>
      <c r="D11" cm="1">
        <f t="array" ref="D11">cant_right_point_moment($B$1,$B$2,$B$3,$D$4,$D$5,$A11,4)</f>
        <v>-2.418271383788625E-4</v>
      </c>
      <c r="E11" cm="1">
        <f t="array" ref="E11">cant_right_point_moment($B$1,$B$2,$B$3,$D$4,$D$5,$A11,5)*12</f>
        <v>-2.1764442454097624E-3</v>
      </c>
    </row>
    <row r="12" spans="1:13" x14ac:dyDescent="0.25">
      <c r="A12">
        <f t="shared" si="0"/>
        <v>2</v>
      </c>
      <c r="B12" cm="1">
        <f t="array" ref="B12">cant_right_point_moment($B$1,$B$2,$B$3,$D$4,$D$5,$A12,2)</f>
        <v>0</v>
      </c>
      <c r="C12" cm="1">
        <f t="array" ref="C12">cant_right_point_moment($B$1,$B$2,$B$3,$D$4,$D$5,$A12,3)</f>
        <v>-1</v>
      </c>
      <c r="D12" cm="1">
        <f t="array" ref="D12">cant_right_point_moment($B$1,$B$2,$B$3,$D$4,$D$5,$A12,4)</f>
        <v>-3.2243618450514998E-4</v>
      </c>
      <c r="E12" cm="1">
        <f t="array" ref="E12">cant_right_point_moment($B$1,$B$2,$B$3,$D$4,$D$5,$A12,5)*12</f>
        <v>-3.8692342140617996E-3</v>
      </c>
    </row>
    <row r="13" spans="1:13" x14ac:dyDescent="0.25">
      <c r="A13">
        <f>A12+$H$2</f>
        <v>2.5</v>
      </c>
      <c r="B13" cm="1">
        <f t="array" ref="B13">cant_right_point_moment($B$1,$B$2,$B$3,$D$4,$D$5,$A13,2)</f>
        <v>0</v>
      </c>
      <c r="C13" cm="1">
        <f t="array" ref="C13">cant_right_point_moment($B$1,$B$2,$B$3,$D$4,$D$5,$A13,3)</f>
        <v>-1</v>
      </c>
      <c r="D13" cm="1">
        <f t="array" ref="D13">cant_right_point_moment($B$1,$B$2,$B$3,$D$4,$D$5,$A13,4)</f>
        <v>-4.0304523063143749E-4</v>
      </c>
      <c r="E13" cm="1">
        <f t="array" ref="E13">cant_right_point_moment($B$1,$B$2,$B$3,$D$4,$D$5,$A13,5)*12</f>
        <v>-6.0456784594715629E-3</v>
      </c>
    </row>
    <row r="14" spans="1:13" x14ac:dyDescent="0.25">
      <c r="A14">
        <f>A13+$H$2</f>
        <v>3</v>
      </c>
      <c r="B14" cm="1">
        <f t="array" ref="B14">cant_right_point_moment($B$1,$B$2,$B$3,$D$4,$D$5,$A14,2)</f>
        <v>0</v>
      </c>
      <c r="C14" cm="1">
        <f t="array" ref="C14">cant_right_point_moment($B$1,$B$2,$B$3,$D$4,$D$5,$A14,3)</f>
        <v>-1</v>
      </c>
      <c r="D14" cm="1">
        <f t="array" ref="D14">cant_right_point_moment($B$1,$B$2,$B$3,$D$4,$D$5,$A14,4)</f>
        <v>-4.83654276757725E-4</v>
      </c>
      <c r="E14" cm="1">
        <f t="array" ref="E14">cant_right_point_moment($B$1,$B$2,$B$3,$D$4,$D$5,$A14,5)*12</f>
        <v>-8.7057769816390497E-3</v>
      </c>
    </row>
    <row r="15" spans="1:13" x14ac:dyDescent="0.25">
      <c r="A15">
        <f>A14+$H$2</f>
        <v>3.5</v>
      </c>
      <c r="B15" cm="1">
        <f t="array" ref="B15">cant_right_point_moment($B$1,$B$2,$B$3,$D$4,$D$5,$A15,2)</f>
        <v>0</v>
      </c>
      <c r="C15" cm="1">
        <f t="array" ref="C15">cant_right_point_moment($B$1,$B$2,$B$3,$D$4,$D$5,$A15,3)</f>
        <v>-1</v>
      </c>
      <c r="D15" cm="1">
        <f t="array" ref="D15">cant_right_point_moment($B$1,$B$2,$B$3,$D$4,$D$5,$A15,4)</f>
        <v>-5.6426332288401246E-4</v>
      </c>
      <c r="E15" cm="1">
        <f t="array" ref="E15">cant_right_point_moment($B$1,$B$2,$B$3,$D$4,$D$5,$A15,5)*12</f>
        <v>-1.1849529780564264E-2</v>
      </c>
    </row>
    <row r="16" spans="1:13" x14ac:dyDescent="0.25">
      <c r="A16">
        <f>A15+$H$2</f>
        <v>4</v>
      </c>
      <c r="B16" cm="1">
        <f t="array" ref="B16">cant_right_point_moment($B$1,$B$2,$B$3,$D$4,$D$5,$A16,2)</f>
        <v>0</v>
      </c>
      <c r="C16" cm="1">
        <f t="array" ref="C16">cant_right_point_moment($B$1,$B$2,$B$3,$D$4,$D$5,$A16,3)</f>
        <v>-1</v>
      </c>
      <c r="D16" cm="1">
        <f t="array" ref="D16">cant_right_point_moment($B$1,$B$2,$B$3,$D$4,$D$5,$A16,4)</f>
        <v>-6.4487236901029997E-4</v>
      </c>
      <c r="E16" cm="1">
        <f t="array" ref="E16">cant_right_point_moment($B$1,$B$2,$B$3,$D$4,$D$5,$A16,5)*12</f>
        <v>-1.5476936856247198E-2</v>
      </c>
    </row>
    <row r="17" spans="1:5" x14ac:dyDescent="0.25">
      <c r="A17">
        <f t="shared" ref="A17:A28" si="1">A16+$H$2</f>
        <v>4.5</v>
      </c>
      <c r="B17" cm="1">
        <f t="array" ref="B17">cant_right_point_moment($B$1,$B$2,$B$3,$D$4,$D$5,$A17,2)</f>
        <v>0</v>
      </c>
      <c r="C17" cm="1">
        <f t="array" ref="C17">cant_right_point_moment($B$1,$B$2,$B$3,$D$4,$D$5,$A17,3)</f>
        <v>-1</v>
      </c>
      <c r="D17" cm="1">
        <f t="array" ref="D17">cant_right_point_moment($B$1,$B$2,$B$3,$D$4,$D$5,$A17,4)</f>
        <v>-7.2548141513658747E-4</v>
      </c>
      <c r="E17" cm="1">
        <f t="array" ref="E17">cant_right_point_moment($B$1,$B$2,$B$3,$D$4,$D$5,$A17,5)*12</f>
        <v>-1.9587998208687861E-2</v>
      </c>
    </row>
    <row r="18" spans="1:5" x14ac:dyDescent="0.25">
      <c r="A18">
        <f t="shared" si="1"/>
        <v>5</v>
      </c>
      <c r="B18" cm="1">
        <f t="array" ref="B18">cant_right_point_moment($B$1,$B$2,$B$3,$D$4,$D$5,$A18,2)</f>
        <v>0</v>
      </c>
      <c r="C18" cm="1">
        <f t="array" ref="C18">cant_right_point_moment($B$1,$B$2,$B$3,$D$4,$D$5,$A18,3)</f>
        <v>-1</v>
      </c>
      <c r="D18" cm="1">
        <f t="array" ref="D18">cant_right_point_moment($B$1,$B$2,$B$3,$D$4,$D$5,$A18,4)</f>
        <v>-8.0609046126287498E-4</v>
      </c>
      <c r="E18" cm="1">
        <f t="array" ref="E18">cant_right_point_moment($B$1,$B$2,$B$3,$D$4,$D$5,$A18,5)*12</f>
        <v>-2.4182713837886251E-2</v>
      </c>
    </row>
    <row r="19" spans="1:5" x14ac:dyDescent="0.25">
      <c r="A19">
        <f t="shared" si="1"/>
        <v>5.5</v>
      </c>
      <c r="B19" cm="1">
        <f t="array" ref="B19">cant_right_point_moment($B$1,$B$2,$B$3,$D$4,$D$5,$A19,2)</f>
        <v>0</v>
      </c>
      <c r="C19" cm="1">
        <f t="array" ref="C19">cant_right_point_moment($B$1,$B$2,$B$3,$D$4,$D$5,$A19,3)</f>
        <v>0</v>
      </c>
      <c r="D19" cm="1">
        <f t="array" ref="D19">cant_right_point_moment($B$1,$B$2,$B$3,$D$4,$D$5,$A19,4)</f>
        <v>-8.0609046126287498E-4</v>
      </c>
      <c r="E19" cm="1">
        <f t="array" ref="E19">cant_right_point_moment($B$1,$B$2,$B$3,$D$4,$D$5,$A19,5)*12</f>
        <v>-2.9019256605463499E-2</v>
      </c>
    </row>
    <row r="20" spans="1:5" x14ac:dyDescent="0.25">
      <c r="A20">
        <f t="shared" si="1"/>
        <v>6</v>
      </c>
      <c r="B20" cm="1">
        <f t="array" ref="B20">cant_right_point_moment($B$1,$B$2,$B$3,$D$4,$D$5,$A20,2)</f>
        <v>0</v>
      </c>
      <c r="C20" cm="1">
        <f t="array" ref="C20">cant_right_point_moment($B$1,$B$2,$B$3,$D$4,$D$5,$A20,3)</f>
        <v>0</v>
      </c>
      <c r="D20" cm="1">
        <f t="array" ref="D20">cant_right_point_moment($B$1,$B$2,$B$3,$D$4,$D$5,$A20,4)</f>
        <v>-8.0609046126287498E-4</v>
      </c>
      <c r="E20" cm="1">
        <f t="array" ref="E20">cant_right_point_moment($B$1,$B$2,$B$3,$D$4,$D$5,$A20,5)*12</f>
        <v>-3.385579937304075E-2</v>
      </c>
    </row>
    <row r="21" spans="1:5" x14ac:dyDescent="0.25">
      <c r="A21">
        <f t="shared" si="1"/>
        <v>6.5</v>
      </c>
      <c r="B21" cm="1">
        <f t="array" ref="B21">cant_right_point_moment($B$1,$B$2,$B$3,$D$4,$D$5,$A21,2)</f>
        <v>0</v>
      </c>
      <c r="C21" cm="1">
        <f t="array" ref="C21">cant_right_point_moment($B$1,$B$2,$B$3,$D$4,$D$5,$A21,3)</f>
        <v>0</v>
      </c>
      <c r="D21" cm="1">
        <f t="array" ref="D21">cant_right_point_moment($B$1,$B$2,$B$3,$D$4,$D$5,$A21,4)</f>
        <v>-8.0609046126287498E-4</v>
      </c>
      <c r="E21" cm="1">
        <f t="array" ref="E21">cant_right_point_moment($B$1,$B$2,$B$3,$D$4,$D$5,$A21,5)*12</f>
        <v>-3.8692342140618001E-2</v>
      </c>
    </row>
    <row r="22" spans="1:5" x14ac:dyDescent="0.25">
      <c r="A22">
        <f t="shared" si="1"/>
        <v>7</v>
      </c>
      <c r="B22" cm="1">
        <f t="array" ref="B22">cant_right_point_moment($B$1,$B$2,$B$3,$D$4,$D$5,$A22,2)</f>
        <v>0</v>
      </c>
      <c r="C22" cm="1">
        <f t="array" ref="C22">cant_right_point_moment($B$1,$B$2,$B$3,$D$4,$D$5,$A22,3)</f>
        <v>0</v>
      </c>
      <c r="D22" cm="1">
        <f t="array" ref="D22">cant_right_point_moment($B$1,$B$2,$B$3,$D$4,$D$5,$A22,4)</f>
        <v>-8.0609046126287498E-4</v>
      </c>
      <c r="E22" cm="1">
        <f t="array" ref="E22">cant_right_point_moment($B$1,$B$2,$B$3,$D$4,$D$5,$A22,5)*12</f>
        <v>-4.3528884908195252E-2</v>
      </c>
    </row>
    <row r="23" spans="1:5" x14ac:dyDescent="0.25">
      <c r="A23">
        <f t="shared" si="1"/>
        <v>7.5</v>
      </c>
      <c r="B23" cm="1">
        <f t="array" ref="B23">cant_right_point_moment($B$1,$B$2,$B$3,$D$4,$D$5,$A23,2)</f>
        <v>0</v>
      </c>
      <c r="C23" cm="1">
        <f t="array" ref="C23">cant_right_point_moment($B$1,$B$2,$B$3,$D$4,$D$5,$A23,3)</f>
        <v>0</v>
      </c>
      <c r="D23" cm="1">
        <f t="array" ref="D23">cant_right_point_moment($B$1,$B$2,$B$3,$D$4,$D$5,$A23,4)</f>
        <v>-8.0609046126287498E-4</v>
      </c>
      <c r="E23" cm="1">
        <f t="array" ref="E23">cant_right_point_moment($B$1,$B$2,$B$3,$D$4,$D$5,$A23,5)*12</f>
        <v>-4.8365427675772503E-2</v>
      </c>
    </row>
    <row r="24" spans="1:5" x14ac:dyDescent="0.25">
      <c r="A24">
        <f t="shared" si="1"/>
        <v>8</v>
      </c>
      <c r="B24" cm="1">
        <f t="array" ref="B24">cant_right_point_moment($B$1,$B$2,$B$3,$D$4,$D$5,$A24,2)</f>
        <v>0</v>
      </c>
      <c r="C24" cm="1">
        <f t="array" ref="C24">cant_right_point_moment($B$1,$B$2,$B$3,$D$4,$D$5,$A24,3)</f>
        <v>0</v>
      </c>
      <c r="D24" cm="1">
        <f t="array" ref="D24">cant_right_point_moment($B$1,$B$2,$B$3,$D$4,$D$5,$A24,4)</f>
        <v>-8.0609046126287498E-4</v>
      </c>
      <c r="E24" cm="1">
        <f t="array" ref="E24">cant_right_point_moment($B$1,$B$2,$B$3,$D$4,$D$5,$A24,5)*12</f>
        <v>-5.3201970443349747E-2</v>
      </c>
    </row>
    <row r="25" spans="1:5" x14ac:dyDescent="0.25">
      <c r="A25">
        <f t="shared" si="1"/>
        <v>8.5</v>
      </c>
      <c r="B25" cm="1">
        <f t="array" ref="B25">cant_right_point_moment($B$1,$B$2,$B$3,$D$4,$D$5,$A25,2)</f>
        <v>0</v>
      </c>
      <c r="C25" cm="1">
        <f t="array" ref="C25">cant_right_point_moment($B$1,$B$2,$B$3,$D$4,$D$5,$A25,3)</f>
        <v>0</v>
      </c>
      <c r="D25" cm="1">
        <f t="array" ref="D25">cant_right_point_moment($B$1,$B$2,$B$3,$D$4,$D$5,$A25,4)</f>
        <v>-8.0609046126287498E-4</v>
      </c>
      <c r="E25" cm="1">
        <f t="array" ref="E25">cant_right_point_moment($B$1,$B$2,$B$3,$D$4,$D$5,$A25,5)*12</f>
        <v>-5.8038513210926998E-2</v>
      </c>
    </row>
    <row r="26" spans="1:5" x14ac:dyDescent="0.25">
      <c r="A26">
        <f t="shared" si="1"/>
        <v>9</v>
      </c>
      <c r="B26" cm="1">
        <f t="array" ref="B26">cant_right_point_moment($B$1,$B$2,$B$3,$D$4,$D$5,$A26,2)</f>
        <v>0</v>
      </c>
      <c r="C26" cm="1">
        <f t="array" ref="C26">cant_right_point_moment($B$1,$B$2,$B$3,$D$4,$D$5,$A26,3)</f>
        <v>0</v>
      </c>
      <c r="D26" cm="1">
        <f t="array" ref="D26">cant_right_point_moment($B$1,$B$2,$B$3,$D$4,$D$5,$A26,4)</f>
        <v>-8.0609046126287498E-4</v>
      </c>
      <c r="E26" cm="1">
        <f t="array" ref="E26">cant_right_point_moment($B$1,$B$2,$B$3,$D$4,$D$5,$A26,5)*12</f>
        <v>-6.2875055978504263E-2</v>
      </c>
    </row>
    <row r="27" spans="1:5" x14ac:dyDescent="0.25">
      <c r="A27">
        <f t="shared" si="1"/>
        <v>9.5</v>
      </c>
      <c r="B27" cm="1">
        <f t="array" ref="B27">cant_right_point_moment($B$1,$B$2,$B$3,$D$4,$D$5,$A27,2)</f>
        <v>0</v>
      </c>
      <c r="C27" cm="1">
        <f t="array" ref="C27">cant_right_point_moment($B$1,$B$2,$B$3,$D$4,$D$5,$A27,3)</f>
        <v>0</v>
      </c>
      <c r="D27" cm="1">
        <f t="array" ref="D27">cant_right_point_moment($B$1,$B$2,$B$3,$D$4,$D$5,$A27,4)</f>
        <v>-8.0609046126287498E-4</v>
      </c>
      <c r="E27" cm="1">
        <f t="array" ref="E27">cant_right_point_moment($B$1,$B$2,$B$3,$D$4,$D$5,$A27,5)*12</f>
        <v>-6.77115987460815E-2</v>
      </c>
    </row>
    <row r="28" spans="1:5" x14ac:dyDescent="0.25">
      <c r="A28">
        <f t="shared" si="1"/>
        <v>10</v>
      </c>
      <c r="B28" cm="1">
        <f t="array" ref="B28">cant_right_point_moment($B$1,$B$2,$B$3,$D$4,$D$5,$A28,2)</f>
        <v>0</v>
      </c>
      <c r="C28" cm="1">
        <f t="array" ref="C28">cant_right_point_moment($B$1,$B$2,$B$3,$D$4,$D$5,$A28,3)</f>
        <v>0</v>
      </c>
      <c r="D28" cm="1">
        <f t="array" ref="D28">cant_right_point_moment($B$1,$B$2,$B$3,$D$4,$D$5,$A28,4)</f>
        <v>-8.0609046126287498E-4</v>
      </c>
      <c r="E28" cm="1">
        <f t="array" ref="E28">cant_right_point_moment($B$1,$B$2,$B$3,$D$4,$D$5,$A28,5)*12</f>
        <v>-7.2548141513658751E-2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0D13B-2B98-4968-85B4-5C014FCEC63F}">
  <sheetPr codeName="Sheet8"/>
  <dimension ref="A1:M29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cant_right_uniform_load($B$1,$B$2,$B$3,$B$4,$D$5,$D$6,$A9,6)</f>
        <v>-30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cant_right_uniform_load($B$1,$B$2,$B$3,$B$4,$D$5,$D$6,$A9,7)</f>
        <v>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cant_right_uniform_load($B$1,$B$2,$B$3,$B$4,$D$5,$D$6,$A9,0)</f>
        <v>6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cant_right_uniform_load($B$1,$B$2,$B$3,$B$4,$D$5,$D$6,$A9,1)</f>
        <v>0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cant_right_uniform_load($B$1,$B$2,$B$3,$B$4,$D$5,$D$6,$A9,2)</f>
        <v>6</v>
      </c>
      <c r="C9" cm="1">
        <f t="array" ref="C9">cant_right_uniform_load($B$1,$B$2,$B$3,$B$4,$D$5,$D$6,$A9,3)</f>
        <v>-30</v>
      </c>
      <c r="D9" cm="1">
        <f t="array" ref="D9">cant_right_uniform_load($B$1,$B$2,$B$3,$B$4,$D$5,$D$6,$A9,4)</f>
        <v>0</v>
      </c>
      <c r="E9" cm="1">
        <f t="array" ref="E9">cant_right_uniform_load($B$1,$B$2,$B$3,$B$4,$D$5,$D$6,$A9,5)*12</f>
        <v>0</v>
      </c>
    </row>
    <row r="10" spans="1:13" x14ac:dyDescent="0.25">
      <c r="A10">
        <f>A9+$H$2</f>
        <v>0.5</v>
      </c>
      <c r="B10" cm="1">
        <f t="array" ref="B10">cant_right_uniform_load($B$1,$B$2,$B$3,$B$4,$D$5,$D$6,$A10,2)</f>
        <v>6</v>
      </c>
      <c r="C10" cm="1">
        <f t="array" ref="C10">cant_right_uniform_load($B$1,$B$2,$B$3,$B$4,$D$5,$D$6,$A10,3)</f>
        <v>-27</v>
      </c>
      <c r="D10" cm="1">
        <f t="array" ref="D10">cant_right_uniform_load($B$1,$B$2,$B$3,$B$4,$D$5,$D$6,$A10,4)</f>
        <v>-2.2973578145991935E-3</v>
      </c>
      <c r="E10" cm="1">
        <f t="array" ref="E10">cant_right_uniform_load($B$1,$B$2,$B$3,$B$4,$D$5,$D$6,$A10,5)*12</f>
        <v>-7.0129870129870125E-3</v>
      </c>
    </row>
    <row r="11" spans="1:13" x14ac:dyDescent="0.25">
      <c r="A11">
        <f t="shared" ref="A11:A13" si="0">A10+$H$2</f>
        <v>1</v>
      </c>
      <c r="B11" cm="1">
        <f t="array" ref="B11">cant_right_uniform_load($B$1,$B$2,$B$3,$B$4,$D$5,$D$6,$A11,2)</f>
        <v>6</v>
      </c>
      <c r="C11" cm="1">
        <f t="array" ref="C11">cant_right_uniform_load($B$1,$B$2,$B$3,$B$4,$D$5,$D$6,$A11,3)</f>
        <v>-24</v>
      </c>
      <c r="D11" cm="1">
        <f t="array" ref="D11">cant_right_uniform_load($B$1,$B$2,$B$3,$B$4,$D$5,$D$6,$A11,4)</f>
        <v>-4.3528884908195248E-3</v>
      </c>
      <c r="E11" cm="1">
        <f t="array" ref="E11">cant_right_uniform_load($B$1,$B$2,$B$3,$B$4,$D$5,$D$6,$A11,5)*12</f>
        <v>-2.7084639498432598E-2</v>
      </c>
    </row>
    <row r="12" spans="1:13" x14ac:dyDescent="0.25">
      <c r="A12">
        <f t="shared" si="0"/>
        <v>1.5</v>
      </c>
      <c r="B12" cm="1">
        <f t="array" ref="B12">cant_right_uniform_load($B$1,$B$2,$B$3,$B$4,$D$5,$D$6,$A12,2)</f>
        <v>6</v>
      </c>
      <c r="C12" cm="1">
        <f t="array" ref="C12">cant_right_uniform_load($B$1,$B$2,$B$3,$B$4,$D$5,$D$6,$A12,3)</f>
        <v>-21</v>
      </c>
      <c r="D12" cm="1">
        <f t="array" ref="D12">cant_right_uniform_load($B$1,$B$2,$B$3,$B$4,$D$5,$D$6,$A12,4)</f>
        <v>-6.166592028660994E-3</v>
      </c>
      <c r="E12" cm="1">
        <f t="array" ref="E12">cant_right_uniform_load($B$1,$B$2,$B$3,$B$4,$D$5,$D$6,$A12,5)*12</f>
        <v>-5.8763994626063583E-2</v>
      </c>
    </row>
    <row r="13" spans="1:13" x14ac:dyDescent="0.25">
      <c r="A13">
        <f t="shared" si="0"/>
        <v>2</v>
      </c>
      <c r="B13" cm="1">
        <f t="array" ref="B13">cant_right_uniform_load($B$1,$B$2,$B$3,$B$4,$D$5,$D$6,$A13,2)</f>
        <v>6</v>
      </c>
      <c r="C13" cm="1">
        <f t="array" ref="C13">cant_right_uniform_load($B$1,$B$2,$B$3,$B$4,$D$5,$D$6,$A13,3)</f>
        <v>-18</v>
      </c>
      <c r="D13" cm="1">
        <f t="array" ref="D13">cant_right_uniform_load($B$1,$B$2,$B$3,$B$4,$D$5,$D$6,$A13,4)</f>
        <v>-7.7384684281236E-3</v>
      </c>
      <c r="E13" cm="1">
        <f t="array" ref="E13">cant_right_uniform_load($B$1,$B$2,$B$3,$B$4,$D$5,$D$6,$A13,5)*12</f>
        <v>-0.1006000895656068</v>
      </c>
    </row>
    <row r="14" spans="1:13" x14ac:dyDescent="0.25">
      <c r="A14">
        <f>A13+$H$2</f>
        <v>2.5</v>
      </c>
      <c r="B14" cm="1">
        <f t="array" ref="B14">cant_right_uniform_load($B$1,$B$2,$B$3,$B$4,$D$5,$D$6,$A14,2)</f>
        <v>5.5</v>
      </c>
      <c r="C14" cm="1">
        <f t="array" ref="C14">cant_right_uniform_load($B$1,$B$2,$B$3,$B$4,$D$5,$D$6,$A14,3)</f>
        <v>-15.125</v>
      </c>
      <c r="D14" cm="1">
        <f t="array" ref="D14">cant_right_uniform_load($B$1,$B$2,$B$3,$B$4,$D$5,$D$6,$A14,4)</f>
        <v>-9.0718763994626066E-3</v>
      </c>
      <c r="E14" cm="1">
        <f t="array" ref="E14">cant_right_uniform_load($B$1,$B$2,$B$3,$B$4,$D$5,$D$6,$A14,5)*12</f>
        <v>-0.15114699955217195</v>
      </c>
    </row>
    <row r="15" spans="1:13" x14ac:dyDescent="0.25">
      <c r="A15">
        <f>A14+$H$2</f>
        <v>3</v>
      </c>
      <c r="B15" cm="1">
        <f t="array" ref="B15">cant_right_uniform_load($B$1,$B$2,$B$3,$B$4,$D$5,$D$6,$A15,2)</f>
        <v>5</v>
      </c>
      <c r="C15" cm="1">
        <f t="array" ref="C15">cant_right_uniform_load($B$1,$B$2,$B$3,$B$4,$D$5,$D$6,$A15,3)</f>
        <v>-12.5</v>
      </c>
      <c r="D15" cm="1">
        <f t="array" ref="D15">cant_right_uniform_load($B$1,$B$2,$B$3,$B$4,$D$5,$D$6,$A15,4)</f>
        <v>-1.018360949395432E-2</v>
      </c>
      <c r="E15" cm="1">
        <f t="array" ref="E15">cant_right_uniform_load($B$1,$B$2,$B$3,$B$4,$D$5,$D$6,$A15,5)*12</f>
        <v>-0.2090192566054635</v>
      </c>
    </row>
    <row r="16" spans="1:13" x14ac:dyDescent="0.25">
      <c r="A16">
        <f>A15+$H$2</f>
        <v>3.5</v>
      </c>
      <c r="B16" cm="1">
        <f t="array" ref="B16">cant_right_uniform_load($B$1,$B$2,$B$3,$B$4,$D$5,$D$6,$A16,2)</f>
        <v>4.5</v>
      </c>
      <c r="C16" cm="1">
        <f t="array" ref="C16">cant_right_uniform_load($B$1,$B$2,$B$3,$B$4,$D$5,$D$6,$A16,3)</f>
        <v>-10.125</v>
      </c>
      <c r="D16" cm="1">
        <f t="array" ref="D16">cant_right_uniform_load($B$1,$B$2,$B$3,$B$4,$D$5,$D$6,$A16,4)</f>
        <v>-1.1093819973130317E-2</v>
      </c>
      <c r="E16" cm="1">
        <f t="array" ref="E16">cant_right_uniform_load($B$1,$B$2,$B$3,$B$4,$D$5,$D$6,$A16,5)*12</f>
        <v>-0.27294726824899235</v>
      </c>
    </row>
    <row r="17" spans="1:5" x14ac:dyDescent="0.25">
      <c r="A17">
        <f>A16+$H$2</f>
        <v>4</v>
      </c>
      <c r="B17" cm="1">
        <f t="array" ref="B17">cant_right_uniform_load($B$1,$B$2,$B$3,$B$4,$D$5,$D$6,$A17,2)</f>
        <v>4</v>
      </c>
      <c r="C17" cm="1">
        <f t="array" ref="C17">cant_right_uniform_load($B$1,$B$2,$B$3,$B$4,$D$5,$D$6,$A17,3)</f>
        <v>-8</v>
      </c>
      <c r="D17" cm="1">
        <f t="array" ref="D17">cant_right_uniform_load($B$1,$B$2,$B$3,$B$4,$D$5,$D$6,$A17,4)</f>
        <v>-1.1822660098522167E-2</v>
      </c>
      <c r="E17" cm="1">
        <f t="array" ref="E17">cant_right_uniform_load($B$1,$B$2,$B$3,$B$4,$D$5,$D$6,$A17,5)*12</f>
        <v>-0.341782355575459</v>
      </c>
    </row>
    <row r="18" spans="1:5" x14ac:dyDescent="0.25">
      <c r="A18">
        <f t="shared" ref="A18:A29" si="1">A17+$H$2</f>
        <v>4.5</v>
      </c>
      <c r="B18" cm="1">
        <f t="array" ref="B18">cant_right_uniform_load($B$1,$B$2,$B$3,$B$4,$D$5,$D$6,$A18,2)</f>
        <v>3.5</v>
      </c>
      <c r="C18" cm="1">
        <f t="array" ref="C18">cant_right_uniform_load($B$1,$B$2,$B$3,$B$4,$D$5,$D$6,$A18,3)</f>
        <v>-6.125</v>
      </c>
      <c r="D18" cm="1">
        <f t="array" ref="D18">cant_right_uniform_load($B$1,$B$2,$B$3,$B$4,$D$5,$D$6,$A18,4)</f>
        <v>-1.2390282131661441E-2</v>
      </c>
      <c r="E18" cm="1">
        <f t="array" ref="E18">cant_right_uniform_load($B$1,$B$2,$B$3,$B$4,$D$5,$D$6,$A18,5)*12</f>
        <v>-0.41449675324675322</v>
      </c>
    </row>
    <row r="19" spans="1:5" x14ac:dyDescent="0.25">
      <c r="A19">
        <f t="shared" si="1"/>
        <v>5</v>
      </c>
      <c r="B19" cm="1">
        <f t="array" ref="B19">cant_right_uniform_load($B$1,$B$2,$B$3,$B$4,$D$5,$D$6,$A19,2)</f>
        <v>3</v>
      </c>
      <c r="C19" cm="1">
        <f t="array" ref="C19">cant_right_uniform_load($B$1,$B$2,$B$3,$B$4,$D$5,$D$6,$A19,3)</f>
        <v>-4.5</v>
      </c>
      <c r="D19" cm="1">
        <f t="array" ref="D19">cant_right_uniform_load($B$1,$B$2,$B$3,$B$4,$D$5,$D$6,$A19,4)</f>
        <v>-1.2816838334079712E-2</v>
      </c>
      <c r="E19" cm="1">
        <f t="array" ref="E19">cant_right_uniform_load($B$1,$B$2,$B$3,$B$4,$D$5,$D$6,$A19,5)*12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cant_right_uniform_load($B$1,$B$2,$B$3,$B$4,$D$5,$D$6,$A20,2)</f>
        <v>2.5</v>
      </c>
      <c r="C20" cm="1">
        <f t="array" ref="C20">cant_right_uniform_load($B$1,$B$2,$B$3,$B$4,$D$5,$D$6,$A20,3)</f>
        <v>-3.125</v>
      </c>
      <c r="D20" cm="1">
        <f t="array" ref="D20">cant_right_uniform_load($B$1,$B$2,$B$3,$B$4,$D$5,$D$6,$A20,4)</f>
        <v>-1.3122480967308552E-2</v>
      </c>
      <c r="E20" cm="1">
        <f t="array" ref="E20">cant_right_uniform_load($B$1,$B$2,$B$3,$B$4,$D$5,$D$6,$A20,5)*12</f>
        <v>-0.56805698611733091</v>
      </c>
    </row>
    <row r="21" spans="1:5" x14ac:dyDescent="0.25">
      <c r="A21">
        <f t="shared" si="1"/>
        <v>6</v>
      </c>
      <c r="B21" cm="1">
        <f t="array" ref="B21">cant_right_uniform_load($B$1,$B$2,$B$3,$B$4,$D$5,$D$6,$A21,2)</f>
        <v>2</v>
      </c>
      <c r="C21" cm="1">
        <f t="array" ref="C21">cant_right_uniform_load($B$1,$B$2,$B$3,$B$4,$D$5,$D$6,$A21,3)</f>
        <v>-2</v>
      </c>
      <c r="D21" cm="1">
        <f t="array" ref="D21">cant_right_uniform_load($B$1,$B$2,$B$3,$B$4,$D$5,$D$6,$A21,4)</f>
        <v>-1.3327362292879534E-2</v>
      </c>
      <c r="E21" cm="1">
        <f t="array" ref="E21">cant_right_uniform_load($B$1,$B$2,$B$3,$B$4,$D$5,$D$6,$A21,5)*12</f>
        <v>-0.64745185848634124</v>
      </c>
    </row>
    <row r="22" spans="1:5" x14ac:dyDescent="0.25">
      <c r="A22">
        <f t="shared" si="1"/>
        <v>6.5</v>
      </c>
      <c r="B22" cm="1">
        <f t="array" ref="B22">cant_right_uniform_load($B$1,$B$2,$B$3,$B$4,$D$5,$D$6,$A22,2)</f>
        <v>1.5</v>
      </c>
      <c r="C22" cm="1">
        <f t="array" ref="C22">cant_right_uniform_load($B$1,$B$2,$B$3,$B$4,$D$5,$D$6,$A22,3)</f>
        <v>-1.125</v>
      </c>
      <c r="D22" cm="1">
        <f t="array" ref="D22">cant_right_uniform_load($B$1,$B$2,$B$3,$B$4,$D$5,$D$6,$A22,4)</f>
        <v>-1.3451634572324227E-2</v>
      </c>
      <c r="E22" cm="1">
        <f t="array" ref="E22">cant_right_uniform_load($B$1,$B$2,$B$3,$B$4,$D$5,$D$6,$A22,5)*12</f>
        <v>-0.72782411553963278</v>
      </c>
    </row>
    <row r="23" spans="1:5" x14ac:dyDescent="0.25">
      <c r="A23">
        <f t="shared" si="1"/>
        <v>7</v>
      </c>
      <c r="B23" cm="1">
        <f t="array" ref="B23">cant_right_uniform_load($B$1,$B$2,$B$3,$B$4,$D$5,$D$6,$A23,2)</f>
        <v>1</v>
      </c>
      <c r="C23" cm="1">
        <f t="array" ref="C23">cant_right_uniform_load($B$1,$B$2,$B$3,$B$4,$D$5,$D$6,$A23,3)</f>
        <v>-0.5</v>
      </c>
      <c r="D23" cm="1">
        <f t="array" ref="D23">cant_right_uniform_load($B$1,$B$2,$B$3,$B$4,$D$5,$D$6,$A23,4)</f>
        <v>-1.3515450067174204E-2</v>
      </c>
      <c r="E23" cm="1">
        <f t="array" ref="E23">cant_right_uniform_load($B$1,$B$2,$B$3,$B$4,$D$5,$D$6,$A23,5)*12</f>
        <v>-0.80875055978504251</v>
      </c>
    </row>
    <row r="24" spans="1:5" x14ac:dyDescent="0.25">
      <c r="A24">
        <f t="shared" si="1"/>
        <v>7.5</v>
      </c>
      <c r="B24" cm="1">
        <f t="array" ref="B24">cant_right_uniform_load($B$1,$B$2,$B$3,$B$4,$D$5,$D$6,$A24,2)</f>
        <v>0.5</v>
      </c>
      <c r="C24" cm="1">
        <f t="array" ref="C24">cant_right_uniform_load($B$1,$B$2,$B$3,$B$4,$D$5,$D$6,$A24,3)</f>
        <v>-0.125</v>
      </c>
      <c r="D24" cm="1">
        <f t="array" ref="D24">cant_right_uniform_load($B$1,$B$2,$B$3,$B$4,$D$5,$D$6,$A24,4)</f>
        <v>-1.3538961038961038E-2</v>
      </c>
      <c r="E24" cm="1">
        <f t="array" ref="E24">cant_right_uniform_load($B$1,$B$2,$B$3,$B$4,$D$5,$D$6,$A24,5)*12</f>
        <v>-0.88992890729959695</v>
      </c>
    </row>
    <row r="25" spans="1:5" x14ac:dyDescent="0.25">
      <c r="A25">
        <f t="shared" si="1"/>
        <v>8</v>
      </c>
      <c r="B25" cm="1">
        <f t="array" ref="B25">cant_right_uniform_load($B$1,$B$2,$B$3,$B$4,$D$5,$D$6,$A25,2)</f>
        <v>0</v>
      </c>
      <c r="C25" cm="1">
        <f t="array" ref="C25">cant_right_uniform_load($B$1,$B$2,$B$3,$B$4,$D$5,$D$6,$A25,3)</f>
        <v>0</v>
      </c>
      <c r="D25" cm="1">
        <f t="array" ref="D25">cant_right_uniform_load($B$1,$B$2,$B$3,$B$4,$D$5,$D$6,$A25,4)</f>
        <v>-1.3542319749216301E-2</v>
      </c>
      <c r="E25" cm="1">
        <f t="array" ref="E25">cant_right_uniform_load($B$1,$B$2,$B$3,$B$4,$D$5,$D$6,$A25,5)*12</f>
        <v>-0.9711777877295118</v>
      </c>
    </row>
    <row r="26" spans="1:5" x14ac:dyDescent="0.25">
      <c r="A26">
        <f t="shared" si="1"/>
        <v>8.5</v>
      </c>
      <c r="B26" cm="1">
        <f t="array" ref="B26">cant_right_uniform_load($B$1,$B$2,$B$3,$B$4,$D$5,$D$6,$A26,2)</f>
        <v>0</v>
      </c>
      <c r="C26" cm="1">
        <f t="array" ref="C26">cant_right_uniform_load($B$1,$B$2,$B$3,$B$4,$D$5,$D$6,$A26,3)</f>
        <v>0</v>
      </c>
      <c r="D26" cm="1">
        <f t="array" ref="D26">cant_right_uniform_load($B$1,$B$2,$B$3,$B$4,$D$5,$D$6,$A26,4)</f>
        <v>-1.3542319749216301E-2</v>
      </c>
      <c r="E26" cm="1">
        <f t="array" ref="E26">cant_right_uniform_load($B$1,$B$2,$B$3,$B$4,$D$5,$D$6,$A26,5)*12</f>
        <v>-1.0524317062248096</v>
      </c>
    </row>
    <row r="27" spans="1:5" x14ac:dyDescent="0.25">
      <c r="A27">
        <f t="shared" si="1"/>
        <v>9</v>
      </c>
      <c r="B27" cm="1">
        <f t="array" ref="B27">cant_right_uniform_load($B$1,$B$2,$B$3,$B$4,$D$5,$D$6,$A27,2)</f>
        <v>0</v>
      </c>
      <c r="C27" cm="1">
        <f t="array" ref="C27">cant_right_uniform_load($B$1,$B$2,$B$3,$B$4,$D$5,$D$6,$A27,3)</f>
        <v>0</v>
      </c>
      <c r="D27" cm="1">
        <f t="array" ref="D27">cant_right_uniform_load($B$1,$B$2,$B$3,$B$4,$D$5,$D$6,$A27,4)</f>
        <v>-1.3542319749216301E-2</v>
      </c>
      <c r="E27" cm="1">
        <f t="array" ref="E27">cant_right_uniform_load($B$1,$B$2,$B$3,$B$4,$D$5,$D$6,$A27,5)*12</f>
        <v>-1.1336856247201075</v>
      </c>
    </row>
    <row r="28" spans="1:5" x14ac:dyDescent="0.25">
      <c r="A28">
        <f t="shared" si="1"/>
        <v>9.5</v>
      </c>
      <c r="B28" cm="1">
        <f t="array" ref="B28">cant_right_uniform_load($B$1,$B$2,$B$3,$B$4,$D$5,$D$6,$A28,2)</f>
        <v>0</v>
      </c>
      <c r="C28" cm="1">
        <f t="array" ref="C28">cant_right_uniform_load($B$1,$B$2,$B$3,$B$4,$D$5,$D$6,$A28,3)</f>
        <v>0</v>
      </c>
      <c r="D28" cm="1">
        <f t="array" ref="D28">cant_right_uniform_load($B$1,$B$2,$B$3,$B$4,$D$5,$D$6,$A28,4)</f>
        <v>-1.3542319749216301E-2</v>
      </c>
      <c r="E28" cm="1">
        <f t="array" ref="E28">cant_right_uniform_load($B$1,$B$2,$B$3,$B$4,$D$5,$D$6,$A28,5)*12</f>
        <v>-1.2149395432154053</v>
      </c>
    </row>
    <row r="29" spans="1:5" x14ac:dyDescent="0.25">
      <c r="A29">
        <f t="shared" si="1"/>
        <v>10</v>
      </c>
      <c r="B29" cm="1">
        <f t="array" ref="B29">cant_right_uniform_load($B$1,$B$2,$B$3,$B$4,$D$5,$D$6,$A29,2)</f>
        <v>0</v>
      </c>
      <c r="C29" cm="1">
        <f t="array" ref="C29">cant_right_uniform_load($B$1,$B$2,$B$3,$B$4,$D$5,$D$6,$A29,3)</f>
        <v>0</v>
      </c>
      <c r="D29" cm="1">
        <f t="array" ref="D29">cant_right_uniform_load($B$1,$B$2,$B$3,$B$4,$D$5,$D$6,$A29,4)</f>
        <v>-1.3542319749216301E-2</v>
      </c>
      <c r="E29" cm="1">
        <f t="array" ref="E29">cant_right_uniform_load($B$1,$B$2,$B$3,$B$4,$D$5,$D$6,$A29,5)*12</f>
        <v>-1.2961934617107029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AF75E-3C85-478B-9345-68891E37446D}">
  <sheetPr codeName="Sheet9"/>
  <dimension ref="A1:M30"/>
  <sheetViews>
    <sheetView workbookViewId="0">
      <selection activeCell="B3" sqref="B3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0.25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cant_right_variable_load($B$1,$B$2,$B$3,$B$4,$B$5,$D$6,$D$7,$A10,6)</f>
        <v>-21</v>
      </c>
      <c r="M1" t="s">
        <v>28</v>
      </c>
    </row>
    <row r="2" spans="1:13" x14ac:dyDescent="0.25">
      <c r="A2" t="s">
        <v>29</v>
      </c>
      <c r="B2" s="3">
        <v>1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cant_right_variable_load($B$1,$B$2,$B$3,$B$4,$B$5,$D$6,$D$7,$A10,7)</f>
        <v>0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cant_right_variable_load($B$1,$B$2,$B$3,$B$4,$B$5,$D$6,$D$7,$A10,0)</f>
        <v>3.75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cant_right_variable_load($B$1,$B$2,$B$3,$B$4,$B$5,$D$6,$D$7,$A10,1)</f>
        <v>0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cant_right_variable_load($B$1,$B$2,$B$3,$B$4,$B$5,$D$6,$D$7,$A10,2)</f>
        <v>3.75</v>
      </c>
      <c r="C10" cm="1">
        <f t="array" ref="C10">cant_right_variable_load($B$1,$B$2,$B$3,$B$4,$B$5,$D$6,$D$7,$A10,3)</f>
        <v>-21</v>
      </c>
      <c r="D10" cm="1">
        <f t="array" ref="D10">cant_right_variable_load($B$1,$B$2,$B$3,$B$4,$B$5,$D$6,$D$7,$A10,4)</f>
        <v>0</v>
      </c>
      <c r="E10" cm="1">
        <f t="array" ref="E10">cant_right_variable_load($B$1,$B$2,$B$3,$B$4,$B$5,$D$6,$D$7,$A10,5)*12</f>
        <v>0</v>
      </c>
    </row>
    <row r="11" spans="1:13" x14ac:dyDescent="0.25">
      <c r="A11">
        <f t="shared" ref="A11:A30" si="0">A10+$H$2</f>
        <v>0.5</v>
      </c>
      <c r="B11" cm="1">
        <f t="array" ref="B11">cant_right_variable_load($B$1,$B$2,$B$3,$B$4,$B$5,$D$6,$D$7,$A11,2)</f>
        <v>3.75</v>
      </c>
      <c r="C11" cm="1">
        <f t="array" ref="C11">cant_right_variable_load($B$1,$B$2,$B$3,$B$4,$B$5,$D$6,$D$7,$A11,3)</f>
        <v>-19.125</v>
      </c>
      <c r="D11" cm="1">
        <f t="array" ref="D11">cant_right_variable_load($B$1,$B$2,$B$3,$B$4,$B$5,$D$6,$D$7,$A11,4)</f>
        <v>-1.617218987908643E-3</v>
      </c>
      <c r="E11" cm="1">
        <f t="array" ref="E11">cant_right_variable_load($B$1,$B$2,$B$3,$B$4,$B$5,$D$6,$D$7,$A11,5)*12</f>
        <v>-4.9272279444693232E-3</v>
      </c>
    </row>
    <row r="12" spans="1:13" x14ac:dyDescent="0.25">
      <c r="A12">
        <f t="shared" si="0"/>
        <v>1</v>
      </c>
      <c r="B12" cm="1">
        <f t="array" ref="B12">cant_right_variable_load($B$1,$B$2,$B$3,$B$4,$B$5,$D$6,$D$7,$A12,2)</f>
        <v>3.75</v>
      </c>
      <c r="C12" cm="1">
        <f t="array" ref="C12">cant_right_variable_load($B$1,$B$2,$B$3,$B$4,$B$5,$D$6,$D$7,$A12,3)</f>
        <v>-17.25</v>
      </c>
      <c r="D12" cm="1">
        <f t="array" ref="D12">cant_right_variable_load($B$1,$B$2,$B$3,$B$4,$B$5,$D$6,$D$7,$A12,4)</f>
        <v>-3.083296014330497E-3</v>
      </c>
      <c r="E12" cm="1">
        <f t="array" ref="E12">cant_right_variable_load($B$1,$B$2,$B$3,$B$4,$B$5,$D$6,$D$7,$A12,5)*12</f>
        <v>-1.9104343931930137E-2</v>
      </c>
    </row>
    <row r="13" spans="1:13" x14ac:dyDescent="0.25">
      <c r="A13">
        <f t="shared" si="0"/>
        <v>1.5</v>
      </c>
      <c r="B13" cm="1">
        <f t="array" ref="B13">cant_right_variable_load($B$1,$B$2,$B$3,$B$4,$B$5,$D$6,$D$7,$A13,2)</f>
        <v>3.75</v>
      </c>
      <c r="C13" cm="1">
        <f t="array" ref="C13">cant_right_variable_load($B$1,$B$2,$B$3,$B$4,$B$5,$D$6,$D$7,$A13,3)</f>
        <v>-15.375</v>
      </c>
      <c r="D13" cm="1">
        <f t="array" ref="D13">cant_right_variable_load($B$1,$B$2,$B$3,$B$4,$B$5,$D$6,$D$7,$A13,4)</f>
        <v>-4.3982310792655618E-3</v>
      </c>
      <c r="E13" cm="1">
        <f t="array" ref="E13">cant_right_variable_load($B$1,$B$2,$B$3,$B$4,$B$5,$D$6,$D$7,$A13,5)*12</f>
        <v>-4.1624496193461702E-2</v>
      </c>
    </row>
    <row r="14" spans="1:13" x14ac:dyDescent="0.25">
      <c r="A14">
        <f t="shared" si="0"/>
        <v>2</v>
      </c>
      <c r="B14" cm="1">
        <f t="array" ref="B14">cant_right_variable_load($B$1,$B$2,$B$3,$B$4,$B$5,$D$6,$D$7,$A14,2)</f>
        <v>3.75</v>
      </c>
      <c r="C14" cm="1">
        <f t="array" ref="C14">cant_right_variable_load($B$1,$B$2,$B$3,$B$4,$B$5,$D$6,$D$7,$A14,3)</f>
        <v>-13.5</v>
      </c>
      <c r="D14" cm="1">
        <f t="array" ref="D14">cant_right_variable_load($B$1,$B$2,$B$3,$B$4,$B$5,$D$6,$D$7,$A14,4)</f>
        <v>-5.5620241827138376E-3</v>
      </c>
      <c r="E14" cm="1">
        <f t="array" ref="E14">cant_right_variable_load($B$1,$B$2,$B$3,$B$4,$B$5,$D$6,$D$7,$A14,5)*12</f>
        <v>-7.1580832960143295E-2</v>
      </c>
    </row>
    <row r="15" spans="1:13" x14ac:dyDescent="0.25">
      <c r="A15">
        <f t="shared" si="0"/>
        <v>2.5</v>
      </c>
      <c r="B15" cm="1">
        <f t="array" ref="B15">cant_right_variable_load($B$1,$B$2,$B$3,$B$4,$B$5,$D$6,$D$7,$A15,2)</f>
        <v>3.609375</v>
      </c>
      <c r="C15" cm="1">
        <f t="array" ref="C15">cant_right_variable_load($B$1,$B$2,$B$3,$B$4,$B$5,$D$6,$D$7,$A15,3)</f>
        <v>-11.658854166666666</v>
      </c>
      <c r="D15" cm="1">
        <f t="array" ref="D15">cant_right_variable_load($B$1,$B$2,$B$3,$B$4,$B$5,$D$6,$D$7,$A15,4)</f>
        <v>-6.5755674820868783E-3</v>
      </c>
      <c r="E15" cm="1">
        <f t="array" ref="E15">cant_right_variable_load($B$1,$B$2,$B$3,$B$4,$B$5,$D$6,$D$7,$A15,5)*12</f>
        <v>-0.10806782495521719</v>
      </c>
    </row>
    <row r="16" spans="1:13" x14ac:dyDescent="0.25">
      <c r="A16">
        <f t="shared" si="0"/>
        <v>3</v>
      </c>
      <c r="B16" cm="1">
        <f t="array" ref="B16">cant_right_variable_load($B$1,$B$2,$B$3,$B$4,$B$5,$D$6,$D$7,$A16,2)</f>
        <v>3.4375</v>
      </c>
      <c r="C16" cm="1">
        <f t="array" ref="C16">cant_right_variable_load($B$1,$B$2,$B$3,$B$4,$B$5,$D$6,$D$7,$A16,3)</f>
        <v>-9.8958333333333321</v>
      </c>
      <c r="D16" cm="1">
        <f t="array" ref="D16">cant_right_variable_load($B$1,$B$2,$B$3,$B$4,$B$5,$D$6,$D$7,$A16,4)</f>
        <v>-7.4437416032243613E-3</v>
      </c>
      <c r="E16" cm="1">
        <f t="array" ref="E16">cant_right_variable_load($B$1,$B$2,$B$3,$B$4,$B$5,$D$6,$D$7,$A16,5)*12</f>
        <v>-0.15019682042095833</v>
      </c>
    </row>
    <row r="17" spans="1:5" x14ac:dyDescent="0.25">
      <c r="A17">
        <f t="shared" si="0"/>
        <v>3.5</v>
      </c>
      <c r="B17" cm="1">
        <f t="array" ref="B17">cant_right_variable_load($B$1,$B$2,$B$3,$B$4,$B$5,$D$6,$D$7,$A17,2)</f>
        <v>3.234375</v>
      </c>
      <c r="C17" cm="1">
        <f t="array" ref="C17">cant_right_variable_load($B$1,$B$2,$B$3,$B$4,$B$5,$D$6,$D$7,$A17,3)</f>
        <v>-8.2265624999999982</v>
      </c>
      <c r="D17" cm="1">
        <f t="array" ref="D17">cant_right_variable_load($B$1,$B$2,$B$3,$B$4,$B$5,$D$6,$D$7,$A17,4)</f>
        <v>-8.1734738860277639E-3</v>
      </c>
      <c r="E17" cm="1">
        <f t="array" ref="E17">cant_right_variable_load($B$1,$B$2,$B$3,$B$4,$B$5,$D$6,$D$7,$A17,5)*12</f>
        <v>-0.19711575654948499</v>
      </c>
    </row>
    <row r="18" spans="1:5" x14ac:dyDescent="0.25">
      <c r="A18">
        <f t="shared" si="0"/>
        <v>4</v>
      </c>
      <c r="B18" cm="1">
        <f t="array" ref="B18">cant_right_variable_load($B$1,$B$2,$B$3,$B$4,$B$5,$D$6,$D$7,$A18,2)</f>
        <v>3</v>
      </c>
      <c r="C18" cm="1">
        <f t="array" ref="C18">cant_right_variable_load($B$1,$B$2,$B$3,$B$4,$B$5,$D$6,$D$7,$A18,3)</f>
        <v>-6.6666666666666652</v>
      </c>
      <c r="D18" cm="1">
        <f t="array" ref="D18">cant_right_variable_load($B$1,$B$2,$B$3,$B$4,$B$5,$D$6,$D$7,$A18,4)</f>
        <v>-8.7729511867442895E-3</v>
      </c>
      <c r="E18" cm="1">
        <f t="array" ref="E18">cant_right_variable_load($B$1,$B$2,$B$3,$B$4,$B$5,$D$6,$D$7,$A18,5)*12</f>
        <v>-0.24801791312136134</v>
      </c>
    </row>
    <row r="19" spans="1:5" x14ac:dyDescent="0.25">
      <c r="A19">
        <f t="shared" si="0"/>
        <v>4.5</v>
      </c>
      <c r="B19" cm="1">
        <f t="array" ref="B19">cant_right_variable_load($B$1,$B$2,$B$3,$B$4,$B$5,$D$6,$D$7,$A19,2)</f>
        <v>2.734375</v>
      </c>
      <c r="C19" cm="1">
        <f t="array" ref="C19">cant_right_variable_load($B$1,$B$2,$B$3,$B$4,$B$5,$D$6,$D$7,$A19,3)</f>
        <v>-5.2317708333333321</v>
      </c>
      <c r="D19" cm="1">
        <f t="array" ref="D19">cant_right_variable_load($B$1,$B$2,$B$3,$B$4,$B$5,$D$6,$D$7,$A19,4)</f>
        <v>-9.2516198779668598E-3</v>
      </c>
      <c r="E19" cm="1">
        <f t="array" ref="E19">cant_right_variable_load($B$1,$B$2,$B$3,$B$4,$B$5,$D$6,$D$7,$A19,5)*12</f>
        <v>-0.30214946960367217</v>
      </c>
    </row>
    <row r="20" spans="1:5" x14ac:dyDescent="0.25">
      <c r="A20">
        <f t="shared" si="0"/>
        <v>5</v>
      </c>
      <c r="B20" cm="1">
        <f t="array" ref="B20">cant_right_variable_load($B$1,$B$2,$B$3,$B$4,$B$5,$D$6,$D$7,$A20,2)</f>
        <v>2.4375</v>
      </c>
      <c r="C20" cm="1">
        <f t="array" ref="C20">cant_right_variable_load($B$1,$B$2,$B$3,$B$4,$B$5,$D$6,$D$7,$A20,3)</f>
        <v>-3.9374999999999987</v>
      </c>
      <c r="D20" cm="1">
        <f t="array" ref="D20">cant_right_variable_load($B$1,$B$2,$B$3,$B$4,$B$5,$D$6,$D$7,$A20,4)</f>
        <v>-9.6201858486341229E-3</v>
      </c>
      <c r="E20" cm="1">
        <f t="array" ref="E20">cant_right_variable_load($B$1,$B$2,$B$3,$B$4,$B$5,$D$6,$D$7,$A20,5)*12</f>
        <v>-0.35881706224809667</v>
      </c>
    </row>
    <row r="21" spans="1:5" x14ac:dyDescent="0.25">
      <c r="A21">
        <f t="shared" si="0"/>
        <v>5.5</v>
      </c>
      <c r="B21" cm="1">
        <f t="array" ref="B21">cant_right_variable_load($B$1,$B$2,$B$3,$B$4,$B$5,$D$6,$D$7,$A21,2)</f>
        <v>2.109375</v>
      </c>
      <c r="C21" cm="1">
        <f t="array" ref="C21">cant_right_variable_load($B$1,$B$2,$B$3,$B$4,$B$5,$D$6,$D$7,$A21,3)</f>
        <v>-2.7994791666666656</v>
      </c>
      <c r="D21" cm="1">
        <f t="array" ref="D21">cant_right_variable_load($B$1,$B$2,$B$3,$B$4,$B$5,$D$6,$D$7,$A21,4)</f>
        <v>-9.8906145040304518E-3</v>
      </c>
      <c r="E21" cm="1">
        <f t="array" ref="E21">cant_right_variable_load($B$1,$B$2,$B$3,$B$4,$B$5,$D$6,$D$7,$A21,5)*12</f>
        <v>-0.41739534118898336</v>
      </c>
    </row>
    <row r="22" spans="1:5" x14ac:dyDescent="0.25">
      <c r="A22">
        <f t="shared" si="0"/>
        <v>6</v>
      </c>
      <c r="B22" cm="1">
        <f t="array" ref="B22">cant_right_variable_load($B$1,$B$2,$B$3,$B$4,$B$5,$D$6,$D$7,$A22,2)</f>
        <v>1.75</v>
      </c>
      <c r="C22" cm="1">
        <f t="array" ref="C22">cant_right_variable_load($B$1,$B$2,$B$3,$B$4,$B$5,$D$6,$D$7,$A22,3)</f>
        <v>-1.8333333333333321</v>
      </c>
      <c r="D22" cm="1">
        <f t="array" ref="D22">cant_right_variable_load($B$1,$B$2,$B$3,$B$4,$B$5,$D$6,$D$7,$A22,4)</f>
        <v>-1.0076130765785937E-2</v>
      </c>
      <c r="E22" cm="1">
        <f t="array" ref="E22">cant_right_variable_load($B$1,$B$2,$B$3,$B$4,$B$5,$D$6,$D$7,$A22,5)*12</f>
        <v>-0.47733452754142403</v>
      </c>
    </row>
    <row r="23" spans="1:5" x14ac:dyDescent="0.25">
      <c r="A23">
        <f t="shared" si="0"/>
        <v>6.5</v>
      </c>
      <c r="B23" cm="1">
        <f t="array" ref="B23">cant_right_variable_load($B$1,$B$2,$B$3,$B$4,$B$5,$D$6,$D$7,$A23,2)</f>
        <v>1.359375</v>
      </c>
      <c r="C23" cm="1">
        <f t="array" ref="C23">cant_right_variable_load($B$1,$B$2,$B$3,$B$4,$B$5,$D$6,$D$7,$A23,3)</f>
        <v>-1.0546874999999989</v>
      </c>
      <c r="D23" cm="1">
        <f t="array" ref="D23">cant_right_variable_load($B$1,$B$2,$B$3,$B$4,$B$5,$D$6,$D$7,$A23,4)</f>
        <v>-1.0191219071876399E-2</v>
      </c>
      <c r="E23" cm="1">
        <f t="array" ref="E23">cant_right_variable_load($B$1,$B$2,$B$3,$B$4,$B$5,$D$6,$D$7,$A23,5)*12</f>
        <v>-0.53816797049932819</v>
      </c>
    </row>
    <row r="24" spans="1:5" x14ac:dyDescent="0.25">
      <c r="A24">
        <f t="shared" si="0"/>
        <v>7</v>
      </c>
      <c r="B24" cm="1">
        <f t="array" ref="B24">cant_right_variable_load($B$1,$B$2,$B$3,$B$4,$B$5,$D$6,$D$7,$A24,2)</f>
        <v>0.9375</v>
      </c>
      <c r="C24" cm="1">
        <f t="array" ref="C24">cant_right_variable_load($B$1,$B$2,$B$3,$B$4,$B$5,$D$6,$D$7,$A24,3)</f>
        <v>-0.47916666666666546</v>
      </c>
      <c r="D24" cm="1">
        <f t="array" ref="D24">cant_right_variable_load($B$1,$B$2,$B$3,$B$4,$B$5,$D$6,$D$7,$A24,4)</f>
        <v>-1.0251623376623374E-2</v>
      </c>
      <c r="E24" cm="1">
        <f t="array" ref="E24">cant_right_variable_load($B$1,$B$2,$B$3,$B$4,$B$5,$D$6,$D$7,$A24,5)*12</f>
        <v>-0.59951970443349745</v>
      </c>
    </row>
    <row r="25" spans="1:5" x14ac:dyDescent="0.25">
      <c r="A25">
        <f t="shared" si="0"/>
        <v>7.5</v>
      </c>
      <c r="B25" cm="1">
        <f t="array" ref="B25">cant_right_variable_load($B$1,$B$2,$B$3,$B$4,$B$5,$D$6,$D$7,$A25,2)</f>
        <v>0.484375</v>
      </c>
      <c r="C25" cm="1">
        <f t="array" ref="C25">cant_right_variable_load($B$1,$B$2,$B$3,$B$4,$B$5,$D$6,$D$7,$A25,3)</f>
        <v>-0.12239583333333215</v>
      </c>
      <c r="D25" cm="1">
        <f t="array" ref="D25">cant_right_variable_load($B$1,$B$2,$B$3,$B$4,$B$5,$D$6,$D$7,$A25,4)</f>
        <v>-1.0274347150694132E-2</v>
      </c>
      <c r="E25" cm="1">
        <f t="array" ref="E25">cant_right_variable_load($B$1,$B$2,$B$3,$B$4,$B$5,$D$6,$D$7,$A25,5)*12</f>
        <v>-0.66111200598969988</v>
      </c>
    </row>
    <row r="26" spans="1:5" x14ac:dyDescent="0.25">
      <c r="A26">
        <f t="shared" si="0"/>
        <v>8</v>
      </c>
      <c r="B26" cm="1">
        <f t="array" ref="B26">cant_right_variable_load($B$1,$B$2,$B$3,$B$4,$B$5,$D$6,$D$7,$A26,2)</f>
        <v>0</v>
      </c>
      <c r="C26" cm="1">
        <f t="array" ref="C26">cant_right_variable_load($B$1,$B$2,$B$3,$B$4,$B$5,$D$6,$D$7,$A26,3)</f>
        <v>1.1839487723541708E-15</v>
      </c>
      <c r="D26" cm="1">
        <f t="array" ref="D26">cant_right_variable_load($B$1,$B$2,$B$3,$B$4,$B$5,$D$6,$D$7,$A26,4)</f>
        <v>-1.0277653381101655E-2</v>
      </c>
      <c r="E26" cm="1">
        <f t="array" ref="E26">cant_right_variable_load($B$1,$B$2,$B$3,$B$4,$B$5,$D$6,$D$7,$A26,5)*12</f>
        <v>-0.72277295118674423</v>
      </c>
    </row>
    <row r="27" spans="1:5" x14ac:dyDescent="0.25">
      <c r="A27">
        <f t="shared" si="0"/>
        <v>8.5</v>
      </c>
      <c r="B27" cm="1">
        <f t="array" ref="B27">cant_right_variable_load($B$1,$B$2,$B$3,$B$4,$B$5,$D$6,$D$7,$A27,2)</f>
        <v>0</v>
      </c>
      <c r="C27" cm="1">
        <f t="array" ref="C27">cant_right_variable_load($B$1,$B$2,$B$3,$B$4,$B$5,$D$6,$D$7,$A27,3)</f>
        <v>0</v>
      </c>
      <c r="D27" cm="1">
        <f t="array" ref="D27">cant_right_variable_load($B$1,$B$2,$B$3,$B$4,$B$5,$D$6,$D$7,$A27,4)</f>
        <v>-1.0277653381101655E-2</v>
      </c>
      <c r="E27" cm="1">
        <f t="array" ref="E27">cant_right_variable_load($B$1,$B$2,$B$3,$B$4,$B$5,$D$6,$D$7,$A27,5)*12</f>
        <v>-0.78443887147335412</v>
      </c>
    </row>
    <row r="28" spans="1:5" x14ac:dyDescent="0.25">
      <c r="A28">
        <f t="shared" si="0"/>
        <v>9</v>
      </c>
      <c r="B28" cm="1">
        <f t="array" ref="B28">cant_right_variable_load($B$1,$B$2,$B$3,$B$4,$B$5,$D$6,$D$7,$A28,2)</f>
        <v>0</v>
      </c>
      <c r="C28" cm="1">
        <f t="array" ref="C28">cant_right_variable_load($B$1,$B$2,$B$3,$B$4,$B$5,$D$6,$D$7,$A28,3)</f>
        <v>0</v>
      </c>
      <c r="D28" cm="1">
        <f t="array" ref="D28">cant_right_variable_load($B$1,$B$2,$B$3,$B$4,$B$5,$D$6,$D$7,$A28,4)</f>
        <v>-1.0277653381101655E-2</v>
      </c>
      <c r="E28" cm="1">
        <f t="array" ref="E28">cant_right_variable_load($B$1,$B$2,$B$3,$B$4,$B$5,$D$6,$D$7,$A28,5)*12</f>
        <v>-0.846104791759964</v>
      </c>
    </row>
    <row r="29" spans="1:5" x14ac:dyDescent="0.25">
      <c r="A29">
        <f t="shared" si="0"/>
        <v>9.5</v>
      </c>
      <c r="B29" cm="1">
        <f t="array" ref="B29">cant_right_variable_load($B$1,$B$2,$B$3,$B$4,$B$5,$D$6,$D$7,$A29,2)</f>
        <v>0</v>
      </c>
      <c r="C29" cm="1">
        <f t="array" ref="C29">cant_right_variable_load($B$1,$B$2,$B$3,$B$4,$B$5,$D$6,$D$7,$A29,3)</f>
        <v>0</v>
      </c>
      <c r="D29" cm="1">
        <f t="array" ref="D29">cant_right_variable_load($B$1,$B$2,$B$3,$B$4,$B$5,$D$6,$D$7,$A29,4)</f>
        <v>-1.0277653381101655E-2</v>
      </c>
      <c r="E29" cm="1">
        <f t="array" ref="E29">cant_right_variable_load($B$1,$B$2,$B$3,$B$4,$B$5,$D$6,$D$7,$A29,5)*12</f>
        <v>-0.90777071204657389</v>
      </c>
    </row>
    <row r="30" spans="1:5" x14ac:dyDescent="0.25">
      <c r="A30">
        <f t="shared" si="0"/>
        <v>10</v>
      </c>
      <c r="B30" cm="1">
        <f t="array" ref="B30">cant_right_variable_load($B$1,$B$2,$B$3,$B$4,$B$5,$D$6,$D$7,$A30,2)</f>
        <v>0</v>
      </c>
      <c r="C30" cm="1">
        <f t="array" ref="C30">cant_right_variable_load($B$1,$B$2,$B$3,$B$4,$B$5,$D$6,$D$7,$A30,3)</f>
        <v>0</v>
      </c>
      <c r="D30" cm="1">
        <f t="array" ref="D30">cant_right_variable_load($B$1,$B$2,$B$3,$B$4,$B$5,$D$6,$D$7,$A30,4)</f>
        <v>-1.0277653381101655E-2</v>
      </c>
      <c r="E30" cm="1">
        <f t="array" ref="E30">cant_right_variable_load($B$1,$B$2,$B$3,$B$4,$B$5,$D$6,$D$7,$A30,5)*12</f>
        <v>-0.969436632333184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340B2-9E25-4549-BDCF-01124C5EDA20}">
  <sheetPr codeName="Sheet10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31</v>
      </c>
      <c r="B1" s="3">
        <v>2.0000000000000002E-5</v>
      </c>
      <c r="C1" t="s">
        <v>32</v>
      </c>
      <c r="D1">
        <f>B1/12</f>
        <v>1.6666666666666669E-6</v>
      </c>
      <c r="E1" t="s">
        <v>33</v>
      </c>
      <c r="G1" t="s">
        <v>16</v>
      </c>
      <c r="H1">
        <v>20</v>
      </c>
      <c r="K1" s="2" t="s">
        <v>18</v>
      </c>
      <c r="L1" cm="1">
        <f t="array" ref="L1">cant_left_initialSlope($D$1,$B$3,$D$4,$D$5,$A8,6)</f>
        <v>0</v>
      </c>
      <c r="M1" t="s">
        <v>28</v>
      </c>
    </row>
    <row r="2" spans="1:13" x14ac:dyDescent="0.25">
      <c r="B2" s="4"/>
      <c r="G2" t="s">
        <v>17</v>
      </c>
      <c r="H2">
        <f>(B3)/H1</f>
        <v>0.5</v>
      </c>
      <c r="K2" s="2" t="s">
        <v>19</v>
      </c>
      <c r="L2" cm="1">
        <f t="array" ref="L2">cant_left_initialSlope($D$1,$B$3,$D$4,$D$5,$A8,7)</f>
        <v>0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cant_left_initialSlope($D$1,$B$3,$D$4,$D$5,$A8,0)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cant_left_initialSlope($D$1,$B$3,$D$4,$D$5,$A8,1)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cant_left_initialSlope($D$1,$B$3,$D$4,$D$5,$A8,2)</f>
        <v>0</v>
      </c>
      <c r="C8" cm="1">
        <f t="array" ref="C8">cant_left_initialSlope($D$1,$B$3,$D$4,$D$5,$A8,3)</f>
        <v>0</v>
      </c>
      <c r="D8" cm="1">
        <f t="array" ref="D8">cant_left_initialSlope($D$1,$B$3,$D$4,$D$5,$A8,4)</f>
        <v>1.6666666666666669E-6</v>
      </c>
      <c r="E8" cm="1">
        <f t="array" ref="E8">cant_left_initialSlope($D$1,$B$3,$D$4,$D$5,$A8,5)*12</f>
        <v>-2.0000000000000001E-4</v>
      </c>
    </row>
    <row r="9" spans="1:13" x14ac:dyDescent="0.25">
      <c r="A9">
        <f>A8+$H$2</f>
        <v>0.5</v>
      </c>
      <c r="B9" cm="1">
        <f t="array" ref="B9">cant_left_initialSlope($D$1,$B$3,$D$4,$D$5,$A9,2)</f>
        <v>0</v>
      </c>
      <c r="C9" cm="1">
        <f t="array" ref="C9">cant_left_initialSlope($D$1,$B$3,$D$4,$D$5,$A9,3)</f>
        <v>0</v>
      </c>
      <c r="D9" cm="1">
        <f t="array" ref="D9">cant_left_initialSlope($D$1,$B$3,$D$4,$D$5,$A9,4)</f>
        <v>1.6666666666666669E-6</v>
      </c>
      <c r="E9" cm="1">
        <f t="array" ref="E9">cant_left_initialSlope($D$1,$B$3,$D$4,$D$5,$A9,5)*12</f>
        <v>-1.9000000000000001E-4</v>
      </c>
    </row>
    <row r="10" spans="1:13" x14ac:dyDescent="0.25">
      <c r="A10">
        <f t="shared" ref="A10:A28" si="0">A9+$H$2</f>
        <v>1</v>
      </c>
      <c r="B10" cm="1">
        <f t="array" ref="B10">cant_left_initialSlope($D$1,$B$3,$D$4,$D$5,$A10,2)</f>
        <v>0</v>
      </c>
      <c r="C10" cm="1">
        <f t="array" ref="C10">cant_left_initialSlope($D$1,$B$3,$D$4,$D$5,$A10,3)</f>
        <v>0</v>
      </c>
      <c r="D10" cm="1">
        <f t="array" ref="D10">cant_left_initialSlope($D$1,$B$3,$D$4,$D$5,$A10,4)</f>
        <v>1.6666666666666669E-6</v>
      </c>
      <c r="E10" cm="1">
        <f t="array" ref="E10">cant_left_initialSlope($D$1,$B$3,$D$4,$D$5,$A10,5)*12</f>
        <v>-1.8000000000000001E-4</v>
      </c>
    </row>
    <row r="11" spans="1:13" x14ac:dyDescent="0.25">
      <c r="A11">
        <f t="shared" si="0"/>
        <v>1.5</v>
      </c>
      <c r="B11" cm="1">
        <f t="array" ref="B11">cant_left_initialSlope($D$1,$B$3,$D$4,$D$5,$A11,2)</f>
        <v>0</v>
      </c>
      <c r="C11" cm="1">
        <f t="array" ref="C11">cant_left_initialSlope($D$1,$B$3,$D$4,$D$5,$A11,3)</f>
        <v>0</v>
      </c>
      <c r="D11" cm="1">
        <f t="array" ref="D11">cant_left_initialSlope($D$1,$B$3,$D$4,$D$5,$A11,4)</f>
        <v>1.6666666666666669E-6</v>
      </c>
      <c r="E11" cm="1">
        <f t="array" ref="E11">cant_left_initialSlope($D$1,$B$3,$D$4,$D$5,$A11,5)*12</f>
        <v>-1.7000000000000001E-4</v>
      </c>
    </row>
    <row r="12" spans="1:13" x14ac:dyDescent="0.25">
      <c r="A12">
        <f t="shared" si="0"/>
        <v>2</v>
      </c>
      <c r="B12" cm="1">
        <f t="array" ref="B12">cant_left_initialSlope($D$1,$B$3,$D$4,$D$5,$A12,2)</f>
        <v>0</v>
      </c>
      <c r="C12" cm="1">
        <f t="array" ref="C12">cant_left_initialSlope($D$1,$B$3,$D$4,$D$5,$A12,3)</f>
        <v>0</v>
      </c>
      <c r="D12" cm="1">
        <f t="array" ref="D12">cant_left_initialSlope($D$1,$B$3,$D$4,$D$5,$A12,4)</f>
        <v>1.6666666666666669E-6</v>
      </c>
      <c r="E12" cm="1">
        <f t="array" ref="E12">cant_left_initialSlope($D$1,$B$3,$D$4,$D$5,$A12,5)*12</f>
        <v>-1.5999999999999999E-4</v>
      </c>
    </row>
    <row r="13" spans="1:13" x14ac:dyDescent="0.25">
      <c r="A13">
        <f t="shared" si="0"/>
        <v>2.5</v>
      </c>
      <c r="B13" cm="1">
        <f t="array" ref="B13">cant_left_initialSlope($D$1,$B$3,$D$4,$D$5,$A13,2)</f>
        <v>0</v>
      </c>
      <c r="C13" cm="1">
        <f t="array" ref="C13">cant_left_initialSlope($D$1,$B$3,$D$4,$D$5,$A13,3)</f>
        <v>0</v>
      </c>
      <c r="D13" cm="1">
        <f t="array" ref="D13">cant_left_initialSlope($D$1,$B$3,$D$4,$D$5,$A13,4)</f>
        <v>1.6666666666666669E-6</v>
      </c>
      <c r="E13" cm="1">
        <f t="array" ref="E13">cant_left_initialSlope($D$1,$B$3,$D$4,$D$5,$A13,5)*12</f>
        <v>-1.5000000000000001E-4</v>
      </c>
    </row>
    <row r="14" spans="1:13" x14ac:dyDescent="0.25">
      <c r="A14">
        <f t="shared" si="0"/>
        <v>3</v>
      </c>
      <c r="B14" cm="1">
        <f t="array" ref="B14">cant_left_initialSlope($D$1,$B$3,$D$4,$D$5,$A14,2)</f>
        <v>0</v>
      </c>
      <c r="C14" cm="1">
        <f t="array" ref="C14">cant_left_initialSlope($D$1,$B$3,$D$4,$D$5,$A14,3)</f>
        <v>0</v>
      </c>
      <c r="D14" cm="1">
        <f t="array" ref="D14">cant_left_initialSlope($D$1,$B$3,$D$4,$D$5,$A14,4)</f>
        <v>1.6666666666666669E-6</v>
      </c>
      <c r="E14" cm="1">
        <f t="array" ref="E14">cant_left_initialSlope($D$1,$B$3,$D$4,$D$5,$A14,5)*12</f>
        <v>-1.3999999999999999E-4</v>
      </c>
    </row>
    <row r="15" spans="1:13" x14ac:dyDescent="0.25">
      <c r="A15">
        <f t="shared" si="0"/>
        <v>3.5</v>
      </c>
      <c r="B15" cm="1">
        <f t="array" ref="B15">cant_left_initialSlope($D$1,$B$3,$D$4,$D$5,$A15,2)</f>
        <v>0</v>
      </c>
      <c r="C15" cm="1">
        <f t="array" ref="C15">cant_left_initialSlope($D$1,$B$3,$D$4,$D$5,$A15,3)</f>
        <v>0</v>
      </c>
      <c r="D15" cm="1">
        <f t="array" ref="D15">cant_left_initialSlope($D$1,$B$3,$D$4,$D$5,$A15,4)</f>
        <v>1.6666666666666669E-6</v>
      </c>
      <c r="E15" cm="1">
        <f t="array" ref="E15">cant_left_initialSlope($D$1,$B$3,$D$4,$D$5,$A15,5)*12</f>
        <v>-1.3000000000000002E-4</v>
      </c>
    </row>
    <row r="16" spans="1:13" x14ac:dyDescent="0.25">
      <c r="A16">
        <f t="shared" si="0"/>
        <v>4</v>
      </c>
      <c r="B16" cm="1">
        <f t="array" ref="B16">cant_left_initialSlope($D$1,$B$3,$D$4,$D$5,$A16,2)</f>
        <v>0</v>
      </c>
      <c r="C16" cm="1">
        <f t="array" ref="C16">cant_left_initialSlope($D$1,$B$3,$D$4,$D$5,$A16,3)</f>
        <v>0</v>
      </c>
      <c r="D16" cm="1">
        <f t="array" ref="D16">cant_left_initialSlope($D$1,$B$3,$D$4,$D$5,$A16,4)</f>
        <v>1.6666666666666669E-6</v>
      </c>
      <c r="E16" cm="1">
        <f t="array" ref="E16">cant_left_initialSlope($D$1,$B$3,$D$4,$D$5,$A16,5)*12</f>
        <v>-1.1999999999999999E-4</v>
      </c>
    </row>
    <row r="17" spans="1:5" x14ac:dyDescent="0.25">
      <c r="A17">
        <f t="shared" si="0"/>
        <v>4.5</v>
      </c>
      <c r="B17" cm="1">
        <f t="array" ref="B17">cant_left_initialSlope($D$1,$B$3,$D$4,$D$5,$A17,2)</f>
        <v>0</v>
      </c>
      <c r="C17" cm="1">
        <f t="array" ref="C17">cant_left_initialSlope($D$1,$B$3,$D$4,$D$5,$A17,3)</f>
        <v>0</v>
      </c>
      <c r="D17" cm="1">
        <f t="array" ref="D17">cant_left_initialSlope($D$1,$B$3,$D$4,$D$5,$A17,4)</f>
        <v>1.6666666666666669E-6</v>
      </c>
      <c r="E17" cm="1">
        <f t="array" ref="E17">cant_left_initialSlope($D$1,$B$3,$D$4,$D$5,$A17,5)*12</f>
        <v>-1.0999999999999999E-4</v>
      </c>
    </row>
    <row r="18" spans="1:5" x14ac:dyDescent="0.25">
      <c r="A18">
        <f t="shared" si="0"/>
        <v>5</v>
      </c>
      <c r="B18" cm="1">
        <f t="array" ref="B18">cant_left_initialSlope($D$1,$B$3,$D$4,$D$5,$A18,2)</f>
        <v>0</v>
      </c>
      <c r="C18" cm="1">
        <f t="array" ref="C18">cant_left_initialSlope($D$1,$B$3,$D$4,$D$5,$A18,3)</f>
        <v>0</v>
      </c>
      <c r="D18" cm="1">
        <f t="array" ref="D18">cant_left_initialSlope($D$1,$B$3,$D$4,$D$5,$A18,4)</f>
        <v>1.6666666666666669E-6</v>
      </c>
      <c r="E18" cm="1">
        <f t="array" ref="E18">cant_left_initialSlope($D$1,$B$3,$D$4,$D$5,$A18,5)*12</f>
        <v>-1E-4</v>
      </c>
    </row>
    <row r="19" spans="1:5" x14ac:dyDescent="0.25">
      <c r="A19">
        <f t="shared" si="0"/>
        <v>5.5</v>
      </c>
      <c r="B19" cm="1">
        <f t="array" ref="B19">cant_left_initialSlope($D$1,$B$3,$D$4,$D$5,$A19,2)</f>
        <v>0</v>
      </c>
      <c r="C19" cm="1">
        <f t="array" ref="C19">cant_left_initialSlope($D$1,$B$3,$D$4,$D$5,$A19,3)</f>
        <v>0</v>
      </c>
      <c r="D19" cm="1">
        <f t="array" ref="D19">cant_left_initialSlope($D$1,$B$3,$D$4,$D$5,$A19,4)</f>
        <v>1.6666666666666669E-6</v>
      </c>
      <c r="E19" cm="1">
        <f t="array" ref="E19">cant_left_initialSlope($D$1,$B$3,$D$4,$D$5,$A19,5)*12</f>
        <v>-8.9999999999999992E-5</v>
      </c>
    </row>
    <row r="20" spans="1:5" x14ac:dyDescent="0.25">
      <c r="A20">
        <f t="shared" si="0"/>
        <v>6</v>
      </c>
      <c r="B20" cm="1">
        <f t="array" ref="B20">cant_left_initialSlope($D$1,$B$3,$D$4,$D$5,$A20,2)</f>
        <v>0</v>
      </c>
      <c r="C20" cm="1">
        <f t="array" ref="C20">cant_left_initialSlope($D$1,$B$3,$D$4,$D$5,$A20,3)</f>
        <v>0</v>
      </c>
      <c r="D20" cm="1">
        <f t="array" ref="D20">cant_left_initialSlope($D$1,$B$3,$D$4,$D$5,$A20,4)</f>
        <v>1.6666666666666669E-6</v>
      </c>
      <c r="E20" cm="1">
        <f t="array" ref="E20">cant_left_initialSlope($D$1,$B$3,$D$4,$D$5,$A20,5)*12</f>
        <v>-7.9999999999999993E-5</v>
      </c>
    </row>
    <row r="21" spans="1:5" x14ac:dyDescent="0.25">
      <c r="A21">
        <f t="shared" si="0"/>
        <v>6.5</v>
      </c>
      <c r="B21" cm="1">
        <f t="array" ref="B21">cant_left_initialSlope($D$1,$B$3,$D$4,$D$5,$A21,2)</f>
        <v>0</v>
      </c>
      <c r="C21" cm="1">
        <f t="array" ref="C21">cant_left_initialSlope($D$1,$B$3,$D$4,$D$5,$A21,3)</f>
        <v>0</v>
      </c>
      <c r="D21" cm="1">
        <f t="array" ref="D21">cant_left_initialSlope($D$1,$B$3,$D$4,$D$5,$A21,4)</f>
        <v>1.6666666666666669E-6</v>
      </c>
      <c r="E21" cm="1">
        <f t="array" ref="E21">cant_left_initialSlope($D$1,$B$3,$D$4,$D$5,$A21,5)*12</f>
        <v>-6.9999999999999994E-5</v>
      </c>
    </row>
    <row r="22" spans="1:5" x14ac:dyDescent="0.25">
      <c r="A22">
        <f t="shared" si="0"/>
        <v>7</v>
      </c>
      <c r="B22" cm="1">
        <f t="array" ref="B22">cant_left_initialSlope($D$1,$B$3,$D$4,$D$5,$A22,2)</f>
        <v>0</v>
      </c>
      <c r="C22" cm="1">
        <f t="array" ref="C22">cant_left_initialSlope($D$1,$B$3,$D$4,$D$5,$A22,3)</f>
        <v>0</v>
      </c>
      <c r="D22" cm="1">
        <f t="array" ref="D22">cant_left_initialSlope($D$1,$B$3,$D$4,$D$5,$A22,4)</f>
        <v>1.6666666666666669E-6</v>
      </c>
      <c r="E22" cm="1">
        <f t="array" ref="E22">cant_left_initialSlope($D$1,$B$3,$D$4,$D$5,$A22,5)*12</f>
        <v>-5.9999999999999995E-5</v>
      </c>
    </row>
    <row r="23" spans="1:5" x14ac:dyDescent="0.25">
      <c r="A23">
        <f t="shared" si="0"/>
        <v>7.5</v>
      </c>
      <c r="B23" cm="1">
        <f t="array" ref="B23">cant_left_initialSlope($D$1,$B$3,$D$4,$D$5,$A23,2)</f>
        <v>0</v>
      </c>
      <c r="C23" cm="1">
        <f t="array" ref="C23">cant_left_initialSlope($D$1,$B$3,$D$4,$D$5,$A23,3)</f>
        <v>0</v>
      </c>
      <c r="D23" cm="1">
        <f t="array" ref="D23">cant_left_initialSlope($D$1,$B$3,$D$4,$D$5,$A23,4)</f>
        <v>1.6666666666666669E-6</v>
      </c>
      <c r="E23" cm="1">
        <f t="array" ref="E23">cant_left_initialSlope($D$1,$B$3,$D$4,$D$5,$A23,5)*12</f>
        <v>-4.9999999999999996E-5</v>
      </c>
    </row>
    <row r="24" spans="1:5" x14ac:dyDescent="0.25">
      <c r="A24">
        <f t="shared" si="0"/>
        <v>8</v>
      </c>
      <c r="B24" cm="1">
        <f t="array" ref="B24">cant_left_initialSlope($D$1,$B$3,$D$4,$D$5,$A24,2)</f>
        <v>0</v>
      </c>
      <c r="C24" cm="1">
        <f t="array" ref="C24">cant_left_initialSlope($D$1,$B$3,$D$4,$D$5,$A24,3)</f>
        <v>0</v>
      </c>
      <c r="D24" cm="1">
        <f t="array" ref="D24">cant_left_initialSlope($D$1,$B$3,$D$4,$D$5,$A24,4)</f>
        <v>1.6666666666666669E-6</v>
      </c>
      <c r="E24" cm="1">
        <f t="array" ref="E24">cant_left_initialSlope($D$1,$B$3,$D$4,$D$5,$A24,5)*12</f>
        <v>-3.999999999999999E-5</v>
      </c>
    </row>
    <row r="25" spans="1:5" x14ac:dyDescent="0.25">
      <c r="A25">
        <f t="shared" si="0"/>
        <v>8.5</v>
      </c>
      <c r="B25" cm="1">
        <f t="array" ref="B25">cant_left_initialSlope($D$1,$B$3,$D$4,$D$5,$A25,2)</f>
        <v>0</v>
      </c>
      <c r="C25" cm="1">
        <f t="array" ref="C25">cant_left_initialSlope($D$1,$B$3,$D$4,$D$5,$A25,3)</f>
        <v>0</v>
      </c>
      <c r="D25" cm="1">
        <f t="array" ref="D25">cant_left_initialSlope($D$1,$B$3,$D$4,$D$5,$A25,4)</f>
        <v>1.6666666666666669E-6</v>
      </c>
      <c r="E25" cm="1">
        <f t="array" ref="E25">cant_left_initialSlope($D$1,$B$3,$D$4,$D$5,$A25,5)*12</f>
        <v>-2.9999999999999987E-5</v>
      </c>
    </row>
    <row r="26" spans="1:5" x14ac:dyDescent="0.25">
      <c r="A26">
        <f t="shared" si="0"/>
        <v>9</v>
      </c>
      <c r="B26" cm="1">
        <f t="array" ref="B26">cant_left_initialSlope($D$1,$B$3,$D$4,$D$5,$A26,2)</f>
        <v>0</v>
      </c>
      <c r="C26" cm="1">
        <f t="array" ref="C26">cant_left_initialSlope($D$1,$B$3,$D$4,$D$5,$A26,3)</f>
        <v>0</v>
      </c>
      <c r="D26" cm="1">
        <f t="array" ref="D26">cant_left_initialSlope($D$1,$B$3,$D$4,$D$5,$A26,4)</f>
        <v>1.6666666666666669E-6</v>
      </c>
      <c r="E26" cm="1">
        <f t="array" ref="E26">cant_left_initialSlope($D$1,$B$3,$D$4,$D$5,$A26,5)*12</f>
        <v>-1.9999999999999988E-5</v>
      </c>
    </row>
    <row r="27" spans="1:5" x14ac:dyDescent="0.25">
      <c r="A27">
        <f t="shared" si="0"/>
        <v>9.5</v>
      </c>
      <c r="B27" cm="1">
        <f t="array" ref="B27">cant_left_initialSlope($D$1,$B$3,$D$4,$D$5,$A27,2)</f>
        <v>0</v>
      </c>
      <c r="C27" cm="1">
        <f t="array" ref="C27">cant_left_initialSlope($D$1,$B$3,$D$4,$D$5,$A27,3)</f>
        <v>0</v>
      </c>
      <c r="D27" cm="1">
        <f t="array" ref="D27">cant_left_initialSlope($D$1,$B$3,$D$4,$D$5,$A27,4)</f>
        <v>1.6666666666666669E-6</v>
      </c>
      <c r="E27" cm="1">
        <f t="array" ref="E27">cant_left_initialSlope($D$1,$B$3,$D$4,$D$5,$A27,5)*12</f>
        <v>-9.9999999999999856E-6</v>
      </c>
    </row>
    <row r="28" spans="1:5" x14ac:dyDescent="0.25">
      <c r="A28">
        <f t="shared" si="0"/>
        <v>10</v>
      </c>
      <c r="B28" cm="1">
        <f t="array" ref="B28">cant_left_initialSlope($D$1,$B$3,$D$4,$D$5,$A28,2)</f>
        <v>0</v>
      </c>
      <c r="C28" cm="1">
        <f t="array" ref="C28">cant_left_initialSlope($D$1,$B$3,$D$4,$D$5,$A28,3)</f>
        <v>0</v>
      </c>
      <c r="D28" cm="1">
        <f t="array" ref="D28">cant_left_initialSlope($D$1,$B$3,$D$4,$D$5,$A28,4)</f>
        <v>1.6666666666666669E-6</v>
      </c>
      <c r="E28" cm="1">
        <f t="array" ref="E28">cant_left_initialSlope($D$1,$B$3,$D$4,$D$5,$A28,5)*12</f>
        <v>1.5246593050577406E-20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BE835-E661-47FC-9406-381923D40CE2}">
  <sheetPr codeName="Sheet11"/>
  <dimension ref="A1:M28"/>
  <sheetViews>
    <sheetView workbookViewId="0">
      <selection activeCell="B2" sqref="B2"/>
    </sheetView>
  </sheetViews>
  <sheetFormatPr defaultRowHeight="15" x14ac:dyDescent="0.25"/>
  <sheetData>
    <row r="1" spans="1:13" x14ac:dyDescent="0.25">
      <c r="A1" t="s">
        <v>0</v>
      </c>
      <c r="B1" s="3">
        <v>1</v>
      </c>
      <c r="C1" t="s">
        <v>1</v>
      </c>
      <c r="G1" t="s">
        <v>16</v>
      </c>
      <c r="H1">
        <v>20</v>
      </c>
      <c r="K1" s="2" t="s">
        <v>18</v>
      </c>
      <c r="L1" cm="1">
        <f t="array" ref="L1">cant_left_point_load($B$1,$B$2,$B$3,$D$4,$D$5,$A8,6)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cant_left_point_load($B$1,$B$2,$B$3,$D$4,$D$5,$A8,7)</f>
        <v>-5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cant_left_point_load($B$1,$B$2,$B$3,$D$4,$D$5,$A8,0)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cant_left_point_load($B$1,$B$2,$B$3,$D$4,$D$5,$A8,1)</f>
        <v>1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cant_left_point_load($B$1,$B$2,$B$3,$D$4,$D$5,$A8,2)</f>
        <v>0</v>
      </c>
      <c r="C8" cm="1">
        <f t="array" ref="C8">cant_left_point_load($B$1,$B$2,$B$3,$D$4,$D$5,$A8,3)</f>
        <v>0</v>
      </c>
      <c r="D8" cm="1">
        <f t="array" ref="D8">cant_left_point_load($B$1,$B$2,$B$3,$D$4,$D$5,$A8,4)</f>
        <v>2.0152261531571876E-3</v>
      </c>
      <c r="E8" cm="1">
        <f t="array" ref="E8">cant_left_point_load($B$1,$B$2,$B$3,$D$4,$D$5,$A8,5)*12</f>
        <v>-0.2015226153157188</v>
      </c>
    </row>
    <row r="9" spans="1:13" x14ac:dyDescent="0.25">
      <c r="A9">
        <f>A8+$H$2</f>
        <v>0.5</v>
      </c>
      <c r="B9" cm="1">
        <f t="array" ref="B9">cant_left_point_load($B$1,$B$2,$B$3,$D$4,$D$5,$A9,2)</f>
        <v>0</v>
      </c>
      <c r="C9" cm="1">
        <f t="array" ref="C9">cant_left_point_load($B$1,$B$2,$B$3,$D$4,$D$5,$A9,3)</f>
        <v>0</v>
      </c>
      <c r="D9" cm="1">
        <f t="array" ref="D9">cant_left_point_load($B$1,$B$2,$B$3,$D$4,$D$5,$A9,4)</f>
        <v>2.0152261531571876E-3</v>
      </c>
      <c r="E9" cm="1">
        <f t="array" ref="E9">cant_left_point_load($B$1,$B$2,$B$3,$D$4,$D$5,$A9,5)*12</f>
        <v>-0.18943125839677566</v>
      </c>
    </row>
    <row r="10" spans="1:13" x14ac:dyDescent="0.25">
      <c r="A10">
        <f t="shared" ref="A10:A28" si="0">A9+$H$2</f>
        <v>1</v>
      </c>
      <c r="B10" cm="1">
        <f t="array" ref="B10">cant_left_point_load($B$1,$B$2,$B$3,$D$4,$D$5,$A10,2)</f>
        <v>0</v>
      </c>
      <c r="C10" cm="1">
        <f t="array" ref="C10">cant_left_point_load($B$1,$B$2,$B$3,$D$4,$D$5,$A10,3)</f>
        <v>0</v>
      </c>
      <c r="D10" cm="1">
        <f t="array" ref="D10">cant_left_point_load($B$1,$B$2,$B$3,$D$4,$D$5,$A10,4)</f>
        <v>2.0152261531571876E-3</v>
      </c>
      <c r="E10" cm="1">
        <f t="array" ref="E10">cant_left_point_load($B$1,$B$2,$B$3,$D$4,$D$5,$A10,5)*12</f>
        <v>-0.17733990147783252</v>
      </c>
    </row>
    <row r="11" spans="1:13" x14ac:dyDescent="0.25">
      <c r="A11">
        <f t="shared" si="0"/>
        <v>1.5</v>
      </c>
      <c r="B11" cm="1">
        <f t="array" ref="B11">cant_left_point_load($B$1,$B$2,$B$3,$D$4,$D$5,$A11,2)</f>
        <v>0</v>
      </c>
      <c r="C11" cm="1">
        <f t="array" ref="C11">cant_left_point_load($B$1,$B$2,$B$3,$D$4,$D$5,$A11,3)</f>
        <v>0</v>
      </c>
      <c r="D11" cm="1">
        <f t="array" ref="D11">cant_left_point_load($B$1,$B$2,$B$3,$D$4,$D$5,$A11,4)</f>
        <v>2.0152261531571876E-3</v>
      </c>
      <c r="E11" cm="1">
        <f t="array" ref="E11">cant_left_point_load($B$1,$B$2,$B$3,$D$4,$D$5,$A11,5)*12</f>
        <v>-0.16524854455888938</v>
      </c>
    </row>
    <row r="12" spans="1:13" x14ac:dyDescent="0.25">
      <c r="A12">
        <f t="shared" si="0"/>
        <v>2</v>
      </c>
      <c r="B12" cm="1">
        <f t="array" ref="B12">cant_left_point_load($B$1,$B$2,$B$3,$D$4,$D$5,$A12,2)</f>
        <v>0</v>
      </c>
      <c r="C12" cm="1">
        <f t="array" ref="C12">cant_left_point_load($B$1,$B$2,$B$3,$D$4,$D$5,$A12,3)</f>
        <v>0</v>
      </c>
      <c r="D12" cm="1">
        <f t="array" ref="D12">cant_left_point_load($B$1,$B$2,$B$3,$D$4,$D$5,$A12,4)</f>
        <v>2.0152261531571876E-3</v>
      </c>
      <c r="E12" cm="1">
        <f t="array" ref="E12">cant_left_point_load($B$1,$B$2,$B$3,$D$4,$D$5,$A12,5)*12</f>
        <v>-0.15315718763994626</v>
      </c>
    </row>
    <row r="13" spans="1:13" x14ac:dyDescent="0.25">
      <c r="A13">
        <f t="shared" si="0"/>
        <v>2.5</v>
      </c>
      <c r="B13" cm="1">
        <f t="array" ref="B13">cant_left_point_load($B$1,$B$2,$B$3,$D$4,$D$5,$A13,2)</f>
        <v>0</v>
      </c>
      <c r="C13" cm="1">
        <f t="array" ref="C13">cant_left_point_load($B$1,$B$2,$B$3,$D$4,$D$5,$A13,3)</f>
        <v>0</v>
      </c>
      <c r="D13" cm="1">
        <f t="array" ref="D13">cant_left_point_load($B$1,$B$2,$B$3,$D$4,$D$5,$A13,4)</f>
        <v>2.0152261531571876E-3</v>
      </c>
      <c r="E13" cm="1">
        <f t="array" ref="E13">cant_left_point_load($B$1,$B$2,$B$3,$D$4,$D$5,$A13,5)*12</f>
        <v>-0.14106583072100315</v>
      </c>
    </row>
    <row r="14" spans="1:13" x14ac:dyDescent="0.25">
      <c r="A14">
        <f t="shared" si="0"/>
        <v>3</v>
      </c>
      <c r="B14" cm="1">
        <f t="array" ref="B14">cant_left_point_load($B$1,$B$2,$B$3,$D$4,$D$5,$A14,2)</f>
        <v>0</v>
      </c>
      <c r="C14" cm="1">
        <f t="array" ref="C14">cant_left_point_load($B$1,$B$2,$B$3,$D$4,$D$5,$A14,3)</f>
        <v>0</v>
      </c>
      <c r="D14" cm="1">
        <f t="array" ref="D14">cant_left_point_load($B$1,$B$2,$B$3,$D$4,$D$5,$A14,4)</f>
        <v>2.0152261531571876E-3</v>
      </c>
      <c r="E14" cm="1">
        <f t="array" ref="E14">cant_left_point_load($B$1,$B$2,$B$3,$D$4,$D$5,$A14,5)*12</f>
        <v>-0.12897447380206001</v>
      </c>
    </row>
    <row r="15" spans="1:13" x14ac:dyDescent="0.25">
      <c r="A15">
        <f t="shared" si="0"/>
        <v>3.5</v>
      </c>
      <c r="B15" cm="1">
        <f t="array" ref="B15">cant_left_point_load($B$1,$B$2,$B$3,$D$4,$D$5,$A15,2)</f>
        <v>0</v>
      </c>
      <c r="C15" cm="1">
        <f t="array" ref="C15">cant_left_point_load($B$1,$B$2,$B$3,$D$4,$D$5,$A15,3)</f>
        <v>0</v>
      </c>
      <c r="D15" cm="1">
        <f t="array" ref="D15">cant_left_point_load($B$1,$B$2,$B$3,$D$4,$D$5,$A15,4)</f>
        <v>2.0152261531571876E-3</v>
      </c>
      <c r="E15" cm="1">
        <f t="array" ref="E15">cant_left_point_load($B$1,$B$2,$B$3,$D$4,$D$5,$A15,5)*12</f>
        <v>-0.11688311688311688</v>
      </c>
    </row>
    <row r="16" spans="1:13" x14ac:dyDescent="0.25">
      <c r="A16">
        <f t="shared" si="0"/>
        <v>4</v>
      </c>
      <c r="B16" cm="1">
        <f t="array" ref="B16">cant_left_point_load($B$1,$B$2,$B$3,$D$4,$D$5,$A16,2)</f>
        <v>0</v>
      </c>
      <c r="C16" cm="1">
        <f t="array" ref="C16">cant_left_point_load($B$1,$B$2,$B$3,$D$4,$D$5,$A16,3)</f>
        <v>0</v>
      </c>
      <c r="D16" cm="1">
        <f t="array" ref="D16">cant_left_point_load($B$1,$B$2,$B$3,$D$4,$D$5,$A16,4)</f>
        <v>2.0152261531571876E-3</v>
      </c>
      <c r="E16" cm="1">
        <f t="array" ref="E16">cant_left_point_load($B$1,$B$2,$B$3,$D$4,$D$5,$A16,5)*12</f>
        <v>-0.10479175996417375</v>
      </c>
    </row>
    <row r="17" spans="1:5" x14ac:dyDescent="0.25">
      <c r="A17">
        <f t="shared" si="0"/>
        <v>4.5</v>
      </c>
      <c r="B17" cm="1">
        <f t="array" ref="B17">cant_left_point_load($B$1,$B$2,$B$3,$D$4,$D$5,$A17,2)</f>
        <v>0</v>
      </c>
      <c r="C17" cm="1">
        <f t="array" ref="C17">cant_left_point_load($B$1,$B$2,$B$3,$D$4,$D$5,$A17,3)</f>
        <v>0</v>
      </c>
      <c r="D17" cm="1">
        <f t="array" ref="D17">cant_left_point_load($B$1,$B$2,$B$3,$D$4,$D$5,$A17,4)</f>
        <v>2.0152261531571876E-3</v>
      </c>
      <c r="E17" cm="1">
        <f t="array" ref="E17">cant_left_point_load($B$1,$B$2,$B$3,$D$4,$D$5,$A17,5)*12</f>
        <v>-9.2700403045230639E-2</v>
      </c>
    </row>
    <row r="18" spans="1:5" x14ac:dyDescent="0.25">
      <c r="A18">
        <f t="shared" si="0"/>
        <v>5</v>
      </c>
      <c r="B18" cm="1">
        <f t="array" ref="B18">cant_left_point_load($B$1,$B$2,$B$3,$D$4,$D$5,$A18,2)</f>
        <v>0</v>
      </c>
      <c r="C18" cm="1">
        <f t="array" ref="C18">cant_left_point_load($B$1,$B$2,$B$3,$D$4,$D$5,$A18,3)</f>
        <v>0</v>
      </c>
      <c r="D18" cm="1">
        <f t="array" ref="D18">cant_left_point_load($B$1,$B$2,$B$3,$D$4,$D$5,$A18,4)</f>
        <v>2.0152261531571876E-3</v>
      </c>
      <c r="E18" cm="1">
        <f t="array" ref="E18">cant_left_point_load($B$1,$B$2,$B$3,$D$4,$D$5,$A18,5)*12</f>
        <v>-8.0609046126287512E-2</v>
      </c>
    </row>
    <row r="19" spans="1:5" x14ac:dyDescent="0.25">
      <c r="A19">
        <f t="shared" si="0"/>
        <v>5.5</v>
      </c>
      <c r="B19" cm="1">
        <f t="array" ref="B19">cant_left_point_load($B$1,$B$2,$B$3,$D$4,$D$5,$A19,2)</f>
        <v>-1</v>
      </c>
      <c r="C19" cm="1">
        <f t="array" ref="C19">cant_left_point_load($B$1,$B$2,$B$3,$D$4,$D$5,$A19,3)</f>
        <v>-0.5</v>
      </c>
      <c r="D19" cm="1">
        <f t="array" ref="D19">cant_left_point_load($B$1,$B$2,$B$3,$D$4,$D$5,$A19,4)</f>
        <v>1.9950738916256158E-3</v>
      </c>
      <c r="E19" cm="1">
        <f t="array" ref="E19">cant_left_point_load($B$1,$B$2,$B$3,$D$4,$D$5,$A19,5)*12</f>
        <v>-6.8557993730407524E-2</v>
      </c>
    </row>
    <row r="20" spans="1:5" x14ac:dyDescent="0.25">
      <c r="A20">
        <f t="shared" si="0"/>
        <v>6</v>
      </c>
      <c r="B20" cm="1">
        <f t="array" ref="B20">cant_left_point_load($B$1,$B$2,$B$3,$D$4,$D$5,$A20,2)</f>
        <v>-1</v>
      </c>
      <c r="C20" cm="1">
        <f t="array" ref="C20">cant_left_point_load($B$1,$B$2,$B$3,$D$4,$D$5,$A20,3)</f>
        <v>-1</v>
      </c>
      <c r="D20" cm="1">
        <f t="array" ref="D20">cant_left_point_load($B$1,$B$2,$B$3,$D$4,$D$5,$A20,4)</f>
        <v>1.9346171070309E-3</v>
      </c>
      <c r="E20" cm="1">
        <f t="array" ref="E20">cant_left_point_load($B$1,$B$2,$B$3,$D$4,$D$5,$A20,5)*12</f>
        <v>-5.6748768472906413E-2</v>
      </c>
    </row>
    <row r="21" spans="1:5" x14ac:dyDescent="0.25">
      <c r="A21">
        <f t="shared" si="0"/>
        <v>6.5</v>
      </c>
      <c r="B21" cm="1">
        <f t="array" ref="B21">cant_left_point_load($B$1,$B$2,$B$3,$D$4,$D$5,$A21,2)</f>
        <v>-1</v>
      </c>
      <c r="C21" cm="1">
        <f t="array" ref="C21">cant_left_point_load($B$1,$B$2,$B$3,$D$4,$D$5,$A21,3)</f>
        <v>-1.5</v>
      </c>
      <c r="D21" cm="1">
        <f t="array" ref="D21">cant_left_point_load($B$1,$B$2,$B$3,$D$4,$D$5,$A21,4)</f>
        <v>1.8338557993730408E-3</v>
      </c>
      <c r="E21" cm="1">
        <f t="array" ref="E21">cant_left_point_load($B$1,$B$2,$B$3,$D$4,$D$5,$A21,5)*12</f>
        <v>-4.5423197492163017E-2</v>
      </c>
    </row>
    <row r="22" spans="1:5" x14ac:dyDescent="0.25">
      <c r="A22">
        <f t="shared" si="0"/>
        <v>7</v>
      </c>
      <c r="B22" cm="1">
        <f t="array" ref="B22">cant_left_point_load($B$1,$B$2,$B$3,$D$4,$D$5,$A22,2)</f>
        <v>-1</v>
      </c>
      <c r="C22" cm="1">
        <f t="array" ref="C22">cant_left_point_load($B$1,$B$2,$B$3,$D$4,$D$5,$A22,3)</f>
        <v>-2</v>
      </c>
      <c r="D22" cm="1">
        <f t="array" ref="D22">cant_left_point_load($B$1,$B$2,$B$3,$D$4,$D$5,$A22,4)</f>
        <v>1.6927899686520376E-3</v>
      </c>
      <c r="E22" cm="1">
        <f t="array" ref="E22">cant_left_point_load($B$1,$B$2,$B$3,$D$4,$D$5,$A22,5)*12</f>
        <v>-3.4823107926556213E-2</v>
      </c>
    </row>
    <row r="23" spans="1:5" x14ac:dyDescent="0.25">
      <c r="A23">
        <f t="shared" si="0"/>
        <v>7.5</v>
      </c>
      <c r="B23" cm="1">
        <f t="array" ref="B23">cant_left_point_load($B$1,$B$2,$B$3,$D$4,$D$5,$A23,2)</f>
        <v>-1</v>
      </c>
      <c r="C23" cm="1">
        <f t="array" ref="C23">cant_left_point_load($B$1,$B$2,$B$3,$D$4,$D$5,$A23,3)</f>
        <v>-2.5</v>
      </c>
      <c r="D23" cm="1">
        <f t="array" ref="D23">cant_left_point_load($B$1,$B$2,$B$3,$D$4,$D$5,$A23,4)</f>
        <v>1.5114196148678907E-3</v>
      </c>
      <c r="E23" cm="1">
        <f t="array" ref="E23">cant_left_point_load($B$1,$B$2,$B$3,$D$4,$D$5,$A23,5)*12</f>
        <v>-2.5190326914464854E-2</v>
      </c>
    </row>
    <row r="24" spans="1:5" x14ac:dyDescent="0.25">
      <c r="A24">
        <f t="shared" si="0"/>
        <v>8</v>
      </c>
      <c r="B24" cm="1">
        <f t="array" ref="B24">cant_left_point_load($B$1,$B$2,$B$3,$D$4,$D$5,$A24,2)</f>
        <v>-1</v>
      </c>
      <c r="C24" cm="1">
        <f t="array" ref="C24">cant_left_point_load($B$1,$B$2,$B$3,$D$4,$D$5,$A24,3)</f>
        <v>-3</v>
      </c>
      <c r="D24" cm="1">
        <f t="array" ref="D24">cant_left_point_load($B$1,$B$2,$B$3,$D$4,$D$5,$A24,4)</f>
        <v>1.2897447380206001E-3</v>
      </c>
      <c r="E24" cm="1">
        <f t="array" ref="E24">cant_left_point_load($B$1,$B$2,$B$3,$D$4,$D$5,$A24,5)*12</f>
        <v>-1.6766681594267807E-2</v>
      </c>
    </row>
    <row r="25" spans="1:5" x14ac:dyDescent="0.25">
      <c r="A25">
        <f t="shared" si="0"/>
        <v>8.5</v>
      </c>
      <c r="B25" cm="1">
        <f t="array" ref="B25">cant_left_point_load($B$1,$B$2,$B$3,$D$4,$D$5,$A25,2)</f>
        <v>-1</v>
      </c>
      <c r="C25" cm="1">
        <f t="array" ref="C25">cant_left_point_load($B$1,$B$2,$B$3,$D$4,$D$5,$A25,3)</f>
        <v>-3.5</v>
      </c>
      <c r="D25" cm="1">
        <f t="array" ref="D25">cant_left_point_load($B$1,$B$2,$B$3,$D$4,$D$5,$A25,4)</f>
        <v>1.0277653381101657E-3</v>
      </c>
      <c r="E25" cm="1">
        <f t="array" ref="E25">cant_left_point_load($B$1,$B$2,$B$3,$D$4,$D$5,$A25,5)*12</f>
        <v>-9.7939991043439409E-3</v>
      </c>
    </row>
    <row r="26" spans="1:5" x14ac:dyDescent="0.25">
      <c r="A26">
        <f t="shared" si="0"/>
        <v>9</v>
      </c>
      <c r="B26" cm="1">
        <f t="array" ref="B26">cant_left_point_load($B$1,$B$2,$B$3,$D$4,$D$5,$A26,2)</f>
        <v>-1</v>
      </c>
      <c r="C26" cm="1">
        <f t="array" ref="C26">cant_left_point_load($B$1,$B$2,$B$3,$D$4,$D$5,$A26,3)</f>
        <v>-4</v>
      </c>
      <c r="D26" cm="1">
        <f t="array" ref="D26">cant_left_point_load($B$1,$B$2,$B$3,$D$4,$D$5,$A26,4)</f>
        <v>7.2548141513658747E-4</v>
      </c>
      <c r="E26" cm="1">
        <f t="array" ref="E26">cant_left_point_load($B$1,$B$2,$B$3,$D$4,$D$5,$A26,5)*12</f>
        <v>-4.5141065830721092E-3</v>
      </c>
    </row>
    <row r="27" spans="1:5" x14ac:dyDescent="0.25">
      <c r="A27">
        <f t="shared" si="0"/>
        <v>9.5</v>
      </c>
      <c r="B27" cm="1">
        <f t="array" ref="B27">cant_left_point_load($B$1,$B$2,$B$3,$D$4,$D$5,$A27,2)</f>
        <v>-1</v>
      </c>
      <c r="C27" cm="1">
        <f t="array" ref="C27">cant_left_point_load($B$1,$B$2,$B$3,$D$4,$D$5,$A27,3)</f>
        <v>-4.5</v>
      </c>
      <c r="D27" cm="1">
        <f t="array" ref="D27">cant_left_point_load($B$1,$B$2,$B$3,$D$4,$D$5,$A27,4)</f>
        <v>3.8289296909986564E-4</v>
      </c>
      <c r="E27" cm="1">
        <f t="array" ref="E27">cant_left_point_load($B$1,$B$2,$B$3,$D$4,$D$5,$A27,5)*12</f>
        <v>-1.1688311688311779E-3</v>
      </c>
    </row>
    <row r="28" spans="1:5" x14ac:dyDescent="0.25">
      <c r="A28">
        <f t="shared" si="0"/>
        <v>10</v>
      </c>
      <c r="B28" cm="1">
        <f t="array" ref="B28">cant_left_point_load($B$1,$B$2,$B$3,$D$4,$D$5,$A28,2)</f>
        <v>-1</v>
      </c>
      <c r="C28" cm="1">
        <f t="array" ref="C28">cant_left_point_load($B$1,$B$2,$B$3,$D$4,$D$5,$A28,3)</f>
        <v>-5</v>
      </c>
      <c r="D28" cm="1">
        <f t="array" ref="D28">cant_left_point_load($B$1,$B$2,$B$3,$D$4,$D$5,$A28,4)</f>
        <v>0</v>
      </c>
      <c r="E28" cm="1">
        <f t="array" ref="E28">cant_left_point_load($B$1,$B$2,$B$3,$D$4,$D$5,$A28,5)*12</f>
        <v>-9.1686622468036326E-18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9EF9E-F855-4FC4-A269-1D61C249654D}">
  <sheetPr codeName="Sheet12"/>
  <dimension ref="A1:M28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20</v>
      </c>
      <c r="B1" s="3">
        <v>1</v>
      </c>
      <c r="C1" t="s">
        <v>21</v>
      </c>
      <c r="G1" t="s">
        <v>16</v>
      </c>
      <c r="H1">
        <v>20</v>
      </c>
      <c r="K1" s="2" t="s">
        <v>18</v>
      </c>
      <c r="L1" cm="1">
        <f t="array" ref="L1">cant_left_point_moment($B$1,$B$2,$B$3,$D$4,$D$5,$A8,6)</f>
        <v>0</v>
      </c>
      <c r="M1" t="s">
        <v>28</v>
      </c>
    </row>
    <row r="2" spans="1:13" x14ac:dyDescent="0.25">
      <c r="A2" t="s">
        <v>2</v>
      </c>
      <c r="B2" s="3">
        <v>5</v>
      </c>
      <c r="C2" t="s">
        <v>3</v>
      </c>
      <c r="G2" t="s">
        <v>17</v>
      </c>
      <c r="H2">
        <f>(B3)/H1</f>
        <v>0.5</v>
      </c>
      <c r="K2" s="2" t="s">
        <v>19</v>
      </c>
      <c r="L2" cm="1">
        <f t="array" ref="L2">cant_left_point_moment($B$1,$B$2,$B$3,$D$4,$D$5,$A8,7)</f>
        <v>1</v>
      </c>
      <c r="M2" t="s">
        <v>28</v>
      </c>
    </row>
    <row r="3" spans="1:13" x14ac:dyDescent="0.25">
      <c r="A3" t="s">
        <v>4</v>
      </c>
      <c r="B3" s="3">
        <v>10</v>
      </c>
      <c r="C3" t="s">
        <v>3</v>
      </c>
    </row>
    <row r="4" spans="1:13" x14ac:dyDescent="0.25">
      <c r="A4" t="s">
        <v>5</v>
      </c>
      <c r="B4" s="3">
        <v>29000</v>
      </c>
      <c r="C4" t="s">
        <v>6</v>
      </c>
      <c r="D4" s="1">
        <f>B4*12^2</f>
        <v>4176000</v>
      </c>
      <c r="E4" t="s">
        <v>9</v>
      </c>
      <c r="K4" s="2" t="s">
        <v>25</v>
      </c>
      <c r="L4" cm="1">
        <f t="array" ref="L4">cant_left_point_moment($B$1,$B$2,$B$3,$D$4,$D$5,$A8,0)</f>
        <v>0</v>
      </c>
      <c r="M4" t="s">
        <v>27</v>
      </c>
    </row>
    <row r="5" spans="1:13" x14ac:dyDescent="0.25">
      <c r="A5" t="s">
        <v>7</v>
      </c>
      <c r="B5" s="3">
        <v>30.8</v>
      </c>
      <c r="C5" t="s">
        <v>8</v>
      </c>
      <c r="D5" s="1">
        <f>B5/POWER(12,4)</f>
        <v>1.4853395061728396E-3</v>
      </c>
      <c r="E5" t="s">
        <v>10</v>
      </c>
      <c r="K5" s="2" t="s">
        <v>26</v>
      </c>
      <c r="L5" cm="1">
        <f t="array" ref="L5">cant_left_point_moment($B$1,$B$2,$B$3,$D$4,$D$5,$A8,1)</f>
        <v>0</v>
      </c>
      <c r="M5" t="s">
        <v>27</v>
      </c>
    </row>
    <row r="7" spans="1:13" x14ac:dyDescent="0.25">
      <c r="A7" s="1" t="s">
        <v>11</v>
      </c>
      <c r="B7" s="1" t="s">
        <v>12</v>
      </c>
      <c r="C7" s="1" t="s">
        <v>13</v>
      </c>
      <c r="D7" s="1" t="s">
        <v>14</v>
      </c>
      <c r="E7" s="1" t="s">
        <v>15</v>
      </c>
    </row>
    <row r="8" spans="1:13" x14ac:dyDescent="0.25">
      <c r="A8">
        <v>0</v>
      </c>
      <c r="B8" cm="1">
        <f t="array" ref="B8">cant_left_point_moment($B$1,$B$2,$B$3,$D$4,$D$5,$A8,2)</f>
        <v>0</v>
      </c>
      <c r="C8" cm="1">
        <f t="array" ref="C8">cant_left_point_moment($B$1,$B$2,$B$3,$D$4,$D$5,$A8,3)</f>
        <v>0</v>
      </c>
      <c r="D8" cm="1">
        <f t="array" ref="D8">cant_left_point_moment($B$1,$B$2,$B$3,$D$4,$D$5,$A8,4)</f>
        <v>-8.0609046126287498E-4</v>
      </c>
      <c r="E8" cm="1">
        <f t="array" ref="E8">cant_left_point_moment($B$1,$B$2,$B$3,$D$4,$D$5,$A8,5)*12</f>
        <v>7.2548141513658751E-2</v>
      </c>
    </row>
    <row r="9" spans="1:13" x14ac:dyDescent="0.25">
      <c r="A9">
        <f>A8+$H$2</f>
        <v>0.5</v>
      </c>
      <c r="B9" cm="1">
        <f t="array" ref="B9">cant_left_point_moment($B$1,$B$2,$B$3,$D$4,$D$5,$A9,2)</f>
        <v>0</v>
      </c>
      <c r="C9" cm="1">
        <f t="array" ref="C9">cant_left_point_moment($B$1,$B$2,$B$3,$D$4,$D$5,$A9,3)</f>
        <v>0</v>
      </c>
      <c r="D9" cm="1">
        <f t="array" ref="D9">cant_left_point_moment($B$1,$B$2,$B$3,$D$4,$D$5,$A9,4)</f>
        <v>-8.0609046126287498E-4</v>
      </c>
      <c r="E9" cm="1">
        <f t="array" ref="E9">cant_left_point_moment($B$1,$B$2,$B$3,$D$4,$D$5,$A9,5)*12</f>
        <v>6.77115987460815E-2</v>
      </c>
    </row>
    <row r="10" spans="1:13" x14ac:dyDescent="0.25">
      <c r="A10">
        <f t="shared" ref="A10:A12" si="0">A9+$H$2</f>
        <v>1</v>
      </c>
      <c r="B10" cm="1">
        <f t="array" ref="B10">cant_left_point_moment($B$1,$B$2,$B$3,$D$4,$D$5,$A10,2)</f>
        <v>0</v>
      </c>
      <c r="C10" cm="1">
        <f t="array" ref="C10">cant_left_point_moment($B$1,$B$2,$B$3,$D$4,$D$5,$A10,3)</f>
        <v>0</v>
      </c>
      <c r="D10" cm="1">
        <f t="array" ref="D10">cant_left_point_moment($B$1,$B$2,$B$3,$D$4,$D$5,$A10,4)</f>
        <v>-8.0609046126287498E-4</v>
      </c>
      <c r="E10" cm="1">
        <f t="array" ref="E10">cant_left_point_moment($B$1,$B$2,$B$3,$D$4,$D$5,$A10,5)*12</f>
        <v>6.2875055978504263E-2</v>
      </c>
    </row>
    <row r="11" spans="1:13" x14ac:dyDescent="0.25">
      <c r="A11">
        <f t="shared" si="0"/>
        <v>1.5</v>
      </c>
      <c r="B11" cm="1">
        <f t="array" ref="B11">cant_left_point_moment($B$1,$B$2,$B$3,$D$4,$D$5,$A11,2)</f>
        <v>0</v>
      </c>
      <c r="C11" cm="1">
        <f t="array" ref="C11">cant_left_point_moment($B$1,$B$2,$B$3,$D$4,$D$5,$A11,3)</f>
        <v>0</v>
      </c>
      <c r="D11" cm="1">
        <f t="array" ref="D11">cant_left_point_moment($B$1,$B$2,$B$3,$D$4,$D$5,$A11,4)</f>
        <v>-8.0609046126287498E-4</v>
      </c>
      <c r="E11" cm="1">
        <f t="array" ref="E11">cant_left_point_moment($B$1,$B$2,$B$3,$D$4,$D$5,$A11,5)*12</f>
        <v>5.8038513210926998E-2</v>
      </c>
    </row>
    <row r="12" spans="1:13" x14ac:dyDescent="0.25">
      <c r="A12">
        <f t="shared" si="0"/>
        <v>2</v>
      </c>
      <c r="B12" cm="1">
        <f t="array" ref="B12">cant_left_point_moment($B$1,$B$2,$B$3,$D$4,$D$5,$A12,2)</f>
        <v>0</v>
      </c>
      <c r="C12" cm="1">
        <f t="array" ref="C12">cant_left_point_moment($B$1,$B$2,$B$3,$D$4,$D$5,$A12,3)</f>
        <v>0</v>
      </c>
      <c r="D12" cm="1">
        <f t="array" ref="D12">cant_left_point_moment($B$1,$B$2,$B$3,$D$4,$D$5,$A12,4)</f>
        <v>-8.0609046126287498E-4</v>
      </c>
      <c r="E12" cm="1">
        <f t="array" ref="E12">cant_left_point_moment($B$1,$B$2,$B$3,$D$4,$D$5,$A12,5)*12</f>
        <v>5.3201970443349747E-2</v>
      </c>
    </row>
    <row r="13" spans="1:13" x14ac:dyDescent="0.25">
      <c r="A13">
        <f>A12+$H$2</f>
        <v>2.5</v>
      </c>
      <c r="B13" cm="1">
        <f t="array" ref="B13">cant_left_point_moment($B$1,$B$2,$B$3,$D$4,$D$5,$A13,2)</f>
        <v>0</v>
      </c>
      <c r="C13" cm="1">
        <f t="array" ref="C13">cant_left_point_moment($B$1,$B$2,$B$3,$D$4,$D$5,$A13,3)</f>
        <v>0</v>
      </c>
      <c r="D13" cm="1">
        <f t="array" ref="D13">cant_left_point_moment($B$1,$B$2,$B$3,$D$4,$D$5,$A13,4)</f>
        <v>-8.0609046126287498E-4</v>
      </c>
      <c r="E13" cm="1">
        <f t="array" ref="E13">cant_left_point_moment($B$1,$B$2,$B$3,$D$4,$D$5,$A13,5)*12</f>
        <v>4.8365427675772503E-2</v>
      </c>
    </row>
    <row r="14" spans="1:13" x14ac:dyDescent="0.25">
      <c r="A14">
        <f>A13+$H$2</f>
        <v>3</v>
      </c>
      <c r="B14" cm="1">
        <f t="array" ref="B14">cant_left_point_moment($B$1,$B$2,$B$3,$D$4,$D$5,$A14,2)</f>
        <v>0</v>
      </c>
      <c r="C14" cm="1">
        <f t="array" ref="C14">cant_left_point_moment($B$1,$B$2,$B$3,$D$4,$D$5,$A14,3)</f>
        <v>0</v>
      </c>
      <c r="D14" cm="1">
        <f t="array" ref="D14">cant_left_point_moment($B$1,$B$2,$B$3,$D$4,$D$5,$A14,4)</f>
        <v>-8.0609046126287498E-4</v>
      </c>
      <c r="E14" cm="1">
        <f t="array" ref="E14">cant_left_point_moment($B$1,$B$2,$B$3,$D$4,$D$5,$A14,5)*12</f>
        <v>4.3528884908195252E-2</v>
      </c>
    </row>
    <row r="15" spans="1:13" x14ac:dyDescent="0.25">
      <c r="A15">
        <f>A14+$H$2</f>
        <v>3.5</v>
      </c>
      <c r="B15" cm="1">
        <f t="array" ref="B15">cant_left_point_moment($B$1,$B$2,$B$3,$D$4,$D$5,$A15,2)</f>
        <v>0</v>
      </c>
      <c r="C15" cm="1">
        <f t="array" ref="C15">cant_left_point_moment($B$1,$B$2,$B$3,$D$4,$D$5,$A15,3)</f>
        <v>0</v>
      </c>
      <c r="D15" cm="1">
        <f t="array" ref="D15">cant_left_point_moment($B$1,$B$2,$B$3,$D$4,$D$5,$A15,4)</f>
        <v>-8.0609046126287498E-4</v>
      </c>
      <c r="E15" cm="1">
        <f t="array" ref="E15">cant_left_point_moment($B$1,$B$2,$B$3,$D$4,$D$5,$A15,5)*12</f>
        <v>3.8692342140618001E-2</v>
      </c>
    </row>
    <row r="16" spans="1:13" x14ac:dyDescent="0.25">
      <c r="A16">
        <f>A15+$H$2</f>
        <v>4</v>
      </c>
      <c r="B16" cm="1">
        <f t="array" ref="B16">cant_left_point_moment($B$1,$B$2,$B$3,$D$4,$D$5,$A16,2)</f>
        <v>0</v>
      </c>
      <c r="C16" cm="1">
        <f t="array" ref="C16">cant_left_point_moment($B$1,$B$2,$B$3,$D$4,$D$5,$A16,3)</f>
        <v>0</v>
      </c>
      <c r="D16" cm="1">
        <f t="array" ref="D16">cant_left_point_moment($B$1,$B$2,$B$3,$D$4,$D$5,$A16,4)</f>
        <v>-8.0609046126287498E-4</v>
      </c>
      <c r="E16" cm="1">
        <f t="array" ref="E16">cant_left_point_moment($B$1,$B$2,$B$3,$D$4,$D$5,$A16,5)*12</f>
        <v>3.385579937304075E-2</v>
      </c>
    </row>
    <row r="17" spans="1:5" x14ac:dyDescent="0.25">
      <c r="A17">
        <f t="shared" ref="A17:A28" si="1">A16+$H$2</f>
        <v>4.5</v>
      </c>
      <c r="B17" cm="1">
        <f t="array" ref="B17">cant_left_point_moment($B$1,$B$2,$B$3,$D$4,$D$5,$A17,2)</f>
        <v>0</v>
      </c>
      <c r="C17" cm="1">
        <f t="array" ref="C17">cant_left_point_moment($B$1,$B$2,$B$3,$D$4,$D$5,$A17,3)</f>
        <v>0</v>
      </c>
      <c r="D17" cm="1">
        <f t="array" ref="D17">cant_left_point_moment($B$1,$B$2,$B$3,$D$4,$D$5,$A17,4)</f>
        <v>-8.0609046126287498E-4</v>
      </c>
      <c r="E17" cm="1">
        <f t="array" ref="E17">cant_left_point_moment($B$1,$B$2,$B$3,$D$4,$D$5,$A17,5)*12</f>
        <v>2.9019256605463499E-2</v>
      </c>
    </row>
    <row r="18" spans="1:5" x14ac:dyDescent="0.25">
      <c r="A18">
        <f t="shared" si="1"/>
        <v>5</v>
      </c>
      <c r="B18" cm="1">
        <f t="array" ref="B18">cant_left_point_moment($B$1,$B$2,$B$3,$D$4,$D$5,$A18,2)</f>
        <v>0</v>
      </c>
      <c r="C18" cm="1">
        <f t="array" ref="C18">cant_left_point_moment($B$1,$B$2,$B$3,$D$4,$D$5,$A18,3)</f>
        <v>0</v>
      </c>
      <c r="D18" cm="1">
        <f t="array" ref="D18">cant_left_point_moment($B$1,$B$2,$B$3,$D$4,$D$5,$A18,4)</f>
        <v>-8.0609046126287498E-4</v>
      </c>
      <c r="E18" cm="1">
        <f t="array" ref="E18">cant_left_point_moment($B$1,$B$2,$B$3,$D$4,$D$5,$A18,5)*12</f>
        <v>2.4182713837886251E-2</v>
      </c>
    </row>
    <row r="19" spans="1:5" x14ac:dyDescent="0.25">
      <c r="A19">
        <f t="shared" si="1"/>
        <v>5.5</v>
      </c>
      <c r="B19" cm="1">
        <f t="array" ref="B19">cant_left_point_moment($B$1,$B$2,$B$3,$D$4,$D$5,$A19,2)</f>
        <v>0</v>
      </c>
      <c r="C19" cm="1">
        <f t="array" ref="C19">cant_left_point_moment($B$1,$B$2,$B$3,$D$4,$D$5,$A19,3)</f>
        <v>1</v>
      </c>
      <c r="D19" cm="1">
        <f t="array" ref="D19">cant_left_point_moment($B$1,$B$2,$B$3,$D$4,$D$5,$A19,4)</f>
        <v>-7.2548141513658747E-4</v>
      </c>
      <c r="E19" cm="1">
        <f t="array" ref="E19">cant_left_point_moment($B$1,$B$2,$B$3,$D$4,$D$5,$A19,5)*12</f>
        <v>1.9587998208687864E-2</v>
      </c>
    </row>
    <row r="20" spans="1:5" x14ac:dyDescent="0.25">
      <c r="A20">
        <f t="shared" si="1"/>
        <v>6</v>
      </c>
      <c r="B20" cm="1">
        <f t="array" ref="B20">cant_left_point_moment($B$1,$B$2,$B$3,$D$4,$D$5,$A20,2)</f>
        <v>0</v>
      </c>
      <c r="C20" cm="1">
        <f t="array" ref="C20">cant_left_point_moment($B$1,$B$2,$B$3,$D$4,$D$5,$A20,3)</f>
        <v>1</v>
      </c>
      <c r="D20" cm="1">
        <f t="array" ref="D20">cant_left_point_moment($B$1,$B$2,$B$3,$D$4,$D$5,$A20,4)</f>
        <v>-6.4487236901030007E-4</v>
      </c>
      <c r="E20" cm="1">
        <f t="array" ref="E20">cant_left_point_moment($B$1,$B$2,$B$3,$D$4,$D$5,$A20,5)*12</f>
        <v>1.5476936856247202E-2</v>
      </c>
    </row>
    <row r="21" spans="1:5" x14ac:dyDescent="0.25">
      <c r="A21">
        <f t="shared" si="1"/>
        <v>6.5</v>
      </c>
      <c r="B21" cm="1">
        <f t="array" ref="B21">cant_left_point_moment($B$1,$B$2,$B$3,$D$4,$D$5,$A21,2)</f>
        <v>0</v>
      </c>
      <c r="C21" cm="1">
        <f t="array" ref="C21">cant_left_point_moment($B$1,$B$2,$B$3,$D$4,$D$5,$A21,3)</f>
        <v>1</v>
      </c>
      <c r="D21" cm="1">
        <f t="array" ref="D21">cant_left_point_moment($B$1,$B$2,$B$3,$D$4,$D$5,$A21,4)</f>
        <v>-5.6426332288401256E-4</v>
      </c>
      <c r="E21" cm="1">
        <f t="array" ref="E21">cant_left_point_moment($B$1,$B$2,$B$3,$D$4,$D$5,$A21,5)*12</f>
        <v>1.1849529780564264E-2</v>
      </c>
    </row>
    <row r="22" spans="1:5" x14ac:dyDescent="0.25">
      <c r="A22">
        <f t="shared" si="1"/>
        <v>7</v>
      </c>
      <c r="B22" cm="1">
        <f t="array" ref="B22">cant_left_point_moment($B$1,$B$2,$B$3,$D$4,$D$5,$A22,2)</f>
        <v>0</v>
      </c>
      <c r="C22" cm="1">
        <f t="array" ref="C22">cant_left_point_moment($B$1,$B$2,$B$3,$D$4,$D$5,$A22,3)</f>
        <v>1</v>
      </c>
      <c r="D22" cm="1">
        <f t="array" ref="D22">cant_left_point_moment($B$1,$B$2,$B$3,$D$4,$D$5,$A22,4)</f>
        <v>-4.83654276757725E-4</v>
      </c>
      <c r="E22" cm="1">
        <f t="array" ref="E22">cant_left_point_moment($B$1,$B$2,$B$3,$D$4,$D$5,$A22,5)*12</f>
        <v>8.7057769816390497E-3</v>
      </c>
    </row>
    <row r="23" spans="1:5" x14ac:dyDescent="0.25">
      <c r="A23">
        <f t="shared" si="1"/>
        <v>7.5</v>
      </c>
      <c r="B23" cm="1">
        <f t="array" ref="B23">cant_left_point_moment($B$1,$B$2,$B$3,$D$4,$D$5,$A23,2)</f>
        <v>0</v>
      </c>
      <c r="C23" cm="1">
        <f t="array" ref="C23">cant_left_point_moment($B$1,$B$2,$B$3,$D$4,$D$5,$A23,3)</f>
        <v>1</v>
      </c>
      <c r="D23" cm="1">
        <f t="array" ref="D23">cant_left_point_moment($B$1,$B$2,$B$3,$D$4,$D$5,$A23,4)</f>
        <v>-4.0304523063143749E-4</v>
      </c>
      <c r="E23" cm="1">
        <f t="array" ref="E23">cant_left_point_moment($B$1,$B$2,$B$3,$D$4,$D$5,$A23,5)*12</f>
        <v>6.0456784594715629E-3</v>
      </c>
    </row>
    <row r="24" spans="1:5" x14ac:dyDescent="0.25">
      <c r="A24">
        <f t="shared" si="1"/>
        <v>8</v>
      </c>
      <c r="B24" cm="1">
        <f t="array" ref="B24">cant_left_point_moment($B$1,$B$2,$B$3,$D$4,$D$5,$A24,2)</f>
        <v>0</v>
      </c>
      <c r="C24" cm="1">
        <f t="array" ref="C24">cant_left_point_moment($B$1,$B$2,$B$3,$D$4,$D$5,$A24,3)</f>
        <v>1</v>
      </c>
      <c r="D24" cm="1">
        <f t="array" ref="D24">cant_left_point_moment($B$1,$B$2,$B$3,$D$4,$D$5,$A24,4)</f>
        <v>-3.2243618450515004E-4</v>
      </c>
      <c r="E24" cm="1">
        <f t="array" ref="E24">cant_left_point_moment($B$1,$B$2,$B$3,$D$4,$D$5,$A24,5)*12</f>
        <v>3.8692342140618004E-3</v>
      </c>
    </row>
    <row r="25" spans="1:5" x14ac:dyDescent="0.25">
      <c r="A25">
        <f t="shared" si="1"/>
        <v>8.5</v>
      </c>
      <c r="B25" cm="1">
        <f t="array" ref="B25">cant_left_point_moment($B$1,$B$2,$B$3,$D$4,$D$5,$A25,2)</f>
        <v>0</v>
      </c>
      <c r="C25" cm="1">
        <f t="array" ref="C25">cant_left_point_moment($B$1,$B$2,$B$3,$D$4,$D$5,$A25,3)</f>
        <v>1</v>
      </c>
      <c r="D25" cm="1">
        <f t="array" ref="D25">cant_left_point_moment($B$1,$B$2,$B$3,$D$4,$D$5,$A25,4)</f>
        <v>-2.418271383788625E-4</v>
      </c>
      <c r="E25" cm="1">
        <f t="array" ref="E25">cant_left_point_moment($B$1,$B$2,$B$3,$D$4,$D$5,$A25,5)*12</f>
        <v>2.1764442454097624E-3</v>
      </c>
    </row>
    <row r="26" spans="1:5" x14ac:dyDescent="0.25">
      <c r="A26">
        <f t="shared" si="1"/>
        <v>9</v>
      </c>
      <c r="B26" cm="1">
        <f t="array" ref="B26">cant_left_point_moment($B$1,$B$2,$B$3,$D$4,$D$5,$A26,2)</f>
        <v>0</v>
      </c>
      <c r="C26" cm="1">
        <f t="array" ref="C26">cant_left_point_moment($B$1,$B$2,$B$3,$D$4,$D$5,$A26,3)</f>
        <v>1</v>
      </c>
      <c r="D26" cm="1">
        <f t="array" ref="D26">cant_left_point_moment($B$1,$B$2,$B$3,$D$4,$D$5,$A26,4)</f>
        <v>-1.6121809225257502E-4</v>
      </c>
      <c r="E26" cm="1">
        <f t="array" ref="E26">cant_left_point_moment($B$1,$B$2,$B$3,$D$4,$D$5,$A26,5)*12</f>
        <v>9.6730855351545011E-4</v>
      </c>
    </row>
    <row r="27" spans="1:5" x14ac:dyDescent="0.25">
      <c r="A27">
        <f t="shared" si="1"/>
        <v>9.5</v>
      </c>
      <c r="B27" cm="1">
        <f t="array" ref="B27">cant_left_point_moment($B$1,$B$2,$B$3,$D$4,$D$5,$A27,2)</f>
        <v>0</v>
      </c>
      <c r="C27" cm="1">
        <f t="array" ref="C27">cant_left_point_moment($B$1,$B$2,$B$3,$D$4,$D$5,$A27,3)</f>
        <v>1</v>
      </c>
      <c r="D27" cm="1">
        <f t="array" ref="D27">cant_left_point_moment($B$1,$B$2,$B$3,$D$4,$D$5,$A27,4)</f>
        <v>-8.0609046126287509E-5</v>
      </c>
      <c r="E27" cm="1">
        <f t="array" ref="E27">cant_left_point_moment($B$1,$B$2,$B$3,$D$4,$D$5,$A27,5)*12</f>
        <v>2.4182713837886253E-4</v>
      </c>
    </row>
    <row r="28" spans="1:5" x14ac:dyDescent="0.25">
      <c r="A28">
        <f t="shared" si="1"/>
        <v>10</v>
      </c>
      <c r="B28" cm="1">
        <f t="array" ref="B28">cant_left_point_moment($B$1,$B$2,$B$3,$D$4,$D$5,$A28,2)</f>
        <v>0</v>
      </c>
      <c r="C28" cm="1">
        <f t="array" ref="C28">cant_left_point_moment($B$1,$B$2,$B$3,$D$4,$D$5,$A28,3)</f>
        <v>1</v>
      </c>
      <c r="D28" cm="1">
        <f t="array" ref="D28">cant_left_point_moment($B$1,$B$2,$B$3,$D$4,$D$5,$A28,4)</f>
        <v>0</v>
      </c>
      <c r="E28" cm="1">
        <f t="array" ref="E28">cant_left_point_moment($B$1,$B$2,$B$3,$D$4,$D$5,$A28,5)*12</f>
        <v>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9649A-3CE6-48CC-845B-563D88E07D73}">
  <sheetPr codeName="Sheet13"/>
  <dimension ref="A1:M29"/>
  <sheetViews>
    <sheetView workbookViewId="0">
      <selection activeCell="B2" sqref="B2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23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cant_left_uniform_load($B$1,$B$2,$B$3,$B$4,$D$5,$D$6,$A9,6)</f>
        <v>0</v>
      </c>
      <c r="M1" t="s">
        <v>28</v>
      </c>
    </row>
    <row r="2" spans="1:13" x14ac:dyDescent="0.25">
      <c r="A2" t="s">
        <v>2</v>
      </c>
      <c r="B2" s="3">
        <v>2</v>
      </c>
      <c r="C2" t="s">
        <v>3</v>
      </c>
      <c r="G2" t="s">
        <v>17</v>
      </c>
      <c r="H2">
        <f>(B4)/H1</f>
        <v>0.5</v>
      </c>
      <c r="K2" s="2" t="s">
        <v>19</v>
      </c>
      <c r="L2" cm="1">
        <f t="array" ref="L2">cant_left_uniform_load($B$1,$B$2,$B$3,$B$4,$D$5,$D$6,$A9,7)</f>
        <v>-30</v>
      </c>
      <c r="M2" t="s">
        <v>28</v>
      </c>
    </row>
    <row r="3" spans="1:13" x14ac:dyDescent="0.25">
      <c r="A3" t="s">
        <v>22</v>
      </c>
      <c r="B3" s="3">
        <v>8</v>
      </c>
      <c r="C3" t="s">
        <v>3</v>
      </c>
      <c r="K3" s="2"/>
    </row>
    <row r="4" spans="1:13" x14ac:dyDescent="0.25">
      <c r="A4" t="s">
        <v>4</v>
      </c>
      <c r="B4" s="3">
        <v>10</v>
      </c>
      <c r="C4" t="s">
        <v>3</v>
      </c>
      <c r="K4" s="2" t="s">
        <v>25</v>
      </c>
      <c r="L4" cm="1">
        <f t="array" ref="L4">cant_left_uniform_load($B$1,$B$2,$B$3,$B$4,$D$5,$D$6,$A9,0)</f>
        <v>0</v>
      </c>
      <c r="M4" t="s">
        <v>27</v>
      </c>
    </row>
    <row r="5" spans="1:13" x14ac:dyDescent="0.25">
      <c r="A5" t="s">
        <v>5</v>
      </c>
      <c r="B5" s="3">
        <v>29000</v>
      </c>
      <c r="C5" t="s">
        <v>6</v>
      </c>
      <c r="D5" s="1">
        <f>B5*12^2</f>
        <v>4176000</v>
      </c>
      <c r="E5" t="s">
        <v>9</v>
      </c>
      <c r="K5" s="2" t="s">
        <v>26</v>
      </c>
      <c r="L5" cm="1">
        <f t="array" ref="L5">cant_left_uniform_load($B$1,$B$2,$B$3,$B$4,$D$5,$D$6,$A9,1)</f>
        <v>6</v>
      </c>
      <c r="M5" t="s">
        <v>27</v>
      </c>
    </row>
    <row r="6" spans="1:13" x14ac:dyDescent="0.25">
      <c r="A6" t="s">
        <v>7</v>
      </c>
      <c r="B6" s="3">
        <v>30.8</v>
      </c>
      <c r="C6" t="s">
        <v>8</v>
      </c>
      <c r="D6" s="1">
        <f>B6/POWER(12,4)</f>
        <v>1.4853395061728396E-3</v>
      </c>
      <c r="E6" t="s">
        <v>10</v>
      </c>
    </row>
    <row r="8" spans="1:13" x14ac:dyDescent="0.25">
      <c r="A8" s="1" t="s">
        <v>11</v>
      </c>
      <c r="B8" s="1" t="s">
        <v>12</v>
      </c>
      <c r="C8" s="1" t="s">
        <v>13</v>
      </c>
      <c r="D8" s="1" t="s">
        <v>14</v>
      </c>
      <c r="E8" s="1" t="s">
        <v>15</v>
      </c>
    </row>
    <row r="9" spans="1:13" x14ac:dyDescent="0.25">
      <c r="A9">
        <v>0</v>
      </c>
      <c r="B9" cm="1">
        <f t="array" ref="B9">cant_left_uniform_load($B$1,$B$2,$B$3,$B$4,$D$5,$D$6,$A9,2)</f>
        <v>0</v>
      </c>
      <c r="C9" cm="1">
        <f t="array" ref="C9">cant_left_uniform_load($B$1,$B$2,$B$3,$B$4,$D$5,$D$6,$A9,3)</f>
        <v>0</v>
      </c>
      <c r="D9" cm="1">
        <f t="array" ref="D9">cant_left_uniform_load($B$1,$B$2,$B$3,$B$4,$D$5,$D$6,$A9,4)</f>
        <v>1.3542319749216301E-2</v>
      </c>
      <c r="E9" cm="1">
        <f t="array" ref="E9">cant_left_uniform_load($B$1,$B$2,$B$3,$B$4,$D$5,$D$6,$A9,5)*12</f>
        <v>-1.2961934617107029</v>
      </c>
    </row>
    <row r="10" spans="1:13" x14ac:dyDescent="0.25">
      <c r="A10">
        <f>A9+$H$2</f>
        <v>0.5</v>
      </c>
      <c r="B10" cm="1">
        <f t="array" ref="B10">cant_left_uniform_load($B$1,$B$2,$B$3,$B$4,$D$5,$D$6,$A10,2)</f>
        <v>0</v>
      </c>
      <c r="C10" cm="1">
        <f t="array" ref="C10">cant_left_uniform_load($B$1,$B$2,$B$3,$B$4,$D$5,$D$6,$A10,3)</f>
        <v>0</v>
      </c>
      <c r="D10" cm="1">
        <f t="array" ref="D10">cant_left_uniform_load($B$1,$B$2,$B$3,$B$4,$D$5,$D$6,$A10,4)</f>
        <v>1.3542319749216301E-2</v>
      </c>
      <c r="E10" cm="1">
        <f t="array" ref="E10">cant_left_uniform_load($B$1,$B$2,$B$3,$B$4,$D$5,$D$6,$A10,5)*12</f>
        <v>-1.2149395432154053</v>
      </c>
    </row>
    <row r="11" spans="1:13" x14ac:dyDescent="0.25">
      <c r="A11">
        <f t="shared" ref="A11:A13" si="0">A10+$H$2</f>
        <v>1</v>
      </c>
      <c r="B11" cm="1">
        <f t="array" ref="B11">cant_left_uniform_load($B$1,$B$2,$B$3,$B$4,$D$5,$D$6,$A11,2)</f>
        <v>0</v>
      </c>
      <c r="C11" cm="1">
        <f t="array" ref="C11">cant_left_uniform_load($B$1,$B$2,$B$3,$B$4,$D$5,$D$6,$A11,3)</f>
        <v>0</v>
      </c>
      <c r="D11" cm="1">
        <f t="array" ref="D11">cant_left_uniform_load($B$1,$B$2,$B$3,$B$4,$D$5,$D$6,$A11,4)</f>
        <v>1.3542319749216301E-2</v>
      </c>
      <c r="E11" cm="1">
        <f t="array" ref="E11">cant_left_uniform_load($B$1,$B$2,$B$3,$B$4,$D$5,$D$6,$A11,5)*12</f>
        <v>-1.1336856247201075</v>
      </c>
    </row>
    <row r="12" spans="1:13" x14ac:dyDescent="0.25">
      <c r="A12">
        <f t="shared" si="0"/>
        <v>1.5</v>
      </c>
      <c r="B12" cm="1">
        <f t="array" ref="B12">cant_left_uniform_load($B$1,$B$2,$B$3,$B$4,$D$5,$D$6,$A12,2)</f>
        <v>0</v>
      </c>
      <c r="C12" cm="1">
        <f t="array" ref="C12">cant_left_uniform_load($B$1,$B$2,$B$3,$B$4,$D$5,$D$6,$A12,3)</f>
        <v>0</v>
      </c>
      <c r="D12" cm="1">
        <f t="array" ref="D12">cant_left_uniform_load($B$1,$B$2,$B$3,$B$4,$D$5,$D$6,$A12,4)</f>
        <v>1.3542319749216301E-2</v>
      </c>
      <c r="E12" cm="1">
        <f t="array" ref="E12">cant_left_uniform_load($B$1,$B$2,$B$3,$B$4,$D$5,$D$6,$A12,5)*12</f>
        <v>-1.0524317062248096</v>
      </c>
    </row>
    <row r="13" spans="1:13" x14ac:dyDescent="0.25">
      <c r="A13">
        <f t="shared" si="0"/>
        <v>2</v>
      </c>
      <c r="B13" cm="1">
        <f t="array" ref="B13">cant_left_uniform_load($B$1,$B$2,$B$3,$B$4,$D$5,$D$6,$A13,2)</f>
        <v>0</v>
      </c>
      <c r="C13" cm="1">
        <f t="array" ref="C13">cant_left_uniform_load($B$1,$B$2,$B$3,$B$4,$D$5,$D$6,$A13,3)</f>
        <v>0</v>
      </c>
      <c r="D13" cm="1">
        <f t="array" ref="D13">cant_left_uniform_load($B$1,$B$2,$B$3,$B$4,$D$5,$D$6,$A13,4)</f>
        <v>1.3542319749216301E-2</v>
      </c>
      <c r="E13" cm="1">
        <f t="array" ref="E13">cant_left_uniform_load($B$1,$B$2,$B$3,$B$4,$D$5,$D$6,$A13,5)*12</f>
        <v>-0.9711777877295118</v>
      </c>
    </row>
    <row r="14" spans="1:13" x14ac:dyDescent="0.25">
      <c r="A14">
        <f>A13+$H$2</f>
        <v>2.5</v>
      </c>
      <c r="B14" cm="1">
        <f t="array" ref="B14">cant_left_uniform_load($B$1,$B$2,$B$3,$B$4,$D$5,$D$6,$A14,2)</f>
        <v>-0.5</v>
      </c>
      <c r="C14" cm="1">
        <f t="array" ref="C14">cant_left_uniform_load($B$1,$B$2,$B$3,$B$4,$D$5,$D$6,$A14,3)</f>
        <v>-0.125</v>
      </c>
      <c r="D14" cm="1">
        <f t="array" ref="D14">cant_left_uniform_load($B$1,$B$2,$B$3,$B$4,$D$5,$D$6,$A14,4)</f>
        <v>1.3538961038961038E-2</v>
      </c>
      <c r="E14" cm="1">
        <f t="array" ref="E14">cant_left_uniform_load($B$1,$B$2,$B$3,$B$4,$D$5,$D$6,$A14,5)*12</f>
        <v>-0.88992890729959695</v>
      </c>
    </row>
    <row r="15" spans="1:13" x14ac:dyDescent="0.25">
      <c r="A15">
        <f>A14+$H$2</f>
        <v>3</v>
      </c>
      <c r="B15" cm="1">
        <f t="array" ref="B15">cant_left_uniform_load($B$1,$B$2,$B$3,$B$4,$D$5,$D$6,$A15,2)</f>
        <v>-1</v>
      </c>
      <c r="C15" cm="1">
        <f t="array" ref="C15">cant_left_uniform_load($B$1,$B$2,$B$3,$B$4,$D$5,$D$6,$A15,3)</f>
        <v>-0.5</v>
      </c>
      <c r="D15" cm="1">
        <f t="array" ref="D15">cant_left_uniform_load($B$1,$B$2,$B$3,$B$4,$D$5,$D$6,$A15,4)</f>
        <v>1.3515450067174205E-2</v>
      </c>
      <c r="E15" cm="1">
        <f t="array" ref="E15">cant_left_uniform_load($B$1,$B$2,$B$3,$B$4,$D$5,$D$6,$A15,5)*12</f>
        <v>-0.80875055978504251</v>
      </c>
    </row>
    <row r="16" spans="1:13" x14ac:dyDescent="0.25">
      <c r="A16">
        <f>A15+$H$2</f>
        <v>3.5</v>
      </c>
      <c r="B16" cm="1">
        <f t="array" ref="B16">cant_left_uniform_load($B$1,$B$2,$B$3,$B$4,$D$5,$D$6,$A16,2)</f>
        <v>-1.5</v>
      </c>
      <c r="C16" cm="1">
        <f t="array" ref="C16">cant_left_uniform_load($B$1,$B$2,$B$3,$B$4,$D$5,$D$6,$A16,3)</f>
        <v>-1.125</v>
      </c>
      <c r="D16" cm="1">
        <f t="array" ref="D16">cant_left_uniform_load($B$1,$B$2,$B$3,$B$4,$D$5,$D$6,$A16,4)</f>
        <v>1.3451634572324227E-2</v>
      </c>
      <c r="E16" cm="1">
        <f t="array" ref="E16">cant_left_uniform_load($B$1,$B$2,$B$3,$B$4,$D$5,$D$6,$A16,5)*12</f>
        <v>-0.72782411553963278</v>
      </c>
    </row>
    <row r="17" spans="1:5" x14ac:dyDescent="0.25">
      <c r="A17">
        <f>A16+$H$2</f>
        <v>4</v>
      </c>
      <c r="B17" cm="1">
        <f t="array" ref="B17">cant_left_uniform_load($B$1,$B$2,$B$3,$B$4,$D$5,$D$6,$A17,2)</f>
        <v>-2</v>
      </c>
      <c r="C17" cm="1">
        <f t="array" ref="C17">cant_left_uniform_load($B$1,$B$2,$B$3,$B$4,$D$5,$D$6,$A17,3)</f>
        <v>-2</v>
      </c>
      <c r="D17" cm="1">
        <f t="array" ref="D17">cant_left_uniform_load($B$1,$B$2,$B$3,$B$4,$D$5,$D$6,$A17,4)</f>
        <v>1.3327362292879534E-2</v>
      </c>
      <c r="E17" cm="1">
        <f t="array" ref="E17">cant_left_uniform_load($B$1,$B$2,$B$3,$B$4,$D$5,$D$6,$A17,5)*12</f>
        <v>-0.64745185848634124</v>
      </c>
    </row>
    <row r="18" spans="1:5" x14ac:dyDescent="0.25">
      <c r="A18">
        <f t="shared" ref="A18:A29" si="1">A17+$H$2</f>
        <v>4.5</v>
      </c>
      <c r="B18" cm="1">
        <f t="array" ref="B18">cant_left_uniform_load($B$1,$B$2,$B$3,$B$4,$D$5,$D$6,$A18,2)</f>
        <v>-2.5</v>
      </c>
      <c r="C18" cm="1">
        <f t="array" ref="C18">cant_left_uniform_load($B$1,$B$2,$B$3,$B$4,$D$5,$D$6,$A18,3)</f>
        <v>-3.125</v>
      </c>
      <c r="D18" cm="1">
        <f t="array" ref="D18">cant_left_uniform_load($B$1,$B$2,$B$3,$B$4,$D$5,$D$6,$A18,4)</f>
        <v>1.3122480967308553E-2</v>
      </c>
      <c r="E18" cm="1">
        <f t="array" ref="E18">cant_left_uniform_load($B$1,$B$2,$B$3,$B$4,$D$5,$D$6,$A18,5)*12</f>
        <v>-0.56805698611733091</v>
      </c>
    </row>
    <row r="19" spans="1:5" x14ac:dyDescent="0.25">
      <c r="A19">
        <f t="shared" si="1"/>
        <v>5</v>
      </c>
      <c r="B19" cm="1">
        <f t="array" ref="B19">cant_left_uniform_load($B$1,$B$2,$B$3,$B$4,$D$5,$D$6,$A19,2)</f>
        <v>-3</v>
      </c>
      <c r="C19" cm="1">
        <f t="array" ref="C19">cant_left_uniform_load($B$1,$B$2,$B$3,$B$4,$D$5,$D$6,$A19,3)</f>
        <v>-4.5</v>
      </c>
      <c r="D19" cm="1">
        <f t="array" ref="D19">cant_left_uniform_load($B$1,$B$2,$B$3,$B$4,$D$5,$D$6,$A19,4)</f>
        <v>1.2816838334079712E-2</v>
      </c>
      <c r="E19" cm="1">
        <f t="array" ref="E19">cant_left_uniform_load($B$1,$B$2,$B$3,$B$4,$D$5,$D$6,$A19,5)*12</f>
        <v>-0.49018360949395434</v>
      </c>
    </row>
    <row r="20" spans="1:5" x14ac:dyDescent="0.25">
      <c r="A20">
        <f t="shared" si="1"/>
        <v>5.5</v>
      </c>
      <c r="B20" cm="1">
        <f t="array" ref="B20">cant_left_uniform_load($B$1,$B$2,$B$3,$B$4,$D$5,$D$6,$A20,2)</f>
        <v>-3.5</v>
      </c>
      <c r="C20" cm="1">
        <f t="array" ref="C20">cant_left_uniform_load($B$1,$B$2,$B$3,$B$4,$D$5,$D$6,$A20,3)</f>
        <v>-6.125</v>
      </c>
      <c r="D20" cm="1">
        <f t="array" ref="D20">cant_left_uniform_load($B$1,$B$2,$B$3,$B$4,$D$5,$D$6,$A20,4)</f>
        <v>1.2390282131661441E-2</v>
      </c>
      <c r="E20" cm="1">
        <f t="array" ref="E20">cant_left_uniform_load($B$1,$B$2,$B$3,$B$4,$D$5,$D$6,$A20,5)*12</f>
        <v>-0.41449675324675322</v>
      </c>
    </row>
    <row r="21" spans="1:5" x14ac:dyDescent="0.25">
      <c r="A21">
        <f t="shared" si="1"/>
        <v>6</v>
      </c>
      <c r="B21" cm="1">
        <f t="array" ref="B21">cant_left_uniform_load($B$1,$B$2,$B$3,$B$4,$D$5,$D$6,$A21,2)</f>
        <v>-4</v>
      </c>
      <c r="C21" cm="1">
        <f t="array" ref="C21">cant_left_uniform_load($B$1,$B$2,$B$3,$B$4,$D$5,$D$6,$A21,3)</f>
        <v>-8</v>
      </c>
      <c r="D21" cm="1">
        <f t="array" ref="D21">cant_left_uniform_load($B$1,$B$2,$B$3,$B$4,$D$5,$D$6,$A21,4)</f>
        <v>1.1822660098522167E-2</v>
      </c>
      <c r="E21" cm="1">
        <f t="array" ref="E21">cant_left_uniform_load($B$1,$B$2,$B$3,$B$4,$D$5,$D$6,$A21,5)*12</f>
        <v>-0.341782355575459</v>
      </c>
    </row>
    <row r="22" spans="1:5" x14ac:dyDescent="0.25">
      <c r="A22">
        <f t="shared" si="1"/>
        <v>6.5</v>
      </c>
      <c r="B22" cm="1">
        <f t="array" ref="B22">cant_left_uniform_load($B$1,$B$2,$B$3,$B$4,$D$5,$D$6,$A22,2)</f>
        <v>-4.5</v>
      </c>
      <c r="C22" cm="1">
        <f t="array" ref="C22">cant_left_uniform_load($B$1,$B$2,$B$3,$B$4,$D$5,$D$6,$A22,3)</f>
        <v>-10.125</v>
      </c>
      <c r="D22" cm="1">
        <f t="array" ref="D22">cant_left_uniform_load($B$1,$B$2,$B$3,$B$4,$D$5,$D$6,$A22,4)</f>
        <v>1.1093819973130317E-2</v>
      </c>
      <c r="E22" cm="1">
        <f t="array" ref="E22">cant_left_uniform_load($B$1,$B$2,$B$3,$B$4,$D$5,$D$6,$A22,5)*12</f>
        <v>-0.2729472682489924</v>
      </c>
    </row>
    <row r="23" spans="1:5" x14ac:dyDescent="0.25">
      <c r="A23">
        <f t="shared" si="1"/>
        <v>7</v>
      </c>
      <c r="B23" cm="1">
        <f t="array" ref="B23">cant_left_uniform_load($B$1,$B$2,$B$3,$B$4,$D$5,$D$6,$A23,2)</f>
        <v>-5</v>
      </c>
      <c r="C23" cm="1">
        <f t="array" ref="C23">cant_left_uniform_load($B$1,$B$2,$B$3,$B$4,$D$5,$D$6,$A23,3)</f>
        <v>-12.5</v>
      </c>
      <c r="D23" cm="1">
        <f t="array" ref="D23">cant_left_uniform_load($B$1,$B$2,$B$3,$B$4,$D$5,$D$6,$A23,4)</f>
        <v>1.0183609493954322E-2</v>
      </c>
      <c r="E23" cm="1">
        <f t="array" ref="E23">cant_left_uniform_load($B$1,$B$2,$B$3,$B$4,$D$5,$D$6,$A23,5)*12</f>
        <v>-0.2090192566054635</v>
      </c>
    </row>
    <row r="24" spans="1:5" x14ac:dyDescent="0.25">
      <c r="A24">
        <f t="shared" si="1"/>
        <v>7.5</v>
      </c>
      <c r="B24" cm="1">
        <f t="array" ref="B24">cant_left_uniform_load($B$1,$B$2,$B$3,$B$4,$D$5,$D$6,$A24,2)</f>
        <v>-5.5</v>
      </c>
      <c r="C24" cm="1">
        <f t="array" ref="C24">cant_left_uniform_load($B$1,$B$2,$B$3,$B$4,$D$5,$D$6,$A24,3)</f>
        <v>-15.125</v>
      </c>
      <c r="D24" cm="1">
        <f t="array" ref="D24">cant_left_uniform_load($B$1,$B$2,$B$3,$B$4,$D$5,$D$6,$A24,4)</f>
        <v>9.0718763994626066E-3</v>
      </c>
      <c r="E24" cm="1">
        <f t="array" ref="E24">cant_left_uniform_load($B$1,$B$2,$B$3,$B$4,$D$5,$D$6,$A24,5)*12</f>
        <v>-0.15114699955217195</v>
      </c>
    </row>
    <row r="25" spans="1:5" x14ac:dyDescent="0.25">
      <c r="A25">
        <f t="shared" si="1"/>
        <v>8</v>
      </c>
      <c r="B25" cm="1">
        <f t="array" ref="B25">cant_left_uniform_load($B$1,$B$2,$B$3,$B$4,$D$5,$D$6,$A25,2)</f>
        <v>-6</v>
      </c>
      <c r="C25" cm="1">
        <f t="array" ref="C25">cant_left_uniform_load($B$1,$B$2,$B$3,$B$4,$D$5,$D$6,$A25,3)</f>
        <v>-18</v>
      </c>
      <c r="D25" cm="1">
        <f t="array" ref="D25">cant_left_uniform_load($B$1,$B$2,$B$3,$B$4,$D$5,$D$6,$A25,4)</f>
        <v>7.7384684281236E-3</v>
      </c>
      <c r="E25" cm="1">
        <f t="array" ref="E25">cant_left_uniform_load($B$1,$B$2,$B$3,$B$4,$D$5,$D$6,$A25,5)*12</f>
        <v>-0.1006000895656068</v>
      </c>
    </row>
    <row r="26" spans="1:5" x14ac:dyDescent="0.25">
      <c r="A26">
        <f t="shared" si="1"/>
        <v>8.5</v>
      </c>
      <c r="B26" cm="1">
        <f t="array" ref="B26">cant_left_uniform_load($B$1,$B$2,$B$3,$B$4,$D$5,$D$6,$A26,2)</f>
        <v>-6</v>
      </c>
      <c r="C26" cm="1">
        <f t="array" ref="C26">cant_left_uniform_load($B$1,$B$2,$B$3,$B$4,$D$5,$D$6,$A26,3)</f>
        <v>-21</v>
      </c>
      <c r="D26" cm="1">
        <f t="array" ref="D26">cant_left_uniform_load($B$1,$B$2,$B$3,$B$4,$D$5,$D$6,$A26,4)</f>
        <v>6.166592028660994E-3</v>
      </c>
      <c r="E26" cm="1">
        <f t="array" ref="E26">cant_left_uniform_load($B$1,$B$2,$B$3,$B$4,$D$5,$D$6,$A26,5)*12</f>
        <v>-5.876399462606359E-2</v>
      </c>
    </row>
    <row r="27" spans="1:5" x14ac:dyDescent="0.25">
      <c r="A27">
        <f t="shared" si="1"/>
        <v>9</v>
      </c>
      <c r="B27" cm="1">
        <f t="array" ref="B27">cant_left_uniform_load($B$1,$B$2,$B$3,$B$4,$D$5,$D$6,$A27,2)</f>
        <v>-6</v>
      </c>
      <c r="C27" cm="1">
        <f t="array" ref="C27">cant_left_uniform_load($B$1,$B$2,$B$3,$B$4,$D$5,$D$6,$A27,3)</f>
        <v>-24</v>
      </c>
      <c r="D27" cm="1">
        <f t="array" ref="D27">cant_left_uniform_load($B$1,$B$2,$B$3,$B$4,$D$5,$D$6,$A27,4)</f>
        <v>4.3528884908195248E-3</v>
      </c>
      <c r="E27" cm="1">
        <f t="array" ref="E27">cant_left_uniform_load($B$1,$B$2,$B$3,$B$4,$D$5,$D$6,$A27,5)*12</f>
        <v>-2.7084639498432601E-2</v>
      </c>
    </row>
    <row r="28" spans="1:5" x14ac:dyDescent="0.25">
      <c r="A28">
        <f t="shared" si="1"/>
        <v>9.5</v>
      </c>
      <c r="B28" cm="1">
        <f t="array" ref="B28">cant_left_uniform_load($B$1,$B$2,$B$3,$B$4,$D$5,$D$6,$A28,2)</f>
        <v>-6</v>
      </c>
      <c r="C28" cm="1">
        <f t="array" ref="C28">cant_left_uniform_load($B$1,$B$2,$B$3,$B$4,$D$5,$D$6,$A28,3)</f>
        <v>-27</v>
      </c>
      <c r="D28" cm="1">
        <f t="array" ref="D28">cant_left_uniform_load($B$1,$B$2,$B$3,$B$4,$D$5,$D$6,$A28,4)</f>
        <v>2.297357814599194E-3</v>
      </c>
      <c r="E28" cm="1">
        <f t="array" ref="E28">cant_left_uniform_load($B$1,$B$2,$B$3,$B$4,$D$5,$D$6,$A28,5)*12</f>
        <v>-7.0129870129870125E-3</v>
      </c>
    </row>
    <row r="29" spans="1:5" x14ac:dyDescent="0.25">
      <c r="A29">
        <f t="shared" si="1"/>
        <v>10</v>
      </c>
      <c r="B29" cm="1">
        <f t="array" ref="B29">cant_left_uniform_load($B$1,$B$2,$B$3,$B$4,$D$5,$D$6,$A29,2)</f>
        <v>-6</v>
      </c>
      <c r="C29" cm="1">
        <f t="array" ref="C29">cant_left_uniform_load($B$1,$B$2,$B$3,$B$4,$D$5,$D$6,$A29,3)</f>
        <v>-30</v>
      </c>
      <c r="D29" cm="1">
        <f t="array" ref="D29">cant_left_uniform_load($B$1,$B$2,$B$3,$B$4,$D$5,$D$6,$A29,4)</f>
        <v>0</v>
      </c>
      <c r="E29" cm="1">
        <f t="array" ref="E29">cant_left_uniform_load($B$1,$B$2,$B$3,$B$4,$D$5,$D$6,$A29,5)*12</f>
        <v>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1B3F8-BC3C-4B44-B2C7-7875FA7F0233}">
  <sheetPr codeName="Sheet14"/>
  <dimension ref="A1:M30"/>
  <sheetViews>
    <sheetView workbookViewId="0">
      <selection activeCell="G17" sqref="G17"/>
    </sheetView>
  </sheetViews>
  <sheetFormatPr defaultRowHeight="15" x14ac:dyDescent="0.25"/>
  <cols>
    <col min="4" max="4" width="12" bestFit="1" customWidth="1"/>
  </cols>
  <sheetData>
    <row r="1" spans="1:13" x14ac:dyDescent="0.25">
      <c r="A1" t="s">
        <v>30</v>
      </c>
      <c r="B1" s="3">
        <v>1</v>
      </c>
      <c r="C1" t="s">
        <v>24</v>
      </c>
      <c r="G1" t="s">
        <v>16</v>
      </c>
      <c r="H1">
        <v>20</v>
      </c>
      <c r="K1" s="2" t="s">
        <v>18</v>
      </c>
      <c r="L1" cm="1">
        <f t="array" ref="L1">cant_left_variable_load($B$1,$B$2,$B$3,$B$4,$B$5,$D$6,$D$7,$A10,6)</f>
        <v>0</v>
      </c>
      <c r="M1" t="s">
        <v>28</v>
      </c>
    </row>
    <row r="2" spans="1:13" x14ac:dyDescent="0.25">
      <c r="A2" t="s">
        <v>29</v>
      </c>
      <c r="B2" s="3">
        <v>0.25</v>
      </c>
      <c r="C2" t="s">
        <v>24</v>
      </c>
      <c r="G2" t="s">
        <v>17</v>
      </c>
      <c r="H2">
        <f>(B5)/H1</f>
        <v>0.5</v>
      </c>
      <c r="K2" s="2" t="s">
        <v>19</v>
      </c>
      <c r="L2" cm="1">
        <f t="array" ref="L2">cant_left_variable_load($B$1,$B$2,$B$3,$B$4,$B$5,$D$6,$D$7,$A10,7)</f>
        <v>-21</v>
      </c>
      <c r="M2" t="s">
        <v>28</v>
      </c>
    </row>
    <row r="3" spans="1:13" x14ac:dyDescent="0.25">
      <c r="A3" t="s">
        <v>2</v>
      </c>
      <c r="B3" s="3">
        <v>2</v>
      </c>
      <c r="C3" t="s">
        <v>3</v>
      </c>
      <c r="K3" s="2"/>
    </row>
    <row r="4" spans="1:13" x14ac:dyDescent="0.25">
      <c r="A4" t="s">
        <v>22</v>
      </c>
      <c r="B4" s="3">
        <v>8</v>
      </c>
      <c r="C4" t="s">
        <v>3</v>
      </c>
      <c r="K4" s="2" t="s">
        <v>25</v>
      </c>
      <c r="L4" cm="1">
        <f t="array" ref="L4">cant_left_variable_load($B$1,$B$2,$B$3,$B$4,$B$5,$D$6,$D$7,$A10,0)</f>
        <v>0</v>
      </c>
      <c r="M4" t="s">
        <v>27</v>
      </c>
    </row>
    <row r="5" spans="1:13" x14ac:dyDescent="0.25">
      <c r="A5" t="s">
        <v>4</v>
      </c>
      <c r="B5" s="3">
        <v>10</v>
      </c>
      <c r="C5" t="s">
        <v>3</v>
      </c>
      <c r="K5" s="2" t="s">
        <v>26</v>
      </c>
      <c r="L5" cm="1">
        <f t="array" ref="L5">cant_left_variable_load($B$1,$B$2,$B$3,$B$4,$B$5,$D$6,$D$7,$A10,1)</f>
        <v>3.75</v>
      </c>
      <c r="M5" t="s">
        <v>27</v>
      </c>
    </row>
    <row r="6" spans="1:13" x14ac:dyDescent="0.25">
      <c r="A6" t="s">
        <v>5</v>
      </c>
      <c r="B6" s="3">
        <v>29000</v>
      </c>
      <c r="C6" t="s">
        <v>6</v>
      </c>
      <c r="D6" s="1">
        <f>B6*12^2</f>
        <v>4176000</v>
      </c>
      <c r="E6" t="s">
        <v>9</v>
      </c>
    </row>
    <row r="7" spans="1:13" x14ac:dyDescent="0.25">
      <c r="A7" t="s">
        <v>7</v>
      </c>
      <c r="B7" s="3">
        <v>30.8</v>
      </c>
      <c r="C7" t="s">
        <v>8</v>
      </c>
      <c r="D7" s="1">
        <f>B7/POWER(12,4)</f>
        <v>1.4853395061728396E-3</v>
      </c>
      <c r="E7" t="s">
        <v>10</v>
      </c>
    </row>
    <row r="9" spans="1:13" x14ac:dyDescent="0.25">
      <c r="A9" s="1" t="s">
        <v>11</v>
      </c>
      <c r="B9" s="1" t="s">
        <v>12</v>
      </c>
      <c r="C9" s="1" t="s">
        <v>13</v>
      </c>
      <c r="D9" s="1" t="s">
        <v>14</v>
      </c>
      <c r="E9" s="1" t="s">
        <v>15</v>
      </c>
    </row>
    <row r="10" spans="1:13" x14ac:dyDescent="0.25">
      <c r="A10">
        <v>0</v>
      </c>
      <c r="B10" cm="1">
        <f t="array" ref="B10">cant_left_variable_load($B$1,$B$2,$B$3,$B$4,$B$5,$D$6,$D$7,$A10,2)</f>
        <v>0</v>
      </c>
      <c r="C10" cm="1">
        <f t="array" ref="C10">cant_left_variable_load($B$1,$B$2,$B$3,$B$4,$B$5,$D$6,$D$7,$A10,3)</f>
        <v>0</v>
      </c>
      <c r="D10" cm="1">
        <f t="array" ref="D10">cant_left_variable_load($B$1,$B$2,$B$3,$B$4,$B$5,$D$6,$D$7,$A10,4)</f>
        <v>1.0277653381101655E-2</v>
      </c>
      <c r="E10" cm="1">
        <f t="array" ref="E10">cant_left_variable_load($B$1,$B$2,$B$3,$B$4,$B$5,$D$6,$D$7,$A10,5)*12</f>
        <v>-0.96943663233318378</v>
      </c>
    </row>
    <row r="11" spans="1:13" x14ac:dyDescent="0.25">
      <c r="A11">
        <f t="shared" ref="A11:A30" si="0">A10+$H$2</f>
        <v>0.5</v>
      </c>
      <c r="B11" cm="1">
        <f t="array" ref="B11">cant_left_variable_load($B$1,$B$2,$B$3,$B$4,$B$5,$D$6,$D$7,$A11,2)</f>
        <v>0</v>
      </c>
      <c r="C11" cm="1">
        <f t="array" ref="C11">cant_left_variable_load($B$1,$B$2,$B$3,$B$4,$B$5,$D$6,$D$7,$A11,3)</f>
        <v>0</v>
      </c>
      <c r="D11" cm="1">
        <f t="array" ref="D11">cant_left_variable_load($B$1,$B$2,$B$3,$B$4,$B$5,$D$6,$D$7,$A11,4)</f>
        <v>1.0277653381101655E-2</v>
      </c>
      <c r="E11" cm="1">
        <f t="array" ref="E11">cant_left_variable_load($B$1,$B$2,$B$3,$B$4,$B$5,$D$6,$D$7,$A11,5)*12</f>
        <v>-0.90777071204657389</v>
      </c>
    </row>
    <row r="12" spans="1:13" x14ac:dyDescent="0.25">
      <c r="A12">
        <f t="shared" si="0"/>
        <v>1</v>
      </c>
      <c r="B12" cm="1">
        <f t="array" ref="B12">cant_left_variable_load($B$1,$B$2,$B$3,$B$4,$B$5,$D$6,$D$7,$A12,2)</f>
        <v>0</v>
      </c>
      <c r="C12" cm="1">
        <f t="array" ref="C12">cant_left_variable_load($B$1,$B$2,$B$3,$B$4,$B$5,$D$6,$D$7,$A12,3)</f>
        <v>0</v>
      </c>
      <c r="D12" cm="1">
        <f t="array" ref="D12">cant_left_variable_load($B$1,$B$2,$B$3,$B$4,$B$5,$D$6,$D$7,$A12,4)</f>
        <v>1.0277653381101655E-2</v>
      </c>
      <c r="E12" cm="1">
        <f t="array" ref="E12">cant_left_variable_load($B$1,$B$2,$B$3,$B$4,$B$5,$D$6,$D$7,$A12,5)*12</f>
        <v>-0.846104791759964</v>
      </c>
    </row>
    <row r="13" spans="1:13" x14ac:dyDescent="0.25">
      <c r="A13">
        <f t="shared" si="0"/>
        <v>1.5</v>
      </c>
      <c r="B13" cm="1">
        <f t="array" ref="B13">cant_left_variable_load($B$1,$B$2,$B$3,$B$4,$B$5,$D$6,$D$7,$A13,2)</f>
        <v>0</v>
      </c>
      <c r="C13" cm="1">
        <f t="array" ref="C13">cant_left_variable_load($B$1,$B$2,$B$3,$B$4,$B$5,$D$6,$D$7,$A13,3)</f>
        <v>0</v>
      </c>
      <c r="D13" cm="1">
        <f t="array" ref="D13">cant_left_variable_load($B$1,$B$2,$B$3,$B$4,$B$5,$D$6,$D$7,$A13,4)</f>
        <v>1.0277653381101655E-2</v>
      </c>
      <c r="E13" cm="1">
        <f t="array" ref="E13">cant_left_variable_load($B$1,$B$2,$B$3,$B$4,$B$5,$D$6,$D$7,$A13,5)*12</f>
        <v>-0.784438871473354</v>
      </c>
    </row>
    <row r="14" spans="1:13" x14ac:dyDescent="0.25">
      <c r="A14">
        <f t="shared" si="0"/>
        <v>2</v>
      </c>
      <c r="B14" cm="1">
        <f t="array" ref="B14">cant_left_variable_load($B$1,$B$2,$B$3,$B$4,$B$5,$D$6,$D$7,$A14,2)</f>
        <v>0</v>
      </c>
      <c r="C14" cm="1">
        <f t="array" ref="C14">cant_left_variable_load($B$1,$B$2,$B$3,$B$4,$B$5,$D$6,$D$7,$A14,3)</f>
        <v>0</v>
      </c>
      <c r="D14" cm="1">
        <f t="array" ref="D14">cant_left_variable_load($B$1,$B$2,$B$3,$B$4,$B$5,$D$6,$D$7,$A14,4)</f>
        <v>1.0277653381101655E-2</v>
      </c>
      <c r="E14" cm="1">
        <f t="array" ref="E14">cant_left_variable_load($B$1,$B$2,$B$3,$B$4,$B$5,$D$6,$D$7,$A14,5)*12</f>
        <v>-0.72277295118674412</v>
      </c>
    </row>
    <row r="15" spans="1:13" x14ac:dyDescent="0.25">
      <c r="A15">
        <f t="shared" si="0"/>
        <v>2.5</v>
      </c>
      <c r="B15" cm="1">
        <f t="array" ref="B15">cant_left_variable_load($B$1,$B$2,$B$3,$B$4,$B$5,$D$6,$D$7,$A15,2)</f>
        <v>-0.484375</v>
      </c>
      <c r="C15" cm="1">
        <f t="array" ref="C15">cant_left_variable_load($B$1,$B$2,$B$3,$B$4,$B$5,$D$6,$D$7,$A15,3)</f>
        <v>-0.12239583333333319</v>
      </c>
      <c r="D15" cm="1">
        <f t="array" ref="D15">cant_left_variable_load($B$1,$B$2,$B$3,$B$4,$B$5,$D$6,$D$7,$A15,4)</f>
        <v>1.0274347150694132E-2</v>
      </c>
      <c r="E15" cm="1">
        <f t="array" ref="E15">cant_left_variable_load($B$1,$B$2,$B$3,$B$4,$B$5,$D$6,$D$7,$A15,5)*12</f>
        <v>-0.66111200598969977</v>
      </c>
    </row>
    <row r="16" spans="1:13" x14ac:dyDescent="0.25">
      <c r="A16">
        <f t="shared" si="0"/>
        <v>3</v>
      </c>
      <c r="B16" cm="1">
        <f t="array" ref="B16">cant_left_variable_load($B$1,$B$2,$B$3,$B$4,$B$5,$D$6,$D$7,$A16,2)</f>
        <v>-0.9375</v>
      </c>
      <c r="C16" cm="1">
        <f t="array" ref="C16">cant_left_variable_load($B$1,$B$2,$B$3,$B$4,$B$5,$D$6,$D$7,$A16,3)</f>
        <v>-0.47916666666666652</v>
      </c>
      <c r="D16" cm="1">
        <f t="array" ref="D16">cant_left_variable_load($B$1,$B$2,$B$3,$B$4,$B$5,$D$6,$D$7,$A16,4)</f>
        <v>1.0251623376623374E-2</v>
      </c>
      <c r="E16" cm="1">
        <f t="array" ref="E16">cant_left_variable_load($B$1,$B$2,$B$3,$B$4,$B$5,$D$6,$D$7,$A16,5)*12</f>
        <v>-0.59951970443349734</v>
      </c>
    </row>
    <row r="17" spans="1:5" x14ac:dyDescent="0.25">
      <c r="A17">
        <f t="shared" si="0"/>
        <v>3.5</v>
      </c>
      <c r="B17" cm="1">
        <f t="array" ref="B17">cant_left_variable_load($B$1,$B$2,$B$3,$B$4,$B$5,$D$6,$D$7,$A17,2)</f>
        <v>-1.359375</v>
      </c>
      <c r="C17" cm="1">
        <f t="array" ref="C17">cant_left_variable_load($B$1,$B$2,$B$3,$B$4,$B$5,$D$6,$D$7,$A17,3)</f>
        <v>-1.0546874999999998</v>
      </c>
      <c r="D17" cm="1">
        <f t="array" ref="D17">cant_left_variable_load($B$1,$B$2,$B$3,$B$4,$B$5,$D$6,$D$7,$A17,4)</f>
        <v>1.0191219071876399E-2</v>
      </c>
      <c r="E17" cm="1">
        <f t="array" ref="E17">cant_left_variable_load($B$1,$B$2,$B$3,$B$4,$B$5,$D$6,$D$7,$A17,5)*12</f>
        <v>-0.53816797049932807</v>
      </c>
    </row>
    <row r="18" spans="1:5" x14ac:dyDescent="0.25">
      <c r="A18">
        <f t="shared" si="0"/>
        <v>4</v>
      </c>
      <c r="B18" cm="1">
        <f t="array" ref="B18">cant_left_variable_load($B$1,$B$2,$B$3,$B$4,$B$5,$D$6,$D$7,$A18,2)</f>
        <v>-1.75</v>
      </c>
      <c r="C18" cm="1">
        <f t="array" ref="C18">cant_left_variable_load($B$1,$B$2,$B$3,$B$4,$B$5,$D$6,$D$7,$A18,3)</f>
        <v>-1.8333333333333333</v>
      </c>
      <c r="D18" cm="1">
        <f t="array" ref="D18">cant_left_variable_load($B$1,$B$2,$B$3,$B$4,$B$5,$D$6,$D$7,$A18,4)</f>
        <v>1.0076130765785937E-2</v>
      </c>
      <c r="E18" cm="1">
        <f t="array" ref="E18">cant_left_variable_load($B$1,$B$2,$B$3,$B$4,$B$5,$D$6,$D$7,$A18,5)*12</f>
        <v>-0.47733452754142391</v>
      </c>
    </row>
    <row r="19" spans="1:5" x14ac:dyDescent="0.25">
      <c r="A19">
        <f t="shared" si="0"/>
        <v>4.5</v>
      </c>
      <c r="B19" cm="1">
        <f t="array" ref="B19">cant_left_variable_load($B$1,$B$2,$B$3,$B$4,$B$5,$D$6,$D$7,$A19,2)</f>
        <v>-2.109375</v>
      </c>
      <c r="C19" cm="1">
        <f t="array" ref="C19">cant_left_variable_load($B$1,$B$2,$B$3,$B$4,$B$5,$D$6,$D$7,$A19,3)</f>
        <v>-2.7994791666666665</v>
      </c>
      <c r="D19" cm="1">
        <f t="array" ref="D19">cant_left_variable_load($B$1,$B$2,$B$3,$B$4,$B$5,$D$6,$D$7,$A19,4)</f>
        <v>9.89061450403045E-3</v>
      </c>
      <c r="E19" cm="1">
        <f t="array" ref="E19">cant_left_variable_load($B$1,$B$2,$B$3,$B$4,$B$5,$D$6,$D$7,$A19,5)*12</f>
        <v>-0.41739534118898325</v>
      </c>
    </row>
    <row r="20" spans="1:5" x14ac:dyDescent="0.25">
      <c r="A20">
        <f t="shared" si="0"/>
        <v>5</v>
      </c>
      <c r="B20" cm="1">
        <f t="array" ref="B20">cant_left_variable_load($B$1,$B$2,$B$3,$B$4,$B$5,$D$6,$D$7,$A20,2)</f>
        <v>-2.4375</v>
      </c>
      <c r="C20" cm="1">
        <f t="array" ref="C20">cant_left_variable_load($B$1,$B$2,$B$3,$B$4,$B$5,$D$6,$D$7,$A20,3)</f>
        <v>-3.9375</v>
      </c>
      <c r="D20" cm="1">
        <f t="array" ref="D20">cant_left_variable_load($B$1,$B$2,$B$3,$B$4,$B$5,$D$6,$D$7,$A20,4)</f>
        <v>9.6201858486341229E-3</v>
      </c>
      <c r="E20" cm="1">
        <f t="array" ref="E20">cant_left_variable_load($B$1,$B$2,$B$3,$B$4,$B$5,$D$6,$D$7,$A20,5)*12</f>
        <v>-0.35881706224809662</v>
      </c>
    </row>
    <row r="21" spans="1:5" x14ac:dyDescent="0.25">
      <c r="A21">
        <f t="shared" si="0"/>
        <v>5.5</v>
      </c>
      <c r="B21" cm="1">
        <f t="array" ref="B21">cant_left_variable_load($B$1,$B$2,$B$3,$B$4,$B$5,$D$6,$D$7,$A21,2)</f>
        <v>-2.734375</v>
      </c>
      <c r="C21" cm="1">
        <f t="array" ref="C21">cant_left_variable_load($B$1,$B$2,$B$3,$B$4,$B$5,$D$6,$D$7,$A21,3)</f>
        <v>-5.231770833333333</v>
      </c>
      <c r="D21" cm="1">
        <f t="array" ref="D21">cant_left_variable_load($B$1,$B$2,$B$3,$B$4,$B$5,$D$6,$D$7,$A21,4)</f>
        <v>9.2516198779668598E-3</v>
      </c>
      <c r="E21" cm="1">
        <f t="array" ref="E21">cant_left_variable_load($B$1,$B$2,$B$3,$B$4,$B$5,$D$6,$D$7,$A21,5)*12</f>
        <v>-0.30214946960367206</v>
      </c>
    </row>
    <row r="22" spans="1:5" x14ac:dyDescent="0.25">
      <c r="A22">
        <f t="shared" si="0"/>
        <v>6</v>
      </c>
      <c r="B22" cm="1">
        <f t="array" ref="B22">cant_left_variable_load($B$1,$B$2,$B$3,$B$4,$B$5,$D$6,$D$7,$A22,2)</f>
        <v>-3</v>
      </c>
      <c r="C22" cm="1">
        <f t="array" ref="C22">cant_left_variable_load($B$1,$B$2,$B$3,$B$4,$B$5,$D$6,$D$7,$A22,3)</f>
        <v>-6.6666666666666661</v>
      </c>
      <c r="D22" cm="1">
        <f t="array" ref="D22">cant_left_variable_load($B$1,$B$2,$B$3,$B$4,$B$5,$D$6,$D$7,$A22,4)</f>
        <v>8.7729511867442878E-3</v>
      </c>
      <c r="E22" cm="1">
        <f t="array" ref="E22">cant_left_variable_load($B$1,$B$2,$B$3,$B$4,$B$5,$D$6,$D$7,$A22,5)*12</f>
        <v>-0.24801791312136132</v>
      </c>
    </row>
    <row r="23" spans="1:5" x14ac:dyDescent="0.25">
      <c r="A23">
        <f t="shared" si="0"/>
        <v>6.5</v>
      </c>
      <c r="B23" cm="1">
        <f t="array" ref="B23">cant_left_variable_load($B$1,$B$2,$B$3,$B$4,$B$5,$D$6,$D$7,$A23,2)</f>
        <v>-3.234375</v>
      </c>
      <c r="C23" cm="1">
        <f t="array" ref="C23">cant_left_variable_load($B$1,$B$2,$B$3,$B$4,$B$5,$D$6,$D$7,$A23,3)</f>
        <v>-8.2265625</v>
      </c>
      <c r="D23" cm="1">
        <f t="array" ref="D23">cant_left_variable_load($B$1,$B$2,$B$3,$B$4,$B$5,$D$6,$D$7,$A23,4)</f>
        <v>8.1734738860277639E-3</v>
      </c>
      <c r="E23" cm="1">
        <f t="array" ref="E23">cant_left_variable_load($B$1,$B$2,$B$3,$B$4,$B$5,$D$6,$D$7,$A23,5)*12</f>
        <v>-0.19711575654948488</v>
      </c>
    </row>
    <row r="24" spans="1:5" x14ac:dyDescent="0.25">
      <c r="A24">
        <f t="shared" si="0"/>
        <v>7</v>
      </c>
      <c r="B24" cm="1">
        <f t="array" ref="B24">cant_left_variable_load($B$1,$B$2,$B$3,$B$4,$B$5,$D$6,$D$7,$A24,2)</f>
        <v>-3.4375</v>
      </c>
      <c r="C24" cm="1">
        <f t="array" ref="C24">cant_left_variable_load($B$1,$B$2,$B$3,$B$4,$B$5,$D$6,$D$7,$A24,3)</f>
        <v>-9.8958333333333339</v>
      </c>
      <c r="D24" cm="1">
        <f t="array" ref="D24">cant_left_variable_load($B$1,$B$2,$B$3,$B$4,$B$5,$D$6,$D$7,$A24,4)</f>
        <v>7.4437416032243605E-3</v>
      </c>
      <c r="E24" cm="1">
        <f t="array" ref="E24">cant_left_variable_load($B$1,$B$2,$B$3,$B$4,$B$5,$D$6,$D$7,$A24,5)*12</f>
        <v>-0.15019682042095828</v>
      </c>
    </row>
    <row r="25" spans="1:5" x14ac:dyDescent="0.25">
      <c r="A25">
        <f t="shared" si="0"/>
        <v>7.5</v>
      </c>
      <c r="B25" cm="1">
        <f t="array" ref="B25">cant_left_variable_load($B$1,$B$2,$B$3,$B$4,$B$5,$D$6,$D$7,$A25,2)</f>
        <v>-3.609375</v>
      </c>
      <c r="C25" cm="1">
        <f t="array" ref="C25">cant_left_variable_load($B$1,$B$2,$B$3,$B$4,$B$5,$D$6,$D$7,$A25,3)</f>
        <v>-11.658854166666666</v>
      </c>
      <c r="D25" cm="1">
        <f t="array" ref="D25">cant_left_variable_load($B$1,$B$2,$B$3,$B$4,$B$5,$D$6,$D$7,$A25,4)</f>
        <v>6.5755674820868774E-3</v>
      </c>
      <c r="E25" cm="1">
        <f t="array" ref="E25">cant_left_variable_load($B$1,$B$2,$B$3,$B$4,$B$5,$D$6,$D$7,$A25,5)*12</f>
        <v>-0.10806782495521713</v>
      </c>
    </row>
    <row r="26" spans="1:5" x14ac:dyDescent="0.25">
      <c r="A26">
        <f t="shared" si="0"/>
        <v>8</v>
      </c>
      <c r="B26" cm="1">
        <f t="array" ref="B26">cant_left_variable_load($B$1,$B$2,$B$3,$B$4,$B$5,$D$6,$D$7,$A26,2)</f>
        <v>-3.75</v>
      </c>
      <c r="C26" cm="1">
        <f t="array" ref="C26">cant_left_variable_load($B$1,$B$2,$B$3,$B$4,$B$5,$D$6,$D$7,$A26,3)</f>
        <v>-13.5</v>
      </c>
      <c r="D26" cm="1">
        <f t="array" ref="D26">cant_left_variable_load($B$1,$B$2,$B$3,$B$4,$B$5,$D$6,$D$7,$A26,4)</f>
        <v>5.5620241827138367E-3</v>
      </c>
      <c r="E26" cm="1">
        <f t="array" ref="E26">cant_left_variable_load($B$1,$B$2,$B$3,$B$4,$B$5,$D$6,$D$7,$A26,5)*12</f>
        <v>-7.158083296014324E-2</v>
      </c>
    </row>
    <row r="27" spans="1:5" x14ac:dyDescent="0.25">
      <c r="A27">
        <f t="shared" si="0"/>
        <v>8.5</v>
      </c>
      <c r="B27" cm="1">
        <f t="array" ref="B27">cant_left_variable_load($B$1,$B$2,$B$3,$B$4,$B$5,$D$6,$D$7,$A27,2)</f>
        <v>-3.75</v>
      </c>
      <c r="C27" cm="1">
        <f t="array" ref="C27">cant_left_variable_load($B$1,$B$2,$B$3,$B$4,$B$5,$D$6,$D$7,$A27,3)</f>
        <v>-15.374999999999998</v>
      </c>
      <c r="D27" cm="1">
        <f t="array" ref="D27">cant_left_variable_load($B$1,$B$2,$B$3,$B$4,$B$5,$D$6,$D$7,$A27,4)</f>
        <v>4.398231079265561E-3</v>
      </c>
      <c r="E27" cm="1">
        <f t="array" ref="E27">cant_left_variable_load($B$1,$B$2,$B$3,$B$4,$B$5,$D$6,$D$7,$A27,5)*12</f>
        <v>-4.1624496193461646E-2</v>
      </c>
    </row>
    <row r="28" spans="1:5" x14ac:dyDescent="0.25">
      <c r="A28">
        <f t="shared" si="0"/>
        <v>9</v>
      </c>
      <c r="B28" cm="1">
        <f t="array" ref="B28">cant_left_variable_load($B$1,$B$2,$B$3,$B$4,$B$5,$D$6,$D$7,$A28,2)</f>
        <v>-3.75</v>
      </c>
      <c r="C28" cm="1">
        <f t="array" ref="C28">cant_left_variable_load($B$1,$B$2,$B$3,$B$4,$B$5,$D$6,$D$7,$A28,3)</f>
        <v>-17.25</v>
      </c>
      <c r="D28" cm="1">
        <f t="array" ref="D28">cant_left_variable_load($B$1,$B$2,$B$3,$B$4,$B$5,$D$6,$D$7,$A28,4)</f>
        <v>3.0832960143304966E-3</v>
      </c>
      <c r="E28" cm="1">
        <f t="array" ref="E28">cant_left_variable_load($B$1,$B$2,$B$3,$B$4,$B$5,$D$6,$D$7,$A28,5)*12</f>
        <v>-1.9104343931930085E-2</v>
      </c>
    </row>
    <row r="29" spans="1:5" x14ac:dyDescent="0.25">
      <c r="A29">
        <f t="shared" si="0"/>
        <v>9.5</v>
      </c>
      <c r="B29" cm="1">
        <f t="array" ref="B29">cant_left_variable_load($B$1,$B$2,$B$3,$B$4,$B$5,$D$6,$D$7,$A29,2)</f>
        <v>-3.75</v>
      </c>
      <c r="C29" cm="1">
        <f t="array" ref="C29">cant_left_variable_load($B$1,$B$2,$B$3,$B$4,$B$5,$D$6,$D$7,$A29,3)</f>
        <v>-19.125</v>
      </c>
      <c r="D29" cm="1">
        <f t="array" ref="D29">cant_left_variable_load($B$1,$B$2,$B$3,$B$4,$B$5,$D$6,$D$7,$A29,4)</f>
        <v>1.6172189879086426E-3</v>
      </c>
      <c r="E29" cm="1">
        <f t="array" ref="E29">cant_left_variable_load($B$1,$B$2,$B$3,$B$4,$B$5,$D$6,$D$7,$A29,5)*12</f>
        <v>-4.9272279444692703E-3</v>
      </c>
    </row>
    <row r="30" spans="1:5" x14ac:dyDescent="0.25">
      <c r="A30">
        <f t="shared" si="0"/>
        <v>10</v>
      </c>
      <c r="B30" cm="1">
        <f t="array" ref="B30">cant_left_variable_load($B$1,$B$2,$B$3,$B$4,$B$5,$D$6,$D$7,$A30,2)</f>
        <v>-3.75</v>
      </c>
      <c r="C30" cm="1">
        <f t="array" ref="C30">cant_left_variable_load($B$1,$B$2,$B$3,$B$4,$B$5,$D$6,$D$7,$A30,3)</f>
        <v>-21</v>
      </c>
      <c r="D30" cm="1">
        <f t="array" ref="D30">cant_left_variable_load($B$1,$B$2,$B$3,$B$4,$B$5,$D$6,$D$7,$A30,4)</f>
        <v>-4.010450726548441E-19</v>
      </c>
      <c r="E30" cm="1">
        <f t="array" ref="E30">cant_left_variable_load($B$1,$B$2,$B$3,$B$4,$B$5,$D$6,$D$7,$A30,5)*12</f>
        <v>5.0313537483191829E-17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License</vt:lpstr>
      <vt:lpstr>BM_w_left_and_right_cantilever</vt:lpstr>
      <vt:lpstr>Point_Load</vt:lpstr>
      <vt:lpstr>Point_Moment</vt:lpstr>
      <vt:lpstr>Uniform_load</vt:lpstr>
      <vt:lpstr>Variable_load</vt:lpstr>
      <vt:lpstr>Cant_Right_Slope</vt:lpstr>
      <vt:lpstr>Cant_Right_Point_Load</vt:lpstr>
      <vt:lpstr>Cant_Right_Point_Moment</vt:lpstr>
      <vt:lpstr>Cant_Right_Uniform_load</vt:lpstr>
      <vt:lpstr>Cant_Right_Variable_load</vt:lpstr>
      <vt:lpstr>Cant_Left_Slope</vt:lpstr>
      <vt:lpstr>Cant_Left_Point_Load</vt:lpstr>
      <vt:lpstr>Cant_Left_Point_Moment</vt:lpstr>
      <vt:lpstr>Cant_Left_Uniform_load</vt:lpstr>
      <vt:lpstr>Cant_Left_Variable_load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Simple Beam Functions</dc:title>
  <dc:creator>Don Bockoven</dc:creator>
  <dc:description>User Defined functions for point loads, point moments, uniform distributed loads, and variable distributed loads.</dc:description>
  <cp:lastModifiedBy>Don Bockoven</cp:lastModifiedBy>
  <dcterms:created xsi:type="dcterms:W3CDTF">2020-01-28T17:25:08Z</dcterms:created>
  <dcterms:modified xsi:type="dcterms:W3CDTF">2020-02-28T18:09:42Z</dcterms:modified>
  <cp:contentStatus>v20200128a</cp:contentStatus>
</cp:coreProperties>
</file>