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3479" documentId="8_{37E8B246-AF35-42CA-A034-DDDD52D0D400}" xr6:coauthVersionLast="45" xr6:coauthVersionMax="45" xr10:uidLastSave="{C5ADC3C7-FB3B-49D6-A42D-B93A446A83D4}"/>
  <bookViews>
    <workbookView xWindow="1575" yWindow="570" windowWidth="25935" windowHeight="16815" xr2:uid="{6506FA8A-1F3F-4C50-BBFD-B318EB7939C6}"/>
  </bookViews>
  <sheets>
    <sheet name="Beam_Analysis" sheetId="1" r:id="rId1"/>
    <sheet name="Data" sheetId="2" r:id="rId2"/>
    <sheet name="Load_Combos" sheetId="3" r:id="rId3"/>
  </sheets>
  <functionGroups builtInGroupCount="19"/>
  <definedNames>
    <definedName name="FF_5">Data!$V$26:$V$32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53" i="2" l="1"/>
  <c r="B60" i="2" s="1"/>
  <c r="I2" i="1"/>
  <c r="L72" i="1"/>
  <c r="L70" i="1"/>
  <c r="L68" i="1"/>
  <c r="L66" i="1"/>
  <c r="L64" i="1"/>
  <c r="L62" i="1"/>
  <c r="L60" i="1"/>
  <c r="L58" i="1"/>
  <c r="L56" i="1"/>
  <c r="L54" i="1"/>
  <c r="N28" i="1"/>
  <c r="N27" i="1"/>
  <c r="D53" i="1"/>
  <c r="L79" i="1"/>
  <c r="L74" i="1"/>
  <c r="L75" i="1"/>
  <c r="L76" i="1"/>
  <c r="L77" i="1"/>
  <c r="L73" i="1"/>
  <c r="J54" i="1" a="1"/>
  <c r="J57" i="1" a="1"/>
  <c r="J55" i="1" a="1"/>
  <c r="J56" i="1" a="1"/>
  <c r="J65" i="1" a="1"/>
  <c r="J53" i="1" a="1"/>
  <c r="J68" i="1" a="1"/>
  <c r="J67" i="1" a="1"/>
  <c r="J61" i="1" a="1"/>
  <c r="J70" i="1" a="1"/>
  <c r="J69" i="1" a="1"/>
  <c r="J72" i="1" a="1"/>
  <c r="J64" i="1" a="1"/>
  <c r="J63" i="1" a="1"/>
  <c r="J59" i="1" a="1"/>
  <c r="J66" i="1" a="1"/>
  <c r="J58" i="1" a="1"/>
  <c r="J71" i="1" a="1"/>
  <c r="J62" i="1" a="1"/>
  <c r="J60" i="1" a="1"/>
  <c r="B66" i="2" l="1"/>
  <c r="B75" i="2"/>
  <c r="B67" i="2"/>
  <c r="B59" i="2"/>
  <c r="B65" i="2"/>
  <c r="B57" i="2"/>
  <c r="B80" i="2"/>
  <c r="B72" i="2"/>
  <c r="B64" i="2"/>
  <c r="B56" i="2"/>
  <c r="B74" i="2"/>
  <c r="B73" i="2"/>
  <c r="B79" i="2"/>
  <c r="B71" i="2"/>
  <c r="B63" i="2"/>
  <c r="B55" i="2"/>
  <c r="B54" i="2"/>
  <c r="B78" i="2"/>
  <c r="B70" i="2"/>
  <c r="B62" i="2"/>
  <c r="B58" i="2"/>
  <c r="B77" i="2"/>
  <c r="B69" i="2"/>
  <c r="B61" i="2"/>
  <c r="B76" i="2"/>
  <c r="B68" i="2"/>
  <c r="J72" i="1"/>
  <c r="J70" i="1"/>
  <c r="J68" i="1"/>
  <c r="J66" i="1"/>
  <c r="J64" i="1"/>
  <c r="J62" i="1"/>
  <c r="J60" i="1"/>
  <c r="J58" i="1"/>
  <c r="J56" i="1"/>
  <c r="J54" i="1"/>
  <c r="J53" i="1"/>
  <c r="J71" i="1"/>
  <c r="J69" i="1"/>
  <c r="J67" i="1"/>
  <c r="J65" i="1"/>
  <c r="J63" i="1"/>
  <c r="J61" i="1"/>
  <c r="J59" i="1"/>
  <c r="J57" i="1"/>
  <c r="J55" i="1"/>
  <c r="BA15" i="2"/>
  <c r="BA16" i="2"/>
  <c r="AY16" i="2"/>
  <c r="N29" i="1"/>
  <c r="M28" i="1" s="1"/>
  <c r="O11" i="2"/>
  <c r="O16" i="2"/>
  <c r="O12" i="2"/>
  <c r="O13" i="2"/>
  <c r="O14" i="2"/>
  <c r="O10" i="2"/>
  <c r="Z13" i="2" a="1"/>
  <c r="W13" i="2" a="1"/>
  <c r="Z10" i="2" a="1"/>
  <c r="V12" i="2" a="1"/>
  <c r="Z14" i="2" a="1"/>
  <c r="Z11" i="2" a="1"/>
  <c r="V13" i="2" a="1"/>
  <c r="X12" i="2" a="1"/>
  <c r="X14" i="2" a="1"/>
  <c r="X10" i="2" a="1"/>
  <c r="W11" i="2" a="1"/>
  <c r="Y14" i="2" a="1"/>
  <c r="W14" i="2" a="1"/>
  <c r="W10" i="2" a="1"/>
  <c r="Y13" i="2" a="1"/>
  <c r="Y11" i="2" a="1"/>
  <c r="V10" i="2" a="1"/>
  <c r="Y12" i="2" a="1"/>
  <c r="X11" i="2" a="1"/>
  <c r="W12" i="2" a="1"/>
  <c r="V11" i="2" a="1"/>
  <c r="Z12" i="2" a="1"/>
  <c r="X13" i="2" a="1"/>
  <c r="Y10" i="2" a="1"/>
  <c r="V14" i="2" a="1"/>
  <c r="O9" i="2" l="1"/>
  <c r="U16" i="2"/>
  <c r="U15" i="2"/>
  <c r="M27" i="1"/>
  <c r="V14" i="2"/>
  <c r="AR14" i="2" s="1"/>
  <c r="V12" i="2"/>
  <c r="V59" i="2" s="1"/>
  <c r="V13" i="2"/>
  <c r="V11" i="2"/>
  <c r="V10" i="2"/>
  <c r="Y11" i="2"/>
  <c r="Z14" i="2"/>
  <c r="AV14" i="2" s="1"/>
  <c r="Y14" i="2"/>
  <c r="AU14" i="2" s="1"/>
  <c r="X11" i="2"/>
  <c r="X58" i="2" s="1"/>
  <c r="W13" i="2"/>
  <c r="Z13" i="2"/>
  <c r="AV13" i="2" s="1"/>
  <c r="W12" i="2"/>
  <c r="W59" i="2" s="1"/>
  <c r="X12" i="2"/>
  <c r="X59" i="2" s="1"/>
  <c r="Y13" i="2"/>
  <c r="W11" i="2"/>
  <c r="X14" i="2"/>
  <c r="AT14" i="2" s="1"/>
  <c r="Z12" i="2"/>
  <c r="AV12" i="2" s="1"/>
  <c r="W14" i="2"/>
  <c r="AS14" i="2" s="1"/>
  <c r="X13" i="2"/>
  <c r="Y12" i="2"/>
  <c r="Z11" i="2"/>
  <c r="AV11" i="2" s="1"/>
  <c r="W10" i="2"/>
  <c r="X10" i="2"/>
  <c r="X57" i="2" s="1"/>
  <c r="Y10" i="2"/>
  <c r="Z10" i="2"/>
  <c r="AV10" i="2" s="1"/>
  <c r="O3" i="2"/>
  <c r="C62" i="3"/>
  <c r="D62" i="3"/>
  <c r="I5" i="1" s="1"/>
  <c r="E62" i="3"/>
  <c r="J5" i="1" s="1"/>
  <c r="F62" i="3"/>
  <c r="K5" i="1" s="1"/>
  <c r="G62" i="3"/>
  <c r="L5" i="1" s="1"/>
  <c r="H62" i="3"/>
  <c r="M5" i="1" s="1"/>
  <c r="I62" i="3"/>
  <c r="N5" i="1" s="1"/>
  <c r="J62" i="3"/>
  <c r="O5" i="1" s="1"/>
  <c r="K62" i="3"/>
  <c r="P5" i="1" s="1"/>
  <c r="B62" i="3"/>
  <c r="G5" i="1" s="1"/>
  <c r="F33" i="3"/>
  <c r="F32" i="3"/>
  <c r="C33" i="3"/>
  <c r="C32" i="3"/>
  <c r="C31" i="3"/>
  <c r="C30" i="3"/>
  <c r="C29" i="3"/>
  <c r="C28" i="3"/>
  <c r="C27" i="3"/>
  <c r="C26" i="3"/>
  <c r="C19" i="3"/>
  <c r="C18" i="3"/>
  <c r="C17" i="3"/>
  <c r="H5" i="1" s="1"/>
  <c r="I1" i="1"/>
  <c r="P15" i="2" a="1"/>
  <c r="P16" i="2" a="1"/>
  <c r="P16" i="2" l="1"/>
  <c r="P15" i="2"/>
  <c r="Q105" i="2"/>
  <c r="U17" i="2"/>
  <c r="V92" i="2"/>
  <c r="V57" i="2"/>
  <c r="V76" i="2"/>
  <c r="W77" i="2"/>
  <c r="W58" i="2"/>
  <c r="W57" i="2"/>
  <c r="W76" i="2"/>
  <c r="V77" i="2"/>
  <c r="V58" i="2"/>
  <c r="AK59" i="2"/>
  <c r="AD59" i="2"/>
  <c r="AR59" i="2"/>
  <c r="AT58" i="2"/>
  <c r="AM58" i="2"/>
  <c r="AF58" i="2"/>
  <c r="AE59" i="2"/>
  <c r="AS59" i="2"/>
  <c r="AL59" i="2"/>
  <c r="AT57" i="2"/>
  <c r="AM57" i="2"/>
  <c r="AF57" i="2"/>
  <c r="AF59" i="2"/>
  <c r="AT59" i="2"/>
  <c r="AM59" i="2"/>
  <c r="AT12" i="2"/>
  <c r="X37" i="2"/>
  <c r="AR10" i="2"/>
  <c r="V35" i="2"/>
  <c r="AU12" i="2"/>
  <c r="Y37" i="2"/>
  <c r="AS12" i="2"/>
  <c r="W37" i="2"/>
  <c r="AR11" i="2"/>
  <c r="V36" i="2"/>
  <c r="AT13" i="2"/>
  <c r="X38" i="2"/>
  <c r="AR13" i="2"/>
  <c r="V38" i="2"/>
  <c r="AS13" i="2"/>
  <c r="W38" i="2"/>
  <c r="AR12" i="2"/>
  <c r="V37" i="2"/>
  <c r="AT11" i="2"/>
  <c r="X36" i="2"/>
  <c r="AU10" i="2"/>
  <c r="Y35" i="2"/>
  <c r="AT10" i="2"/>
  <c r="X35" i="2"/>
  <c r="AS11" i="2"/>
  <c r="W36" i="2"/>
  <c r="AS10" i="2"/>
  <c r="W35" i="2"/>
  <c r="AU13" i="2"/>
  <c r="Y38" i="2"/>
  <c r="AU11" i="2"/>
  <c r="Y36" i="2"/>
  <c r="AO14" i="2"/>
  <c r="AH14" i="2"/>
  <c r="AO13" i="2"/>
  <c r="AH13" i="2"/>
  <c r="AN14" i="2"/>
  <c r="AG14" i="2"/>
  <c r="AN13" i="2"/>
  <c r="AG13" i="2"/>
  <c r="AM12" i="2"/>
  <c r="AF12" i="2"/>
  <c r="AN12" i="2"/>
  <c r="AG12" i="2"/>
  <c r="AF13" i="2"/>
  <c r="AM13" i="2"/>
  <c r="AO12" i="2"/>
  <c r="AH12" i="2"/>
  <c r="AF14" i="2"/>
  <c r="AM14" i="2"/>
  <c r="AO11" i="2"/>
  <c r="AH11" i="2"/>
  <c r="AE14" i="2"/>
  <c r="AL14" i="2"/>
  <c r="AL13" i="2"/>
  <c r="AE13" i="2"/>
  <c r="AM11" i="2"/>
  <c r="AF11" i="2"/>
  <c r="AE12" i="2"/>
  <c r="AL12" i="2"/>
  <c r="AL11" i="2"/>
  <c r="AE11" i="2"/>
  <c r="AG11" i="2"/>
  <c r="AN11" i="2"/>
  <c r="AD10" i="2"/>
  <c r="AK10" i="2"/>
  <c r="AD11" i="2"/>
  <c r="AK11" i="2"/>
  <c r="AD13" i="2"/>
  <c r="AK13" i="2"/>
  <c r="AK12" i="2"/>
  <c r="AD12" i="2"/>
  <c r="AO10" i="2"/>
  <c r="AH10" i="2"/>
  <c r="AD14" i="2"/>
  <c r="AK14" i="2"/>
  <c r="AN10" i="2"/>
  <c r="AG10" i="2"/>
  <c r="AM10" i="2"/>
  <c r="AF10" i="2"/>
  <c r="AE10" i="2"/>
  <c r="AL10" i="2"/>
  <c r="Q119" i="2"/>
  <c r="Q128" i="2"/>
  <c r="Q120" i="2"/>
  <c r="Q112" i="2"/>
  <c r="Q111" i="2"/>
  <c r="Q107" i="2"/>
  <c r="Q126" i="2"/>
  <c r="Q110" i="2"/>
  <c r="Q133" i="2"/>
  <c r="Q125" i="2"/>
  <c r="Q117" i="2"/>
  <c r="Q109" i="2"/>
  <c r="Q118" i="2"/>
  <c r="Q132" i="2"/>
  <c r="Q124" i="2"/>
  <c r="Q116" i="2"/>
  <c r="Q108" i="2"/>
  <c r="Q127" i="2"/>
  <c r="Q131" i="2"/>
  <c r="Q123" i="2"/>
  <c r="Q115" i="2"/>
  <c r="Q130" i="2"/>
  <c r="Q122" i="2"/>
  <c r="Q114" i="2"/>
  <c r="Q129" i="2"/>
  <c r="Q121" i="2"/>
  <c r="K2" i="3"/>
  <c r="J2" i="3"/>
  <c r="I2" i="3"/>
  <c r="H2" i="3"/>
  <c r="G2" i="3"/>
  <c r="F2" i="3"/>
  <c r="E2" i="3"/>
  <c r="D2" i="3"/>
  <c r="C2" i="3"/>
  <c r="B2" i="3"/>
  <c r="AA16" i="2" a="1"/>
  <c r="V16" i="2" a="1"/>
  <c r="W16" i="2" a="1"/>
  <c r="X16" i="2" a="1"/>
  <c r="Y16" i="2" a="1"/>
  <c r="AB16" i="2" a="1"/>
  <c r="Z16" i="2" a="1"/>
  <c r="V15" i="2" a="1"/>
  <c r="AA15" i="2" a="1"/>
  <c r="W15" i="2" a="1"/>
  <c r="Z15" i="2" a="1"/>
  <c r="X15" i="2" a="1"/>
  <c r="Y15" i="2" a="1"/>
  <c r="Q134" i="2" l="1"/>
  <c r="Q142" i="2"/>
  <c r="Q150" i="2"/>
  <c r="Q158" i="2"/>
  <c r="Q166" i="2"/>
  <c r="Q174" i="2"/>
  <c r="Q182" i="2"/>
  <c r="Q190" i="2"/>
  <c r="Q198" i="2"/>
  <c r="Q206" i="2"/>
  <c r="Q214" i="2"/>
  <c r="Q222" i="2"/>
  <c r="Q209" i="2"/>
  <c r="Q212" i="2"/>
  <c r="Q181" i="2"/>
  <c r="Q221" i="2"/>
  <c r="Q135" i="2"/>
  <c r="Q143" i="2"/>
  <c r="Q151" i="2"/>
  <c r="Q159" i="2"/>
  <c r="Q167" i="2"/>
  <c r="Q175" i="2"/>
  <c r="Q183" i="2"/>
  <c r="Q191" i="2"/>
  <c r="Q199" i="2"/>
  <c r="Q207" i="2"/>
  <c r="Q215" i="2"/>
  <c r="Q223" i="2"/>
  <c r="Q219" i="2"/>
  <c r="Q149" i="2"/>
  <c r="Q136" i="2"/>
  <c r="Q144" i="2"/>
  <c r="Q152" i="2"/>
  <c r="Q160" i="2"/>
  <c r="Q168" i="2"/>
  <c r="Q176" i="2"/>
  <c r="Q184" i="2"/>
  <c r="Q192" i="2"/>
  <c r="Q200" i="2"/>
  <c r="Q208" i="2"/>
  <c r="Q216" i="2"/>
  <c r="Q224" i="2"/>
  <c r="Q225" i="2"/>
  <c r="Q213" i="2"/>
  <c r="Q137" i="2"/>
  <c r="Q145" i="2"/>
  <c r="Q153" i="2"/>
  <c r="Q161" i="2"/>
  <c r="Q169" i="2"/>
  <c r="Q177" i="2"/>
  <c r="Q185" i="2"/>
  <c r="Q193" i="2"/>
  <c r="Q201" i="2"/>
  <c r="Q217" i="2"/>
  <c r="Q173" i="2"/>
  <c r="Q138" i="2"/>
  <c r="Q146" i="2"/>
  <c r="Q154" i="2"/>
  <c r="Q162" i="2"/>
  <c r="Q170" i="2"/>
  <c r="Q178" i="2"/>
  <c r="Q186" i="2"/>
  <c r="Q194" i="2"/>
  <c r="Q202" i="2"/>
  <c r="Q210" i="2"/>
  <c r="Q218" i="2"/>
  <c r="Q226" i="2"/>
  <c r="Q203" i="2"/>
  <c r="Q227" i="2"/>
  <c r="Q165" i="2"/>
  <c r="Q139" i="2"/>
  <c r="Q147" i="2"/>
  <c r="Q155" i="2"/>
  <c r="Q163" i="2"/>
  <c r="Q171" i="2"/>
  <c r="Q179" i="2"/>
  <c r="Q187" i="2"/>
  <c r="Q195" i="2"/>
  <c r="Q211" i="2"/>
  <c r="Q204" i="2"/>
  <c r="Q189" i="2"/>
  <c r="Q140" i="2"/>
  <c r="Q148" i="2"/>
  <c r="Q156" i="2"/>
  <c r="Q164" i="2"/>
  <c r="Q172" i="2"/>
  <c r="Q180" i="2"/>
  <c r="Q188" i="2"/>
  <c r="Q196" i="2"/>
  <c r="Q220" i="2"/>
  <c r="Q205" i="2"/>
  <c r="Q141" i="2"/>
  <c r="Q157" i="2"/>
  <c r="Q197" i="2"/>
  <c r="Q113" i="2"/>
  <c r="AD35" i="2"/>
  <c r="AR35" i="2"/>
  <c r="AK35" i="2"/>
  <c r="AR76" i="2"/>
  <c r="AK76" i="2"/>
  <c r="AD76" i="2"/>
  <c r="AK57" i="2"/>
  <c r="AD57" i="2"/>
  <c r="AR57" i="2"/>
  <c r="AK92" i="2"/>
  <c r="AD92" i="2"/>
  <c r="AL36" i="2"/>
  <c r="AS36" i="2"/>
  <c r="AE36" i="2"/>
  <c r="AD36" i="2"/>
  <c r="AR36" i="2"/>
  <c r="AK36" i="2"/>
  <c r="AK58" i="2"/>
  <c r="AR58" i="2"/>
  <c r="AD58" i="2"/>
  <c r="AR77" i="2"/>
  <c r="AD77" i="2"/>
  <c r="AK77" i="2"/>
  <c r="AS76" i="2"/>
  <c r="AE76" i="2"/>
  <c r="AL76" i="2"/>
  <c r="AS57" i="2"/>
  <c r="AE57" i="2"/>
  <c r="AL57" i="2"/>
  <c r="AL58" i="2"/>
  <c r="AS58" i="2"/>
  <c r="AE58" i="2"/>
  <c r="AS35" i="2"/>
  <c r="AE35" i="2"/>
  <c r="AL35" i="2"/>
  <c r="AS77" i="2"/>
  <c r="AE77" i="2"/>
  <c r="AL77" i="2"/>
  <c r="AF35" i="2"/>
  <c r="AT35" i="2"/>
  <c r="AM35" i="2"/>
  <c r="AS37" i="2"/>
  <c r="AL37" i="2"/>
  <c r="AE37" i="2"/>
  <c r="AR18" i="2" a="1"/>
  <c r="AU21" i="2" s="1"/>
  <c r="AT36" i="2"/>
  <c r="AM36" i="2"/>
  <c r="AF36" i="2"/>
  <c r="AD37" i="2"/>
  <c r="AK37" i="2"/>
  <c r="AR37" i="2"/>
  <c r="AF37" i="2"/>
  <c r="AT37" i="2"/>
  <c r="AM37" i="2"/>
  <c r="AU35" i="2"/>
  <c r="AG35" i="2"/>
  <c r="AN35" i="2"/>
  <c r="AD38" i="2"/>
  <c r="AK38" i="2"/>
  <c r="AR38" i="2"/>
  <c r="AU37" i="2"/>
  <c r="AG37" i="2"/>
  <c r="AN37" i="2"/>
  <c r="AS38" i="2"/>
  <c r="AL38" i="2"/>
  <c r="AE38" i="2"/>
  <c r="AU38" i="2"/>
  <c r="AN38" i="2"/>
  <c r="AG38" i="2"/>
  <c r="AT38" i="2"/>
  <c r="AM38" i="2"/>
  <c r="AF38" i="2"/>
  <c r="AN36" i="2"/>
  <c r="AG36" i="2"/>
  <c r="AU36" i="2"/>
  <c r="AA16" i="2"/>
  <c r="Q20" i="2" s="1"/>
  <c r="AB16" i="2"/>
  <c r="Z16" i="2"/>
  <c r="AO15" i="2" s="1"/>
  <c r="Y16" i="2"/>
  <c r="X16" i="2"/>
  <c r="X61" i="2" s="1"/>
  <c r="AM60" i="2" s="1"/>
  <c r="W16" i="2"/>
  <c r="V16" i="2"/>
  <c r="V94" i="2" s="1"/>
  <c r="AK93" i="2" s="1"/>
  <c r="AA15" i="2"/>
  <c r="Z15" i="2"/>
  <c r="AH15" i="2" s="1"/>
  <c r="Y15" i="2"/>
  <c r="X15" i="2"/>
  <c r="X60" i="2" s="1"/>
  <c r="AF60" i="2" s="1"/>
  <c r="W15" i="2"/>
  <c r="V15" i="2"/>
  <c r="V93" i="2" s="1"/>
  <c r="AD93" i="2" s="1"/>
  <c r="O2" i="2"/>
  <c r="G12" i="2"/>
  <c r="F8" i="2"/>
  <c r="AB10" i="2" a="1"/>
  <c r="AB12" i="2" a="1"/>
  <c r="AB13" i="2" a="1"/>
  <c r="AB11" i="2" a="1"/>
  <c r="AB14" i="2" a="1"/>
  <c r="AA14" i="2" a="1"/>
  <c r="AA11" i="2" a="1"/>
  <c r="AA12" i="2" a="1"/>
  <c r="AA13" i="2" a="1"/>
  <c r="AA10" i="2" a="1"/>
  <c r="AB15" i="2" a="1"/>
  <c r="F12" i="2" l="1"/>
  <c r="O186" i="2" s="1"/>
  <c r="A24" i="2"/>
  <c r="O170" i="2"/>
  <c r="O213" i="2"/>
  <c r="O159" i="2"/>
  <c r="O168" i="2"/>
  <c r="O215" i="2"/>
  <c r="O151" i="2"/>
  <c r="O154" i="2"/>
  <c r="O177" i="2"/>
  <c r="O143" i="2"/>
  <c r="O146" i="2"/>
  <c r="O169" i="2"/>
  <c r="O199" i="2"/>
  <c r="O147" i="2"/>
  <c r="O138" i="2"/>
  <c r="O161" i="2"/>
  <c r="O207" i="2"/>
  <c r="O180" i="2"/>
  <c r="O211" i="2"/>
  <c r="O183" i="2"/>
  <c r="O181" i="2"/>
  <c r="O182" i="2"/>
  <c r="W93" i="2"/>
  <c r="AE93" i="2" s="1"/>
  <c r="Q19" i="2"/>
  <c r="X94" i="2"/>
  <c r="AL93" i="2" s="1"/>
  <c r="R20" i="2"/>
  <c r="O150" i="2"/>
  <c r="O152" i="2"/>
  <c r="O197" i="2"/>
  <c r="O201" i="2"/>
  <c r="O189" i="2"/>
  <c r="AR81" i="2" a="1"/>
  <c r="AR81" i="2" s="1"/>
  <c r="AR63" i="2" a="1"/>
  <c r="AS63" i="2" s="1"/>
  <c r="X79" i="2"/>
  <c r="W94" i="2"/>
  <c r="V60" i="2"/>
  <c r="AD60" i="2" s="1"/>
  <c r="V78" i="2"/>
  <c r="AD78" i="2" s="1"/>
  <c r="Y60" i="2"/>
  <c r="AG60" i="2" s="1"/>
  <c r="X78" i="2"/>
  <c r="AF78" i="2" s="1"/>
  <c r="W60" i="2"/>
  <c r="AE60" i="2" s="1"/>
  <c r="W78" i="2"/>
  <c r="AE78" i="2" s="1"/>
  <c r="Z61" i="2"/>
  <c r="AN60" i="2" s="1"/>
  <c r="Y79" i="2"/>
  <c r="AM78" i="2" s="1"/>
  <c r="V61" i="2"/>
  <c r="AK60" i="2" s="1"/>
  <c r="V79" i="2"/>
  <c r="AK78" i="2" s="1"/>
  <c r="W61" i="2"/>
  <c r="AL60" i="2" s="1"/>
  <c r="W79" i="2"/>
  <c r="AL78" i="2" s="1"/>
  <c r="AR19" i="2"/>
  <c r="AV20" i="2"/>
  <c r="AS20" i="2"/>
  <c r="AS21" i="2"/>
  <c r="AR20" i="2"/>
  <c r="AU18" i="2"/>
  <c r="AT20" i="2"/>
  <c r="AV21" i="2"/>
  <c r="AV18" i="2"/>
  <c r="AT19" i="2"/>
  <c r="AT22" i="2"/>
  <c r="AT21" i="2"/>
  <c r="AV22" i="2"/>
  <c r="AU20" i="2"/>
  <c r="AU22" i="2"/>
  <c r="AR21" i="2"/>
  <c r="AV19" i="2"/>
  <c r="AS19" i="2"/>
  <c r="AU19" i="2"/>
  <c r="AR18" i="2"/>
  <c r="AS18" i="2"/>
  <c r="AS22" i="2"/>
  <c r="AR22" i="2"/>
  <c r="AT18" i="2"/>
  <c r="Z40" i="2"/>
  <c r="Y61" i="2"/>
  <c r="AR42" i="2" a="1"/>
  <c r="AK15" i="2"/>
  <c r="V40" i="2"/>
  <c r="AK39" i="2" s="1"/>
  <c r="AL15" i="2"/>
  <c r="W40" i="2"/>
  <c r="AL39" i="2" s="1"/>
  <c r="AN15" i="2"/>
  <c r="Y40" i="2"/>
  <c r="AN39" i="2" s="1"/>
  <c r="AM15" i="2"/>
  <c r="X40" i="2"/>
  <c r="AM39" i="2" s="1"/>
  <c r="AP15" i="2"/>
  <c r="AA40" i="2"/>
  <c r="AO39" i="2" s="1"/>
  <c r="AE15" i="2"/>
  <c r="W39" i="2"/>
  <c r="AE39" i="2" s="1"/>
  <c r="AD15" i="2"/>
  <c r="V39" i="2"/>
  <c r="AD39" i="2" s="1"/>
  <c r="AF15" i="2"/>
  <c r="X39" i="2"/>
  <c r="AF39" i="2" s="1"/>
  <c r="AG15" i="2"/>
  <c r="Y39" i="2"/>
  <c r="AG39" i="2" s="1"/>
  <c r="AI15" i="2"/>
  <c r="Z39" i="2"/>
  <c r="AH39" i="2" s="1"/>
  <c r="AB15" i="2"/>
  <c r="R19" i="2" s="1"/>
  <c r="AB11" i="2"/>
  <c r="AB10" i="2"/>
  <c r="X92" i="2" s="1"/>
  <c r="AL92" i="2" s="1"/>
  <c r="AK96" i="2" s="1" a="1"/>
  <c r="AB12" i="2"/>
  <c r="Z59" i="2" s="1"/>
  <c r="AN59" i="2" s="1"/>
  <c r="AB14" i="2"/>
  <c r="AP14" i="2" s="1"/>
  <c r="AB13" i="2"/>
  <c r="AA13" i="2"/>
  <c r="AA12" i="2"/>
  <c r="Y59" i="2" s="1"/>
  <c r="AG59" i="2" s="1"/>
  <c r="AA11" i="2"/>
  <c r="AA10" i="2"/>
  <c r="W92" i="2" s="1"/>
  <c r="AE92" i="2" s="1"/>
  <c r="AA14" i="2"/>
  <c r="AI14" i="2" s="1"/>
  <c r="O113" i="2"/>
  <c r="O122" i="2"/>
  <c r="O117" i="2"/>
  <c r="O133" i="2"/>
  <c r="O116" i="2"/>
  <c r="O119" i="2"/>
  <c r="O110" i="2"/>
  <c r="O124" i="2"/>
  <c r="O126" i="2"/>
  <c r="O109" i="2"/>
  <c r="O111" i="2"/>
  <c r="O130" i="2"/>
  <c r="O129" i="2"/>
  <c r="O114" i="2"/>
  <c r="O107" i="2"/>
  <c r="O120" i="2"/>
  <c r="O132" i="2"/>
  <c r="O112" i="2"/>
  <c r="O128" i="2"/>
  <c r="O125" i="2"/>
  <c r="O108" i="2"/>
  <c r="O123" i="2"/>
  <c r="O115" i="2"/>
  <c r="O121" i="2"/>
  <c r="O127" i="2"/>
  <c r="O131" i="2"/>
  <c r="O118" i="2"/>
  <c r="F13" i="2"/>
  <c r="F17" i="2" s="1"/>
  <c r="Z107" i="2"/>
  <c r="Z108" i="2" s="1"/>
  <c r="X107" i="2"/>
  <c r="X108" i="2" s="1"/>
  <c r="D3" i="1"/>
  <c r="D2" i="1"/>
  <c r="A12" i="2"/>
  <c r="C6" i="2"/>
  <c r="O166" i="2" l="1"/>
  <c r="O178" i="2"/>
  <c r="O203" i="2"/>
  <c r="O204" i="2"/>
  <c r="O196" i="2"/>
  <c r="O218" i="2"/>
  <c r="O225" i="2"/>
  <c r="O141" i="2"/>
  <c r="O164" i="2"/>
  <c r="O200" i="2"/>
  <c r="O216" i="2"/>
  <c r="O210" i="2"/>
  <c r="O222" i="2"/>
  <c r="O163" i="2"/>
  <c r="O185" i="2"/>
  <c r="O202" i="2"/>
  <c r="O209" i="2"/>
  <c r="O176" i="2"/>
  <c r="O153" i="2"/>
  <c r="O191" i="2"/>
  <c r="O136" i="2"/>
  <c r="O223" i="2"/>
  <c r="O140" i="2"/>
  <c r="O148" i="2"/>
  <c r="O167" i="2"/>
  <c r="O149" i="2"/>
  <c r="O173" i="2"/>
  <c r="O194" i="2"/>
  <c r="O144" i="2"/>
  <c r="O205" i="2"/>
  <c r="O142" i="2"/>
  <c r="O220" i="2"/>
  <c r="O135" i="2"/>
  <c r="O227" i="2"/>
  <c r="O192" i="2"/>
  <c r="O193" i="2"/>
  <c r="O139" i="2"/>
  <c r="O208" i="2"/>
  <c r="O198" i="2"/>
  <c r="O206" i="2"/>
  <c r="O214" i="2"/>
  <c r="O158" i="2"/>
  <c r="O145" i="2"/>
  <c r="O217" i="2"/>
  <c r="F18" i="2"/>
  <c r="H60" i="2"/>
  <c r="H66" i="2"/>
  <c r="H69" i="2"/>
  <c r="H59" i="2"/>
  <c r="H76" i="2"/>
  <c r="H72" i="2"/>
  <c r="H71" i="2"/>
  <c r="H63" i="2"/>
  <c r="H74" i="2"/>
  <c r="H54" i="2"/>
  <c r="H73" i="2"/>
  <c r="H55" i="2"/>
  <c r="H80" i="2"/>
  <c r="H68" i="2"/>
  <c r="H64" i="2"/>
  <c r="H56" i="2"/>
  <c r="H77" i="2"/>
  <c r="H78" i="2"/>
  <c r="H58" i="2"/>
  <c r="H57" i="2"/>
  <c r="H75" i="2"/>
  <c r="H67" i="2"/>
  <c r="H79" i="2"/>
  <c r="H70" i="2"/>
  <c r="H65" i="2"/>
  <c r="H62" i="2"/>
  <c r="H61" i="2"/>
  <c r="B50" i="2"/>
  <c r="B31" i="2"/>
  <c r="B39" i="2"/>
  <c r="B45" i="2"/>
  <c r="B32" i="2"/>
  <c r="B40" i="2"/>
  <c r="B37" i="2"/>
  <c r="B25" i="2"/>
  <c r="B51" i="2"/>
  <c r="B33" i="2"/>
  <c r="B41" i="2"/>
  <c r="B44" i="2"/>
  <c r="B38" i="2"/>
  <c r="B34" i="2"/>
  <c r="B42" i="2"/>
  <c r="B30" i="2"/>
  <c r="B27" i="2"/>
  <c r="B35" i="2"/>
  <c r="B43" i="2"/>
  <c r="B28" i="2"/>
  <c r="B36" i="2"/>
  <c r="B29" i="2"/>
  <c r="B46" i="2"/>
  <c r="B47" i="2"/>
  <c r="B49" i="2"/>
  <c r="B26" i="2"/>
  <c r="B48" i="2"/>
  <c r="O184" i="2"/>
  <c r="O212" i="2"/>
  <c r="O134" i="2"/>
  <c r="O137" i="2"/>
  <c r="O187" i="2"/>
  <c r="O165" i="2"/>
  <c r="O160" i="2"/>
  <c r="O221" i="2"/>
  <c r="O162" i="2"/>
  <c r="O179" i="2"/>
  <c r="O219" i="2"/>
  <c r="O174" i="2"/>
  <c r="O195" i="2"/>
  <c r="O190" i="2"/>
  <c r="O188" i="2"/>
  <c r="O155" i="2"/>
  <c r="O224" i="2"/>
  <c r="O171" i="2"/>
  <c r="O226" i="2"/>
  <c r="O156" i="2"/>
  <c r="O157" i="2"/>
  <c r="O175" i="2"/>
  <c r="O172" i="2"/>
  <c r="AD96" i="2" a="1"/>
  <c r="AE97" i="2" s="1"/>
  <c r="Q22" i="2" a="1"/>
  <c r="AR82" i="2"/>
  <c r="AS81" i="2"/>
  <c r="AS82" i="2"/>
  <c r="AS64" i="2"/>
  <c r="AR65" i="2"/>
  <c r="AT64" i="2"/>
  <c r="AT65" i="2"/>
  <c r="AR63" i="2"/>
  <c r="AT63" i="2"/>
  <c r="AS65" i="2"/>
  <c r="AR64" i="2"/>
  <c r="AK96" i="2"/>
  <c r="AL97" i="2"/>
  <c r="AK97" i="2"/>
  <c r="AL96" i="2"/>
  <c r="Y78" i="2"/>
  <c r="X93" i="2"/>
  <c r="V96" i="2" s="1" a="1"/>
  <c r="Y57" i="2"/>
  <c r="AG57" i="2" s="1"/>
  <c r="X76" i="2"/>
  <c r="AF76" i="2" s="1"/>
  <c r="Y58" i="2"/>
  <c r="AG58" i="2" s="1"/>
  <c r="X77" i="2"/>
  <c r="AF77" i="2" s="1"/>
  <c r="Z58" i="2"/>
  <c r="AN58" i="2" s="1"/>
  <c r="Y77" i="2"/>
  <c r="AM77" i="2" s="1"/>
  <c r="Z57" i="2"/>
  <c r="AN57" i="2" s="1"/>
  <c r="Y76" i="2"/>
  <c r="AA39" i="2"/>
  <c r="Z60" i="2"/>
  <c r="AR42" i="2"/>
  <c r="AU43" i="2"/>
  <c r="AR43" i="2"/>
  <c r="AU42" i="2"/>
  <c r="AS44" i="2"/>
  <c r="AT43" i="2"/>
  <c r="AS42" i="2"/>
  <c r="AU44" i="2"/>
  <c r="AU45" i="2"/>
  <c r="AT44" i="2"/>
  <c r="AS43" i="2"/>
  <c r="AT42" i="2"/>
  <c r="AR45" i="2"/>
  <c r="AS45" i="2"/>
  <c r="AT45" i="2"/>
  <c r="AR44" i="2"/>
  <c r="AP12" i="2"/>
  <c r="AA37" i="2"/>
  <c r="AO37" i="2" s="1"/>
  <c r="AP10" i="2"/>
  <c r="AA35" i="2"/>
  <c r="AO35" i="2" s="1"/>
  <c r="AP13" i="2"/>
  <c r="AA38" i="2"/>
  <c r="AO38" i="2" s="1"/>
  <c r="AP11" i="2"/>
  <c r="AA36" i="2"/>
  <c r="AO36" i="2" s="1"/>
  <c r="AI10" i="2"/>
  <c r="Z35" i="2"/>
  <c r="AH35" i="2" s="1"/>
  <c r="AI11" i="2"/>
  <c r="Z36" i="2"/>
  <c r="AH36" i="2" s="1"/>
  <c r="AI12" i="2"/>
  <c r="Z37" i="2"/>
  <c r="AH37" i="2" s="1"/>
  <c r="AI13" i="2"/>
  <c r="Z38" i="2"/>
  <c r="AH38" i="2" s="1"/>
  <c r="V18" i="2" a="1"/>
  <c r="X24" i="2" s="1"/>
  <c r="P14" i="2" a="1"/>
  <c r="P12" i="2" a="1"/>
  <c r="P13" i="2" a="1"/>
  <c r="P10" i="2" a="1"/>
  <c r="P11" i="2" a="1"/>
  <c r="AD96" i="2" l="1"/>
  <c r="AE96" i="2"/>
  <c r="AD97" i="2"/>
  <c r="Q22" i="2"/>
  <c r="R23" i="2"/>
  <c r="R22" i="2"/>
  <c r="Q23" i="2"/>
  <c r="P10" i="2"/>
  <c r="P11" i="2"/>
  <c r="P12" i="2"/>
  <c r="P13" i="2"/>
  <c r="P14" i="2"/>
  <c r="AD63" i="2" a="1"/>
  <c r="AE64" i="2" s="1"/>
  <c r="V96" i="2"/>
  <c r="V97" i="2"/>
  <c r="W98" i="2"/>
  <c r="X97" i="2"/>
  <c r="X96" i="2"/>
  <c r="X98" i="2"/>
  <c r="W97" i="2"/>
  <c r="W96" i="2"/>
  <c r="V98" i="2"/>
  <c r="AK63" i="2" a="1"/>
  <c r="AK63" i="2" s="1"/>
  <c r="AD81" i="2" a="1"/>
  <c r="AD81" i="2" s="1"/>
  <c r="V81" i="2" a="1"/>
  <c r="Y82" i="2" s="1"/>
  <c r="AM76" i="2"/>
  <c r="AK81" i="2" s="1" a="1"/>
  <c r="AD18" i="2" a="1"/>
  <c r="AD18" i="2" s="1"/>
  <c r="V63" i="2" a="1"/>
  <c r="Z65" i="2" s="1"/>
  <c r="AK18" i="2" a="1"/>
  <c r="AM21" i="2" s="1"/>
  <c r="AK42" i="2" a="1"/>
  <c r="AD42" i="2" a="1"/>
  <c r="V42" i="2" a="1"/>
  <c r="W20" i="2"/>
  <c r="X21" i="2"/>
  <c r="Z23" i="2"/>
  <c r="V20" i="2"/>
  <c r="Z20" i="2"/>
  <c r="Y22" i="2"/>
  <c r="AB22" i="2"/>
  <c r="Z24" i="2"/>
  <c r="AA19" i="2"/>
  <c r="W21" i="2"/>
  <c r="AB20" i="2"/>
  <c r="AA22" i="2"/>
  <c r="V22" i="2"/>
  <c r="X22" i="2"/>
  <c r="Z19" i="2"/>
  <c r="W18" i="2"/>
  <c r="AA18" i="2"/>
  <c r="W22" i="2"/>
  <c r="Z18" i="2"/>
  <c r="X20" i="2"/>
  <c r="W19" i="2"/>
  <c r="X19" i="2"/>
  <c r="X23" i="2"/>
  <c r="AA23" i="2"/>
  <c r="V24" i="2"/>
  <c r="AB24" i="2"/>
  <c r="W23" i="2"/>
  <c r="AA20" i="2"/>
  <c r="AB21" i="2"/>
  <c r="AB19" i="2"/>
  <c r="Y23" i="2"/>
  <c r="V18" i="2"/>
  <c r="Y20" i="2"/>
  <c r="Y24" i="2"/>
  <c r="Z22" i="2"/>
  <c r="Z21" i="2"/>
  <c r="AB23" i="2"/>
  <c r="Y19" i="2"/>
  <c r="V19" i="2"/>
  <c r="W24" i="2"/>
  <c r="V21" i="2"/>
  <c r="Y18" i="2"/>
  <c r="AB18" i="2"/>
  <c r="Y21" i="2"/>
  <c r="V23" i="2"/>
  <c r="X18" i="2"/>
  <c r="AA24" i="2"/>
  <c r="AA21" i="2"/>
  <c r="T10" i="2"/>
  <c r="T11" i="2"/>
  <c r="T12" i="2"/>
  <c r="U71" i="2" s="1"/>
  <c r="AJ71" i="2" s="1"/>
  <c r="T14" i="2"/>
  <c r="T13" i="2"/>
  <c r="T15" i="2"/>
  <c r="Q28" i="2" s="1"/>
  <c r="T16" i="2"/>
  <c r="Q30" i="2" s="1"/>
  <c r="Q25" i="2" l="1" a="1"/>
  <c r="Q25" i="2" s="1"/>
  <c r="AG66" i="2"/>
  <c r="AF65" i="2"/>
  <c r="AE66" i="2"/>
  <c r="AF66" i="2"/>
  <c r="AG63" i="2"/>
  <c r="AG65" i="2"/>
  <c r="AE65" i="2"/>
  <c r="AG64" i="2"/>
  <c r="AD66" i="2"/>
  <c r="AF63" i="2"/>
  <c r="AN64" i="2"/>
  <c r="AL66" i="2"/>
  <c r="AL65" i="2"/>
  <c r="AL64" i="2"/>
  <c r="AN65" i="2"/>
  <c r="AE63" i="2"/>
  <c r="AD63" i="2"/>
  <c r="AD65" i="2"/>
  <c r="AF64" i="2"/>
  <c r="AD64" i="2"/>
  <c r="AK66" i="2"/>
  <c r="AM63" i="2"/>
  <c r="AL63" i="2"/>
  <c r="AM65" i="2"/>
  <c r="AN66" i="2"/>
  <c r="AN63" i="2"/>
  <c r="AM66" i="2"/>
  <c r="AK64" i="2"/>
  <c r="AM64" i="2"/>
  <c r="AK65" i="2"/>
  <c r="U89" i="2"/>
  <c r="AJ88" i="2" s="1"/>
  <c r="U102" i="2"/>
  <c r="AJ101" i="2" s="1"/>
  <c r="U88" i="2"/>
  <c r="U101" i="2"/>
  <c r="U86" i="2"/>
  <c r="AJ86" i="2" s="1"/>
  <c r="U100" i="2"/>
  <c r="AR100" i="2" s="1"/>
  <c r="BQ10" i="2" s="1"/>
  <c r="AE81" i="2"/>
  <c r="AD83" i="2"/>
  <c r="AF81" i="2"/>
  <c r="AG20" i="2"/>
  <c r="W81" i="2"/>
  <c r="AD82" i="2"/>
  <c r="AI19" i="2"/>
  <c r="V84" i="2"/>
  <c r="AF83" i="2"/>
  <c r="AG18" i="2"/>
  <c r="X81" i="2"/>
  <c r="AE83" i="2"/>
  <c r="AF82" i="2"/>
  <c r="AE82" i="2"/>
  <c r="AG22" i="2"/>
  <c r="Y81" i="2"/>
  <c r="Y83" i="2"/>
  <c r="X84" i="2"/>
  <c r="W83" i="2"/>
  <c r="X83" i="2"/>
  <c r="Y84" i="2"/>
  <c r="W82" i="2"/>
  <c r="W84" i="2"/>
  <c r="V81" i="2"/>
  <c r="X82" i="2"/>
  <c r="V82" i="2"/>
  <c r="V83" i="2"/>
  <c r="AK81" i="2"/>
  <c r="AK83" i="2"/>
  <c r="AK82" i="2"/>
  <c r="AL82" i="2"/>
  <c r="AM81" i="2"/>
  <c r="AL83" i="2"/>
  <c r="AM82" i="2"/>
  <c r="AL81" i="2"/>
  <c r="AM83" i="2"/>
  <c r="V63" i="2"/>
  <c r="AD21" i="2"/>
  <c r="AF21" i="2"/>
  <c r="AE21" i="2"/>
  <c r="AE19" i="2"/>
  <c r="AG23" i="2"/>
  <c r="AH18" i="2"/>
  <c r="AD23" i="2"/>
  <c r="AI21" i="2"/>
  <c r="AH21" i="2"/>
  <c r="AF23" i="2"/>
  <c r="AI22" i="2"/>
  <c r="AH23" i="2"/>
  <c r="AD20" i="2"/>
  <c r="AE22" i="2"/>
  <c r="Y64" i="2"/>
  <c r="AH19" i="2"/>
  <c r="AI23" i="2"/>
  <c r="AE23" i="2"/>
  <c r="AE20" i="2"/>
  <c r="AD22" i="2"/>
  <c r="Z66" i="2"/>
  <c r="AH20" i="2"/>
  <c r="AF19" i="2"/>
  <c r="AD19" i="2"/>
  <c r="AG21" i="2"/>
  <c r="AE18" i="2"/>
  <c r="AF18" i="2"/>
  <c r="Y66" i="2"/>
  <c r="AH22" i="2"/>
  <c r="AF20" i="2"/>
  <c r="AI18" i="2"/>
  <c r="AF22" i="2"/>
  <c r="AG19" i="2"/>
  <c r="AI20" i="2"/>
  <c r="V67" i="2"/>
  <c r="V64" i="2"/>
  <c r="Y67" i="2"/>
  <c r="Y63" i="2"/>
  <c r="X63" i="2"/>
  <c r="Z64" i="2"/>
  <c r="W66" i="2"/>
  <c r="Y65" i="2"/>
  <c r="X65" i="2"/>
  <c r="W67" i="2"/>
  <c r="X67" i="2"/>
  <c r="Z63" i="2"/>
  <c r="W65" i="2"/>
  <c r="V65" i="2"/>
  <c r="X66" i="2"/>
  <c r="Z67" i="2"/>
  <c r="W64" i="2"/>
  <c r="V66" i="2"/>
  <c r="X64" i="2"/>
  <c r="W63" i="2"/>
  <c r="U70" i="2"/>
  <c r="AJ70" i="2" s="1"/>
  <c r="U87" i="2"/>
  <c r="AJ87" i="2" s="1"/>
  <c r="AL18" i="2"/>
  <c r="AP20" i="2"/>
  <c r="AN23" i="2"/>
  <c r="AO20" i="2"/>
  <c r="AP19" i="2"/>
  <c r="AL20" i="2"/>
  <c r="AM18" i="2"/>
  <c r="AM20" i="2"/>
  <c r="AP22" i="2"/>
  <c r="AN20" i="2"/>
  <c r="AL21" i="2"/>
  <c r="AN21" i="2"/>
  <c r="AO18" i="2"/>
  <c r="AM22" i="2"/>
  <c r="AK18" i="2"/>
  <c r="AK21" i="2"/>
  <c r="AP23" i="2"/>
  <c r="AM19" i="2"/>
  <c r="AN18" i="2"/>
  <c r="AN19" i="2"/>
  <c r="AL22" i="2"/>
  <c r="AO22" i="2"/>
  <c r="AL23" i="2"/>
  <c r="AK19" i="2"/>
  <c r="AP18" i="2"/>
  <c r="AO19" i="2"/>
  <c r="AK22" i="2"/>
  <c r="AN22" i="2"/>
  <c r="AL19" i="2"/>
  <c r="AP21" i="2"/>
  <c r="AK23" i="2"/>
  <c r="AM23" i="2"/>
  <c r="AO23" i="2"/>
  <c r="AK20" i="2"/>
  <c r="AO21" i="2"/>
  <c r="U54" i="2"/>
  <c r="AJ53" i="2" s="1"/>
  <c r="U73" i="2"/>
  <c r="AJ72" i="2" s="1"/>
  <c r="U53" i="2"/>
  <c r="U72" i="2"/>
  <c r="U49" i="2"/>
  <c r="U69" i="2"/>
  <c r="AK42" i="2"/>
  <c r="AM43" i="2"/>
  <c r="AO44" i="2"/>
  <c r="AO43" i="2"/>
  <c r="AO42" i="2"/>
  <c r="AK43" i="2"/>
  <c r="AL42" i="2"/>
  <c r="AM46" i="2"/>
  <c r="AN45" i="2"/>
  <c r="AK45" i="2"/>
  <c r="AN44" i="2"/>
  <c r="AK44" i="2"/>
  <c r="AL43" i="2"/>
  <c r="AK46" i="2"/>
  <c r="AM42" i="2"/>
  <c r="AM44" i="2"/>
  <c r="AO45" i="2"/>
  <c r="AN46" i="2"/>
  <c r="AO46" i="2"/>
  <c r="AL44" i="2"/>
  <c r="AL46" i="2"/>
  <c r="AL45" i="2"/>
  <c r="AN42" i="2"/>
  <c r="AM45" i="2"/>
  <c r="AN43" i="2"/>
  <c r="AD42" i="2"/>
  <c r="AD45" i="2"/>
  <c r="AF42" i="2"/>
  <c r="AE42" i="2"/>
  <c r="AG42" i="2"/>
  <c r="AF43" i="2"/>
  <c r="AG46" i="2"/>
  <c r="AH44" i="2"/>
  <c r="AE43" i="2"/>
  <c r="AF46" i="2"/>
  <c r="AG44" i="2"/>
  <c r="AD43" i="2"/>
  <c r="AE46" i="2"/>
  <c r="AF44" i="2"/>
  <c r="AD46" i="2"/>
  <c r="AH42" i="2"/>
  <c r="AE44" i="2"/>
  <c r="AH45" i="2"/>
  <c r="AH46" i="2"/>
  <c r="AG45" i="2"/>
  <c r="AF45" i="2"/>
  <c r="AE45" i="2"/>
  <c r="AD44" i="2"/>
  <c r="AH43" i="2"/>
  <c r="AG43" i="2"/>
  <c r="V42" i="2"/>
  <c r="AA45" i="2"/>
  <c r="Z45" i="2"/>
  <c r="Y44" i="2"/>
  <c r="Y43" i="2"/>
  <c r="V46" i="2"/>
  <c r="Z42" i="2"/>
  <c r="AA42" i="2"/>
  <c r="V47" i="2"/>
  <c r="W42" i="2"/>
  <c r="Z44" i="2"/>
  <c r="AA44" i="2"/>
  <c r="W47" i="2"/>
  <c r="Z46" i="2"/>
  <c r="W44" i="2"/>
  <c r="V43" i="2"/>
  <c r="X43" i="2"/>
  <c r="X47" i="2"/>
  <c r="X44" i="2"/>
  <c r="Z47" i="2"/>
  <c r="V44" i="2"/>
  <c r="AA46" i="2"/>
  <c r="X42" i="2"/>
  <c r="Y45" i="2"/>
  <c r="X46" i="2"/>
  <c r="W45" i="2"/>
  <c r="X45" i="2"/>
  <c r="AA47" i="2"/>
  <c r="V45" i="2"/>
  <c r="Y47" i="2"/>
  <c r="Y46" i="2"/>
  <c r="Y42" i="2"/>
  <c r="Z43" i="2"/>
  <c r="W46" i="2"/>
  <c r="AA43" i="2"/>
  <c r="W43" i="2"/>
  <c r="AJ30" i="2"/>
  <c r="AJ28" i="2"/>
  <c r="U51" i="2"/>
  <c r="AJ51" i="2" s="1"/>
  <c r="AJ29" i="2"/>
  <c r="U52" i="2"/>
  <c r="AJ52" i="2" s="1"/>
  <c r="AJ31" i="2"/>
  <c r="AJ27" i="2"/>
  <c r="U50" i="2"/>
  <c r="AJ26" i="2"/>
  <c r="AR26" i="2" a="1"/>
  <c r="V26" i="2" a="1"/>
  <c r="AJ49" i="2" l="1"/>
  <c r="Q26" i="2"/>
  <c r="AD26" i="2" a="1"/>
  <c r="AD28" i="2" s="1"/>
  <c r="AY12" i="2" s="1"/>
  <c r="AD86" i="2" a="1"/>
  <c r="AD87" i="2" s="1"/>
  <c r="BK11" i="2" s="1"/>
  <c r="V86" i="2" a="1"/>
  <c r="V86" i="2" s="1"/>
  <c r="BJ10" i="2" s="1"/>
  <c r="AR86" i="2" a="1"/>
  <c r="AR86" i="2" s="1"/>
  <c r="BM10" i="2" s="1"/>
  <c r="AR49" i="2" a="1"/>
  <c r="AR49" i="2" s="1"/>
  <c r="BE10" i="2" s="1"/>
  <c r="AK26" i="2" a="1"/>
  <c r="AK28" i="2" s="1"/>
  <c r="AZ12" i="2" s="1"/>
  <c r="AD100" i="2" a="1"/>
  <c r="AD100" i="2" s="1"/>
  <c r="BO10" i="2" s="1"/>
  <c r="AJ100" i="2"/>
  <c r="AK100" i="2" s="1" a="1"/>
  <c r="V100" i="2" a="1"/>
  <c r="AK86" i="2" a="1"/>
  <c r="AK87" i="2" s="1"/>
  <c r="BL11" i="2" s="1"/>
  <c r="AJ69" i="2"/>
  <c r="AK69" i="2" s="1" a="1"/>
  <c r="AK69" i="2" s="1"/>
  <c r="BH10" i="2" s="1"/>
  <c r="AR69" i="2" a="1"/>
  <c r="AD69" i="2" a="1"/>
  <c r="V69" i="2" a="1"/>
  <c r="V69" i="2" s="1"/>
  <c r="BF10" i="2" s="1"/>
  <c r="V49" i="2" a="1"/>
  <c r="V52" i="2" s="1"/>
  <c r="BB13" i="2" s="1"/>
  <c r="AJ50" i="2"/>
  <c r="AK49" i="2" s="1" a="1"/>
  <c r="AD49" i="2" a="1"/>
  <c r="AR26" i="2"/>
  <c r="BA10" i="2" s="1"/>
  <c r="AR30" i="2"/>
  <c r="BA14" i="2" s="1"/>
  <c r="AR27" i="2"/>
  <c r="BA11" i="2" s="1"/>
  <c r="AR28" i="2"/>
  <c r="BA12" i="2" s="1"/>
  <c r="AR29" i="2"/>
  <c r="BA13" i="2" s="1"/>
  <c r="V26" i="2"/>
  <c r="AX10" i="2" s="1"/>
  <c r="V28" i="2"/>
  <c r="AX12" i="2" s="1"/>
  <c r="V29" i="2"/>
  <c r="AX13" i="2" s="1"/>
  <c r="V30" i="2"/>
  <c r="AX14" i="2" s="1"/>
  <c r="V31" i="2"/>
  <c r="AX15" i="2" s="1"/>
  <c r="V32" i="2"/>
  <c r="AX16" i="2" s="1"/>
  <c r="V27" i="2"/>
  <c r="AX11" i="2" s="1"/>
  <c r="AD27" i="2" l="1"/>
  <c r="AY11" i="2" s="1"/>
  <c r="AD26" i="2"/>
  <c r="AY10" i="2" s="1"/>
  <c r="AD30" i="2"/>
  <c r="AY14" i="2" s="1"/>
  <c r="N14" i="2" s="1"/>
  <c r="AD31" i="2"/>
  <c r="AY15" i="2" s="1"/>
  <c r="AD29" i="2"/>
  <c r="AY13" i="2" s="1"/>
  <c r="AD86" i="2"/>
  <c r="BK10" i="2" s="1"/>
  <c r="AK27" i="2"/>
  <c r="AZ11" i="2" s="1"/>
  <c r="AR87" i="2"/>
  <c r="BM11" i="2" s="1"/>
  <c r="AD88" i="2"/>
  <c r="BK15" i="2" s="1"/>
  <c r="AK31" i="2"/>
  <c r="AZ16" i="2" s="1"/>
  <c r="AK30" i="2"/>
  <c r="AZ14" i="2" s="1"/>
  <c r="V89" i="2"/>
  <c r="BJ16" i="2" s="1"/>
  <c r="AR51" i="2"/>
  <c r="BE12" i="2" s="1"/>
  <c r="AR52" i="2"/>
  <c r="BE13" i="2" s="1"/>
  <c r="AK26" i="2"/>
  <c r="AZ10" i="2" s="1"/>
  <c r="AR50" i="2"/>
  <c r="BE11" i="2" s="1"/>
  <c r="V87" i="2"/>
  <c r="BJ11" i="2" s="1"/>
  <c r="AK29" i="2"/>
  <c r="AZ13" i="2" s="1"/>
  <c r="V88" i="2"/>
  <c r="BJ15" i="2" s="1"/>
  <c r="AD101" i="2"/>
  <c r="BO15" i="2" s="1"/>
  <c r="N15" i="2" s="1"/>
  <c r="AK100" i="2"/>
  <c r="BP10" i="2" s="1"/>
  <c r="AK101" i="2"/>
  <c r="BP16" i="2" s="1"/>
  <c r="AK88" i="2"/>
  <c r="BL16" i="2" s="1"/>
  <c r="V100" i="2"/>
  <c r="BN10" i="2" s="1"/>
  <c r="V101" i="2"/>
  <c r="BN15" i="2" s="1"/>
  <c r="V102" i="2"/>
  <c r="BN16" i="2" s="1"/>
  <c r="AK86" i="2"/>
  <c r="BL10" i="2" s="1"/>
  <c r="AK72" i="2"/>
  <c r="BH16" i="2" s="1"/>
  <c r="AK71" i="2"/>
  <c r="BH12" i="2" s="1"/>
  <c r="AK70" i="2"/>
  <c r="BH11" i="2" s="1"/>
  <c r="AR69" i="2"/>
  <c r="BI10" i="2" s="1"/>
  <c r="AR70" i="2"/>
  <c r="BI11" i="2" s="1"/>
  <c r="AR71" i="2"/>
  <c r="BI12" i="2" s="1"/>
  <c r="AD69" i="2"/>
  <c r="BG10" i="2" s="1"/>
  <c r="AD70" i="2"/>
  <c r="BG11" i="2" s="1"/>
  <c r="AD71" i="2"/>
  <c r="BG12" i="2" s="1"/>
  <c r="AD72" i="2"/>
  <c r="BG15" i="2" s="1"/>
  <c r="V72" i="2"/>
  <c r="BF15" i="2" s="1"/>
  <c r="V73" i="2"/>
  <c r="BF16" i="2" s="1"/>
  <c r="V71" i="2"/>
  <c r="BF12" i="2" s="1"/>
  <c r="V70" i="2"/>
  <c r="BF11" i="2" s="1"/>
  <c r="V51" i="2"/>
  <c r="BB12" i="2" s="1"/>
  <c r="V54" i="2"/>
  <c r="BB16" i="2" s="1"/>
  <c r="V49" i="2"/>
  <c r="BB10" i="2" s="1"/>
  <c r="V53" i="2"/>
  <c r="BB15" i="2" s="1"/>
  <c r="V50" i="2"/>
  <c r="BB11" i="2" s="1"/>
  <c r="AK49" i="2"/>
  <c r="BD10" i="2" s="1"/>
  <c r="AK53" i="2"/>
  <c r="BD16" i="2" s="1"/>
  <c r="AK50" i="2"/>
  <c r="BD11" i="2" s="1"/>
  <c r="AK51" i="2"/>
  <c r="BD12" i="2" s="1"/>
  <c r="AK52" i="2"/>
  <c r="BD13" i="2" s="1"/>
  <c r="AD49" i="2"/>
  <c r="BC10" i="2" s="1"/>
  <c r="AD53" i="2"/>
  <c r="BC15" i="2" s="1"/>
  <c r="AD50" i="2"/>
  <c r="BC11" i="2" s="1"/>
  <c r="AD51" i="2"/>
  <c r="BC12" i="2" s="1"/>
  <c r="AD52" i="2"/>
  <c r="BC13" i="2" s="1"/>
  <c r="N13" i="2" l="1"/>
  <c r="N16" i="2"/>
  <c r="O28" i="1" s="1"/>
  <c r="J79" i="1" s="1"/>
  <c r="O27" i="1"/>
  <c r="J78" i="1" s="1"/>
  <c r="N10" i="2"/>
  <c r="D22" i="1" s="1"/>
  <c r="J73" i="1" s="1"/>
  <c r="D26" i="1"/>
  <c r="J77" i="1" s="1"/>
  <c r="N11" i="2"/>
  <c r="D23" i="1" s="1"/>
  <c r="J74" i="1" s="1"/>
  <c r="N12" i="2"/>
  <c r="D24" i="1" s="1"/>
  <c r="J75" i="1" s="1"/>
  <c r="D25" i="1"/>
  <c r="J76" i="1" s="1"/>
  <c r="R107" i="2" a="1"/>
  <c r="R182" i="2" a="1"/>
  <c r="R143" i="2" a="1"/>
  <c r="R148" i="2" a="1"/>
  <c r="B18" i="1" a="1"/>
  <c r="R146" i="2" a="1"/>
  <c r="R185" i="2" a="1"/>
  <c r="R192" i="2" a="1"/>
  <c r="R133" i="2" a="1"/>
  <c r="R213" i="2" a="1"/>
  <c r="R191" i="2" a="1"/>
  <c r="R141" i="2" a="1"/>
  <c r="R110" i="2" a="1"/>
  <c r="R126" i="2" a="1"/>
  <c r="R114" i="2" a="1"/>
  <c r="R134" i="2" a="1"/>
  <c r="R153" i="2" a="1"/>
  <c r="R147" i="2" a="1"/>
  <c r="B20" i="1" a="1"/>
  <c r="R186" i="2" a="1"/>
  <c r="R137" i="2" a="1"/>
  <c r="R212" i="2" a="1"/>
  <c r="R198" i="2" a="1"/>
  <c r="R165" i="2" a="1"/>
  <c r="R166" i="2" a="1"/>
  <c r="A15" i="1" a="1"/>
  <c r="R139" i="2" a="1"/>
  <c r="R180" i="2" a="1"/>
  <c r="R171" i="2" a="1"/>
  <c r="R203" i="2" a="1"/>
  <c r="B11" i="1" a="1"/>
  <c r="R154" i="2" a="1"/>
  <c r="R222" i="2" a="1"/>
  <c r="R168" i="2" a="1"/>
  <c r="R214" i="2" a="1"/>
  <c r="R211" i="2" a="1"/>
  <c r="B16" i="1" a="1"/>
  <c r="R132" i="2" a="1"/>
  <c r="R120" i="2" a="1"/>
  <c r="R221" i="2" a="1"/>
  <c r="R175" i="2" a="1"/>
  <c r="R200" i="2" a="1"/>
  <c r="R208" i="2" a="1"/>
  <c r="R118" i="2" a="1"/>
  <c r="R187" i="2" a="1"/>
  <c r="R172" i="2" a="1"/>
  <c r="R162" i="2" a="1"/>
  <c r="R116" i="2" a="1"/>
  <c r="R216" i="2" a="1"/>
  <c r="S53" i="1" a="1"/>
  <c r="R195" i="2" a="1"/>
  <c r="R219" i="2" a="1"/>
  <c r="R215" i="2" a="1"/>
  <c r="R197" i="2" a="1"/>
  <c r="R150" i="2" a="1"/>
  <c r="R125" i="2" a="1"/>
  <c r="R108" i="2" a="1"/>
  <c r="R176" i="2" a="1"/>
  <c r="R124" i="2" a="1"/>
  <c r="R163" i="2" a="1"/>
  <c r="R207" i="2" a="1"/>
  <c r="R220" i="2" a="1"/>
  <c r="B53" i="1" a="1"/>
  <c r="R136" i="2" a="1"/>
  <c r="B10" i="1" a="1"/>
  <c r="R164" i="2" a="1"/>
  <c r="R178" i="2" a="1"/>
  <c r="R183" i="2" a="1"/>
  <c r="R113" i="2" a="1"/>
  <c r="R210" i="2" a="1"/>
  <c r="R170" i="2" a="1"/>
  <c r="R156" i="2" a="1"/>
  <c r="R179" i="2" a="1"/>
  <c r="R138" i="2" a="1"/>
  <c r="R224" i="2" a="1"/>
  <c r="R199" i="2" a="1"/>
  <c r="R196" i="2" a="1"/>
  <c r="R209" i="2" a="1"/>
  <c r="R218" i="2" a="1"/>
  <c r="R217" i="2" a="1"/>
  <c r="R127" i="2" a="1"/>
  <c r="A19" i="1" a="1"/>
  <c r="R177" i="2" a="1"/>
  <c r="R225" i="2" a="1"/>
  <c r="R135" i="2" a="1"/>
  <c r="R193" i="2" a="1"/>
  <c r="R149" i="2" a="1"/>
  <c r="R117" i="2" a="1"/>
  <c r="R181" i="2" a="1"/>
  <c r="R142" i="2" a="1"/>
  <c r="R158" i="2" a="1"/>
  <c r="R227" i="2" a="1"/>
  <c r="R174" i="2" a="1"/>
  <c r="R160" i="2" a="1"/>
  <c r="R151" i="2" a="1"/>
  <c r="R201" i="2" a="1"/>
  <c r="R184" i="2" a="1"/>
  <c r="R145" i="2" a="1"/>
  <c r="R131" i="2" a="1"/>
  <c r="R204" i="2" a="1"/>
  <c r="B14" i="1" a="1"/>
  <c r="R129" i="2" a="1"/>
  <c r="R140" i="2" a="1"/>
  <c r="R130" i="2" a="1"/>
  <c r="R202" i="2" a="1"/>
  <c r="R157" i="2" a="1"/>
  <c r="R159" i="2" a="1"/>
  <c r="R188" i="2" a="1"/>
  <c r="R123" i="2" a="1"/>
  <c r="R119" i="2" a="1"/>
  <c r="R173" i="2" a="1"/>
  <c r="R190" i="2" a="1"/>
  <c r="R205" i="2" a="1"/>
  <c r="R128" i="2" a="1"/>
  <c r="R226" i="2" a="1"/>
  <c r="R122" i="2" a="1"/>
  <c r="R161" i="2" a="1"/>
  <c r="R189" i="2" a="1"/>
  <c r="R223" i="2" a="1"/>
  <c r="R169" i="2" a="1"/>
  <c r="R194" i="2" a="1"/>
  <c r="R206" i="2" a="1"/>
  <c r="R112" i="2" a="1"/>
  <c r="R115" i="2" a="1"/>
  <c r="R109" i="2" a="1"/>
  <c r="R152" i="2" a="1"/>
  <c r="R121" i="2" a="1"/>
  <c r="R111" i="2" a="1"/>
  <c r="R144" i="2" a="1"/>
  <c r="R155" i="2" a="1"/>
  <c r="R167" i="2" a="1"/>
  <c r="R107" i="2" l="1"/>
  <c r="A19" i="1"/>
  <c r="Z110" i="2" s="1"/>
  <c r="Z111" i="2" s="1"/>
  <c r="A15" i="1"/>
  <c r="X110" i="2" s="1"/>
  <c r="X111" i="2" s="1"/>
  <c r="S53" i="1"/>
  <c r="B53" i="1"/>
  <c r="R221" i="2"/>
  <c r="P221" i="2" s="1"/>
  <c r="R213" i="2"/>
  <c r="P213" i="2" s="1"/>
  <c r="R205" i="2"/>
  <c r="P205" i="2" s="1"/>
  <c r="R197" i="2"/>
  <c r="P197" i="2" s="1"/>
  <c r="R189" i="2"/>
  <c r="P189" i="2" s="1"/>
  <c r="R181" i="2"/>
  <c r="P181" i="2" s="1"/>
  <c r="R173" i="2"/>
  <c r="P173" i="2" s="1"/>
  <c r="R165" i="2"/>
  <c r="P165" i="2" s="1"/>
  <c r="R157" i="2"/>
  <c r="P157" i="2" s="1"/>
  <c r="R149" i="2"/>
  <c r="P149" i="2" s="1"/>
  <c r="R141" i="2"/>
  <c r="P141" i="2" s="1"/>
  <c r="R202" i="2"/>
  <c r="P202" i="2" s="1"/>
  <c r="R170" i="2"/>
  <c r="P170" i="2" s="1"/>
  <c r="R154" i="2"/>
  <c r="P154" i="2" s="1"/>
  <c r="R224" i="2"/>
  <c r="P224" i="2" s="1"/>
  <c r="R216" i="2"/>
  <c r="P216" i="2" s="1"/>
  <c r="R208" i="2"/>
  <c r="P208" i="2" s="1"/>
  <c r="R200" i="2"/>
  <c r="P200" i="2" s="1"/>
  <c r="R192" i="2"/>
  <c r="P192" i="2" s="1"/>
  <c r="R184" i="2"/>
  <c r="P184" i="2" s="1"/>
  <c r="R176" i="2"/>
  <c r="P176" i="2" s="1"/>
  <c r="R168" i="2"/>
  <c r="P168" i="2" s="1"/>
  <c r="R160" i="2"/>
  <c r="P160" i="2" s="1"/>
  <c r="R152" i="2"/>
  <c r="P152" i="2" s="1"/>
  <c r="R144" i="2"/>
  <c r="P144" i="2" s="1"/>
  <c r="R136" i="2"/>
  <c r="P136" i="2" s="1"/>
  <c r="R138" i="2"/>
  <c r="P138" i="2" s="1"/>
  <c r="R227" i="2"/>
  <c r="P227" i="2" s="1"/>
  <c r="R219" i="2"/>
  <c r="P219" i="2" s="1"/>
  <c r="R211" i="2"/>
  <c r="P211" i="2" s="1"/>
  <c r="R203" i="2"/>
  <c r="P203" i="2" s="1"/>
  <c r="R195" i="2"/>
  <c r="P195" i="2" s="1"/>
  <c r="R187" i="2"/>
  <c r="P187" i="2" s="1"/>
  <c r="R179" i="2"/>
  <c r="P179" i="2" s="1"/>
  <c r="R171" i="2"/>
  <c r="P171" i="2" s="1"/>
  <c r="R163" i="2"/>
  <c r="P163" i="2" s="1"/>
  <c r="R155" i="2"/>
  <c r="P155" i="2" s="1"/>
  <c r="R147" i="2"/>
  <c r="P147" i="2" s="1"/>
  <c r="R139" i="2"/>
  <c r="P139" i="2" s="1"/>
  <c r="R186" i="2"/>
  <c r="P186" i="2" s="1"/>
  <c r="R222" i="2"/>
  <c r="P222" i="2" s="1"/>
  <c r="R214" i="2"/>
  <c r="P214" i="2" s="1"/>
  <c r="R206" i="2"/>
  <c r="P206" i="2" s="1"/>
  <c r="R198" i="2"/>
  <c r="P198" i="2" s="1"/>
  <c r="R190" i="2"/>
  <c r="P190" i="2" s="1"/>
  <c r="R182" i="2"/>
  <c r="P182" i="2" s="1"/>
  <c r="R174" i="2"/>
  <c r="P174" i="2" s="1"/>
  <c r="R166" i="2"/>
  <c r="P166" i="2" s="1"/>
  <c r="R158" i="2"/>
  <c r="P158" i="2" s="1"/>
  <c r="R150" i="2"/>
  <c r="P150" i="2" s="1"/>
  <c r="R142" i="2"/>
  <c r="P142" i="2" s="1"/>
  <c r="R134" i="2"/>
  <c r="P134" i="2" s="1"/>
  <c r="R226" i="2"/>
  <c r="P226" i="2" s="1"/>
  <c r="R210" i="2"/>
  <c r="P210" i="2" s="1"/>
  <c r="R194" i="2"/>
  <c r="P194" i="2" s="1"/>
  <c r="R146" i="2"/>
  <c r="P146" i="2" s="1"/>
  <c r="R225" i="2"/>
  <c r="P225" i="2" s="1"/>
  <c r="R217" i="2"/>
  <c r="P217" i="2" s="1"/>
  <c r="R209" i="2"/>
  <c r="P209" i="2" s="1"/>
  <c r="R201" i="2"/>
  <c r="P201" i="2" s="1"/>
  <c r="R193" i="2"/>
  <c r="P193" i="2" s="1"/>
  <c r="R185" i="2"/>
  <c r="P185" i="2" s="1"/>
  <c r="R177" i="2"/>
  <c r="P177" i="2" s="1"/>
  <c r="R169" i="2"/>
  <c r="P169" i="2" s="1"/>
  <c r="R161" i="2"/>
  <c r="P161" i="2" s="1"/>
  <c r="R153" i="2"/>
  <c r="P153" i="2" s="1"/>
  <c r="R145" i="2"/>
  <c r="P145" i="2" s="1"/>
  <c r="R137" i="2"/>
  <c r="P137" i="2" s="1"/>
  <c r="R178" i="2"/>
  <c r="P178" i="2" s="1"/>
  <c r="R220" i="2"/>
  <c r="P220" i="2" s="1"/>
  <c r="R212" i="2"/>
  <c r="P212" i="2" s="1"/>
  <c r="R204" i="2"/>
  <c r="P204" i="2" s="1"/>
  <c r="R196" i="2"/>
  <c r="P196" i="2" s="1"/>
  <c r="R188" i="2"/>
  <c r="P188" i="2" s="1"/>
  <c r="R180" i="2"/>
  <c r="P180" i="2" s="1"/>
  <c r="R172" i="2"/>
  <c r="P172" i="2" s="1"/>
  <c r="R164" i="2"/>
  <c r="P164" i="2" s="1"/>
  <c r="R156" i="2"/>
  <c r="P156" i="2" s="1"/>
  <c r="R148" i="2"/>
  <c r="P148" i="2" s="1"/>
  <c r="R140" i="2"/>
  <c r="P140" i="2" s="1"/>
  <c r="R218" i="2"/>
  <c r="P218" i="2" s="1"/>
  <c r="R162" i="2"/>
  <c r="P162" i="2" s="1"/>
  <c r="R223" i="2"/>
  <c r="P223" i="2" s="1"/>
  <c r="R215" i="2"/>
  <c r="P215" i="2" s="1"/>
  <c r="R207" i="2"/>
  <c r="P207" i="2" s="1"/>
  <c r="R199" i="2"/>
  <c r="P199" i="2" s="1"/>
  <c r="R191" i="2"/>
  <c r="P191" i="2" s="1"/>
  <c r="R183" i="2"/>
  <c r="P183" i="2" s="1"/>
  <c r="R175" i="2"/>
  <c r="P175" i="2" s="1"/>
  <c r="R167" i="2"/>
  <c r="P167" i="2" s="1"/>
  <c r="R159" i="2"/>
  <c r="P159" i="2" s="1"/>
  <c r="R151" i="2"/>
  <c r="P151" i="2" s="1"/>
  <c r="R143" i="2"/>
  <c r="P143" i="2" s="1"/>
  <c r="R135" i="2"/>
  <c r="P135" i="2" s="1"/>
  <c r="B20" i="1"/>
  <c r="B18" i="1"/>
  <c r="B11" i="1"/>
  <c r="AA108" i="2" s="1"/>
  <c r="B10" i="1"/>
  <c r="Y108" i="2" s="1"/>
  <c r="B16" i="1"/>
  <c r="B14" i="1"/>
  <c r="R128" i="2"/>
  <c r="P128" i="2" s="1"/>
  <c r="R116" i="2"/>
  <c r="P116" i="2" s="1"/>
  <c r="R131" i="2"/>
  <c r="P131" i="2" s="1"/>
  <c r="R123" i="2"/>
  <c r="P123" i="2" s="1"/>
  <c r="R119" i="2"/>
  <c r="P119" i="2" s="1"/>
  <c r="R115" i="2"/>
  <c r="P115" i="2" s="1"/>
  <c r="R111" i="2"/>
  <c r="P111" i="2" s="1"/>
  <c r="R130" i="2"/>
  <c r="P130" i="2" s="1"/>
  <c r="R122" i="2"/>
  <c r="P122" i="2" s="1"/>
  <c r="R110" i="2"/>
  <c r="P110" i="2" s="1"/>
  <c r="R127" i="2"/>
  <c r="P127" i="2" s="1"/>
  <c r="R126" i="2"/>
  <c r="P126" i="2" s="1"/>
  <c r="R118" i="2"/>
  <c r="P118" i="2" s="1"/>
  <c r="R114" i="2"/>
  <c r="P114" i="2" s="1"/>
  <c r="R133" i="2"/>
  <c r="P133" i="2" s="1"/>
  <c r="R121" i="2"/>
  <c r="P121" i="2" s="1"/>
  <c r="R109" i="2"/>
  <c r="P109" i="2" s="1"/>
  <c r="R129" i="2"/>
  <c r="P129" i="2" s="1"/>
  <c r="R125" i="2"/>
  <c r="P125" i="2" s="1"/>
  <c r="R117" i="2"/>
  <c r="P117" i="2" s="1"/>
  <c r="R113" i="2"/>
  <c r="P113" i="2" s="1"/>
  <c r="R132" i="2"/>
  <c r="P132" i="2" s="1"/>
  <c r="R124" i="2"/>
  <c r="P124" i="2" s="1"/>
  <c r="R120" i="2"/>
  <c r="P120" i="2" s="1"/>
  <c r="R112" i="2"/>
  <c r="P112" i="2" s="1"/>
  <c r="R108" i="2"/>
  <c r="P108" i="2" s="1"/>
  <c r="P107" i="2"/>
  <c r="D47" i="2" a="1"/>
  <c r="D58" i="2" a="1"/>
  <c r="D71" i="2" a="1"/>
  <c r="D61" i="2" a="1"/>
  <c r="D51" i="2" a="1"/>
  <c r="D65" i="2" a="1"/>
  <c r="D73" i="2" a="1"/>
  <c r="D64" i="2" a="1"/>
  <c r="D67" i="2" a="1"/>
  <c r="D56" i="2" a="1"/>
  <c r="D54" i="2" a="1"/>
  <c r="D57" i="2" a="1"/>
  <c r="D25" i="2" a="1"/>
  <c r="D63" i="2" a="1"/>
  <c r="D40" i="2" a="1"/>
  <c r="D36" i="2" a="1"/>
  <c r="D26" i="2" a="1"/>
  <c r="D70" i="2" a="1"/>
  <c r="B15" i="1" a="1"/>
  <c r="D38" i="2" a="1"/>
  <c r="D50" i="2" a="1"/>
  <c r="D72" i="2" a="1"/>
  <c r="D79" i="2" a="1"/>
  <c r="D77" i="2" a="1"/>
  <c r="D44" i="2" a="1"/>
  <c r="D31" i="2" a="1"/>
  <c r="D60" i="2" a="1"/>
  <c r="D48" i="2" a="1"/>
  <c r="D32" i="2" a="1"/>
  <c r="D42" i="2" a="1"/>
  <c r="D27" i="2" a="1"/>
  <c r="D45" i="2" a="1"/>
  <c r="D69" i="2" a="1"/>
  <c r="D33" i="2" a="1"/>
  <c r="D66" i="2" a="1"/>
  <c r="D80" i="2" a="1"/>
  <c r="D34" i="2" a="1"/>
  <c r="B19" i="1" a="1"/>
  <c r="D41" i="2" a="1"/>
  <c r="D28" i="2" a="1"/>
  <c r="D75" i="2" a="1"/>
  <c r="D74" i="2" a="1"/>
  <c r="D68" i="2" a="1"/>
  <c r="D76" i="2" a="1"/>
  <c r="D39" i="2" a="1"/>
  <c r="D30" i="2" a="1"/>
  <c r="D78" i="2" a="1"/>
  <c r="D43" i="2" a="1"/>
  <c r="D59" i="2" a="1"/>
  <c r="D49" i="2" a="1"/>
  <c r="D55" i="2" a="1"/>
  <c r="D46" i="2" a="1"/>
  <c r="D35" i="2" a="1"/>
  <c r="D37" i="2" a="1"/>
  <c r="D29" i="2" a="1"/>
  <c r="D62" i="2" a="1"/>
  <c r="W30" i="1" l="1"/>
  <c r="V30" i="1"/>
  <c r="W29" i="1"/>
  <c r="V29" i="1"/>
  <c r="W28" i="1"/>
  <c r="V28" i="1"/>
  <c r="F31" i="1"/>
  <c r="E31" i="1"/>
  <c r="F30" i="1"/>
  <c r="E30" i="1"/>
  <c r="F29" i="1"/>
  <c r="E29" i="1"/>
  <c r="D74" i="2"/>
  <c r="C74" i="2" s="1"/>
  <c r="D70" i="2"/>
  <c r="C70" i="2" s="1"/>
  <c r="D66" i="2"/>
  <c r="C66" i="2" s="1"/>
  <c r="D62" i="2"/>
  <c r="C62" i="2" s="1"/>
  <c r="D58" i="2"/>
  <c r="C58" i="2" s="1"/>
  <c r="D78" i="2"/>
  <c r="C78" i="2" s="1"/>
  <c r="D77" i="2"/>
  <c r="C77" i="2" s="1"/>
  <c r="D73" i="2"/>
  <c r="C73" i="2" s="1"/>
  <c r="D69" i="2"/>
  <c r="C69" i="2" s="1"/>
  <c r="D65" i="2"/>
  <c r="C65" i="2" s="1"/>
  <c r="D61" i="2"/>
  <c r="C61" i="2" s="1"/>
  <c r="D57" i="2"/>
  <c r="C57" i="2" s="1"/>
  <c r="D80" i="2"/>
  <c r="C80" i="2" s="1"/>
  <c r="D76" i="2"/>
  <c r="C76" i="2" s="1"/>
  <c r="D72" i="2"/>
  <c r="C72" i="2" s="1"/>
  <c r="D68" i="2"/>
  <c r="C68" i="2" s="1"/>
  <c r="D64" i="2"/>
  <c r="C64" i="2" s="1"/>
  <c r="D60" i="2"/>
  <c r="C60" i="2" s="1"/>
  <c r="D56" i="2"/>
  <c r="C56" i="2" s="1"/>
  <c r="D79" i="2"/>
  <c r="C79" i="2" s="1"/>
  <c r="D75" i="2"/>
  <c r="C75" i="2" s="1"/>
  <c r="D71" i="2"/>
  <c r="C71" i="2" s="1"/>
  <c r="D67" i="2"/>
  <c r="C67" i="2" s="1"/>
  <c r="D63" i="2"/>
  <c r="C63" i="2" s="1"/>
  <c r="D59" i="2"/>
  <c r="C59" i="2" s="1"/>
  <c r="D55" i="2"/>
  <c r="C55" i="2" s="1"/>
  <c r="D54" i="2"/>
  <c r="D37" i="2"/>
  <c r="C37" i="2" s="1"/>
  <c r="D29" i="2"/>
  <c r="C29" i="2" s="1"/>
  <c r="D50" i="2"/>
  <c r="C50" i="2" s="1"/>
  <c r="D33" i="2"/>
  <c r="C33" i="2" s="1"/>
  <c r="D48" i="2"/>
  <c r="C48" i="2" s="1"/>
  <c r="D40" i="2"/>
  <c r="C40" i="2" s="1"/>
  <c r="D28" i="2"/>
  <c r="C28" i="2" s="1"/>
  <c r="D49" i="2"/>
  <c r="C49" i="2" s="1"/>
  <c r="D41" i="2"/>
  <c r="C41" i="2" s="1"/>
  <c r="D44" i="2"/>
  <c r="C44" i="2" s="1"/>
  <c r="D36" i="2"/>
  <c r="C36" i="2" s="1"/>
  <c r="D32" i="2"/>
  <c r="C32" i="2" s="1"/>
  <c r="D47" i="2"/>
  <c r="C47" i="2" s="1"/>
  <c r="D39" i="2"/>
  <c r="C39" i="2" s="1"/>
  <c r="D27" i="2"/>
  <c r="C27" i="2" s="1"/>
  <c r="D45" i="2"/>
  <c r="C45" i="2" s="1"/>
  <c r="D51" i="2"/>
  <c r="D43" i="2"/>
  <c r="C43" i="2" s="1"/>
  <c r="D35" i="2"/>
  <c r="C35" i="2" s="1"/>
  <c r="D31" i="2"/>
  <c r="C31" i="2" s="1"/>
  <c r="D46" i="2"/>
  <c r="C46" i="2" s="1"/>
  <c r="D42" i="2"/>
  <c r="C42" i="2" s="1"/>
  <c r="D38" i="2"/>
  <c r="C38" i="2" s="1"/>
  <c r="D34" i="2"/>
  <c r="C34" i="2" s="1"/>
  <c r="D30" i="2"/>
  <c r="C30" i="2" s="1"/>
  <c r="D26" i="2"/>
  <c r="C26" i="2" s="1"/>
  <c r="D25" i="2"/>
  <c r="AA111" i="2"/>
  <c r="Y111" i="2"/>
  <c r="B19" i="1"/>
  <c r="B15" i="1"/>
  <c r="L31" i="1" a="1"/>
  <c r="L30" i="1" a="1"/>
  <c r="L31" i="1" l="1"/>
  <c r="L30" i="1"/>
  <c r="C51" i="2"/>
  <c r="W27" i="1"/>
  <c r="C54" i="2"/>
  <c r="V27" i="1"/>
  <c r="F28" i="1"/>
  <c r="C25" i="2"/>
  <c r="E2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<sst xmlns="http://schemas.openxmlformats.org/spreadsheetml/2006/main" count="392" uniqueCount="129">
  <si>
    <t>Beam Properties:</t>
  </si>
  <si>
    <t xml:space="preserve">Ix = </t>
  </si>
  <si>
    <t xml:space="preserve">E = </t>
  </si>
  <si>
    <t>in4</t>
  </si>
  <si>
    <t>ksi</t>
  </si>
  <si>
    <t>Left Cantilever</t>
  </si>
  <si>
    <t>Span:</t>
  </si>
  <si>
    <t>ft</t>
  </si>
  <si>
    <t>Loads</t>
  </si>
  <si>
    <t>P,M,W1 (kips, ft-kips, klf)</t>
  </si>
  <si>
    <t>W2 (klf)</t>
  </si>
  <si>
    <t>a (ft)</t>
  </si>
  <si>
    <t>b (ft)</t>
  </si>
  <si>
    <t>Type</t>
  </si>
  <si>
    <t>Kind</t>
  </si>
  <si>
    <t>Center Span</t>
  </si>
  <si>
    <t>Right Cantilever</t>
  </si>
  <si>
    <t>S</t>
  </si>
  <si>
    <t>D</t>
  </si>
  <si>
    <t>V (kips)</t>
  </si>
  <si>
    <t>M (ft-kips)</t>
  </si>
  <si>
    <t>S (rad)</t>
  </si>
  <si>
    <t>L</t>
  </si>
  <si>
    <t>Lr</t>
  </si>
  <si>
    <t>R</t>
  </si>
  <si>
    <t>H</t>
  </si>
  <si>
    <t>WX</t>
  </si>
  <si>
    <t>WY</t>
  </si>
  <si>
    <t>EX</t>
  </si>
  <si>
    <t>EY</t>
  </si>
  <si>
    <t>Load Types</t>
  </si>
  <si>
    <t>Loading Types</t>
  </si>
  <si>
    <t>POINT</t>
  </si>
  <si>
    <t>MOMENT</t>
  </si>
  <si>
    <t>UDL</t>
  </si>
  <si>
    <t>TRAP</t>
  </si>
  <si>
    <t>--</t>
  </si>
  <si>
    <t>ft4</t>
  </si>
  <si>
    <t>ksf</t>
  </si>
  <si>
    <t>D (in)</t>
  </si>
  <si>
    <t>Chart:</t>
  </si>
  <si>
    <t>Result</t>
  </si>
  <si>
    <t>Charting</t>
  </si>
  <si>
    <t>Beam</t>
  </si>
  <si>
    <t>Cantilever</t>
  </si>
  <si>
    <t>x</t>
  </si>
  <si>
    <t>y</t>
  </si>
  <si>
    <t xml:space="preserve">Res </t>
  </si>
  <si>
    <t>x(ft)</t>
  </si>
  <si>
    <t>Fixed Left:</t>
  </si>
  <si>
    <t>Fixed Right:</t>
  </si>
  <si>
    <t>Find point of 0 slope between: ( Location of Peak Delta)</t>
  </si>
  <si>
    <t>Find point of 0 shear between: (Location of Peak Moment)</t>
  </si>
  <si>
    <t>f1</t>
  </si>
  <si>
    <t>f2</t>
  </si>
  <si>
    <t>Combo</t>
  </si>
  <si>
    <t>Custom</t>
  </si>
  <si>
    <t>Load Factors</t>
  </si>
  <si>
    <t>Interior Supports:</t>
  </si>
  <si>
    <t>Flexibility Method for Internal Reactions</t>
  </si>
  <si>
    <t>Delta</t>
  </si>
  <si>
    <t>kips</t>
  </si>
  <si>
    <t>ft-kips</t>
  </si>
  <si>
    <t>COMBO</t>
  </si>
  <si>
    <t>#</t>
  </si>
  <si>
    <t>SLOPE</t>
  </si>
  <si>
    <t>LRFD_16-1: 1.4D</t>
  </si>
  <si>
    <t>LRFD_16-2Lr: 1.2D+1.6L+0.5Lr+1.6H</t>
  </si>
  <si>
    <t>LRFD_16-2S: 1.2D+1.6L+0.5S+1.6H</t>
  </si>
  <si>
    <t>LRFD_16-2R: 1.2D+1.6L+0.5R+1.6H</t>
  </si>
  <si>
    <t>LRFD_16-3Lr_W1: 1.2D+1.6Lr+1.6H+0.5WX</t>
  </si>
  <si>
    <t>LRFD_16-3S_W1: 1.2D+1.6S+1.6H+0.5WX</t>
  </si>
  <si>
    <t>LRFD_16-3R_W1: 1.2D+1.6R+1.6H+0.5WX</t>
  </si>
  <si>
    <t>LRFD_16-3Lr_W2: 1.2D+1.6Lr+1.6H+0.5WY</t>
  </si>
  <si>
    <t>LRFD_16-3S_W2: 1.2D+1.6S+1.6H+0.5WY</t>
  </si>
  <si>
    <t>LRFD_16-3R_W2: 1.2D+1.6R+1.6H+0.5WY</t>
  </si>
  <si>
    <t>LRFD_16-6W1: 0.9D+1.6H+1WX</t>
  </si>
  <si>
    <t>LRFD_16-6W2: 0.9D+1.6H+1WY</t>
  </si>
  <si>
    <t>LRFD_16-7E1: 0.9D+1.6H+1EX</t>
  </si>
  <si>
    <t>LRFD_16-7E2: 0.9D+1.6H+1EY</t>
  </si>
  <si>
    <t>ASD_16-8: 1D</t>
  </si>
  <si>
    <t>ASD_16-9: 1D+1L+1H</t>
  </si>
  <si>
    <t>ASD_16-10Lr: 1D+1Lr+1H</t>
  </si>
  <si>
    <t>ASD_16-10S: 1D+1S+1H</t>
  </si>
  <si>
    <t>ASD_16-10R: 1D+1R+1H</t>
  </si>
  <si>
    <t>ASD_16-11Lr: 1D+0.75L+0.75Lr+1H</t>
  </si>
  <si>
    <t>ASD_16-11S: 1D+0.75L+0.75S+1H</t>
  </si>
  <si>
    <t>ASD_16-11R: 1D+0.75L+0.75R+1H</t>
  </si>
  <si>
    <t>ASD_16-12W1: 1D+1H+0.6WX</t>
  </si>
  <si>
    <t>ASD_16-12W2: 1D+1H+0.6WY</t>
  </si>
  <si>
    <t>ASD_16-12E1: 1D+1H+0.7EX</t>
  </si>
  <si>
    <t>ASD_16-12E2: 1D+1H+0.7EY</t>
  </si>
  <si>
    <t>ASD_16-13W1_Lr: 1D+0.75L+0.75Lr+1H+0.45WX</t>
  </si>
  <si>
    <t>ASD_16-13W1_S: 1D+0.75L+0.75S+1H+0.45WX</t>
  </si>
  <si>
    <t>ASD_16-13W1_R: 1D+0.75L+0.75R+1H+0.45WX</t>
  </si>
  <si>
    <t>ASD_16-13W2_Lr: 1D+0.75L+0.75Lr+1H+0.45WY</t>
  </si>
  <si>
    <t>ASD_16-13W2_S: 1D+0.75L+0.75S+1H+0.45WY</t>
  </si>
  <si>
    <t>ASD_16-13W2_R: 1D+0.75L+0.75R+1H+0.45WY</t>
  </si>
  <si>
    <t>ASD_16-14E1: 1D+0.75L+0.75S+1H+0.525EX</t>
  </si>
  <si>
    <t>ASD_16-14E2: 1D+0.75L+0.75S+1H+0.525EY</t>
  </si>
  <si>
    <t>ASD_16-15W1: 0.6D+1H+0.6WX</t>
  </si>
  <si>
    <t>ASD_16-15W2: 0.6D+1H+0.6WY</t>
  </si>
  <si>
    <t>ASD_16-16E1: 0.6D+1H+0.7EX</t>
  </si>
  <si>
    <t>ASD_16-16E2: 0.6D+1H+0.7EY</t>
  </si>
  <si>
    <t>LRFD_16-3Lr_L: 1.2D+f1 L+1.6Lr+1.6H</t>
  </si>
  <si>
    <t>LRFD_16-3S_L: 1.2D+f1 L+1.6S+1.6H</t>
  </si>
  <si>
    <t>LRFD_16-3R_L: 1.2D+f1 L+1.6R+1.6H</t>
  </si>
  <si>
    <t>LRFD_16-4W1_Lr: 1.2D+f1 L+0.5Lr+1.6H+1WX</t>
  </si>
  <si>
    <t>LRFD_16-4W1_S: 1.2D+f1 L+0.5S+1.6H+1WX</t>
  </si>
  <si>
    <t>LRFD_16-4W1_R: 1.2D+f1 L+0.5R+1.6H+1WX</t>
  </si>
  <si>
    <t>LRFD_16-4W2_Lr: 1.2D+f1 L+0.5Lr+1.6H+1WY</t>
  </si>
  <si>
    <t>LRFD_16-4W2_S: 1.2D+f1 L+0.5S+1.6H+1WY</t>
  </si>
  <si>
    <t>LRFD_16-4W2_R: 1.2D+f1 L+0.5R+1.6H+1WY</t>
  </si>
  <si>
    <t>LRFD_16-5E1: 1.2D+f1 L+f2 S+1.6H+1EX</t>
  </si>
  <si>
    <t>LRFD_16-5E2: 1.2D+f1 L+f2 S+1.6H+1EY</t>
  </si>
  <si>
    <t>Center</t>
  </si>
  <si>
    <t>V:</t>
  </si>
  <si>
    <t>M:</t>
  </si>
  <si>
    <t>D:</t>
  </si>
  <si>
    <t>S:</t>
  </si>
  <si>
    <t>rad</t>
  </si>
  <si>
    <t>in</t>
  </si>
  <si>
    <t>Below are for Center Span Details:</t>
  </si>
  <si>
    <t>**Need to Choose Custom Here to Use Custom Factors**</t>
  </si>
  <si>
    <t>RL</t>
  </si>
  <si>
    <t>RR</t>
  </si>
  <si>
    <t>Max</t>
  </si>
  <si>
    <t>Min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</si>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</sst>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3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04">
    <xf numFmtId="0" fontId="0" fillId="0" borderId="0" xfId="0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0" borderId="0" xfId="0" applyNumberFormat="1"/>
    <xf numFmtId="0" fontId="0" fillId="0" borderId="0" xfId="0" applyFill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Fill="1" applyAlignment="1">
      <alignment horizontal="left"/>
    </xf>
    <xf numFmtId="0" fontId="0" fillId="2" borderId="1" xfId="0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0" borderId="0" xfId="0" applyFont="1"/>
    <xf numFmtId="2" fontId="0" fillId="0" borderId="0" xfId="0" applyNumberFormat="1" applyAlignment="1">
      <alignment horizontal="center"/>
    </xf>
    <xf numFmtId="0" fontId="0" fillId="0" borderId="0" xfId="0" applyFill="1"/>
    <xf numFmtId="164" fontId="0" fillId="0" borderId="0" xfId="0" applyNumberFormat="1" applyFill="1" applyAlignment="1">
      <alignment horizontal="center"/>
    </xf>
    <xf numFmtId="164" fontId="0" fillId="0" borderId="0" xfId="0" applyNumberFormat="1" applyFill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0" xfId="0" applyFill="1" applyBorder="1"/>
    <xf numFmtId="0" fontId="0" fillId="6" borderId="6" xfId="0" applyFill="1" applyBorder="1"/>
    <xf numFmtId="0" fontId="0" fillId="6" borderId="0" xfId="0" applyFill="1" applyBorder="1" applyAlignment="1">
      <alignment horizontal="center"/>
    </xf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0" borderId="2" xfId="0" applyBorder="1" applyAlignment="1">
      <alignment horizontal="right"/>
    </xf>
    <xf numFmtId="164" fontId="0" fillId="0" borderId="3" xfId="0" applyNumberFormat="1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right"/>
    </xf>
    <xf numFmtId="164" fontId="0" fillId="0" borderId="0" xfId="0" applyNumberFormat="1" applyBorder="1" applyAlignment="1">
      <alignment horizontal="center"/>
    </xf>
    <xf numFmtId="0" fontId="0" fillId="0" borderId="6" xfId="0" applyBorder="1"/>
    <xf numFmtId="0" fontId="0" fillId="0" borderId="7" xfId="0" applyBorder="1" applyAlignment="1">
      <alignment horizontal="right"/>
    </xf>
    <xf numFmtId="164" fontId="0" fillId="0" borderId="8" xfId="0" applyNumberFormat="1" applyBorder="1" applyAlignment="1">
      <alignment horizontal="center"/>
    </xf>
    <xf numFmtId="0" fontId="0" fillId="0" borderId="9" xfId="0" applyBorder="1"/>
    <xf numFmtId="164" fontId="0" fillId="2" borderId="11" xfId="0" applyNumberFormat="1" applyFill="1" applyBorder="1" applyAlignment="1">
      <alignment horizontal="center"/>
    </xf>
    <xf numFmtId="164" fontId="0" fillId="2" borderId="12" xfId="0" applyNumberForma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164" fontId="0" fillId="2" borderId="14" xfId="0" applyNumberFormat="1" applyFill="1" applyBorder="1" applyAlignment="1">
      <alignment horizontal="center"/>
    </xf>
    <xf numFmtId="164" fontId="0" fillId="2" borderId="15" xfId="0" applyNumberFormat="1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164" fontId="0" fillId="2" borderId="17" xfId="0" applyNumberFormat="1" applyFill="1" applyBorder="1" applyAlignment="1">
      <alignment horizontal="center"/>
    </xf>
    <xf numFmtId="164" fontId="0" fillId="2" borderId="18" xfId="0" applyNumberFormat="1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164" fontId="0" fillId="5" borderId="3" xfId="0" applyNumberFormat="1" applyFill="1" applyBorder="1" applyAlignment="1">
      <alignment horizontal="center"/>
    </xf>
    <xf numFmtId="164" fontId="0" fillId="5" borderId="0" xfId="0" applyNumberFormat="1" applyFill="1" applyBorder="1" applyAlignment="1">
      <alignment horizontal="center"/>
    </xf>
    <xf numFmtId="11" fontId="0" fillId="5" borderId="0" xfId="0" applyNumberFormat="1" applyFill="1" applyBorder="1" applyAlignment="1">
      <alignment horizontal="center"/>
    </xf>
    <xf numFmtId="164" fontId="0" fillId="5" borderId="8" xfId="0" applyNumberFormat="1" applyFill="1" applyBorder="1" applyAlignment="1">
      <alignment horizontal="center"/>
    </xf>
    <xf numFmtId="0" fontId="2" fillId="0" borderId="2" xfId="0" applyFont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5" xfId="0" applyBorder="1"/>
    <xf numFmtId="0" fontId="0" fillId="0" borderId="0" xfId="0" applyBorder="1"/>
    <xf numFmtId="164" fontId="0" fillId="2" borderId="0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6" borderId="0" xfId="0" applyNumberFormat="1" applyFill="1" applyBorder="1" applyAlignment="1">
      <alignment horizontal="center"/>
    </xf>
    <xf numFmtId="164" fontId="0" fillId="6" borderId="0" xfId="0" applyNumberFormat="1" applyFill="1" applyBorder="1"/>
    <xf numFmtId="0" fontId="0" fillId="6" borderId="6" xfId="0" applyFill="1" applyBorder="1" applyAlignment="1">
      <alignment horizontal="center"/>
    </xf>
    <xf numFmtId="0" fontId="0" fillId="0" borderId="7" xfId="0" applyBorder="1"/>
    <xf numFmtId="0" fontId="0" fillId="0" borderId="8" xfId="0" applyFill="1" applyBorder="1"/>
    <xf numFmtId="164" fontId="0" fillId="0" borderId="8" xfId="0" applyNumberFormat="1" applyFill="1" applyBorder="1" applyAlignment="1">
      <alignment horizontal="center"/>
    </xf>
    <xf numFmtId="164" fontId="0" fillId="0" borderId="8" xfId="0" applyNumberFormat="1" applyFill="1" applyBorder="1"/>
    <xf numFmtId="0" fontId="0" fillId="0" borderId="8" xfId="0" applyFill="1" applyBorder="1" applyAlignment="1">
      <alignment horizontal="center"/>
    </xf>
    <xf numFmtId="0" fontId="0" fillId="0" borderId="9" xfId="0" applyFill="1" applyBorder="1"/>
    <xf numFmtId="0" fontId="0" fillId="0" borderId="10" xfId="0" applyBorder="1"/>
    <xf numFmtId="0" fontId="0" fillId="0" borderId="3" xfId="0" applyBorder="1" applyAlignment="1">
      <alignment horizontal="right"/>
    </xf>
    <xf numFmtId="0" fontId="0" fillId="3" borderId="3" xfId="0" applyFill="1" applyBorder="1" applyAlignment="1">
      <alignment horizontal="center"/>
    </xf>
    <xf numFmtId="0" fontId="0" fillId="0" borderId="0" xfId="0" applyBorder="1" applyAlignment="1">
      <alignment horizontal="right"/>
    </xf>
    <xf numFmtId="0" fontId="0" fillId="3" borderId="0" xfId="0" applyFill="1" applyBorder="1" applyAlignment="1">
      <alignment horizontal="center"/>
    </xf>
    <xf numFmtId="165" fontId="2" fillId="5" borderId="0" xfId="0" applyNumberFormat="1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0" fontId="0" fillId="0" borderId="8" xfId="0" applyBorder="1"/>
    <xf numFmtId="0" fontId="0" fillId="0" borderId="7" xfId="0" applyFill="1" applyBorder="1"/>
    <xf numFmtId="0" fontId="0" fillId="0" borderId="9" xfId="0" applyFill="1" applyBorder="1" applyAlignment="1">
      <alignment horizontal="center"/>
    </xf>
    <xf numFmtId="0" fontId="0" fillId="0" borderId="2" xfId="0" applyBorder="1"/>
    <xf numFmtId="0" fontId="0" fillId="2" borderId="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1" fontId="0" fillId="0" borderId="15" xfId="0" applyNumberFormat="1" applyBorder="1" applyAlignment="1">
      <alignment horizontal="center"/>
    </xf>
    <xf numFmtId="165" fontId="0" fillId="5" borderId="16" xfId="0" applyNumberFormat="1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165" fontId="0" fillId="0" borderId="19" xfId="0" applyNumberFormat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0" fillId="5" borderId="15" xfId="0" applyNumberFormat="1" applyFill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2" fillId="0" borderId="0" xfId="0" applyFont="1" applyAlignment="1">
      <alignment horizontal="left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LEFT_CANTILEVER</c:v>
          </c:tx>
          <c:spPr>
            <a:ln w="2540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Data!$F$7:$F$8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Data!$G$7:$G$8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BE-4BD8-860F-1E1F00291667}"/>
            </c:ext>
          </c:extLst>
        </c:ser>
        <c:ser>
          <c:idx val="1"/>
          <c:order val="1"/>
          <c:tx>
            <c:v>CENTER_SPAN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Data!$F$12:$F$13</c:f>
              <c:numCache>
                <c:formatCode>General</c:formatCode>
                <c:ptCount val="2"/>
                <c:pt idx="0">
                  <c:v>0</c:v>
                </c:pt>
                <c:pt idx="1">
                  <c:v>20</c:v>
                </c:pt>
              </c:numCache>
            </c:numRef>
          </c:xVal>
          <c:yVal>
            <c:numRef>
              <c:f>Data!$G$12:$G$13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BE-4BD8-860F-1E1F00291667}"/>
            </c:ext>
          </c:extLst>
        </c:ser>
        <c:ser>
          <c:idx val="2"/>
          <c:order val="2"/>
          <c:tx>
            <c:v>RIGHT_CANTILEVER</c:v>
          </c:tx>
          <c:spPr>
            <a:ln w="2540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Data!$F$17:$F$18</c:f>
              <c:numCache>
                <c:formatCode>General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Data!$G$17:$G$18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4BE-4BD8-860F-1E1F00291667}"/>
            </c:ext>
          </c:extLst>
        </c:ser>
        <c:ser>
          <c:idx val="3"/>
          <c:order val="3"/>
          <c:tx>
            <c:v>CENTER_RESULTS</c:v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Data!$O$107:$O$227</c:f>
              <c:numCache>
                <c:formatCode>0.00</c:formatCode>
                <c:ptCount val="121"/>
                <c:pt idx="0">
                  <c:v>0</c:v>
                </c:pt>
                <c:pt idx="1">
                  <c:v>0.16666666666666666</c:v>
                </c:pt>
                <c:pt idx="2">
                  <c:v>0.33333333333333331</c:v>
                </c:pt>
                <c:pt idx="3">
                  <c:v>0.5</c:v>
                </c:pt>
                <c:pt idx="4">
                  <c:v>0.66666666666666663</c:v>
                </c:pt>
                <c:pt idx="5">
                  <c:v>0.83333333333333326</c:v>
                </c:pt>
                <c:pt idx="6">
                  <c:v>1</c:v>
                </c:pt>
                <c:pt idx="7">
                  <c:v>1.1666666666666665</c:v>
                </c:pt>
                <c:pt idx="8">
                  <c:v>1.3333333333333333</c:v>
                </c:pt>
                <c:pt idx="9">
                  <c:v>1.5</c:v>
                </c:pt>
                <c:pt idx="10">
                  <c:v>1.6666666666666665</c:v>
                </c:pt>
                <c:pt idx="11">
                  <c:v>1.8333333333333333</c:v>
                </c:pt>
                <c:pt idx="12">
                  <c:v>2</c:v>
                </c:pt>
                <c:pt idx="13">
                  <c:v>2.1666666666666665</c:v>
                </c:pt>
                <c:pt idx="14">
                  <c:v>2.333333333333333</c:v>
                </c:pt>
                <c:pt idx="15">
                  <c:v>2.5</c:v>
                </c:pt>
                <c:pt idx="16">
                  <c:v>2.6666666666666665</c:v>
                </c:pt>
                <c:pt idx="17">
                  <c:v>2.833333333333333</c:v>
                </c:pt>
                <c:pt idx="18">
                  <c:v>3</c:v>
                </c:pt>
                <c:pt idx="19">
                  <c:v>3.1666666666666665</c:v>
                </c:pt>
                <c:pt idx="20">
                  <c:v>3.333333333333333</c:v>
                </c:pt>
                <c:pt idx="21">
                  <c:v>3.5</c:v>
                </c:pt>
                <c:pt idx="22">
                  <c:v>3.6666666666666665</c:v>
                </c:pt>
                <c:pt idx="23">
                  <c:v>3.833333333333333</c:v>
                </c:pt>
                <c:pt idx="24">
                  <c:v>4</c:v>
                </c:pt>
                <c:pt idx="25">
                  <c:v>4.1666666666666661</c:v>
                </c:pt>
                <c:pt idx="26">
                  <c:v>4.333333333333333</c:v>
                </c:pt>
                <c:pt idx="27">
                  <c:v>4.5</c:v>
                </c:pt>
                <c:pt idx="28">
                  <c:v>4.6666666666666661</c:v>
                </c:pt>
                <c:pt idx="29">
                  <c:v>4.833333333333333</c:v>
                </c:pt>
                <c:pt idx="30">
                  <c:v>5</c:v>
                </c:pt>
                <c:pt idx="31">
                  <c:v>5.1666666666666661</c:v>
                </c:pt>
                <c:pt idx="32">
                  <c:v>5.333333333333333</c:v>
                </c:pt>
                <c:pt idx="33">
                  <c:v>5.5</c:v>
                </c:pt>
                <c:pt idx="34">
                  <c:v>5.6666666666666661</c:v>
                </c:pt>
                <c:pt idx="35">
                  <c:v>5.833333333333333</c:v>
                </c:pt>
                <c:pt idx="36">
                  <c:v>6</c:v>
                </c:pt>
                <c:pt idx="37">
                  <c:v>6.1666666666666661</c:v>
                </c:pt>
                <c:pt idx="38">
                  <c:v>6.333333333333333</c:v>
                </c:pt>
                <c:pt idx="39">
                  <c:v>6.5</c:v>
                </c:pt>
                <c:pt idx="40">
                  <c:v>6.6666666666666661</c:v>
                </c:pt>
                <c:pt idx="41">
                  <c:v>6.833333333333333</c:v>
                </c:pt>
                <c:pt idx="42">
                  <c:v>7</c:v>
                </c:pt>
                <c:pt idx="43">
                  <c:v>7.1666666666666661</c:v>
                </c:pt>
                <c:pt idx="44">
                  <c:v>7.333333333333333</c:v>
                </c:pt>
                <c:pt idx="45">
                  <c:v>7.5</c:v>
                </c:pt>
                <c:pt idx="46">
                  <c:v>7.6666666666666661</c:v>
                </c:pt>
                <c:pt idx="47">
                  <c:v>7.833333333333333</c:v>
                </c:pt>
                <c:pt idx="48">
                  <c:v>8</c:v>
                </c:pt>
                <c:pt idx="49">
                  <c:v>8.1666666666666661</c:v>
                </c:pt>
                <c:pt idx="50">
                  <c:v>8.3333333333333321</c:v>
                </c:pt>
                <c:pt idx="51">
                  <c:v>8.5</c:v>
                </c:pt>
                <c:pt idx="52">
                  <c:v>8.6666666666666661</c:v>
                </c:pt>
                <c:pt idx="53">
                  <c:v>8.8333333333333321</c:v>
                </c:pt>
                <c:pt idx="54">
                  <c:v>9</c:v>
                </c:pt>
                <c:pt idx="55">
                  <c:v>9.1666666666666661</c:v>
                </c:pt>
                <c:pt idx="56">
                  <c:v>9.3333333333333321</c:v>
                </c:pt>
                <c:pt idx="57">
                  <c:v>9.5</c:v>
                </c:pt>
                <c:pt idx="58">
                  <c:v>9.6666666666666661</c:v>
                </c:pt>
                <c:pt idx="59">
                  <c:v>9.8333333333333321</c:v>
                </c:pt>
                <c:pt idx="60">
                  <c:v>10</c:v>
                </c:pt>
                <c:pt idx="61">
                  <c:v>10.166666666666666</c:v>
                </c:pt>
                <c:pt idx="62">
                  <c:v>10.333333333333332</c:v>
                </c:pt>
                <c:pt idx="63">
                  <c:v>10.5</c:v>
                </c:pt>
                <c:pt idx="64">
                  <c:v>10.666666666666666</c:v>
                </c:pt>
                <c:pt idx="65">
                  <c:v>10.833333333333332</c:v>
                </c:pt>
                <c:pt idx="66">
                  <c:v>11</c:v>
                </c:pt>
                <c:pt idx="67">
                  <c:v>11.166666666666666</c:v>
                </c:pt>
                <c:pt idx="68">
                  <c:v>11.333333333333332</c:v>
                </c:pt>
                <c:pt idx="69">
                  <c:v>11.5</c:v>
                </c:pt>
                <c:pt idx="70">
                  <c:v>11.666666666666666</c:v>
                </c:pt>
                <c:pt idx="71">
                  <c:v>11.833333333333332</c:v>
                </c:pt>
                <c:pt idx="72">
                  <c:v>12</c:v>
                </c:pt>
                <c:pt idx="73">
                  <c:v>12.166666666666666</c:v>
                </c:pt>
                <c:pt idx="74">
                  <c:v>12.333333333333332</c:v>
                </c:pt>
                <c:pt idx="75">
                  <c:v>12.5</c:v>
                </c:pt>
                <c:pt idx="76">
                  <c:v>12.666666666666666</c:v>
                </c:pt>
                <c:pt idx="77">
                  <c:v>12.833333333333332</c:v>
                </c:pt>
                <c:pt idx="78">
                  <c:v>13</c:v>
                </c:pt>
                <c:pt idx="79">
                  <c:v>13.166666666666666</c:v>
                </c:pt>
                <c:pt idx="80">
                  <c:v>13.333333333333332</c:v>
                </c:pt>
                <c:pt idx="81">
                  <c:v>13.5</c:v>
                </c:pt>
                <c:pt idx="82">
                  <c:v>13.666666666666666</c:v>
                </c:pt>
                <c:pt idx="83">
                  <c:v>13.833333333333332</c:v>
                </c:pt>
                <c:pt idx="84">
                  <c:v>14</c:v>
                </c:pt>
                <c:pt idx="85">
                  <c:v>14.166666666666666</c:v>
                </c:pt>
                <c:pt idx="86">
                  <c:v>14.333333333333332</c:v>
                </c:pt>
                <c:pt idx="87">
                  <c:v>14.5</c:v>
                </c:pt>
                <c:pt idx="88">
                  <c:v>14.666666666666666</c:v>
                </c:pt>
                <c:pt idx="89">
                  <c:v>14.833333333333332</c:v>
                </c:pt>
                <c:pt idx="90">
                  <c:v>15</c:v>
                </c:pt>
                <c:pt idx="91">
                  <c:v>15.166666666666666</c:v>
                </c:pt>
                <c:pt idx="92">
                  <c:v>15.333333333333332</c:v>
                </c:pt>
                <c:pt idx="93">
                  <c:v>15.5</c:v>
                </c:pt>
                <c:pt idx="94">
                  <c:v>15.666666666666666</c:v>
                </c:pt>
                <c:pt idx="95">
                  <c:v>15.833333333333332</c:v>
                </c:pt>
                <c:pt idx="96">
                  <c:v>16</c:v>
                </c:pt>
                <c:pt idx="97">
                  <c:v>16.166666666666664</c:v>
                </c:pt>
                <c:pt idx="98">
                  <c:v>16.333333333333332</c:v>
                </c:pt>
                <c:pt idx="99">
                  <c:v>16.5</c:v>
                </c:pt>
                <c:pt idx="100">
                  <c:v>16.666666666666664</c:v>
                </c:pt>
                <c:pt idx="101">
                  <c:v>16.833333333333332</c:v>
                </c:pt>
                <c:pt idx="102">
                  <c:v>17</c:v>
                </c:pt>
                <c:pt idx="103">
                  <c:v>17.166666666666664</c:v>
                </c:pt>
                <c:pt idx="104">
                  <c:v>17.333333333333332</c:v>
                </c:pt>
                <c:pt idx="105">
                  <c:v>17.5</c:v>
                </c:pt>
                <c:pt idx="106">
                  <c:v>17.666666666666664</c:v>
                </c:pt>
                <c:pt idx="107">
                  <c:v>17.833333333333332</c:v>
                </c:pt>
                <c:pt idx="108">
                  <c:v>18</c:v>
                </c:pt>
                <c:pt idx="109">
                  <c:v>18.166666666666664</c:v>
                </c:pt>
                <c:pt idx="110">
                  <c:v>18.333333333333332</c:v>
                </c:pt>
                <c:pt idx="111">
                  <c:v>18.5</c:v>
                </c:pt>
                <c:pt idx="112">
                  <c:v>18.666666666666664</c:v>
                </c:pt>
                <c:pt idx="113">
                  <c:v>18.833333333333332</c:v>
                </c:pt>
                <c:pt idx="114">
                  <c:v>19</c:v>
                </c:pt>
                <c:pt idx="115">
                  <c:v>19.166666666666664</c:v>
                </c:pt>
                <c:pt idx="116">
                  <c:v>19.333333333333332</c:v>
                </c:pt>
                <c:pt idx="117">
                  <c:v>19.5</c:v>
                </c:pt>
                <c:pt idx="118">
                  <c:v>19.666666666666664</c:v>
                </c:pt>
                <c:pt idx="119">
                  <c:v>19.833333333333332</c:v>
                </c:pt>
                <c:pt idx="120">
                  <c:v>20</c:v>
                </c:pt>
              </c:numCache>
            </c:numRef>
          </c:xVal>
          <c:yVal>
            <c:numRef>
              <c:f>Data!$P$107:$P$227</c:f>
              <c:numCache>
                <c:formatCode>General</c:formatCode>
                <c:ptCount val="121"/>
                <c:pt idx="0">
                  <c:v>0</c:v>
                </c:pt>
                <c:pt idx="1">
                  <c:v>-4.2200251523168558E-3</c:v>
                </c:pt>
                <c:pt idx="2">
                  <c:v>-8.4129814842459003E-3</c:v>
                </c:pt>
                <c:pt idx="3">
                  <c:v>-1.2553162319002942E-2</c:v>
                </c:pt>
                <c:pt idx="4">
                  <c:v>-1.6616341300249471E-2</c:v>
                </c:pt>
                <c:pt idx="5">
                  <c:v>-2.0579766172259095E-2</c:v>
                </c:pt>
                <c:pt idx="6">
                  <c:v>-2.4422152560083787E-2</c:v>
                </c:pt>
                <c:pt idx="7">
                  <c:v>-2.8123677749719633E-2</c:v>
                </c:pt>
                <c:pt idx="8">
                  <c:v>-3.16659744682736E-2</c:v>
                </c:pt>
                <c:pt idx="9">
                  <c:v>-3.5032124664129222E-2</c:v>
                </c:pt>
                <c:pt idx="10">
                  <c:v>-3.8206653287113368E-2</c:v>
                </c:pt>
                <c:pt idx="11">
                  <c:v>-4.1175522068661929E-2</c:v>
                </c:pt>
                <c:pt idx="12">
                  <c:v>-4.3926123301985753E-2</c:v>
                </c:pt>
                <c:pt idx="13">
                  <c:v>-4.6447273622238161E-2</c:v>
                </c:pt>
                <c:pt idx="14">
                  <c:v>-4.8729207786679385E-2</c:v>
                </c:pt>
                <c:pt idx="15">
                  <c:v>-5.0763572454844419E-2</c:v>
                </c:pt>
                <c:pt idx="16">
                  <c:v>-5.2543419968707872E-2</c:v>
                </c:pt>
                <c:pt idx="17">
                  <c:v>-5.4063202132850652E-2</c:v>
                </c:pt>
                <c:pt idx="18">
                  <c:v>-5.5318763994626652E-2</c:v>
                </c:pt>
                <c:pt idx="19">
                  <c:v>-5.6307337624328269E-2</c:v>
                </c:pt>
                <c:pt idx="20">
                  <c:v>-5.7027535895352588E-2</c:v>
                </c:pt>
                <c:pt idx="21">
                  <c:v>-5.7479346264368569E-2</c:v>
                </c:pt>
                <c:pt idx="22">
                  <c:v>-5.7664124551481732E-2</c:v>
                </c:pt>
                <c:pt idx="23">
                  <c:v>-5.7584588720401175E-2</c:v>
                </c:pt>
                <c:pt idx="24">
                  <c:v>-5.7244812658606592E-2</c:v>
                </c:pt>
                <c:pt idx="25">
                  <c:v>-5.6650219957512293E-2</c:v>
                </c:pt>
                <c:pt idx="26">
                  <c:v>-5.580757769263589E-2</c:v>
                </c:pt>
                <c:pt idx="27">
                  <c:v>-5.4724990203762314E-2</c:v>
                </c:pt>
                <c:pt idx="28">
                  <c:v>-5.3411892875111833E-2</c:v>
                </c:pt>
                <c:pt idx="29">
                  <c:v>-5.1879045915505073E-2</c:v>
                </c:pt>
                <c:pt idx="30">
                  <c:v>-5.0138528138529037E-2</c:v>
                </c:pt>
                <c:pt idx="31">
                  <c:v>-4.8203730742704121E-2</c:v>
                </c:pt>
                <c:pt idx="32">
                  <c:v>-4.6089351091650799E-2</c:v>
                </c:pt>
                <c:pt idx="33">
                  <c:v>-4.3811386494253979E-2</c:v>
                </c:pt>
                <c:pt idx="34">
                  <c:v>-4.1387127984830019E-2</c:v>
                </c:pt>
                <c:pt idx="35">
                  <c:v>-3.8835154103294411E-2</c:v>
                </c:pt>
                <c:pt idx="36">
                  <c:v>-3.6175324675325804E-2</c:v>
                </c:pt>
                <c:pt idx="37">
                  <c:v>-3.3428774592533017E-2</c:v>
                </c:pt>
                <c:pt idx="38">
                  <c:v>-3.0617907592621396E-2</c:v>
                </c:pt>
                <c:pt idx="39">
                  <c:v>-2.7766390039559163E-2</c:v>
                </c:pt>
                <c:pt idx="40">
                  <c:v>-2.4899144703743437E-2</c:v>
                </c:pt>
                <c:pt idx="41">
                  <c:v>-2.2042344542166248E-2</c:v>
                </c:pt>
                <c:pt idx="42">
                  <c:v>-1.9223406478579896E-2</c:v>
                </c:pt>
                <c:pt idx="43">
                  <c:v>-1.6470985183665632E-2</c:v>
                </c:pt>
                <c:pt idx="44">
                  <c:v>-1.3814966855197675E-2</c:v>
                </c:pt>
                <c:pt idx="45">
                  <c:v>-1.1286462998209901E-2</c:v>
                </c:pt>
                <c:pt idx="46">
                  <c:v>-8.9178042051615281E-3</c:v>
                </c:pt>
                <c:pt idx="47">
                  <c:v>-6.7425339361054659E-3</c:v>
                </c:pt>
                <c:pt idx="48">
                  <c:v>-4.7954022988516698E-3</c:v>
                </c:pt>
                <c:pt idx="49">
                  <c:v>-3.1123598291354915E-3</c:v>
                </c:pt>
                <c:pt idx="50">
                  <c:v>-1.7305512707823656E-3</c:v>
                </c:pt>
                <c:pt idx="51">
                  <c:v>-6.8830935587516073E-4</c:v>
                </c:pt>
                <c:pt idx="52">
                  <c:v>-2.5148584919865158E-5</c:v>
                </c:pt>
                <c:pt idx="53">
                  <c:v>2.1824099298839439E-4</c:v>
                </c:pt>
                <c:pt idx="54">
                  <c:v>-9.9920072216264089E-16</c:v>
                </c:pt>
                <c:pt idx="55">
                  <c:v>-7.0874254656727587E-4</c:v>
                </c:pt>
                <c:pt idx="56">
                  <c:v>-1.8814085020992799E-3</c:v>
                </c:pt>
                <c:pt idx="57">
                  <c:v>-3.4784188871481714E-3</c:v>
                </c:pt>
                <c:pt idx="58">
                  <c:v>-5.4613391716853421E-3</c:v>
                </c:pt>
                <c:pt idx="59">
                  <c:v>-7.792873055266103E-3</c:v>
                </c:pt>
                <c:pt idx="60">
                  <c:v>-1.0436856247202364E-2</c:v>
                </c:pt>
                <c:pt idx="61">
                  <c:v>-1.3358250246721326E-2</c:v>
                </c:pt>
                <c:pt idx="62">
                  <c:v>-1.6523136123137161E-2</c:v>
                </c:pt>
                <c:pt idx="63">
                  <c:v>-1.9898708296015366E-2</c:v>
                </c:pt>
                <c:pt idx="64">
                  <c:v>-2.3453268315338116E-2</c:v>
                </c:pt>
                <c:pt idx="65">
                  <c:v>-2.7156218641671948E-2</c:v>
                </c:pt>
                <c:pt idx="66">
                  <c:v>-3.0978056426333112E-2</c:v>
                </c:pt>
                <c:pt idx="67">
                  <c:v>-3.4890367291553592E-2</c:v>
                </c:pt>
                <c:pt idx="68">
                  <c:v>-3.8865819110647459E-2</c:v>
                </c:pt>
                <c:pt idx="69">
                  <c:v>-4.2878155788178218E-2</c:v>
                </c:pt>
                <c:pt idx="70">
                  <c:v>-4.6902191040122831E-2</c:v>
                </c:pt>
                <c:pt idx="71">
                  <c:v>-5.0913802174040068E-2</c:v>
                </c:pt>
                <c:pt idx="72">
                  <c:v>-5.4889923869234858E-2</c:v>
                </c:pt>
                <c:pt idx="73">
                  <c:v>-5.8808541956926308E-2</c:v>
                </c:pt>
                <c:pt idx="74">
                  <c:v>-6.2648687200412057E-2</c:v>
                </c:pt>
                <c:pt idx="75">
                  <c:v>-6.6390429075235957E-2</c:v>
                </c:pt>
                <c:pt idx="76">
                  <c:v>-7.0014869549353098E-2</c:v>
                </c:pt>
                <c:pt idx="77">
                  <c:v>-7.3504136863297154E-2</c:v>
                </c:pt>
                <c:pt idx="78">
                  <c:v>-7.6841379310345737E-2</c:v>
                </c:pt>
                <c:pt idx="79">
                  <c:v>-8.0010759016686417E-2</c:v>
                </c:pt>
                <c:pt idx="80">
                  <c:v>-8.2997445721584406E-2</c:v>
                </c:pt>
                <c:pt idx="81">
                  <c:v>-8.5787610557546579E-2</c:v>
                </c:pt>
                <c:pt idx="82">
                  <c:v>-8.8368419830489153E-2</c:v>
                </c:pt>
                <c:pt idx="83">
                  <c:v>-9.0728028799904381E-2</c:v>
                </c:pt>
                <c:pt idx="84">
                  <c:v>-9.2855575459024231E-2</c:v>
                </c:pt>
                <c:pt idx="85">
                  <c:v>-9.4741174314989407E-2</c:v>
                </c:pt>
                <c:pt idx="86">
                  <c:v>-9.6375910169014034E-2</c:v>
                </c:pt>
                <c:pt idx="87">
                  <c:v>-9.7751831896552344E-2</c:v>
                </c:pt>
                <c:pt idx="88">
                  <c:v>-9.8861946227463693E-2</c:v>
                </c:pt>
                <c:pt idx="89">
                  <c:v>-9.9700211526181581E-2</c:v>
                </c:pt>
                <c:pt idx="90">
                  <c:v>-0.10026153157187667</c:v>
                </c:pt>
                <c:pt idx="91">
                  <c:v>-0.10054174933862481</c:v>
                </c:pt>
                <c:pt idx="92">
                  <c:v>-0.10053764077557237</c:v>
                </c:pt>
                <c:pt idx="93">
                  <c:v>-0.10024690858710295</c:v>
                </c:pt>
                <c:pt idx="94">
                  <c:v>-9.9668176013003706E-2</c:v>
                </c:pt>
                <c:pt idx="95">
                  <c:v>-9.8800980608631739E-2</c:v>
                </c:pt>
                <c:pt idx="96">
                  <c:v>-9.7645768025078405E-2</c:v>
                </c:pt>
                <c:pt idx="97">
                  <c:v>-9.6203885789338695E-2</c:v>
                </c:pt>
                <c:pt idx="98">
                  <c:v>-9.4477577084473907E-2</c:v>
                </c:pt>
                <c:pt idx="99">
                  <c:v>-9.2469974529780841E-2</c:v>
                </c:pt>
                <c:pt idx="100">
                  <c:v>-9.0185093960956142E-2</c:v>
                </c:pt>
                <c:pt idx="101">
                  <c:v>-8.7627828210263659E-2</c:v>
                </c:pt>
                <c:pt idx="102">
                  <c:v>-8.4803940886699625E-2</c:v>
                </c:pt>
                <c:pt idx="103">
                  <c:v>-8.1720060156159346E-2</c:v>
                </c:pt>
                <c:pt idx="104">
                  <c:v>-7.838367252160372E-2</c:v>
                </c:pt>
                <c:pt idx="105">
                  <c:v>-7.4803116603224418E-2</c:v>
                </c:pt>
                <c:pt idx="106">
                  <c:v>-7.0987576918611406E-2</c:v>
                </c:pt>
                <c:pt idx="107">
                  <c:v>-6.6947077662918131E-2</c:v>
                </c:pt>
                <c:pt idx="108">
                  <c:v>-6.2692476489028204E-2</c:v>
                </c:pt>
                <c:pt idx="109">
                  <c:v>-5.8235458287721253E-2</c:v>
                </c:pt>
                <c:pt idx="110">
                  <c:v>-5.3588528967839361E-2</c:v>
                </c:pt>
                <c:pt idx="111">
                  <c:v>-4.8765009236453077E-2</c:v>
                </c:pt>
                <c:pt idx="112">
                  <c:v>-4.3779028379028362E-2</c:v>
                </c:pt>
                <c:pt idx="113">
                  <c:v>-3.8645518039591181E-2</c:v>
                </c:pt>
                <c:pt idx="114">
                  <c:v>-3.3380206000895529E-2</c:v>
                </c:pt>
                <c:pt idx="115">
                  <c:v>-2.7999609964588321E-2</c:v>
                </c:pt>
                <c:pt idx="116">
                  <c:v>-2.2521031331376076E-2</c:v>
                </c:pt>
                <c:pt idx="117">
                  <c:v>-1.6962548981191067E-2</c:v>
                </c:pt>
                <c:pt idx="118">
                  <c:v>-1.1343013053357789E-2</c:v>
                </c:pt>
                <c:pt idx="119">
                  <c:v>-5.6820387267584246E-3</c:v>
                </c:pt>
                <c:pt idx="120">
                  <c:v>1.829973700562623E-16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4BE-4BD8-860F-1E1F00291667}"/>
            </c:ext>
          </c:extLst>
        </c:ser>
        <c:ser>
          <c:idx val="4"/>
          <c:order val="4"/>
          <c:tx>
            <c:v>CENTER_SPAN_USER_LOC</c:v>
          </c:tx>
          <c:spPr>
            <a:ln w="15875" cap="rnd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Data!$X$107:$X$108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Data!$Y$107:$Y$108</c:f>
              <c:numCache>
                <c:formatCode>General</c:formatCode>
                <c:ptCount val="2"/>
                <c:pt idx="0">
                  <c:v>0</c:v>
                </c:pt>
                <c:pt idx="1">
                  <c:v>-2.4422152560083787E-2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75-48B1-A016-60C54D5F6758}"/>
            </c:ext>
          </c:extLst>
        </c:ser>
        <c:ser>
          <c:idx val="5"/>
          <c:order val="5"/>
          <c:tx>
            <c:v>CENTER_SPAN_USER_LOC_2</c:v>
          </c:tx>
          <c:spPr>
            <a:ln w="15875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Data!$Z$107:$Z$108</c:f>
              <c:numCache>
                <c:formatCode>General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Data!$AA$107:$AA$108</c:f>
              <c:numCache>
                <c:formatCode>General</c:formatCode>
                <c:ptCount val="2"/>
                <c:pt idx="0">
                  <c:v>0</c:v>
                </c:pt>
                <c:pt idx="1">
                  <c:v>-0.10026153157187667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275-48B1-A016-60C54D5F6758}"/>
            </c:ext>
          </c:extLst>
        </c:ser>
        <c:ser>
          <c:idx val="6"/>
          <c:order val="6"/>
          <c:tx>
            <c:v>CENTER_SPAN_SHEAR_ROOT</c:v>
          </c:tx>
          <c:spPr>
            <a:ln w="15875" cap="rnd">
              <a:solidFill>
                <a:srgbClr val="00B0F0"/>
              </a:solidFill>
              <a:prstDash val="lgDash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Data!$X$110:$X$111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Data!$Y$110:$Y$111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275-48B1-A016-60C54D5F6758}"/>
            </c:ext>
          </c:extLst>
        </c:ser>
        <c:ser>
          <c:idx val="7"/>
          <c:order val="7"/>
          <c:tx>
            <c:v>CENTER_SPAN_SLOPE_ROOT</c:v>
          </c:tx>
          <c:spPr>
            <a:ln w="19050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Data!$Z$110:$Z$111</c:f>
              <c:numCache>
                <c:formatCode>General</c:formatCode>
                <c:ptCount val="2"/>
                <c:pt idx="0">
                  <c:v>3.6995191872119904</c:v>
                </c:pt>
                <c:pt idx="1">
                  <c:v>3.6995191872119904</c:v>
                </c:pt>
              </c:numCache>
            </c:numRef>
          </c:xVal>
          <c:yVal>
            <c:numRef>
              <c:f>Data!$AA$110:$AA$111</c:f>
              <c:numCache>
                <c:formatCode>General</c:formatCode>
                <c:ptCount val="2"/>
                <c:pt idx="0">
                  <c:v>0</c:v>
                </c:pt>
                <c:pt idx="1">
                  <c:v>-5.7669252733121734E-2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275-48B1-A016-60C54D5F6758}"/>
            </c:ext>
          </c:extLst>
        </c:ser>
        <c:ser>
          <c:idx val="8"/>
          <c:order val="8"/>
          <c:tx>
            <c:v>LEFT_CANTILEVER_RESULTS</c:v>
          </c:tx>
          <c:spPr>
            <a:ln w="15875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Data!$B$25:$B$51</c:f>
              <c:numCache>
                <c:formatCode>General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xVal>
          <c:yVal>
            <c:numRef>
              <c:f>Data!$C$25:$C$51</c:f>
              <c:numCache>
                <c:formatCode>General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2E-4401-B23A-65EDA3038A58}"/>
            </c:ext>
          </c:extLst>
        </c:ser>
        <c:ser>
          <c:idx val="9"/>
          <c:order val="9"/>
          <c:tx>
            <c:v>RIGHT_CANTILEVER_RES</c:v>
          </c:tx>
          <c:spPr>
            <a:ln w="15875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3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Data!$H$54:$H$80</c:f>
              <c:numCache>
                <c:formatCode>General</c:formatCode>
                <c:ptCount val="2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</c:numCache>
            </c:numRef>
          </c:xVal>
          <c:yVal>
            <c:numRef>
              <c:f>Data!$C$54:$C$80</c:f>
              <c:numCache>
                <c:formatCode>General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42E-4401-B23A-65EDA3038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825536"/>
        <c:axId val="238675088"/>
      </c:scatterChart>
      <c:valAx>
        <c:axId val="824825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675088"/>
        <c:crosses val="autoZero"/>
        <c:crossBetween val="midCat"/>
      </c:valAx>
      <c:valAx>
        <c:axId val="23867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825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6</xdr:row>
      <xdr:rowOff>42861</xdr:rowOff>
    </xdr:from>
    <xdr:to>
      <xdr:col>17</xdr:col>
      <xdr:colOff>1409700</xdr:colOff>
      <xdr:row>25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132A21-3E14-4F25-BCF6-4602491E8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4FBAA-8B2D-4102-98BB-454CB7702AEF}">
  <sheetPr codeName="Sheet1"/>
  <dimension ref="A1:BR80"/>
  <sheetViews>
    <sheetView tabSelected="1" topLeftCell="A4" workbookViewId="0">
      <selection activeCell="A21" sqref="A21"/>
    </sheetView>
  </sheetViews>
  <sheetFormatPr defaultRowHeight="15" x14ac:dyDescent="0.25"/>
  <cols>
    <col min="1" max="1" width="16.85546875" customWidth="1"/>
    <col min="2" max="2" width="23.85546875" bestFit="1" customWidth="1"/>
    <col min="3" max="3" width="9.5703125" bestFit="1" customWidth="1"/>
    <col min="4" max="4" width="11.7109375" bestFit="1" customWidth="1"/>
    <col min="5" max="5" width="12.140625" bestFit="1" customWidth="1"/>
    <col min="6" max="6" width="10.28515625" bestFit="1" customWidth="1"/>
    <col min="10" max="11" width="23.7109375" bestFit="1" customWidth="1"/>
    <col min="12" max="12" width="9.5703125" bestFit="1" customWidth="1"/>
    <col min="18" max="18" width="23.7109375" bestFit="1" customWidth="1"/>
    <col min="29" max="29" width="14.140625" bestFit="1" customWidth="1"/>
    <col min="32" max="32" width="12" bestFit="1" customWidth="1"/>
    <col min="36" max="36" width="12" bestFit="1" customWidth="1"/>
  </cols>
  <sheetData>
    <row r="1" spans="1:70" x14ac:dyDescent="0.25">
      <c r="A1" s="11" t="s">
        <v>0</v>
      </c>
      <c r="G1" s="6" t="s">
        <v>53</v>
      </c>
      <c r="H1" s="2">
        <v>0.5</v>
      </c>
      <c r="I1" t="str">
        <f>IF(H1=1,"places of public assembly with live loads &gt; 100 psf and parking garages","other live loads")</f>
        <v>other live loads</v>
      </c>
    </row>
    <row r="2" spans="1:70" x14ac:dyDescent="0.25">
      <c r="A2" s="1" t="s">
        <v>1</v>
      </c>
      <c r="B2" s="3">
        <v>30.8</v>
      </c>
      <c r="C2" t="s">
        <v>3</v>
      </c>
      <c r="D2" s="4">
        <f>B2/POWER(12,4)</f>
        <v>1.4853395061728396E-3</v>
      </c>
      <c r="E2" t="s">
        <v>37</v>
      </c>
      <c r="G2" s="6" t="s">
        <v>54</v>
      </c>
      <c r="H2" s="2">
        <v>0.7</v>
      </c>
      <c r="I2" t="str">
        <f>IF(H2=0.7,"roof configurations that do not shed snow off of the structure","other roof configurations")</f>
        <v>roof configurations that do not shed snow off of the structure</v>
      </c>
    </row>
    <row r="3" spans="1:70" x14ac:dyDescent="0.25">
      <c r="A3" s="1" t="s">
        <v>2</v>
      </c>
      <c r="B3" s="3">
        <v>29000</v>
      </c>
      <c r="C3" t="s">
        <v>4</v>
      </c>
      <c r="D3" s="4">
        <f>B3*144</f>
        <v>4176000</v>
      </c>
      <c r="E3" t="s">
        <v>38</v>
      </c>
    </row>
    <row r="4" spans="1:70" x14ac:dyDescent="0.25">
      <c r="G4" s="10" t="s">
        <v>18</v>
      </c>
      <c r="H4" s="10" t="s">
        <v>22</v>
      </c>
      <c r="I4" s="10" t="s">
        <v>23</v>
      </c>
      <c r="J4" s="10" t="s">
        <v>24</v>
      </c>
      <c r="K4" s="10" t="s">
        <v>17</v>
      </c>
      <c r="L4" s="10" t="s">
        <v>25</v>
      </c>
      <c r="M4" s="10" t="s">
        <v>26</v>
      </c>
      <c r="N4" s="10" t="s">
        <v>27</v>
      </c>
      <c r="O4" s="10" t="s">
        <v>28</v>
      </c>
      <c r="P4" s="10" t="s">
        <v>29</v>
      </c>
      <c r="AE4" s="1"/>
    </row>
    <row r="5" spans="1:70" x14ac:dyDescent="0.25">
      <c r="A5" s="11" t="s">
        <v>40</v>
      </c>
      <c r="B5" t="s">
        <v>123</v>
      </c>
      <c r="F5" s="6" t="s">
        <v>57</v>
      </c>
      <c r="G5" s="10">
        <f ca="1">OFFSET(Load_Combos!A2,MATCH(Beam_Analysis!B6,Load_Combos!A3:A62,0),1)</f>
        <v>0</v>
      </c>
      <c r="H5" s="10">
        <f ca="1">OFFSET(Load_Combos!$A$2,MATCH(Beam_Analysis!B6,Load_Combos!$A$3:$A$62,0),2)</f>
        <v>1</v>
      </c>
      <c r="I5" s="10">
        <f ca="1">OFFSET(Load_Combos!$A$2,MATCH(Beam_Analysis!B6,Load_Combos!$A$3:$A$62,0),3)</f>
        <v>0</v>
      </c>
      <c r="J5" s="10">
        <f ca="1">OFFSET(Load_Combos!$A$2,MATCH(Beam_Analysis!B6,Load_Combos!$A$3:$A$62,0),4)</f>
        <v>0</v>
      </c>
      <c r="K5" s="10">
        <f ca="1">OFFSET(Load_Combos!$A$2,MATCH(Beam_Analysis!B6,Load_Combos!$A$3:$A$62,0),5)</f>
        <v>0</v>
      </c>
      <c r="L5" s="10">
        <f ca="1">OFFSET(Load_Combos!$A$2,MATCH(Beam_Analysis!B6,Load_Combos!$A$3:$A$62,0),6)</f>
        <v>0</v>
      </c>
      <c r="M5" s="10">
        <f ca="1">OFFSET(Load_Combos!$A$2,MATCH(Beam_Analysis!B6,Load_Combos!$A$3:$A$62,0),7)</f>
        <v>0</v>
      </c>
      <c r="N5" s="10">
        <f ca="1">OFFSET(Load_Combos!$A$2,MATCH(Beam_Analysis!B6,Load_Combos!$A$3:$A$62,0),8)</f>
        <v>0</v>
      </c>
      <c r="O5" s="10">
        <f ca="1">OFFSET(Load_Combos!$A$2,MATCH(Beam_Analysis!B6,Load_Combos!$A$3:$A$62,0),9)</f>
        <v>0</v>
      </c>
      <c r="P5" s="10">
        <f ca="1">OFFSET(Load_Combos!$A$2,MATCH(Beam_Analysis!B6,Load_Combos!$A$3:$A$62,0),10)</f>
        <v>0</v>
      </c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</row>
    <row r="6" spans="1:70" x14ac:dyDescent="0.25">
      <c r="A6" s="1" t="s">
        <v>55</v>
      </c>
      <c r="B6" s="103" t="s">
        <v>56</v>
      </c>
      <c r="C6" s="103"/>
      <c r="D6" s="103"/>
      <c r="F6" s="6" t="s">
        <v>56</v>
      </c>
      <c r="G6" s="9">
        <v>0</v>
      </c>
      <c r="H6" s="9">
        <v>1</v>
      </c>
      <c r="I6" s="9">
        <v>0</v>
      </c>
      <c r="J6" s="9">
        <v>0</v>
      </c>
      <c r="K6" s="9">
        <v>0</v>
      </c>
      <c r="L6" s="9">
        <v>0</v>
      </c>
      <c r="M6" s="9">
        <v>0</v>
      </c>
      <c r="N6" s="9">
        <v>0</v>
      </c>
      <c r="O6" s="9">
        <v>0</v>
      </c>
      <c r="P6" s="9">
        <v>0</v>
      </c>
    </row>
    <row r="7" spans="1:70" x14ac:dyDescent="0.25">
      <c r="A7" s="1" t="s">
        <v>41</v>
      </c>
      <c r="B7" s="2" t="s">
        <v>18</v>
      </c>
    </row>
    <row r="8" spans="1:70" x14ac:dyDescent="0.25">
      <c r="A8" s="102" t="s">
        <v>122</v>
      </c>
    </row>
    <row r="9" spans="1:70" ht="15.75" thickBot="1" x14ac:dyDescent="0.3">
      <c r="A9" s="1" t="s">
        <v>48</v>
      </c>
      <c r="B9" s="1" t="s">
        <v>19</v>
      </c>
      <c r="C9" s="1" t="s">
        <v>20</v>
      </c>
      <c r="D9" s="1" t="s">
        <v>21</v>
      </c>
      <c r="E9" s="1" t="s">
        <v>39</v>
      </c>
    </row>
    <row r="10" spans="1:70" x14ac:dyDescent="0.25">
      <c r="A10" s="83">
        <v>1</v>
      </c>
      <c r="B10" s="84" cm="1">
        <f t="array" aca="1" ref="B10:E10" ca="1">center_span($J$29,A10,$D$3,$D$2,$J$33:$O$79,$G$5:$P$5,0)</f>
        <v>2.1317824074074103</v>
      </c>
      <c r="C10" s="84">
        <f ca="1"/>
        <v>2.6234490740740766</v>
      </c>
      <c r="D10" s="84">
        <f ca="1"/>
        <v>-1.8875690401552597E-3</v>
      </c>
      <c r="E10" s="85">
        <f ca="1"/>
        <v>-2.4422152560083787E-2</v>
      </c>
    </row>
    <row r="11" spans="1:70" ht="15.75" thickBot="1" x14ac:dyDescent="0.3">
      <c r="A11" s="90">
        <v>15</v>
      </c>
      <c r="B11" s="100" cm="1">
        <f t="array" aca="1" ref="B11:E11" ca="1">center_span($J$29,A11,$D$3,$D$2,$J$33:$O$79,$G$5:$P$5,0)</f>
        <v>0.41187499999999577</v>
      </c>
      <c r="C11" s="100">
        <f ca="1"/>
        <v>5.232291666666665</v>
      </c>
      <c r="D11" s="100">
        <f ca="1"/>
        <v>-2.1069189431257088E-4</v>
      </c>
      <c r="E11" s="101">
        <f ca="1"/>
        <v>-0.10026153157187667</v>
      </c>
    </row>
    <row r="12" spans="1:70" x14ac:dyDescent="0.25">
      <c r="A12" s="8" t="s">
        <v>52</v>
      </c>
      <c r="B12" s="5"/>
      <c r="C12" s="5"/>
      <c r="D12" s="5"/>
      <c r="E12" s="5"/>
    </row>
    <row r="13" spans="1:70" ht="15.75" thickBot="1" x14ac:dyDescent="0.3">
      <c r="A13" s="1" t="s">
        <v>48</v>
      </c>
      <c r="B13" s="1" t="s">
        <v>19</v>
      </c>
      <c r="C13" s="1" t="s">
        <v>20</v>
      </c>
      <c r="D13" s="1" t="s">
        <v>21</v>
      </c>
      <c r="E13" s="1" t="s">
        <v>39</v>
      </c>
    </row>
    <row r="14" spans="1:70" x14ac:dyDescent="0.25">
      <c r="A14" s="83">
        <v>8</v>
      </c>
      <c r="B14" s="93" cm="1">
        <f t="array" aca="1" ref="B14:E14" ca="1">center_span($J$29,A14,$D$3,$D$2,$J$33:$O$79,G5:P5,0)</f>
        <v>-4.08071759259259</v>
      </c>
      <c r="C14" s="93">
        <f ca="1"/>
        <v>-4.912407407407386</v>
      </c>
      <c r="D14" s="93">
        <f ca="1"/>
        <v>9.1058926705478264E-4</v>
      </c>
      <c r="E14" s="94">
        <f ca="1"/>
        <v>-4.7954022988516698E-3</v>
      </c>
    </row>
    <row r="15" spans="1:70" x14ac:dyDescent="0.25">
      <c r="A15" s="86" cm="1">
        <f t="array" aca="1" ref="A15" ca="1">center_span_root(J29,D3,D2,J33:O79,G5:P5,0,A14,A16)</f>
        <v>9.0000000001164153</v>
      </c>
      <c r="B15" s="88" cm="1">
        <f t="array" aca="1" ref="B15:E15" ca="1">center_span($J$29,A15,$D$3,$D$2,$J$33:$O$79,G5:P5,0)</f>
        <v>4.6118749999097739</v>
      </c>
      <c r="C15" s="95">
        <f ca="1"/>
        <v>-9.3889583327964203</v>
      </c>
      <c r="D15" s="96">
        <f ca="1"/>
        <v>-2.3165024648163016E-4</v>
      </c>
      <c r="E15" s="97">
        <f ca="1"/>
        <v>-3.2440716779547074E-13</v>
      </c>
    </row>
    <row r="16" spans="1:70" ht="15.75" thickBot="1" x14ac:dyDescent="0.3">
      <c r="A16" s="90">
        <v>16</v>
      </c>
      <c r="B16" s="98" cm="1">
        <f t="array" aca="1" ref="B16:E16" ca="1">center_span($J$29,A16,$D$3,$D$2,$J$33:$O$79,G5:P5,0)</f>
        <v>-0.20062500000000405</v>
      </c>
      <c r="C16" s="98">
        <f ca="1"/>
        <v>5.3358333333333263</v>
      </c>
      <c r="D16" s="98">
        <f ca="1"/>
        <v>6.4942342140619086E-4</v>
      </c>
      <c r="E16" s="99">
        <f ca="1"/>
        <v>-9.7645768025078405E-2</v>
      </c>
    </row>
    <row r="17" spans="1:24" ht="15.75" thickBot="1" x14ac:dyDescent="0.3">
      <c r="A17" s="7" t="s">
        <v>51</v>
      </c>
    </row>
    <row r="18" spans="1:24" x14ac:dyDescent="0.25">
      <c r="A18" s="83">
        <v>1</v>
      </c>
      <c r="B18" s="84" cm="1">
        <f t="array" aca="1" ref="B18:E18" ca="1">center_span($J$29,A18,$D$3,$D$2,$J$33:$O$79,G5:P5,0)</f>
        <v>2.1317824074074103</v>
      </c>
      <c r="C18" s="84">
        <f ca="1"/>
        <v>2.6234490740740766</v>
      </c>
      <c r="D18" s="84">
        <f ca="1"/>
        <v>-1.8875690401552597E-3</v>
      </c>
      <c r="E18" s="85">
        <f ca="1"/>
        <v>-2.4422152560083787E-2</v>
      </c>
    </row>
    <row r="19" spans="1:24" x14ac:dyDescent="0.25">
      <c r="A19" s="86" cm="1">
        <f t="array" aca="1" ref="A19" ca="1">center_span_root(J29,D3,D2,J33:O79,G5:P5,2,A18,A20)</f>
        <v>3.6995191872119904</v>
      </c>
      <c r="B19" s="87" cm="1">
        <f t="array" aca="1" ref="B19:E19" ca="1">center_span($J$29,A19,$D$3,$D$2,$J$33:$O$79,G5:P5,0)</f>
        <v>-0.40915625209770923</v>
      </c>
      <c r="C19" s="87">
        <f ca="1"/>
        <v>4.9075959065316646</v>
      </c>
      <c r="D19" s="88">
        <f ca="1"/>
        <v>-9.2112803495858486E-11</v>
      </c>
      <c r="E19" s="89">
        <f ca="1"/>
        <v>-5.7669252733121734E-2</v>
      </c>
    </row>
    <row r="20" spans="1:24" ht="15.75" thickBot="1" x14ac:dyDescent="0.3">
      <c r="A20" s="90">
        <v>10</v>
      </c>
      <c r="B20" s="91" cm="1">
        <f t="array" aca="1" ref="B20:E20" ca="1">center_span($J$29,A20,$D$3,$D$2,$J$33:$O$79,G5:P5,0)</f>
        <v>3.8493749999999958</v>
      </c>
      <c r="C20" s="91">
        <f ca="1"/>
        <v>-5.1604166666666487</v>
      </c>
      <c r="D20" s="91">
        <f ca="1"/>
        <v>-1.394217420510518E-3</v>
      </c>
      <c r="E20" s="92">
        <f ca="1"/>
        <v>-1.0436856247202364E-2</v>
      </c>
    </row>
    <row r="21" spans="1:24" ht="15.75" thickBot="1" x14ac:dyDescent="0.3"/>
    <row r="22" spans="1:24" x14ac:dyDescent="0.25">
      <c r="A22" s="79" t="s">
        <v>58</v>
      </c>
      <c r="B22" s="80">
        <v>9</v>
      </c>
      <c r="C22" s="52" t="s">
        <v>7</v>
      </c>
      <c r="D22" s="27">
        <f ca="1">Data!N10</f>
        <v>-9.4800925925925856</v>
      </c>
      <c r="E22" s="28" t="s">
        <v>61</v>
      </c>
    </row>
    <row r="23" spans="1:24" x14ac:dyDescent="0.25">
      <c r="A23" s="54"/>
      <c r="B23" s="81">
        <v>0</v>
      </c>
      <c r="C23" s="55" t="s">
        <v>7</v>
      </c>
      <c r="D23" s="30">
        <f ca="1">Data!N11</f>
        <v>0</v>
      </c>
      <c r="E23" s="31" t="s">
        <v>61</v>
      </c>
    </row>
    <row r="24" spans="1:24" x14ac:dyDescent="0.25">
      <c r="A24" s="54"/>
      <c r="B24" s="81">
        <v>0</v>
      </c>
      <c r="C24" s="55" t="s">
        <v>7</v>
      </c>
      <c r="D24" s="30">
        <f ca="1">Data!N12</f>
        <v>0</v>
      </c>
      <c r="E24" s="31" t="s">
        <v>61</v>
      </c>
    </row>
    <row r="25" spans="1:24" x14ac:dyDescent="0.25">
      <c r="A25" s="54"/>
      <c r="B25" s="81">
        <v>0</v>
      </c>
      <c r="C25" s="55" t="s">
        <v>7</v>
      </c>
      <c r="D25" s="30">
        <f ca="1">Data!N13</f>
        <v>0</v>
      </c>
      <c r="E25" s="31" t="s">
        <v>61</v>
      </c>
    </row>
    <row r="26" spans="1:24" ht="15.75" thickBot="1" x14ac:dyDescent="0.3">
      <c r="A26" s="62"/>
      <c r="B26" s="82">
        <v>0</v>
      </c>
      <c r="C26" s="76" t="s">
        <v>7</v>
      </c>
      <c r="D26" s="33">
        <f ca="1">Data!N14</f>
        <v>0</v>
      </c>
      <c r="E26" s="34" t="s">
        <v>61</v>
      </c>
      <c r="V26" s="1" t="s">
        <v>126</v>
      </c>
      <c r="W26" s="1" t="s">
        <v>127</v>
      </c>
    </row>
    <row r="27" spans="1:24" ht="15.75" thickBot="1" x14ac:dyDescent="0.3">
      <c r="A27" s="51" t="s">
        <v>5</v>
      </c>
      <c r="B27" s="52"/>
      <c r="C27" s="52"/>
      <c r="D27" s="52"/>
      <c r="E27" s="53" t="s">
        <v>126</v>
      </c>
      <c r="F27" s="53" t="s">
        <v>127</v>
      </c>
      <c r="G27" s="28"/>
      <c r="I27" s="51" t="s">
        <v>15</v>
      </c>
      <c r="J27" s="52"/>
      <c r="K27" s="69" t="s">
        <v>49</v>
      </c>
      <c r="L27" s="70" t="s">
        <v>128</v>
      </c>
      <c r="M27" s="52">
        <f>IF(AND(B29=0,L27="y",N29=0),1,0)</f>
        <v>0</v>
      </c>
      <c r="N27" s="52">
        <f>IF(AND(L27="y", B29=0),1,0)</f>
        <v>0</v>
      </c>
      <c r="O27" s="27">
        <f ca="1">Data!N15</f>
        <v>0</v>
      </c>
      <c r="P27" s="28" t="s">
        <v>62</v>
      </c>
      <c r="R27" s="51" t="s">
        <v>16</v>
      </c>
      <c r="S27" s="52"/>
      <c r="T27" s="52"/>
      <c r="U27" s="26" t="s">
        <v>116</v>
      </c>
      <c r="V27" s="47">
        <f ca="1">MAX(Data!D54:D80)</f>
        <v>0</v>
      </c>
      <c r="W27" s="47">
        <f ca="1">MIN(Data!D54:D80)</f>
        <v>0</v>
      </c>
      <c r="X27" s="28" t="s">
        <v>61</v>
      </c>
    </row>
    <row r="28" spans="1:24" x14ac:dyDescent="0.25">
      <c r="A28" s="54"/>
      <c r="B28" s="55"/>
      <c r="C28" s="55"/>
      <c r="D28" s="26" t="s">
        <v>116</v>
      </c>
      <c r="E28" s="47">
        <f ca="1">MAX(Data!D25:D51)</f>
        <v>0</v>
      </c>
      <c r="F28" s="47">
        <f ca="1">MIN(Data!D25:D51)</f>
        <v>0</v>
      </c>
      <c r="G28" s="28" t="s">
        <v>61</v>
      </c>
      <c r="I28" s="54"/>
      <c r="J28" s="55"/>
      <c r="K28" s="71" t="s">
        <v>50</v>
      </c>
      <c r="L28" s="72" t="s">
        <v>128</v>
      </c>
      <c r="M28" s="55">
        <f>IF(AND(S29=0,L28="y",N29=0),1,0)</f>
        <v>0</v>
      </c>
      <c r="N28" s="55">
        <f>IF(AND(S29=0,L28="y"),1,0)</f>
        <v>0</v>
      </c>
      <c r="O28" s="30">
        <f ca="1">Data!N16</f>
        <v>0</v>
      </c>
      <c r="P28" s="31" t="s">
        <v>62</v>
      </c>
      <c r="R28" s="54"/>
      <c r="S28" s="57"/>
      <c r="T28" s="55"/>
      <c r="U28" s="29" t="s">
        <v>117</v>
      </c>
      <c r="V28" s="48">
        <f ca="1">MAX(Data!E54:E80)</f>
        <v>0</v>
      </c>
      <c r="W28" s="48">
        <f ca="1">MIN(Data!E54:E80)</f>
        <v>0</v>
      </c>
      <c r="X28" s="31" t="s">
        <v>62</v>
      </c>
    </row>
    <row r="29" spans="1:24" x14ac:dyDescent="0.25">
      <c r="A29" s="54" t="s">
        <v>6</v>
      </c>
      <c r="B29" s="56">
        <v>0</v>
      </c>
      <c r="C29" s="55" t="s">
        <v>7</v>
      </c>
      <c r="D29" s="29" t="s">
        <v>117</v>
      </c>
      <c r="E29" s="48">
        <f ca="1">MAX(Data!E25:E51)</f>
        <v>0</v>
      </c>
      <c r="F29" s="48">
        <f ca="1">MIN(Data!E25:E51)</f>
        <v>0</v>
      </c>
      <c r="G29" s="31" t="s">
        <v>62</v>
      </c>
      <c r="I29" s="54" t="s">
        <v>6</v>
      </c>
      <c r="J29" s="56">
        <v>20</v>
      </c>
      <c r="K29" s="55" t="s">
        <v>7</v>
      </c>
      <c r="L29" s="55"/>
      <c r="M29" s="55"/>
      <c r="N29" s="55">
        <f>COUNTIF(B22:B26,"&lt;&gt;0")</f>
        <v>1</v>
      </c>
      <c r="O29" s="55"/>
      <c r="P29" s="31"/>
      <c r="R29" s="54" t="s">
        <v>6</v>
      </c>
      <c r="S29" s="56">
        <v>0</v>
      </c>
      <c r="T29" s="55" t="s">
        <v>7</v>
      </c>
      <c r="U29" s="29" t="s">
        <v>119</v>
      </c>
      <c r="V29" s="49">
        <f ca="1">MAX(Data!F54:F80)</f>
        <v>0</v>
      </c>
      <c r="W29" s="49">
        <f ca="1">MIN(Data!F54:F80)</f>
        <v>0</v>
      </c>
      <c r="X29" s="31" t="s">
        <v>120</v>
      </c>
    </row>
    <row r="30" spans="1:24" ht="15.75" thickBot="1" x14ac:dyDescent="0.3">
      <c r="A30" s="54"/>
      <c r="B30" s="55"/>
      <c r="C30" s="55"/>
      <c r="D30" s="29" t="s">
        <v>119</v>
      </c>
      <c r="E30" s="49">
        <f ca="1">MAX(Data!F25:F51)</f>
        <v>0</v>
      </c>
      <c r="F30" s="49">
        <f ca="1">MIN(Data!F25:F51)</f>
        <v>0</v>
      </c>
      <c r="G30" s="31" t="s">
        <v>120</v>
      </c>
      <c r="I30" s="54"/>
      <c r="J30" s="55"/>
      <c r="K30" s="71" t="s">
        <v>124</v>
      </c>
      <c r="L30" s="73" cm="1">
        <f t="array" aca="1" ref="L30" ca="1">center_span(Beam_Analysis!$J$29,0,Beam_Analysis!$D$3,Beam_Analysis!$D$2,Beam_Analysis!$J$33:$O$79,Beam_Analysis!$G$5:$P$5,5)+(-1*Data!D51)</f>
        <v>3.1192824074074101</v>
      </c>
      <c r="M30" s="55" t="s">
        <v>61</v>
      </c>
      <c r="N30" s="55"/>
      <c r="O30" s="55"/>
      <c r="P30" s="31"/>
      <c r="R30" s="54"/>
      <c r="S30" s="55"/>
      <c r="T30" s="55"/>
      <c r="U30" s="32" t="s">
        <v>118</v>
      </c>
      <c r="V30" s="50">
        <f ca="1">MAX(Data!G54:G80)</f>
        <v>0</v>
      </c>
      <c r="W30" s="50">
        <f ca="1">MIN(Data!G54:G80)</f>
        <v>0</v>
      </c>
      <c r="X30" s="34" t="s">
        <v>121</v>
      </c>
    </row>
    <row r="31" spans="1:24" ht="15.75" thickBot="1" x14ac:dyDescent="0.3">
      <c r="A31" s="54" t="s">
        <v>8</v>
      </c>
      <c r="B31" s="55"/>
      <c r="C31" s="55"/>
      <c r="D31" s="32" t="s">
        <v>118</v>
      </c>
      <c r="E31" s="50">
        <f ca="1">MAX(Data!G25:G51)</f>
        <v>0</v>
      </c>
      <c r="F31" s="50">
        <f ca="1">MIN(Data!G25:G51)</f>
        <v>0</v>
      </c>
      <c r="G31" s="34" t="s">
        <v>121</v>
      </c>
      <c r="I31" s="54" t="s">
        <v>8</v>
      </c>
      <c r="J31" s="55"/>
      <c r="K31" s="71" t="s">
        <v>125</v>
      </c>
      <c r="L31" s="73" cm="1">
        <f t="array" aca="1" ref="L31" ca="1">center_span(Beam_Analysis!$J$29,0,Beam_Analysis!$D$3,Beam_Analysis!$D$2,Beam_Analysis!$J$33:$O$79,Beam_Analysis!$G$5:$P$5,6)+Data!D54</f>
        <v>2.4006250000000033</v>
      </c>
      <c r="M31" s="55" t="s">
        <v>61</v>
      </c>
      <c r="N31" s="55"/>
      <c r="O31" s="55"/>
      <c r="P31" s="31"/>
      <c r="R31" s="54" t="s">
        <v>8</v>
      </c>
      <c r="S31" s="55"/>
      <c r="T31" s="55"/>
      <c r="U31" s="55"/>
      <c r="V31" s="55"/>
      <c r="W31" s="55"/>
      <c r="X31" s="31"/>
    </row>
    <row r="32" spans="1:24" ht="15.75" thickBot="1" x14ac:dyDescent="0.3">
      <c r="A32" s="54"/>
      <c r="B32" s="57" t="s">
        <v>9</v>
      </c>
      <c r="C32" s="57" t="s">
        <v>10</v>
      </c>
      <c r="D32" s="57" t="s">
        <v>11</v>
      </c>
      <c r="E32" s="57" t="s">
        <v>12</v>
      </c>
      <c r="F32" s="57" t="s">
        <v>13</v>
      </c>
      <c r="G32" s="58" t="s">
        <v>14</v>
      </c>
      <c r="I32" s="54"/>
      <c r="J32" s="57" t="s">
        <v>9</v>
      </c>
      <c r="K32" s="57" t="s">
        <v>10</v>
      </c>
      <c r="L32" s="57" t="s">
        <v>11</v>
      </c>
      <c r="M32" s="57" t="s">
        <v>12</v>
      </c>
      <c r="N32" s="57" t="s">
        <v>13</v>
      </c>
      <c r="O32" s="57" t="s">
        <v>14</v>
      </c>
      <c r="P32" s="31"/>
      <c r="R32" s="54"/>
      <c r="S32" s="57" t="s">
        <v>9</v>
      </c>
      <c r="T32" s="57" t="s">
        <v>10</v>
      </c>
      <c r="U32" s="57" t="s">
        <v>11</v>
      </c>
      <c r="V32" s="57" t="s">
        <v>12</v>
      </c>
      <c r="W32" s="57" t="s">
        <v>13</v>
      </c>
      <c r="X32" s="58" t="s">
        <v>14</v>
      </c>
    </row>
    <row r="33" spans="1:70" x14ac:dyDescent="0.25">
      <c r="A33" s="54">
        <v>1</v>
      </c>
      <c r="B33" s="35">
        <v>0.5</v>
      </c>
      <c r="C33" s="36">
        <v>0</v>
      </c>
      <c r="D33" s="36">
        <v>0</v>
      </c>
      <c r="E33" s="36">
        <v>5</v>
      </c>
      <c r="F33" s="37" t="s">
        <v>34</v>
      </c>
      <c r="G33" s="38" t="s">
        <v>18</v>
      </c>
      <c r="I33" s="54">
        <v>1</v>
      </c>
      <c r="J33" s="35">
        <v>1</v>
      </c>
      <c r="K33" s="36">
        <v>1</v>
      </c>
      <c r="L33" s="36">
        <v>0</v>
      </c>
      <c r="M33" s="36">
        <v>20</v>
      </c>
      <c r="N33" s="37" t="s">
        <v>34</v>
      </c>
      <c r="O33" s="38" t="s">
        <v>18</v>
      </c>
      <c r="P33" s="31"/>
      <c r="R33" s="54">
        <v>1</v>
      </c>
      <c r="S33" s="35">
        <v>1</v>
      </c>
      <c r="T33" s="36">
        <v>0</v>
      </c>
      <c r="U33" s="36">
        <v>5</v>
      </c>
      <c r="V33" s="36">
        <v>0</v>
      </c>
      <c r="W33" s="37" t="s">
        <v>32</v>
      </c>
      <c r="X33" s="38" t="s">
        <v>18</v>
      </c>
    </row>
    <row r="34" spans="1:70" x14ac:dyDescent="0.25">
      <c r="A34" s="54">
        <v>2</v>
      </c>
      <c r="B34" s="39">
        <v>0</v>
      </c>
      <c r="C34" s="40">
        <v>0</v>
      </c>
      <c r="D34" s="40">
        <v>0</v>
      </c>
      <c r="E34" s="40">
        <v>0</v>
      </c>
      <c r="F34" s="41" t="s">
        <v>36</v>
      </c>
      <c r="G34" s="42" t="s">
        <v>36</v>
      </c>
      <c r="I34" s="54">
        <v>2</v>
      </c>
      <c r="J34" s="39">
        <v>1</v>
      </c>
      <c r="K34" s="40">
        <v>0.5</v>
      </c>
      <c r="L34" s="40">
        <v>0</v>
      </c>
      <c r="M34" s="40">
        <v>20</v>
      </c>
      <c r="N34" s="41" t="s">
        <v>35</v>
      </c>
      <c r="O34" s="42" t="s">
        <v>22</v>
      </c>
      <c r="P34" s="31"/>
      <c r="R34" s="54">
        <v>2</v>
      </c>
      <c r="S34" s="39">
        <v>0</v>
      </c>
      <c r="T34" s="40">
        <v>0</v>
      </c>
      <c r="U34" s="40">
        <v>5</v>
      </c>
      <c r="V34" s="40">
        <v>0</v>
      </c>
      <c r="W34" s="41" t="s">
        <v>36</v>
      </c>
      <c r="X34" s="42" t="s">
        <v>36</v>
      </c>
    </row>
    <row r="35" spans="1:70" x14ac:dyDescent="0.25">
      <c r="A35" s="54">
        <v>3</v>
      </c>
      <c r="B35" s="39">
        <v>0</v>
      </c>
      <c r="C35" s="40">
        <v>0</v>
      </c>
      <c r="D35" s="40">
        <v>0</v>
      </c>
      <c r="E35" s="40">
        <v>0</v>
      </c>
      <c r="F35" s="41" t="s">
        <v>36</v>
      </c>
      <c r="G35" s="42" t="s">
        <v>36</v>
      </c>
      <c r="I35" s="54">
        <v>3</v>
      </c>
      <c r="J35" s="39">
        <v>0</v>
      </c>
      <c r="K35" s="40">
        <v>0</v>
      </c>
      <c r="L35" s="40">
        <v>0</v>
      </c>
      <c r="M35" s="40">
        <v>0</v>
      </c>
      <c r="N35" s="41" t="s">
        <v>36</v>
      </c>
      <c r="O35" s="42" t="s">
        <v>36</v>
      </c>
      <c r="P35" s="31"/>
      <c r="R35" s="54">
        <v>3</v>
      </c>
      <c r="S35" s="39">
        <v>0</v>
      </c>
      <c r="T35" s="40">
        <v>0</v>
      </c>
      <c r="U35" s="40">
        <v>5</v>
      </c>
      <c r="V35" s="40">
        <v>0</v>
      </c>
      <c r="W35" s="41" t="s">
        <v>36</v>
      </c>
      <c r="X35" s="42" t="s">
        <v>36</v>
      </c>
    </row>
    <row r="36" spans="1:70" x14ac:dyDescent="0.25">
      <c r="A36" s="54">
        <v>4</v>
      </c>
      <c r="B36" s="39">
        <v>0</v>
      </c>
      <c r="C36" s="40">
        <v>0</v>
      </c>
      <c r="D36" s="40">
        <v>0</v>
      </c>
      <c r="E36" s="40">
        <v>0</v>
      </c>
      <c r="F36" s="41" t="s">
        <v>36</v>
      </c>
      <c r="G36" s="42" t="s">
        <v>36</v>
      </c>
      <c r="I36" s="54">
        <v>4</v>
      </c>
      <c r="J36" s="39">
        <v>0</v>
      </c>
      <c r="K36" s="40">
        <v>0</v>
      </c>
      <c r="L36" s="40">
        <v>0</v>
      </c>
      <c r="M36" s="40">
        <v>0</v>
      </c>
      <c r="N36" s="41" t="s">
        <v>36</v>
      </c>
      <c r="O36" s="42" t="s">
        <v>36</v>
      </c>
      <c r="P36" s="31"/>
      <c r="R36" s="54">
        <v>4</v>
      </c>
      <c r="S36" s="39">
        <v>0</v>
      </c>
      <c r="T36" s="40">
        <v>0</v>
      </c>
      <c r="U36" s="40">
        <v>5</v>
      </c>
      <c r="V36" s="40">
        <v>0</v>
      </c>
      <c r="W36" s="41" t="s">
        <v>36</v>
      </c>
      <c r="X36" s="42" t="s">
        <v>36</v>
      </c>
      <c r="AE36" s="1"/>
    </row>
    <row r="37" spans="1:70" x14ac:dyDescent="0.25">
      <c r="A37" s="54">
        <v>5</v>
      </c>
      <c r="B37" s="39">
        <v>0</v>
      </c>
      <c r="C37" s="40">
        <v>0</v>
      </c>
      <c r="D37" s="40">
        <v>0</v>
      </c>
      <c r="E37" s="40">
        <v>0</v>
      </c>
      <c r="F37" s="41" t="s">
        <v>36</v>
      </c>
      <c r="G37" s="42" t="s">
        <v>36</v>
      </c>
      <c r="I37" s="54">
        <v>5</v>
      </c>
      <c r="J37" s="39">
        <v>0</v>
      </c>
      <c r="K37" s="40">
        <v>0</v>
      </c>
      <c r="L37" s="40">
        <v>0</v>
      </c>
      <c r="M37" s="40">
        <v>0</v>
      </c>
      <c r="N37" s="41" t="s">
        <v>36</v>
      </c>
      <c r="O37" s="42" t="s">
        <v>36</v>
      </c>
      <c r="P37" s="31"/>
      <c r="R37" s="54">
        <v>5</v>
      </c>
      <c r="S37" s="39">
        <v>0</v>
      </c>
      <c r="T37" s="40">
        <v>0</v>
      </c>
      <c r="U37" s="40">
        <v>5</v>
      </c>
      <c r="V37" s="40">
        <v>0</v>
      </c>
      <c r="W37" s="41" t="s">
        <v>36</v>
      </c>
      <c r="X37" s="42" t="s">
        <v>36</v>
      </c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</row>
    <row r="38" spans="1:70" x14ac:dyDescent="0.25">
      <c r="A38" s="54">
        <v>6</v>
      </c>
      <c r="B38" s="39">
        <v>0</v>
      </c>
      <c r="C38" s="40">
        <v>0</v>
      </c>
      <c r="D38" s="40">
        <v>0</v>
      </c>
      <c r="E38" s="40">
        <v>0</v>
      </c>
      <c r="F38" s="41" t="s">
        <v>36</v>
      </c>
      <c r="G38" s="42" t="s">
        <v>36</v>
      </c>
      <c r="I38" s="54">
        <v>6</v>
      </c>
      <c r="J38" s="39">
        <v>0</v>
      </c>
      <c r="K38" s="40">
        <v>0</v>
      </c>
      <c r="L38" s="40">
        <v>0</v>
      </c>
      <c r="M38" s="40">
        <v>0</v>
      </c>
      <c r="N38" s="41" t="s">
        <v>36</v>
      </c>
      <c r="O38" s="42" t="s">
        <v>36</v>
      </c>
      <c r="P38" s="31"/>
      <c r="R38" s="54">
        <v>6</v>
      </c>
      <c r="S38" s="39">
        <v>0</v>
      </c>
      <c r="T38" s="40">
        <v>0</v>
      </c>
      <c r="U38" s="40">
        <v>5</v>
      </c>
      <c r="V38" s="40">
        <v>0</v>
      </c>
      <c r="W38" s="41" t="s">
        <v>36</v>
      </c>
      <c r="X38" s="42" t="s">
        <v>36</v>
      </c>
    </row>
    <row r="39" spans="1:70" x14ac:dyDescent="0.25">
      <c r="A39" s="54">
        <v>7</v>
      </c>
      <c r="B39" s="39">
        <v>0</v>
      </c>
      <c r="C39" s="40">
        <v>0</v>
      </c>
      <c r="D39" s="40">
        <v>0</v>
      </c>
      <c r="E39" s="40">
        <v>0</v>
      </c>
      <c r="F39" s="41" t="s">
        <v>36</v>
      </c>
      <c r="G39" s="42" t="s">
        <v>36</v>
      </c>
      <c r="I39" s="54">
        <v>7</v>
      </c>
      <c r="J39" s="39">
        <v>0</v>
      </c>
      <c r="K39" s="40">
        <v>0</v>
      </c>
      <c r="L39" s="40">
        <v>0</v>
      </c>
      <c r="M39" s="40">
        <v>0</v>
      </c>
      <c r="N39" s="41" t="s">
        <v>36</v>
      </c>
      <c r="O39" s="42" t="s">
        <v>36</v>
      </c>
      <c r="P39" s="31"/>
      <c r="R39" s="54">
        <v>7</v>
      </c>
      <c r="S39" s="39">
        <v>0</v>
      </c>
      <c r="T39" s="40">
        <v>0</v>
      </c>
      <c r="U39" s="40">
        <v>5</v>
      </c>
      <c r="V39" s="40">
        <v>0</v>
      </c>
      <c r="W39" s="41" t="s">
        <v>36</v>
      </c>
      <c r="X39" s="42" t="s">
        <v>36</v>
      </c>
    </row>
    <row r="40" spans="1:70" x14ac:dyDescent="0.25">
      <c r="A40" s="54">
        <v>8</v>
      </c>
      <c r="B40" s="39">
        <v>0</v>
      </c>
      <c r="C40" s="40">
        <v>0</v>
      </c>
      <c r="D40" s="40">
        <v>0</v>
      </c>
      <c r="E40" s="40">
        <v>0</v>
      </c>
      <c r="F40" s="41" t="s">
        <v>36</v>
      </c>
      <c r="G40" s="42" t="s">
        <v>36</v>
      </c>
      <c r="I40" s="54">
        <v>8</v>
      </c>
      <c r="J40" s="39">
        <v>0</v>
      </c>
      <c r="K40" s="40">
        <v>0</v>
      </c>
      <c r="L40" s="40">
        <v>0</v>
      </c>
      <c r="M40" s="40">
        <v>0</v>
      </c>
      <c r="N40" s="41" t="s">
        <v>36</v>
      </c>
      <c r="O40" s="42" t="s">
        <v>36</v>
      </c>
      <c r="P40" s="31"/>
      <c r="R40" s="54">
        <v>8</v>
      </c>
      <c r="S40" s="39">
        <v>0</v>
      </c>
      <c r="T40" s="40">
        <v>0</v>
      </c>
      <c r="U40" s="40">
        <v>5</v>
      </c>
      <c r="V40" s="40">
        <v>0</v>
      </c>
      <c r="W40" s="41" t="s">
        <v>36</v>
      </c>
      <c r="X40" s="42" t="s">
        <v>36</v>
      </c>
    </row>
    <row r="41" spans="1:70" x14ac:dyDescent="0.25">
      <c r="A41" s="54">
        <v>9</v>
      </c>
      <c r="B41" s="39">
        <v>0</v>
      </c>
      <c r="C41" s="40">
        <v>0</v>
      </c>
      <c r="D41" s="40">
        <v>0</v>
      </c>
      <c r="E41" s="40">
        <v>0</v>
      </c>
      <c r="F41" s="41" t="s">
        <v>36</v>
      </c>
      <c r="G41" s="42" t="s">
        <v>36</v>
      </c>
      <c r="I41" s="54">
        <v>9</v>
      </c>
      <c r="J41" s="39">
        <v>0</v>
      </c>
      <c r="K41" s="40">
        <v>0</v>
      </c>
      <c r="L41" s="40">
        <v>0</v>
      </c>
      <c r="M41" s="40">
        <v>0</v>
      </c>
      <c r="N41" s="41" t="s">
        <v>36</v>
      </c>
      <c r="O41" s="42" t="s">
        <v>36</v>
      </c>
      <c r="P41" s="31"/>
      <c r="R41" s="54">
        <v>9</v>
      </c>
      <c r="S41" s="39">
        <v>0</v>
      </c>
      <c r="T41" s="40">
        <v>0</v>
      </c>
      <c r="U41" s="40">
        <v>5</v>
      </c>
      <c r="V41" s="40">
        <v>0</v>
      </c>
      <c r="W41" s="41" t="s">
        <v>36</v>
      </c>
      <c r="X41" s="42" t="s">
        <v>36</v>
      </c>
    </row>
    <row r="42" spans="1:70" ht="15.75" thickBot="1" x14ac:dyDescent="0.3">
      <c r="A42" s="54">
        <v>10</v>
      </c>
      <c r="B42" s="39">
        <v>0</v>
      </c>
      <c r="C42" s="40">
        <v>0</v>
      </c>
      <c r="D42" s="40">
        <v>0</v>
      </c>
      <c r="E42" s="40">
        <v>0</v>
      </c>
      <c r="F42" s="41" t="s">
        <v>36</v>
      </c>
      <c r="G42" s="42" t="s">
        <v>36</v>
      </c>
      <c r="I42" s="54">
        <v>10</v>
      </c>
      <c r="J42" s="39">
        <v>0</v>
      </c>
      <c r="K42" s="40">
        <v>0</v>
      </c>
      <c r="L42" s="40">
        <v>0</v>
      </c>
      <c r="M42" s="40">
        <v>0</v>
      </c>
      <c r="N42" s="41" t="s">
        <v>36</v>
      </c>
      <c r="O42" s="42" t="s">
        <v>36</v>
      </c>
      <c r="P42" s="31"/>
      <c r="R42" s="54">
        <v>10</v>
      </c>
      <c r="S42" s="39">
        <v>0</v>
      </c>
      <c r="T42" s="40">
        <v>0</v>
      </c>
      <c r="U42" s="40">
        <v>5</v>
      </c>
      <c r="V42" s="40">
        <v>0</v>
      </c>
      <c r="W42" s="41" t="s">
        <v>36</v>
      </c>
      <c r="X42" s="42" t="s">
        <v>36</v>
      </c>
    </row>
    <row r="43" spans="1:70" ht="15.75" thickBot="1" x14ac:dyDescent="0.3">
      <c r="A43" s="54">
        <v>11</v>
      </c>
      <c r="B43" s="39">
        <v>0</v>
      </c>
      <c r="C43" s="40">
        <v>0</v>
      </c>
      <c r="D43" s="40">
        <v>0</v>
      </c>
      <c r="E43" s="40">
        <v>0</v>
      </c>
      <c r="F43" s="41" t="s">
        <v>36</v>
      </c>
      <c r="G43" s="42" t="s">
        <v>36</v>
      </c>
      <c r="H43" s="68"/>
      <c r="I43" s="54">
        <v>11</v>
      </c>
      <c r="J43" s="39">
        <v>0</v>
      </c>
      <c r="K43" s="40">
        <v>0</v>
      </c>
      <c r="L43" s="40">
        <v>0</v>
      </c>
      <c r="M43" s="40">
        <v>0</v>
      </c>
      <c r="N43" s="41" t="s">
        <v>36</v>
      </c>
      <c r="O43" s="42" t="s">
        <v>36</v>
      </c>
      <c r="P43" s="31"/>
      <c r="R43" s="54">
        <v>11</v>
      </c>
      <c r="S43" s="39">
        <v>0</v>
      </c>
      <c r="T43" s="40">
        <v>0</v>
      </c>
      <c r="U43" s="40">
        <v>0</v>
      </c>
      <c r="V43" s="40">
        <v>0</v>
      </c>
      <c r="W43" s="41" t="s">
        <v>36</v>
      </c>
      <c r="X43" s="42" t="s">
        <v>36</v>
      </c>
    </row>
    <row r="44" spans="1:70" x14ac:dyDescent="0.25">
      <c r="A44" s="54">
        <v>12</v>
      </c>
      <c r="B44" s="39">
        <v>0</v>
      </c>
      <c r="C44" s="40">
        <v>0</v>
      </c>
      <c r="D44" s="40">
        <v>0</v>
      </c>
      <c r="E44" s="40">
        <v>0</v>
      </c>
      <c r="F44" s="41" t="s">
        <v>36</v>
      </c>
      <c r="G44" s="42" t="s">
        <v>36</v>
      </c>
      <c r="I44" s="54">
        <v>12</v>
      </c>
      <c r="J44" s="39">
        <v>0</v>
      </c>
      <c r="K44" s="40">
        <v>0</v>
      </c>
      <c r="L44" s="40">
        <v>0</v>
      </c>
      <c r="M44" s="40">
        <v>0</v>
      </c>
      <c r="N44" s="41" t="s">
        <v>36</v>
      </c>
      <c r="O44" s="42" t="s">
        <v>36</v>
      </c>
      <c r="P44" s="31"/>
      <c r="R44" s="54">
        <v>12</v>
      </c>
      <c r="S44" s="39">
        <v>0</v>
      </c>
      <c r="T44" s="40">
        <v>0</v>
      </c>
      <c r="U44" s="40">
        <v>0</v>
      </c>
      <c r="V44" s="40">
        <v>0</v>
      </c>
      <c r="W44" s="41" t="s">
        <v>36</v>
      </c>
      <c r="X44" s="42" t="s">
        <v>36</v>
      </c>
    </row>
    <row r="45" spans="1:70" x14ac:dyDescent="0.25">
      <c r="A45" s="54">
        <v>13</v>
      </c>
      <c r="B45" s="39">
        <v>0</v>
      </c>
      <c r="C45" s="40">
        <v>0</v>
      </c>
      <c r="D45" s="40">
        <v>0</v>
      </c>
      <c r="E45" s="40">
        <v>0</v>
      </c>
      <c r="F45" s="41" t="s">
        <v>36</v>
      </c>
      <c r="G45" s="42" t="s">
        <v>36</v>
      </c>
      <c r="I45" s="54">
        <v>13</v>
      </c>
      <c r="J45" s="39">
        <v>0</v>
      </c>
      <c r="K45" s="40">
        <v>0</v>
      </c>
      <c r="L45" s="40">
        <v>0</v>
      </c>
      <c r="M45" s="40">
        <v>0</v>
      </c>
      <c r="N45" s="41" t="s">
        <v>36</v>
      </c>
      <c r="O45" s="42" t="s">
        <v>36</v>
      </c>
      <c r="P45" s="31"/>
      <c r="R45" s="54">
        <v>13</v>
      </c>
      <c r="S45" s="39">
        <v>0</v>
      </c>
      <c r="T45" s="40">
        <v>0</v>
      </c>
      <c r="U45" s="40">
        <v>0</v>
      </c>
      <c r="V45" s="40">
        <v>0</v>
      </c>
      <c r="W45" s="41" t="s">
        <v>36</v>
      </c>
      <c r="X45" s="42" t="s">
        <v>36</v>
      </c>
    </row>
    <row r="46" spans="1:70" x14ac:dyDescent="0.25">
      <c r="A46" s="54">
        <v>14</v>
      </c>
      <c r="B46" s="39">
        <v>0</v>
      </c>
      <c r="C46" s="40">
        <v>0</v>
      </c>
      <c r="D46" s="40">
        <v>0</v>
      </c>
      <c r="E46" s="40">
        <v>0</v>
      </c>
      <c r="F46" s="41" t="s">
        <v>36</v>
      </c>
      <c r="G46" s="42" t="s">
        <v>36</v>
      </c>
      <c r="I46" s="54">
        <v>14</v>
      </c>
      <c r="J46" s="39">
        <v>0</v>
      </c>
      <c r="K46" s="40">
        <v>0</v>
      </c>
      <c r="L46" s="40">
        <v>0</v>
      </c>
      <c r="M46" s="40">
        <v>0</v>
      </c>
      <c r="N46" s="41" t="s">
        <v>36</v>
      </c>
      <c r="O46" s="42" t="s">
        <v>36</v>
      </c>
      <c r="P46" s="31"/>
      <c r="R46" s="54">
        <v>14</v>
      </c>
      <c r="S46" s="39">
        <v>0</v>
      </c>
      <c r="T46" s="40">
        <v>0</v>
      </c>
      <c r="U46" s="40">
        <v>0</v>
      </c>
      <c r="V46" s="40">
        <v>0</v>
      </c>
      <c r="W46" s="41" t="s">
        <v>36</v>
      </c>
      <c r="X46" s="42" t="s">
        <v>36</v>
      </c>
    </row>
    <row r="47" spans="1:70" x14ac:dyDescent="0.25">
      <c r="A47" s="54">
        <v>15</v>
      </c>
      <c r="B47" s="39">
        <v>0</v>
      </c>
      <c r="C47" s="40">
        <v>0</v>
      </c>
      <c r="D47" s="40">
        <v>0</v>
      </c>
      <c r="E47" s="40">
        <v>0</v>
      </c>
      <c r="F47" s="41" t="s">
        <v>36</v>
      </c>
      <c r="G47" s="42" t="s">
        <v>36</v>
      </c>
      <c r="I47" s="54">
        <v>15</v>
      </c>
      <c r="J47" s="39">
        <v>0</v>
      </c>
      <c r="K47" s="40">
        <v>0</v>
      </c>
      <c r="L47" s="40">
        <v>0</v>
      </c>
      <c r="M47" s="40">
        <v>0</v>
      </c>
      <c r="N47" s="41" t="s">
        <v>36</v>
      </c>
      <c r="O47" s="42" t="s">
        <v>36</v>
      </c>
      <c r="P47" s="31"/>
      <c r="R47" s="54">
        <v>15</v>
      </c>
      <c r="S47" s="39">
        <v>0</v>
      </c>
      <c r="T47" s="40">
        <v>0</v>
      </c>
      <c r="U47" s="40">
        <v>0</v>
      </c>
      <c r="V47" s="40">
        <v>0</v>
      </c>
      <c r="W47" s="41" t="s">
        <v>36</v>
      </c>
      <c r="X47" s="42" t="s">
        <v>36</v>
      </c>
    </row>
    <row r="48" spans="1:70" x14ac:dyDescent="0.25">
      <c r="A48" s="54">
        <v>16</v>
      </c>
      <c r="B48" s="39">
        <v>0</v>
      </c>
      <c r="C48" s="40">
        <v>0</v>
      </c>
      <c r="D48" s="40">
        <v>0</v>
      </c>
      <c r="E48" s="40">
        <v>0</v>
      </c>
      <c r="F48" s="41" t="s">
        <v>36</v>
      </c>
      <c r="G48" s="42" t="s">
        <v>36</v>
      </c>
      <c r="I48" s="54">
        <v>16</v>
      </c>
      <c r="J48" s="39">
        <v>0</v>
      </c>
      <c r="K48" s="40">
        <v>0</v>
      </c>
      <c r="L48" s="40">
        <v>0</v>
      </c>
      <c r="M48" s="40">
        <v>0</v>
      </c>
      <c r="N48" s="41" t="s">
        <v>36</v>
      </c>
      <c r="O48" s="42" t="s">
        <v>36</v>
      </c>
      <c r="P48" s="31"/>
      <c r="R48" s="54">
        <v>16</v>
      </c>
      <c r="S48" s="39">
        <v>0</v>
      </c>
      <c r="T48" s="40">
        <v>0</v>
      </c>
      <c r="U48" s="40">
        <v>0</v>
      </c>
      <c r="V48" s="40">
        <v>0</v>
      </c>
      <c r="W48" s="41" t="s">
        <v>36</v>
      </c>
      <c r="X48" s="42" t="s">
        <v>36</v>
      </c>
    </row>
    <row r="49" spans="1:24" x14ac:dyDescent="0.25">
      <c r="A49" s="54">
        <v>17</v>
      </c>
      <c r="B49" s="39">
        <v>0</v>
      </c>
      <c r="C49" s="40">
        <v>0</v>
      </c>
      <c r="D49" s="40">
        <v>0</v>
      </c>
      <c r="E49" s="40">
        <v>0</v>
      </c>
      <c r="F49" s="41" t="s">
        <v>36</v>
      </c>
      <c r="G49" s="42" t="s">
        <v>36</v>
      </c>
      <c r="I49" s="54">
        <v>17</v>
      </c>
      <c r="J49" s="39">
        <v>0</v>
      </c>
      <c r="K49" s="40">
        <v>0</v>
      </c>
      <c r="L49" s="40">
        <v>0</v>
      </c>
      <c r="M49" s="40">
        <v>0</v>
      </c>
      <c r="N49" s="41" t="s">
        <v>36</v>
      </c>
      <c r="O49" s="42" t="s">
        <v>36</v>
      </c>
      <c r="P49" s="31"/>
      <c r="R49" s="54">
        <v>17</v>
      </c>
      <c r="S49" s="39">
        <v>0</v>
      </c>
      <c r="T49" s="40">
        <v>0</v>
      </c>
      <c r="U49" s="40">
        <v>0</v>
      </c>
      <c r="V49" s="40">
        <v>0</v>
      </c>
      <c r="W49" s="41" t="s">
        <v>36</v>
      </c>
      <c r="X49" s="42" t="s">
        <v>36</v>
      </c>
    </row>
    <row r="50" spans="1:24" x14ac:dyDescent="0.25">
      <c r="A50" s="54">
        <v>18</v>
      </c>
      <c r="B50" s="39">
        <v>0</v>
      </c>
      <c r="C50" s="40">
        <v>0</v>
      </c>
      <c r="D50" s="40">
        <v>0</v>
      </c>
      <c r="E50" s="40">
        <v>0</v>
      </c>
      <c r="F50" s="41" t="s">
        <v>36</v>
      </c>
      <c r="G50" s="42" t="s">
        <v>36</v>
      </c>
      <c r="I50" s="54">
        <v>18</v>
      </c>
      <c r="J50" s="39">
        <v>0</v>
      </c>
      <c r="K50" s="40">
        <v>0</v>
      </c>
      <c r="L50" s="40">
        <v>0</v>
      </c>
      <c r="M50" s="40">
        <v>0</v>
      </c>
      <c r="N50" s="41" t="s">
        <v>36</v>
      </c>
      <c r="O50" s="42" t="s">
        <v>36</v>
      </c>
      <c r="P50" s="31"/>
      <c r="R50" s="54">
        <v>18</v>
      </c>
      <c r="S50" s="39">
        <v>0</v>
      </c>
      <c r="T50" s="40">
        <v>0</v>
      </c>
      <c r="U50" s="40">
        <v>0</v>
      </c>
      <c r="V50" s="40">
        <v>0</v>
      </c>
      <c r="W50" s="41" t="s">
        <v>36</v>
      </c>
      <c r="X50" s="42" t="s">
        <v>36</v>
      </c>
    </row>
    <row r="51" spans="1:24" x14ac:dyDescent="0.25">
      <c r="A51" s="54">
        <v>19</v>
      </c>
      <c r="B51" s="39">
        <v>0</v>
      </c>
      <c r="C51" s="40">
        <v>0</v>
      </c>
      <c r="D51" s="40">
        <v>0</v>
      </c>
      <c r="E51" s="40">
        <v>0</v>
      </c>
      <c r="F51" s="41" t="s">
        <v>36</v>
      </c>
      <c r="G51" s="42" t="s">
        <v>36</v>
      </c>
      <c r="I51" s="54">
        <v>19</v>
      </c>
      <c r="J51" s="39">
        <v>0</v>
      </c>
      <c r="K51" s="40">
        <v>0</v>
      </c>
      <c r="L51" s="40">
        <v>0</v>
      </c>
      <c r="M51" s="40">
        <v>0</v>
      </c>
      <c r="N51" s="41" t="s">
        <v>36</v>
      </c>
      <c r="O51" s="42" t="s">
        <v>36</v>
      </c>
      <c r="P51" s="31"/>
      <c r="R51" s="54">
        <v>19</v>
      </c>
      <c r="S51" s="39">
        <v>0</v>
      </c>
      <c r="T51" s="40">
        <v>0</v>
      </c>
      <c r="U51" s="40">
        <v>0</v>
      </c>
      <c r="V51" s="40">
        <v>0</v>
      </c>
      <c r="W51" s="41" t="s">
        <v>36</v>
      </c>
      <c r="X51" s="42" t="s">
        <v>36</v>
      </c>
    </row>
    <row r="52" spans="1:24" ht="15.75" thickBot="1" x14ac:dyDescent="0.3">
      <c r="A52" s="54">
        <v>20</v>
      </c>
      <c r="B52" s="43">
        <v>0</v>
      </c>
      <c r="C52" s="44">
        <v>0</v>
      </c>
      <c r="D52" s="44">
        <v>0</v>
      </c>
      <c r="E52" s="44">
        <v>0</v>
      </c>
      <c r="F52" s="45" t="s">
        <v>36</v>
      </c>
      <c r="G52" s="46" t="s">
        <v>36</v>
      </c>
      <c r="I52" s="54">
        <v>20</v>
      </c>
      <c r="J52" s="43">
        <v>0</v>
      </c>
      <c r="K52" s="44">
        <v>0</v>
      </c>
      <c r="L52" s="44">
        <v>0</v>
      </c>
      <c r="M52" s="44">
        <v>0</v>
      </c>
      <c r="N52" s="45" t="s">
        <v>36</v>
      </c>
      <c r="O52" s="46" t="s">
        <v>36</v>
      </c>
      <c r="P52" s="31"/>
      <c r="R52" s="54">
        <v>20</v>
      </c>
      <c r="S52" s="43">
        <v>0</v>
      </c>
      <c r="T52" s="44">
        <v>0</v>
      </c>
      <c r="U52" s="44">
        <v>0</v>
      </c>
      <c r="V52" s="44">
        <v>0</v>
      </c>
      <c r="W52" s="45" t="s">
        <v>36</v>
      </c>
      <c r="X52" s="46" t="s">
        <v>36</v>
      </c>
    </row>
    <row r="53" spans="1:24" x14ac:dyDescent="0.25">
      <c r="A53" s="54">
        <v>21</v>
      </c>
      <c r="B53" s="22" cm="1">
        <f t="array" aca="1" ref="B53" ca="1">center_span(J29,0,D3,D2,J33:O79,G5:P5,3)</f>
        <v>-2.1123096730855523E-3</v>
      </c>
      <c r="C53" s="59">
        <v>0</v>
      </c>
      <c r="D53" s="60">
        <f>$B$29</f>
        <v>0</v>
      </c>
      <c r="E53" s="59">
        <v>0</v>
      </c>
      <c r="F53" s="22" t="s">
        <v>65</v>
      </c>
      <c r="G53" s="61" t="s">
        <v>63</v>
      </c>
      <c r="I53" s="54">
        <v>21</v>
      </c>
      <c r="J53" s="74" cm="1">
        <f t="array" ref="J53">left_cantilever_analysis(B29,B29,D3,D2,B33:G52,Load_Combos!B3:K3,2)</f>
        <v>0</v>
      </c>
      <c r="K53" s="74">
        <v>0</v>
      </c>
      <c r="L53" s="74">
        <v>0</v>
      </c>
      <c r="M53" s="74">
        <v>0</v>
      </c>
      <c r="N53" s="74" t="s">
        <v>33</v>
      </c>
      <c r="O53" s="74" t="s">
        <v>18</v>
      </c>
      <c r="P53" s="31"/>
      <c r="R53" s="54">
        <v>21</v>
      </c>
      <c r="S53" s="22" cm="1">
        <f t="array" aca="1" ref="S53" ca="1">center_span(J29,J29,D3,D2,J33:O79,G5:P5,3)</f>
        <v>2.8427955665024651E-3</v>
      </c>
      <c r="T53" s="59">
        <v>0</v>
      </c>
      <c r="U53" s="59">
        <v>0</v>
      </c>
      <c r="V53" s="59">
        <v>0</v>
      </c>
      <c r="W53" s="22" t="s">
        <v>65</v>
      </c>
      <c r="X53" s="61" t="s">
        <v>63</v>
      </c>
    </row>
    <row r="54" spans="1:24" ht="15.75" thickBot="1" x14ac:dyDescent="0.3">
      <c r="A54" s="62"/>
      <c r="B54" s="63"/>
      <c r="C54" s="64"/>
      <c r="D54" s="65"/>
      <c r="E54" s="64"/>
      <c r="F54" s="66"/>
      <c r="G54" s="67"/>
      <c r="I54" s="54">
        <v>22</v>
      </c>
      <c r="J54" s="74" cm="1">
        <f t="array" ref="J54">right_cantilever_analysis(S29,0,D3,D2,S33:X52,Load_Combos!B3:K3,2)*-1</f>
        <v>0</v>
      </c>
      <c r="K54" s="74">
        <v>0</v>
      </c>
      <c r="L54" s="75">
        <f>$J$29</f>
        <v>20</v>
      </c>
      <c r="M54" s="74">
        <v>0</v>
      </c>
      <c r="N54" s="74" t="s">
        <v>33</v>
      </c>
      <c r="O54" s="74" t="s">
        <v>18</v>
      </c>
      <c r="P54" s="31"/>
      <c r="R54" s="77"/>
      <c r="S54" s="66"/>
      <c r="T54" s="64"/>
      <c r="U54" s="64"/>
      <c r="V54" s="64"/>
      <c r="W54" s="66"/>
      <c r="X54" s="78"/>
    </row>
    <row r="55" spans="1:24" x14ac:dyDescent="0.25">
      <c r="B55" s="13"/>
      <c r="C55" s="14"/>
      <c r="D55" s="15"/>
      <c r="E55" s="14"/>
      <c r="F55" s="5"/>
      <c r="G55" s="13"/>
      <c r="I55" s="54">
        <v>23</v>
      </c>
      <c r="J55" s="74" cm="1">
        <f t="array" ref="J55">left_cantilever_analysis(B29,B29,D3,D2,B33:G52,Load_Combos!B4:K4,2)</f>
        <v>0</v>
      </c>
      <c r="K55" s="74">
        <v>0</v>
      </c>
      <c r="L55" s="74">
        <v>0</v>
      </c>
      <c r="M55" s="74">
        <v>0</v>
      </c>
      <c r="N55" s="74" t="s">
        <v>33</v>
      </c>
      <c r="O55" s="74" t="s">
        <v>22</v>
      </c>
      <c r="P55" s="31"/>
      <c r="Q55" s="13"/>
      <c r="R55" s="5"/>
      <c r="S55" s="14"/>
      <c r="T55" s="14"/>
      <c r="U55" s="14"/>
      <c r="V55" s="5"/>
      <c r="W55" s="5"/>
    </row>
    <row r="56" spans="1:24" x14ac:dyDescent="0.25">
      <c r="B56" s="13"/>
      <c r="C56" s="14"/>
      <c r="D56" s="15"/>
      <c r="E56" s="14"/>
      <c r="F56" s="5"/>
      <c r="G56" s="13"/>
      <c r="I56" s="54">
        <v>24</v>
      </c>
      <c r="J56" s="74" cm="1">
        <f t="array" ref="J56">right_cantilever_analysis(S29,0,D3,D2,S33:X52,Load_Combos!B4:K4,2)*-1</f>
        <v>0</v>
      </c>
      <c r="K56" s="74">
        <v>0</v>
      </c>
      <c r="L56" s="75">
        <f>$J$29</f>
        <v>20</v>
      </c>
      <c r="M56" s="74">
        <v>0</v>
      </c>
      <c r="N56" s="74" t="s">
        <v>33</v>
      </c>
      <c r="O56" s="74" t="s">
        <v>22</v>
      </c>
      <c r="P56" s="31"/>
      <c r="Q56" s="13"/>
      <c r="R56" s="5"/>
      <c r="S56" s="14"/>
      <c r="T56" s="14"/>
      <c r="U56" s="14"/>
      <c r="V56" s="5"/>
      <c r="W56" s="5"/>
    </row>
    <row r="57" spans="1:24" x14ac:dyDescent="0.25">
      <c r="B57" s="13"/>
      <c r="C57" s="14"/>
      <c r="D57" s="15"/>
      <c r="E57" s="14"/>
      <c r="F57" s="5"/>
      <c r="G57" s="13"/>
      <c r="I57" s="54">
        <v>25</v>
      </c>
      <c r="J57" s="74" cm="1">
        <f t="array" ref="J57">left_cantilever_analysis(B29,B29,D3,D2,B33:G52,Load_Combos!B5:K5,2)</f>
        <v>0</v>
      </c>
      <c r="K57" s="74">
        <v>0</v>
      </c>
      <c r="L57" s="74">
        <v>0</v>
      </c>
      <c r="M57" s="74">
        <v>0</v>
      </c>
      <c r="N57" s="74" t="s">
        <v>33</v>
      </c>
      <c r="O57" s="74" t="s">
        <v>23</v>
      </c>
      <c r="P57" s="31"/>
      <c r="Q57" s="13"/>
      <c r="R57" s="5"/>
      <c r="S57" s="14"/>
      <c r="T57" s="14"/>
      <c r="U57" s="14"/>
      <c r="V57" s="5"/>
      <c r="W57" s="5"/>
    </row>
    <row r="58" spans="1:24" x14ac:dyDescent="0.25">
      <c r="B58" s="13"/>
      <c r="C58" s="14"/>
      <c r="D58" s="15"/>
      <c r="E58" s="14"/>
      <c r="F58" s="5"/>
      <c r="G58" s="13"/>
      <c r="I58" s="54">
        <v>26</v>
      </c>
      <c r="J58" s="74" cm="1">
        <f t="array" ref="J58">right_cantilever_analysis(S29,0,D3,D2,S33:X52,Load_Combos!B5:K5,2)*-1</f>
        <v>0</v>
      </c>
      <c r="K58" s="74">
        <v>0</v>
      </c>
      <c r="L58" s="75">
        <f>$J$29</f>
        <v>20</v>
      </c>
      <c r="M58" s="74">
        <v>0</v>
      </c>
      <c r="N58" s="74" t="s">
        <v>33</v>
      </c>
      <c r="O58" s="74" t="s">
        <v>23</v>
      </c>
      <c r="P58" s="31"/>
      <c r="Q58" s="13"/>
      <c r="R58" s="5"/>
      <c r="S58" s="14"/>
      <c r="T58" s="14"/>
      <c r="U58" s="14"/>
      <c r="V58" s="5"/>
      <c r="W58" s="5"/>
    </row>
    <row r="59" spans="1:24" x14ac:dyDescent="0.25">
      <c r="B59" s="13"/>
      <c r="C59" s="14"/>
      <c r="D59" s="15"/>
      <c r="E59" s="14"/>
      <c r="F59" s="5"/>
      <c r="G59" s="13"/>
      <c r="I59" s="54">
        <v>27</v>
      </c>
      <c r="J59" s="74" cm="1">
        <f t="array" ref="J59">left_cantilever_analysis(B29,B29,D3,D2,B33:G52,Load_Combos!B6:K6,2)</f>
        <v>0</v>
      </c>
      <c r="K59" s="74">
        <v>0</v>
      </c>
      <c r="L59" s="74">
        <v>0</v>
      </c>
      <c r="M59" s="74">
        <v>0</v>
      </c>
      <c r="N59" s="74" t="s">
        <v>33</v>
      </c>
      <c r="O59" s="74" t="s">
        <v>24</v>
      </c>
      <c r="P59" s="31"/>
      <c r="Q59" s="13"/>
      <c r="R59" s="5"/>
      <c r="S59" s="14"/>
      <c r="T59" s="14"/>
      <c r="U59" s="14"/>
      <c r="V59" s="5"/>
      <c r="W59" s="5"/>
    </row>
    <row r="60" spans="1:24" x14ac:dyDescent="0.25">
      <c r="B60" s="13"/>
      <c r="C60" s="14"/>
      <c r="D60" s="15"/>
      <c r="E60" s="14"/>
      <c r="F60" s="5"/>
      <c r="G60" s="13"/>
      <c r="I60" s="54">
        <v>28</v>
      </c>
      <c r="J60" s="74" cm="1">
        <f t="array" ref="J60">right_cantilever_analysis(S29,0,D3,D2,S33:X52,Load_Combos!B6:K6,2)*-1</f>
        <v>0</v>
      </c>
      <c r="K60" s="74">
        <v>0</v>
      </c>
      <c r="L60" s="75">
        <f>$J$29</f>
        <v>20</v>
      </c>
      <c r="M60" s="74">
        <v>0</v>
      </c>
      <c r="N60" s="74" t="s">
        <v>33</v>
      </c>
      <c r="O60" s="74" t="s">
        <v>24</v>
      </c>
      <c r="P60" s="31"/>
      <c r="Q60" s="13"/>
      <c r="R60" s="5"/>
      <c r="S60" s="14"/>
      <c r="T60" s="14"/>
      <c r="U60" s="14"/>
      <c r="V60" s="5"/>
      <c r="W60" s="5"/>
    </row>
    <row r="61" spans="1:24" x14ac:dyDescent="0.25">
      <c r="B61" s="13"/>
      <c r="C61" s="14"/>
      <c r="D61" s="15"/>
      <c r="E61" s="14"/>
      <c r="F61" s="5"/>
      <c r="G61" s="13"/>
      <c r="I61" s="54">
        <v>29</v>
      </c>
      <c r="J61" s="74" cm="1">
        <f t="array" ref="J61">left_cantilever_analysis(B29,B29,D3,D2,B33:G52,Load_Combos!B7:K7,2)</f>
        <v>0</v>
      </c>
      <c r="K61" s="74">
        <v>0</v>
      </c>
      <c r="L61" s="74">
        <v>0</v>
      </c>
      <c r="M61" s="74">
        <v>0</v>
      </c>
      <c r="N61" s="74" t="s">
        <v>33</v>
      </c>
      <c r="O61" s="74" t="s">
        <v>17</v>
      </c>
      <c r="P61" s="31"/>
      <c r="Q61" s="13"/>
      <c r="R61" s="5"/>
      <c r="S61" s="14"/>
      <c r="T61" s="14"/>
      <c r="U61" s="14"/>
      <c r="V61" s="5"/>
      <c r="W61" s="5"/>
    </row>
    <row r="62" spans="1:24" x14ac:dyDescent="0.25">
      <c r="B62" s="13"/>
      <c r="C62" s="14"/>
      <c r="D62" s="15"/>
      <c r="E62" s="14"/>
      <c r="F62" s="5"/>
      <c r="G62" s="13"/>
      <c r="I62" s="54">
        <v>30</v>
      </c>
      <c r="J62" s="74" cm="1">
        <f t="array" ref="J62">right_cantilever_analysis(S29,0,D3,D2,S33:X52,Load_Combos!B7:K7,2)*-1</f>
        <v>0</v>
      </c>
      <c r="K62" s="74">
        <v>0</v>
      </c>
      <c r="L62" s="75">
        <f>$J$29</f>
        <v>20</v>
      </c>
      <c r="M62" s="74">
        <v>0</v>
      </c>
      <c r="N62" s="74" t="s">
        <v>33</v>
      </c>
      <c r="O62" s="74" t="s">
        <v>17</v>
      </c>
      <c r="P62" s="31"/>
      <c r="Q62" s="13"/>
      <c r="R62" s="5"/>
      <c r="S62" s="14"/>
      <c r="T62" s="14"/>
      <c r="U62" s="14"/>
      <c r="V62" s="5"/>
      <c r="W62" s="5"/>
    </row>
    <row r="63" spans="1:24" x14ac:dyDescent="0.25">
      <c r="I63" s="54">
        <v>31</v>
      </c>
      <c r="J63" s="74" cm="1">
        <f t="array" ref="J63">left_cantilever_analysis(B29,B29,D3,D2,B33:G52,Load_Combos!B8:K8,2)</f>
        <v>0</v>
      </c>
      <c r="K63" s="74">
        <v>0</v>
      </c>
      <c r="L63" s="74">
        <v>0</v>
      </c>
      <c r="M63" s="74">
        <v>0</v>
      </c>
      <c r="N63" s="74" t="s">
        <v>33</v>
      </c>
      <c r="O63" s="74" t="s">
        <v>25</v>
      </c>
      <c r="P63" s="31"/>
    </row>
    <row r="64" spans="1:24" x14ac:dyDescent="0.25">
      <c r="I64" s="54">
        <v>32</v>
      </c>
      <c r="J64" s="74" cm="1">
        <f t="array" ref="J64">right_cantilever_analysis(S29,0,D3,D2,S33:X52,Load_Combos!B8:K8,2)*-1</f>
        <v>0</v>
      </c>
      <c r="K64" s="74">
        <v>0</v>
      </c>
      <c r="L64" s="75">
        <f>$J$29</f>
        <v>20</v>
      </c>
      <c r="M64" s="74">
        <v>0</v>
      </c>
      <c r="N64" s="74" t="s">
        <v>33</v>
      </c>
      <c r="O64" s="74" t="s">
        <v>25</v>
      </c>
      <c r="P64" s="31"/>
    </row>
    <row r="65" spans="9:70" x14ac:dyDescent="0.25">
      <c r="I65" s="54">
        <v>33</v>
      </c>
      <c r="J65" s="74" cm="1">
        <f t="array" ref="J65">left_cantilever_analysis(B29,B29,D3,D2,B33:G52,Load_Combos!B9:K9,2)</f>
        <v>0</v>
      </c>
      <c r="K65" s="74">
        <v>0</v>
      </c>
      <c r="L65" s="74">
        <v>0</v>
      </c>
      <c r="M65" s="74">
        <v>0</v>
      </c>
      <c r="N65" s="74" t="s">
        <v>33</v>
      </c>
      <c r="O65" s="74" t="s">
        <v>26</v>
      </c>
      <c r="P65" s="31"/>
    </row>
    <row r="66" spans="9:70" x14ac:dyDescent="0.25">
      <c r="I66" s="54">
        <v>34</v>
      </c>
      <c r="J66" s="74" cm="1">
        <f t="array" ref="J66">right_cantilever_analysis(S29,0,D3,D2,S33:X52,Load_Combos!B9:K9,2)*-1</f>
        <v>0</v>
      </c>
      <c r="K66" s="74">
        <v>0</v>
      </c>
      <c r="L66" s="75">
        <f>$J$29</f>
        <v>20</v>
      </c>
      <c r="M66" s="74">
        <v>0</v>
      </c>
      <c r="N66" s="74" t="s">
        <v>33</v>
      </c>
      <c r="O66" s="74" t="s">
        <v>26</v>
      </c>
      <c r="P66" s="31"/>
    </row>
    <row r="67" spans="9:70" x14ac:dyDescent="0.25">
      <c r="I67" s="54">
        <v>35</v>
      </c>
      <c r="J67" s="74" cm="1">
        <f t="array" ref="J67">left_cantilever_analysis(B29,B29,D3,D2,B33:G52,Load_Combos!B10:K10,2)</f>
        <v>0</v>
      </c>
      <c r="K67" s="74">
        <v>0</v>
      </c>
      <c r="L67" s="74">
        <v>0</v>
      </c>
      <c r="M67" s="74">
        <v>0</v>
      </c>
      <c r="N67" s="74" t="s">
        <v>33</v>
      </c>
      <c r="O67" s="74" t="s">
        <v>27</v>
      </c>
      <c r="P67" s="31"/>
    </row>
    <row r="68" spans="9:70" x14ac:dyDescent="0.25">
      <c r="I68" s="54">
        <v>36</v>
      </c>
      <c r="J68" s="74" cm="1">
        <f t="array" ref="J68">right_cantilever_analysis(S29,0,D3,D2,S33:X52,Load_Combos!B10:K10,2)*-1</f>
        <v>0</v>
      </c>
      <c r="K68" s="74">
        <v>0</v>
      </c>
      <c r="L68" s="75">
        <f>$J$29</f>
        <v>20</v>
      </c>
      <c r="M68" s="74">
        <v>0</v>
      </c>
      <c r="N68" s="74" t="s">
        <v>33</v>
      </c>
      <c r="O68" s="74" t="s">
        <v>27</v>
      </c>
      <c r="P68" s="31"/>
      <c r="AE68" s="1"/>
    </row>
    <row r="69" spans="9:70" x14ac:dyDescent="0.25">
      <c r="I69" s="54">
        <v>37</v>
      </c>
      <c r="J69" s="74" cm="1">
        <f t="array" ref="J69">left_cantilever_analysis(B29,B29,D3,D2,B33:G52,Load_Combos!B11:K11,2)</f>
        <v>0</v>
      </c>
      <c r="K69" s="74">
        <v>0</v>
      </c>
      <c r="L69" s="74">
        <v>0</v>
      </c>
      <c r="M69" s="74">
        <v>0</v>
      </c>
      <c r="N69" s="74" t="s">
        <v>33</v>
      </c>
      <c r="O69" s="74" t="s">
        <v>28</v>
      </c>
      <c r="P69" s="3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</row>
    <row r="70" spans="9:70" x14ac:dyDescent="0.25">
      <c r="I70" s="54">
        <v>38</v>
      </c>
      <c r="J70" s="74" cm="1">
        <f t="array" ref="J70">right_cantilever_analysis(S29,0,D3,D2,S33:X52,Load_Combos!B11:K11,2)*-1</f>
        <v>0</v>
      </c>
      <c r="K70" s="74">
        <v>0</v>
      </c>
      <c r="L70" s="75">
        <f>$J$29</f>
        <v>20</v>
      </c>
      <c r="M70" s="74">
        <v>0</v>
      </c>
      <c r="N70" s="74" t="s">
        <v>33</v>
      </c>
      <c r="O70" s="74" t="s">
        <v>28</v>
      </c>
      <c r="P70" s="31"/>
    </row>
    <row r="71" spans="9:70" x14ac:dyDescent="0.25">
      <c r="I71" s="54">
        <v>39</v>
      </c>
      <c r="J71" s="74" cm="1">
        <f t="array" ref="J71">left_cantilever_analysis(B29,B29,D3,D2,B33:G52,Load_Combos!B12:K12,2)</f>
        <v>0</v>
      </c>
      <c r="K71" s="74">
        <v>0</v>
      </c>
      <c r="L71" s="74">
        <v>0</v>
      </c>
      <c r="M71" s="74">
        <v>0</v>
      </c>
      <c r="N71" s="74" t="s">
        <v>33</v>
      </c>
      <c r="O71" s="74" t="s">
        <v>29</v>
      </c>
      <c r="P71" s="31"/>
    </row>
    <row r="72" spans="9:70" x14ac:dyDescent="0.25">
      <c r="I72" s="54">
        <v>40</v>
      </c>
      <c r="J72" s="74" cm="1">
        <f t="array" ref="J72">right_cantilever_analysis(S29,0,D3,D2,S33:X52,Load_Combos!B12:K12,2)*-1</f>
        <v>0</v>
      </c>
      <c r="K72" s="74">
        <v>0</v>
      </c>
      <c r="L72" s="75">
        <f>$J$29</f>
        <v>20</v>
      </c>
      <c r="M72" s="74">
        <v>0</v>
      </c>
      <c r="N72" s="74" t="s">
        <v>33</v>
      </c>
      <c r="O72" s="74" t="s">
        <v>29</v>
      </c>
      <c r="P72" s="31"/>
    </row>
    <row r="73" spans="9:70" x14ac:dyDescent="0.25">
      <c r="I73" s="54">
        <v>41</v>
      </c>
      <c r="J73" s="59">
        <f ca="1">D22</f>
        <v>-9.4800925925925856</v>
      </c>
      <c r="K73" s="22">
        <v>0</v>
      </c>
      <c r="L73" s="22">
        <f>B22</f>
        <v>9</v>
      </c>
      <c r="M73" s="22">
        <v>0</v>
      </c>
      <c r="N73" s="22" t="s">
        <v>32</v>
      </c>
      <c r="O73" s="22" t="s">
        <v>63</v>
      </c>
      <c r="P73" s="31"/>
    </row>
    <row r="74" spans="9:70" x14ac:dyDescent="0.25">
      <c r="I74" s="54">
        <v>42</v>
      </c>
      <c r="J74" s="59">
        <f ca="1">D23</f>
        <v>0</v>
      </c>
      <c r="K74" s="22">
        <v>0</v>
      </c>
      <c r="L74" s="22">
        <f t="shared" ref="L74:L77" si="0">B23</f>
        <v>0</v>
      </c>
      <c r="M74" s="22">
        <v>0</v>
      </c>
      <c r="N74" s="22" t="s">
        <v>32</v>
      </c>
      <c r="O74" s="22" t="s">
        <v>63</v>
      </c>
      <c r="P74" s="31"/>
    </row>
    <row r="75" spans="9:70" x14ac:dyDescent="0.25">
      <c r="I75" s="54">
        <v>43</v>
      </c>
      <c r="J75" s="59">
        <f ca="1">D24</f>
        <v>0</v>
      </c>
      <c r="K75" s="22">
        <v>0</v>
      </c>
      <c r="L75" s="22">
        <f t="shared" si="0"/>
        <v>0</v>
      </c>
      <c r="M75" s="22">
        <v>0</v>
      </c>
      <c r="N75" s="22" t="s">
        <v>32</v>
      </c>
      <c r="O75" s="22" t="s">
        <v>63</v>
      </c>
      <c r="P75" s="31"/>
    </row>
    <row r="76" spans="9:70" x14ac:dyDescent="0.25">
      <c r="I76" s="54">
        <v>44</v>
      </c>
      <c r="J76" s="59">
        <f ca="1">D25</f>
        <v>0</v>
      </c>
      <c r="K76" s="22">
        <v>0</v>
      </c>
      <c r="L76" s="22">
        <f t="shared" si="0"/>
        <v>0</v>
      </c>
      <c r="M76" s="22">
        <v>0</v>
      </c>
      <c r="N76" s="22" t="s">
        <v>32</v>
      </c>
      <c r="O76" s="22" t="s">
        <v>63</v>
      </c>
      <c r="P76" s="31"/>
    </row>
    <row r="77" spans="9:70" x14ac:dyDescent="0.25">
      <c r="I77" s="54">
        <v>45</v>
      </c>
      <c r="J77" s="59">
        <f ca="1">D26</f>
        <v>0</v>
      </c>
      <c r="K77" s="22">
        <v>0</v>
      </c>
      <c r="L77" s="22">
        <f t="shared" si="0"/>
        <v>0</v>
      </c>
      <c r="M77" s="22">
        <v>0</v>
      </c>
      <c r="N77" s="22" t="s">
        <v>32</v>
      </c>
      <c r="O77" s="22" t="s">
        <v>63</v>
      </c>
      <c r="P77" s="31"/>
    </row>
    <row r="78" spans="9:70" x14ac:dyDescent="0.25">
      <c r="I78" s="54">
        <v>46</v>
      </c>
      <c r="J78" s="59">
        <f ca="1">O27</f>
        <v>0</v>
      </c>
      <c r="K78" s="22">
        <v>0</v>
      </c>
      <c r="L78" s="22">
        <v>0</v>
      </c>
      <c r="M78" s="22">
        <v>0</v>
      </c>
      <c r="N78" s="22" t="s">
        <v>33</v>
      </c>
      <c r="O78" s="22" t="s">
        <v>63</v>
      </c>
      <c r="P78" s="31"/>
    </row>
    <row r="79" spans="9:70" x14ac:dyDescent="0.25">
      <c r="I79" s="54">
        <v>47</v>
      </c>
      <c r="J79" s="59">
        <f ca="1">O28</f>
        <v>0</v>
      </c>
      <c r="K79" s="22">
        <v>0</v>
      </c>
      <c r="L79" s="59">
        <f>J29</f>
        <v>20</v>
      </c>
      <c r="M79" s="22">
        <v>0</v>
      </c>
      <c r="N79" s="22" t="s">
        <v>33</v>
      </c>
      <c r="O79" s="22" t="s">
        <v>63</v>
      </c>
      <c r="P79" s="31"/>
    </row>
    <row r="80" spans="9:70" ht="15.75" thickBot="1" x14ac:dyDescent="0.3">
      <c r="I80" s="62"/>
      <c r="J80" s="76"/>
      <c r="K80" s="76"/>
      <c r="L80" s="76"/>
      <c r="M80" s="76"/>
      <c r="N80" s="76"/>
      <c r="O80" s="76"/>
      <c r="P80" s="34"/>
    </row>
  </sheetData>
  <mergeCells count="1">
    <mergeCell ref="B6:D6"/>
  </mergeCells>
  <dataValidations count="4">
    <dataValidation type="list" allowBlank="1" showInputMessage="1" showErrorMessage="1" sqref="B7" xr:uid="{AE9CA0B7-8AFE-459E-B1E3-9B698CDF7357}">
      <formula1>"V,M,S,D"</formula1>
    </dataValidation>
    <dataValidation type="list" allowBlank="1" showInputMessage="1" showErrorMessage="1" sqref="L27:L28" xr:uid="{0EF28C8B-E72F-4607-BC7C-931B02B8CB99}">
      <formula1>"y,n"</formula1>
    </dataValidation>
    <dataValidation type="list" allowBlank="1" showInputMessage="1" showErrorMessage="1" sqref="H2" xr:uid="{097ADCBB-0B80-4D2E-A053-23C594BF7DF8}">
      <formula1>"0.7,0.2"</formula1>
    </dataValidation>
    <dataValidation type="list" allowBlank="1" showInputMessage="1" showErrorMessage="1" sqref="H1" xr:uid="{B0271822-907D-4161-B1B5-6D252FF33B77}">
      <formula1>"1,0.5"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746E6F2-BF32-4F5B-9D13-3CB2D580546E}">
          <x14:formula1>
            <xm:f>Data!$C$2:$C$6</xm:f>
          </x14:formula1>
          <xm:sqref>N33:N52 F33:F52 W33:W52</xm:sqref>
        </x14:dataValidation>
        <x14:dataValidation type="list" allowBlank="1" showInputMessage="1" showErrorMessage="1" xr:uid="{2DF0EE76-D99F-47E6-8342-7917AB41E6E5}">
          <x14:formula1>
            <xm:f>Data!$A$2:$A$12</xm:f>
          </x14:formula1>
          <xm:sqref>G33:G52 O33:O52 X33:X52</xm:sqref>
        </x14:dataValidation>
        <x14:dataValidation type="list" allowBlank="1" showInputMessage="1" showErrorMessage="1" xr:uid="{A7E879C5-982F-4864-80CC-7BA01C32BC4E}">
          <x14:formula1>
            <xm:f>Load_Combos!$A$3:$A$62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8A304-FE81-43BD-A422-48246CA7BFF5}">
  <sheetPr codeName="Sheet2"/>
  <dimension ref="A1:BQ232"/>
  <sheetViews>
    <sheetView topLeftCell="A37" workbookViewId="0">
      <selection activeCell="J70" sqref="J70"/>
    </sheetView>
  </sheetViews>
  <sheetFormatPr defaultRowHeight="15" x14ac:dyDescent="0.25"/>
  <cols>
    <col min="18" max="18" width="12" bestFit="1" customWidth="1"/>
    <col min="34" max="34" width="12.7109375" bestFit="1" customWidth="1"/>
  </cols>
  <sheetData>
    <row r="1" spans="1:69" x14ac:dyDescent="0.25">
      <c r="A1" t="s">
        <v>30</v>
      </c>
      <c r="C1" t="s">
        <v>31</v>
      </c>
      <c r="F1" t="s">
        <v>42</v>
      </c>
      <c r="J1" t="s">
        <v>47</v>
      </c>
    </row>
    <row r="2" spans="1:69" x14ac:dyDescent="0.25">
      <c r="A2" t="s">
        <v>18</v>
      </c>
      <c r="C2" t="s">
        <v>32</v>
      </c>
      <c r="O2">
        <f>IF(Beam_Analysis!B7="V",0,IF(Beam_Analysis!B7="M",1,IF(Beam_Analysis!B7="S",2,3)))</f>
        <v>3</v>
      </c>
    </row>
    <row r="3" spans="1:69" x14ac:dyDescent="0.25">
      <c r="A3" t="s">
        <v>22</v>
      </c>
      <c r="C3" t="s">
        <v>33</v>
      </c>
      <c r="F3" t="s">
        <v>43</v>
      </c>
      <c r="N3" t="s">
        <v>115</v>
      </c>
      <c r="O3">
        <f>Beam_Analysis!J29</f>
        <v>20</v>
      </c>
    </row>
    <row r="4" spans="1:69" ht="15.75" thickBot="1" x14ac:dyDescent="0.3">
      <c r="A4" t="s">
        <v>23</v>
      </c>
      <c r="C4" t="s">
        <v>34</v>
      </c>
      <c r="AA4" s="1"/>
      <c r="AB4" s="1"/>
      <c r="AC4" s="1"/>
      <c r="AD4" s="1"/>
      <c r="AE4" s="1"/>
    </row>
    <row r="5" spans="1:69" x14ac:dyDescent="0.25">
      <c r="A5" t="s">
        <v>24</v>
      </c>
      <c r="C5" t="s">
        <v>35</v>
      </c>
      <c r="F5" t="s">
        <v>44</v>
      </c>
      <c r="N5" s="16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8"/>
    </row>
    <row r="6" spans="1:69" x14ac:dyDescent="0.25">
      <c r="A6" t="s">
        <v>17</v>
      </c>
      <c r="C6" t="str">
        <f>"--"</f>
        <v>--</v>
      </c>
      <c r="F6" s="1" t="s">
        <v>45</v>
      </c>
      <c r="G6" s="1" t="s">
        <v>46</v>
      </c>
      <c r="N6" s="19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1"/>
    </row>
    <row r="7" spans="1:69" x14ac:dyDescent="0.25">
      <c r="A7" t="s">
        <v>25</v>
      </c>
      <c r="F7" s="1">
        <v>0</v>
      </c>
      <c r="G7" s="1">
        <v>0</v>
      </c>
      <c r="N7" s="19"/>
      <c r="O7" s="20" t="s">
        <v>59</v>
      </c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1"/>
    </row>
    <row r="8" spans="1:69" x14ac:dyDescent="0.25">
      <c r="A8" t="s">
        <v>26</v>
      </c>
      <c r="F8" s="1">
        <f>F7+Beam_Analysis!B29</f>
        <v>0</v>
      </c>
      <c r="G8" s="1">
        <v>0</v>
      </c>
      <c r="N8" s="19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  <c r="BM8" s="20"/>
      <c r="BN8" s="20"/>
      <c r="BO8" s="20"/>
      <c r="BP8" s="20"/>
      <c r="BQ8" s="21"/>
    </row>
    <row r="9" spans="1:69" ht="15.75" thickBot="1" x14ac:dyDescent="0.3">
      <c r="A9" t="s">
        <v>27</v>
      </c>
      <c r="N9" s="19"/>
      <c r="O9" s="20">
        <f>Beam_Analysis!N29</f>
        <v>1</v>
      </c>
      <c r="P9" s="20"/>
      <c r="Q9" s="20"/>
      <c r="R9" s="20"/>
      <c r="S9" s="22" t="s">
        <v>60</v>
      </c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  <c r="BM9" s="20"/>
      <c r="BN9" s="20"/>
      <c r="BO9" s="20"/>
      <c r="BP9" s="20"/>
      <c r="BQ9" s="21"/>
    </row>
    <row r="10" spans="1:69" x14ac:dyDescent="0.25">
      <c r="A10" t="s">
        <v>28</v>
      </c>
      <c r="F10" t="s">
        <v>15</v>
      </c>
      <c r="N10" s="19">
        <f ca="1">OFFSET(AX10,0,(15-(3*$O$9))+$U$17+(5-$O$9))</f>
        <v>-9.4800925925925856</v>
      </c>
      <c r="O10" s="20">
        <f>Beam_Analysis!B22</f>
        <v>9</v>
      </c>
      <c r="P10" s="20" cm="1">
        <f t="array" aca="1" ref="P10:S10" ca="1">center_span(Beam_Analysis!$J$29,O10,Beam_Analysis!$D$3,Beam_Analysis!$D$2,Beam_Analysis!$J$33:$O$72,Beam_Analysis!$G$5:$P$5,0)</f>
        <v>0.34583333333333222</v>
      </c>
      <c r="Q10" s="20">
        <f ca="1"/>
        <v>37.537499999999987</v>
      </c>
      <c r="R10" s="20">
        <f ca="1"/>
        <v>-5.2752463054187111E-3</v>
      </c>
      <c r="S10" s="20">
        <f ca="1"/>
        <v>-2.9958960591132988</v>
      </c>
      <c r="T10" s="20">
        <f ca="1">S10*(-1/12)</f>
        <v>0.24965800492610823</v>
      </c>
      <c r="U10" s="20"/>
      <c r="V10" s="20" cm="1">
        <f t="array" ref="V10">point_load(1,O10,Beam_Analysis!$J$29,Beam_Analysis!$D$3,Beam_Analysis!$D$2,$O$10,5)</f>
        <v>-2.6334975369458131E-2</v>
      </c>
      <c r="W10" s="20" cm="1">
        <f t="array" ref="W10">point_load(1,O10,Beam_Analysis!$J$29,Beam_Analysis!$D$3,Beam_Analysis!$D$2,$O$11,5)</f>
        <v>0</v>
      </c>
      <c r="X10" s="20" cm="1">
        <f t="array" ref="X10">point_load(1,O10,Beam_Analysis!$J$29,Beam_Analysis!$D$3,Beam_Analysis!$D$2,$O$12,5)</f>
        <v>0</v>
      </c>
      <c r="Y10" s="20" cm="1">
        <f t="array" ref="Y10">point_load(1,O10,Beam_Analysis!$J$29,Beam_Analysis!$D$3,Beam_Analysis!$D$2,$O$13,5)</f>
        <v>0</v>
      </c>
      <c r="Z10" s="20" cm="1">
        <f t="array" ref="Z10">point_load(1,O10,Beam_Analysis!$J$29,Beam_Analysis!$D$3,Beam_Analysis!$D$2,$O$14,5)</f>
        <v>0</v>
      </c>
      <c r="AA10" s="20" cm="1">
        <f t="array" ref="AA10">IF($U$15=0,0,point_load(1,O10,Beam_Analysis!$J$29,Beam_Analysis!$D$3,Beam_Analysis!$D$2,$O$15,4))</f>
        <v>0</v>
      </c>
      <c r="AB10" s="20" cm="1">
        <f t="array" ref="AB10">IF($U$16=0,0,point_load(1,O10,Beam_Analysis!$J$29,Beam_Analysis!$D$3,Beam_Analysis!$D$2,$O$16,4))</f>
        <v>0</v>
      </c>
      <c r="AC10" s="20"/>
      <c r="AD10" s="20">
        <f>V10</f>
        <v>-2.6334975369458131E-2</v>
      </c>
      <c r="AE10" s="20">
        <f t="shared" ref="AE10:AH10" si="0">W10</f>
        <v>0</v>
      </c>
      <c r="AF10" s="20">
        <f t="shared" si="0"/>
        <v>0</v>
      </c>
      <c r="AG10" s="20">
        <f t="shared" si="0"/>
        <v>0</v>
      </c>
      <c r="AH10" s="20">
        <f t="shared" si="0"/>
        <v>0</v>
      </c>
      <c r="AI10" s="20">
        <f>AA10</f>
        <v>0</v>
      </c>
      <c r="AJ10" s="20"/>
      <c r="AK10" s="20">
        <f>V10</f>
        <v>-2.6334975369458131E-2</v>
      </c>
      <c r="AL10" s="20">
        <f t="shared" ref="AL10:AO14" si="1">W10</f>
        <v>0</v>
      </c>
      <c r="AM10" s="20">
        <f t="shared" si="1"/>
        <v>0</v>
      </c>
      <c r="AN10" s="20">
        <f t="shared" si="1"/>
        <v>0</v>
      </c>
      <c r="AO10" s="20">
        <f t="shared" si="1"/>
        <v>0</v>
      </c>
      <c r="AP10" s="20">
        <f>AB10</f>
        <v>0</v>
      </c>
      <c r="AQ10" s="20"/>
      <c r="AR10" s="20">
        <f>V10</f>
        <v>-2.6334975369458131E-2</v>
      </c>
      <c r="AS10" s="20">
        <f t="shared" ref="AS10:AV14" si="2">W10</f>
        <v>0</v>
      </c>
      <c r="AT10" s="20">
        <f t="shared" si="2"/>
        <v>0</v>
      </c>
      <c r="AU10" s="20">
        <f t="shared" si="2"/>
        <v>0</v>
      </c>
      <c r="AV10" s="20">
        <f t="shared" si="2"/>
        <v>0</v>
      </c>
      <c r="AW10" s="20"/>
      <c r="AX10" s="16" t="e">
        <f>V26</f>
        <v>#NUM!</v>
      </c>
      <c r="AY10" s="17" t="e">
        <f>AD26</f>
        <v>#NUM!</v>
      </c>
      <c r="AZ10" s="17" t="e">
        <f>AK26</f>
        <v>#NUM!</v>
      </c>
      <c r="BA10" s="18" t="e">
        <f>AR26</f>
        <v>#NUM!</v>
      </c>
      <c r="BB10" s="16" t="e">
        <f>V49</f>
        <v>#NUM!</v>
      </c>
      <c r="BC10" s="17" t="e">
        <f>AD49</f>
        <v>#NUM!</v>
      </c>
      <c r="BD10" s="17" t="e">
        <f>AK49</f>
        <v>#NUM!</v>
      </c>
      <c r="BE10" s="18" t="e">
        <f>AR49</f>
        <v>#NUM!</v>
      </c>
      <c r="BF10" s="16" t="e">
        <f>V69</f>
        <v>#NUM!</v>
      </c>
      <c r="BG10" s="17" t="e">
        <f>AD69</f>
        <v>#NUM!</v>
      </c>
      <c r="BH10" s="17" t="e">
        <f>AK69</f>
        <v>#NUM!</v>
      </c>
      <c r="BI10" s="18" t="e">
        <f>AR69</f>
        <v>#NUM!</v>
      </c>
      <c r="BJ10" s="16" t="e">
        <f>V86</f>
        <v>#NUM!</v>
      </c>
      <c r="BK10" s="17" t="e">
        <f>AD86</f>
        <v>#NUM!</v>
      </c>
      <c r="BL10" s="17" t="e">
        <f>AK86</f>
        <v>#NUM!</v>
      </c>
      <c r="BM10" s="18" t="e">
        <f>AR86</f>
        <v>#NUM!</v>
      </c>
      <c r="BN10" s="17" t="e">
        <f>V100</f>
        <v>#NUM!</v>
      </c>
      <c r="BO10" s="17" t="e">
        <f>AD100</f>
        <v>#NUM!</v>
      </c>
      <c r="BP10" s="17" t="e">
        <f>AK100</f>
        <v>#NUM!</v>
      </c>
      <c r="BQ10" s="18">
        <f ca="1">AR100</f>
        <v>-9.4800925925925856</v>
      </c>
    </row>
    <row r="11" spans="1:69" x14ac:dyDescent="0.25">
      <c r="A11" t="s">
        <v>29</v>
      </c>
      <c r="N11" s="19">
        <f ca="1">OFFSET(AX11,0,(15-(3*$O$9))+$U$17+(5-$O$9))</f>
        <v>0</v>
      </c>
      <c r="O11" s="20">
        <f>Beam_Analysis!B23</f>
        <v>0</v>
      </c>
      <c r="P11" s="20" cm="1">
        <f t="array" aca="1" ref="P11:S11" ca="1">center_span(Beam_Analysis!$J$29,O11,Beam_Analysis!$D$3,Beam_Analysis!$D$2,Beam_Analysis!$J$33:$O$72,Beam_Analysis!$G$5:$P$5,0)</f>
        <v>8.3333333333333321</v>
      </c>
      <c r="Q11" s="20">
        <f ca="1"/>
        <v>0</v>
      </c>
      <c r="R11" s="20">
        <f ca="1"/>
        <v>-4.1200179131213599E-2</v>
      </c>
      <c r="S11" s="20">
        <f ca="1"/>
        <v>0</v>
      </c>
      <c r="T11" s="20">
        <f t="shared" ref="T11:T14" ca="1" si="3">S11*(-1/12)</f>
        <v>0</v>
      </c>
      <c r="U11" s="20"/>
      <c r="V11" s="20" cm="1">
        <f t="array" ref="V11">point_load(1,O11,Beam_Analysis!$J$29,Beam_Analysis!$D$3,Beam_Analysis!$D$2,$O$10,5)</f>
        <v>0</v>
      </c>
      <c r="W11" s="20" cm="1">
        <f t="array" ref="W11">point_load(1,O11,Beam_Analysis!$J$29,Beam_Analysis!$D$3,Beam_Analysis!$D$2,$O$11,5)</f>
        <v>0</v>
      </c>
      <c r="X11" s="20" cm="1">
        <f t="array" ref="X11">point_load(1,O11,Beam_Analysis!$J$29,Beam_Analysis!$D$3,Beam_Analysis!$D$2,$O$12,5)</f>
        <v>0</v>
      </c>
      <c r="Y11" s="20" cm="1">
        <f t="array" ref="Y11">point_load(1,O11,Beam_Analysis!$J$29,Beam_Analysis!$D$3,Beam_Analysis!$D$2,$O$13,5)</f>
        <v>0</v>
      </c>
      <c r="Z11" s="20" cm="1">
        <f t="array" ref="Z11">point_load(1,O11,Beam_Analysis!$J$29,Beam_Analysis!$D$3,Beam_Analysis!$D$2,$O$14,5)</f>
        <v>0</v>
      </c>
      <c r="AA11" s="20" cm="1">
        <f t="array" ref="AA11">IF($U$15=0,0,point_load(1,O11,Beam_Analysis!$J$29,Beam_Analysis!$D$3,Beam_Analysis!$D$2,$O$15,4))</f>
        <v>0</v>
      </c>
      <c r="AB11" s="20" cm="1">
        <f t="array" ref="AB11">IF($U$16=0,0,point_load(1,O11,Beam_Analysis!$J$29,Beam_Analysis!$D$3,Beam_Analysis!$D$2,$O$16,4))</f>
        <v>0</v>
      </c>
      <c r="AC11" s="20"/>
      <c r="AD11" s="20">
        <f t="shared" ref="AD11:AD15" si="4">V11</f>
        <v>0</v>
      </c>
      <c r="AE11" s="20">
        <f t="shared" ref="AE11:AE15" si="5">W11</f>
        <v>0</v>
      </c>
      <c r="AF11" s="20">
        <f t="shared" ref="AF11:AF15" si="6">X11</f>
        <v>0</v>
      </c>
      <c r="AG11" s="20">
        <f t="shared" ref="AG11:AG15" si="7">Y11</f>
        <v>0</v>
      </c>
      <c r="AH11" s="20">
        <f t="shared" ref="AH11:AH15" si="8">Z11</f>
        <v>0</v>
      </c>
      <c r="AI11" s="20">
        <f t="shared" ref="AI11:AI15" si="9">AA11</f>
        <v>0</v>
      </c>
      <c r="AJ11" s="20"/>
      <c r="AK11" s="20">
        <f t="shared" ref="AK11:AK14" si="10">V11</f>
        <v>0</v>
      </c>
      <c r="AL11" s="20">
        <f t="shared" si="1"/>
        <v>0</v>
      </c>
      <c r="AM11" s="20">
        <f t="shared" si="1"/>
        <v>0</v>
      </c>
      <c r="AN11" s="20">
        <f t="shared" si="1"/>
        <v>0</v>
      </c>
      <c r="AO11" s="20">
        <f t="shared" si="1"/>
        <v>0</v>
      </c>
      <c r="AP11" s="20">
        <f t="shared" ref="AP11:AP14" si="11">AB11</f>
        <v>0</v>
      </c>
      <c r="AQ11" s="20"/>
      <c r="AR11" s="20">
        <f t="shared" ref="AR11:AR14" si="12">V11</f>
        <v>0</v>
      </c>
      <c r="AS11" s="20">
        <f t="shared" si="2"/>
        <v>0</v>
      </c>
      <c r="AT11" s="20">
        <f t="shared" si="2"/>
        <v>0</v>
      </c>
      <c r="AU11" s="20">
        <f t="shared" si="2"/>
        <v>0</v>
      </c>
      <c r="AV11" s="20">
        <f t="shared" si="2"/>
        <v>0</v>
      </c>
      <c r="AW11" s="20"/>
      <c r="AX11" s="19" t="e">
        <f>V27</f>
        <v>#NUM!</v>
      </c>
      <c r="AY11" s="20" t="e">
        <f>AD27</f>
        <v>#NUM!</v>
      </c>
      <c r="AZ11" s="20" t="e">
        <f>AK27</f>
        <v>#NUM!</v>
      </c>
      <c r="BA11" s="21" t="e">
        <f>AR27</f>
        <v>#NUM!</v>
      </c>
      <c r="BB11" s="19" t="e">
        <f>V50</f>
        <v>#NUM!</v>
      </c>
      <c r="BC11" s="20" t="e">
        <f>AD50</f>
        <v>#NUM!</v>
      </c>
      <c r="BD11" s="20" t="e">
        <f>AK50</f>
        <v>#NUM!</v>
      </c>
      <c r="BE11" s="21" t="e">
        <f>AR50</f>
        <v>#NUM!</v>
      </c>
      <c r="BF11" s="19" t="e">
        <f>V70</f>
        <v>#NUM!</v>
      </c>
      <c r="BG11" s="20" t="e">
        <f>AD70</f>
        <v>#NUM!</v>
      </c>
      <c r="BH11" s="20" t="e">
        <f>AK70</f>
        <v>#NUM!</v>
      </c>
      <c r="BI11" s="21" t="e">
        <f>AR70</f>
        <v>#NUM!</v>
      </c>
      <c r="BJ11" s="19" t="e">
        <f>V87</f>
        <v>#NUM!</v>
      </c>
      <c r="BK11" s="20" t="e">
        <f>AD87</f>
        <v>#NUM!</v>
      </c>
      <c r="BL11" s="20" t="e">
        <f>AK87</f>
        <v>#NUM!</v>
      </c>
      <c r="BM11" s="21" t="e">
        <f>AR87</f>
        <v>#NUM!</v>
      </c>
      <c r="BN11" s="20">
        <v>0</v>
      </c>
      <c r="BO11" s="20">
        <v>0</v>
      </c>
      <c r="BP11" s="20">
        <v>0</v>
      </c>
      <c r="BQ11" s="21">
        <v>0</v>
      </c>
    </row>
    <row r="12" spans="1:69" x14ac:dyDescent="0.25">
      <c r="A12" t="str">
        <f>"--"</f>
        <v>--</v>
      </c>
      <c r="F12">
        <f>F8</f>
        <v>0</v>
      </c>
      <c r="G12">
        <f>G8</f>
        <v>0</v>
      </c>
      <c r="N12" s="19">
        <f ca="1">OFFSET(AX12,0,(15-(3*$O$9))+$U$17+(5-$O$9))</f>
        <v>0</v>
      </c>
      <c r="O12" s="20">
        <f>Beam_Analysis!B24</f>
        <v>0</v>
      </c>
      <c r="P12" s="20" cm="1">
        <f t="array" aca="1" ref="P12:S12" ca="1">center_span(Beam_Analysis!$J$29,O12,Beam_Analysis!$D$3,Beam_Analysis!$D$2,Beam_Analysis!$J$33:$O$72,Beam_Analysis!$G$5:$P$5,0)</f>
        <v>8.3333333333333321</v>
      </c>
      <c r="Q12" s="20">
        <f ca="1"/>
        <v>0</v>
      </c>
      <c r="R12" s="20">
        <f ca="1"/>
        <v>-4.1200179131213599E-2</v>
      </c>
      <c r="S12" s="20">
        <f ca="1"/>
        <v>0</v>
      </c>
      <c r="T12" s="20">
        <f t="shared" ca="1" si="3"/>
        <v>0</v>
      </c>
      <c r="U12" s="20"/>
      <c r="V12" s="20" cm="1">
        <f t="array" ref="V12">point_load(1,O12,Beam_Analysis!$J$29,Beam_Analysis!$D$3,Beam_Analysis!$D$2,$O$10,5)</f>
        <v>0</v>
      </c>
      <c r="W12" s="20" cm="1">
        <f t="array" ref="W12">point_load(1,O12,Beam_Analysis!$J$29,Beam_Analysis!$D$3,Beam_Analysis!$D$2,$O$11,5)</f>
        <v>0</v>
      </c>
      <c r="X12" s="20" cm="1">
        <f t="array" ref="X12">point_load(1,O12,Beam_Analysis!$J$29,Beam_Analysis!$D$3,Beam_Analysis!$D$2,$O$12,5)</f>
        <v>0</v>
      </c>
      <c r="Y12" s="20" cm="1">
        <f t="array" ref="Y12">point_load(1,O12,Beam_Analysis!$J$29,Beam_Analysis!$D$3,Beam_Analysis!$D$2,$O$13,5)</f>
        <v>0</v>
      </c>
      <c r="Z12" s="20" cm="1">
        <f t="array" ref="Z12">point_load(1,O12,Beam_Analysis!$J$29,Beam_Analysis!$D$3,Beam_Analysis!$D$2,$O$14,5)</f>
        <v>0</v>
      </c>
      <c r="AA12" s="20" cm="1">
        <f t="array" ref="AA12">IF($U$15=0,0,point_load(1,O12,Beam_Analysis!$J$29,Beam_Analysis!$D$3,Beam_Analysis!$D$2,$O$15,4))</f>
        <v>0</v>
      </c>
      <c r="AB12" s="20" cm="1">
        <f t="array" ref="AB12">IF($U$16=0,0,point_load(1,O12,Beam_Analysis!$J$29,Beam_Analysis!$D$3,Beam_Analysis!$D$2,$O$16,4))</f>
        <v>0</v>
      </c>
      <c r="AC12" s="20"/>
      <c r="AD12" s="20">
        <f t="shared" si="4"/>
        <v>0</v>
      </c>
      <c r="AE12" s="20">
        <f t="shared" si="5"/>
        <v>0</v>
      </c>
      <c r="AF12" s="20">
        <f t="shared" si="6"/>
        <v>0</v>
      </c>
      <c r="AG12" s="20">
        <f t="shared" si="7"/>
        <v>0</v>
      </c>
      <c r="AH12" s="20">
        <f t="shared" si="8"/>
        <v>0</v>
      </c>
      <c r="AI12" s="20">
        <f t="shared" si="9"/>
        <v>0</v>
      </c>
      <c r="AJ12" s="20"/>
      <c r="AK12" s="20">
        <f t="shared" si="10"/>
        <v>0</v>
      </c>
      <c r="AL12" s="20">
        <f t="shared" si="1"/>
        <v>0</v>
      </c>
      <c r="AM12" s="20">
        <f t="shared" si="1"/>
        <v>0</v>
      </c>
      <c r="AN12" s="20">
        <f t="shared" si="1"/>
        <v>0</v>
      </c>
      <c r="AO12" s="20">
        <f t="shared" si="1"/>
        <v>0</v>
      </c>
      <c r="AP12" s="20">
        <f t="shared" si="11"/>
        <v>0</v>
      </c>
      <c r="AQ12" s="20"/>
      <c r="AR12" s="20">
        <f t="shared" si="12"/>
        <v>0</v>
      </c>
      <c r="AS12" s="20">
        <f t="shared" si="2"/>
        <v>0</v>
      </c>
      <c r="AT12" s="20">
        <f t="shared" si="2"/>
        <v>0</v>
      </c>
      <c r="AU12" s="20">
        <f t="shared" si="2"/>
        <v>0</v>
      </c>
      <c r="AV12" s="20">
        <f t="shared" si="2"/>
        <v>0</v>
      </c>
      <c r="AW12" s="20"/>
      <c r="AX12" s="19" t="e">
        <f>V28</f>
        <v>#NUM!</v>
      </c>
      <c r="AY12" s="20" t="e">
        <f t="shared" ref="AY12:AY16" si="13">AD28</f>
        <v>#NUM!</v>
      </c>
      <c r="AZ12" s="20" t="e">
        <f t="shared" ref="AZ12:AZ14" si="14">AK28</f>
        <v>#NUM!</v>
      </c>
      <c r="BA12" s="21" t="e">
        <f t="shared" ref="BA12:BA16" si="15">AR28</f>
        <v>#NUM!</v>
      </c>
      <c r="BB12" s="19" t="e">
        <f t="shared" ref="BB12:BB13" si="16">V51</f>
        <v>#NUM!</v>
      </c>
      <c r="BC12" s="20" t="e">
        <f t="shared" ref="BC12:BC13" si="17">AD51</f>
        <v>#NUM!</v>
      </c>
      <c r="BD12" s="20" t="e">
        <f t="shared" ref="BD12:BD13" si="18">AK51</f>
        <v>#NUM!</v>
      </c>
      <c r="BE12" s="21" t="e">
        <f t="shared" ref="BE12:BE13" si="19">AR51</f>
        <v>#NUM!</v>
      </c>
      <c r="BF12" s="19" t="e">
        <f>V71</f>
        <v>#NUM!</v>
      </c>
      <c r="BG12" s="20" t="e">
        <f>AD71</f>
        <v>#NUM!</v>
      </c>
      <c r="BH12" s="20" t="e">
        <f>AK71</f>
        <v>#NUM!</v>
      </c>
      <c r="BI12" s="21" t="e">
        <f>AR71</f>
        <v>#NUM!</v>
      </c>
      <c r="BJ12" s="19">
        <v>0</v>
      </c>
      <c r="BK12" s="20">
        <v>0</v>
      </c>
      <c r="BL12" s="20">
        <v>0</v>
      </c>
      <c r="BM12" s="21">
        <v>0</v>
      </c>
      <c r="BN12" s="20">
        <v>0</v>
      </c>
      <c r="BO12" s="20">
        <v>0</v>
      </c>
      <c r="BP12" s="20">
        <v>0</v>
      </c>
      <c r="BQ12" s="21">
        <v>0</v>
      </c>
    </row>
    <row r="13" spans="1:69" x14ac:dyDescent="0.25">
      <c r="F13">
        <f>F12+Beam_Analysis!J29</f>
        <v>20</v>
      </c>
      <c r="G13">
        <v>0</v>
      </c>
      <c r="N13" s="19">
        <f ca="1">OFFSET(AX13,0,(15-(3*$O$9))+$U$17+(5-$O$9))</f>
        <v>0</v>
      </c>
      <c r="O13" s="20">
        <f>Beam_Analysis!B25</f>
        <v>0</v>
      </c>
      <c r="P13" s="20" cm="1">
        <f t="array" aca="1" ref="P13:S13" ca="1">center_span(Beam_Analysis!$J$29,O13,Beam_Analysis!$D$3,Beam_Analysis!$D$2,Beam_Analysis!$J$33:$O$72,Beam_Analysis!$G$5:$P$5,0)</f>
        <v>8.3333333333333321</v>
      </c>
      <c r="Q13" s="20">
        <f ca="1"/>
        <v>0</v>
      </c>
      <c r="R13" s="20">
        <f ca="1"/>
        <v>-4.1200179131213599E-2</v>
      </c>
      <c r="S13" s="20">
        <f ca="1"/>
        <v>0</v>
      </c>
      <c r="T13" s="20">
        <f t="shared" ca="1" si="3"/>
        <v>0</v>
      </c>
      <c r="U13" s="20"/>
      <c r="V13" s="20" cm="1">
        <f t="array" ref="V13">point_load(1,O13,Beam_Analysis!$J$29,Beam_Analysis!$D$3,Beam_Analysis!$D$2,$O$10,5)</f>
        <v>0</v>
      </c>
      <c r="W13" s="20" cm="1">
        <f t="array" ref="W13">point_load(1,O13,Beam_Analysis!$J$29,Beam_Analysis!$D$3,Beam_Analysis!$D$2,$O$11,5)</f>
        <v>0</v>
      </c>
      <c r="X13" s="20" cm="1">
        <f t="array" ref="X13">point_load(1,O13,Beam_Analysis!$J$29,Beam_Analysis!$D$3,Beam_Analysis!$D$2,$O$12,5)</f>
        <v>0</v>
      </c>
      <c r="Y13" s="20" cm="1">
        <f t="array" ref="Y13">point_load(1,O13,Beam_Analysis!$J$29,Beam_Analysis!$D$3,Beam_Analysis!$D$2,$O$13,5)</f>
        <v>0</v>
      </c>
      <c r="Z13" s="20" cm="1">
        <f t="array" ref="Z13">point_load(1,O13,Beam_Analysis!$J$29,Beam_Analysis!$D$3,Beam_Analysis!$D$2,$O$14,5)</f>
        <v>0</v>
      </c>
      <c r="AA13" s="20" cm="1">
        <f t="array" ref="AA13">IF($U$15=0,0,point_load(1,O13,Beam_Analysis!$J$29,Beam_Analysis!$D$3,Beam_Analysis!$D$2,$O$15,4))</f>
        <v>0</v>
      </c>
      <c r="AB13" s="20" cm="1">
        <f t="array" ref="AB13">IF($U$16=0,0,point_load(1,O13,Beam_Analysis!$J$29,Beam_Analysis!$D$3,Beam_Analysis!$D$2,$O$16,4))</f>
        <v>0</v>
      </c>
      <c r="AC13" s="20"/>
      <c r="AD13" s="20">
        <f t="shared" si="4"/>
        <v>0</v>
      </c>
      <c r="AE13" s="20">
        <f t="shared" si="5"/>
        <v>0</v>
      </c>
      <c r="AF13" s="20">
        <f t="shared" si="6"/>
        <v>0</v>
      </c>
      <c r="AG13" s="20">
        <f t="shared" si="7"/>
        <v>0</v>
      </c>
      <c r="AH13" s="20">
        <f t="shared" si="8"/>
        <v>0</v>
      </c>
      <c r="AI13" s="20">
        <f t="shared" si="9"/>
        <v>0</v>
      </c>
      <c r="AJ13" s="20"/>
      <c r="AK13" s="20">
        <f t="shared" si="10"/>
        <v>0</v>
      </c>
      <c r="AL13" s="20">
        <f t="shared" si="1"/>
        <v>0</v>
      </c>
      <c r="AM13" s="20">
        <f t="shared" si="1"/>
        <v>0</v>
      </c>
      <c r="AN13" s="20">
        <f t="shared" si="1"/>
        <v>0</v>
      </c>
      <c r="AO13" s="20">
        <f t="shared" si="1"/>
        <v>0</v>
      </c>
      <c r="AP13" s="20">
        <f t="shared" si="11"/>
        <v>0</v>
      </c>
      <c r="AQ13" s="20"/>
      <c r="AR13" s="20">
        <f t="shared" si="12"/>
        <v>0</v>
      </c>
      <c r="AS13" s="20">
        <f t="shared" si="2"/>
        <v>0</v>
      </c>
      <c r="AT13" s="20">
        <f t="shared" si="2"/>
        <v>0</v>
      </c>
      <c r="AU13" s="20">
        <f t="shared" si="2"/>
        <v>0</v>
      </c>
      <c r="AV13" s="20">
        <f t="shared" si="2"/>
        <v>0</v>
      </c>
      <c r="AW13" s="20"/>
      <c r="AX13" s="19" t="e">
        <f t="shared" ref="AX13:AX16" si="20">V29</f>
        <v>#NUM!</v>
      </c>
      <c r="AY13" s="20" t="e">
        <f t="shared" si="13"/>
        <v>#NUM!</v>
      </c>
      <c r="AZ13" s="20" t="e">
        <f t="shared" si="14"/>
        <v>#NUM!</v>
      </c>
      <c r="BA13" s="21" t="e">
        <f t="shared" si="15"/>
        <v>#NUM!</v>
      </c>
      <c r="BB13" s="19" t="e">
        <f t="shared" si="16"/>
        <v>#NUM!</v>
      </c>
      <c r="BC13" s="20" t="e">
        <f t="shared" si="17"/>
        <v>#NUM!</v>
      </c>
      <c r="BD13" s="20" t="e">
        <f t="shared" si="18"/>
        <v>#NUM!</v>
      </c>
      <c r="BE13" s="21" t="e">
        <f t="shared" si="19"/>
        <v>#NUM!</v>
      </c>
      <c r="BF13" s="19">
        <v>0</v>
      </c>
      <c r="BG13" s="20">
        <v>0</v>
      </c>
      <c r="BH13" s="20">
        <v>0</v>
      </c>
      <c r="BI13" s="21">
        <v>0</v>
      </c>
      <c r="BJ13" s="19">
        <v>0</v>
      </c>
      <c r="BK13" s="20">
        <v>0</v>
      </c>
      <c r="BL13" s="20">
        <v>0</v>
      </c>
      <c r="BM13" s="21">
        <v>0</v>
      </c>
      <c r="BN13" s="20">
        <v>0</v>
      </c>
      <c r="BO13" s="20">
        <v>0</v>
      </c>
      <c r="BP13" s="20">
        <v>0</v>
      </c>
      <c r="BQ13" s="21">
        <v>0</v>
      </c>
    </row>
    <row r="14" spans="1:69" x14ac:dyDescent="0.25">
      <c r="N14" s="19">
        <f ca="1">OFFSET(AX14,0,(15-(3*$O$9))+$U$17+(5-$O$9))</f>
        <v>0</v>
      </c>
      <c r="O14" s="20">
        <f>Beam_Analysis!B26</f>
        <v>0</v>
      </c>
      <c r="P14" s="20" cm="1">
        <f t="array" aca="1" ref="P14:S14" ca="1">center_span(Beam_Analysis!$J$29,O14,Beam_Analysis!$D$3,Beam_Analysis!$D$2,Beam_Analysis!$J$33:$O$72,Beam_Analysis!$G$5:$P$5,0)</f>
        <v>8.3333333333333321</v>
      </c>
      <c r="Q14" s="20">
        <f ca="1"/>
        <v>0</v>
      </c>
      <c r="R14" s="20">
        <f ca="1"/>
        <v>-4.1200179131213599E-2</v>
      </c>
      <c r="S14" s="20">
        <f ca="1"/>
        <v>0</v>
      </c>
      <c r="T14" s="20">
        <f t="shared" ca="1" si="3"/>
        <v>0</v>
      </c>
      <c r="U14" s="20"/>
      <c r="V14" s="20" cm="1">
        <f t="array" ref="V14">point_load(1,O14,Beam_Analysis!$J$29,Beam_Analysis!$D$3,Beam_Analysis!$D$2,$O$10,5)</f>
        <v>0</v>
      </c>
      <c r="W14" s="20" cm="1">
        <f t="array" ref="W14">point_load(1,O14,Beam_Analysis!$J$29,Beam_Analysis!$D$3,Beam_Analysis!$D$2,$O$11,5)</f>
        <v>0</v>
      </c>
      <c r="X14" s="20" cm="1">
        <f t="array" ref="X14">point_load(1,O14,Beam_Analysis!$J$29,Beam_Analysis!$D$3,Beam_Analysis!$D$2,$O$12,5)</f>
        <v>0</v>
      </c>
      <c r="Y14" s="20" cm="1">
        <f t="array" ref="Y14">point_load(1,O14,Beam_Analysis!$J$29,Beam_Analysis!$D$3,Beam_Analysis!$D$2,$O$13,5)</f>
        <v>0</v>
      </c>
      <c r="Z14" s="20" cm="1">
        <f t="array" ref="Z14">point_load(1,O14,Beam_Analysis!$J$29,Beam_Analysis!$D$3,Beam_Analysis!$D$2,$O$14,5)</f>
        <v>0</v>
      </c>
      <c r="AA14" s="20" cm="1">
        <f t="array" ref="AA14">IF($U$15=0,0,point_load(1,O14,Beam_Analysis!$J$29,Beam_Analysis!$D$3,Beam_Analysis!$D$2,$O$15,4))</f>
        <v>0</v>
      </c>
      <c r="AB14" s="20" cm="1">
        <f t="array" ref="AB14">IF($U$16=0,0,point_load(1,O14,Beam_Analysis!$J$29,Beam_Analysis!$D$3,Beam_Analysis!$D$2,$O$16,4))</f>
        <v>0</v>
      </c>
      <c r="AC14" s="20"/>
      <c r="AD14" s="20">
        <f t="shared" si="4"/>
        <v>0</v>
      </c>
      <c r="AE14" s="20">
        <f t="shared" si="5"/>
        <v>0</v>
      </c>
      <c r="AF14" s="20">
        <f t="shared" si="6"/>
        <v>0</v>
      </c>
      <c r="AG14" s="20">
        <f t="shared" si="7"/>
        <v>0</v>
      </c>
      <c r="AH14" s="20">
        <f t="shared" si="8"/>
        <v>0</v>
      </c>
      <c r="AI14" s="20">
        <f t="shared" si="9"/>
        <v>0</v>
      </c>
      <c r="AJ14" s="20"/>
      <c r="AK14" s="20">
        <f t="shared" si="10"/>
        <v>0</v>
      </c>
      <c r="AL14" s="20">
        <f t="shared" si="1"/>
        <v>0</v>
      </c>
      <c r="AM14" s="20">
        <f t="shared" si="1"/>
        <v>0</v>
      </c>
      <c r="AN14" s="20">
        <f t="shared" si="1"/>
        <v>0</v>
      </c>
      <c r="AO14" s="20">
        <f t="shared" si="1"/>
        <v>0</v>
      </c>
      <c r="AP14" s="20">
        <f t="shared" si="11"/>
        <v>0</v>
      </c>
      <c r="AQ14" s="20"/>
      <c r="AR14" s="20">
        <f t="shared" si="12"/>
        <v>0</v>
      </c>
      <c r="AS14" s="20">
        <f t="shared" si="2"/>
        <v>0</v>
      </c>
      <c r="AT14" s="20">
        <f t="shared" si="2"/>
        <v>0</v>
      </c>
      <c r="AU14" s="20">
        <f t="shared" si="2"/>
        <v>0</v>
      </c>
      <c r="AV14" s="20">
        <f t="shared" si="2"/>
        <v>0</v>
      </c>
      <c r="AW14" s="20"/>
      <c r="AX14" s="19" t="e">
        <f t="shared" si="20"/>
        <v>#NUM!</v>
      </c>
      <c r="AY14" s="20" t="e">
        <f t="shared" si="13"/>
        <v>#NUM!</v>
      </c>
      <c r="AZ14" s="20" t="e">
        <f t="shared" si="14"/>
        <v>#NUM!</v>
      </c>
      <c r="BA14" s="21" t="e">
        <f t="shared" si="15"/>
        <v>#NUM!</v>
      </c>
      <c r="BB14" s="19">
        <v>0</v>
      </c>
      <c r="BC14" s="20">
        <v>0</v>
      </c>
      <c r="BD14" s="20">
        <v>0</v>
      </c>
      <c r="BE14" s="21">
        <v>0</v>
      </c>
      <c r="BF14" s="19">
        <v>0</v>
      </c>
      <c r="BG14" s="20">
        <v>0</v>
      </c>
      <c r="BH14" s="20">
        <v>0</v>
      </c>
      <c r="BI14" s="21">
        <v>0</v>
      </c>
      <c r="BJ14" s="19">
        <v>0</v>
      </c>
      <c r="BK14" s="20">
        <v>0</v>
      </c>
      <c r="BL14" s="20">
        <v>0</v>
      </c>
      <c r="BM14" s="21">
        <v>0</v>
      </c>
      <c r="BN14" s="20">
        <v>0</v>
      </c>
      <c r="BO14" s="20">
        <v>0</v>
      </c>
      <c r="BP14" s="20">
        <v>0</v>
      </c>
      <c r="BQ14" s="21">
        <v>0</v>
      </c>
    </row>
    <row r="15" spans="1:69" x14ac:dyDescent="0.25">
      <c r="F15" t="s">
        <v>44</v>
      </c>
      <c r="N15" s="19">
        <f ca="1">IF(AND(O9=0,U15=1,U16=1),Q25,IF(AND(O9=0,U15=1,U16=0),Q28,IF(AND(O9=0,U15=0),0,OFFSET(AX15,0,(15-(3*$O$9))+$U$17+(5-$O$9)))))</f>
        <v>0</v>
      </c>
      <c r="O15" s="20">
        <v>0</v>
      </c>
      <c r="P15" s="20" cm="1">
        <f t="array" aca="1" ref="P15:S15" ca="1">center_span(Beam_Analysis!$J$29,O15,Beam_Analysis!$D$3,Beam_Analysis!$D$2,Beam_Analysis!$J$33:$O$72,Beam_Analysis!$G$5:$P$5,0)</f>
        <v>8.3333333333333321</v>
      </c>
      <c r="Q15" s="20">
        <f ca="1"/>
        <v>0</v>
      </c>
      <c r="R15" s="20">
        <f ca="1"/>
        <v>-4.1200179131213599E-2</v>
      </c>
      <c r="S15" s="20">
        <f ca="1"/>
        <v>0</v>
      </c>
      <c r="T15" s="20">
        <f ca="1">-1*R15</f>
        <v>4.1200179131213599E-2</v>
      </c>
      <c r="U15" s="20">
        <f>Beam_Analysis!N27</f>
        <v>0</v>
      </c>
      <c r="V15" s="20" cm="1">
        <f t="array" ref="V15">point_moment(U15,O15,Beam_Analysis!$J$29,Beam_Analysis!$D$3,Beam_Analysis!$D$2,$O$10,5)</f>
        <v>0</v>
      </c>
      <c r="W15" s="20" cm="1">
        <f t="array" ref="W15">point_moment(U15,O15,Beam_Analysis!$J$29,Beam_Analysis!$D$3,Beam_Analysis!$D$2,$O$11,5)</f>
        <v>0</v>
      </c>
      <c r="X15" s="20" cm="1">
        <f t="array" ref="X15">point_moment(U15,O15,Beam_Analysis!$J$29,Beam_Analysis!$D$3,Beam_Analysis!$D$2,$O$12,5)</f>
        <v>0</v>
      </c>
      <c r="Y15" s="20" cm="1">
        <f t="array" ref="Y15">point_moment(U15,O15,Beam_Analysis!$J$29,Beam_Analysis!$D$3,Beam_Analysis!$D$2,$O$13,5)</f>
        <v>0</v>
      </c>
      <c r="Z15" s="20" cm="1">
        <f t="array" ref="Z15">point_moment(U15,O15,Beam_Analysis!$J$29,Beam_Analysis!$D$3,Beam_Analysis!$D$2,$O$14,5)</f>
        <v>0</v>
      </c>
      <c r="AA15" s="20" cm="1">
        <f t="array" ref="AA15">point_moment(U15,O15,Beam_Analysis!$J$29,Beam_Analysis!$D$3,Beam_Analysis!$D$2,$O$15,4)</f>
        <v>0</v>
      </c>
      <c r="AB15" s="20" cm="1">
        <f t="array" ref="AB15">IF(U16=0,0,point_moment(U15,O15,Beam_Analysis!$J$29,Beam_Analysis!$D$3,Beam_Analysis!$D$2,$O$16,4))</f>
        <v>0</v>
      </c>
      <c r="AC15" s="20"/>
      <c r="AD15" s="20">
        <f t="shared" si="4"/>
        <v>0</v>
      </c>
      <c r="AE15" s="20">
        <f t="shared" si="5"/>
        <v>0</v>
      </c>
      <c r="AF15" s="20">
        <f t="shared" si="6"/>
        <v>0</v>
      </c>
      <c r="AG15" s="20">
        <f t="shared" si="7"/>
        <v>0</v>
      </c>
      <c r="AH15" s="20">
        <f t="shared" si="8"/>
        <v>0</v>
      </c>
      <c r="AI15" s="20">
        <f t="shared" si="9"/>
        <v>0</v>
      </c>
      <c r="AJ15" s="20"/>
      <c r="AK15" s="20">
        <f>V16</f>
        <v>0</v>
      </c>
      <c r="AL15" s="20">
        <f t="shared" ref="AL15:AO15" si="21">W16</f>
        <v>0</v>
      </c>
      <c r="AM15" s="20">
        <f t="shared" si="21"/>
        <v>0</v>
      </c>
      <c r="AN15" s="20">
        <f t="shared" si="21"/>
        <v>0</v>
      </c>
      <c r="AO15" s="20">
        <f t="shared" si="21"/>
        <v>0</v>
      </c>
      <c r="AP15" s="20">
        <f>AB16</f>
        <v>0</v>
      </c>
      <c r="AQ15" s="20"/>
      <c r="AR15" s="20"/>
      <c r="AS15" s="20"/>
      <c r="AT15" s="20"/>
      <c r="AU15" s="20"/>
      <c r="AV15" s="20"/>
      <c r="AW15" s="20"/>
      <c r="AX15" s="19" t="e">
        <f t="shared" si="20"/>
        <v>#NUM!</v>
      </c>
      <c r="AY15" s="20" t="e">
        <f t="shared" si="13"/>
        <v>#NUM!</v>
      </c>
      <c r="AZ15" s="20">
        <v>0</v>
      </c>
      <c r="BA15" s="21">
        <f t="shared" si="15"/>
        <v>0</v>
      </c>
      <c r="BB15" s="19" t="e">
        <f>V53</f>
        <v>#NUM!</v>
      </c>
      <c r="BC15" s="20" t="e">
        <f>AD53</f>
        <v>#NUM!</v>
      </c>
      <c r="BD15" s="20">
        <v>0</v>
      </c>
      <c r="BE15" s="21">
        <v>0</v>
      </c>
      <c r="BF15" s="19" t="e">
        <f>V72</f>
        <v>#NUM!</v>
      </c>
      <c r="BG15" s="20" t="e">
        <f>AD72</f>
        <v>#NUM!</v>
      </c>
      <c r="BH15" s="20">
        <v>0</v>
      </c>
      <c r="BI15" s="21">
        <v>0</v>
      </c>
      <c r="BJ15" s="19" t="e">
        <f>V88</f>
        <v>#NUM!</v>
      </c>
      <c r="BK15" s="20" t="e">
        <f>AD88</f>
        <v>#NUM!</v>
      </c>
      <c r="BL15" s="20">
        <v>0</v>
      </c>
      <c r="BM15" s="21">
        <v>0</v>
      </c>
      <c r="BN15" s="20" t="e">
        <f>V101</f>
        <v>#NUM!</v>
      </c>
      <c r="BO15" s="20" t="e">
        <f>AD101</f>
        <v>#NUM!</v>
      </c>
      <c r="BP15" s="20">
        <v>0</v>
      </c>
      <c r="BQ15" s="21">
        <v>0</v>
      </c>
    </row>
    <row r="16" spans="1:69" ht="15.75" thickBot="1" x14ac:dyDescent="0.3">
      <c r="N16" s="19">
        <f ca="1">IF(AND(O9=0,U15=1,U16=1),Q26,IF(AND(O9=0,U15=0,U16=1),Q30,IF(AND(O9=0,U16=0),0,OFFSET(AX16,0,(15-(3*$O$9))+$U$17+(5-$O$9)))))</f>
        <v>0</v>
      </c>
      <c r="O16" s="20">
        <f>Beam_Analysis!J29</f>
        <v>20</v>
      </c>
      <c r="P16" s="20" cm="1">
        <f t="array" aca="1" ref="P16:S16" ca="1">center_span(Beam_Analysis!$J$29,O16,Beam_Analysis!$D$3,Beam_Analysis!$D$2,Beam_Analysis!$J$33:$O$72,Beam_Analysis!$G$5:$P$5,0)</f>
        <v>-6.6666666666666679</v>
      </c>
      <c r="Q16" s="20">
        <f ca="1"/>
        <v>-2.182976022169214E-14</v>
      </c>
      <c r="R16" s="20">
        <f ca="1"/>
        <v>3.9408866995073871E-2</v>
      </c>
      <c r="S16" s="20">
        <f ca="1"/>
        <v>8.0501659973106927E-16</v>
      </c>
      <c r="T16" s="20">
        <f ca="1">-1*R16</f>
        <v>-3.9408866995073871E-2</v>
      </c>
      <c r="U16" s="20">
        <f>Beam_Analysis!N28</f>
        <v>0</v>
      </c>
      <c r="V16" s="20" cm="1">
        <f t="array" ref="V16">point_moment(U16,O16,Beam_Analysis!$J$29,Beam_Analysis!$D$3,Beam_Analysis!$D$2,$O$10,5)</f>
        <v>0</v>
      </c>
      <c r="W16" s="20" cm="1">
        <f t="array" ref="W16">point_moment(U16,O16,Beam_Analysis!$J$29,Beam_Analysis!$D$3,Beam_Analysis!$D$2,$O$11,5)</f>
        <v>0</v>
      </c>
      <c r="X16" s="20" cm="1">
        <f t="array" ref="X16">point_moment(U16,O16,Beam_Analysis!$J$29,Beam_Analysis!$D$3,Beam_Analysis!$D$2,$O$12,5)</f>
        <v>0</v>
      </c>
      <c r="Y16" s="20" cm="1">
        <f t="array" ref="Y16">point_moment(U16,O16,Beam_Analysis!$J$29,Beam_Analysis!$D$3,Beam_Analysis!$D$2,$O$13,5)</f>
        <v>0</v>
      </c>
      <c r="Z16" s="20" cm="1">
        <f t="array" ref="Z16">point_moment(U16,O16,Beam_Analysis!$J$29,Beam_Analysis!$D$3,Beam_Analysis!$D$2,$O$14,5)</f>
        <v>0</v>
      </c>
      <c r="AA16" s="20" cm="1">
        <f t="array" ref="AA16">IF(U15=0,0,point_moment(U16,O16,Beam_Analysis!$J$29,Beam_Analysis!$D$3,Beam_Analysis!$D$2,$O$15,4))</f>
        <v>0</v>
      </c>
      <c r="AB16" s="20" cm="1">
        <f t="array" ref="AB16">point_moment(U16,O16,Beam_Analysis!$J$29,Beam_Analysis!$D$3,Beam_Analysis!$D$2,$O$16,4)</f>
        <v>0</v>
      </c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3" t="e">
        <f t="shared" si="20"/>
        <v>#NUM!</v>
      </c>
      <c r="AY16" s="24">
        <f t="shared" si="13"/>
        <v>0</v>
      </c>
      <c r="AZ16" s="24" t="e">
        <f>AK31</f>
        <v>#NUM!</v>
      </c>
      <c r="BA16" s="25">
        <f t="shared" si="15"/>
        <v>0</v>
      </c>
      <c r="BB16" s="23" t="e">
        <f>V54</f>
        <v>#NUM!</v>
      </c>
      <c r="BC16" s="24">
        <v>0</v>
      </c>
      <c r="BD16" s="24" t="e">
        <f>AK53</f>
        <v>#NUM!</v>
      </c>
      <c r="BE16" s="25">
        <v>0</v>
      </c>
      <c r="BF16" s="23" t="e">
        <f>V73</f>
        <v>#NUM!</v>
      </c>
      <c r="BG16" s="24">
        <v>0</v>
      </c>
      <c r="BH16" s="24" t="e">
        <f>AK72</f>
        <v>#NUM!</v>
      </c>
      <c r="BI16" s="25">
        <v>0</v>
      </c>
      <c r="BJ16" s="23" t="e">
        <f>V89</f>
        <v>#NUM!</v>
      </c>
      <c r="BK16" s="24">
        <v>0</v>
      </c>
      <c r="BL16" s="24" t="e">
        <f>AK88</f>
        <v>#NUM!</v>
      </c>
      <c r="BM16" s="25">
        <v>0</v>
      </c>
      <c r="BN16" s="24" t="e">
        <f>V102</f>
        <v>#NUM!</v>
      </c>
      <c r="BO16" s="24">
        <v>0</v>
      </c>
      <c r="BP16" s="24" t="e">
        <f>AK101</f>
        <v>#NUM!</v>
      </c>
      <c r="BQ16" s="25">
        <v>0</v>
      </c>
    </row>
    <row r="17" spans="1:69" x14ac:dyDescent="0.25">
      <c r="F17">
        <f>F13</f>
        <v>20</v>
      </c>
      <c r="G17">
        <v>0</v>
      </c>
      <c r="N17" s="19"/>
      <c r="O17" s="20"/>
      <c r="P17" s="20"/>
      <c r="Q17" s="20"/>
      <c r="R17" s="20"/>
      <c r="S17" s="20"/>
      <c r="T17" s="20"/>
      <c r="U17" s="20">
        <f>IF(AND(U15=1,U16=1),0,IF(AND(U15=1,U16=0),1,IF(AND(U15=0,U16=1),2,3)))</f>
        <v>3</v>
      </c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1"/>
    </row>
    <row r="18" spans="1:69" x14ac:dyDescent="0.25">
      <c r="F18">
        <f>F17+Beam_Analysis!S29</f>
        <v>20</v>
      </c>
      <c r="G18">
        <v>0</v>
      </c>
      <c r="N18" s="19"/>
      <c r="O18" s="20"/>
      <c r="P18" s="20"/>
      <c r="Q18" s="20"/>
      <c r="R18" s="20"/>
      <c r="S18" s="20"/>
      <c r="T18" s="20"/>
      <c r="U18" s="20"/>
      <c r="V18" s="20" t="e">
        <f t="array" ref="V18:AB24">MINVERSE(V10:AB16)</f>
        <v>#NUM!</v>
      </c>
      <c r="W18" s="20" t="e">
        <v>#NUM!</v>
      </c>
      <c r="X18" s="20" t="e">
        <v>#NUM!</v>
      </c>
      <c r="Y18" s="20" t="e">
        <v>#NUM!</v>
      </c>
      <c r="Z18" s="20" t="e">
        <v>#NUM!</v>
      </c>
      <c r="AA18" s="20" t="e">
        <v>#NUM!</v>
      </c>
      <c r="AB18" s="20" t="e">
        <v>#NUM!</v>
      </c>
      <c r="AC18" s="20"/>
      <c r="AD18" s="20" t="e">
        <f t="array" ref="AD18:AI23">MINVERSE(AD10:AI15)</f>
        <v>#NUM!</v>
      </c>
      <c r="AE18" s="20" t="e">
        <v>#NUM!</v>
      </c>
      <c r="AF18" s="20" t="e">
        <v>#NUM!</v>
      </c>
      <c r="AG18" s="20" t="e">
        <v>#NUM!</v>
      </c>
      <c r="AH18" s="20" t="e">
        <v>#NUM!</v>
      </c>
      <c r="AI18" s="20" t="e">
        <v>#NUM!</v>
      </c>
      <c r="AJ18" s="20"/>
      <c r="AK18" s="20" t="e">
        <f t="array" ref="AK18:AP23">MINVERSE(AK10:AP15)</f>
        <v>#NUM!</v>
      </c>
      <c r="AL18" s="20" t="e">
        <v>#NUM!</v>
      </c>
      <c r="AM18" s="20" t="e">
        <v>#NUM!</v>
      </c>
      <c r="AN18" s="20" t="e">
        <v>#NUM!</v>
      </c>
      <c r="AO18" s="20" t="e">
        <v>#NUM!</v>
      </c>
      <c r="AP18" s="20" t="e">
        <v>#NUM!</v>
      </c>
      <c r="AQ18" s="20"/>
      <c r="AR18" s="20" t="e">
        <f t="array" ref="AR18:AV22">MINVERSE(AR10:AV14)</f>
        <v>#NUM!</v>
      </c>
      <c r="AS18" s="20" t="e">
        <v>#NUM!</v>
      </c>
      <c r="AT18" s="20" t="e">
        <v>#NUM!</v>
      </c>
      <c r="AU18" s="20" t="e">
        <v>#NUM!</v>
      </c>
      <c r="AV18" s="20" t="e">
        <v>#NUM!</v>
      </c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0"/>
      <c r="BP18" s="20"/>
      <c r="BQ18" s="21"/>
    </row>
    <row r="19" spans="1:69" x14ac:dyDescent="0.25">
      <c r="N19" s="19"/>
      <c r="O19" s="20"/>
      <c r="P19" s="20"/>
      <c r="Q19" s="20">
        <f>AA15</f>
        <v>0</v>
      </c>
      <c r="R19" s="20">
        <f>AB15</f>
        <v>0</v>
      </c>
      <c r="S19" s="20"/>
      <c r="T19" s="20"/>
      <c r="U19" s="20"/>
      <c r="V19" s="20" t="e">
        <v>#NUM!</v>
      </c>
      <c r="W19" s="20" t="e">
        <v>#NUM!</v>
      </c>
      <c r="X19" s="20" t="e">
        <v>#NUM!</v>
      </c>
      <c r="Y19" s="20" t="e">
        <v>#NUM!</v>
      </c>
      <c r="Z19" s="20" t="e">
        <v>#NUM!</v>
      </c>
      <c r="AA19" s="20" t="e">
        <v>#NUM!</v>
      </c>
      <c r="AB19" s="20" t="e">
        <v>#NUM!</v>
      </c>
      <c r="AC19" s="20"/>
      <c r="AD19" s="20" t="e">
        <v>#NUM!</v>
      </c>
      <c r="AE19" s="20" t="e">
        <v>#NUM!</v>
      </c>
      <c r="AF19" s="20" t="e">
        <v>#NUM!</v>
      </c>
      <c r="AG19" s="20" t="e">
        <v>#NUM!</v>
      </c>
      <c r="AH19" s="20" t="e">
        <v>#NUM!</v>
      </c>
      <c r="AI19" s="20" t="e">
        <v>#NUM!</v>
      </c>
      <c r="AJ19" s="20"/>
      <c r="AK19" s="20" t="e">
        <v>#NUM!</v>
      </c>
      <c r="AL19" s="20" t="e">
        <v>#NUM!</v>
      </c>
      <c r="AM19" s="20" t="e">
        <v>#NUM!</v>
      </c>
      <c r="AN19" s="20" t="e">
        <v>#NUM!</v>
      </c>
      <c r="AO19" s="20" t="e">
        <v>#NUM!</v>
      </c>
      <c r="AP19" s="20" t="e">
        <v>#NUM!</v>
      </c>
      <c r="AQ19" s="20"/>
      <c r="AR19" s="20" t="e">
        <v>#NUM!</v>
      </c>
      <c r="AS19" s="20" t="e">
        <v>#NUM!</v>
      </c>
      <c r="AT19" s="20" t="e">
        <v>#NUM!</v>
      </c>
      <c r="AU19" s="20" t="e">
        <v>#NUM!</v>
      </c>
      <c r="AV19" s="20" t="e">
        <v>#NUM!</v>
      </c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  <c r="BM19" s="20"/>
      <c r="BN19" s="20"/>
      <c r="BO19" s="20"/>
      <c r="BP19" s="20"/>
      <c r="BQ19" s="21"/>
    </row>
    <row r="20" spans="1:69" x14ac:dyDescent="0.25">
      <c r="N20" s="19"/>
      <c r="O20" s="20"/>
      <c r="P20" s="20"/>
      <c r="Q20" s="20">
        <f>AA16</f>
        <v>0</v>
      </c>
      <c r="R20" s="20">
        <f>AB16</f>
        <v>0</v>
      </c>
      <c r="S20" s="20"/>
      <c r="T20" s="20"/>
      <c r="U20" s="20"/>
      <c r="V20" s="20" t="e">
        <v>#NUM!</v>
      </c>
      <c r="W20" s="20" t="e">
        <v>#NUM!</v>
      </c>
      <c r="X20" s="20" t="e">
        <v>#NUM!</v>
      </c>
      <c r="Y20" s="20" t="e">
        <v>#NUM!</v>
      </c>
      <c r="Z20" s="20" t="e">
        <v>#NUM!</v>
      </c>
      <c r="AA20" s="20" t="e">
        <v>#NUM!</v>
      </c>
      <c r="AB20" s="20" t="e">
        <v>#NUM!</v>
      </c>
      <c r="AC20" s="20"/>
      <c r="AD20" s="20" t="e">
        <v>#NUM!</v>
      </c>
      <c r="AE20" s="20" t="e">
        <v>#NUM!</v>
      </c>
      <c r="AF20" s="20" t="e">
        <v>#NUM!</v>
      </c>
      <c r="AG20" s="20" t="e">
        <v>#NUM!</v>
      </c>
      <c r="AH20" s="20" t="e">
        <v>#NUM!</v>
      </c>
      <c r="AI20" s="20" t="e">
        <v>#NUM!</v>
      </c>
      <c r="AJ20" s="20"/>
      <c r="AK20" s="20" t="e">
        <v>#NUM!</v>
      </c>
      <c r="AL20" s="20" t="e">
        <v>#NUM!</v>
      </c>
      <c r="AM20" s="20" t="e">
        <v>#NUM!</v>
      </c>
      <c r="AN20" s="20" t="e">
        <v>#NUM!</v>
      </c>
      <c r="AO20" s="20" t="e">
        <v>#NUM!</v>
      </c>
      <c r="AP20" s="20" t="e">
        <v>#NUM!</v>
      </c>
      <c r="AQ20" s="20"/>
      <c r="AR20" s="20" t="e">
        <v>#NUM!</v>
      </c>
      <c r="AS20" s="20" t="e">
        <v>#NUM!</v>
      </c>
      <c r="AT20" s="20" t="e">
        <v>#NUM!</v>
      </c>
      <c r="AU20" s="20" t="e">
        <v>#NUM!</v>
      </c>
      <c r="AV20" s="20" t="e">
        <v>#NUM!</v>
      </c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20"/>
      <c r="BP20" s="20"/>
      <c r="BQ20" s="21"/>
    </row>
    <row r="21" spans="1:69" x14ac:dyDescent="0.25">
      <c r="N21" s="19"/>
      <c r="O21" s="20"/>
      <c r="P21" s="20"/>
      <c r="Q21" s="20"/>
      <c r="R21" s="20"/>
      <c r="S21" s="20"/>
      <c r="T21" s="20"/>
      <c r="U21" s="20"/>
      <c r="V21" s="20" t="e">
        <v>#NUM!</v>
      </c>
      <c r="W21" s="20" t="e">
        <v>#NUM!</v>
      </c>
      <c r="X21" s="20" t="e">
        <v>#NUM!</v>
      </c>
      <c r="Y21" s="20" t="e">
        <v>#NUM!</v>
      </c>
      <c r="Z21" s="20" t="e">
        <v>#NUM!</v>
      </c>
      <c r="AA21" s="20" t="e">
        <v>#NUM!</v>
      </c>
      <c r="AB21" s="20" t="e">
        <v>#NUM!</v>
      </c>
      <c r="AC21" s="20"/>
      <c r="AD21" s="20" t="e">
        <v>#NUM!</v>
      </c>
      <c r="AE21" s="20" t="e">
        <v>#NUM!</v>
      </c>
      <c r="AF21" s="20" t="e">
        <v>#NUM!</v>
      </c>
      <c r="AG21" s="20" t="e">
        <v>#NUM!</v>
      </c>
      <c r="AH21" s="20" t="e">
        <v>#NUM!</v>
      </c>
      <c r="AI21" s="20" t="e">
        <v>#NUM!</v>
      </c>
      <c r="AJ21" s="20"/>
      <c r="AK21" s="20" t="e">
        <v>#NUM!</v>
      </c>
      <c r="AL21" s="20" t="e">
        <v>#NUM!</v>
      </c>
      <c r="AM21" s="20" t="e">
        <v>#NUM!</v>
      </c>
      <c r="AN21" s="20" t="e">
        <v>#NUM!</v>
      </c>
      <c r="AO21" s="20" t="e">
        <v>#NUM!</v>
      </c>
      <c r="AP21" s="20" t="e">
        <v>#NUM!</v>
      </c>
      <c r="AQ21" s="20"/>
      <c r="AR21" s="20" t="e">
        <v>#NUM!</v>
      </c>
      <c r="AS21" s="20" t="e">
        <v>#NUM!</v>
      </c>
      <c r="AT21" s="20" t="e">
        <v>#NUM!</v>
      </c>
      <c r="AU21" s="20" t="e">
        <v>#NUM!</v>
      </c>
      <c r="AV21" s="20" t="e">
        <v>#NUM!</v>
      </c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  <c r="BM21" s="20"/>
      <c r="BN21" s="20"/>
      <c r="BO21" s="20"/>
      <c r="BP21" s="20"/>
      <c r="BQ21" s="21"/>
    </row>
    <row r="22" spans="1:69" x14ac:dyDescent="0.25">
      <c r="N22" s="19"/>
      <c r="O22" s="20"/>
      <c r="P22" s="20"/>
      <c r="Q22" s="20" t="e">
        <f t="array" ref="Q22:R23">MINVERSE(Q19:R20)</f>
        <v>#NUM!</v>
      </c>
      <c r="R22" s="20" t="e">
        <v>#NUM!</v>
      </c>
      <c r="S22" s="20"/>
      <c r="T22" s="20"/>
      <c r="U22" s="20"/>
      <c r="V22" s="20" t="e">
        <v>#NUM!</v>
      </c>
      <c r="W22" s="20" t="e">
        <v>#NUM!</v>
      </c>
      <c r="X22" s="20" t="e">
        <v>#NUM!</v>
      </c>
      <c r="Y22" s="20" t="e">
        <v>#NUM!</v>
      </c>
      <c r="Z22" s="20" t="e">
        <v>#NUM!</v>
      </c>
      <c r="AA22" s="20" t="e">
        <v>#NUM!</v>
      </c>
      <c r="AB22" s="20" t="e">
        <v>#NUM!</v>
      </c>
      <c r="AC22" s="20"/>
      <c r="AD22" s="20" t="e">
        <v>#NUM!</v>
      </c>
      <c r="AE22" s="20" t="e">
        <v>#NUM!</v>
      </c>
      <c r="AF22" s="20" t="e">
        <v>#NUM!</v>
      </c>
      <c r="AG22" s="20" t="e">
        <v>#NUM!</v>
      </c>
      <c r="AH22" s="20" t="e">
        <v>#NUM!</v>
      </c>
      <c r="AI22" s="20" t="e">
        <v>#NUM!</v>
      </c>
      <c r="AJ22" s="20"/>
      <c r="AK22" s="20" t="e">
        <v>#NUM!</v>
      </c>
      <c r="AL22" s="20" t="e">
        <v>#NUM!</v>
      </c>
      <c r="AM22" s="20" t="e">
        <v>#NUM!</v>
      </c>
      <c r="AN22" s="20" t="e">
        <v>#NUM!</v>
      </c>
      <c r="AO22" s="20" t="e">
        <v>#NUM!</v>
      </c>
      <c r="AP22" s="20" t="e">
        <v>#NUM!</v>
      </c>
      <c r="AQ22" s="20"/>
      <c r="AR22" s="20" t="e">
        <v>#NUM!</v>
      </c>
      <c r="AS22" s="20" t="e">
        <v>#NUM!</v>
      </c>
      <c r="AT22" s="20" t="e">
        <v>#NUM!</v>
      </c>
      <c r="AU22" s="20" t="e">
        <v>#NUM!</v>
      </c>
      <c r="AV22" s="20" t="e">
        <v>#NUM!</v>
      </c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1"/>
    </row>
    <row r="23" spans="1:69" x14ac:dyDescent="0.25">
      <c r="B23" t="s">
        <v>44</v>
      </c>
      <c r="N23" s="19"/>
      <c r="O23" s="20"/>
      <c r="P23" s="20"/>
      <c r="Q23" s="20" t="e">
        <v>#NUM!</v>
      </c>
      <c r="R23" s="20" t="e">
        <v>#NUM!</v>
      </c>
      <c r="S23" s="20"/>
      <c r="T23" s="20"/>
      <c r="U23" s="20"/>
      <c r="V23" s="20" t="e">
        <v>#NUM!</v>
      </c>
      <c r="W23" s="20" t="e">
        <v>#NUM!</v>
      </c>
      <c r="X23" s="20" t="e">
        <v>#NUM!</v>
      </c>
      <c r="Y23" s="20" t="e">
        <v>#NUM!</v>
      </c>
      <c r="Z23" s="20" t="e">
        <v>#NUM!</v>
      </c>
      <c r="AA23" s="20" t="e">
        <v>#NUM!</v>
      </c>
      <c r="AB23" s="20" t="e">
        <v>#NUM!</v>
      </c>
      <c r="AC23" s="20"/>
      <c r="AD23" s="20" t="e">
        <v>#NUM!</v>
      </c>
      <c r="AE23" s="20" t="e">
        <v>#NUM!</v>
      </c>
      <c r="AF23" s="20" t="e">
        <v>#NUM!</v>
      </c>
      <c r="AG23" s="20" t="e">
        <v>#NUM!</v>
      </c>
      <c r="AH23" s="20" t="e">
        <v>#NUM!</v>
      </c>
      <c r="AI23" s="20" t="e">
        <v>#NUM!</v>
      </c>
      <c r="AJ23" s="20"/>
      <c r="AK23" s="20" t="e">
        <v>#NUM!</v>
      </c>
      <c r="AL23" s="20" t="e">
        <v>#NUM!</v>
      </c>
      <c r="AM23" s="20" t="e">
        <v>#NUM!</v>
      </c>
      <c r="AN23" s="20" t="e">
        <v>#NUM!</v>
      </c>
      <c r="AO23" s="20" t="e">
        <v>#NUM!</v>
      </c>
      <c r="AP23" s="20" t="e">
        <v>#NUM!</v>
      </c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  <c r="BI23" s="20"/>
      <c r="BJ23" s="20"/>
      <c r="BK23" s="20"/>
      <c r="BL23" s="20"/>
      <c r="BM23" s="20"/>
      <c r="BN23" s="20"/>
      <c r="BO23" s="20"/>
      <c r="BP23" s="20"/>
      <c r="BQ23" s="21"/>
    </row>
    <row r="24" spans="1:69" x14ac:dyDescent="0.25">
      <c r="A24">
        <f>F8/26</f>
        <v>0</v>
      </c>
      <c r="B24" t="s">
        <v>45</v>
      </c>
      <c r="C24" t="s">
        <v>46</v>
      </c>
      <c r="N24" s="19"/>
      <c r="O24" s="20"/>
      <c r="P24" s="20"/>
      <c r="Q24" s="20"/>
      <c r="R24" s="20"/>
      <c r="S24" s="20"/>
      <c r="T24" s="20"/>
      <c r="U24" s="20"/>
      <c r="V24" s="20" t="e">
        <v>#NUM!</v>
      </c>
      <c r="W24" s="20" t="e">
        <v>#NUM!</v>
      </c>
      <c r="X24" s="20" t="e">
        <v>#NUM!</v>
      </c>
      <c r="Y24" s="20" t="e">
        <v>#NUM!</v>
      </c>
      <c r="Z24" s="20" t="e">
        <v>#NUM!</v>
      </c>
      <c r="AA24" s="20" t="e">
        <v>#NUM!</v>
      </c>
      <c r="AB24" s="20" t="e">
        <v>#NUM!</v>
      </c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0"/>
      <c r="BP24" s="20"/>
      <c r="BQ24" s="21"/>
    </row>
    <row r="25" spans="1:69" x14ac:dyDescent="0.25">
      <c r="A25">
        <v>1</v>
      </c>
      <c r="B25">
        <f>(A25-1)*$A$24</f>
        <v>0</v>
      </c>
      <c r="C25">
        <f ca="1">OFFSET(D25,0,$O$2)</f>
        <v>0</v>
      </c>
      <c r="D25" cm="1">
        <f t="array" aca="1" ref="D25:G25" ca="1">left_cantilever_analysis(Beam_Analysis!$B$29,B25,Beam_Analysis!$D$3,Beam_Analysis!$D$2,Beam_Analysis!$B$33:$G$53,Beam_Analysis!$G$5:$P$5,0)</f>
        <v>0</v>
      </c>
      <c r="E25">
        <f ca="1"/>
        <v>0</v>
      </c>
      <c r="F25">
        <f ca="1"/>
        <v>0</v>
      </c>
      <c r="G25">
        <f ca="1"/>
        <v>0</v>
      </c>
      <c r="N25" s="19"/>
      <c r="O25" s="20"/>
      <c r="P25" s="20"/>
      <c r="Q25" s="20" t="e">
        <f t="array" ref="Q25:Q26">MMULT(Q22:R23,T15:T16)</f>
        <v>#NUM!</v>
      </c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1"/>
    </row>
    <row r="26" spans="1:69" x14ac:dyDescent="0.25">
      <c r="A26">
        <v>2</v>
      </c>
      <c r="B26">
        <f t="shared" ref="B26:B51" si="22">(A26-1)*$A$24</f>
        <v>0</v>
      </c>
      <c r="C26">
        <f t="shared" ref="C26:C51" ca="1" si="23">OFFSET(D26,0,$O$2)</f>
        <v>0</v>
      </c>
      <c r="D26" cm="1">
        <f t="array" aca="1" ref="D26:G26" ca="1">left_cantilever_analysis(Beam_Analysis!$B$29,B26,Beam_Analysis!$D$3,Beam_Analysis!$D$2,Beam_Analysis!$B$33:$G$53,Beam_Analysis!$G$5:$P$5,0)</f>
        <v>0</v>
      </c>
      <c r="E26">
        <f ca="1"/>
        <v>0</v>
      </c>
      <c r="F26">
        <f ca="1"/>
        <v>0</v>
      </c>
      <c r="G26">
        <f ca="1"/>
        <v>0</v>
      </c>
      <c r="N26" s="19"/>
      <c r="O26" s="20"/>
      <c r="P26" s="20"/>
      <c r="Q26" s="20" t="e">
        <v>#NUM!</v>
      </c>
      <c r="R26" s="20"/>
      <c r="S26" s="20"/>
      <c r="T26" s="20"/>
      <c r="U26" s="20"/>
      <c r="V26" s="20" t="e">
        <f t="array" ref="V26:V32">MMULT(V18:AB24,T10:T16)</f>
        <v>#NUM!</v>
      </c>
      <c r="W26" s="20"/>
      <c r="X26" s="20"/>
      <c r="Y26" s="20"/>
      <c r="Z26" s="20"/>
      <c r="AA26" s="20"/>
      <c r="AB26" s="20"/>
      <c r="AC26" s="20"/>
      <c r="AD26" s="20" t="e">
        <f t="array" ref="AD26:AD31">MMULT(AD18:AI23,T10:T15)</f>
        <v>#NUM!</v>
      </c>
      <c r="AE26" s="20"/>
      <c r="AF26" s="20"/>
      <c r="AG26" s="20"/>
      <c r="AH26" s="20"/>
      <c r="AI26" s="20"/>
      <c r="AJ26" s="20">
        <f ca="1">T10</f>
        <v>0.24965800492610823</v>
      </c>
      <c r="AK26" s="20" t="e">
        <f t="array" ref="AK26:AK31">MMULT(AK18:AP23,AJ26:AJ31)</f>
        <v>#NUM!</v>
      </c>
      <c r="AL26" s="20"/>
      <c r="AM26" s="20"/>
      <c r="AN26" s="20"/>
      <c r="AO26" s="20"/>
      <c r="AP26" s="20"/>
      <c r="AQ26" s="20"/>
      <c r="AR26" s="20" t="e">
        <f t="array" ref="AR26:AR30">MMULT(AR18:AV22,T10:T14)</f>
        <v>#NUM!</v>
      </c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1"/>
    </row>
    <row r="27" spans="1:69" x14ac:dyDescent="0.25">
      <c r="A27">
        <v>3</v>
      </c>
      <c r="B27">
        <f t="shared" si="22"/>
        <v>0</v>
      </c>
      <c r="C27">
        <f t="shared" ca="1" si="23"/>
        <v>0</v>
      </c>
      <c r="D27" cm="1">
        <f t="array" aca="1" ref="D27:G27" ca="1">left_cantilever_analysis(Beam_Analysis!$B$29,B27,Beam_Analysis!$D$3,Beam_Analysis!$D$2,Beam_Analysis!$B$33:$G$53,Beam_Analysis!$G$5:$P$5,0)</f>
        <v>0</v>
      </c>
      <c r="E27">
        <f ca="1"/>
        <v>0</v>
      </c>
      <c r="F27">
        <f ca="1"/>
        <v>0</v>
      </c>
      <c r="G27">
        <f ca="1"/>
        <v>0</v>
      </c>
      <c r="N27" s="19"/>
      <c r="O27" s="20"/>
      <c r="P27" s="20"/>
      <c r="Q27" s="20"/>
      <c r="R27" s="20"/>
      <c r="S27" s="20"/>
      <c r="T27" s="20"/>
      <c r="U27" s="20"/>
      <c r="V27" s="20" t="e">
        <v>#NUM!</v>
      </c>
      <c r="W27" s="20"/>
      <c r="X27" s="20"/>
      <c r="Y27" s="20"/>
      <c r="Z27" s="20"/>
      <c r="AA27" s="20"/>
      <c r="AB27" s="20"/>
      <c r="AC27" s="20"/>
      <c r="AD27" s="20" t="e">
        <v>#NUM!</v>
      </c>
      <c r="AE27" s="20"/>
      <c r="AF27" s="20"/>
      <c r="AG27" s="20"/>
      <c r="AH27" s="20"/>
      <c r="AI27" s="20"/>
      <c r="AJ27" s="20">
        <f t="shared" ref="AJ27:AJ30" ca="1" si="24">T11</f>
        <v>0</v>
      </c>
      <c r="AK27" s="20" t="e">
        <v>#NUM!</v>
      </c>
      <c r="AL27" s="20"/>
      <c r="AM27" s="20"/>
      <c r="AN27" s="20"/>
      <c r="AO27" s="20"/>
      <c r="AP27" s="20"/>
      <c r="AQ27" s="20"/>
      <c r="AR27" s="20" t="e">
        <v>#NUM!</v>
      </c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1"/>
    </row>
    <row r="28" spans="1:69" x14ac:dyDescent="0.25">
      <c r="A28">
        <v>4</v>
      </c>
      <c r="B28">
        <f t="shared" si="22"/>
        <v>0</v>
      </c>
      <c r="C28">
        <f t="shared" ca="1" si="23"/>
        <v>0</v>
      </c>
      <c r="D28" cm="1">
        <f t="array" aca="1" ref="D28:G28" ca="1">left_cantilever_analysis(Beam_Analysis!$B$29,B28,Beam_Analysis!$D$3,Beam_Analysis!$D$2,Beam_Analysis!$B$33:$G$53,Beam_Analysis!$G$5:$P$5,0)</f>
        <v>0</v>
      </c>
      <c r="E28">
        <f ca="1"/>
        <v>0</v>
      </c>
      <c r="F28">
        <f ca="1"/>
        <v>0</v>
      </c>
      <c r="G28">
        <f ca="1"/>
        <v>0</v>
      </c>
      <c r="N28" s="19"/>
      <c r="O28" s="20"/>
      <c r="P28" s="20"/>
      <c r="Q28" s="20" t="e">
        <f ca="1">T15/AA15</f>
        <v>#DIV/0!</v>
      </c>
      <c r="R28" s="20"/>
      <c r="S28" s="20"/>
      <c r="T28" s="20"/>
      <c r="U28" s="20"/>
      <c r="V28" s="20" t="e">
        <v>#NUM!</v>
      </c>
      <c r="W28" s="20"/>
      <c r="X28" s="20"/>
      <c r="Y28" s="20"/>
      <c r="Z28" s="20"/>
      <c r="AA28" s="20"/>
      <c r="AB28" s="20"/>
      <c r="AC28" s="20"/>
      <c r="AD28" s="20" t="e">
        <v>#NUM!</v>
      </c>
      <c r="AE28" s="20"/>
      <c r="AF28" s="20"/>
      <c r="AG28" s="20"/>
      <c r="AH28" s="20"/>
      <c r="AI28" s="20"/>
      <c r="AJ28" s="20">
        <f t="shared" ca="1" si="24"/>
        <v>0</v>
      </c>
      <c r="AK28" s="20" t="e">
        <v>#NUM!</v>
      </c>
      <c r="AL28" s="20"/>
      <c r="AM28" s="20"/>
      <c r="AN28" s="20"/>
      <c r="AO28" s="20"/>
      <c r="AP28" s="20"/>
      <c r="AQ28" s="20"/>
      <c r="AR28" s="20" t="e">
        <v>#NUM!</v>
      </c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1"/>
    </row>
    <row r="29" spans="1:69" x14ac:dyDescent="0.25">
      <c r="A29">
        <v>5</v>
      </c>
      <c r="B29">
        <f t="shared" si="22"/>
        <v>0</v>
      </c>
      <c r="C29">
        <f t="shared" ca="1" si="23"/>
        <v>0</v>
      </c>
      <c r="D29" cm="1">
        <f t="array" aca="1" ref="D29:G29" ca="1">left_cantilever_analysis(Beam_Analysis!$B$29,B29,Beam_Analysis!$D$3,Beam_Analysis!$D$2,Beam_Analysis!$B$33:$G$53,Beam_Analysis!$G$5:$P$5,0)</f>
        <v>0</v>
      </c>
      <c r="E29">
        <f ca="1"/>
        <v>0</v>
      </c>
      <c r="F29">
        <f ca="1"/>
        <v>0</v>
      </c>
      <c r="G29">
        <f ca="1"/>
        <v>0</v>
      </c>
      <c r="N29" s="19"/>
      <c r="O29" s="20"/>
      <c r="P29" s="20"/>
      <c r="Q29" s="20"/>
      <c r="R29" s="20"/>
      <c r="S29" s="20"/>
      <c r="T29" s="20"/>
      <c r="U29" s="20"/>
      <c r="V29" s="20" t="e">
        <v>#NUM!</v>
      </c>
      <c r="W29" s="20"/>
      <c r="X29" s="20"/>
      <c r="Y29" s="20"/>
      <c r="Z29" s="20"/>
      <c r="AA29" s="20"/>
      <c r="AB29" s="20"/>
      <c r="AC29" s="20"/>
      <c r="AD29" s="20" t="e">
        <v>#NUM!</v>
      </c>
      <c r="AE29" s="20"/>
      <c r="AF29" s="20"/>
      <c r="AG29" s="20"/>
      <c r="AH29" s="20"/>
      <c r="AI29" s="20"/>
      <c r="AJ29" s="20">
        <f t="shared" ca="1" si="24"/>
        <v>0</v>
      </c>
      <c r="AK29" s="20" t="e">
        <v>#NUM!</v>
      </c>
      <c r="AL29" s="20"/>
      <c r="AM29" s="20"/>
      <c r="AN29" s="20"/>
      <c r="AO29" s="20"/>
      <c r="AP29" s="20"/>
      <c r="AQ29" s="20"/>
      <c r="AR29" s="20" t="e">
        <v>#NUM!</v>
      </c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1"/>
    </row>
    <row r="30" spans="1:69" x14ac:dyDescent="0.25">
      <c r="A30">
        <v>6</v>
      </c>
      <c r="B30">
        <f t="shared" si="22"/>
        <v>0</v>
      </c>
      <c r="C30">
        <f t="shared" ca="1" si="23"/>
        <v>0</v>
      </c>
      <c r="D30" cm="1">
        <f t="array" aca="1" ref="D30:G30" ca="1">left_cantilever_analysis(Beam_Analysis!$B$29,B30,Beam_Analysis!$D$3,Beam_Analysis!$D$2,Beam_Analysis!$B$33:$G$53,Beam_Analysis!$G$5:$P$5,0)</f>
        <v>0</v>
      </c>
      <c r="E30">
        <f ca="1"/>
        <v>0</v>
      </c>
      <c r="F30">
        <f ca="1"/>
        <v>0</v>
      </c>
      <c r="G30">
        <f ca="1"/>
        <v>0</v>
      </c>
      <c r="N30" s="19"/>
      <c r="O30" s="20"/>
      <c r="P30" s="20"/>
      <c r="Q30" s="22" t="e">
        <f ca="1">T16/AB16</f>
        <v>#DIV/0!</v>
      </c>
      <c r="R30" s="20"/>
      <c r="S30" s="20"/>
      <c r="T30" s="20"/>
      <c r="U30" s="20"/>
      <c r="V30" s="20" t="e">
        <v>#NUM!</v>
      </c>
      <c r="W30" s="20"/>
      <c r="X30" s="20"/>
      <c r="Y30" s="20"/>
      <c r="Z30" s="20"/>
      <c r="AA30" s="20"/>
      <c r="AB30" s="20"/>
      <c r="AC30" s="20"/>
      <c r="AD30" s="20" t="e">
        <v>#NUM!</v>
      </c>
      <c r="AE30" s="20"/>
      <c r="AF30" s="20"/>
      <c r="AG30" s="20"/>
      <c r="AH30" s="20"/>
      <c r="AI30" s="20"/>
      <c r="AJ30" s="20">
        <f t="shared" ca="1" si="24"/>
        <v>0</v>
      </c>
      <c r="AK30" s="20" t="e">
        <v>#NUM!</v>
      </c>
      <c r="AL30" s="20"/>
      <c r="AM30" s="20"/>
      <c r="AN30" s="20"/>
      <c r="AO30" s="20"/>
      <c r="AP30" s="20"/>
      <c r="AQ30" s="20"/>
      <c r="AR30" s="20" t="e">
        <v>#NUM!</v>
      </c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1"/>
    </row>
    <row r="31" spans="1:69" x14ac:dyDescent="0.25">
      <c r="A31">
        <v>7</v>
      </c>
      <c r="B31">
        <f t="shared" si="22"/>
        <v>0</v>
      </c>
      <c r="C31">
        <f t="shared" ca="1" si="23"/>
        <v>0</v>
      </c>
      <c r="D31" cm="1">
        <f t="array" aca="1" ref="D31:G31" ca="1">left_cantilever_analysis(Beam_Analysis!$B$29,B31,Beam_Analysis!$D$3,Beam_Analysis!$D$2,Beam_Analysis!$B$33:$G$53,Beam_Analysis!$G$5:$P$5,0)</f>
        <v>0</v>
      </c>
      <c r="E31">
        <f ca="1"/>
        <v>0</v>
      </c>
      <c r="F31">
        <f ca="1"/>
        <v>0</v>
      </c>
      <c r="G31">
        <f ca="1"/>
        <v>0</v>
      </c>
      <c r="N31" s="19"/>
      <c r="O31" s="20"/>
      <c r="P31" s="20"/>
      <c r="Q31" s="20"/>
      <c r="R31" s="20"/>
      <c r="S31" s="20"/>
      <c r="T31" s="20"/>
      <c r="U31" s="20"/>
      <c r="V31" s="20" t="e">
        <v>#NUM!</v>
      </c>
      <c r="W31" s="20"/>
      <c r="X31" s="20"/>
      <c r="Y31" s="20"/>
      <c r="Z31" s="20"/>
      <c r="AA31" s="20"/>
      <c r="AB31" s="20"/>
      <c r="AC31" s="20"/>
      <c r="AD31" s="20" t="e">
        <v>#NUM!</v>
      </c>
      <c r="AE31" s="20"/>
      <c r="AF31" s="20"/>
      <c r="AG31" s="20"/>
      <c r="AH31" s="20"/>
      <c r="AI31" s="20"/>
      <c r="AJ31" s="20">
        <f ca="1">T16</f>
        <v>-3.9408866995073871E-2</v>
      </c>
      <c r="AK31" s="20" t="e">
        <v>#NUM!</v>
      </c>
      <c r="AL31" s="20"/>
      <c r="AM31" s="20"/>
      <c r="AN31" s="20"/>
      <c r="AO31" s="20"/>
      <c r="AP31" s="20"/>
      <c r="AQ31" s="20"/>
      <c r="AR31" s="22">
        <v>0</v>
      </c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1"/>
    </row>
    <row r="32" spans="1:69" x14ac:dyDescent="0.25">
      <c r="A32">
        <v>8</v>
      </c>
      <c r="B32">
        <f t="shared" si="22"/>
        <v>0</v>
      </c>
      <c r="C32">
        <f t="shared" ca="1" si="23"/>
        <v>0</v>
      </c>
      <c r="D32" cm="1">
        <f t="array" aca="1" ref="D32:G32" ca="1">left_cantilever_analysis(Beam_Analysis!$B$29,B32,Beam_Analysis!$D$3,Beam_Analysis!$D$2,Beam_Analysis!$B$33:$G$53,Beam_Analysis!$G$5:$P$5,0)</f>
        <v>0</v>
      </c>
      <c r="E32">
        <f ca="1"/>
        <v>0</v>
      </c>
      <c r="F32">
        <f ca="1"/>
        <v>0</v>
      </c>
      <c r="G32">
        <f ca="1"/>
        <v>0</v>
      </c>
      <c r="N32" s="19"/>
      <c r="O32" s="20"/>
      <c r="P32" s="20"/>
      <c r="Q32" s="20"/>
      <c r="R32" s="20"/>
      <c r="S32" s="20"/>
      <c r="T32" s="20"/>
      <c r="U32" s="20"/>
      <c r="V32" s="20" t="e">
        <v>#NUM!</v>
      </c>
      <c r="W32" s="20"/>
      <c r="X32" s="20"/>
      <c r="Y32" s="20"/>
      <c r="Z32" s="20"/>
      <c r="AA32" s="20"/>
      <c r="AB32" s="20"/>
      <c r="AC32" s="20"/>
      <c r="AD32" s="22">
        <v>0</v>
      </c>
      <c r="AE32" s="20"/>
      <c r="AF32" s="20"/>
      <c r="AG32" s="20"/>
      <c r="AH32" s="20"/>
      <c r="AI32" s="20"/>
      <c r="AJ32" s="20"/>
      <c r="AK32" s="22">
        <v>0</v>
      </c>
      <c r="AL32" s="20"/>
      <c r="AM32" s="20"/>
      <c r="AN32" s="20"/>
      <c r="AO32" s="20"/>
      <c r="AP32" s="20"/>
      <c r="AQ32" s="20"/>
      <c r="AR32" s="22">
        <v>0</v>
      </c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1"/>
    </row>
    <row r="33" spans="1:69" x14ac:dyDescent="0.25">
      <c r="A33">
        <v>9</v>
      </c>
      <c r="B33">
        <f t="shared" si="22"/>
        <v>0</v>
      </c>
      <c r="C33">
        <f t="shared" ca="1" si="23"/>
        <v>0</v>
      </c>
      <c r="D33" cm="1">
        <f t="array" aca="1" ref="D33:G33" ca="1">left_cantilever_analysis(Beam_Analysis!$B$29,B33,Beam_Analysis!$D$3,Beam_Analysis!$D$2,Beam_Analysis!$B$33:$G$53,Beam_Analysis!$G$5:$P$5,0)</f>
        <v>0</v>
      </c>
      <c r="E33">
        <f ca="1"/>
        <v>0</v>
      </c>
      <c r="F33">
        <f ca="1"/>
        <v>0</v>
      </c>
      <c r="G33">
        <f ca="1"/>
        <v>0</v>
      </c>
      <c r="N33" s="19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1"/>
    </row>
    <row r="34" spans="1:69" x14ac:dyDescent="0.25">
      <c r="A34">
        <v>10</v>
      </c>
      <c r="B34">
        <f t="shared" si="22"/>
        <v>0</v>
      </c>
      <c r="C34">
        <f t="shared" ca="1" si="23"/>
        <v>0</v>
      </c>
      <c r="D34" cm="1">
        <f t="array" aca="1" ref="D34:G34" ca="1">left_cantilever_analysis(Beam_Analysis!$B$29,B34,Beam_Analysis!$D$3,Beam_Analysis!$D$2,Beam_Analysis!$B$33:$G$53,Beam_Analysis!$G$5:$P$5,0)</f>
        <v>0</v>
      </c>
      <c r="E34">
        <f ca="1"/>
        <v>0</v>
      </c>
      <c r="F34">
        <f ca="1"/>
        <v>0</v>
      </c>
      <c r="G34">
        <f ca="1"/>
        <v>0</v>
      </c>
      <c r="N34" s="19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1"/>
    </row>
    <row r="35" spans="1:69" x14ac:dyDescent="0.25">
      <c r="A35">
        <v>11</v>
      </c>
      <c r="B35">
        <f t="shared" si="22"/>
        <v>0</v>
      </c>
      <c r="C35">
        <f t="shared" ca="1" si="23"/>
        <v>0</v>
      </c>
      <c r="D35" cm="1">
        <f t="array" aca="1" ref="D35:G35" ca="1">left_cantilever_analysis(Beam_Analysis!$B$29,B35,Beam_Analysis!$D$3,Beam_Analysis!$D$2,Beam_Analysis!$B$33:$G$53,Beam_Analysis!$G$5:$P$5,0)</f>
        <v>0</v>
      </c>
      <c r="E35">
        <f ca="1"/>
        <v>0</v>
      </c>
      <c r="F35">
        <f ca="1"/>
        <v>0</v>
      </c>
      <c r="G35">
        <f ca="1"/>
        <v>0</v>
      </c>
      <c r="N35" s="19"/>
      <c r="O35" s="20"/>
      <c r="P35" s="20"/>
      <c r="Q35" s="20"/>
      <c r="R35" s="20"/>
      <c r="S35" s="20"/>
      <c r="T35" s="20"/>
      <c r="U35" s="20"/>
      <c r="V35" s="20">
        <f>V10</f>
        <v>-2.6334975369458131E-2</v>
      </c>
      <c r="W35" s="20">
        <f t="shared" ref="W35:Y35" si="25">W10</f>
        <v>0</v>
      </c>
      <c r="X35" s="20">
        <f t="shared" si="25"/>
        <v>0</v>
      </c>
      <c r="Y35" s="20">
        <f t="shared" si="25"/>
        <v>0</v>
      </c>
      <c r="Z35" s="20">
        <f>AA10</f>
        <v>0</v>
      </c>
      <c r="AA35" s="20">
        <f>AB10</f>
        <v>0</v>
      </c>
      <c r="AB35" s="20"/>
      <c r="AC35" s="20"/>
      <c r="AD35" s="20">
        <f>V35</f>
        <v>-2.6334975369458131E-2</v>
      </c>
      <c r="AE35" s="20">
        <f t="shared" ref="AE35:AH39" si="26">W35</f>
        <v>0</v>
      </c>
      <c r="AF35" s="20">
        <f t="shared" si="26"/>
        <v>0</v>
      </c>
      <c r="AG35" s="20">
        <f t="shared" si="26"/>
        <v>0</v>
      </c>
      <c r="AH35" s="20">
        <f t="shared" si="26"/>
        <v>0</v>
      </c>
      <c r="AI35" s="20"/>
      <c r="AJ35" s="20"/>
      <c r="AK35" s="20">
        <f>V35</f>
        <v>-2.6334975369458131E-2</v>
      </c>
      <c r="AL35" s="20">
        <f t="shared" ref="AL35:AN35" si="27">W35</f>
        <v>0</v>
      </c>
      <c r="AM35" s="20">
        <f t="shared" si="27"/>
        <v>0</v>
      </c>
      <c r="AN35" s="20">
        <f t="shared" si="27"/>
        <v>0</v>
      </c>
      <c r="AO35" s="20">
        <f>AA35</f>
        <v>0</v>
      </c>
      <c r="AP35" s="20"/>
      <c r="AQ35" s="20"/>
      <c r="AR35" s="20">
        <f>V35</f>
        <v>-2.6334975369458131E-2</v>
      </c>
      <c r="AS35" s="20">
        <f t="shared" ref="AS35:AU38" si="28">W35</f>
        <v>0</v>
      </c>
      <c r="AT35" s="20">
        <f t="shared" si="28"/>
        <v>0</v>
      </c>
      <c r="AU35" s="20">
        <f t="shared" si="28"/>
        <v>0</v>
      </c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  <c r="BI35" s="20"/>
      <c r="BJ35" s="20"/>
      <c r="BK35" s="20"/>
      <c r="BL35" s="20"/>
      <c r="BM35" s="20"/>
      <c r="BN35" s="20"/>
      <c r="BO35" s="20"/>
      <c r="BP35" s="20"/>
      <c r="BQ35" s="21"/>
    </row>
    <row r="36" spans="1:69" x14ac:dyDescent="0.25">
      <c r="A36">
        <v>12</v>
      </c>
      <c r="B36">
        <f t="shared" si="22"/>
        <v>0</v>
      </c>
      <c r="C36">
        <f t="shared" ca="1" si="23"/>
        <v>0</v>
      </c>
      <c r="D36" cm="1">
        <f t="array" aca="1" ref="D36:G36" ca="1">left_cantilever_analysis(Beam_Analysis!$B$29,B36,Beam_Analysis!$D$3,Beam_Analysis!$D$2,Beam_Analysis!$B$33:$G$53,Beam_Analysis!$G$5:$P$5,0)</f>
        <v>0</v>
      </c>
      <c r="E36">
        <f ca="1"/>
        <v>0</v>
      </c>
      <c r="F36">
        <f ca="1"/>
        <v>0</v>
      </c>
      <c r="G36">
        <f ca="1"/>
        <v>0</v>
      </c>
      <c r="N36" s="19"/>
      <c r="O36" s="20"/>
      <c r="P36" s="20"/>
      <c r="Q36" s="20"/>
      <c r="R36" s="20"/>
      <c r="S36" s="20"/>
      <c r="T36" s="20"/>
      <c r="U36" s="20"/>
      <c r="V36" s="20">
        <f t="shared" ref="V36:Y36" si="29">V11</f>
        <v>0</v>
      </c>
      <c r="W36" s="20">
        <f t="shared" si="29"/>
        <v>0</v>
      </c>
      <c r="X36" s="20">
        <f t="shared" si="29"/>
        <v>0</v>
      </c>
      <c r="Y36" s="20">
        <f t="shared" si="29"/>
        <v>0</v>
      </c>
      <c r="Z36" s="20">
        <f t="shared" ref="Z36:AA36" si="30">AA11</f>
        <v>0</v>
      </c>
      <c r="AA36" s="20">
        <f t="shared" si="30"/>
        <v>0</v>
      </c>
      <c r="AB36" s="20"/>
      <c r="AC36" s="20"/>
      <c r="AD36" s="20">
        <f>V36</f>
        <v>0</v>
      </c>
      <c r="AE36" s="20">
        <f t="shared" si="26"/>
        <v>0</v>
      </c>
      <c r="AF36" s="20">
        <f t="shared" si="26"/>
        <v>0</v>
      </c>
      <c r="AG36" s="20">
        <f t="shared" si="26"/>
        <v>0</v>
      </c>
      <c r="AH36" s="20">
        <f t="shared" si="26"/>
        <v>0</v>
      </c>
      <c r="AI36" s="20"/>
      <c r="AJ36" s="20"/>
      <c r="AK36" s="20">
        <f t="shared" ref="AK36:AK38" si="31">V36</f>
        <v>0</v>
      </c>
      <c r="AL36" s="20">
        <f t="shared" ref="AL36:AL38" si="32">W36</f>
        <v>0</v>
      </c>
      <c r="AM36" s="20">
        <f t="shared" ref="AM36:AM38" si="33">X36</f>
        <v>0</v>
      </c>
      <c r="AN36" s="20">
        <f t="shared" ref="AN36:AN38" si="34">Y36</f>
        <v>0</v>
      </c>
      <c r="AO36" s="20">
        <f t="shared" ref="AO36:AO38" si="35">AA36</f>
        <v>0</v>
      </c>
      <c r="AP36" s="20"/>
      <c r="AQ36" s="20"/>
      <c r="AR36" s="20">
        <f t="shared" ref="AR36:AR38" si="36">V36</f>
        <v>0</v>
      </c>
      <c r="AS36" s="20">
        <f t="shared" si="28"/>
        <v>0</v>
      </c>
      <c r="AT36" s="20">
        <f t="shared" si="28"/>
        <v>0</v>
      </c>
      <c r="AU36" s="20">
        <f t="shared" si="28"/>
        <v>0</v>
      </c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20"/>
      <c r="BI36" s="20"/>
      <c r="BJ36" s="20"/>
      <c r="BK36" s="20"/>
      <c r="BL36" s="20"/>
      <c r="BM36" s="20"/>
      <c r="BN36" s="20"/>
      <c r="BO36" s="20"/>
      <c r="BP36" s="20"/>
      <c r="BQ36" s="21"/>
    </row>
    <row r="37" spans="1:69" x14ac:dyDescent="0.25">
      <c r="A37">
        <v>13</v>
      </c>
      <c r="B37">
        <f t="shared" si="22"/>
        <v>0</v>
      </c>
      <c r="C37">
        <f t="shared" ca="1" si="23"/>
        <v>0</v>
      </c>
      <c r="D37" cm="1">
        <f t="array" aca="1" ref="D37:G37" ca="1">left_cantilever_analysis(Beam_Analysis!$B$29,B37,Beam_Analysis!$D$3,Beam_Analysis!$D$2,Beam_Analysis!$B$33:$G$53,Beam_Analysis!$G$5:$P$5,0)</f>
        <v>0</v>
      </c>
      <c r="E37">
        <f ca="1"/>
        <v>0</v>
      </c>
      <c r="F37">
        <f ca="1"/>
        <v>0</v>
      </c>
      <c r="G37">
        <f ca="1"/>
        <v>0</v>
      </c>
      <c r="N37" s="19"/>
      <c r="O37" s="20"/>
      <c r="P37" s="20"/>
      <c r="Q37" s="20"/>
      <c r="R37" s="20"/>
      <c r="S37" s="20"/>
      <c r="T37" s="20"/>
      <c r="U37" s="20"/>
      <c r="V37" s="20">
        <f t="shared" ref="V37:Y37" si="37">V12</f>
        <v>0</v>
      </c>
      <c r="W37" s="20">
        <f t="shared" si="37"/>
        <v>0</v>
      </c>
      <c r="X37" s="20">
        <f t="shared" si="37"/>
        <v>0</v>
      </c>
      <c r="Y37" s="20">
        <f t="shared" si="37"/>
        <v>0</v>
      </c>
      <c r="Z37" s="20">
        <f t="shared" ref="Z37:AA37" si="38">AA12</f>
        <v>0</v>
      </c>
      <c r="AA37" s="20">
        <f t="shared" si="38"/>
        <v>0</v>
      </c>
      <c r="AB37" s="20"/>
      <c r="AC37" s="20"/>
      <c r="AD37" s="20">
        <f>V37</f>
        <v>0</v>
      </c>
      <c r="AE37" s="20">
        <f t="shared" si="26"/>
        <v>0</v>
      </c>
      <c r="AF37" s="20">
        <f t="shared" si="26"/>
        <v>0</v>
      </c>
      <c r="AG37" s="20">
        <f t="shared" si="26"/>
        <v>0</v>
      </c>
      <c r="AH37" s="20">
        <f t="shared" si="26"/>
        <v>0</v>
      </c>
      <c r="AI37" s="20"/>
      <c r="AJ37" s="20"/>
      <c r="AK37" s="20">
        <f t="shared" si="31"/>
        <v>0</v>
      </c>
      <c r="AL37" s="20">
        <f t="shared" si="32"/>
        <v>0</v>
      </c>
      <c r="AM37" s="20">
        <f t="shared" si="33"/>
        <v>0</v>
      </c>
      <c r="AN37" s="20">
        <f t="shared" si="34"/>
        <v>0</v>
      </c>
      <c r="AO37" s="20">
        <f t="shared" si="35"/>
        <v>0</v>
      </c>
      <c r="AP37" s="20"/>
      <c r="AQ37" s="20"/>
      <c r="AR37" s="20">
        <f t="shared" si="36"/>
        <v>0</v>
      </c>
      <c r="AS37" s="20">
        <f t="shared" si="28"/>
        <v>0</v>
      </c>
      <c r="AT37" s="20">
        <f t="shared" si="28"/>
        <v>0</v>
      </c>
      <c r="AU37" s="20">
        <f t="shared" si="28"/>
        <v>0</v>
      </c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  <c r="BO37" s="20"/>
      <c r="BP37" s="20"/>
      <c r="BQ37" s="21"/>
    </row>
    <row r="38" spans="1:69" x14ac:dyDescent="0.25">
      <c r="A38">
        <v>14</v>
      </c>
      <c r="B38">
        <f t="shared" si="22"/>
        <v>0</v>
      </c>
      <c r="C38">
        <f t="shared" ca="1" si="23"/>
        <v>0</v>
      </c>
      <c r="D38" cm="1">
        <f t="array" aca="1" ref="D38:G38" ca="1">left_cantilever_analysis(Beam_Analysis!$B$29,B38,Beam_Analysis!$D$3,Beam_Analysis!$D$2,Beam_Analysis!$B$33:$G$53,Beam_Analysis!$G$5:$P$5,0)</f>
        <v>0</v>
      </c>
      <c r="E38">
        <f ca="1"/>
        <v>0</v>
      </c>
      <c r="F38">
        <f ca="1"/>
        <v>0</v>
      </c>
      <c r="G38">
        <f ca="1"/>
        <v>0</v>
      </c>
      <c r="N38" s="19"/>
      <c r="O38" s="20"/>
      <c r="P38" s="20"/>
      <c r="Q38" s="20"/>
      <c r="R38" s="20"/>
      <c r="S38" s="20"/>
      <c r="T38" s="20"/>
      <c r="U38" s="20"/>
      <c r="V38" s="20">
        <f t="shared" ref="V38:Y38" si="39">V13</f>
        <v>0</v>
      </c>
      <c r="W38" s="20">
        <f t="shared" si="39"/>
        <v>0</v>
      </c>
      <c r="X38" s="20">
        <f t="shared" si="39"/>
        <v>0</v>
      </c>
      <c r="Y38" s="20">
        <f t="shared" si="39"/>
        <v>0</v>
      </c>
      <c r="Z38" s="20">
        <f t="shared" ref="Z38:AA38" si="40">AA13</f>
        <v>0</v>
      </c>
      <c r="AA38" s="20">
        <f t="shared" si="40"/>
        <v>0</v>
      </c>
      <c r="AB38" s="20"/>
      <c r="AC38" s="20"/>
      <c r="AD38" s="20">
        <f>V38</f>
        <v>0</v>
      </c>
      <c r="AE38" s="20">
        <f t="shared" si="26"/>
        <v>0</v>
      </c>
      <c r="AF38" s="20">
        <f t="shared" si="26"/>
        <v>0</v>
      </c>
      <c r="AG38" s="20">
        <f t="shared" si="26"/>
        <v>0</v>
      </c>
      <c r="AH38" s="20">
        <f t="shared" si="26"/>
        <v>0</v>
      </c>
      <c r="AI38" s="20"/>
      <c r="AJ38" s="20"/>
      <c r="AK38" s="20">
        <f t="shared" si="31"/>
        <v>0</v>
      </c>
      <c r="AL38" s="20">
        <f t="shared" si="32"/>
        <v>0</v>
      </c>
      <c r="AM38" s="20">
        <f t="shared" si="33"/>
        <v>0</v>
      </c>
      <c r="AN38" s="20">
        <f t="shared" si="34"/>
        <v>0</v>
      </c>
      <c r="AO38" s="20">
        <f t="shared" si="35"/>
        <v>0</v>
      </c>
      <c r="AP38" s="20"/>
      <c r="AQ38" s="20"/>
      <c r="AR38" s="20">
        <f t="shared" si="36"/>
        <v>0</v>
      </c>
      <c r="AS38" s="20">
        <f t="shared" si="28"/>
        <v>0</v>
      </c>
      <c r="AT38" s="20">
        <f t="shared" si="28"/>
        <v>0</v>
      </c>
      <c r="AU38" s="20">
        <f t="shared" si="28"/>
        <v>0</v>
      </c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  <c r="BO38" s="20"/>
      <c r="BP38" s="20"/>
      <c r="BQ38" s="21"/>
    </row>
    <row r="39" spans="1:69" x14ac:dyDescent="0.25">
      <c r="A39">
        <v>15</v>
      </c>
      <c r="B39">
        <f t="shared" si="22"/>
        <v>0</v>
      </c>
      <c r="C39">
        <f t="shared" ca="1" si="23"/>
        <v>0</v>
      </c>
      <c r="D39" cm="1">
        <f t="array" aca="1" ref="D39:G39" ca="1">left_cantilever_analysis(Beam_Analysis!$B$29,B39,Beam_Analysis!$D$3,Beam_Analysis!$D$2,Beam_Analysis!$B$33:$G$53,Beam_Analysis!$G$5:$P$5,0)</f>
        <v>0</v>
      </c>
      <c r="E39">
        <f ca="1"/>
        <v>0</v>
      </c>
      <c r="F39">
        <f ca="1"/>
        <v>0</v>
      </c>
      <c r="G39">
        <f ca="1"/>
        <v>0</v>
      </c>
      <c r="N39" s="19"/>
      <c r="O39" s="20"/>
      <c r="P39" s="20"/>
      <c r="Q39" s="20"/>
      <c r="R39" s="20"/>
      <c r="S39" s="20"/>
      <c r="T39" s="20"/>
      <c r="U39" s="20"/>
      <c r="V39" s="20">
        <f>V15</f>
        <v>0</v>
      </c>
      <c r="W39" s="20">
        <f t="shared" ref="W39:Y40" si="41">W15</f>
        <v>0</v>
      </c>
      <c r="X39" s="20">
        <f t="shared" si="41"/>
        <v>0</v>
      </c>
      <c r="Y39" s="20">
        <f t="shared" si="41"/>
        <v>0</v>
      </c>
      <c r="Z39" s="20">
        <f>AA15</f>
        <v>0</v>
      </c>
      <c r="AA39" s="20">
        <f>AB15</f>
        <v>0</v>
      </c>
      <c r="AB39" s="20"/>
      <c r="AC39" s="20"/>
      <c r="AD39" s="20">
        <f>V39</f>
        <v>0</v>
      </c>
      <c r="AE39" s="20">
        <f t="shared" si="26"/>
        <v>0</v>
      </c>
      <c r="AF39" s="20">
        <f t="shared" si="26"/>
        <v>0</v>
      </c>
      <c r="AG39" s="20">
        <f t="shared" si="26"/>
        <v>0</v>
      </c>
      <c r="AH39" s="20">
        <f t="shared" si="26"/>
        <v>0</v>
      </c>
      <c r="AI39" s="20"/>
      <c r="AJ39" s="20"/>
      <c r="AK39" s="20">
        <f>V40</f>
        <v>0</v>
      </c>
      <c r="AL39" s="20">
        <f t="shared" ref="AL39:AN39" si="42">W40</f>
        <v>0</v>
      </c>
      <c r="AM39" s="20">
        <f t="shared" si="42"/>
        <v>0</v>
      </c>
      <c r="AN39" s="20">
        <f t="shared" si="42"/>
        <v>0</v>
      </c>
      <c r="AO39" s="20">
        <f>AA40</f>
        <v>0</v>
      </c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  <c r="BO39" s="20"/>
      <c r="BP39" s="20"/>
      <c r="BQ39" s="21"/>
    </row>
    <row r="40" spans="1:69" x14ac:dyDescent="0.25">
      <c r="A40">
        <v>16</v>
      </c>
      <c r="B40">
        <f t="shared" si="22"/>
        <v>0</v>
      </c>
      <c r="C40">
        <f t="shared" ca="1" si="23"/>
        <v>0</v>
      </c>
      <c r="D40" cm="1">
        <f t="array" aca="1" ref="D40:G40" ca="1">left_cantilever_analysis(Beam_Analysis!$B$29,B40,Beam_Analysis!$D$3,Beam_Analysis!$D$2,Beam_Analysis!$B$33:$G$53,Beam_Analysis!$G$5:$P$5,0)</f>
        <v>0</v>
      </c>
      <c r="E40">
        <f ca="1"/>
        <v>0</v>
      </c>
      <c r="F40">
        <f ca="1"/>
        <v>0</v>
      </c>
      <c r="G40">
        <f ca="1"/>
        <v>0</v>
      </c>
      <c r="N40" s="19"/>
      <c r="O40" s="20"/>
      <c r="P40" s="20"/>
      <c r="Q40" s="20"/>
      <c r="R40" s="20"/>
      <c r="S40" s="20"/>
      <c r="T40" s="20"/>
      <c r="U40" s="20"/>
      <c r="V40" s="20">
        <f>V16</f>
        <v>0</v>
      </c>
      <c r="W40" s="20">
        <f t="shared" si="41"/>
        <v>0</v>
      </c>
      <c r="X40" s="20">
        <f t="shared" si="41"/>
        <v>0</v>
      </c>
      <c r="Y40" s="20">
        <f t="shared" si="41"/>
        <v>0</v>
      </c>
      <c r="Z40" s="20">
        <f>AA16</f>
        <v>0</v>
      </c>
      <c r="AA40" s="20">
        <f>AB16</f>
        <v>0</v>
      </c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  <c r="BO40" s="20"/>
      <c r="BP40" s="20"/>
      <c r="BQ40" s="21"/>
    </row>
    <row r="41" spans="1:69" x14ac:dyDescent="0.25">
      <c r="A41">
        <v>17</v>
      </c>
      <c r="B41">
        <f t="shared" si="22"/>
        <v>0</v>
      </c>
      <c r="C41">
        <f t="shared" ca="1" si="23"/>
        <v>0</v>
      </c>
      <c r="D41" cm="1">
        <f t="array" aca="1" ref="D41:G41" ca="1">left_cantilever_analysis(Beam_Analysis!$B$29,B41,Beam_Analysis!$D$3,Beam_Analysis!$D$2,Beam_Analysis!$B$33:$G$53,Beam_Analysis!$G$5:$P$5,0)</f>
        <v>0</v>
      </c>
      <c r="E41">
        <f ca="1"/>
        <v>0</v>
      </c>
      <c r="F41">
        <f ca="1"/>
        <v>0</v>
      </c>
      <c r="G41">
        <f ca="1"/>
        <v>0</v>
      </c>
      <c r="N41" s="19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  <c r="BO41" s="20"/>
      <c r="BP41" s="20"/>
      <c r="BQ41" s="21"/>
    </row>
    <row r="42" spans="1:69" x14ac:dyDescent="0.25">
      <c r="A42">
        <v>18</v>
      </c>
      <c r="B42">
        <f t="shared" si="22"/>
        <v>0</v>
      </c>
      <c r="C42">
        <f t="shared" ca="1" si="23"/>
        <v>0</v>
      </c>
      <c r="D42" cm="1">
        <f t="array" aca="1" ref="D42:G42" ca="1">left_cantilever_analysis(Beam_Analysis!$B$29,B42,Beam_Analysis!$D$3,Beam_Analysis!$D$2,Beam_Analysis!$B$33:$G$53,Beam_Analysis!$G$5:$P$5,0)</f>
        <v>0</v>
      </c>
      <c r="E42">
        <f ca="1"/>
        <v>0</v>
      </c>
      <c r="F42">
        <f ca="1"/>
        <v>0</v>
      </c>
      <c r="G42">
        <f ca="1"/>
        <v>0</v>
      </c>
      <c r="N42" s="19"/>
      <c r="O42" s="20"/>
      <c r="P42" s="20"/>
      <c r="Q42" s="20"/>
      <c r="R42" s="20"/>
      <c r="S42" s="20"/>
      <c r="T42" s="20"/>
      <c r="U42" s="20"/>
      <c r="V42" s="20" t="e">
        <f t="array" ref="V42:AA47">MINVERSE(V35:AA40)</f>
        <v>#NUM!</v>
      </c>
      <c r="W42" s="20" t="e">
        <v>#NUM!</v>
      </c>
      <c r="X42" s="20" t="e">
        <v>#NUM!</v>
      </c>
      <c r="Y42" s="20" t="e">
        <v>#NUM!</v>
      </c>
      <c r="Z42" s="20" t="e">
        <v>#NUM!</v>
      </c>
      <c r="AA42" s="20" t="e">
        <v>#NUM!</v>
      </c>
      <c r="AB42" s="20"/>
      <c r="AC42" s="20"/>
      <c r="AD42" s="20" t="e">
        <f t="array" ref="AD42:AH46">MINVERSE(AD35:AH39)</f>
        <v>#NUM!</v>
      </c>
      <c r="AE42" s="20" t="e">
        <v>#NUM!</v>
      </c>
      <c r="AF42" s="20" t="e">
        <v>#NUM!</v>
      </c>
      <c r="AG42" s="20" t="e">
        <v>#NUM!</v>
      </c>
      <c r="AH42" s="20" t="e">
        <v>#NUM!</v>
      </c>
      <c r="AI42" s="20"/>
      <c r="AJ42" s="20"/>
      <c r="AK42" s="20" t="e">
        <f t="array" ref="AK42:AO46">MINVERSE(AK35:AO39)</f>
        <v>#NUM!</v>
      </c>
      <c r="AL42" s="20" t="e">
        <v>#NUM!</v>
      </c>
      <c r="AM42" s="20" t="e">
        <v>#NUM!</v>
      </c>
      <c r="AN42" s="20" t="e">
        <v>#NUM!</v>
      </c>
      <c r="AO42" s="20" t="e">
        <v>#NUM!</v>
      </c>
      <c r="AP42" s="20"/>
      <c r="AQ42" s="20"/>
      <c r="AR42" s="20" t="e">
        <f t="array" ref="AR42:AU45">MINVERSE(AR35:AU38)</f>
        <v>#NUM!</v>
      </c>
      <c r="AS42" s="20" t="e">
        <v>#NUM!</v>
      </c>
      <c r="AT42" s="20" t="e">
        <v>#NUM!</v>
      </c>
      <c r="AU42" s="20" t="e">
        <v>#NUM!</v>
      </c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  <c r="BO42" s="20"/>
      <c r="BP42" s="20"/>
      <c r="BQ42" s="21"/>
    </row>
    <row r="43" spans="1:69" x14ac:dyDescent="0.25">
      <c r="A43">
        <v>19</v>
      </c>
      <c r="B43">
        <f t="shared" si="22"/>
        <v>0</v>
      </c>
      <c r="C43">
        <f t="shared" ca="1" si="23"/>
        <v>0</v>
      </c>
      <c r="D43" cm="1">
        <f t="array" aca="1" ref="D43:G43" ca="1">left_cantilever_analysis(Beam_Analysis!$B$29,B43,Beam_Analysis!$D$3,Beam_Analysis!$D$2,Beam_Analysis!$B$33:$G$53,Beam_Analysis!$G$5:$P$5,0)</f>
        <v>0</v>
      </c>
      <c r="E43">
        <f ca="1"/>
        <v>0</v>
      </c>
      <c r="F43">
        <f ca="1"/>
        <v>0</v>
      </c>
      <c r="G43">
        <f ca="1"/>
        <v>0</v>
      </c>
      <c r="N43" s="19"/>
      <c r="O43" s="20"/>
      <c r="P43" s="20"/>
      <c r="Q43" s="20"/>
      <c r="R43" s="20"/>
      <c r="S43" s="20"/>
      <c r="T43" s="20"/>
      <c r="U43" s="20"/>
      <c r="V43" s="20" t="e">
        <v>#NUM!</v>
      </c>
      <c r="W43" s="20" t="e">
        <v>#NUM!</v>
      </c>
      <c r="X43" s="20" t="e">
        <v>#NUM!</v>
      </c>
      <c r="Y43" s="20" t="e">
        <v>#NUM!</v>
      </c>
      <c r="Z43" s="20" t="e">
        <v>#NUM!</v>
      </c>
      <c r="AA43" s="20" t="e">
        <v>#NUM!</v>
      </c>
      <c r="AB43" s="20"/>
      <c r="AC43" s="20"/>
      <c r="AD43" s="20" t="e">
        <v>#NUM!</v>
      </c>
      <c r="AE43" s="20" t="e">
        <v>#NUM!</v>
      </c>
      <c r="AF43" s="20" t="e">
        <v>#NUM!</v>
      </c>
      <c r="AG43" s="20" t="e">
        <v>#NUM!</v>
      </c>
      <c r="AH43" s="20" t="e">
        <v>#NUM!</v>
      </c>
      <c r="AI43" s="20"/>
      <c r="AJ43" s="20"/>
      <c r="AK43" s="20" t="e">
        <v>#NUM!</v>
      </c>
      <c r="AL43" s="20" t="e">
        <v>#NUM!</v>
      </c>
      <c r="AM43" s="20" t="e">
        <v>#NUM!</v>
      </c>
      <c r="AN43" s="20" t="e">
        <v>#NUM!</v>
      </c>
      <c r="AO43" s="20" t="e">
        <v>#NUM!</v>
      </c>
      <c r="AP43" s="20"/>
      <c r="AQ43" s="20"/>
      <c r="AR43" s="20" t="e">
        <v>#NUM!</v>
      </c>
      <c r="AS43" s="20" t="e">
        <v>#NUM!</v>
      </c>
      <c r="AT43" s="20" t="e">
        <v>#NUM!</v>
      </c>
      <c r="AU43" s="20" t="e">
        <v>#NUM!</v>
      </c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  <c r="BO43" s="20"/>
      <c r="BP43" s="20"/>
      <c r="BQ43" s="21"/>
    </row>
    <row r="44" spans="1:69" x14ac:dyDescent="0.25">
      <c r="A44">
        <v>20</v>
      </c>
      <c r="B44">
        <f t="shared" si="22"/>
        <v>0</v>
      </c>
      <c r="C44">
        <f t="shared" ca="1" si="23"/>
        <v>0</v>
      </c>
      <c r="D44" cm="1">
        <f t="array" aca="1" ref="D44:G44" ca="1">left_cantilever_analysis(Beam_Analysis!$B$29,B44,Beam_Analysis!$D$3,Beam_Analysis!$D$2,Beam_Analysis!$B$33:$G$53,Beam_Analysis!$G$5:$P$5,0)</f>
        <v>0</v>
      </c>
      <c r="E44">
        <f ca="1"/>
        <v>0</v>
      </c>
      <c r="F44">
        <f ca="1"/>
        <v>0</v>
      </c>
      <c r="G44">
        <f ca="1"/>
        <v>0</v>
      </c>
      <c r="N44" s="19"/>
      <c r="O44" s="20"/>
      <c r="P44" s="20"/>
      <c r="Q44" s="20"/>
      <c r="R44" s="20"/>
      <c r="S44" s="20"/>
      <c r="T44" s="20"/>
      <c r="U44" s="20"/>
      <c r="V44" s="20" t="e">
        <v>#NUM!</v>
      </c>
      <c r="W44" s="20" t="e">
        <v>#NUM!</v>
      </c>
      <c r="X44" s="20" t="e">
        <v>#NUM!</v>
      </c>
      <c r="Y44" s="20" t="e">
        <v>#NUM!</v>
      </c>
      <c r="Z44" s="20" t="e">
        <v>#NUM!</v>
      </c>
      <c r="AA44" s="20" t="e">
        <v>#NUM!</v>
      </c>
      <c r="AB44" s="20"/>
      <c r="AC44" s="20"/>
      <c r="AD44" s="20" t="e">
        <v>#NUM!</v>
      </c>
      <c r="AE44" s="20" t="e">
        <v>#NUM!</v>
      </c>
      <c r="AF44" s="20" t="e">
        <v>#NUM!</v>
      </c>
      <c r="AG44" s="20" t="e">
        <v>#NUM!</v>
      </c>
      <c r="AH44" s="20" t="e">
        <v>#NUM!</v>
      </c>
      <c r="AI44" s="20"/>
      <c r="AJ44" s="20"/>
      <c r="AK44" s="20" t="e">
        <v>#NUM!</v>
      </c>
      <c r="AL44" s="20" t="e">
        <v>#NUM!</v>
      </c>
      <c r="AM44" s="20" t="e">
        <v>#NUM!</v>
      </c>
      <c r="AN44" s="20" t="e">
        <v>#NUM!</v>
      </c>
      <c r="AO44" s="20" t="e">
        <v>#NUM!</v>
      </c>
      <c r="AP44" s="20"/>
      <c r="AQ44" s="20"/>
      <c r="AR44" s="20" t="e">
        <v>#NUM!</v>
      </c>
      <c r="AS44" s="20" t="e">
        <v>#NUM!</v>
      </c>
      <c r="AT44" s="20" t="e">
        <v>#NUM!</v>
      </c>
      <c r="AU44" s="20" t="e">
        <v>#NUM!</v>
      </c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  <c r="BO44" s="20"/>
      <c r="BP44" s="20"/>
      <c r="BQ44" s="21"/>
    </row>
    <row r="45" spans="1:69" x14ac:dyDescent="0.25">
      <c r="A45">
        <v>21</v>
      </c>
      <c r="B45">
        <f t="shared" si="22"/>
        <v>0</v>
      </c>
      <c r="C45">
        <f t="shared" ca="1" si="23"/>
        <v>0</v>
      </c>
      <c r="D45" cm="1">
        <f t="array" aca="1" ref="D45:G45" ca="1">left_cantilever_analysis(Beam_Analysis!$B$29,B45,Beam_Analysis!$D$3,Beam_Analysis!$D$2,Beam_Analysis!$B$33:$G$53,Beam_Analysis!$G$5:$P$5,0)</f>
        <v>0</v>
      </c>
      <c r="E45">
        <f ca="1"/>
        <v>0</v>
      </c>
      <c r="F45">
        <f ca="1"/>
        <v>0</v>
      </c>
      <c r="G45">
        <f ca="1"/>
        <v>0</v>
      </c>
      <c r="N45" s="19"/>
      <c r="O45" s="20"/>
      <c r="P45" s="20"/>
      <c r="Q45" s="20"/>
      <c r="R45" s="20"/>
      <c r="S45" s="20"/>
      <c r="T45" s="20"/>
      <c r="U45" s="20"/>
      <c r="V45" s="20" t="e">
        <v>#NUM!</v>
      </c>
      <c r="W45" s="20" t="e">
        <v>#NUM!</v>
      </c>
      <c r="X45" s="20" t="e">
        <v>#NUM!</v>
      </c>
      <c r="Y45" s="20" t="e">
        <v>#NUM!</v>
      </c>
      <c r="Z45" s="20" t="e">
        <v>#NUM!</v>
      </c>
      <c r="AA45" s="20" t="e">
        <v>#NUM!</v>
      </c>
      <c r="AB45" s="20"/>
      <c r="AC45" s="20"/>
      <c r="AD45" s="20" t="e">
        <v>#NUM!</v>
      </c>
      <c r="AE45" s="20" t="e">
        <v>#NUM!</v>
      </c>
      <c r="AF45" s="20" t="e">
        <v>#NUM!</v>
      </c>
      <c r="AG45" s="20" t="e">
        <v>#NUM!</v>
      </c>
      <c r="AH45" s="20" t="e">
        <v>#NUM!</v>
      </c>
      <c r="AI45" s="20"/>
      <c r="AJ45" s="20"/>
      <c r="AK45" s="20" t="e">
        <v>#NUM!</v>
      </c>
      <c r="AL45" s="20" t="e">
        <v>#NUM!</v>
      </c>
      <c r="AM45" s="20" t="e">
        <v>#NUM!</v>
      </c>
      <c r="AN45" s="20" t="e">
        <v>#NUM!</v>
      </c>
      <c r="AO45" s="20" t="e">
        <v>#NUM!</v>
      </c>
      <c r="AP45" s="20"/>
      <c r="AQ45" s="20"/>
      <c r="AR45" s="20" t="e">
        <v>#NUM!</v>
      </c>
      <c r="AS45" s="20" t="e">
        <v>#NUM!</v>
      </c>
      <c r="AT45" s="20" t="e">
        <v>#NUM!</v>
      </c>
      <c r="AU45" s="20" t="e">
        <v>#NUM!</v>
      </c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  <c r="BO45" s="20"/>
      <c r="BP45" s="20"/>
      <c r="BQ45" s="21"/>
    </row>
    <row r="46" spans="1:69" x14ac:dyDescent="0.25">
      <c r="A46">
        <v>22</v>
      </c>
      <c r="B46">
        <f t="shared" si="22"/>
        <v>0</v>
      </c>
      <c r="C46">
        <f t="shared" ca="1" si="23"/>
        <v>0</v>
      </c>
      <c r="D46" cm="1">
        <f t="array" aca="1" ref="D46:G46" ca="1">left_cantilever_analysis(Beam_Analysis!$B$29,B46,Beam_Analysis!$D$3,Beam_Analysis!$D$2,Beam_Analysis!$B$33:$G$53,Beam_Analysis!$G$5:$P$5,0)</f>
        <v>0</v>
      </c>
      <c r="E46">
        <f ca="1"/>
        <v>0</v>
      </c>
      <c r="F46">
        <f ca="1"/>
        <v>0</v>
      </c>
      <c r="G46">
        <f ca="1"/>
        <v>0</v>
      </c>
      <c r="N46" s="19"/>
      <c r="O46" s="20"/>
      <c r="P46" s="20"/>
      <c r="Q46" s="20"/>
      <c r="R46" s="20"/>
      <c r="S46" s="20"/>
      <c r="T46" s="20"/>
      <c r="U46" s="20"/>
      <c r="V46" s="20" t="e">
        <v>#NUM!</v>
      </c>
      <c r="W46" s="20" t="e">
        <v>#NUM!</v>
      </c>
      <c r="X46" s="20" t="e">
        <v>#NUM!</v>
      </c>
      <c r="Y46" s="20" t="e">
        <v>#NUM!</v>
      </c>
      <c r="Z46" s="20" t="e">
        <v>#NUM!</v>
      </c>
      <c r="AA46" s="20" t="e">
        <v>#NUM!</v>
      </c>
      <c r="AB46" s="20"/>
      <c r="AC46" s="20"/>
      <c r="AD46" s="20" t="e">
        <v>#NUM!</v>
      </c>
      <c r="AE46" s="20" t="e">
        <v>#NUM!</v>
      </c>
      <c r="AF46" s="20" t="e">
        <v>#NUM!</v>
      </c>
      <c r="AG46" s="20" t="e">
        <v>#NUM!</v>
      </c>
      <c r="AH46" s="20" t="e">
        <v>#NUM!</v>
      </c>
      <c r="AI46" s="20"/>
      <c r="AJ46" s="20"/>
      <c r="AK46" s="20" t="e">
        <v>#NUM!</v>
      </c>
      <c r="AL46" s="20" t="e">
        <v>#NUM!</v>
      </c>
      <c r="AM46" s="20" t="e">
        <v>#NUM!</v>
      </c>
      <c r="AN46" s="20" t="e">
        <v>#NUM!</v>
      </c>
      <c r="AO46" s="20" t="e">
        <v>#NUM!</v>
      </c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  <c r="BO46" s="20"/>
      <c r="BP46" s="20"/>
      <c r="BQ46" s="21"/>
    </row>
    <row r="47" spans="1:69" x14ac:dyDescent="0.25">
      <c r="A47">
        <v>23</v>
      </c>
      <c r="B47">
        <f t="shared" si="22"/>
        <v>0</v>
      </c>
      <c r="C47">
        <f t="shared" ca="1" si="23"/>
        <v>0</v>
      </c>
      <c r="D47" cm="1">
        <f t="array" aca="1" ref="D47:G47" ca="1">left_cantilever_analysis(Beam_Analysis!$B$29,B47,Beam_Analysis!$D$3,Beam_Analysis!$D$2,Beam_Analysis!$B$33:$G$53,Beam_Analysis!$G$5:$P$5,0)</f>
        <v>0</v>
      </c>
      <c r="E47">
        <f ca="1"/>
        <v>0</v>
      </c>
      <c r="F47">
        <f ca="1"/>
        <v>0</v>
      </c>
      <c r="G47">
        <f ca="1"/>
        <v>0</v>
      </c>
      <c r="N47" s="19"/>
      <c r="O47" s="20"/>
      <c r="P47" s="20"/>
      <c r="Q47" s="20"/>
      <c r="R47" s="20"/>
      <c r="S47" s="20"/>
      <c r="T47" s="20"/>
      <c r="U47" s="20"/>
      <c r="V47" s="20" t="e">
        <v>#NUM!</v>
      </c>
      <c r="W47" s="20" t="e">
        <v>#NUM!</v>
      </c>
      <c r="X47" s="20" t="e">
        <v>#NUM!</v>
      </c>
      <c r="Y47" s="20" t="e">
        <v>#NUM!</v>
      </c>
      <c r="Z47" s="20" t="e">
        <v>#NUM!</v>
      </c>
      <c r="AA47" s="20" t="e">
        <v>#NUM!</v>
      </c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  <c r="BO47" s="20"/>
      <c r="BP47" s="20"/>
      <c r="BQ47" s="21"/>
    </row>
    <row r="48" spans="1:69" x14ac:dyDescent="0.25">
      <c r="A48">
        <v>24</v>
      </c>
      <c r="B48">
        <f t="shared" si="22"/>
        <v>0</v>
      </c>
      <c r="C48">
        <f t="shared" ca="1" si="23"/>
        <v>0</v>
      </c>
      <c r="D48" cm="1">
        <f t="array" aca="1" ref="D48:G48" ca="1">left_cantilever_analysis(Beam_Analysis!$B$29,B48,Beam_Analysis!$D$3,Beam_Analysis!$D$2,Beam_Analysis!$B$33:$G$53,Beam_Analysis!$G$5:$P$5,0)</f>
        <v>0</v>
      </c>
      <c r="E48">
        <f ca="1"/>
        <v>0</v>
      </c>
      <c r="F48">
        <f ca="1"/>
        <v>0</v>
      </c>
      <c r="G48">
        <f ca="1"/>
        <v>0</v>
      </c>
      <c r="N48" s="19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  <c r="BO48" s="20"/>
      <c r="BP48" s="20"/>
      <c r="BQ48" s="21"/>
    </row>
    <row r="49" spans="1:69" x14ac:dyDescent="0.25">
      <c r="A49">
        <v>25</v>
      </c>
      <c r="B49">
        <f t="shared" si="22"/>
        <v>0</v>
      </c>
      <c r="C49">
        <f t="shared" ca="1" si="23"/>
        <v>0</v>
      </c>
      <c r="D49" cm="1">
        <f t="array" aca="1" ref="D49:G49" ca="1">left_cantilever_analysis(Beam_Analysis!$B$29,B49,Beam_Analysis!$D$3,Beam_Analysis!$D$2,Beam_Analysis!$B$33:$G$53,Beam_Analysis!$G$5:$P$5,0)</f>
        <v>0</v>
      </c>
      <c r="E49">
        <f ca="1"/>
        <v>0</v>
      </c>
      <c r="F49">
        <f ca="1"/>
        <v>0</v>
      </c>
      <c r="G49">
        <f ca="1"/>
        <v>0</v>
      </c>
      <c r="N49" s="19"/>
      <c r="O49" s="20"/>
      <c r="P49" s="20"/>
      <c r="Q49" s="20"/>
      <c r="R49" s="20"/>
      <c r="S49" s="20"/>
      <c r="T49" s="20"/>
      <c r="U49" s="20">
        <f ca="1">T10</f>
        <v>0.24965800492610823</v>
      </c>
      <c r="V49" s="20" t="e">
        <f t="array" ref="V49:V54">MMULT(V42:AA47,U49:U54)</f>
        <v>#NUM!</v>
      </c>
      <c r="W49" s="20"/>
      <c r="X49" s="20"/>
      <c r="Y49" s="20"/>
      <c r="Z49" s="20"/>
      <c r="AA49" s="20"/>
      <c r="AB49" s="20"/>
      <c r="AC49" s="20"/>
      <c r="AD49" s="20" t="e">
        <f t="array" ref="AD49:AD53">MMULT(AD42:AH46,U49:U53)</f>
        <v>#NUM!</v>
      </c>
      <c r="AE49" s="20"/>
      <c r="AF49" s="20"/>
      <c r="AG49" s="20"/>
      <c r="AH49" s="20"/>
      <c r="AI49" s="20"/>
      <c r="AJ49" s="20">
        <f ca="1">U49</f>
        <v>0.24965800492610823</v>
      </c>
      <c r="AK49" s="20" t="e">
        <f t="array" ref="AK49:AK53">MMULT(AK42:AO46,AJ49:AJ53)</f>
        <v>#NUM!</v>
      </c>
      <c r="AL49" s="20"/>
      <c r="AM49" s="20"/>
      <c r="AN49" s="20"/>
      <c r="AO49" s="20"/>
      <c r="AP49" s="20"/>
      <c r="AQ49" s="20"/>
      <c r="AR49" s="20" t="e">
        <f t="array" ref="AR49:AR52">MMULT(AR42:AU45,U49:U52)</f>
        <v>#NUM!</v>
      </c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  <c r="BO49" s="20"/>
      <c r="BP49" s="20"/>
      <c r="BQ49" s="21"/>
    </row>
    <row r="50" spans="1:69" x14ac:dyDescent="0.25">
      <c r="A50">
        <v>26</v>
      </c>
      <c r="B50">
        <f t="shared" si="22"/>
        <v>0</v>
      </c>
      <c r="C50">
        <f t="shared" ca="1" si="23"/>
        <v>0</v>
      </c>
      <c r="D50" cm="1">
        <f t="array" aca="1" ref="D50:G50" ca="1">left_cantilever_analysis(Beam_Analysis!$B$29,B50,Beam_Analysis!$D$3,Beam_Analysis!$D$2,Beam_Analysis!$B$33:$G$53,Beam_Analysis!$G$5:$P$5,0)</f>
        <v>0</v>
      </c>
      <c r="E50">
        <f ca="1"/>
        <v>0</v>
      </c>
      <c r="F50">
        <f ca="1"/>
        <v>0</v>
      </c>
      <c r="G50">
        <f ca="1"/>
        <v>0</v>
      </c>
      <c r="N50" s="19"/>
      <c r="O50" s="20"/>
      <c r="P50" s="20"/>
      <c r="Q50" s="20"/>
      <c r="R50" s="20"/>
      <c r="S50" s="20"/>
      <c r="T50" s="20"/>
      <c r="U50" s="20">
        <f t="shared" ref="U50:U52" ca="1" si="43">T11</f>
        <v>0</v>
      </c>
      <c r="V50" s="20" t="e">
        <v>#NUM!</v>
      </c>
      <c r="W50" s="20"/>
      <c r="X50" s="20"/>
      <c r="Y50" s="20"/>
      <c r="Z50" s="20"/>
      <c r="AA50" s="20"/>
      <c r="AB50" s="20"/>
      <c r="AC50" s="20"/>
      <c r="AD50" s="20" t="e">
        <v>#NUM!</v>
      </c>
      <c r="AE50" s="20"/>
      <c r="AF50" s="20"/>
      <c r="AG50" s="20"/>
      <c r="AH50" s="20"/>
      <c r="AI50" s="20"/>
      <c r="AJ50" s="20">
        <f t="shared" ref="AJ50:AJ52" ca="1" si="44">U50</f>
        <v>0</v>
      </c>
      <c r="AK50" s="20" t="e">
        <v>#NUM!</v>
      </c>
      <c r="AL50" s="20"/>
      <c r="AM50" s="20"/>
      <c r="AN50" s="20"/>
      <c r="AO50" s="20"/>
      <c r="AP50" s="20"/>
      <c r="AQ50" s="20"/>
      <c r="AR50" s="20" t="e">
        <v>#NUM!</v>
      </c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  <c r="BO50" s="20"/>
      <c r="BP50" s="20"/>
      <c r="BQ50" s="21"/>
    </row>
    <row r="51" spans="1:69" x14ac:dyDescent="0.25">
      <c r="A51">
        <v>27</v>
      </c>
      <c r="B51">
        <f t="shared" si="22"/>
        <v>0</v>
      </c>
      <c r="C51">
        <f t="shared" ca="1" si="23"/>
        <v>0</v>
      </c>
      <c r="D51" cm="1">
        <f t="array" aca="1" ref="D51:G51" ca="1">left_cantilever_analysis(Beam_Analysis!$B$29,B51,Beam_Analysis!$D$3,Beam_Analysis!$D$2,Beam_Analysis!$B$33:$G$53,Beam_Analysis!$G$5:$P$5,0)</f>
        <v>0</v>
      </c>
      <c r="E51">
        <f ca="1"/>
        <v>0</v>
      </c>
      <c r="F51">
        <f ca="1"/>
        <v>0</v>
      </c>
      <c r="G51">
        <f ca="1"/>
        <v>0</v>
      </c>
      <c r="N51" s="19"/>
      <c r="O51" s="20"/>
      <c r="P51" s="20"/>
      <c r="Q51" s="20"/>
      <c r="R51" s="20"/>
      <c r="S51" s="20"/>
      <c r="T51" s="20"/>
      <c r="U51" s="20">
        <f t="shared" ca="1" si="43"/>
        <v>0</v>
      </c>
      <c r="V51" s="20" t="e">
        <v>#NUM!</v>
      </c>
      <c r="W51" s="20"/>
      <c r="X51" s="20"/>
      <c r="Y51" s="20"/>
      <c r="Z51" s="20"/>
      <c r="AA51" s="20"/>
      <c r="AB51" s="20"/>
      <c r="AC51" s="20"/>
      <c r="AD51" s="20" t="e">
        <v>#NUM!</v>
      </c>
      <c r="AE51" s="20"/>
      <c r="AF51" s="20"/>
      <c r="AG51" s="20"/>
      <c r="AH51" s="20"/>
      <c r="AI51" s="20"/>
      <c r="AJ51" s="20">
        <f t="shared" ca="1" si="44"/>
        <v>0</v>
      </c>
      <c r="AK51" s="20" t="e">
        <v>#NUM!</v>
      </c>
      <c r="AL51" s="20"/>
      <c r="AM51" s="20"/>
      <c r="AN51" s="20"/>
      <c r="AO51" s="20"/>
      <c r="AP51" s="20"/>
      <c r="AQ51" s="20"/>
      <c r="AR51" s="20" t="e">
        <v>#NUM!</v>
      </c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  <c r="BO51" s="20"/>
      <c r="BP51" s="20"/>
      <c r="BQ51" s="21"/>
    </row>
    <row r="52" spans="1:69" x14ac:dyDescent="0.25">
      <c r="N52" s="19"/>
      <c r="O52" s="20"/>
      <c r="P52" s="20"/>
      <c r="Q52" s="20"/>
      <c r="R52" s="20"/>
      <c r="S52" s="20"/>
      <c r="T52" s="20"/>
      <c r="U52" s="20">
        <f t="shared" ca="1" si="43"/>
        <v>0</v>
      </c>
      <c r="V52" s="20" t="e">
        <v>#NUM!</v>
      </c>
      <c r="W52" s="20"/>
      <c r="X52" s="20"/>
      <c r="Y52" s="20"/>
      <c r="Z52" s="20"/>
      <c r="AA52" s="20"/>
      <c r="AB52" s="20"/>
      <c r="AC52" s="20"/>
      <c r="AD52" s="20" t="e">
        <v>#NUM!</v>
      </c>
      <c r="AE52" s="20"/>
      <c r="AF52" s="20"/>
      <c r="AG52" s="20"/>
      <c r="AH52" s="20"/>
      <c r="AI52" s="20"/>
      <c r="AJ52" s="20">
        <f t="shared" ca="1" si="44"/>
        <v>0</v>
      </c>
      <c r="AK52" s="20" t="e">
        <v>#NUM!</v>
      </c>
      <c r="AL52" s="20"/>
      <c r="AM52" s="20"/>
      <c r="AN52" s="20"/>
      <c r="AO52" s="20"/>
      <c r="AP52" s="20"/>
      <c r="AQ52" s="20"/>
      <c r="AR52" s="20" t="e">
        <v>#NUM!</v>
      </c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  <c r="BO52" s="20"/>
      <c r="BP52" s="20"/>
      <c r="BQ52" s="21"/>
    </row>
    <row r="53" spans="1:69" x14ac:dyDescent="0.25">
      <c r="A53">
        <f>Beam_Analysis!S29/26</f>
        <v>0</v>
      </c>
      <c r="B53" t="s">
        <v>45</v>
      </c>
      <c r="C53" t="s">
        <v>46</v>
      </c>
      <c r="N53" s="19"/>
      <c r="O53" s="20"/>
      <c r="P53" s="20"/>
      <c r="Q53" s="20"/>
      <c r="R53" s="20"/>
      <c r="S53" s="20"/>
      <c r="T53" s="20"/>
      <c r="U53" s="20">
        <f ca="1">T15</f>
        <v>4.1200179131213599E-2</v>
      </c>
      <c r="V53" s="20" t="e">
        <v>#NUM!</v>
      </c>
      <c r="W53" s="20"/>
      <c r="X53" s="20"/>
      <c r="Y53" s="20"/>
      <c r="Z53" s="20"/>
      <c r="AA53" s="20"/>
      <c r="AB53" s="20"/>
      <c r="AC53" s="20"/>
      <c r="AD53" s="20" t="e">
        <v>#NUM!</v>
      </c>
      <c r="AE53" s="20"/>
      <c r="AF53" s="20"/>
      <c r="AG53" s="20"/>
      <c r="AH53" s="20"/>
      <c r="AI53" s="20"/>
      <c r="AJ53" s="20">
        <f ca="1">U54</f>
        <v>-3.9408866995073871E-2</v>
      </c>
      <c r="AK53" s="20" t="e">
        <v>#NUM!</v>
      </c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  <c r="BO53" s="20"/>
      <c r="BP53" s="20"/>
      <c r="BQ53" s="21"/>
    </row>
    <row r="54" spans="1:69" x14ac:dyDescent="0.25">
      <c r="A54">
        <v>1</v>
      </c>
      <c r="B54">
        <f>(A54-1)*$A$53</f>
        <v>0</v>
      </c>
      <c r="C54">
        <f ca="1">OFFSET(D54,0,$O$2)</f>
        <v>0</v>
      </c>
      <c r="D54" cm="1">
        <f t="array" aca="1" ref="D54:G54" ca="1">right_cantilever_analysis(Beam_Analysis!$S$29,B54,Beam_Analysis!$D$3,Beam_Analysis!$D$2,Beam_Analysis!$S$33:$X$53,Beam_Analysis!$G$5:$P$5,0)</f>
        <v>0</v>
      </c>
      <c r="E54">
        <f ca="1"/>
        <v>0</v>
      </c>
      <c r="F54">
        <f ca="1"/>
        <v>0</v>
      </c>
      <c r="G54">
        <f ca="1"/>
        <v>0</v>
      </c>
      <c r="H54">
        <f>B54+$F$17</f>
        <v>20</v>
      </c>
      <c r="N54" s="19"/>
      <c r="O54" s="20"/>
      <c r="P54" s="20"/>
      <c r="Q54" s="20"/>
      <c r="R54" s="20"/>
      <c r="S54" s="20"/>
      <c r="T54" s="20"/>
      <c r="U54" s="20">
        <f ca="1">T16</f>
        <v>-3.9408866995073871E-2</v>
      </c>
      <c r="V54" s="20" t="e">
        <v>#NUM!</v>
      </c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  <c r="BO54" s="20"/>
      <c r="BP54" s="20"/>
      <c r="BQ54" s="21"/>
    </row>
    <row r="55" spans="1:69" x14ac:dyDescent="0.25">
      <c r="A55">
        <v>2</v>
      </c>
      <c r="B55">
        <f t="shared" ref="B55:B80" si="45">(A55-1)*$A$53</f>
        <v>0</v>
      </c>
      <c r="C55">
        <f t="shared" ref="C55:C80" ca="1" si="46">OFFSET(D55,0,$O$2)</f>
        <v>0</v>
      </c>
      <c r="D55" cm="1">
        <f t="array" aca="1" ref="D55:G55" ca="1">right_cantilever_analysis(Beam_Analysis!$S$29,B55,Beam_Analysis!$D$3,Beam_Analysis!$D$2,Beam_Analysis!$S$33:$X$53,Beam_Analysis!$G$5:$P$5,0)</f>
        <v>0</v>
      </c>
      <c r="E55">
        <f ca="1"/>
        <v>0</v>
      </c>
      <c r="F55">
        <f ca="1"/>
        <v>0</v>
      </c>
      <c r="G55">
        <f ca="1"/>
        <v>0</v>
      </c>
      <c r="H55">
        <f t="shared" ref="H55:H80" si="47">B55+$F$17</f>
        <v>20</v>
      </c>
      <c r="N55" s="19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  <c r="BO55" s="20"/>
      <c r="BP55" s="20"/>
      <c r="BQ55" s="21"/>
    </row>
    <row r="56" spans="1:69" x14ac:dyDescent="0.25">
      <c r="A56">
        <v>3</v>
      </c>
      <c r="B56">
        <f t="shared" si="45"/>
        <v>0</v>
      </c>
      <c r="C56">
        <f t="shared" ca="1" si="46"/>
        <v>0</v>
      </c>
      <c r="D56" cm="1">
        <f t="array" aca="1" ref="D56:G56" ca="1">right_cantilever_analysis(Beam_Analysis!$S$29,B56,Beam_Analysis!$D$3,Beam_Analysis!$D$2,Beam_Analysis!$S$33:$X$53,Beam_Analysis!$G$5:$P$5,0)</f>
        <v>0</v>
      </c>
      <c r="E56">
        <f ca="1"/>
        <v>0</v>
      </c>
      <c r="F56">
        <f ca="1"/>
        <v>0</v>
      </c>
      <c r="G56">
        <f ca="1"/>
        <v>0</v>
      </c>
      <c r="H56">
        <f t="shared" si="47"/>
        <v>20</v>
      </c>
      <c r="N56" s="19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  <c r="BO56" s="20"/>
      <c r="BP56" s="20"/>
      <c r="BQ56" s="21"/>
    </row>
    <row r="57" spans="1:69" x14ac:dyDescent="0.25">
      <c r="A57">
        <v>4</v>
      </c>
      <c r="B57">
        <f t="shared" si="45"/>
        <v>0</v>
      </c>
      <c r="C57">
        <f t="shared" ca="1" si="46"/>
        <v>0</v>
      </c>
      <c r="D57" cm="1">
        <f t="array" aca="1" ref="D57:G57" ca="1">right_cantilever_analysis(Beam_Analysis!$S$29,B57,Beam_Analysis!$D$3,Beam_Analysis!$D$2,Beam_Analysis!$S$33:$X$53,Beam_Analysis!$G$5:$P$5,0)</f>
        <v>0</v>
      </c>
      <c r="E57">
        <f ca="1"/>
        <v>0</v>
      </c>
      <c r="F57">
        <f ca="1"/>
        <v>0</v>
      </c>
      <c r="G57">
        <f ca="1"/>
        <v>0</v>
      </c>
      <c r="H57">
        <f t="shared" si="47"/>
        <v>20</v>
      </c>
      <c r="N57" s="19"/>
      <c r="O57" s="20"/>
      <c r="P57" s="20"/>
      <c r="Q57" s="20"/>
      <c r="R57" s="20"/>
      <c r="S57" s="20"/>
      <c r="T57" s="20"/>
      <c r="U57" s="20"/>
      <c r="V57" s="20">
        <f>V10</f>
        <v>-2.6334975369458131E-2</v>
      </c>
      <c r="W57" s="20">
        <f t="shared" ref="W57:X57" si="48">W10</f>
        <v>0</v>
      </c>
      <c r="X57" s="20">
        <f t="shared" si="48"/>
        <v>0</v>
      </c>
      <c r="Y57" s="20">
        <f>AA10</f>
        <v>0</v>
      </c>
      <c r="Z57" s="20">
        <f>AB10</f>
        <v>0</v>
      </c>
      <c r="AA57" s="20"/>
      <c r="AB57" s="20"/>
      <c r="AC57" s="20"/>
      <c r="AD57" s="20">
        <f>V57</f>
        <v>-2.6334975369458131E-2</v>
      </c>
      <c r="AE57" s="20">
        <f t="shared" ref="AE57:AG60" si="49">W57</f>
        <v>0</v>
      </c>
      <c r="AF57" s="20">
        <f t="shared" si="49"/>
        <v>0</v>
      </c>
      <c r="AG57" s="20">
        <f t="shared" si="49"/>
        <v>0</v>
      </c>
      <c r="AH57" s="20"/>
      <c r="AI57" s="20"/>
      <c r="AJ57" s="20"/>
      <c r="AK57" s="20">
        <f>V57</f>
        <v>-2.6334975369458131E-2</v>
      </c>
      <c r="AL57" s="20">
        <f t="shared" ref="AL57:AM59" si="50">W57</f>
        <v>0</v>
      </c>
      <c r="AM57" s="20">
        <f t="shared" si="50"/>
        <v>0</v>
      </c>
      <c r="AN57" s="20">
        <f>Z57</f>
        <v>0</v>
      </c>
      <c r="AO57" s="20"/>
      <c r="AP57" s="20"/>
      <c r="AQ57" s="20"/>
      <c r="AR57" s="20">
        <f>V57</f>
        <v>-2.6334975369458131E-2</v>
      </c>
      <c r="AS57" s="20">
        <f t="shared" ref="AS57:AT59" si="51">W57</f>
        <v>0</v>
      </c>
      <c r="AT57" s="20">
        <f t="shared" si="51"/>
        <v>0</v>
      </c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  <c r="BO57" s="20"/>
      <c r="BP57" s="20"/>
      <c r="BQ57" s="21"/>
    </row>
    <row r="58" spans="1:69" x14ac:dyDescent="0.25">
      <c r="A58">
        <v>5</v>
      </c>
      <c r="B58">
        <f t="shared" si="45"/>
        <v>0</v>
      </c>
      <c r="C58">
        <f t="shared" ca="1" si="46"/>
        <v>0</v>
      </c>
      <c r="D58" cm="1">
        <f t="array" aca="1" ref="D58:G58" ca="1">right_cantilever_analysis(Beam_Analysis!$S$29,B58,Beam_Analysis!$D$3,Beam_Analysis!$D$2,Beam_Analysis!$S$33:$X$53,Beam_Analysis!$G$5:$P$5,0)</f>
        <v>0</v>
      </c>
      <c r="E58">
        <f ca="1"/>
        <v>0</v>
      </c>
      <c r="F58">
        <f ca="1"/>
        <v>0</v>
      </c>
      <c r="G58">
        <f ca="1"/>
        <v>0</v>
      </c>
      <c r="H58">
        <f t="shared" si="47"/>
        <v>20</v>
      </c>
      <c r="N58" s="19"/>
      <c r="O58" s="20"/>
      <c r="P58" s="20"/>
      <c r="Q58" s="20"/>
      <c r="R58" s="20"/>
      <c r="S58" s="20"/>
      <c r="T58" s="20"/>
      <c r="U58" s="20"/>
      <c r="V58" s="20">
        <f t="shared" ref="V58:X59" si="52">V11</f>
        <v>0</v>
      </c>
      <c r="W58" s="20">
        <f t="shared" si="52"/>
        <v>0</v>
      </c>
      <c r="X58" s="20">
        <f t="shared" si="52"/>
        <v>0</v>
      </c>
      <c r="Y58" s="20">
        <f t="shared" ref="Y58:Z58" si="53">AA11</f>
        <v>0</v>
      </c>
      <c r="Z58" s="20">
        <f t="shared" si="53"/>
        <v>0</v>
      </c>
      <c r="AA58" s="20"/>
      <c r="AB58" s="20"/>
      <c r="AC58" s="20"/>
      <c r="AD58" s="20">
        <f t="shared" ref="AD58:AD60" si="54">V58</f>
        <v>0</v>
      </c>
      <c r="AE58" s="20">
        <f t="shared" si="49"/>
        <v>0</v>
      </c>
      <c r="AF58" s="20">
        <f t="shared" si="49"/>
        <v>0</v>
      </c>
      <c r="AG58" s="20">
        <f t="shared" si="49"/>
        <v>0</v>
      </c>
      <c r="AH58" s="20"/>
      <c r="AI58" s="20"/>
      <c r="AJ58" s="20"/>
      <c r="AK58" s="20">
        <f t="shared" ref="AK58:AK59" si="55">V58</f>
        <v>0</v>
      </c>
      <c r="AL58" s="20">
        <f t="shared" si="50"/>
        <v>0</v>
      </c>
      <c r="AM58" s="20">
        <f t="shared" si="50"/>
        <v>0</v>
      </c>
      <c r="AN58" s="20">
        <f t="shared" ref="AN58:AN59" si="56">Z58</f>
        <v>0</v>
      </c>
      <c r="AO58" s="20"/>
      <c r="AP58" s="20"/>
      <c r="AQ58" s="20"/>
      <c r="AR58" s="20">
        <f t="shared" ref="AR58:AR59" si="57">V58</f>
        <v>0</v>
      </c>
      <c r="AS58" s="20">
        <f t="shared" si="51"/>
        <v>0</v>
      </c>
      <c r="AT58" s="20">
        <f t="shared" si="51"/>
        <v>0</v>
      </c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  <c r="BO58" s="20"/>
      <c r="BP58" s="20"/>
      <c r="BQ58" s="21"/>
    </row>
    <row r="59" spans="1:69" x14ac:dyDescent="0.25">
      <c r="A59">
        <v>6</v>
      </c>
      <c r="B59">
        <f t="shared" si="45"/>
        <v>0</v>
      </c>
      <c r="C59">
        <f t="shared" ca="1" si="46"/>
        <v>0</v>
      </c>
      <c r="D59" cm="1">
        <f t="array" aca="1" ref="D59:G59" ca="1">right_cantilever_analysis(Beam_Analysis!$S$29,B59,Beam_Analysis!$D$3,Beam_Analysis!$D$2,Beam_Analysis!$S$33:$X$53,Beam_Analysis!$G$5:$P$5,0)</f>
        <v>0</v>
      </c>
      <c r="E59">
        <f ca="1"/>
        <v>0</v>
      </c>
      <c r="F59">
        <f ca="1"/>
        <v>0</v>
      </c>
      <c r="G59">
        <f ca="1"/>
        <v>0</v>
      </c>
      <c r="H59">
        <f t="shared" si="47"/>
        <v>20</v>
      </c>
      <c r="N59" s="19"/>
      <c r="O59" s="20"/>
      <c r="P59" s="20"/>
      <c r="Q59" s="20"/>
      <c r="R59" s="20"/>
      <c r="S59" s="20"/>
      <c r="T59" s="20"/>
      <c r="U59" s="20"/>
      <c r="V59" s="20">
        <f t="shared" si="52"/>
        <v>0</v>
      </c>
      <c r="W59" s="20">
        <f t="shared" si="52"/>
        <v>0</v>
      </c>
      <c r="X59" s="20">
        <f t="shared" si="52"/>
        <v>0</v>
      </c>
      <c r="Y59" s="20">
        <f t="shared" ref="Y59:Z59" si="58">AA12</f>
        <v>0</v>
      </c>
      <c r="Z59" s="20">
        <f t="shared" si="58"/>
        <v>0</v>
      </c>
      <c r="AA59" s="20"/>
      <c r="AB59" s="20"/>
      <c r="AC59" s="20"/>
      <c r="AD59" s="20">
        <f t="shared" si="54"/>
        <v>0</v>
      </c>
      <c r="AE59" s="20">
        <f t="shared" si="49"/>
        <v>0</v>
      </c>
      <c r="AF59" s="20">
        <f t="shared" si="49"/>
        <v>0</v>
      </c>
      <c r="AG59" s="20">
        <f t="shared" si="49"/>
        <v>0</v>
      </c>
      <c r="AH59" s="20"/>
      <c r="AI59" s="20"/>
      <c r="AJ59" s="20"/>
      <c r="AK59" s="20">
        <f t="shared" si="55"/>
        <v>0</v>
      </c>
      <c r="AL59" s="20">
        <f t="shared" si="50"/>
        <v>0</v>
      </c>
      <c r="AM59" s="20">
        <f t="shared" si="50"/>
        <v>0</v>
      </c>
      <c r="AN59" s="20">
        <f t="shared" si="56"/>
        <v>0</v>
      </c>
      <c r="AO59" s="20"/>
      <c r="AP59" s="20"/>
      <c r="AQ59" s="20"/>
      <c r="AR59" s="20">
        <f t="shared" si="57"/>
        <v>0</v>
      </c>
      <c r="AS59" s="20">
        <f t="shared" si="51"/>
        <v>0</v>
      </c>
      <c r="AT59" s="20">
        <f t="shared" si="51"/>
        <v>0</v>
      </c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  <c r="BO59" s="20"/>
      <c r="BP59" s="20"/>
      <c r="BQ59" s="21"/>
    </row>
    <row r="60" spans="1:69" x14ac:dyDescent="0.25">
      <c r="A60">
        <v>7</v>
      </c>
      <c r="B60">
        <f t="shared" si="45"/>
        <v>0</v>
      </c>
      <c r="C60">
        <f t="shared" ca="1" si="46"/>
        <v>0</v>
      </c>
      <c r="D60" cm="1">
        <f t="array" aca="1" ref="D60:G60" ca="1">right_cantilever_analysis(Beam_Analysis!$S$29,B60,Beam_Analysis!$D$3,Beam_Analysis!$D$2,Beam_Analysis!$S$33:$X$53,Beam_Analysis!$G$5:$P$5,0)</f>
        <v>0</v>
      </c>
      <c r="E60">
        <f ca="1"/>
        <v>0</v>
      </c>
      <c r="F60">
        <f ca="1"/>
        <v>0</v>
      </c>
      <c r="G60">
        <f ca="1"/>
        <v>0</v>
      </c>
      <c r="H60">
        <f t="shared" si="47"/>
        <v>20</v>
      </c>
      <c r="N60" s="19"/>
      <c r="O60" s="20"/>
      <c r="P60" s="20"/>
      <c r="Q60" s="20"/>
      <c r="R60" s="20"/>
      <c r="S60" s="20"/>
      <c r="T60" s="20"/>
      <c r="U60" s="20"/>
      <c r="V60" s="20">
        <f>V15</f>
        <v>0</v>
      </c>
      <c r="W60" s="20">
        <f t="shared" ref="W60:X60" si="59">W15</f>
        <v>0</v>
      </c>
      <c r="X60" s="20">
        <f t="shared" si="59"/>
        <v>0</v>
      </c>
      <c r="Y60" s="20">
        <f>AA15</f>
        <v>0</v>
      </c>
      <c r="Z60" s="20">
        <f>AB15</f>
        <v>0</v>
      </c>
      <c r="AA60" s="20"/>
      <c r="AB60" s="20"/>
      <c r="AC60" s="20"/>
      <c r="AD60" s="20">
        <f t="shared" si="54"/>
        <v>0</v>
      </c>
      <c r="AE60" s="20">
        <f t="shared" si="49"/>
        <v>0</v>
      </c>
      <c r="AF60" s="20">
        <f t="shared" si="49"/>
        <v>0</v>
      </c>
      <c r="AG60" s="20">
        <f t="shared" si="49"/>
        <v>0</v>
      </c>
      <c r="AH60" s="20"/>
      <c r="AI60" s="20"/>
      <c r="AJ60" s="20"/>
      <c r="AK60" s="20">
        <f>V61</f>
        <v>0</v>
      </c>
      <c r="AL60" s="20">
        <f t="shared" ref="AL60:AM60" si="60">W61</f>
        <v>0</v>
      </c>
      <c r="AM60" s="20">
        <f t="shared" si="60"/>
        <v>0</v>
      </c>
      <c r="AN60" s="20">
        <f>Z61</f>
        <v>0</v>
      </c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  <c r="BO60" s="20"/>
      <c r="BP60" s="20"/>
      <c r="BQ60" s="21"/>
    </row>
    <row r="61" spans="1:69" x14ac:dyDescent="0.25">
      <c r="A61">
        <v>8</v>
      </c>
      <c r="B61">
        <f t="shared" si="45"/>
        <v>0</v>
      </c>
      <c r="C61">
        <f t="shared" ca="1" si="46"/>
        <v>0</v>
      </c>
      <c r="D61" cm="1">
        <f t="array" aca="1" ref="D61:G61" ca="1">right_cantilever_analysis(Beam_Analysis!$S$29,B61,Beam_Analysis!$D$3,Beam_Analysis!$D$2,Beam_Analysis!$S$33:$X$53,Beam_Analysis!$G$5:$P$5,0)</f>
        <v>0</v>
      </c>
      <c r="E61">
        <f ca="1"/>
        <v>0</v>
      </c>
      <c r="F61">
        <f ca="1"/>
        <v>0</v>
      </c>
      <c r="G61">
        <f ca="1"/>
        <v>0</v>
      </c>
      <c r="H61">
        <f t="shared" si="47"/>
        <v>20</v>
      </c>
      <c r="N61" s="19"/>
      <c r="O61" s="20"/>
      <c r="P61" s="20"/>
      <c r="Q61" s="20"/>
      <c r="R61" s="20"/>
      <c r="S61" s="20"/>
      <c r="T61" s="20"/>
      <c r="U61" s="20"/>
      <c r="V61" s="20">
        <f>V16</f>
        <v>0</v>
      </c>
      <c r="W61" s="20">
        <f t="shared" ref="W61:X61" si="61">W16</f>
        <v>0</v>
      </c>
      <c r="X61" s="20">
        <f t="shared" si="61"/>
        <v>0</v>
      </c>
      <c r="Y61" s="20">
        <f>AA16</f>
        <v>0</v>
      </c>
      <c r="Z61" s="20">
        <f>AB16</f>
        <v>0</v>
      </c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  <c r="BO61" s="20"/>
      <c r="BP61" s="20"/>
      <c r="BQ61" s="21"/>
    </row>
    <row r="62" spans="1:69" x14ac:dyDescent="0.25">
      <c r="A62">
        <v>9</v>
      </c>
      <c r="B62">
        <f t="shared" si="45"/>
        <v>0</v>
      </c>
      <c r="C62">
        <f t="shared" ca="1" si="46"/>
        <v>0</v>
      </c>
      <c r="D62" cm="1">
        <f t="array" aca="1" ref="D62:G62" ca="1">right_cantilever_analysis(Beam_Analysis!$S$29,B62,Beam_Analysis!$D$3,Beam_Analysis!$D$2,Beam_Analysis!$S$33:$X$53,Beam_Analysis!$G$5:$P$5,0)</f>
        <v>0</v>
      </c>
      <c r="E62">
        <f ca="1"/>
        <v>0</v>
      </c>
      <c r="F62">
        <f ca="1"/>
        <v>0</v>
      </c>
      <c r="G62">
        <f ca="1"/>
        <v>0</v>
      </c>
      <c r="H62">
        <f t="shared" si="47"/>
        <v>20</v>
      </c>
      <c r="N62" s="19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  <c r="BO62" s="20"/>
      <c r="BP62" s="20"/>
      <c r="BQ62" s="21"/>
    </row>
    <row r="63" spans="1:69" x14ac:dyDescent="0.25">
      <c r="A63">
        <v>10</v>
      </c>
      <c r="B63">
        <f t="shared" si="45"/>
        <v>0</v>
      </c>
      <c r="C63">
        <f t="shared" ca="1" si="46"/>
        <v>0</v>
      </c>
      <c r="D63" cm="1">
        <f t="array" aca="1" ref="D63:G63" ca="1">right_cantilever_analysis(Beam_Analysis!$S$29,B63,Beam_Analysis!$D$3,Beam_Analysis!$D$2,Beam_Analysis!$S$33:$X$53,Beam_Analysis!$G$5:$P$5,0)</f>
        <v>0</v>
      </c>
      <c r="E63">
        <f ca="1"/>
        <v>0</v>
      </c>
      <c r="F63">
        <f ca="1"/>
        <v>0</v>
      </c>
      <c r="G63">
        <f ca="1"/>
        <v>0</v>
      </c>
      <c r="H63">
        <f t="shared" si="47"/>
        <v>20</v>
      </c>
      <c r="N63" s="19"/>
      <c r="O63" s="20"/>
      <c r="P63" s="20"/>
      <c r="Q63" s="20"/>
      <c r="R63" s="20"/>
      <c r="S63" s="20"/>
      <c r="T63" s="20"/>
      <c r="U63" s="20"/>
      <c r="V63" s="20" t="e">
        <f t="array" ref="V63:Z67">MINVERSE(V57:Z61)</f>
        <v>#NUM!</v>
      </c>
      <c r="W63" s="20" t="e">
        <v>#NUM!</v>
      </c>
      <c r="X63" s="20" t="e">
        <v>#NUM!</v>
      </c>
      <c r="Y63" s="20" t="e">
        <v>#NUM!</v>
      </c>
      <c r="Z63" s="20" t="e">
        <v>#NUM!</v>
      </c>
      <c r="AA63" s="20"/>
      <c r="AB63" s="20"/>
      <c r="AC63" s="20"/>
      <c r="AD63" s="20" t="e">
        <f t="array" ref="AD63:AG66">MINVERSE(AD57:AG60)</f>
        <v>#NUM!</v>
      </c>
      <c r="AE63" s="20" t="e">
        <v>#NUM!</v>
      </c>
      <c r="AF63" s="20" t="e">
        <v>#NUM!</v>
      </c>
      <c r="AG63" s="20" t="e">
        <v>#NUM!</v>
      </c>
      <c r="AH63" s="20"/>
      <c r="AI63" s="20"/>
      <c r="AJ63" s="20"/>
      <c r="AK63" s="20" t="e">
        <f t="array" ref="AK63:AN66">MINVERSE(AK57:AN60)</f>
        <v>#NUM!</v>
      </c>
      <c r="AL63" s="20" t="e">
        <v>#NUM!</v>
      </c>
      <c r="AM63" s="20" t="e">
        <v>#NUM!</v>
      </c>
      <c r="AN63" s="20" t="e">
        <v>#NUM!</v>
      </c>
      <c r="AO63" s="20"/>
      <c r="AP63" s="20"/>
      <c r="AQ63" s="20"/>
      <c r="AR63" s="20" t="e">
        <f t="array" ref="AR63:AT65">MINVERSE(AR57:AT59)</f>
        <v>#NUM!</v>
      </c>
      <c r="AS63" s="20" t="e">
        <v>#NUM!</v>
      </c>
      <c r="AT63" s="20" t="e">
        <v>#NUM!</v>
      </c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  <c r="BO63" s="20"/>
      <c r="BP63" s="20"/>
      <c r="BQ63" s="21"/>
    </row>
    <row r="64" spans="1:69" x14ac:dyDescent="0.25">
      <c r="A64">
        <v>11</v>
      </c>
      <c r="B64">
        <f t="shared" si="45"/>
        <v>0</v>
      </c>
      <c r="C64">
        <f t="shared" ca="1" si="46"/>
        <v>0</v>
      </c>
      <c r="D64" cm="1">
        <f t="array" aca="1" ref="D64:G64" ca="1">right_cantilever_analysis(Beam_Analysis!$S$29,B64,Beam_Analysis!$D$3,Beam_Analysis!$D$2,Beam_Analysis!$S$33:$X$53,Beam_Analysis!$G$5:$P$5,0)</f>
        <v>0</v>
      </c>
      <c r="E64">
        <f ca="1"/>
        <v>0</v>
      </c>
      <c r="F64">
        <f ca="1"/>
        <v>0</v>
      </c>
      <c r="G64">
        <f ca="1"/>
        <v>0</v>
      </c>
      <c r="H64">
        <f t="shared" si="47"/>
        <v>20</v>
      </c>
      <c r="N64" s="19"/>
      <c r="O64" s="20"/>
      <c r="P64" s="20"/>
      <c r="Q64" s="20"/>
      <c r="R64" s="20"/>
      <c r="S64" s="20"/>
      <c r="T64" s="20"/>
      <c r="U64" s="20"/>
      <c r="V64" s="20" t="e">
        <v>#NUM!</v>
      </c>
      <c r="W64" s="20" t="e">
        <v>#NUM!</v>
      </c>
      <c r="X64" s="20" t="e">
        <v>#NUM!</v>
      </c>
      <c r="Y64" s="20" t="e">
        <v>#NUM!</v>
      </c>
      <c r="Z64" s="20" t="e">
        <v>#NUM!</v>
      </c>
      <c r="AA64" s="20"/>
      <c r="AB64" s="20"/>
      <c r="AC64" s="20"/>
      <c r="AD64" s="20" t="e">
        <v>#NUM!</v>
      </c>
      <c r="AE64" s="20" t="e">
        <v>#NUM!</v>
      </c>
      <c r="AF64" s="20" t="e">
        <v>#NUM!</v>
      </c>
      <c r="AG64" s="20" t="e">
        <v>#NUM!</v>
      </c>
      <c r="AH64" s="20"/>
      <c r="AI64" s="20"/>
      <c r="AJ64" s="20"/>
      <c r="AK64" s="20" t="e">
        <v>#NUM!</v>
      </c>
      <c r="AL64" s="20" t="e">
        <v>#NUM!</v>
      </c>
      <c r="AM64" s="20" t="e">
        <v>#NUM!</v>
      </c>
      <c r="AN64" s="20" t="e">
        <v>#NUM!</v>
      </c>
      <c r="AO64" s="20"/>
      <c r="AP64" s="20"/>
      <c r="AQ64" s="20"/>
      <c r="AR64" s="20" t="e">
        <v>#NUM!</v>
      </c>
      <c r="AS64" s="20" t="e">
        <v>#NUM!</v>
      </c>
      <c r="AT64" s="20" t="e">
        <v>#NUM!</v>
      </c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  <c r="BO64" s="20"/>
      <c r="BP64" s="20"/>
      <c r="BQ64" s="21"/>
    </row>
    <row r="65" spans="1:69" x14ac:dyDescent="0.25">
      <c r="A65">
        <v>12</v>
      </c>
      <c r="B65">
        <f t="shared" si="45"/>
        <v>0</v>
      </c>
      <c r="C65">
        <f t="shared" ca="1" si="46"/>
        <v>0</v>
      </c>
      <c r="D65" cm="1">
        <f t="array" aca="1" ref="D65:G65" ca="1">right_cantilever_analysis(Beam_Analysis!$S$29,B65,Beam_Analysis!$D$3,Beam_Analysis!$D$2,Beam_Analysis!$S$33:$X$53,Beam_Analysis!$G$5:$P$5,0)</f>
        <v>0</v>
      </c>
      <c r="E65">
        <f ca="1"/>
        <v>0</v>
      </c>
      <c r="F65">
        <f ca="1"/>
        <v>0</v>
      </c>
      <c r="G65">
        <f ca="1"/>
        <v>0</v>
      </c>
      <c r="H65">
        <f t="shared" si="47"/>
        <v>20</v>
      </c>
      <c r="N65" s="19"/>
      <c r="O65" s="20"/>
      <c r="P65" s="20"/>
      <c r="Q65" s="20"/>
      <c r="R65" s="20"/>
      <c r="S65" s="20"/>
      <c r="T65" s="20"/>
      <c r="U65" s="20"/>
      <c r="V65" s="20" t="e">
        <v>#NUM!</v>
      </c>
      <c r="W65" s="20" t="e">
        <v>#NUM!</v>
      </c>
      <c r="X65" s="20" t="e">
        <v>#NUM!</v>
      </c>
      <c r="Y65" s="20" t="e">
        <v>#NUM!</v>
      </c>
      <c r="Z65" s="20" t="e">
        <v>#NUM!</v>
      </c>
      <c r="AA65" s="20"/>
      <c r="AB65" s="20"/>
      <c r="AC65" s="20"/>
      <c r="AD65" s="20" t="e">
        <v>#NUM!</v>
      </c>
      <c r="AE65" s="20" t="e">
        <v>#NUM!</v>
      </c>
      <c r="AF65" s="20" t="e">
        <v>#NUM!</v>
      </c>
      <c r="AG65" s="20" t="e">
        <v>#NUM!</v>
      </c>
      <c r="AH65" s="20"/>
      <c r="AI65" s="20"/>
      <c r="AJ65" s="20"/>
      <c r="AK65" s="20" t="e">
        <v>#NUM!</v>
      </c>
      <c r="AL65" s="20" t="e">
        <v>#NUM!</v>
      </c>
      <c r="AM65" s="20" t="e">
        <v>#NUM!</v>
      </c>
      <c r="AN65" s="20" t="e">
        <v>#NUM!</v>
      </c>
      <c r="AO65" s="20"/>
      <c r="AP65" s="20"/>
      <c r="AQ65" s="20"/>
      <c r="AR65" s="20" t="e">
        <v>#NUM!</v>
      </c>
      <c r="AS65" s="20" t="e">
        <v>#NUM!</v>
      </c>
      <c r="AT65" s="20" t="e">
        <v>#NUM!</v>
      </c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  <c r="BO65" s="20"/>
      <c r="BP65" s="20"/>
      <c r="BQ65" s="21"/>
    </row>
    <row r="66" spans="1:69" x14ac:dyDescent="0.25">
      <c r="A66">
        <v>13</v>
      </c>
      <c r="B66">
        <f t="shared" si="45"/>
        <v>0</v>
      </c>
      <c r="C66">
        <f t="shared" ca="1" si="46"/>
        <v>0</v>
      </c>
      <c r="D66" cm="1">
        <f t="array" aca="1" ref="D66:G66" ca="1">right_cantilever_analysis(Beam_Analysis!$S$29,B66,Beam_Analysis!$D$3,Beam_Analysis!$D$2,Beam_Analysis!$S$33:$X$53,Beam_Analysis!$G$5:$P$5,0)</f>
        <v>0</v>
      </c>
      <c r="E66">
        <f ca="1"/>
        <v>0</v>
      </c>
      <c r="F66">
        <f ca="1"/>
        <v>0</v>
      </c>
      <c r="G66">
        <f ca="1"/>
        <v>0</v>
      </c>
      <c r="H66">
        <f t="shared" si="47"/>
        <v>20</v>
      </c>
      <c r="N66" s="19"/>
      <c r="O66" s="20"/>
      <c r="P66" s="20"/>
      <c r="Q66" s="20"/>
      <c r="R66" s="20"/>
      <c r="S66" s="20"/>
      <c r="T66" s="20"/>
      <c r="U66" s="20"/>
      <c r="V66" s="20" t="e">
        <v>#NUM!</v>
      </c>
      <c r="W66" s="20" t="e">
        <v>#NUM!</v>
      </c>
      <c r="X66" s="20" t="e">
        <v>#NUM!</v>
      </c>
      <c r="Y66" s="20" t="e">
        <v>#NUM!</v>
      </c>
      <c r="Z66" s="20" t="e">
        <v>#NUM!</v>
      </c>
      <c r="AA66" s="20"/>
      <c r="AB66" s="20"/>
      <c r="AC66" s="20"/>
      <c r="AD66" s="20" t="e">
        <v>#NUM!</v>
      </c>
      <c r="AE66" s="20" t="e">
        <v>#NUM!</v>
      </c>
      <c r="AF66" s="20" t="e">
        <v>#NUM!</v>
      </c>
      <c r="AG66" s="20" t="e">
        <v>#NUM!</v>
      </c>
      <c r="AH66" s="20"/>
      <c r="AI66" s="20"/>
      <c r="AJ66" s="20"/>
      <c r="AK66" s="20" t="e">
        <v>#NUM!</v>
      </c>
      <c r="AL66" s="20" t="e">
        <v>#NUM!</v>
      </c>
      <c r="AM66" s="20" t="e">
        <v>#NUM!</v>
      </c>
      <c r="AN66" s="20" t="e">
        <v>#NUM!</v>
      </c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  <c r="BO66" s="20"/>
      <c r="BP66" s="20"/>
      <c r="BQ66" s="21"/>
    </row>
    <row r="67" spans="1:69" x14ac:dyDescent="0.25">
      <c r="A67">
        <v>14</v>
      </c>
      <c r="B67">
        <f t="shared" si="45"/>
        <v>0</v>
      </c>
      <c r="C67">
        <f t="shared" ca="1" si="46"/>
        <v>0</v>
      </c>
      <c r="D67" cm="1">
        <f t="array" aca="1" ref="D67:G67" ca="1">right_cantilever_analysis(Beam_Analysis!$S$29,B67,Beam_Analysis!$D$3,Beam_Analysis!$D$2,Beam_Analysis!$S$33:$X$53,Beam_Analysis!$G$5:$P$5,0)</f>
        <v>0</v>
      </c>
      <c r="E67">
        <f ca="1"/>
        <v>0</v>
      </c>
      <c r="F67">
        <f ca="1"/>
        <v>0</v>
      </c>
      <c r="G67">
        <f ca="1"/>
        <v>0</v>
      </c>
      <c r="H67">
        <f t="shared" si="47"/>
        <v>20</v>
      </c>
      <c r="N67" s="19"/>
      <c r="O67" s="20"/>
      <c r="P67" s="20"/>
      <c r="Q67" s="20"/>
      <c r="R67" s="20"/>
      <c r="S67" s="20"/>
      <c r="T67" s="20"/>
      <c r="U67" s="20"/>
      <c r="V67" s="20" t="e">
        <v>#NUM!</v>
      </c>
      <c r="W67" s="20" t="e">
        <v>#NUM!</v>
      </c>
      <c r="X67" s="20" t="e">
        <v>#NUM!</v>
      </c>
      <c r="Y67" s="20" t="e">
        <v>#NUM!</v>
      </c>
      <c r="Z67" s="20" t="e">
        <v>#NUM!</v>
      </c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20"/>
      <c r="BI67" s="20"/>
      <c r="BJ67" s="20"/>
      <c r="BK67" s="20"/>
      <c r="BL67" s="20"/>
      <c r="BM67" s="20"/>
      <c r="BN67" s="20"/>
      <c r="BO67" s="20"/>
      <c r="BP67" s="20"/>
      <c r="BQ67" s="21"/>
    </row>
    <row r="68" spans="1:69" x14ac:dyDescent="0.25">
      <c r="A68">
        <v>15</v>
      </c>
      <c r="B68">
        <f t="shared" si="45"/>
        <v>0</v>
      </c>
      <c r="C68">
        <f t="shared" ca="1" si="46"/>
        <v>0</v>
      </c>
      <c r="D68" cm="1">
        <f t="array" aca="1" ref="D68:G68" ca="1">right_cantilever_analysis(Beam_Analysis!$S$29,B68,Beam_Analysis!$D$3,Beam_Analysis!$D$2,Beam_Analysis!$S$33:$X$53,Beam_Analysis!$G$5:$P$5,0)</f>
        <v>0</v>
      </c>
      <c r="E68">
        <f ca="1"/>
        <v>0</v>
      </c>
      <c r="F68">
        <f ca="1"/>
        <v>0</v>
      </c>
      <c r="G68">
        <f ca="1"/>
        <v>0</v>
      </c>
      <c r="H68">
        <f t="shared" si="47"/>
        <v>20</v>
      </c>
      <c r="N68" s="19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20"/>
      <c r="BI68" s="20"/>
      <c r="BJ68" s="20"/>
      <c r="BK68" s="20"/>
      <c r="BL68" s="20"/>
      <c r="BM68" s="20"/>
      <c r="BN68" s="20"/>
      <c r="BO68" s="20"/>
      <c r="BP68" s="20"/>
      <c r="BQ68" s="21"/>
    </row>
    <row r="69" spans="1:69" x14ac:dyDescent="0.25">
      <c r="A69">
        <v>16</v>
      </c>
      <c r="B69">
        <f t="shared" si="45"/>
        <v>0</v>
      </c>
      <c r="C69">
        <f t="shared" ca="1" si="46"/>
        <v>0</v>
      </c>
      <c r="D69" cm="1">
        <f t="array" aca="1" ref="D69:G69" ca="1">right_cantilever_analysis(Beam_Analysis!$S$29,B69,Beam_Analysis!$D$3,Beam_Analysis!$D$2,Beam_Analysis!$S$33:$X$53,Beam_Analysis!$G$5:$P$5,0)</f>
        <v>0</v>
      </c>
      <c r="E69">
        <f ca="1"/>
        <v>0</v>
      </c>
      <c r="F69">
        <f ca="1"/>
        <v>0</v>
      </c>
      <c r="G69">
        <f ca="1"/>
        <v>0</v>
      </c>
      <c r="H69">
        <f t="shared" si="47"/>
        <v>20</v>
      </c>
      <c r="N69" s="19"/>
      <c r="O69" s="20"/>
      <c r="P69" s="20"/>
      <c r="Q69" s="20"/>
      <c r="R69" s="20"/>
      <c r="S69" s="20"/>
      <c r="T69" s="20"/>
      <c r="U69" s="20">
        <f ca="1">T10</f>
        <v>0.24965800492610823</v>
      </c>
      <c r="V69" s="20" t="e">
        <f t="array" ref="V69:V73">MMULT(V63:Z67,U69:U73)</f>
        <v>#NUM!</v>
      </c>
      <c r="W69" s="20"/>
      <c r="X69" s="20"/>
      <c r="Y69" s="20"/>
      <c r="Z69" s="20"/>
      <c r="AA69" s="20"/>
      <c r="AB69" s="20"/>
      <c r="AC69" s="20"/>
      <c r="AD69" s="20" t="e">
        <f t="array" ref="AD69:AD72">MMULT(AD63:AG66,U69:U72)</f>
        <v>#NUM!</v>
      </c>
      <c r="AE69" s="20"/>
      <c r="AF69" s="20"/>
      <c r="AG69" s="20"/>
      <c r="AH69" s="20"/>
      <c r="AI69" s="20"/>
      <c r="AJ69" s="20">
        <f ca="1">U69</f>
        <v>0.24965800492610823</v>
      </c>
      <c r="AK69" s="20" t="e">
        <f t="array" ref="AK69:AK72">MMULT(AK63:AN66,AJ69:AJ72)</f>
        <v>#NUM!</v>
      </c>
      <c r="AL69" s="20"/>
      <c r="AM69" s="20"/>
      <c r="AN69" s="20"/>
      <c r="AO69" s="20"/>
      <c r="AP69" s="20"/>
      <c r="AQ69" s="20"/>
      <c r="AR69" s="20" t="e">
        <f t="array" ref="AR69:AR71">MMULT(AR63:AT65,U69:U71)</f>
        <v>#NUM!</v>
      </c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20"/>
      <c r="BI69" s="20"/>
      <c r="BJ69" s="20"/>
      <c r="BK69" s="20"/>
      <c r="BL69" s="20"/>
      <c r="BM69" s="20"/>
      <c r="BN69" s="20"/>
      <c r="BO69" s="20"/>
      <c r="BP69" s="20"/>
      <c r="BQ69" s="21"/>
    </row>
    <row r="70" spans="1:69" x14ac:dyDescent="0.25">
      <c r="A70">
        <v>17</v>
      </c>
      <c r="B70">
        <f t="shared" si="45"/>
        <v>0</v>
      </c>
      <c r="C70">
        <f t="shared" ca="1" si="46"/>
        <v>0</v>
      </c>
      <c r="D70" cm="1">
        <f t="array" aca="1" ref="D70:G70" ca="1">right_cantilever_analysis(Beam_Analysis!$S$29,B70,Beam_Analysis!$D$3,Beam_Analysis!$D$2,Beam_Analysis!$S$33:$X$53,Beam_Analysis!$G$5:$P$5,0)</f>
        <v>0</v>
      </c>
      <c r="E70">
        <f ca="1"/>
        <v>0</v>
      </c>
      <c r="F70">
        <f ca="1"/>
        <v>0</v>
      </c>
      <c r="G70">
        <f ca="1"/>
        <v>0</v>
      </c>
      <c r="H70">
        <f t="shared" si="47"/>
        <v>20</v>
      </c>
      <c r="N70" s="19"/>
      <c r="O70" s="20"/>
      <c r="P70" s="20"/>
      <c r="Q70" s="20"/>
      <c r="R70" s="20"/>
      <c r="S70" s="20"/>
      <c r="T70" s="20"/>
      <c r="U70" s="20">
        <f ca="1">T11</f>
        <v>0</v>
      </c>
      <c r="V70" s="20" t="e">
        <v>#NUM!</v>
      </c>
      <c r="W70" s="20"/>
      <c r="X70" s="20"/>
      <c r="Y70" s="20"/>
      <c r="Z70" s="20"/>
      <c r="AA70" s="20"/>
      <c r="AB70" s="20"/>
      <c r="AC70" s="20"/>
      <c r="AD70" s="20" t="e">
        <v>#NUM!</v>
      </c>
      <c r="AE70" s="20"/>
      <c r="AF70" s="20"/>
      <c r="AG70" s="20"/>
      <c r="AH70" s="20"/>
      <c r="AI70" s="20"/>
      <c r="AJ70" s="20">
        <f t="shared" ref="AJ70:AJ71" ca="1" si="62">U70</f>
        <v>0</v>
      </c>
      <c r="AK70" s="20" t="e">
        <v>#NUM!</v>
      </c>
      <c r="AL70" s="20"/>
      <c r="AM70" s="20"/>
      <c r="AN70" s="20"/>
      <c r="AO70" s="20"/>
      <c r="AP70" s="20"/>
      <c r="AQ70" s="20"/>
      <c r="AR70" s="20" t="e">
        <v>#NUM!</v>
      </c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20"/>
      <c r="BI70" s="20"/>
      <c r="BJ70" s="20"/>
      <c r="BK70" s="20"/>
      <c r="BL70" s="20"/>
      <c r="BM70" s="20"/>
      <c r="BN70" s="20"/>
      <c r="BO70" s="20"/>
      <c r="BP70" s="20"/>
      <c r="BQ70" s="21"/>
    </row>
    <row r="71" spans="1:69" x14ac:dyDescent="0.25">
      <c r="A71">
        <v>18</v>
      </c>
      <c r="B71">
        <f t="shared" si="45"/>
        <v>0</v>
      </c>
      <c r="C71">
        <f t="shared" ca="1" si="46"/>
        <v>0</v>
      </c>
      <c r="D71" cm="1">
        <f t="array" aca="1" ref="D71:G71" ca="1">right_cantilever_analysis(Beam_Analysis!$S$29,B71,Beam_Analysis!$D$3,Beam_Analysis!$D$2,Beam_Analysis!$S$33:$X$53,Beam_Analysis!$G$5:$P$5,0)</f>
        <v>0</v>
      </c>
      <c r="E71">
        <f ca="1"/>
        <v>0</v>
      </c>
      <c r="F71">
        <f ca="1"/>
        <v>0</v>
      </c>
      <c r="G71">
        <f ca="1"/>
        <v>0</v>
      </c>
      <c r="H71">
        <f t="shared" si="47"/>
        <v>20</v>
      </c>
      <c r="N71" s="19"/>
      <c r="O71" s="20"/>
      <c r="P71" s="20"/>
      <c r="Q71" s="20"/>
      <c r="R71" s="20"/>
      <c r="S71" s="20"/>
      <c r="T71" s="20"/>
      <c r="U71" s="20">
        <f ca="1">T12</f>
        <v>0</v>
      </c>
      <c r="V71" s="20" t="e">
        <v>#NUM!</v>
      </c>
      <c r="W71" s="20"/>
      <c r="X71" s="20"/>
      <c r="Y71" s="20"/>
      <c r="Z71" s="20"/>
      <c r="AA71" s="20"/>
      <c r="AB71" s="20"/>
      <c r="AC71" s="20"/>
      <c r="AD71" s="20" t="e">
        <v>#NUM!</v>
      </c>
      <c r="AE71" s="20"/>
      <c r="AF71" s="20"/>
      <c r="AG71" s="20"/>
      <c r="AH71" s="20"/>
      <c r="AI71" s="20"/>
      <c r="AJ71" s="20">
        <f t="shared" ca="1" si="62"/>
        <v>0</v>
      </c>
      <c r="AK71" s="20" t="e">
        <v>#NUM!</v>
      </c>
      <c r="AL71" s="20"/>
      <c r="AM71" s="20"/>
      <c r="AN71" s="20"/>
      <c r="AO71" s="20"/>
      <c r="AP71" s="20"/>
      <c r="AQ71" s="20"/>
      <c r="AR71" s="20" t="e">
        <v>#NUM!</v>
      </c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20"/>
      <c r="BI71" s="20"/>
      <c r="BJ71" s="20"/>
      <c r="BK71" s="20"/>
      <c r="BL71" s="20"/>
      <c r="BM71" s="20"/>
      <c r="BN71" s="20"/>
      <c r="BO71" s="20"/>
      <c r="BP71" s="20"/>
      <c r="BQ71" s="21"/>
    </row>
    <row r="72" spans="1:69" x14ac:dyDescent="0.25">
      <c r="A72">
        <v>19</v>
      </c>
      <c r="B72">
        <f t="shared" si="45"/>
        <v>0</v>
      </c>
      <c r="C72">
        <f t="shared" ca="1" si="46"/>
        <v>0</v>
      </c>
      <c r="D72" cm="1">
        <f t="array" aca="1" ref="D72:G72" ca="1">right_cantilever_analysis(Beam_Analysis!$S$29,B72,Beam_Analysis!$D$3,Beam_Analysis!$D$2,Beam_Analysis!$S$33:$X$53,Beam_Analysis!$G$5:$P$5,0)</f>
        <v>0</v>
      </c>
      <c r="E72">
        <f ca="1"/>
        <v>0</v>
      </c>
      <c r="F72">
        <f ca="1"/>
        <v>0</v>
      </c>
      <c r="G72">
        <f ca="1"/>
        <v>0</v>
      </c>
      <c r="H72">
        <f t="shared" si="47"/>
        <v>20</v>
      </c>
      <c r="N72" s="19"/>
      <c r="O72" s="20"/>
      <c r="P72" s="20"/>
      <c r="Q72" s="20"/>
      <c r="R72" s="20"/>
      <c r="S72" s="20"/>
      <c r="T72" s="20"/>
      <c r="U72" s="20">
        <f ca="1">T15</f>
        <v>4.1200179131213599E-2</v>
      </c>
      <c r="V72" s="20" t="e">
        <v>#NUM!</v>
      </c>
      <c r="W72" s="20"/>
      <c r="X72" s="20"/>
      <c r="Y72" s="20"/>
      <c r="Z72" s="20"/>
      <c r="AA72" s="20"/>
      <c r="AB72" s="20"/>
      <c r="AC72" s="20"/>
      <c r="AD72" s="20" t="e">
        <v>#NUM!</v>
      </c>
      <c r="AE72" s="20"/>
      <c r="AF72" s="20"/>
      <c r="AG72" s="20"/>
      <c r="AH72" s="20"/>
      <c r="AI72" s="20"/>
      <c r="AJ72" s="20">
        <f ca="1">U73</f>
        <v>-3.9408866995073871E-2</v>
      </c>
      <c r="AK72" s="20" t="e">
        <v>#NUM!</v>
      </c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0"/>
      <c r="BI72" s="20"/>
      <c r="BJ72" s="20"/>
      <c r="BK72" s="20"/>
      <c r="BL72" s="20"/>
      <c r="BM72" s="20"/>
      <c r="BN72" s="20"/>
      <c r="BO72" s="20"/>
      <c r="BP72" s="20"/>
      <c r="BQ72" s="21"/>
    </row>
    <row r="73" spans="1:69" x14ac:dyDescent="0.25">
      <c r="A73">
        <v>20</v>
      </c>
      <c r="B73">
        <f t="shared" si="45"/>
        <v>0</v>
      </c>
      <c r="C73">
        <f t="shared" ca="1" si="46"/>
        <v>0</v>
      </c>
      <c r="D73" cm="1">
        <f t="array" aca="1" ref="D73:G73" ca="1">right_cantilever_analysis(Beam_Analysis!$S$29,B73,Beam_Analysis!$D$3,Beam_Analysis!$D$2,Beam_Analysis!$S$33:$X$53,Beam_Analysis!$G$5:$P$5,0)</f>
        <v>0</v>
      </c>
      <c r="E73">
        <f ca="1"/>
        <v>0</v>
      </c>
      <c r="F73">
        <f ca="1"/>
        <v>0</v>
      </c>
      <c r="G73">
        <f ca="1"/>
        <v>0</v>
      </c>
      <c r="H73">
        <f t="shared" si="47"/>
        <v>20</v>
      </c>
      <c r="N73" s="19"/>
      <c r="O73" s="20"/>
      <c r="P73" s="20"/>
      <c r="Q73" s="20"/>
      <c r="R73" s="20"/>
      <c r="S73" s="20"/>
      <c r="T73" s="20"/>
      <c r="U73" s="20">
        <f ca="1">T16</f>
        <v>-3.9408866995073871E-2</v>
      </c>
      <c r="V73" s="20" t="e">
        <v>#NUM!</v>
      </c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0"/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0"/>
      <c r="BI73" s="20"/>
      <c r="BJ73" s="20"/>
      <c r="BK73" s="20"/>
      <c r="BL73" s="20"/>
      <c r="BM73" s="20"/>
      <c r="BN73" s="20"/>
      <c r="BO73" s="20"/>
      <c r="BP73" s="20"/>
      <c r="BQ73" s="21"/>
    </row>
    <row r="74" spans="1:69" x14ac:dyDescent="0.25">
      <c r="A74">
        <v>21</v>
      </c>
      <c r="B74">
        <f t="shared" si="45"/>
        <v>0</v>
      </c>
      <c r="C74">
        <f t="shared" ca="1" si="46"/>
        <v>0</v>
      </c>
      <c r="D74" cm="1">
        <f t="array" aca="1" ref="D74:G74" ca="1">right_cantilever_analysis(Beam_Analysis!$S$29,B74,Beam_Analysis!$D$3,Beam_Analysis!$D$2,Beam_Analysis!$S$33:$X$53,Beam_Analysis!$G$5:$P$5,0)</f>
        <v>0</v>
      </c>
      <c r="E74">
        <f ca="1"/>
        <v>0</v>
      </c>
      <c r="F74">
        <f ca="1"/>
        <v>0</v>
      </c>
      <c r="G74">
        <f ca="1"/>
        <v>0</v>
      </c>
      <c r="H74">
        <f t="shared" si="47"/>
        <v>20</v>
      </c>
      <c r="N74" s="19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20"/>
      <c r="AM74" s="20"/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0"/>
      <c r="BI74" s="20"/>
      <c r="BJ74" s="20"/>
      <c r="BK74" s="20"/>
      <c r="BL74" s="20"/>
      <c r="BM74" s="20"/>
      <c r="BN74" s="20"/>
      <c r="BO74" s="20"/>
      <c r="BP74" s="20"/>
      <c r="BQ74" s="21"/>
    </row>
    <row r="75" spans="1:69" x14ac:dyDescent="0.25">
      <c r="A75">
        <v>22</v>
      </c>
      <c r="B75">
        <f t="shared" si="45"/>
        <v>0</v>
      </c>
      <c r="C75">
        <f t="shared" ca="1" si="46"/>
        <v>0</v>
      </c>
      <c r="D75" cm="1">
        <f t="array" aca="1" ref="D75:G75" ca="1">right_cantilever_analysis(Beam_Analysis!$S$29,B75,Beam_Analysis!$D$3,Beam_Analysis!$D$2,Beam_Analysis!$S$33:$X$53,Beam_Analysis!$G$5:$P$5,0)</f>
        <v>0</v>
      </c>
      <c r="E75">
        <f ca="1"/>
        <v>0</v>
      </c>
      <c r="F75">
        <f ca="1"/>
        <v>0</v>
      </c>
      <c r="G75">
        <f ca="1"/>
        <v>0</v>
      </c>
      <c r="H75">
        <f t="shared" si="47"/>
        <v>20</v>
      </c>
      <c r="N75" s="19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20"/>
      <c r="AM75" s="20"/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0"/>
      <c r="BI75" s="20"/>
      <c r="BJ75" s="20"/>
      <c r="BK75" s="20"/>
      <c r="BL75" s="20"/>
      <c r="BM75" s="20"/>
      <c r="BN75" s="20"/>
      <c r="BO75" s="20"/>
      <c r="BP75" s="20"/>
      <c r="BQ75" s="21"/>
    </row>
    <row r="76" spans="1:69" x14ac:dyDescent="0.25">
      <c r="A76">
        <v>23</v>
      </c>
      <c r="B76">
        <f t="shared" si="45"/>
        <v>0</v>
      </c>
      <c r="C76">
        <f t="shared" ca="1" si="46"/>
        <v>0</v>
      </c>
      <c r="D76" cm="1">
        <f t="array" aca="1" ref="D76:G76" ca="1">right_cantilever_analysis(Beam_Analysis!$S$29,B76,Beam_Analysis!$D$3,Beam_Analysis!$D$2,Beam_Analysis!$S$33:$X$53,Beam_Analysis!$G$5:$P$5,0)</f>
        <v>0</v>
      </c>
      <c r="E76">
        <f ca="1"/>
        <v>0</v>
      </c>
      <c r="F76">
        <f ca="1"/>
        <v>0</v>
      </c>
      <c r="G76">
        <f ca="1"/>
        <v>0</v>
      </c>
      <c r="H76">
        <f t="shared" si="47"/>
        <v>20</v>
      </c>
      <c r="N76" s="19"/>
      <c r="O76" s="20"/>
      <c r="P76" s="20"/>
      <c r="Q76" s="20"/>
      <c r="R76" s="20"/>
      <c r="S76" s="20"/>
      <c r="T76" s="20"/>
      <c r="U76" s="20"/>
      <c r="V76" s="20">
        <f>V10</f>
        <v>-2.6334975369458131E-2</v>
      </c>
      <c r="W76" s="20">
        <f>W10</f>
        <v>0</v>
      </c>
      <c r="X76" s="20">
        <f>AA10</f>
        <v>0</v>
      </c>
      <c r="Y76" s="20">
        <f>AB10</f>
        <v>0</v>
      </c>
      <c r="Z76" s="20"/>
      <c r="AA76" s="20"/>
      <c r="AB76" s="20"/>
      <c r="AC76" s="20"/>
      <c r="AD76" s="20">
        <f>V76</f>
        <v>-2.6334975369458131E-2</v>
      </c>
      <c r="AE76" s="20">
        <f t="shared" ref="AE76:AF78" si="63">W76</f>
        <v>0</v>
      </c>
      <c r="AF76" s="20">
        <f t="shared" si="63"/>
        <v>0</v>
      </c>
      <c r="AG76" s="20"/>
      <c r="AH76" s="20"/>
      <c r="AI76" s="20"/>
      <c r="AJ76" s="20"/>
      <c r="AK76" s="20">
        <f>V76</f>
        <v>-2.6334975369458131E-2</v>
      </c>
      <c r="AL76" s="20">
        <f>W76</f>
        <v>0</v>
      </c>
      <c r="AM76" s="20">
        <f>Y76</f>
        <v>0</v>
      </c>
      <c r="AN76" s="20"/>
      <c r="AO76" s="20"/>
      <c r="AP76" s="20"/>
      <c r="AQ76" s="20"/>
      <c r="AR76" s="20">
        <f>V76</f>
        <v>-2.6334975369458131E-2</v>
      </c>
      <c r="AS76" s="20">
        <f>W76</f>
        <v>0</v>
      </c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0"/>
      <c r="BI76" s="20"/>
      <c r="BJ76" s="20"/>
      <c r="BK76" s="20"/>
      <c r="BL76" s="20"/>
      <c r="BM76" s="20"/>
      <c r="BN76" s="20"/>
      <c r="BO76" s="20"/>
      <c r="BP76" s="20"/>
      <c r="BQ76" s="21"/>
    </row>
    <row r="77" spans="1:69" x14ac:dyDescent="0.25">
      <c r="A77">
        <v>24</v>
      </c>
      <c r="B77">
        <f t="shared" si="45"/>
        <v>0</v>
      </c>
      <c r="C77">
        <f t="shared" ca="1" si="46"/>
        <v>0</v>
      </c>
      <c r="D77" cm="1">
        <f t="array" aca="1" ref="D77:G77" ca="1">right_cantilever_analysis(Beam_Analysis!$S$29,B77,Beam_Analysis!$D$3,Beam_Analysis!$D$2,Beam_Analysis!$S$33:$X$53,Beam_Analysis!$G$5:$P$5,0)</f>
        <v>0</v>
      </c>
      <c r="E77">
        <f ca="1"/>
        <v>0</v>
      </c>
      <c r="F77">
        <f ca="1"/>
        <v>0</v>
      </c>
      <c r="G77">
        <f ca="1"/>
        <v>0</v>
      </c>
      <c r="H77">
        <f t="shared" si="47"/>
        <v>20</v>
      </c>
      <c r="N77" s="19"/>
      <c r="O77" s="20"/>
      <c r="P77" s="20"/>
      <c r="Q77" s="20"/>
      <c r="R77" s="20"/>
      <c r="S77" s="20"/>
      <c r="T77" s="20"/>
      <c r="U77" s="20"/>
      <c r="V77" s="20">
        <f>V11</f>
        <v>0</v>
      </c>
      <c r="W77" s="20">
        <f>W11</f>
        <v>0</v>
      </c>
      <c r="X77" s="20">
        <f>AA11</f>
        <v>0</v>
      </c>
      <c r="Y77" s="20">
        <f>AB11</f>
        <v>0</v>
      </c>
      <c r="Z77" s="20"/>
      <c r="AA77" s="20"/>
      <c r="AB77" s="20"/>
      <c r="AC77" s="20"/>
      <c r="AD77" s="20">
        <f t="shared" ref="AD77:AD78" si="64">V77</f>
        <v>0</v>
      </c>
      <c r="AE77" s="20">
        <f t="shared" si="63"/>
        <v>0</v>
      </c>
      <c r="AF77" s="20">
        <f t="shared" si="63"/>
        <v>0</v>
      </c>
      <c r="AG77" s="20"/>
      <c r="AH77" s="20"/>
      <c r="AI77" s="20"/>
      <c r="AJ77" s="20"/>
      <c r="AK77" s="20">
        <f>V77</f>
        <v>0</v>
      </c>
      <c r="AL77" s="20">
        <f>W77</f>
        <v>0</v>
      </c>
      <c r="AM77" s="20">
        <f>Y77</f>
        <v>0</v>
      </c>
      <c r="AN77" s="20"/>
      <c r="AO77" s="20"/>
      <c r="AP77" s="20"/>
      <c r="AQ77" s="20"/>
      <c r="AR77" s="20">
        <f>V77</f>
        <v>0</v>
      </c>
      <c r="AS77" s="20">
        <f>W77</f>
        <v>0</v>
      </c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0"/>
      <c r="BI77" s="20"/>
      <c r="BJ77" s="20"/>
      <c r="BK77" s="20"/>
      <c r="BL77" s="20"/>
      <c r="BM77" s="20"/>
      <c r="BN77" s="20"/>
      <c r="BO77" s="20"/>
      <c r="BP77" s="20"/>
      <c r="BQ77" s="21"/>
    </row>
    <row r="78" spans="1:69" x14ac:dyDescent="0.25">
      <c r="A78">
        <v>25</v>
      </c>
      <c r="B78">
        <f t="shared" si="45"/>
        <v>0</v>
      </c>
      <c r="C78">
        <f t="shared" ca="1" si="46"/>
        <v>0</v>
      </c>
      <c r="D78" cm="1">
        <f t="array" aca="1" ref="D78:G78" ca="1">right_cantilever_analysis(Beam_Analysis!$S$29,B78,Beam_Analysis!$D$3,Beam_Analysis!$D$2,Beam_Analysis!$S$33:$X$53,Beam_Analysis!$G$5:$P$5,0)</f>
        <v>0</v>
      </c>
      <c r="E78">
        <f ca="1"/>
        <v>0</v>
      </c>
      <c r="F78">
        <f ca="1"/>
        <v>0</v>
      </c>
      <c r="G78">
        <f ca="1"/>
        <v>0</v>
      </c>
      <c r="H78">
        <f t="shared" si="47"/>
        <v>20</v>
      </c>
      <c r="N78" s="19"/>
      <c r="O78" s="20"/>
      <c r="P78" s="20"/>
      <c r="Q78" s="20"/>
      <c r="R78" s="20"/>
      <c r="S78" s="20"/>
      <c r="T78" s="20"/>
      <c r="U78" s="20"/>
      <c r="V78" s="20">
        <f>V15</f>
        <v>0</v>
      </c>
      <c r="W78" s="20">
        <f>W15</f>
        <v>0</v>
      </c>
      <c r="X78" s="20">
        <f>AA15</f>
        <v>0</v>
      </c>
      <c r="Y78" s="20">
        <f>AB15</f>
        <v>0</v>
      </c>
      <c r="Z78" s="20"/>
      <c r="AA78" s="20"/>
      <c r="AB78" s="20"/>
      <c r="AC78" s="20"/>
      <c r="AD78" s="20">
        <f t="shared" si="64"/>
        <v>0</v>
      </c>
      <c r="AE78" s="20">
        <f t="shared" si="63"/>
        <v>0</v>
      </c>
      <c r="AF78" s="20">
        <f t="shared" si="63"/>
        <v>0</v>
      </c>
      <c r="AG78" s="20"/>
      <c r="AH78" s="20"/>
      <c r="AI78" s="20"/>
      <c r="AJ78" s="20"/>
      <c r="AK78" s="20">
        <f>V79</f>
        <v>0</v>
      </c>
      <c r="AL78" s="20">
        <f>W79</f>
        <v>0</v>
      </c>
      <c r="AM78" s="20">
        <f>Y79</f>
        <v>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0"/>
      <c r="BI78" s="20"/>
      <c r="BJ78" s="20"/>
      <c r="BK78" s="20"/>
      <c r="BL78" s="20"/>
      <c r="BM78" s="20"/>
      <c r="BN78" s="20"/>
      <c r="BO78" s="20"/>
      <c r="BP78" s="20"/>
      <c r="BQ78" s="21"/>
    </row>
    <row r="79" spans="1:69" x14ac:dyDescent="0.25">
      <c r="A79">
        <v>26</v>
      </c>
      <c r="B79">
        <f t="shared" si="45"/>
        <v>0</v>
      </c>
      <c r="C79">
        <f t="shared" ca="1" si="46"/>
        <v>0</v>
      </c>
      <c r="D79" cm="1">
        <f t="array" aca="1" ref="D79:G79" ca="1">right_cantilever_analysis(Beam_Analysis!$S$29,B79,Beam_Analysis!$D$3,Beam_Analysis!$D$2,Beam_Analysis!$S$33:$X$53,Beam_Analysis!$G$5:$P$5,0)</f>
        <v>0</v>
      </c>
      <c r="E79">
        <f ca="1"/>
        <v>0</v>
      </c>
      <c r="F79">
        <f ca="1"/>
        <v>0</v>
      </c>
      <c r="G79">
        <f ca="1"/>
        <v>0</v>
      </c>
      <c r="H79">
        <f t="shared" si="47"/>
        <v>20</v>
      </c>
      <c r="N79" s="19"/>
      <c r="O79" s="20"/>
      <c r="P79" s="20"/>
      <c r="Q79" s="20"/>
      <c r="R79" s="20"/>
      <c r="S79" s="20"/>
      <c r="T79" s="20"/>
      <c r="U79" s="20"/>
      <c r="V79" s="20">
        <f>V16</f>
        <v>0</v>
      </c>
      <c r="W79" s="20">
        <f>W16</f>
        <v>0</v>
      </c>
      <c r="X79" s="20">
        <f>AA16</f>
        <v>0</v>
      </c>
      <c r="Y79" s="20">
        <f>AB16</f>
        <v>0</v>
      </c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20"/>
      <c r="AM79" s="20"/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0"/>
      <c r="BI79" s="20"/>
      <c r="BJ79" s="20"/>
      <c r="BK79" s="20"/>
      <c r="BL79" s="20"/>
      <c r="BM79" s="20"/>
      <c r="BN79" s="20"/>
      <c r="BO79" s="20"/>
      <c r="BP79" s="20"/>
      <c r="BQ79" s="21"/>
    </row>
    <row r="80" spans="1:69" x14ac:dyDescent="0.25">
      <c r="A80">
        <v>27</v>
      </c>
      <c r="B80">
        <f t="shared" si="45"/>
        <v>0</v>
      </c>
      <c r="C80">
        <f t="shared" ca="1" si="46"/>
        <v>0</v>
      </c>
      <c r="D80" cm="1">
        <f t="array" aca="1" ref="D80:G80" ca="1">right_cantilever_analysis(Beam_Analysis!$S$29,B80,Beam_Analysis!$D$3,Beam_Analysis!$D$2,Beam_Analysis!$S$33:$X$53,Beam_Analysis!$G$5:$P$5,0)</f>
        <v>0</v>
      </c>
      <c r="E80">
        <f ca="1"/>
        <v>0</v>
      </c>
      <c r="F80">
        <f ca="1"/>
        <v>0</v>
      </c>
      <c r="G80">
        <f ca="1"/>
        <v>0</v>
      </c>
      <c r="H80">
        <f t="shared" si="47"/>
        <v>20</v>
      </c>
      <c r="N80" s="19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20"/>
      <c r="AM80" s="20"/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0"/>
      <c r="BI80" s="20"/>
      <c r="BJ80" s="20"/>
      <c r="BK80" s="20"/>
      <c r="BL80" s="20"/>
      <c r="BM80" s="20"/>
      <c r="BN80" s="20"/>
      <c r="BO80" s="20"/>
      <c r="BP80" s="20"/>
      <c r="BQ80" s="21"/>
    </row>
    <row r="81" spans="14:69" x14ac:dyDescent="0.25">
      <c r="N81" s="19"/>
      <c r="O81" s="20"/>
      <c r="P81" s="20"/>
      <c r="Q81" s="20"/>
      <c r="R81" s="20"/>
      <c r="S81" s="20"/>
      <c r="T81" s="20"/>
      <c r="U81" s="20"/>
      <c r="V81" s="20" t="e">
        <f t="array" ref="V81:Y84">MINVERSE(V76:Y79)</f>
        <v>#NUM!</v>
      </c>
      <c r="W81" s="20" t="e">
        <v>#NUM!</v>
      </c>
      <c r="X81" s="20" t="e">
        <v>#NUM!</v>
      </c>
      <c r="Y81" s="20" t="e">
        <v>#NUM!</v>
      </c>
      <c r="Z81" s="20"/>
      <c r="AA81" s="20"/>
      <c r="AB81" s="20"/>
      <c r="AC81" s="20"/>
      <c r="AD81" s="20" t="e">
        <f t="array" ref="AD81:AF83">MINVERSE(AD76:AF78)</f>
        <v>#NUM!</v>
      </c>
      <c r="AE81" s="20" t="e">
        <v>#NUM!</v>
      </c>
      <c r="AF81" s="20" t="e">
        <v>#NUM!</v>
      </c>
      <c r="AG81" s="20"/>
      <c r="AH81" s="20"/>
      <c r="AI81" s="20"/>
      <c r="AJ81" s="20"/>
      <c r="AK81" s="20" t="e">
        <f t="array" ref="AK81:AM83">MINVERSE(AK76:AM78)</f>
        <v>#NUM!</v>
      </c>
      <c r="AL81" s="20" t="e">
        <v>#NUM!</v>
      </c>
      <c r="AM81" s="20" t="e">
        <v>#NUM!</v>
      </c>
      <c r="AN81" s="20"/>
      <c r="AO81" s="20"/>
      <c r="AP81" s="20"/>
      <c r="AQ81" s="20"/>
      <c r="AR81" s="20" t="e">
        <f t="array" ref="AR81:AS82">MINVERSE(AR76:AS77)</f>
        <v>#NUM!</v>
      </c>
      <c r="AS81" s="20" t="e">
        <v>#NUM!</v>
      </c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0"/>
      <c r="BI81" s="20"/>
      <c r="BJ81" s="20"/>
      <c r="BK81" s="20"/>
      <c r="BL81" s="20"/>
      <c r="BM81" s="20"/>
      <c r="BN81" s="20"/>
      <c r="BO81" s="20"/>
      <c r="BP81" s="20"/>
      <c r="BQ81" s="21"/>
    </row>
    <row r="82" spans="14:69" x14ac:dyDescent="0.25">
      <c r="N82" s="19"/>
      <c r="O82" s="20"/>
      <c r="P82" s="20"/>
      <c r="Q82" s="20"/>
      <c r="R82" s="20"/>
      <c r="S82" s="20"/>
      <c r="T82" s="20"/>
      <c r="U82" s="20"/>
      <c r="V82" s="20" t="e">
        <v>#NUM!</v>
      </c>
      <c r="W82" s="20" t="e">
        <v>#NUM!</v>
      </c>
      <c r="X82" s="20" t="e">
        <v>#NUM!</v>
      </c>
      <c r="Y82" s="20" t="e">
        <v>#NUM!</v>
      </c>
      <c r="Z82" s="20"/>
      <c r="AA82" s="20"/>
      <c r="AB82" s="20"/>
      <c r="AC82" s="20"/>
      <c r="AD82" s="20" t="e">
        <v>#NUM!</v>
      </c>
      <c r="AE82" s="20" t="e">
        <v>#NUM!</v>
      </c>
      <c r="AF82" s="20" t="e">
        <v>#NUM!</v>
      </c>
      <c r="AG82" s="20"/>
      <c r="AH82" s="20"/>
      <c r="AI82" s="20"/>
      <c r="AJ82" s="20"/>
      <c r="AK82" s="20" t="e">
        <v>#NUM!</v>
      </c>
      <c r="AL82" s="20" t="e">
        <v>#NUM!</v>
      </c>
      <c r="AM82" s="20" t="e">
        <v>#NUM!</v>
      </c>
      <c r="AN82" s="20"/>
      <c r="AO82" s="20"/>
      <c r="AP82" s="20"/>
      <c r="AQ82" s="20"/>
      <c r="AR82" s="20" t="e">
        <v>#NUM!</v>
      </c>
      <c r="AS82" s="20" t="e">
        <v>#NUM!</v>
      </c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0"/>
      <c r="BI82" s="20"/>
      <c r="BJ82" s="20"/>
      <c r="BK82" s="20"/>
      <c r="BL82" s="20"/>
      <c r="BM82" s="20"/>
      <c r="BN82" s="20"/>
      <c r="BO82" s="20"/>
      <c r="BP82" s="20"/>
      <c r="BQ82" s="21"/>
    </row>
    <row r="83" spans="14:69" x14ac:dyDescent="0.25">
      <c r="N83" s="19"/>
      <c r="O83" s="20"/>
      <c r="P83" s="20"/>
      <c r="Q83" s="20"/>
      <c r="R83" s="20"/>
      <c r="S83" s="20"/>
      <c r="T83" s="20"/>
      <c r="U83" s="20"/>
      <c r="V83" s="20" t="e">
        <v>#NUM!</v>
      </c>
      <c r="W83" s="20" t="e">
        <v>#NUM!</v>
      </c>
      <c r="X83" s="20" t="e">
        <v>#NUM!</v>
      </c>
      <c r="Y83" s="20" t="e">
        <v>#NUM!</v>
      </c>
      <c r="Z83" s="20"/>
      <c r="AA83" s="20"/>
      <c r="AB83" s="20"/>
      <c r="AC83" s="20"/>
      <c r="AD83" s="20" t="e">
        <v>#NUM!</v>
      </c>
      <c r="AE83" s="20" t="e">
        <v>#NUM!</v>
      </c>
      <c r="AF83" s="20" t="e">
        <v>#NUM!</v>
      </c>
      <c r="AG83" s="20"/>
      <c r="AH83" s="20"/>
      <c r="AI83" s="20"/>
      <c r="AJ83" s="20"/>
      <c r="AK83" s="20" t="e">
        <v>#NUM!</v>
      </c>
      <c r="AL83" s="20" t="e">
        <v>#NUM!</v>
      </c>
      <c r="AM83" s="20" t="e">
        <v>#NUM!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0"/>
      <c r="BI83" s="20"/>
      <c r="BJ83" s="20"/>
      <c r="BK83" s="20"/>
      <c r="BL83" s="20"/>
      <c r="BM83" s="20"/>
      <c r="BN83" s="20"/>
      <c r="BO83" s="20"/>
      <c r="BP83" s="20"/>
      <c r="BQ83" s="21"/>
    </row>
    <row r="84" spans="14:69" x14ac:dyDescent="0.25">
      <c r="N84" s="19"/>
      <c r="O84" s="20"/>
      <c r="P84" s="20"/>
      <c r="Q84" s="20"/>
      <c r="R84" s="20"/>
      <c r="S84" s="20"/>
      <c r="T84" s="20"/>
      <c r="U84" s="20"/>
      <c r="V84" s="20" t="e">
        <v>#NUM!</v>
      </c>
      <c r="W84" s="20" t="e">
        <v>#NUM!</v>
      </c>
      <c r="X84" s="20" t="e">
        <v>#NUM!</v>
      </c>
      <c r="Y84" s="20" t="e">
        <v>#NUM!</v>
      </c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  <c r="AM84" s="20"/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0"/>
      <c r="BI84" s="20"/>
      <c r="BJ84" s="20"/>
      <c r="BK84" s="20"/>
      <c r="BL84" s="20"/>
      <c r="BM84" s="20"/>
      <c r="BN84" s="20"/>
      <c r="BO84" s="20"/>
      <c r="BP84" s="20"/>
      <c r="BQ84" s="21"/>
    </row>
    <row r="85" spans="14:69" x14ac:dyDescent="0.25">
      <c r="N85" s="19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20"/>
      <c r="AM85" s="20"/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0"/>
      <c r="BI85" s="20"/>
      <c r="BJ85" s="20"/>
      <c r="BK85" s="20"/>
      <c r="BL85" s="20"/>
      <c r="BM85" s="20"/>
      <c r="BN85" s="20"/>
      <c r="BO85" s="20"/>
      <c r="BP85" s="20"/>
      <c r="BQ85" s="21"/>
    </row>
    <row r="86" spans="14:69" x14ac:dyDescent="0.25">
      <c r="N86" s="19"/>
      <c r="O86" s="20"/>
      <c r="P86" s="20"/>
      <c r="Q86" s="20"/>
      <c r="R86" s="20"/>
      <c r="S86" s="20"/>
      <c r="T86" s="20"/>
      <c r="U86" s="20">
        <f ca="1">T10</f>
        <v>0.24965800492610823</v>
      </c>
      <c r="V86" s="20" t="e">
        <f t="array" ref="V86:V89">MMULT(V81:Y84,U86:U89)</f>
        <v>#NUM!</v>
      </c>
      <c r="W86" s="20"/>
      <c r="X86" s="20"/>
      <c r="Y86" s="20"/>
      <c r="Z86" s="20"/>
      <c r="AA86" s="20"/>
      <c r="AB86" s="20"/>
      <c r="AC86" s="20"/>
      <c r="AD86" s="20" t="e">
        <f t="array" ref="AD86:AD88">MMULT(AD81:AF83,U86:U88)</f>
        <v>#NUM!</v>
      </c>
      <c r="AE86" s="20"/>
      <c r="AF86" s="20"/>
      <c r="AG86" s="20"/>
      <c r="AH86" s="20"/>
      <c r="AI86" s="20"/>
      <c r="AJ86" s="20">
        <f ca="1">U86</f>
        <v>0.24965800492610823</v>
      </c>
      <c r="AK86" s="20" t="e">
        <f t="array" ref="AK86:AK88">MMULT(AK81:AM83,AJ86:AJ88)</f>
        <v>#NUM!</v>
      </c>
      <c r="AL86" s="20"/>
      <c r="AM86" s="20"/>
      <c r="AN86" s="20"/>
      <c r="AO86" s="20"/>
      <c r="AP86" s="20"/>
      <c r="AQ86" s="20"/>
      <c r="AR86" s="20" t="e">
        <f t="array" ref="AR86:AR87">MMULT(AR81:AS82,U86:U87)</f>
        <v>#NUM!</v>
      </c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0"/>
      <c r="BI86" s="20"/>
      <c r="BJ86" s="20"/>
      <c r="BK86" s="20"/>
      <c r="BL86" s="20"/>
      <c r="BM86" s="20"/>
      <c r="BN86" s="20"/>
      <c r="BO86" s="20"/>
      <c r="BP86" s="20"/>
      <c r="BQ86" s="21"/>
    </row>
    <row r="87" spans="14:69" x14ac:dyDescent="0.25">
      <c r="N87" s="19"/>
      <c r="O87" s="20"/>
      <c r="P87" s="20"/>
      <c r="Q87" s="20"/>
      <c r="R87" s="20"/>
      <c r="S87" s="20"/>
      <c r="T87" s="20"/>
      <c r="U87" s="20">
        <f ca="1">T11</f>
        <v>0</v>
      </c>
      <c r="V87" s="20" t="e">
        <v>#NUM!</v>
      </c>
      <c r="W87" s="20"/>
      <c r="X87" s="20"/>
      <c r="Y87" s="20"/>
      <c r="Z87" s="20"/>
      <c r="AA87" s="20"/>
      <c r="AB87" s="20"/>
      <c r="AC87" s="20"/>
      <c r="AD87" s="20" t="e">
        <v>#NUM!</v>
      </c>
      <c r="AE87" s="20"/>
      <c r="AF87" s="20"/>
      <c r="AG87" s="20"/>
      <c r="AH87" s="20"/>
      <c r="AI87" s="20"/>
      <c r="AJ87" s="20">
        <f t="shared" ref="AJ87" ca="1" si="65">U87</f>
        <v>0</v>
      </c>
      <c r="AK87" s="20" t="e">
        <v>#NUM!</v>
      </c>
      <c r="AL87" s="20"/>
      <c r="AM87" s="20"/>
      <c r="AN87" s="20"/>
      <c r="AO87" s="20"/>
      <c r="AP87" s="20"/>
      <c r="AQ87" s="20"/>
      <c r="AR87" s="20" t="e">
        <v>#NUM!</v>
      </c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0"/>
      <c r="BI87" s="20"/>
      <c r="BJ87" s="20"/>
      <c r="BK87" s="20"/>
      <c r="BL87" s="20"/>
      <c r="BM87" s="20"/>
      <c r="BN87" s="20"/>
      <c r="BO87" s="20"/>
      <c r="BP87" s="20"/>
      <c r="BQ87" s="21"/>
    </row>
    <row r="88" spans="14:69" x14ac:dyDescent="0.25">
      <c r="N88" s="19"/>
      <c r="O88" s="20"/>
      <c r="P88" s="20"/>
      <c r="Q88" s="20"/>
      <c r="R88" s="20"/>
      <c r="S88" s="20"/>
      <c r="T88" s="20"/>
      <c r="U88" s="20">
        <f ca="1">T15</f>
        <v>4.1200179131213599E-2</v>
      </c>
      <c r="V88" s="20" t="e">
        <v>#NUM!</v>
      </c>
      <c r="W88" s="20"/>
      <c r="X88" s="20"/>
      <c r="Y88" s="20"/>
      <c r="Z88" s="20"/>
      <c r="AA88" s="20"/>
      <c r="AB88" s="20"/>
      <c r="AC88" s="20"/>
      <c r="AD88" s="20" t="e">
        <v>#NUM!</v>
      </c>
      <c r="AE88" s="20"/>
      <c r="AF88" s="20"/>
      <c r="AG88" s="20"/>
      <c r="AH88" s="20"/>
      <c r="AI88" s="20"/>
      <c r="AJ88" s="20">
        <f ca="1">U89</f>
        <v>-3.9408866995073871E-2</v>
      </c>
      <c r="AK88" s="20" t="e">
        <v>#NUM!</v>
      </c>
      <c r="AL88" s="20"/>
      <c r="AM88" s="20"/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0"/>
      <c r="BI88" s="20"/>
      <c r="BJ88" s="20"/>
      <c r="BK88" s="20"/>
      <c r="BL88" s="20"/>
      <c r="BM88" s="20"/>
      <c r="BN88" s="20"/>
      <c r="BO88" s="20"/>
      <c r="BP88" s="20"/>
      <c r="BQ88" s="21"/>
    </row>
    <row r="89" spans="14:69" x14ac:dyDescent="0.25">
      <c r="N89" s="19"/>
      <c r="O89" s="20"/>
      <c r="P89" s="20"/>
      <c r="Q89" s="20"/>
      <c r="R89" s="20"/>
      <c r="S89" s="20"/>
      <c r="T89" s="20"/>
      <c r="U89" s="20">
        <f ca="1">T16</f>
        <v>-3.9408866995073871E-2</v>
      </c>
      <c r="V89" s="20" t="e">
        <v>#NUM!</v>
      </c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20"/>
      <c r="AM89" s="20"/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0"/>
      <c r="BI89" s="20"/>
      <c r="BJ89" s="20"/>
      <c r="BK89" s="20"/>
      <c r="BL89" s="20"/>
      <c r="BM89" s="20"/>
      <c r="BN89" s="20"/>
      <c r="BO89" s="20"/>
      <c r="BP89" s="20"/>
      <c r="BQ89" s="21"/>
    </row>
    <row r="90" spans="14:69" x14ac:dyDescent="0.25">
      <c r="N90" s="19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20"/>
      <c r="AM90" s="20"/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0"/>
      <c r="BI90" s="20"/>
      <c r="BJ90" s="20"/>
      <c r="BK90" s="20"/>
      <c r="BL90" s="20"/>
      <c r="BM90" s="20"/>
      <c r="BN90" s="20"/>
      <c r="BO90" s="20"/>
      <c r="BP90" s="20"/>
      <c r="BQ90" s="21"/>
    </row>
    <row r="91" spans="14:69" x14ac:dyDescent="0.25">
      <c r="N91" s="19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20"/>
      <c r="AM91" s="20"/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0"/>
      <c r="BI91" s="20"/>
      <c r="BJ91" s="20"/>
      <c r="BK91" s="20"/>
      <c r="BL91" s="20"/>
      <c r="BM91" s="20"/>
      <c r="BN91" s="20"/>
      <c r="BO91" s="20"/>
      <c r="BP91" s="20"/>
      <c r="BQ91" s="21"/>
    </row>
    <row r="92" spans="14:69" x14ac:dyDescent="0.25">
      <c r="N92" s="19"/>
      <c r="O92" s="20"/>
      <c r="P92" s="20"/>
      <c r="Q92" s="20"/>
      <c r="R92" s="20"/>
      <c r="S92" s="20"/>
      <c r="T92" s="20"/>
      <c r="U92" s="20"/>
      <c r="V92" s="20">
        <f>V10</f>
        <v>-2.6334975369458131E-2</v>
      </c>
      <c r="W92" s="20">
        <f>AA10</f>
        <v>0</v>
      </c>
      <c r="X92" s="20">
        <f>AB10</f>
        <v>0</v>
      </c>
      <c r="Y92" s="20"/>
      <c r="Z92" s="20"/>
      <c r="AA92" s="20"/>
      <c r="AB92" s="20"/>
      <c r="AC92" s="20"/>
      <c r="AD92" s="20">
        <f>V92</f>
        <v>-2.6334975369458131E-2</v>
      </c>
      <c r="AE92" s="20">
        <f>W92</f>
        <v>0</v>
      </c>
      <c r="AF92" s="20"/>
      <c r="AG92" s="20"/>
      <c r="AH92" s="20"/>
      <c r="AI92" s="20"/>
      <c r="AJ92" s="20"/>
      <c r="AK92" s="20">
        <f>V92</f>
        <v>-2.6334975369458131E-2</v>
      </c>
      <c r="AL92" s="20">
        <f>X92</f>
        <v>0</v>
      </c>
      <c r="AM92" s="20"/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0"/>
      <c r="BI92" s="20"/>
      <c r="BJ92" s="20"/>
      <c r="BK92" s="20"/>
      <c r="BL92" s="20"/>
      <c r="BM92" s="20"/>
      <c r="BN92" s="20"/>
      <c r="BO92" s="20"/>
      <c r="BP92" s="20"/>
      <c r="BQ92" s="21"/>
    </row>
    <row r="93" spans="14:69" x14ac:dyDescent="0.25">
      <c r="N93" s="19"/>
      <c r="O93" s="20"/>
      <c r="P93" s="20"/>
      <c r="Q93" s="20"/>
      <c r="R93" s="20"/>
      <c r="S93" s="20"/>
      <c r="T93" s="20"/>
      <c r="U93" s="20"/>
      <c r="V93" s="20">
        <f>V15</f>
        <v>0</v>
      </c>
      <c r="W93" s="20">
        <f>AA15</f>
        <v>0</v>
      </c>
      <c r="X93" s="20">
        <f>AB15</f>
        <v>0</v>
      </c>
      <c r="Y93" s="20"/>
      <c r="Z93" s="20"/>
      <c r="AA93" s="20"/>
      <c r="AB93" s="20"/>
      <c r="AC93" s="20"/>
      <c r="AD93" s="20">
        <f>V93</f>
        <v>0</v>
      </c>
      <c r="AE93" s="20">
        <f>W93</f>
        <v>0</v>
      </c>
      <c r="AF93" s="20"/>
      <c r="AG93" s="20"/>
      <c r="AH93" s="20"/>
      <c r="AI93" s="20"/>
      <c r="AJ93" s="20"/>
      <c r="AK93" s="20">
        <f>V94</f>
        <v>0</v>
      </c>
      <c r="AL93" s="20">
        <f>X94</f>
        <v>0</v>
      </c>
      <c r="AM93" s="20"/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0"/>
      <c r="BI93" s="20"/>
      <c r="BJ93" s="20"/>
      <c r="BK93" s="20"/>
      <c r="BL93" s="20"/>
      <c r="BM93" s="20"/>
      <c r="BN93" s="20"/>
      <c r="BO93" s="20"/>
      <c r="BP93" s="20"/>
      <c r="BQ93" s="21"/>
    </row>
    <row r="94" spans="14:69" x14ac:dyDescent="0.25">
      <c r="N94" s="19"/>
      <c r="O94" s="20"/>
      <c r="P94" s="20"/>
      <c r="Q94" s="20"/>
      <c r="R94" s="20"/>
      <c r="S94" s="20"/>
      <c r="T94" s="20"/>
      <c r="U94" s="20"/>
      <c r="V94" s="20">
        <f>V16</f>
        <v>0</v>
      </c>
      <c r="W94" s="20">
        <f>AA16</f>
        <v>0</v>
      </c>
      <c r="X94" s="20">
        <f>AB16</f>
        <v>0</v>
      </c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20"/>
      <c r="AM94" s="20"/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0"/>
      <c r="BI94" s="20"/>
      <c r="BJ94" s="20"/>
      <c r="BK94" s="20"/>
      <c r="BL94" s="20"/>
      <c r="BM94" s="20"/>
      <c r="BN94" s="20"/>
      <c r="BO94" s="20"/>
      <c r="BP94" s="20"/>
      <c r="BQ94" s="21"/>
    </row>
    <row r="95" spans="14:69" x14ac:dyDescent="0.25">
      <c r="N95" s="19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20"/>
      <c r="AM95" s="20"/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0"/>
      <c r="BI95" s="20"/>
      <c r="BJ95" s="20"/>
      <c r="BK95" s="20"/>
      <c r="BL95" s="20"/>
      <c r="BM95" s="20"/>
      <c r="BN95" s="20"/>
      <c r="BO95" s="20"/>
      <c r="BP95" s="20"/>
      <c r="BQ95" s="21"/>
    </row>
    <row r="96" spans="14:69" x14ac:dyDescent="0.25">
      <c r="N96" s="19"/>
      <c r="O96" s="20"/>
      <c r="P96" s="20"/>
      <c r="Q96" s="20"/>
      <c r="R96" s="20"/>
      <c r="S96" s="20"/>
      <c r="T96" s="20"/>
      <c r="U96" s="20"/>
      <c r="V96" s="20" t="e">
        <f t="array" ref="V96:X98">MINVERSE(V92:X94)</f>
        <v>#NUM!</v>
      </c>
      <c r="W96" s="20" t="e">
        <v>#NUM!</v>
      </c>
      <c r="X96" s="20" t="e">
        <v>#NUM!</v>
      </c>
      <c r="Y96" s="20"/>
      <c r="Z96" s="20"/>
      <c r="AA96" s="20"/>
      <c r="AB96" s="20"/>
      <c r="AC96" s="20"/>
      <c r="AD96" s="20" t="e">
        <f t="array" ref="AD96:AE97">MINVERSE(AD92:AE93)</f>
        <v>#NUM!</v>
      </c>
      <c r="AE96" s="20" t="e">
        <v>#NUM!</v>
      </c>
      <c r="AF96" s="20"/>
      <c r="AG96" s="20"/>
      <c r="AH96" s="20"/>
      <c r="AI96" s="20"/>
      <c r="AJ96" s="20"/>
      <c r="AK96" s="20" t="e">
        <f t="array" ref="AK96:AL97">MINVERSE(AK92:AL93)</f>
        <v>#NUM!</v>
      </c>
      <c r="AL96" s="20" t="e">
        <v>#NUM!</v>
      </c>
      <c r="AM96" s="20"/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0"/>
      <c r="BI96" s="20"/>
      <c r="BJ96" s="20"/>
      <c r="BK96" s="20"/>
      <c r="BL96" s="20"/>
      <c r="BM96" s="20"/>
      <c r="BN96" s="20"/>
      <c r="BO96" s="20"/>
      <c r="BP96" s="20"/>
      <c r="BQ96" s="21"/>
    </row>
    <row r="97" spans="14:69" x14ac:dyDescent="0.25">
      <c r="N97" s="19"/>
      <c r="O97" s="20"/>
      <c r="P97" s="20"/>
      <c r="Q97" s="20"/>
      <c r="R97" s="20"/>
      <c r="S97" s="20"/>
      <c r="T97" s="20"/>
      <c r="U97" s="20"/>
      <c r="V97" s="20" t="e">
        <v>#NUM!</v>
      </c>
      <c r="W97" s="20" t="e">
        <v>#NUM!</v>
      </c>
      <c r="X97" s="20" t="e">
        <v>#NUM!</v>
      </c>
      <c r="Y97" s="20"/>
      <c r="Z97" s="20"/>
      <c r="AA97" s="20"/>
      <c r="AB97" s="20"/>
      <c r="AC97" s="20"/>
      <c r="AD97" s="20" t="e">
        <v>#NUM!</v>
      </c>
      <c r="AE97" s="20" t="e">
        <v>#NUM!</v>
      </c>
      <c r="AF97" s="20"/>
      <c r="AG97" s="20"/>
      <c r="AH97" s="20"/>
      <c r="AI97" s="20"/>
      <c r="AJ97" s="20"/>
      <c r="AK97" s="20" t="e">
        <v>#NUM!</v>
      </c>
      <c r="AL97" s="20" t="e">
        <v>#NUM!</v>
      </c>
      <c r="AM97" s="20"/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0"/>
      <c r="BI97" s="20"/>
      <c r="BJ97" s="20"/>
      <c r="BK97" s="20"/>
      <c r="BL97" s="20"/>
      <c r="BM97" s="20"/>
      <c r="BN97" s="20"/>
      <c r="BO97" s="20"/>
      <c r="BP97" s="20"/>
      <c r="BQ97" s="21"/>
    </row>
    <row r="98" spans="14:69" x14ac:dyDescent="0.25">
      <c r="N98" s="19"/>
      <c r="O98" s="20"/>
      <c r="P98" s="20"/>
      <c r="Q98" s="20"/>
      <c r="R98" s="20"/>
      <c r="S98" s="20"/>
      <c r="T98" s="20"/>
      <c r="U98" s="20"/>
      <c r="V98" s="20" t="e">
        <v>#NUM!</v>
      </c>
      <c r="W98" s="20" t="e">
        <v>#NUM!</v>
      </c>
      <c r="X98" s="20" t="e">
        <v>#NUM!</v>
      </c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20"/>
      <c r="AM98" s="20"/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0"/>
      <c r="BI98" s="20"/>
      <c r="BJ98" s="20"/>
      <c r="BK98" s="20"/>
      <c r="BL98" s="20"/>
      <c r="BM98" s="20"/>
      <c r="BN98" s="20"/>
      <c r="BO98" s="20"/>
      <c r="BP98" s="20"/>
      <c r="BQ98" s="21"/>
    </row>
    <row r="99" spans="14:69" x14ac:dyDescent="0.25">
      <c r="N99" s="19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20"/>
      <c r="AM99" s="20"/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0"/>
      <c r="BI99" s="20"/>
      <c r="BJ99" s="20"/>
      <c r="BK99" s="20"/>
      <c r="BL99" s="20"/>
      <c r="BM99" s="20"/>
      <c r="BN99" s="20"/>
      <c r="BO99" s="20"/>
      <c r="BP99" s="20"/>
      <c r="BQ99" s="21"/>
    </row>
    <row r="100" spans="14:69" x14ac:dyDescent="0.25">
      <c r="N100" s="19"/>
      <c r="O100" s="20"/>
      <c r="P100" s="20"/>
      <c r="Q100" s="20"/>
      <c r="R100" s="20"/>
      <c r="S100" s="20"/>
      <c r="T100" s="20"/>
      <c r="U100" s="20">
        <f ca="1">T10</f>
        <v>0.24965800492610823</v>
      </c>
      <c r="V100" s="20" t="e">
        <f t="array" ref="V100:V102">MMULT(V96:X98,U100:U102)</f>
        <v>#NUM!</v>
      </c>
      <c r="W100" s="20"/>
      <c r="X100" s="20"/>
      <c r="Y100" s="20"/>
      <c r="Z100" s="20"/>
      <c r="AA100" s="20"/>
      <c r="AB100" s="20"/>
      <c r="AC100" s="20"/>
      <c r="AD100" s="20" t="e">
        <f t="array" ref="AD100:AD101">MMULT(AD96:AE97,U100:U101)</f>
        <v>#NUM!</v>
      </c>
      <c r="AE100" s="20"/>
      <c r="AF100" s="20"/>
      <c r="AG100" s="20"/>
      <c r="AH100" s="20"/>
      <c r="AI100" s="20"/>
      <c r="AJ100" s="20">
        <f ca="1">U100</f>
        <v>0.24965800492610823</v>
      </c>
      <c r="AK100" s="20" t="e">
        <f t="array" ref="AK100:AK101">MMULT(AK96:AL97,AJ100:AJ101)</f>
        <v>#NUM!</v>
      </c>
      <c r="AL100" s="20"/>
      <c r="AM100" s="20"/>
      <c r="AN100" s="20"/>
      <c r="AO100" s="20"/>
      <c r="AP100" s="20"/>
      <c r="AQ100" s="20"/>
      <c r="AR100" s="20">
        <f ca="1">U100/V92</f>
        <v>-9.4800925925925856</v>
      </c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0"/>
      <c r="BI100" s="20"/>
      <c r="BJ100" s="20"/>
      <c r="BK100" s="20"/>
      <c r="BL100" s="20"/>
      <c r="BM100" s="20"/>
      <c r="BN100" s="20"/>
      <c r="BO100" s="20"/>
      <c r="BP100" s="20"/>
      <c r="BQ100" s="21"/>
    </row>
    <row r="101" spans="14:69" x14ac:dyDescent="0.25">
      <c r="N101" s="19"/>
      <c r="O101" s="20"/>
      <c r="P101" s="20"/>
      <c r="Q101" s="20"/>
      <c r="R101" s="20"/>
      <c r="S101" s="20"/>
      <c r="T101" s="20"/>
      <c r="U101" s="20">
        <f ca="1">T15</f>
        <v>4.1200179131213599E-2</v>
      </c>
      <c r="V101" s="20" t="e">
        <v>#NUM!</v>
      </c>
      <c r="W101" s="20"/>
      <c r="X101" s="20"/>
      <c r="Y101" s="20"/>
      <c r="Z101" s="20"/>
      <c r="AA101" s="20"/>
      <c r="AB101" s="20"/>
      <c r="AC101" s="20"/>
      <c r="AD101" s="20" t="e">
        <v>#NUM!</v>
      </c>
      <c r="AE101" s="20"/>
      <c r="AF101" s="20"/>
      <c r="AG101" s="20"/>
      <c r="AH101" s="20"/>
      <c r="AI101" s="20"/>
      <c r="AJ101" s="20">
        <f ca="1">U102</f>
        <v>-3.9408866995073871E-2</v>
      </c>
      <c r="AK101" s="20" t="e">
        <v>#NUM!</v>
      </c>
      <c r="AL101" s="20"/>
      <c r="AM101" s="20"/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0"/>
      <c r="BI101" s="20"/>
      <c r="BJ101" s="20"/>
      <c r="BK101" s="20"/>
      <c r="BL101" s="20"/>
      <c r="BM101" s="20"/>
      <c r="BN101" s="20"/>
      <c r="BO101" s="20"/>
      <c r="BP101" s="20"/>
      <c r="BQ101" s="21"/>
    </row>
    <row r="102" spans="14:69" x14ac:dyDescent="0.25">
      <c r="N102" s="19"/>
      <c r="O102" s="20"/>
      <c r="P102" s="20"/>
      <c r="Q102" s="20"/>
      <c r="R102" s="20"/>
      <c r="S102" s="20"/>
      <c r="T102" s="20"/>
      <c r="U102" s="20">
        <f ca="1">T16</f>
        <v>-3.9408866995073871E-2</v>
      </c>
      <c r="V102" s="20" t="e">
        <v>#NUM!</v>
      </c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20"/>
      <c r="AM102" s="20"/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0"/>
      <c r="BI102" s="20"/>
      <c r="BJ102" s="20"/>
      <c r="BK102" s="20"/>
      <c r="BL102" s="20"/>
      <c r="BM102" s="20"/>
      <c r="BN102" s="20"/>
      <c r="BO102" s="20"/>
      <c r="BP102" s="20"/>
      <c r="BQ102" s="21"/>
    </row>
    <row r="103" spans="14:69" ht="15.75" thickBot="1" x14ac:dyDescent="0.3">
      <c r="N103" s="23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  <c r="AR103" s="24"/>
      <c r="AS103" s="24"/>
      <c r="AT103" s="24"/>
      <c r="AU103" s="24"/>
      <c r="AV103" s="24"/>
      <c r="AW103" s="24"/>
      <c r="AX103" s="24"/>
      <c r="AY103" s="24"/>
      <c r="AZ103" s="24"/>
      <c r="BA103" s="24"/>
      <c r="BB103" s="24"/>
      <c r="BC103" s="24"/>
      <c r="BD103" s="24"/>
      <c r="BE103" s="24"/>
      <c r="BF103" s="24"/>
      <c r="BG103" s="24"/>
      <c r="BH103" s="24"/>
      <c r="BI103" s="24"/>
      <c r="BJ103" s="24"/>
      <c r="BK103" s="24"/>
      <c r="BL103" s="24"/>
      <c r="BM103" s="24"/>
      <c r="BN103" s="24"/>
      <c r="BO103" s="24"/>
      <c r="BP103" s="24"/>
      <c r="BQ103" s="25"/>
    </row>
    <row r="105" spans="14:69" x14ac:dyDescent="0.25">
      <c r="Q105">
        <f>O3/120</f>
        <v>0.16666666666666666</v>
      </c>
    </row>
    <row r="106" spans="14:69" x14ac:dyDescent="0.25">
      <c r="N106" s="1" t="s">
        <v>64</v>
      </c>
      <c r="O106" s="1" t="s">
        <v>45</v>
      </c>
      <c r="P106" s="1" t="s">
        <v>46</v>
      </c>
      <c r="R106" s="1" t="s">
        <v>19</v>
      </c>
      <c r="S106" s="1" t="s">
        <v>20</v>
      </c>
      <c r="T106" s="1" t="s">
        <v>21</v>
      </c>
      <c r="U106" s="1" t="s">
        <v>39</v>
      </c>
      <c r="X106" s="1" t="s">
        <v>45</v>
      </c>
      <c r="Y106" s="1" t="s">
        <v>46</v>
      </c>
      <c r="Z106" s="1" t="s">
        <v>45</v>
      </c>
      <c r="AA106" s="1" t="s">
        <v>46</v>
      </c>
    </row>
    <row r="107" spans="14:69" x14ac:dyDescent="0.25">
      <c r="N107">
        <v>1</v>
      </c>
      <c r="O107" s="12">
        <f t="shared" ref="O107:O138" si="66">Q107+$F$12</f>
        <v>0</v>
      </c>
      <c r="P107">
        <f t="shared" ref="P107:P138" ca="1" si="67">OFFSET(R107,0,$O$2)</f>
        <v>0</v>
      </c>
      <c r="Q107">
        <f t="shared" ref="Q107:Q133" si="68">(N107-1)*$Q$105</f>
        <v>0</v>
      </c>
      <c r="R107" cm="1">
        <f t="array" aca="1" ref="R107:U107" ca="1">center_span(Beam_Analysis!$J$29,Q107,Beam_Analysis!$D$3,Beam_Analysis!$D$2,Beam_Analysis!$J$33:$O$79,Beam_Analysis!$G$5:$P$5,0)</f>
        <v>3.1192824074074101</v>
      </c>
      <c r="S107">
        <f ca="1"/>
        <v>0</v>
      </c>
      <c r="T107">
        <f ca="1"/>
        <v>-2.1123096730855523E-3</v>
      </c>
      <c r="U107">
        <f ca="1"/>
        <v>0</v>
      </c>
      <c r="X107">
        <f>Beam_Analysis!A10+Data!F12</f>
        <v>1</v>
      </c>
      <c r="Y107">
        <v>0</v>
      </c>
      <c r="Z107">
        <f>F12+Beam_Analysis!A11</f>
        <v>15</v>
      </c>
      <c r="AA107">
        <v>0</v>
      </c>
    </row>
    <row r="108" spans="14:69" x14ac:dyDescent="0.25">
      <c r="N108">
        <v>2</v>
      </c>
      <c r="O108" s="12">
        <f t="shared" si="66"/>
        <v>0.16666666666666666</v>
      </c>
      <c r="P108">
        <f t="shared" ca="1" si="67"/>
        <v>-4.2200251523168558E-3</v>
      </c>
      <c r="Q108">
        <f t="shared" si="68"/>
        <v>0.16666666666666666</v>
      </c>
      <c r="R108" cm="1">
        <f t="array" aca="1" ref="R108:U108" ca="1">center_span(Beam_Analysis!$J$29,Q108,Beam_Analysis!$D$3,Beam_Analysis!$D$2,Beam_Analysis!$J$33:$O$79,Beam_Analysis!$G$5:$P$5,0)</f>
        <v>2.9529629629629666</v>
      </c>
      <c r="S108">
        <f ca="1"/>
        <v>0.50601080246913632</v>
      </c>
      <c r="T108">
        <f ca="1"/>
        <v>-2.1054494296412554E-3</v>
      </c>
      <c r="U108">
        <f ca="1"/>
        <v>-4.2200251523168558E-3</v>
      </c>
      <c r="X108">
        <f>X107</f>
        <v>1</v>
      </c>
      <c r="Y108">
        <f ca="1">OFFSET(Beam_Analysis!A10,0,Data!O2+1)</f>
        <v>-2.4422152560083787E-2</v>
      </c>
      <c r="Z108">
        <f>Z107</f>
        <v>15</v>
      </c>
      <c r="AA108">
        <f ca="1">OFFSET(Beam_Analysis!A11,0,Data!O2+1)</f>
        <v>-0.10026153157187667</v>
      </c>
    </row>
    <row r="109" spans="14:69" x14ac:dyDescent="0.25">
      <c r="N109">
        <v>3</v>
      </c>
      <c r="O109" s="12">
        <f t="shared" si="66"/>
        <v>0.33333333333333331</v>
      </c>
      <c r="P109">
        <f t="shared" ca="1" si="67"/>
        <v>-8.4129814842459003E-3</v>
      </c>
      <c r="Q109">
        <f t="shared" si="68"/>
        <v>0.33333333333333331</v>
      </c>
      <c r="R109" cm="1">
        <f t="array" aca="1" ref="R109:U109" ca="1">center_span(Beam_Analysis!$J$29,Q109,Beam_Analysis!$D$3,Beam_Analysis!$D$2,Beam_Analysis!$J$33:$O$79,Beam_Analysis!$G$5:$P$5,0)</f>
        <v>2.7873379629629662</v>
      </c>
      <c r="S109">
        <f ca="1"/>
        <v>0.98435956790123535</v>
      </c>
      <c r="T109">
        <f ca="1"/>
        <v>-2.0853647310544038E-3</v>
      </c>
      <c r="U109">
        <f ca="1"/>
        <v>-8.4129814842459003E-3</v>
      </c>
    </row>
    <row r="110" spans="14:69" x14ac:dyDescent="0.25">
      <c r="N110">
        <v>4</v>
      </c>
      <c r="O110" s="12">
        <f t="shared" si="66"/>
        <v>0.5</v>
      </c>
      <c r="P110">
        <f t="shared" ca="1" si="67"/>
        <v>-1.2553162319002942E-2</v>
      </c>
      <c r="Q110">
        <f t="shared" si="68"/>
        <v>0.5</v>
      </c>
      <c r="R110" cm="1">
        <f t="array" aca="1" ref="R110:U110" ca="1">center_span(Beam_Analysis!$J$29,Q110,Beam_Analysis!$D$3,Beam_Analysis!$D$2,Beam_Analysis!$J$33:$O$79,Beam_Analysis!$G$5:$P$5,0)</f>
        <v>2.62240740740741</v>
      </c>
      <c r="S110">
        <f ca="1"/>
        <v>1.4351620370370388</v>
      </c>
      <c r="T110">
        <f ca="1"/>
        <v>-2.0527972925063545E-3</v>
      </c>
      <c r="U110">
        <f ca="1"/>
        <v>-1.2553162319002942E-2</v>
      </c>
      <c r="X110" t="e">
        <f>IF(O2=1,F12+Beam_Analysis!A15,NA())</f>
        <v>#N/A</v>
      </c>
      <c r="Y110">
        <v>0</v>
      </c>
      <c r="Z110">
        <f ca="1">IF(O2=3,F12+Beam_Analysis!A19,NA())</f>
        <v>3.6995191872119904</v>
      </c>
      <c r="AA110">
        <v>0</v>
      </c>
    </row>
    <row r="111" spans="14:69" x14ac:dyDescent="0.25">
      <c r="N111">
        <v>5</v>
      </c>
      <c r="O111" s="12">
        <f t="shared" si="66"/>
        <v>0.66666666666666663</v>
      </c>
      <c r="P111">
        <f t="shared" ca="1" si="67"/>
        <v>-1.6616341300249471E-2</v>
      </c>
      <c r="Q111">
        <f t="shared" si="68"/>
        <v>0.66666666666666663</v>
      </c>
      <c r="R111" cm="1">
        <f t="array" aca="1" ref="R111:U111" ca="1">center_span(Beam_Analysis!$J$29,Q111,Beam_Analysis!$D$3,Beam_Analysis!$D$2,Beam_Analysis!$J$33:$O$79,Beam_Analysis!$G$5:$P$5,0)</f>
        <v>2.4581712962962987</v>
      </c>
      <c r="S111">
        <f ca="1"/>
        <v>1.8585339506172858</v>
      </c>
      <c r="T111">
        <f ca="1"/>
        <v>-2.008485719261599E-3</v>
      </c>
      <c r="U111">
        <f ca="1"/>
        <v>-1.6616341300249471E-2</v>
      </c>
      <c r="X111" t="e">
        <f>X110</f>
        <v>#N/A</v>
      </c>
      <c r="Y111" t="e">
        <f ca="1">IF(O2=1,OFFSET(Beam_Analysis!A15,0,Data!O2+1),NA())</f>
        <v>#N/A</v>
      </c>
      <c r="Z111">
        <f ca="1">Z110</f>
        <v>3.6995191872119904</v>
      </c>
      <c r="AA111">
        <f ca="1">IF(O2=3,OFFSET(Beam_Analysis!A19,0,Data!O2+1),NA())</f>
        <v>-5.7669252733121734E-2</v>
      </c>
    </row>
    <row r="112" spans="14:69" x14ac:dyDescent="0.25">
      <c r="N112">
        <v>6</v>
      </c>
      <c r="O112" s="12">
        <f t="shared" si="66"/>
        <v>0.83333333333333326</v>
      </c>
      <c r="P112">
        <f t="shared" ca="1" si="67"/>
        <v>-2.0579766172259095E-2</v>
      </c>
      <c r="Q112">
        <f t="shared" si="68"/>
        <v>0.83333333333333326</v>
      </c>
      <c r="R112" cm="1">
        <f t="array" aca="1" ref="R112:U112" ca="1">center_span(Beam_Analysis!$J$29,Q112,Beam_Analysis!$D$3,Beam_Analysis!$D$2,Beam_Analysis!$J$33:$O$79,Beam_Analysis!$G$5:$P$5,0)</f>
        <v>2.2946296296296325</v>
      </c>
      <c r="S112">
        <f ca="1"/>
        <v>2.2545910493827179</v>
      </c>
      <c r="T112">
        <f ca="1"/>
        <v>-1.9531655066676798E-3</v>
      </c>
      <c r="U112">
        <f ca="1"/>
        <v>-2.0579766172259095E-2</v>
      </c>
    </row>
    <row r="113" spans="14:21" x14ac:dyDescent="0.25">
      <c r="N113">
        <v>7</v>
      </c>
      <c r="O113" s="12">
        <f t="shared" si="66"/>
        <v>1</v>
      </c>
      <c r="P113">
        <f t="shared" ca="1" si="67"/>
        <v>-2.4422152560083787E-2</v>
      </c>
      <c r="Q113">
        <f t="shared" si="68"/>
        <v>1</v>
      </c>
      <c r="R113" cm="1">
        <f t="array" aca="1" ref="R113:U113" ca="1">center_span(Beam_Analysis!$J$29,Q113,Beam_Analysis!$D$3,Beam_Analysis!$D$2,Beam_Analysis!$J$33:$O$79,Beam_Analysis!$G$5:$P$5,0)</f>
        <v>2.1317824074074103</v>
      </c>
      <c r="S113">
        <f ca="1"/>
        <v>2.6234490740740766</v>
      </c>
      <c r="T113">
        <f ca="1"/>
        <v>-1.8875690401552597E-3</v>
      </c>
      <c r="U113">
        <f ca="1"/>
        <v>-2.4422152560083787E-2</v>
      </c>
    </row>
    <row r="114" spans="14:21" x14ac:dyDescent="0.25">
      <c r="N114">
        <v>8</v>
      </c>
      <c r="O114" s="12">
        <f t="shared" si="66"/>
        <v>1.1666666666666665</v>
      </c>
      <c r="P114">
        <f t="shared" ca="1" si="67"/>
        <v>-2.8123677749719633E-2</v>
      </c>
      <c r="Q114">
        <f t="shared" si="68"/>
        <v>1.1666666666666665</v>
      </c>
      <c r="R114" cm="1">
        <f t="array" aca="1" ref="R114:U114" ca="1">center_span(Beam_Analysis!$J$29,Q114,Beam_Analysis!$D$3,Beam_Analysis!$D$2,Beam_Analysis!$J$33:$O$79,Beam_Analysis!$G$5:$P$5,0)</f>
        <v>1.9696296296296323</v>
      </c>
      <c r="S114">
        <f ca="1"/>
        <v>2.9652237654321008</v>
      </c>
      <c r="T114">
        <f ca="1"/>
        <v>-1.8124255952381083E-3</v>
      </c>
      <c r="U114">
        <f ca="1"/>
        <v>-2.8123677749719633E-2</v>
      </c>
    </row>
    <row r="115" spans="14:21" x14ac:dyDescent="0.25">
      <c r="N115">
        <v>9</v>
      </c>
      <c r="O115" s="12">
        <f t="shared" si="66"/>
        <v>1.3333333333333333</v>
      </c>
      <c r="P115">
        <f t="shared" ca="1" si="67"/>
        <v>-3.16659744682736E-2</v>
      </c>
      <c r="Q115">
        <f t="shared" si="68"/>
        <v>1.3333333333333333</v>
      </c>
      <c r="R115" cm="1">
        <f t="array" aca="1" ref="R115:U115" ca="1">center_span(Beam_Analysis!$J$29,Q115,Beam_Analysis!$D$3,Beam_Analysis!$D$2,Beam_Analysis!$J$33:$O$79,Beam_Analysis!$G$5:$P$5,0)</f>
        <v>1.8081712962962992</v>
      </c>
      <c r="S115">
        <f ca="1"/>
        <v>3.2800308641975349</v>
      </c>
      <c r="T115">
        <f ca="1"/>
        <v>-1.7284613375130736E-3</v>
      </c>
      <c r="U115">
        <f ca="1"/>
        <v>-3.16659744682736E-2</v>
      </c>
    </row>
    <row r="116" spans="14:21" x14ac:dyDescent="0.25">
      <c r="N116">
        <v>10</v>
      </c>
      <c r="O116" s="12">
        <f t="shared" si="66"/>
        <v>1.5</v>
      </c>
      <c r="P116">
        <f t="shared" ca="1" si="67"/>
        <v>-3.5032124664129222E-2</v>
      </c>
      <c r="Q116">
        <f t="shared" si="68"/>
        <v>1.5</v>
      </c>
      <c r="R116" cm="1">
        <f t="array" aca="1" ref="R116:U116" ca="1">center_span(Beam_Analysis!$J$29,Q116,Beam_Analysis!$D$3,Beam_Analysis!$D$2,Beam_Analysis!$J$33:$O$79,Beam_Analysis!$G$5:$P$5,0)</f>
        <v>1.6474074074074103</v>
      </c>
      <c r="S116">
        <f ca="1"/>
        <v>3.5679861111111144</v>
      </c>
      <c r="T116">
        <f ca="1"/>
        <v>-1.6363993226601176E-3</v>
      </c>
      <c r="U116">
        <f ca="1"/>
        <v>-3.5032124664129222E-2</v>
      </c>
    </row>
    <row r="117" spans="14:21" x14ac:dyDescent="0.25">
      <c r="N117">
        <v>11</v>
      </c>
      <c r="O117" s="12">
        <f t="shared" si="66"/>
        <v>1.6666666666666665</v>
      </c>
      <c r="P117">
        <f t="shared" ca="1" si="67"/>
        <v>-3.8206653287113368E-2</v>
      </c>
      <c r="Q117">
        <f t="shared" si="68"/>
        <v>1.6666666666666665</v>
      </c>
      <c r="R117" cm="1">
        <f t="array" aca="1" ref="R117:U117" ca="1">center_span(Beam_Analysis!$J$29,Q117,Beam_Analysis!$D$3,Beam_Analysis!$D$2,Beam_Analysis!$J$33:$O$79,Beam_Analysis!$G$5:$P$5,0)</f>
        <v>1.4873379629629655</v>
      </c>
      <c r="S117">
        <f ca="1"/>
        <v>3.8292052469135847</v>
      </c>
      <c r="T117">
        <f ca="1"/>
        <v>-1.5369594964422667E-3</v>
      </c>
      <c r="U117">
        <f ca="1"/>
        <v>-3.8206653287113368E-2</v>
      </c>
    </row>
    <row r="118" spans="14:21" x14ac:dyDescent="0.25">
      <c r="N118">
        <v>12</v>
      </c>
      <c r="O118" s="12">
        <f t="shared" si="66"/>
        <v>1.8333333333333333</v>
      </c>
      <c r="P118">
        <f t="shared" ca="1" si="67"/>
        <v>-4.1175522068661929E-2</v>
      </c>
      <c r="Q118">
        <f t="shared" si="68"/>
        <v>1.8333333333333333</v>
      </c>
      <c r="R118" cm="1">
        <f t="array" aca="1" ref="R118:U118" ca="1">center_span(Beam_Analysis!$J$29,Q118,Beam_Analysis!$D$3,Beam_Analysis!$D$2,Beam_Analysis!$J$33:$O$79,Beam_Analysis!$G$5:$P$5,0)</f>
        <v>1.3279629629629657</v>
      </c>
      <c r="S118">
        <f ca="1"/>
        <v>4.0638040123456847</v>
      </c>
      <c r="T118">
        <f ca="1"/>
        <v>-1.4308586947056959E-3</v>
      </c>
      <c r="U118">
        <f ca="1"/>
        <v>-4.1175522068661929E-2</v>
      </c>
    </row>
    <row r="119" spans="14:21" x14ac:dyDescent="0.25">
      <c r="N119">
        <v>13</v>
      </c>
      <c r="O119" s="12">
        <f t="shared" si="66"/>
        <v>2</v>
      </c>
      <c r="P119">
        <f t="shared" ca="1" si="67"/>
        <v>-4.3926123301985753E-2</v>
      </c>
      <c r="Q119">
        <f t="shared" si="68"/>
        <v>2</v>
      </c>
      <c r="R119" cm="1">
        <f t="array" aca="1" ref="R119:U119" ca="1">center_span(Beam_Analysis!$J$29,Q119,Beam_Analysis!$D$3,Beam_Analysis!$D$2,Beam_Analysis!$J$33:$O$79,Beam_Analysis!$G$5:$P$5,0)</f>
        <v>1.16928240740741</v>
      </c>
      <c r="S119">
        <f ca="1"/>
        <v>4.2718981481481535</v>
      </c>
      <c r="T119">
        <f ca="1"/>
        <v>-1.318810643379624E-3</v>
      </c>
      <c r="U119">
        <f ca="1"/>
        <v>-4.3926123301985753E-2</v>
      </c>
    </row>
    <row r="120" spans="14:21" x14ac:dyDescent="0.25">
      <c r="N120">
        <v>14</v>
      </c>
      <c r="O120" s="12">
        <f t="shared" si="66"/>
        <v>2.1666666666666665</v>
      </c>
      <c r="P120">
        <f t="shared" ca="1" si="67"/>
        <v>-4.6447273622238161E-2</v>
      </c>
      <c r="Q120">
        <f t="shared" si="68"/>
        <v>2.1666666666666665</v>
      </c>
      <c r="R120" cm="1">
        <f t="array" aca="1" ref="R120:U120" ca="1">center_span(Beam_Analysis!$J$29,Q120,Beam_Analysis!$D$3,Beam_Analysis!$D$2,Beam_Analysis!$J$33:$O$79,Beam_Analysis!$G$5:$P$5,0)</f>
        <v>1.0112962962962992</v>
      </c>
      <c r="S120">
        <f ca="1"/>
        <v>4.4536033950617337</v>
      </c>
      <c r="T120">
        <f ca="1"/>
        <v>-1.2015259584764043E-3</v>
      </c>
      <c r="U120">
        <f ca="1"/>
        <v>-4.6447273622238161E-2</v>
      </c>
    </row>
    <row r="121" spans="14:21" x14ac:dyDescent="0.25">
      <c r="N121">
        <v>15</v>
      </c>
      <c r="O121" s="12">
        <f t="shared" si="66"/>
        <v>2.333333333333333</v>
      </c>
      <c r="P121">
        <f t="shared" ca="1" si="67"/>
        <v>-4.8729207786679385E-2</v>
      </c>
      <c r="Q121">
        <f t="shared" si="68"/>
        <v>2.333333333333333</v>
      </c>
      <c r="R121" cm="1">
        <f t="array" aca="1" ref="R121:U121" ca="1">center_span(Beam_Analysis!$J$29,Q121,Beam_Analysis!$D$3,Beam_Analysis!$D$2,Beam_Analysis!$J$33:$O$79,Beam_Analysis!$G$5:$P$5,0)</f>
        <v>0.85400462962963264</v>
      </c>
      <c r="S121">
        <f ca="1"/>
        <v>4.6090354938271663</v>
      </c>
      <c r="T121">
        <f ca="1"/>
        <v>-1.0797121460914758E-3</v>
      </c>
      <c r="U121">
        <f ca="1"/>
        <v>-4.8729207786679385E-2</v>
      </c>
    </row>
    <row r="122" spans="14:21" x14ac:dyDescent="0.25">
      <c r="N122">
        <v>16</v>
      </c>
      <c r="O122" s="12">
        <f t="shared" si="66"/>
        <v>2.5</v>
      </c>
      <c r="P122">
        <f t="shared" ca="1" si="67"/>
        <v>-5.0763572454844419E-2</v>
      </c>
      <c r="Q122">
        <f t="shared" si="68"/>
        <v>2.5</v>
      </c>
      <c r="R122" cm="1">
        <f t="array" aca="1" ref="R122:U122" ca="1">center_span(Beam_Analysis!$J$29,Q122,Beam_Analysis!$D$3,Beam_Analysis!$D$2,Beam_Analysis!$J$33:$O$79,Beam_Analysis!$G$5:$P$5,0)</f>
        <v>0.69740740740741014</v>
      </c>
      <c r="S122">
        <f ca="1"/>
        <v>4.7383101851851919</v>
      </c>
      <c r="T122">
        <f ca="1"/>
        <v>-9.5407360240336303E-4</v>
      </c>
      <c r="U122">
        <f ca="1"/>
        <v>-5.0763572454844419E-2</v>
      </c>
    </row>
    <row r="123" spans="14:21" x14ac:dyDescent="0.25">
      <c r="N123">
        <v>17</v>
      </c>
      <c r="O123" s="12">
        <f t="shared" si="66"/>
        <v>2.6666666666666665</v>
      </c>
      <c r="P123">
        <f t="shared" ca="1" si="67"/>
        <v>-5.2543419968707872E-2</v>
      </c>
      <c r="Q123">
        <f t="shared" si="68"/>
        <v>2.6666666666666665</v>
      </c>
      <c r="R123" cm="1">
        <f t="array" aca="1" ref="R123:U123" ca="1">center_span(Beam_Analysis!$J$29,Q123,Beam_Analysis!$D$3,Beam_Analysis!$D$2,Beam_Analysis!$J$33:$O$79,Beam_Analysis!$G$5:$P$5,0)</f>
        <v>0.54150462962963264</v>
      </c>
      <c r="S123">
        <f ca="1"/>
        <v>4.8415432098765514</v>
      </c>
      <c r="T123">
        <f ca="1"/>
        <v>-8.2531161367369738E-4</v>
      </c>
      <c r="U123">
        <f ca="1"/>
        <v>-5.2543419968707872E-2</v>
      </c>
    </row>
    <row r="124" spans="14:21" x14ac:dyDescent="0.25">
      <c r="N124">
        <v>18</v>
      </c>
      <c r="O124" s="12">
        <f t="shared" si="66"/>
        <v>2.833333333333333</v>
      </c>
      <c r="P124">
        <f t="shared" ca="1" si="67"/>
        <v>-5.4063202132850652E-2</v>
      </c>
      <c r="Q124">
        <f t="shared" si="68"/>
        <v>2.833333333333333</v>
      </c>
      <c r="R124" cm="1">
        <f t="array" aca="1" ref="R124:U124" ca="1">center_span(Beam_Analysis!$J$29,Q124,Beam_Analysis!$D$3,Beam_Analysis!$D$2,Beam_Analysis!$J$33:$O$79,Beam_Analysis!$G$5:$P$5,0)</f>
        <v>0.38629629629629925</v>
      </c>
      <c r="S124">
        <f ca="1"/>
        <v>4.9188503086419821</v>
      </c>
      <c r="T124">
        <f ca="1"/>
        <v>-6.9412435624720964E-4</v>
      </c>
      <c r="U124">
        <f ca="1"/>
        <v>-5.4063202132850652E-2</v>
      </c>
    </row>
    <row r="125" spans="14:21" x14ac:dyDescent="0.25">
      <c r="N125">
        <v>19</v>
      </c>
      <c r="O125" s="12">
        <f t="shared" si="66"/>
        <v>3</v>
      </c>
      <c r="P125">
        <f t="shared" ca="1" si="67"/>
        <v>-5.5318763994626652E-2</v>
      </c>
      <c r="Q125">
        <f t="shared" si="68"/>
        <v>3</v>
      </c>
      <c r="R125" cm="1">
        <f t="array" aca="1" ref="R125:U125" ca="1">center_span(Beam_Analysis!$J$29,Q125,Beam_Analysis!$D$3,Beam_Analysis!$D$2,Beam_Analysis!$J$33:$O$79,Beam_Analysis!$G$5:$P$5,0)</f>
        <v>0.23178240740740996</v>
      </c>
      <c r="S125">
        <f ca="1"/>
        <v>4.9703472222222302</v>
      </c>
      <c r="T125">
        <f ca="1"/>
        <v>-5.6120689655173722E-4</v>
      </c>
      <c r="U125">
        <f ca="1"/>
        <v>-5.5318763994626652E-2</v>
      </c>
    </row>
    <row r="126" spans="14:21" x14ac:dyDescent="0.25">
      <c r="N126">
        <v>20</v>
      </c>
      <c r="O126" s="12">
        <f t="shared" si="66"/>
        <v>3.1666666666666665</v>
      </c>
      <c r="P126">
        <f t="shared" ca="1" si="67"/>
        <v>-5.6307337624328269E-2</v>
      </c>
      <c r="Q126">
        <f t="shared" si="68"/>
        <v>3.1666666666666665</v>
      </c>
      <c r="R126" cm="1">
        <f t="array" aca="1" ref="R126:U126" ca="1">center_span(Beam_Analysis!$J$29,Q126,Beam_Analysis!$D$3,Beam_Analysis!$D$2,Beam_Analysis!$J$33:$O$79,Beam_Analysis!$G$5:$P$5,0)</f>
        <v>7.7962962962965676E-2</v>
      </c>
      <c r="S126">
        <f ca="1"/>
        <v>4.9961496913580312</v>
      </c>
      <c r="T126">
        <f ca="1"/>
        <v>-4.2725119109818938E-4</v>
      </c>
      <c r="U126">
        <f ca="1"/>
        <v>-5.6307337624328269E-2</v>
      </c>
    </row>
    <row r="127" spans="14:21" x14ac:dyDescent="0.25">
      <c r="N127">
        <v>21</v>
      </c>
      <c r="O127" s="12">
        <f t="shared" si="66"/>
        <v>3.333333333333333</v>
      </c>
      <c r="P127">
        <f t="shared" ca="1" si="67"/>
        <v>-5.7027535895352588E-2</v>
      </c>
      <c r="Q127">
        <f t="shared" si="68"/>
        <v>3.333333333333333</v>
      </c>
      <c r="R127" cm="1">
        <f t="array" aca="1" ref="R127:U127" ca="1">center_span(Beam_Analysis!$J$29,Q127,Beam_Analysis!$D$3,Beam_Analysis!$D$2,Beam_Analysis!$J$33:$O$79,Beam_Analysis!$G$5:$P$5,0)</f>
        <v>-7.5162037037033613E-2</v>
      </c>
      <c r="S127">
        <f ca="1"/>
        <v>4.9963734567901312</v>
      </c>
      <c r="T127">
        <f ca="1"/>
        <v>-2.929460864805819E-4</v>
      </c>
      <c r="U127">
        <f ca="1"/>
        <v>-5.7027535895352588E-2</v>
      </c>
    </row>
    <row r="128" spans="14:21" x14ac:dyDescent="0.25">
      <c r="N128">
        <v>22</v>
      </c>
      <c r="O128" s="12">
        <f t="shared" si="66"/>
        <v>3.5</v>
      </c>
      <c r="P128">
        <f t="shared" ca="1" si="67"/>
        <v>-5.7479346264368569E-2</v>
      </c>
      <c r="Q128">
        <f t="shared" si="68"/>
        <v>3.5</v>
      </c>
      <c r="R128" cm="1">
        <f t="array" aca="1" ref="R128:U128" ca="1">center_span(Beam_Analysis!$J$29,Q128,Beam_Analysis!$D$3,Beam_Analysis!$D$2,Beam_Analysis!$J$33:$O$79,Beam_Analysis!$G$5:$P$5,0)</f>
        <v>-0.22759259259258968</v>
      </c>
      <c r="S128">
        <f ca="1"/>
        <v>4.9711342592592693</v>
      </c>
      <c r="T128">
        <f ca="1"/>
        <v>-1.5897731937604409E-4</v>
      </c>
      <c r="U128">
        <f ca="1"/>
        <v>-5.7479346264368569E-2</v>
      </c>
    </row>
    <row r="129" spans="14:21" x14ac:dyDescent="0.25">
      <c r="N129">
        <v>23</v>
      </c>
      <c r="O129" s="12">
        <f t="shared" si="66"/>
        <v>3.6666666666666665</v>
      </c>
      <c r="P129">
        <f t="shared" ca="1" si="67"/>
        <v>-5.7664124551481732E-2</v>
      </c>
      <c r="Q129">
        <f t="shared" si="68"/>
        <v>3.6666666666666665</v>
      </c>
      <c r="R129" cm="1">
        <f t="array" aca="1" ref="R129:U129" ca="1">center_span(Beam_Analysis!$J$29,Q129,Beam_Analysis!$D$3,Beam_Analysis!$D$2,Beam_Analysis!$J$33:$O$79,Beam_Analysis!$G$5:$P$5,0)</f>
        <v>-0.37932870370370075</v>
      </c>
      <c r="S129">
        <f ca="1"/>
        <v>4.9205478395061846</v>
      </c>
      <c r="T129">
        <f ca="1"/>
        <v>-2.6027516544770146E-5</v>
      </c>
      <c r="U129">
        <f ca="1"/>
        <v>-5.7664124551481732E-2</v>
      </c>
    </row>
    <row r="130" spans="14:21" x14ac:dyDescent="0.25">
      <c r="N130">
        <v>24</v>
      </c>
      <c r="O130" s="12">
        <f t="shared" si="66"/>
        <v>3.833333333333333</v>
      </c>
      <c r="P130">
        <f t="shared" ca="1" si="67"/>
        <v>-5.7584588720401175E-2</v>
      </c>
      <c r="Q130">
        <f t="shared" si="68"/>
        <v>3.833333333333333</v>
      </c>
      <c r="R130" cm="1">
        <f t="array" aca="1" ref="R130:U130" ca="1">center_span(Beam_Analysis!$J$29,Q130,Beam_Analysis!$D$3,Beam_Analysis!$D$2,Beam_Analysis!$J$33:$O$79,Beam_Analysis!$G$5:$P$5,0)</f>
        <v>-0.53037037037036772</v>
      </c>
      <c r="S130">
        <f ca="1"/>
        <v>4.844729938271616</v>
      </c>
      <c r="T130">
        <f ca="1"/>
        <v>1.0522380516991142E-4</v>
      </c>
      <c r="U130">
        <f ca="1"/>
        <v>-5.7584588720401175E-2</v>
      </c>
    </row>
    <row r="131" spans="14:21" x14ac:dyDescent="0.25">
      <c r="N131">
        <v>25</v>
      </c>
      <c r="O131" s="12">
        <f t="shared" si="66"/>
        <v>4</v>
      </c>
      <c r="P131">
        <f t="shared" ca="1" si="67"/>
        <v>-5.7244812658606592E-2</v>
      </c>
      <c r="Q131">
        <f t="shared" si="68"/>
        <v>4</v>
      </c>
      <c r="R131" cm="1">
        <f t="array" aca="1" ref="R131:U131" ca="1">center_span(Beam_Analysis!$J$29,Q131,Beam_Analysis!$D$3,Beam_Analysis!$D$2,Beam_Analysis!$J$33:$O$79,Beam_Analysis!$G$5:$P$5,0)</f>
        <v>-0.68071759259258968</v>
      </c>
      <c r="S131">
        <f ca="1"/>
        <v>4.7437962962963063</v>
      </c>
      <c r="T131">
        <f ca="1"/>
        <v>2.3410023884160719E-4</v>
      </c>
      <c r="U131">
        <f ca="1"/>
        <v>-5.7244812658606592E-2</v>
      </c>
    </row>
    <row r="132" spans="14:21" x14ac:dyDescent="0.25">
      <c r="N132">
        <v>26</v>
      </c>
      <c r="O132" s="12">
        <f t="shared" si="66"/>
        <v>4.1666666666666661</v>
      </c>
      <c r="P132">
        <f t="shared" ca="1" si="67"/>
        <v>-5.6650219957512293E-2</v>
      </c>
      <c r="Q132">
        <f t="shared" si="68"/>
        <v>4.1666666666666661</v>
      </c>
      <c r="R132" cm="1">
        <f t="array" aca="1" ref="R132:U132" ca="1">center_span(Beam_Analysis!$J$29,Q132,Beam_Analysis!$D$3,Beam_Analysis!$D$2,Beam_Analysis!$J$33:$O$79,Beam_Analysis!$G$5:$P$5,0)</f>
        <v>-0.83037037037036665</v>
      </c>
      <c r="S132">
        <f ca="1"/>
        <v>4.6178626543210015</v>
      </c>
      <c r="T132">
        <f ca="1"/>
        <v>3.599284874608033E-4</v>
      </c>
      <c r="U132">
        <f ca="1"/>
        <v>-5.6650219957512293E-2</v>
      </c>
    </row>
    <row r="133" spans="14:21" x14ac:dyDescent="0.25">
      <c r="N133">
        <v>27</v>
      </c>
      <c r="O133" s="12">
        <f t="shared" si="66"/>
        <v>4.333333333333333</v>
      </c>
      <c r="P133">
        <f t="shared" ca="1" si="67"/>
        <v>-5.580757769263589E-2</v>
      </c>
      <c r="Q133">
        <f t="shared" si="68"/>
        <v>4.333333333333333</v>
      </c>
      <c r="R133" cm="1">
        <f t="array" aca="1" ref="R133:U133" ca="1">center_span(Beam_Analysis!$J$29,Q133,Beam_Analysis!$D$3,Beam_Analysis!$D$2,Beam_Analysis!$J$33:$O$79,Beam_Analysis!$G$5:$P$5,0)</f>
        <v>-0.9793287037037004</v>
      </c>
      <c r="S133">
        <f ca="1"/>
        <v>4.4670447530864301</v>
      </c>
      <c r="T133">
        <f ca="1"/>
        <v>4.8203836393490365E-4</v>
      </c>
      <c r="U133">
        <f ca="1"/>
        <v>-5.580757769263589E-2</v>
      </c>
    </row>
    <row r="134" spans="14:21" x14ac:dyDescent="0.25">
      <c r="N134">
        <v>28</v>
      </c>
      <c r="O134" s="12">
        <f t="shared" si="66"/>
        <v>4.5</v>
      </c>
      <c r="P134">
        <f t="shared" ca="1" si="67"/>
        <v>-5.4724990203762314E-2</v>
      </c>
      <c r="Q134">
        <f t="shared" ref="Q134:Q197" si="69">(N134-1)*$Q$105</f>
        <v>4.5</v>
      </c>
      <c r="R134" cm="1">
        <f t="array" aca="1" ref="R134:U134" ca="1">center_span(Beam_Analysis!$J$29,Q134,Beam_Analysis!$D$3,Beam_Analysis!$D$2,Beam_Analysis!$J$33:$O$79,Beam_Analysis!$G$5:$P$5,0)</f>
        <v>-1.12759259259259</v>
      </c>
      <c r="S134">
        <f ca="1"/>
        <v>4.2914583333333454</v>
      </c>
      <c r="T134">
        <f ca="1"/>
        <v>5.9976279108821251E-4</v>
      </c>
      <c r="U134">
        <f ca="1"/>
        <v>-5.4724990203762314E-2</v>
      </c>
    </row>
    <row r="135" spans="14:21" x14ac:dyDescent="0.25">
      <c r="N135">
        <v>29</v>
      </c>
      <c r="O135" s="12">
        <f t="shared" si="66"/>
        <v>4.6666666666666661</v>
      </c>
      <c r="P135">
        <f t="shared" ca="1" si="67"/>
        <v>-5.3411892875111833E-2</v>
      </c>
      <c r="Q135">
        <f t="shared" si="69"/>
        <v>4.6666666666666661</v>
      </c>
      <c r="R135" cm="1">
        <f t="array" aca="1" ref="R135:U135" ca="1">center_span(Beam_Analysis!$J$29,Q135,Beam_Analysis!$D$3,Beam_Analysis!$D$2,Beam_Analysis!$J$33:$O$79,Beam_Analysis!$G$5:$P$5,0)</f>
        <v>-1.2751620370370338</v>
      </c>
      <c r="S135">
        <f ca="1"/>
        <v>4.0912191358024828</v>
      </c>
      <c r="T135">
        <f ca="1"/>
        <v>7.1243780166192761E-4</v>
      </c>
      <c r="U135">
        <f ca="1"/>
        <v>-5.3411892875111833E-2</v>
      </c>
    </row>
    <row r="136" spans="14:21" x14ac:dyDescent="0.25">
      <c r="N136">
        <v>30</v>
      </c>
      <c r="O136" s="12">
        <f t="shared" si="66"/>
        <v>4.833333333333333</v>
      </c>
      <c r="P136">
        <f t="shared" ca="1" si="67"/>
        <v>-5.1879045915505073E-2</v>
      </c>
      <c r="Q136">
        <f t="shared" si="69"/>
        <v>4.833333333333333</v>
      </c>
      <c r="R136" cm="1">
        <f t="array" aca="1" ref="R136:U136" ca="1">center_span(Beam_Analysis!$J$29,Q136,Beam_Analysis!$D$3,Beam_Analysis!$D$2,Beam_Analysis!$J$33:$O$79,Beam_Analysis!$G$5:$P$5,0)</f>
        <v>-1.4220370370370339</v>
      </c>
      <c r="S136">
        <f ca="1"/>
        <v>3.8664429012345813</v>
      </c>
      <c r="T136">
        <f ca="1"/>
        <v>8.1940253831416787E-4</v>
      </c>
      <c r="U136">
        <f ca="1"/>
        <v>-5.1879045915505073E-2</v>
      </c>
    </row>
    <row r="137" spans="14:21" x14ac:dyDescent="0.25">
      <c r="N137">
        <v>31</v>
      </c>
      <c r="O137" s="12">
        <f t="shared" si="66"/>
        <v>5</v>
      </c>
      <c r="P137">
        <f t="shared" ca="1" si="67"/>
        <v>-5.0138528138529037E-2</v>
      </c>
      <c r="Q137">
        <f t="shared" si="69"/>
        <v>5</v>
      </c>
      <c r="R137" cm="1">
        <f t="array" aca="1" ref="R137:U137" ca="1">center_span(Beam_Analysis!$J$29,Q137,Beam_Analysis!$D$3,Beam_Analysis!$D$2,Beam_Analysis!$J$33:$O$79,Beam_Analysis!$G$5:$P$5,0)</f>
        <v>-1.5682175925925899</v>
      </c>
      <c r="S137">
        <f ca="1"/>
        <v>3.6172453703703837</v>
      </c>
      <c r="T137">
        <f ca="1"/>
        <v>9.1999925361993182E-4</v>
      </c>
      <c r="U137">
        <f ca="1"/>
        <v>-5.0138528138529037E-2</v>
      </c>
    </row>
    <row r="138" spans="14:21" x14ac:dyDescent="0.25">
      <c r="N138">
        <v>32</v>
      </c>
      <c r="O138" s="12">
        <f t="shared" si="66"/>
        <v>5.1666666666666661</v>
      </c>
      <c r="P138">
        <f t="shared" ca="1" si="67"/>
        <v>-4.8203730742704121E-2</v>
      </c>
      <c r="Q138">
        <f t="shared" si="69"/>
        <v>5.1666666666666661</v>
      </c>
      <c r="R138" cm="1">
        <f t="array" aca="1" ref="R138:U138" ca="1">center_span(Beam_Analysis!$J$29,Q138,Beam_Analysis!$D$3,Beam_Analysis!$D$2,Beam_Analysis!$J$33:$O$79,Beam_Analysis!$G$5:$P$5,0)</f>
        <v>-1.7137037037037004</v>
      </c>
      <c r="S138">
        <f ca="1"/>
        <v>3.3437422839506326</v>
      </c>
      <c r="T138">
        <f ca="1"/>
        <v>1.0135733100711461E-3</v>
      </c>
      <c r="U138">
        <f ca="1"/>
        <v>-4.8203730742704121E-2</v>
      </c>
    </row>
    <row r="139" spans="14:21" x14ac:dyDescent="0.25">
      <c r="N139">
        <v>33</v>
      </c>
      <c r="O139" s="12">
        <f t="shared" ref="O139:O170" si="70">Q139+$F$12</f>
        <v>5.333333333333333</v>
      </c>
      <c r="P139">
        <f t="shared" ref="P139:P170" ca="1" si="71">OFFSET(R139,0,$O$2)</f>
        <v>-4.6089351091650799E-2</v>
      </c>
      <c r="Q139">
        <f t="shared" si="69"/>
        <v>5.333333333333333</v>
      </c>
      <c r="R139" cm="1">
        <f t="array" aca="1" ref="R139:U139" ca="1">center_span(Beam_Analysis!$J$29,Q139,Beam_Analysis!$D$3,Beam_Analysis!$D$2,Beam_Analysis!$J$33:$O$79,Beam_Analysis!$G$5:$P$5,0)</f>
        <v>-1.8584953703703673</v>
      </c>
      <c r="S139">
        <f ca="1"/>
        <v>3.0460493827160668</v>
      </c>
      <c r="T139">
        <f ca="1"/>
        <v>1.0994731800766169E-3</v>
      </c>
      <c r="U139">
        <f ca="1"/>
        <v>-4.6089351091650799E-2</v>
      </c>
    </row>
    <row r="140" spans="14:21" x14ac:dyDescent="0.25">
      <c r="N140">
        <v>34</v>
      </c>
      <c r="O140" s="12">
        <f t="shared" si="70"/>
        <v>5.5</v>
      </c>
      <c r="P140">
        <f t="shared" ca="1" si="71"/>
        <v>-4.3811386494253979E-2</v>
      </c>
      <c r="Q140">
        <f t="shared" si="69"/>
        <v>5.5</v>
      </c>
      <c r="R140" cm="1">
        <f t="array" aca="1" ref="R140:U140" ca="1">center_span(Beam_Analysis!$J$29,Q140,Beam_Analysis!$D$3,Beam_Analysis!$D$2,Beam_Analysis!$J$33:$O$79,Beam_Analysis!$G$5:$P$5,0)</f>
        <v>-2.00259259259259</v>
      </c>
      <c r="S140">
        <f ca="1"/>
        <v>2.7242824074074221</v>
      </c>
      <c r="T140">
        <f ca="1"/>
        <v>1.1770504459620752E-3</v>
      </c>
      <c r="U140">
        <f ca="1"/>
        <v>-4.3811386494253979E-2</v>
      </c>
    </row>
    <row r="141" spans="14:21" x14ac:dyDescent="0.25">
      <c r="N141">
        <v>35</v>
      </c>
      <c r="O141" s="12">
        <f t="shared" si="70"/>
        <v>5.6666666666666661</v>
      </c>
      <c r="P141">
        <f t="shared" ca="1" si="71"/>
        <v>-4.1387127984830019E-2</v>
      </c>
      <c r="Q141">
        <f t="shared" si="69"/>
        <v>5.6666666666666661</v>
      </c>
      <c r="R141" cm="1">
        <f t="array" aca="1" ref="R141:U141" ca="1">center_span(Beam_Analysis!$J$29,Q141,Beam_Analysis!$D$3,Beam_Analysis!$D$2,Beam_Analysis!$J$33:$O$79,Beam_Analysis!$G$5:$P$5,0)</f>
        <v>-2.1459953703703669</v>
      </c>
      <c r="S141">
        <f ca="1"/>
        <v>2.3785570987654481</v>
      </c>
      <c r="T141">
        <f ca="1"/>
        <v>1.2456597999701349E-3</v>
      </c>
      <c r="U141">
        <f ca="1"/>
        <v>-4.1387127984830019E-2</v>
      </c>
    </row>
    <row r="142" spans="14:21" x14ac:dyDescent="0.25">
      <c r="N142">
        <v>36</v>
      </c>
      <c r="O142" s="12">
        <f t="shared" si="70"/>
        <v>5.833333333333333</v>
      </c>
      <c r="P142">
        <f t="shared" ca="1" si="71"/>
        <v>-3.8835154103294411E-2</v>
      </c>
      <c r="Q142">
        <f t="shared" si="69"/>
        <v>5.833333333333333</v>
      </c>
      <c r="R142" cm="1">
        <f t="array" aca="1" ref="R142:U142" ca="1">center_span(Beam_Analysis!$J$29,Q142,Beam_Analysis!$D$3,Beam_Analysis!$D$2,Beam_Analysis!$J$33:$O$79,Beam_Analysis!$G$5:$P$5,0)</f>
        <v>-2.2887037037037006</v>
      </c>
      <c r="S142">
        <f ca="1"/>
        <v>2.0089891975308838</v>
      </c>
      <c r="T142">
        <f ca="1"/>
        <v>1.3046590442603312E-3</v>
      </c>
      <c r="U142">
        <f ca="1"/>
        <v>-3.8835154103294411E-2</v>
      </c>
    </row>
    <row r="143" spans="14:21" x14ac:dyDescent="0.25">
      <c r="N143">
        <v>37</v>
      </c>
      <c r="O143" s="12">
        <f t="shared" si="70"/>
        <v>6</v>
      </c>
      <c r="P143">
        <f t="shared" ca="1" si="71"/>
        <v>-3.6175324675325804E-2</v>
      </c>
      <c r="Q143">
        <f t="shared" si="69"/>
        <v>6</v>
      </c>
      <c r="R143" cm="1">
        <f t="array" aca="1" ref="R143:U143" ca="1">center_span(Beam_Analysis!$J$29,Q143,Beam_Analysis!$D$3,Beam_Analysis!$D$2,Beam_Analysis!$J$33:$O$79,Beam_Analysis!$G$5:$P$5,0)</f>
        <v>-2.4307175925925897</v>
      </c>
      <c r="S143">
        <f ca="1"/>
        <v>1.6156944444444576</v>
      </c>
      <c r="T143">
        <f ca="1"/>
        <v>1.3534090909090822E-3</v>
      </c>
      <c r="U143">
        <f ca="1"/>
        <v>-3.6175324675325804E-2</v>
      </c>
    </row>
    <row r="144" spans="14:21" x14ac:dyDescent="0.25">
      <c r="N144">
        <v>38</v>
      </c>
      <c r="O144" s="12">
        <f t="shared" si="70"/>
        <v>6.1666666666666661</v>
      </c>
      <c r="P144">
        <f t="shared" ca="1" si="71"/>
        <v>-3.3428774592533017E-2</v>
      </c>
      <c r="Q144">
        <f t="shared" si="69"/>
        <v>6.1666666666666661</v>
      </c>
      <c r="R144" cm="1">
        <f t="array" aca="1" ref="R144:U144" ca="1">center_span(Beam_Analysis!$J$29,Q144,Beam_Analysis!$D$3,Beam_Analysis!$D$2,Beam_Analysis!$J$33:$O$79,Beam_Analysis!$G$5:$P$5,0)</f>
        <v>-2.5720370370370338</v>
      </c>
      <c r="S144">
        <f ca="1"/>
        <v>1.1987885802469336</v>
      </c>
      <c r="T144">
        <f ca="1"/>
        <v>1.3912739619097308E-3</v>
      </c>
      <c r="U144">
        <f ca="1"/>
        <v>-3.3428774592533017E-2</v>
      </c>
    </row>
    <row r="145" spans="14:21" x14ac:dyDescent="0.25">
      <c r="N145">
        <v>39</v>
      </c>
      <c r="O145" s="12">
        <f t="shared" si="70"/>
        <v>6.333333333333333</v>
      </c>
      <c r="P145">
        <f t="shared" ca="1" si="71"/>
        <v>-3.0617907592621396E-2</v>
      </c>
      <c r="Q145">
        <f t="shared" si="69"/>
        <v>6.333333333333333</v>
      </c>
      <c r="R145" cm="1">
        <f t="array" aca="1" ref="R145:U145" ca="1">center_span(Beam_Analysis!$J$29,Q145,Beam_Analysis!$D$3,Beam_Analysis!$D$2,Beam_Analysis!$J$33:$O$79,Beam_Analysis!$G$5:$P$5,0)</f>
        <v>-2.7126620370370342</v>
      </c>
      <c r="S145">
        <f ca="1"/>
        <v>0.75838734567902577</v>
      </c>
      <c r="T145">
        <f ca="1"/>
        <v>1.4176207891725065E-3</v>
      </c>
      <c r="U145">
        <f ca="1"/>
        <v>-3.0617907592621396E-2</v>
      </c>
    </row>
    <row r="146" spans="14:21" x14ac:dyDescent="0.25">
      <c r="N146">
        <v>40</v>
      </c>
      <c r="O146" s="12">
        <f t="shared" si="70"/>
        <v>6.5</v>
      </c>
      <c r="P146">
        <f t="shared" ca="1" si="71"/>
        <v>-2.7766390039559163E-2</v>
      </c>
      <c r="Q146">
        <f t="shared" si="69"/>
        <v>6.5</v>
      </c>
      <c r="R146" cm="1">
        <f t="array" aca="1" ref="R146:U146" ca="1">center_span(Beam_Analysis!$J$29,Q146,Beam_Analysis!$D$3,Beam_Analysis!$D$2,Beam_Analysis!$J$33:$O$79,Beam_Analysis!$G$5:$P$5,0)</f>
        <v>-2.8525925925925897</v>
      </c>
      <c r="S146">
        <f ca="1"/>
        <v>0.2946064814815017</v>
      </c>
      <c r="T146">
        <f ca="1"/>
        <v>1.4318198145245493E-3</v>
      </c>
      <c r="U146">
        <f ca="1"/>
        <v>-2.7766390039559163E-2</v>
      </c>
    </row>
    <row r="147" spans="14:21" x14ac:dyDescent="0.25">
      <c r="N147">
        <v>41</v>
      </c>
      <c r="O147" s="12">
        <f t="shared" si="70"/>
        <v>6.6666666666666661</v>
      </c>
      <c r="P147">
        <f t="shared" ca="1" si="71"/>
        <v>-2.4899144703743437E-2</v>
      </c>
      <c r="Q147">
        <f t="shared" si="69"/>
        <v>6.6666666666666661</v>
      </c>
      <c r="R147" cm="1">
        <f t="array" aca="1" ref="R147:U147" ca="1">center_span(Beam_Analysis!$J$29,Q147,Beam_Analysis!$D$3,Beam_Analysis!$D$2,Beam_Analysis!$J$33:$O$79,Beam_Analysis!$G$5:$P$5,0)</f>
        <v>-2.9918287037037006</v>
      </c>
      <c r="S147">
        <f ca="1"/>
        <v>-0.19243827160492089</v>
      </c>
      <c r="T147">
        <f ca="1"/>
        <v>1.4332443897099E-3</v>
      </c>
      <c r="U147">
        <f ca="1"/>
        <v>-2.4899144703743437E-2</v>
      </c>
    </row>
    <row r="148" spans="14:21" x14ac:dyDescent="0.25">
      <c r="N148">
        <v>42</v>
      </c>
      <c r="O148" s="12">
        <f t="shared" si="70"/>
        <v>6.833333333333333</v>
      </c>
      <c r="P148">
        <f t="shared" ca="1" si="71"/>
        <v>-2.2042344542166248E-2</v>
      </c>
      <c r="Q148">
        <f t="shared" si="69"/>
        <v>6.833333333333333</v>
      </c>
      <c r="R148" cm="1">
        <f t="array" aca="1" ref="R148:U148" ca="1">center_span(Beam_Analysis!$J$29,Q148,Beam_Analysis!$D$3,Beam_Analysis!$D$2,Beam_Analysis!$J$33:$O$79,Beam_Analysis!$G$5:$P$5,0)</f>
        <v>-3.1303703703703674</v>
      </c>
      <c r="S148">
        <f ca="1"/>
        <v>-0.70263117283948873</v>
      </c>
      <c r="T148">
        <f ca="1"/>
        <v>1.4212709763895062E-3</v>
      </c>
      <c r="U148">
        <f ca="1"/>
        <v>-2.2042344542166248E-2</v>
      </c>
    </row>
    <row r="149" spans="14:21" x14ac:dyDescent="0.25">
      <c r="N149">
        <v>43</v>
      </c>
      <c r="O149" s="12">
        <f t="shared" si="70"/>
        <v>7</v>
      </c>
      <c r="P149">
        <f t="shared" ca="1" si="71"/>
        <v>-1.9223406478579896E-2</v>
      </c>
      <c r="Q149">
        <f t="shared" si="69"/>
        <v>7</v>
      </c>
      <c r="R149" cm="1">
        <f t="array" aca="1" ref="R149:U149" ca="1">center_span(Beam_Analysis!$J$29,Q149,Beam_Analysis!$D$3,Beam_Analysis!$D$2,Beam_Analysis!$J$33:$O$79,Beam_Analysis!$G$5:$P$5,0)</f>
        <v>-3.26821759259259</v>
      </c>
      <c r="S149">
        <f ca="1"/>
        <v>-1.2358564814814628</v>
      </c>
      <c r="T149">
        <f ca="1"/>
        <v>1.395279146141213E-3</v>
      </c>
      <c r="U149">
        <f ca="1"/>
        <v>-1.9223406478579896E-2</v>
      </c>
    </row>
    <row r="150" spans="14:21" x14ac:dyDescent="0.25">
      <c r="N150">
        <v>44</v>
      </c>
      <c r="O150" s="12">
        <f t="shared" si="70"/>
        <v>7.1666666666666661</v>
      </c>
      <c r="P150">
        <f t="shared" ca="1" si="71"/>
        <v>-1.6470985183665632E-2</v>
      </c>
      <c r="Q150">
        <f t="shared" si="69"/>
        <v>7.1666666666666661</v>
      </c>
      <c r="R150" cm="1">
        <f t="array" aca="1" ref="R150:U150" ca="1">center_span(Beam_Analysis!$J$29,Q150,Beam_Analysis!$D$3,Beam_Analysis!$D$2,Beam_Analysis!$J$33:$O$79,Beam_Analysis!$G$5:$P$5,0)</f>
        <v>-3.4053703703703668</v>
      </c>
      <c r="S150">
        <f ca="1"/>
        <v>-1.7919984567901039</v>
      </c>
      <c r="T150">
        <f ca="1"/>
        <v>1.3546515804597654E-3</v>
      </c>
      <c r="U150">
        <f ca="1"/>
        <v>-1.6470985183665632E-2</v>
      </c>
    </row>
    <row r="151" spans="14:21" x14ac:dyDescent="0.25">
      <c r="N151">
        <v>45</v>
      </c>
      <c r="O151" s="12">
        <f t="shared" si="70"/>
        <v>7.333333333333333</v>
      </c>
      <c r="P151">
        <f t="shared" ca="1" si="71"/>
        <v>-1.3814966855197675E-2</v>
      </c>
      <c r="Q151">
        <f t="shared" si="69"/>
        <v>7.333333333333333</v>
      </c>
      <c r="R151" cm="1">
        <f t="array" aca="1" ref="R151:U151" ca="1">center_span(Beam_Analysis!$J$29,Q151,Beam_Analysis!$D$3,Beam_Analysis!$D$2,Beam_Analysis!$J$33:$O$79,Beam_Analysis!$G$5:$P$5,0)</f>
        <v>-3.5418287037037004</v>
      </c>
      <c r="S151">
        <f ca="1"/>
        <v>-2.3709413580246661</v>
      </c>
      <c r="T151">
        <f ca="1"/>
        <v>1.2987740707568248E-3</v>
      </c>
      <c r="U151">
        <f ca="1"/>
        <v>-1.3814966855197675E-2</v>
      </c>
    </row>
    <row r="152" spans="14:21" x14ac:dyDescent="0.25">
      <c r="N152">
        <v>46</v>
      </c>
      <c r="O152" s="12">
        <f t="shared" si="70"/>
        <v>7.5</v>
      </c>
      <c r="P152">
        <f t="shared" ca="1" si="71"/>
        <v>-1.1286462998209901E-2</v>
      </c>
      <c r="Q152">
        <f t="shared" si="69"/>
        <v>7.5</v>
      </c>
      <c r="R152" cm="1">
        <f t="array" aca="1" ref="R152:U152" ca="1">center_span(Beam_Analysis!$J$29,Q152,Beam_Analysis!$D$3,Beam_Analysis!$D$2,Beam_Analysis!$J$33:$O$79,Beam_Analysis!$G$5:$P$5,0)</f>
        <v>-3.6775925925925899</v>
      </c>
      <c r="S152">
        <f ca="1"/>
        <v>-2.9725694444444244</v>
      </c>
      <c r="T152">
        <f ca="1"/>
        <v>1.2270355183609458E-3</v>
      </c>
      <c r="U152">
        <f ca="1"/>
        <v>-1.1286462998209901E-2</v>
      </c>
    </row>
    <row r="153" spans="14:21" x14ac:dyDescent="0.25">
      <c r="N153">
        <v>47</v>
      </c>
      <c r="O153" s="12">
        <f t="shared" si="70"/>
        <v>7.6666666666666661</v>
      </c>
      <c r="P153">
        <f t="shared" ca="1" si="71"/>
        <v>-8.9178042051615281E-3</v>
      </c>
      <c r="Q153">
        <f t="shared" si="69"/>
        <v>7.6666666666666661</v>
      </c>
      <c r="R153" cm="1">
        <f t="array" aca="1" ref="R153:U153" ca="1">center_span(Beam_Analysis!$J$29,Q153,Beam_Analysis!$D$3,Beam_Analysis!$D$2,Beam_Analysis!$J$33:$O$79,Beam_Analysis!$G$5:$P$5,0)</f>
        <v>-3.8126620370370339</v>
      </c>
      <c r="S153">
        <f ca="1"/>
        <v>-3.5967669753086184</v>
      </c>
      <c r="T153">
        <f ca="1"/>
        <v>1.1388279345175886E-3</v>
      </c>
      <c r="U153">
        <f ca="1"/>
        <v>-8.9178042051615281E-3</v>
      </c>
    </row>
    <row r="154" spans="14:21" x14ac:dyDescent="0.25">
      <c r="N154">
        <v>48</v>
      </c>
      <c r="O154" s="12">
        <f t="shared" si="70"/>
        <v>7.833333333333333</v>
      </c>
      <c r="P154">
        <f t="shared" ca="1" si="71"/>
        <v>-6.7425339361054659E-3</v>
      </c>
      <c r="Q154">
        <f t="shared" si="69"/>
        <v>7.833333333333333</v>
      </c>
      <c r="R154" cm="1">
        <f t="array" aca="1" ref="R154:U154" ca="1">center_span(Beam_Analysis!$J$29,Q154,Beam_Analysis!$D$3,Beam_Analysis!$D$2,Beam_Analysis!$J$33:$O$79,Beam_Analysis!$G$5:$P$5,0)</f>
        <v>-3.9470370370370338</v>
      </c>
      <c r="S154">
        <f ca="1"/>
        <v>-4.2434182098765234</v>
      </c>
      <c r="T154">
        <f ca="1"/>
        <v>1.0335464403891121E-3</v>
      </c>
      <c r="U154">
        <f ca="1"/>
        <v>-6.7425339361054659E-3</v>
      </c>
    </row>
    <row r="155" spans="14:21" x14ac:dyDescent="0.25">
      <c r="N155">
        <v>49</v>
      </c>
      <c r="O155" s="12">
        <f t="shared" si="70"/>
        <v>8</v>
      </c>
      <c r="P155">
        <f t="shared" ca="1" si="71"/>
        <v>-4.7954022988516698E-3</v>
      </c>
      <c r="Q155">
        <f t="shared" si="69"/>
        <v>8</v>
      </c>
      <c r="R155" cm="1">
        <f t="array" aca="1" ref="R155:U155" ca="1">center_span(Beam_Analysis!$J$29,Q155,Beam_Analysis!$D$3,Beam_Analysis!$D$2,Beam_Analysis!$J$33:$O$79,Beam_Analysis!$G$5:$P$5,0)</f>
        <v>-4.08071759259259</v>
      </c>
      <c r="S155">
        <f ca="1"/>
        <v>-4.912407407407386</v>
      </c>
      <c r="T155">
        <f ca="1"/>
        <v>9.1058926705478264E-4</v>
      </c>
      <c r="U155">
        <f ca="1"/>
        <v>-4.7954022988516698E-3</v>
      </c>
    </row>
    <row r="156" spans="14:21" x14ac:dyDescent="0.25">
      <c r="N156">
        <v>50</v>
      </c>
      <c r="O156" s="12">
        <f t="shared" si="70"/>
        <v>8.1666666666666661</v>
      </c>
      <c r="P156">
        <f t="shared" ca="1" si="71"/>
        <v>-3.1123598291354915E-3</v>
      </c>
      <c r="Q156">
        <f t="shared" si="69"/>
        <v>8.1666666666666661</v>
      </c>
      <c r="R156" cm="1">
        <f t="array" aca="1" ref="R156:U156" ca="1">center_span(Beam_Analysis!$J$29,Q156,Beam_Analysis!$D$3,Beam_Analysis!$D$2,Beam_Analysis!$J$33:$O$79,Beam_Analysis!$G$5:$P$5,0)</f>
        <v>-4.2137037037037004</v>
      </c>
      <c r="S156">
        <f ca="1"/>
        <v>-5.6036188271604743</v>
      </c>
      <c r="T156">
        <f ca="1"/>
        <v>7.6935775551077203E-4</v>
      </c>
      <c r="U156">
        <f ca="1"/>
        <v>-3.1123598291354915E-3</v>
      </c>
    </row>
    <row r="157" spans="14:21" x14ac:dyDescent="0.25">
      <c r="N157">
        <v>51</v>
      </c>
      <c r="O157" s="12">
        <f t="shared" si="70"/>
        <v>8.3333333333333321</v>
      </c>
      <c r="P157">
        <f t="shared" ca="1" si="71"/>
        <v>-1.7305512707823656E-3</v>
      </c>
      <c r="Q157">
        <f t="shared" si="69"/>
        <v>8.3333333333333321</v>
      </c>
      <c r="R157" cm="1">
        <f t="array" aca="1" ref="R157:U157" ca="1">center_span(Beam_Analysis!$J$29,Q157,Beam_Analysis!$D$3,Beam_Analysis!$D$2,Beam_Analysis!$J$33:$O$79,Beam_Analysis!$G$5:$P$5,0)</f>
        <v>-4.3459953703703667</v>
      </c>
      <c r="S157">
        <f ca="1"/>
        <v>-6.316936728395028</v>
      </c>
      <c r="T157">
        <f ca="1"/>
        <v>6.0925635667015074E-4</v>
      </c>
      <c r="U157">
        <f ca="1"/>
        <v>-1.7305512707823656E-3</v>
      </c>
    </row>
    <row r="158" spans="14:21" x14ac:dyDescent="0.25">
      <c r="N158">
        <v>52</v>
      </c>
      <c r="O158" s="12">
        <f t="shared" si="70"/>
        <v>8.5</v>
      </c>
      <c r="P158">
        <f t="shared" ca="1" si="71"/>
        <v>-6.8830935587516073E-4</v>
      </c>
      <c r="Q158">
        <f t="shared" si="69"/>
        <v>8.5</v>
      </c>
      <c r="R158" cm="1">
        <f t="array" aca="1" ref="R158:U158" ca="1">center_span(Beam_Analysis!$J$29,Q158,Beam_Analysis!$D$3,Beam_Analysis!$D$2,Beam_Analysis!$J$33:$O$79,Beam_Analysis!$G$5:$P$5,0)</f>
        <v>-4.4775925925925897</v>
      </c>
      <c r="S158">
        <f ca="1"/>
        <v>-7.0522453703703434</v>
      </c>
      <c r="T158">
        <f ca="1"/>
        <v>4.2969263136288967E-4</v>
      </c>
      <c r="U158">
        <f ca="1"/>
        <v>-6.8830935587516073E-4</v>
      </c>
    </row>
    <row r="159" spans="14:21" x14ac:dyDescent="0.25">
      <c r="N159">
        <v>53</v>
      </c>
      <c r="O159" s="12">
        <f t="shared" si="70"/>
        <v>8.6666666666666661</v>
      </c>
      <c r="P159">
        <f t="shared" ca="1" si="71"/>
        <v>-2.5148584919865158E-5</v>
      </c>
      <c r="Q159">
        <f t="shared" si="69"/>
        <v>8.6666666666666661</v>
      </c>
      <c r="R159" cm="1">
        <f t="array" aca="1" ref="R159:U159" ca="1">center_span(Beam_Analysis!$J$29,Q159,Beam_Analysis!$D$3,Beam_Analysis!$D$2,Beam_Analysis!$J$33:$O$79,Beam_Analysis!$G$5:$P$5,0)</f>
        <v>-4.6084953703703668</v>
      </c>
      <c r="S159">
        <f ca="1"/>
        <v>-7.8094290123456531</v>
      </c>
      <c r="T159">
        <f ca="1"/>
        <v>2.3007725033587223E-4</v>
      </c>
      <c r="U159">
        <f ca="1"/>
        <v>-2.5148584919865158E-5</v>
      </c>
    </row>
    <row r="160" spans="14:21" x14ac:dyDescent="0.25">
      <c r="N160">
        <v>54</v>
      </c>
      <c r="O160" s="12">
        <f t="shared" si="70"/>
        <v>8.8333333333333321</v>
      </c>
      <c r="P160">
        <f t="shared" ca="1" si="71"/>
        <v>2.1824099298839439E-4</v>
      </c>
      <c r="Q160">
        <f t="shared" si="69"/>
        <v>8.8333333333333321</v>
      </c>
      <c r="R160" cm="1">
        <f t="array" aca="1" ref="R160:U160" ca="1">center_span(Beam_Analysis!$J$29,Q160,Beam_Analysis!$D$3,Beam_Analysis!$D$2,Beam_Analysis!$J$33:$O$79,Beam_Analysis!$G$5:$P$5,0)</f>
        <v>-4.7387037037036999</v>
      </c>
      <c r="S160">
        <f ca="1"/>
        <v>-8.5883719135802181</v>
      </c>
      <c r="T160">
        <f ca="1"/>
        <v>9.8239942528761601E-6</v>
      </c>
      <c r="U160">
        <f ca="1"/>
        <v>2.1824099298839439E-4</v>
      </c>
    </row>
    <row r="161" spans="14:21" x14ac:dyDescent="0.25">
      <c r="N161">
        <v>55</v>
      </c>
      <c r="O161" s="12">
        <f t="shared" si="70"/>
        <v>9</v>
      </c>
      <c r="P161">
        <f t="shared" ca="1" si="71"/>
        <v>-9.9920072216264089E-16</v>
      </c>
      <c r="Q161">
        <f t="shared" si="69"/>
        <v>9</v>
      </c>
      <c r="R161" cm="1">
        <f t="array" aca="1" ref="R161:U161" ca="1">center_span(Beam_Analysis!$J$29,Q161,Beam_Analysis!$D$3,Beam_Analysis!$D$2,Beam_Analysis!$J$33:$O$79,Beam_Analysis!$G$5:$P$5,0)</f>
        <v>-4.8682175925925897</v>
      </c>
      <c r="S161">
        <f ca="1"/>
        <v>-9.3889583333333135</v>
      </c>
      <c r="T161">
        <f ca="1"/>
        <v>-2.3165024630541695E-4</v>
      </c>
      <c r="U161">
        <f ca="1"/>
        <v>-9.9920072216264089E-16</v>
      </c>
    </row>
    <row r="162" spans="14:21" x14ac:dyDescent="0.25">
      <c r="N162">
        <v>56</v>
      </c>
      <c r="O162" s="12">
        <f t="shared" si="70"/>
        <v>9.1666666666666661</v>
      </c>
      <c r="P162">
        <f t="shared" ca="1" si="71"/>
        <v>-7.0874254656727587E-4</v>
      </c>
      <c r="Q162">
        <f t="shared" si="69"/>
        <v>9.1666666666666661</v>
      </c>
      <c r="R162" cm="1">
        <f t="array" aca="1" ref="R162:U162" ca="1">center_span(Beam_Analysis!$J$29,Q162,Beam_Analysis!$D$3,Beam_Analysis!$D$2,Beam_Analysis!$J$33:$O$79,Beam_Analysis!$G$5:$P$5,0)</f>
        <v>4.483055555555552</v>
      </c>
      <c r="S162">
        <f ca="1"/>
        <v>-8.6310570987654103</v>
      </c>
      <c r="T162">
        <f ca="1"/>
        <v>-4.7369821470036539E-4</v>
      </c>
      <c r="U162">
        <f ca="1"/>
        <v>-7.0874254656727587E-4</v>
      </c>
    </row>
    <row r="163" spans="14:21" x14ac:dyDescent="0.25">
      <c r="N163">
        <v>57</v>
      </c>
      <c r="O163" s="12">
        <f t="shared" si="70"/>
        <v>9.3333333333333321</v>
      </c>
      <c r="P163">
        <f t="shared" ca="1" si="71"/>
        <v>-1.8814085020992799E-3</v>
      </c>
      <c r="Q163">
        <f t="shared" si="69"/>
        <v>9.3333333333333321</v>
      </c>
      <c r="R163" cm="1">
        <f t="array" aca="1" ref="R163:U163" ca="1">center_span(Beam_Analysis!$J$29,Q163,Beam_Analysis!$D$3,Beam_Analysis!$D$2,Beam_Analysis!$J$33:$O$79,Beam_Analysis!$G$5:$P$5,0)</f>
        <v>4.3549305555555522</v>
      </c>
      <c r="S163">
        <f ca="1"/>
        <v>-7.8945679012345522</v>
      </c>
      <c r="T163">
        <f ca="1"/>
        <v>-6.9566954437643574E-4</v>
      </c>
      <c r="U163">
        <f ca="1"/>
        <v>-1.8814085020992799E-3</v>
      </c>
    </row>
    <row r="164" spans="14:21" x14ac:dyDescent="0.25">
      <c r="N164">
        <v>58</v>
      </c>
      <c r="O164" s="12">
        <f t="shared" si="70"/>
        <v>9.5</v>
      </c>
      <c r="P164">
        <f t="shared" ca="1" si="71"/>
        <v>-3.4784188871481714E-3</v>
      </c>
      <c r="Q164">
        <f t="shared" si="69"/>
        <v>9.5</v>
      </c>
      <c r="R164" cm="1">
        <f t="array" aca="1" ref="R164:U164" ca="1">center_span(Beam_Analysis!$J$29,Q164,Beam_Analysis!$D$3,Beam_Analysis!$D$2,Beam_Analysis!$J$33:$O$79,Beam_Analysis!$G$5:$P$5,0)</f>
        <v>4.2274999999999956</v>
      </c>
      <c r="S164">
        <f ca="1"/>
        <v>-7.179374999999979</v>
      </c>
      <c r="T164">
        <f ca="1"/>
        <v>-8.9813801500223463E-4</v>
      </c>
      <c r="U164">
        <f ca="1"/>
        <v>-3.4784188871481714E-3</v>
      </c>
    </row>
    <row r="165" spans="14:21" x14ac:dyDescent="0.25">
      <c r="N165">
        <v>59</v>
      </c>
      <c r="O165" s="12">
        <f t="shared" si="70"/>
        <v>9.6666666666666661</v>
      </c>
      <c r="P165">
        <f t="shared" ca="1" si="71"/>
        <v>-5.4613391716853421E-3</v>
      </c>
      <c r="Q165">
        <f t="shared" si="69"/>
        <v>9.6666666666666661</v>
      </c>
      <c r="R165" cm="1">
        <f t="array" aca="1" ref="R165:U165" ca="1">center_span(Beam_Analysis!$J$29,Q165,Beam_Analysis!$D$3,Beam_Analysis!$D$2,Beam_Analysis!$J$33:$O$79,Beam_Analysis!$G$5:$P$5,0)</f>
        <v>4.1007638888888849</v>
      </c>
      <c r="S165">
        <f ca="1"/>
        <v>-6.4853626543209657</v>
      </c>
      <c r="T165">
        <f ca="1"/>
        <v>-1.0816742963294631E-3</v>
      </c>
      <c r="U165">
        <f ca="1"/>
        <v>-5.4613391716853421E-3</v>
      </c>
    </row>
    <row r="166" spans="14:21" x14ac:dyDescent="0.25">
      <c r="N166">
        <v>60</v>
      </c>
      <c r="O166" s="12">
        <f t="shared" si="70"/>
        <v>9.8333333333333321</v>
      </c>
      <c r="P166">
        <f t="shared" ca="1" si="71"/>
        <v>-7.792873055266103E-3</v>
      </c>
      <c r="Q166">
        <f t="shared" si="69"/>
        <v>9.8333333333333321</v>
      </c>
      <c r="R166" cm="1">
        <f t="array" aca="1" ref="R166:U166" ca="1">center_span(Beam_Analysis!$J$29,Q166,Beam_Analysis!$D$3,Beam_Analysis!$D$2,Beam_Analysis!$J$33:$O$79,Beam_Analysis!$G$5:$P$5,0)</f>
        <v>3.9747222222222192</v>
      </c>
      <c r="S166">
        <f ca="1"/>
        <v>-5.8124151234567734</v>
      </c>
      <c r="T166">
        <f ca="1"/>
        <v>-1.2468459481929242E-3</v>
      </c>
      <c r="U166">
        <f ca="1"/>
        <v>-7.792873055266103E-3</v>
      </c>
    </row>
    <row r="167" spans="14:21" x14ac:dyDescent="0.25">
      <c r="N167">
        <v>61</v>
      </c>
      <c r="O167" s="12">
        <f t="shared" si="70"/>
        <v>10</v>
      </c>
      <c r="P167">
        <f t="shared" ca="1" si="71"/>
        <v>-1.0436856247202364E-2</v>
      </c>
      <c r="Q167">
        <f t="shared" si="69"/>
        <v>10</v>
      </c>
      <c r="R167" cm="1">
        <f t="array" aca="1" ref="R167:U167" ca="1">center_span(Beam_Analysis!$J$29,Q167,Beam_Analysis!$D$3,Beam_Analysis!$D$2,Beam_Analysis!$J$33:$O$79,Beam_Analysis!$G$5:$P$5,0)</f>
        <v>3.8493749999999958</v>
      </c>
      <c r="S167">
        <f ca="1"/>
        <v>-5.1604166666666487</v>
      </c>
      <c r="T167">
        <f ca="1"/>
        <v>-1.394217420510518E-3</v>
      </c>
      <c r="U167">
        <f ca="1"/>
        <v>-1.0436856247202364E-2</v>
      </c>
    </row>
    <row r="168" spans="14:21" x14ac:dyDescent="0.25">
      <c r="N168">
        <v>62</v>
      </c>
      <c r="O168" s="12">
        <f t="shared" si="70"/>
        <v>10.166666666666666</v>
      </c>
      <c r="P168">
        <f t="shared" ca="1" si="71"/>
        <v>-1.3358250246721326E-2</v>
      </c>
      <c r="Q168">
        <f t="shared" si="69"/>
        <v>10.166666666666666</v>
      </c>
      <c r="R168" cm="1">
        <f t="array" aca="1" ref="R168:U168" ca="1">center_span(Beam_Analysis!$J$29,Q168,Beam_Analysis!$D$3,Beam_Analysis!$D$2,Beam_Analysis!$J$33:$O$79,Beam_Analysis!$G$5:$P$5,0)</f>
        <v>3.7247222222222183</v>
      </c>
      <c r="S168">
        <f ca="1"/>
        <v>-4.5292515432098597</v>
      </c>
      <c r="T168">
        <f ca="1"/>
        <v>-1.5243500532832362E-3</v>
      </c>
      <c r="U168">
        <f ca="1"/>
        <v>-1.3358250246721326E-2</v>
      </c>
    </row>
    <row r="169" spans="14:21" x14ac:dyDescent="0.25">
      <c r="N169">
        <v>63</v>
      </c>
      <c r="O169" s="12">
        <f t="shared" si="70"/>
        <v>10.333333333333332</v>
      </c>
      <c r="P169">
        <f t="shared" ca="1" si="71"/>
        <v>-1.6523136123137161E-2</v>
      </c>
      <c r="Q169">
        <f t="shared" si="69"/>
        <v>10.333333333333332</v>
      </c>
      <c r="R169" cm="1">
        <f t="array" aca="1" ref="R169:U169" ca="1">center_span(Beam_Analysis!$J$29,Q169,Beam_Analysis!$D$3,Beam_Analysis!$D$2,Beam_Analysis!$J$33:$O$79,Beam_Analysis!$G$5:$P$5,0)</f>
        <v>3.6007638888888858</v>
      </c>
      <c r="S169">
        <f ca="1"/>
        <v>-3.9188040123456602</v>
      </c>
      <c r="T169">
        <f ca="1"/>
        <v>-1.6378020765951723E-3</v>
      </c>
      <c r="U169">
        <f ca="1"/>
        <v>-1.6523136123137161E-2</v>
      </c>
    </row>
    <row r="170" spans="14:21" x14ac:dyDescent="0.25">
      <c r="N170">
        <v>64</v>
      </c>
      <c r="O170" s="12">
        <f t="shared" si="70"/>
        <v>10.5</v>
      </c>
      <c r="P170">
        <f t="shared" ca="1" si="71"/>
        <v>-1.9898708296015366E-2</v>
      </c>
      <c r="Q170">
        <f t="shared" si="69"/>
        <v>10.5</v>
      </c>
      <c r="R170" cm="1">
        <f t="array" aca="1" ref="R170:U170" ca="1">center_span(Beam_Analysis!$J$29,Q170,Beam_Analysis!$D$3,Beam_Analysis!$D$2,Beam_Analysis!$J$33:$O$79,Beam_Analysis!$G$5:$P$5,0)</f>
        <v>3.4774999999999956</v>
      </c>
      <c r="S170">
        <f ca="1"/>
        <v>-3.3289583333333113</v>
      </c>
      <c r="T170">
        <f ca="1"/>
        <v>-1.7351286106135171E-3</v>
      </c>
      <c r="U170">
        <f ca="1"/>
        <v>-1.9898708296015366E-2</v>
      </c>
    </row>
    <row r="171" spans="14:21" x14ac:dyDescent="0.25">
      <c r="N171">
        <v>65</v>
      </c>
      <c r="O171" s="12">
        <f t="shared" ref="O171:O202" si="72">Q171+$F$12</f>
        <v>10.666666666666666</v>
      </c>
      <c r="P171">
        <f t="shared" ref="P171:P202" ca="1" si="73">OFFSET(R171,0,$O$2)</f>
        <v>-2.3453268315338116E-2</v>
      </c>
      <c r="Q171">
        <f t="shared" si="69"/>
        <v>10.666666666666666</v>
      </c>
      <c r="R171" cm="1">
        <f t="array" aca="1" ref="R171:U171" ca="1">center_span(Beam_Analysis!$J$29,Q171,Beam_Analysis!$D$3,Beam_Analysis!$D$2,Beam_Analysis!$J$33:$O$79,Beam_Analysis!$G$5:$P$5,0)</f>
        <v>3.3549305555555518</v>
      </c>
      <c r="S171">
        <f ca="1"/>
        <v>-2.7595987654320879</v>
      </c>
      <c r="T171">
        <f ca="1"/>
        <v>-1.8168816655885532E-3</v>
      </c>
      <c r="U171">
        <f ca="1"/>
        <v>-2.3453268315338116E-2</v>
      </c>
    </row>
    <row r="172" spans="14:21" x14ac:dyDescent="0.25">
      <c r="N172">
        <v>66</v>
      </c>
      <c r="O172" s="12">
        <f t="shared" si="72"/>
        <v>10.833333333333332</v>
      </c>
      <c r="P172">
        <f t="shared" ca="1" si="73"/>
        <v>-2.7156218641671948E-2</v>
      </c>
      <c r="Q172">
        <f t="shared" si="69"/>
        <v>10.833333333333332</v>
      </c>
      <c r="R172" cm="1">
        <f t="array" aca="1" ref="R172:U172" ca="1">center_span(Beam_Analysis!$J$29,Q172,Beam_Analysis!$D$3,Beam_Analysis!$D$2,Beam_Analysis!$J$33:$O$79,Beam_Analysis!$G$5:$P$5,0)</f>
        <v>3.233055555555552</v>
      </c>
      <c r="S172">
        <f ca="1"/>
        <v>-2.2106095679012228</v>
      </c>
      <c r="T172">
        <f ca="1"/>
        <v>-1.8836101418536677E-3</v>
      </c>
      <c r="U172">
        <f ca="1"/>
        <v>-2.7156218641671948E-2</v>
      </c>
    </row>
    <row r="173" spans="14:21" x14ac:dyDescent="0.25">
      <c r="N173">
        <v>67</v>
      </c>
      <c r="O173" s="12">
        <f t="shared" si="72"/>
        <v>11</v>
      </c>
      <c r="P173">
        <f t="shared" ca="1" si="73"/>
        <v>-3.0978056426333112E-2</v>
      </c>
      <c r="Q173">
        <f t="shared" si="69"/>
        <v>11</v>
      </c>
      <c r="R173" cm="1">
        <f t="array" aca="1" ref="R173:U173" ca="1">center_span(Beam_Analysis!$J$29,Q173,Beam_Analysis!$D$3,Beam_Analysis!$D$2,Beam_Analysis!$J$33:$O$79,Beam_Analysis!$G$5:$P$5,0)</f>
        <v>3.1118749999999959</v>
      </c>
      <c r="S173">
        <f ca="1"/>
        <v>-1.6818749999999909</v>
      </c>
      <c r="T173">
        <f ca="1"/>
        <v>-1.9358598298253394E-3</v>
      </c>
      <c r="U173">
        <f ca="1"/>
        <v>-3.0978056426333112E-2</v>
      </c>
    </row>
    <row r="174" spans="14:21" x14ac:dyDescent="0.25">
      <c r="N174">
        <v>68</v>
      </c>
      <c r="O174" s="12">
        <f t="shared" si="72"/>
        <v>11.166666666666666</v>
      </c>
      <c r="P174">
        <f t="shared" ca="1" si="73"/>
        <v>-3.4890367291553592E-2</v>
      </c>
      <c r="Q174">
        <f t="shared" si="69"/>
        <v>11.166666666666666</v>
      </c>
      <c r="R174" cm="1">
        <f t="array" aca="1" ref="R174:U174" ca="1">center_span(Beam_Analysis!$J$29,Q174,Beam_Analysis!$D$3,Beam_Analysis!$D$2,Beam_Analysis!$J$33:$O$79,Beam_Analysis!$G$5:$P$5,0)</f>
        <v>2.9913888888888849</v>
      </c>
      <c r="S174">
        <f ca="1"/>
        <v>-1.1732793209876462</v>
      </c>
      <c r="T174">
        <f ca="1"/>
        <v>-1.9741734100031418E-3</v>
      </c>
      <c r="U174">
        <f ca="1"/>
        <v>-3.4890367291553592E-2</v>
      </c>
    </row>
    <row r="175" spans="14:21" x14ac:dyDescent="0.25">
      <c r="N175">
        <v>69</v>
      </c>
      <c r="O175" s="12">
        <f t="shared" si="72"/>
        <v>11.333333333333332</v>
      </c>
      <c r="P175">
        <f t="shared" ca="1" si="73"/>
        <v>-3.8865819110647459E-2</v>
      </c>
      <c r="Q175">
        <f t="shared" si="69"/>
        <v>11.333333333333332</v>
      </c>
      <c r="R175" cm="1">
        <f t="array" aca="1" ref="R175:U175" ca="1">center_span(Beam_Analysis!$J$29,Q175,Beam_Analysis!$D$3,Beam_Analysis!$D$2,Beam_Analysis!$J$33:$O$79,Beam_Analysis!$G$5:$P$5,0)</f>
        <v>2.8715972222222188</v>
      </c>
      <c r="S175">
        <f ca="1"/>
        <v>-0.68470679012344959</v>
      </c>
      <c r="T175">
        <f ca="1"/>
        <v>-1.999090452969754E-3</v>
      </c>
      <c r="U175">
        <f ca="1"/>
        <v>-3.8865819110647459E-2</v>
      </c>
    </row>
    <row r="176" spans="14:21" x14ac:dyDescent="0.25">
      <c r="N176">
        <v>70</v>
      </c>
      <c r="O176" s="12">
        <f t="shared" si="72"/>
        <v>11.5</v>
      </c>
      <c r="P176">
        <f t="shared" ca="1" si="73"/>
        <v>-4.2878155788178218E-2</v>
      </c>
      <c r="Q176">
        <f t="shared" si="69"/>
        <v>11.5</v>
      </c>
      <c r="R176" cm="1">
        <f t="array" aca="1" ref="R176:U176" ca="1">center_span(Beam_Analysis!$J$29,Q176,Beam_Analysis!$D$3,Beam_Analysis!$D$2,Beam_Analysis!$J$33:$O$79,Beam_Analysis!$G$5:$P$5,0)</f>
        <v>2.7524999999999959</v>
      </c>
      <c r="S176">
        <f ca="1"/>
        <v>-0.21604166666665492</v>
      </c>
      <c r="T176">
        <f ca="1"/>
        <v>-2.0111474193909434E-3</v>
      </c>
      <c r="U176">
        <f ca="1"/>
        <v>-4.2878155788178218E-2</v>
      </c>
    </row>
    <row r="177" spans="14:21" x14ac:dyDescent="0.25">
      <c r="N177">
        <v>71</v>
      </c>
      <c r="O177" s="12">
        <f t="shared" si="72"/>
        <v>11.666666666666666</v>
      </c>
      <c r="P177">
        <f t="shared" ca="1" si="73"/>
        <v>-4.6902191040122831E-2</v>
      </c>
      <c r="Q177">
        <f t="shared" si="69"/>
        <v>11.666666666666666</v>
      </c>
      <c r="R177" cm="1">
        <f t="array" aca="1" ref="R177:U177" ca="1">center_span(Beam_Analysis!$J$29,Q177,Beam_Analysis!$D$3,Beam_Analysis!$D$2,Beam_Analysis!$J$33:$O$79,Beam_Analysis!$G$5:$P$5,0)</f>
        <v>2.6340972222222185</v>
      </c>
      <c r="S177">
        <f ca="1"/>
        <v>0.23283179012346977</v>
      </c>
      <c r="T177">
        <f ca="1"/>
        <v>-2.0108776600155816E-3</v>
      </c>
      <c r="U177">
        <f ca="1"/>
        <v>-4.6902191040122831E-2</v>
      </c>
    </row>
    <row r="178" spans="14:21" x14ac:dyDescent="0.25">
      <c r="N178">
        <v>72</v>
      </c>
      <c r="O178" s="12">
        <f t="shared" si="72"/>
        <v>11.833333333333332</v>
      </c>
      <c r="P178">
        <f t="shared" ca="1" si="73"/>
        <v>-5.0913802174040068E-2</v>
      </c>
      <c r="Q178">
        <f t="shared" si="69"/>
        <v>11.833333333333332</v>
      </c>
      <c r="R178" cm="1">
        <f t="array" aca="1" ref="R178:U178" ca="1">center_span(Beam_Analysis!$J$29,Q178,Beam_Analysis!$D$3,Beam_Analysis!$D$2,Beam_Analysis!$J$33:$O$79,Beam_Analysis!$G$5:$P$5,0)</f>
        <v>2.5163888888888857</v>
      </c>
      <c r="S178">
        <f ca="1"/>
        <v>0.66202932098766354</v>
      </c>
      <c r="T178">
        <f ca="1"/>
        <v>-1.9988114156756307E-3</v>
      </c>
      <c r="U178">
        <f ca="1"/>
        <v>-5.0913802174040068E-2</v>
      </c>
    </row>
    <row r="179" spans="14:21" x14ac:dyDescent="0.25">
      <c r="N179">
        <v>73</v>
      </c>
      <c r="O179" s="12">
        <f t="shared" si="72"/>
        <v>12</v>
      </c>
      <c r="P179">
        <f t="shared" ca="1" si="73"/>
        <v>-5.4889923869234858E-2</v>
      </c>
      <c r="Q179">
        <f t="shared" si="69"/>
        <v>12</v>
      </c>
      <c r="R179" cm="1">
        <f t="array" aca="1" ref="R179:U179" ca="1">center_span(Beam_Analysis!$J$29,Q179,Beam_Analysis!$D$3,Beam_Analysis!$D$2,Beam_Analysis!$J$33:$O$79,Beam_Analysis!$G$5:$P$5,0)</f>
        <v>2.3993749999999956</v>
      </c>
      <c r="S179">
        <f ca="1"/>
        <v>1.0716666666666796</v>
      </c>
      <c r="T179">
        <f ca="1"/>
        <v>-1.9754758172861511E-3</v>
      </c>
      <c r="U179">
        <f ca="1"/>
        <v>-5.4889923869234858E-2</v>
      </c>
    </row>
    <row r="180" spans="14:21" x14ac:dyDescent="0.25">
      <c r="N180">
        <v>74</v>
      </c>
      <c r="O180" s="12">
        <f t="shared" si="72"/>
        <v>12.166666666666666</v>
      </c>
      <c r="P180">
        <f t="shared" ca="1" si="73"/>
        <v>-5.8808541956926308E-2</v>
      </c>
      <c r="Q180">
        <f t="shared" si="69"/>
        <v>12.166666666666666</v>
      </c>
      <c r="R180" cm="1">
        <f t="array" aca="1" ref="R180:U180" ca="1">center_span(Beam_Analysis!$J$29,Q180,Beam_Analysis!$D$3,Beam_Analysis!$D$2,Beam_Analysis!$J$33:$O$79,Beam_Analysis!$G$5:$P$5,0)</f>
        <v>2.2830555555555518</v>
      </c>
      <c r="S180">
        <f ca="1"/>
        <v>1.4618595679012429</v>
      </c>
      <c r="T180">
        <f ca="1"/>
        <v>-1.9413948858453059E-3</v>
      </c>
      <c r="U180">
        <f ca="1"/>
        <v>-5.8808541956926308E-2</v>
      </c>
    </row>
    <row r="181" spans="14:21" x14ac:dyDescent="0.25">
      <c r="N181">
        <v>75</v>
      </c>
      <c r="O181" s="12">
        <f t="shared" si="72"/>
        <v>12.333333333333332</v>
      </c>
      <c r="P181">
        <f t="shared" ca="1" si="73"/>
        <v>-6.2648687200412057E-2</v>
      </c>
      <c r="Q181">
        <f t="shared" si="69"/>
        <v>12.333333333333332</v>
      </c>
      <c r="R181" cm="1">
        <f t="array" aca="1" ref="R181:U181" ca="1">center_span(Beam_Analysis!$J$29,Q181,Beam_Analysis!$D$3,Beam_Analysis!$D$2,Beam_Analysis!$J$33:$O$79,Beam_Analysis!$G$5:$P$5,0)</f>
        <v>2.1674305555555522</v>
      </c>
      <c r="S181">
        <f ca="1"/>
        <v>1.8327237654321067</v>
      </c>
      <c r="T181">
        <f ca="1"/>
        <v>-1.8970895324343477E-3</v>
      </c>
      <c r="U181">
        <f ca="1"/>
        <v>-6.2648687200412057E-2</v>
      </c>
    </row>
    <row r="182" spans="14:21" x14ac:dyDescent="0.25">
      <c r="N182">
        <v>76</v>
      </c>
      <c r="O182" s="12">
        <f t="shared" si="72"/>
        <v>12.5</v>
      </c>
      <c r="P182">
        <f t="shared" ca="1" si="73"/>
        <v>-6.6390429075235957E-2</v>
      </c>
      <c r="Q182">
        <f t="shared" si="69"/>
        <v>12.5</v>
      </c>
      <c r="R182" cm="1">
        <f t="array" aca="1" ref="R182:U182" ca="1">center_span(Beam_Analysis!$J$29,Q182,Beam_Analysis!$D$3,Beam_Analysis!$D$2,Beam_Analysis!$J$33:$O$79,Beam_Analysis!$G$5:$P$5,0)</f>
        <v>2.0524999999999958</v>
      </c>
      <c r="S182">
        <f ca="1"/>
        <v>2.1843750000000099</v>
      </c>
      <c r="T182">
        <f ca="1"/>
        <v>-1.8430775582176321E-3</v>
      </c>
      <c r="U182">
        <f ca="1"/>
        <v>-6.6390429075235957E-2</v>
      </c>
    </row>
    <row r="183" spans="14:21" x14ac:dyDescent="0.25">
      <c r="N183">
        <v>77</v>
      </c>
      <c r="O183" s="12">
        <f t="shared" si="72"/>
        <v>12.666666666666666</v>
      </c>
      <c r="P183">
        <f t="shared" ca="1" si="73"/>
        <v>-7.0014869549353098E-2</v>
      </c>
      <c r="Q183">
        <f t="shared" si="69"/>
        <v>12.666666666666666</v>
      </c>
      <c r="R183" cm="1">
        <f t="array" aca="1" ref="R183:U183" ca="1">center_span(Beam_Analysis!$J$29,Q183,Beam_Analysis!$D$3,Beam_Analysis!$D$2,Beam_Analysis!$J$33:$O$79,Beam_Analysis!$G$5:$P$5,0)</f>
        <v>1.9382638888888852</v>
      </c>
      <c r="S183">
        <f ca="1"/>
        <v>2.5169290123456811</v>
      </c>
      <c r="T183">
        <f ca="1"/>
        <v>-1.779873654442609E-3</v>
      </c>
      <c r="U183">
        <f ca="1"/>
        <v>-7.0014869549353098E-2</v>
      </c>
    </row>
    <row r="184" spans="14:21" x14ac:dyDescent="0.25">
      <c r="N184">
        <v>78</v>
      </c>
      <c r="O184" s="12">
        <f t="shared" si="72"/>
        <v>12.833333333333332</v>
      </c>
      <c r="P184">
        <f t="shared" ca="1" si="73"/>
        <v>-7.3504136863297154E-2</v>
      </c>
      <c r="Q184">
        <f t="shared" si="69"/>
        <v>12.833333333333332</v>
      </c>
      <c r="R184" cm="1">
        <f t="array" aca="1" ref="R184:U184" ca="1">center_span(Beam_Analysis!$J$29,Q184,Beam_Analysis!$D$3,Beam_Analysis!$D$2,Beam_Analysis!$J$33:$O$79,Beam_Analysis!$G$5:$P$5,0)</f>
        <v>1.8247222222222188</v>
      </c>
      <c r="S184">
        <f ca="1"/>
        <v>2.8305015432098806</v>
      </c>
      <c r="T184">
        <f ca="1"/>
        <v>-1.7079894024398211E-3</v>
      </c>
      <c r="U184">
        <f ca="1"/>
        <v>-7.3504136863297154E-2</v>
      </c>
    </row>
    <row r="185" spans="14:21" x14ac:dyDescent="0.25">
      <c r="N185">
        <v>79</v>
      </c>
      <c r="O185" s="12">
        <f t="shared" si="72"/>
        <v>13</v>
      </c>
      <c r="P185">
        <f t="shared" ca="1" si="73"/>
        <v>-7.6841379310345737E-2</v>
      </c>
      <c r="Q185">
        <f t="shared" si="69"/>
        <v>13</v>
      </c>
      <c r="R185" cm="1">
        <f t="array" aca="1" ref="R185:U185" ca="1">center_span(Beam_Analysis!$J$29,Q185,Beam_Analysis!$D$3,Beam_Analysis!$D$2,Beam_Analysis!$J$33:$O$79,Beam_Analysis!$G$5:$P$5,0)</f>
        <v>1.711874999999996</v>
      </c>
      <c r="S185">
        <f ca="1"/>
        <v>3.1252083333333367</v>
      </c>
      <c r="T185">
        <f ca="1"/>
        <v>-1.6279332736229175E-3</v>
      </c>
      <c r="U185">
        <f ca="1"/>
        <v>-7.6841379310345737E-2</v>
      </c>
    </row>
    <row r="186" spans="14:21" x14ac:dyDescent="0.25">
      <c r="N186">
        <v>80</v>
      </c>
      <c r="O186" s="12">
        <f t="shared" si="72"/>
        <v>13.166666666666666</v>
      </c>
      <c r="P186">
        <f t="shared" ca="1" si="73"/>
        <v>-8.0010759016686417E-2</v>
      </c>
      <c r="Q186">
        <f t="shared" si="69"/>
        <v>13.166666666666666</v>
      </c>
      <c r="R186" cm="1">
        <f t="array" aca="1" ref="R186:U186" ca="1">center_span(Beam_Analysis!$J$29,Q186,Beam_Analysis!$D$3,Beam_Analysis!$D$2,Beam_Analysis!$J$33:$O$79,Beam_Analysis!$G$5:$P$5,0)</f>
        <v>1.5997222222222187</v>
      </c>
      <c r="S186">
        <f ca="1"/>
        <v>3.4011651234567957</v>
      </c>
      <c r="T186">
        <f ca="1"/>
        <v>-1.540210629488635E-3</v>
      </c>
      <c r="U186">
        <f ca="1"/>
        <v>-8.0010759016686417E-2</v>
      </c>
    </row>
    <row r="187" spans="14:21" x14ac:dyDescent="0.25">
      <c r="N187">
        <v>81</v>
      </c>
      <c r="O187" s="12">
        <f t="shared" si="72"/>
        <v>13.333333333333332</v>
      </c>
      <c r="P187">
        <f t="shared" ca="1" si="73"/>
        <v>-8.2997445721584406E-2</v>
      </c>
      <c r="Q187">
        <f t="shared" si="69"/>
        <v>13.333333333333332</v>
      </c>
      <c r="R187" cm="1">
        <f t="array" aca="1" ref="R187:U187" ca="1">center_span(Beam_Analysis!$J$29,Q187,Beam_Analysis!$D$3,Beam_Analysis!$D$2,Beam_Analysis!$J$33:$O$79,Beam_Analysis!$G$5:$P$5,0)</f>
        <v>1.4882638888888855</v>
      </c>
      <c r="S187">
        <f ca="1"/>
        <v>3.6584876543209894</v>
      </c>
      <c r="T187">
        <f ca="1"/>
        <v>-1.4453237216168133E-3</v>
      </c>
      <c r="U187">
        <f ca="1"/>
        <v>-8.2997445721584406E-2</v>
      </c>
    </row>
    <row r="188" spans="14:21" x14ac:dyDescent="0.25">
      <c r="N188">
        <v>82</v>
      </c>
      <c r="O188" s="12">
        <f t="shared" si="72"/>
        <v>13.5</v>
      </c>
      <c r="P188">
        <f t="shared" ca="1" si="73"/>
        <v>-8.5787610557546579E-2</v>
      </c>
      <c r="Q188">
        <f t="shared" si="69"/>
        <v>13.5</v>
      </c>
      <c r="R188" cm="1">
        <f t="array" aca="1" ref="R188:U188" ca="1">center_span(Beam_Analysis!$J$29,Q188,Beam_Analysis!$D$3,Beam_Analysis!$D$2,Beam_Analysis!$J$33:$O$79,Beam_Analysis!$G$5:$P$5,0)</f>
        <v>1.3774999999999959</v>
      </c>
      <c r="S188">
        <f ca="1"/>
        <v>3.8972916666666713</v>
      </c>
      <c r="T188">
        <f ca="1"/>
        <v>-1.3437716916703882E-3</v>
      </c>
      <c r="U188">
        <f ca="1"/>
        <v>-8.5787610557546579E-2</v>
      </c>
    </row>
    <row r="189" spans="14:21" x14ac:dyDescent="0.25">
      <c r="N189">
        <v>83</v>
      </c>
      <c r="O189" s="12">
        <f t="shared" si="72"/>
        <v>13.666666666666666</v>
      </c>
      <c r="P189">
        <f t="shared" ca="1" si="73"/>
        <v>-8.8368419830489153E-2</v>
      </c>
      <c r="Q189">
        <f t="shared" si="69"/>
        <v>13.666666666666666</v>
      </c>
      <c r="R189" cm="1">
        <f t="array" aca="1" ref="R189:U189" ca="1">center_span(Beam_Analysis!$J$29,Q189,Beam_Analysis!$D$3,Beam_Analysis!$D$2,Beam_Analysis!$J$33:$O$79,Beam_Analysis!$G$5:$P$5,0)</f>
        <v>1.2674305555555518</v>
      </c>
      <c r="S189">
        <f ca="1"/>
        <v>4.1176929012345731</v>
      </c>
      <c r="T189">
        <f ca="1"/>
        <v>-1.2360505713953848E-3</v>
      </c>
      <c r="U189">
        <f ca="1"/>
        <v>-8.8368419830489153E-2</v>
      </c>
    </row>
    <row r="190" spans="14:21" x14ac:dyDescent="0.25">
      <c r="N190">
        <v>84</v>
      </c>
      <c r="O190" s="12">
        <f t="shared" si="72"/>
        <v>13.833333333333332</v>
      </c>
      <c r="P190">
        <f t="shared" ca="1" si="73"/>
        <v>-9.0728028799904381E-2</v>
      </c>
      <c r="Q190">
        <f t="shared" si="69"/>
        <v>13.833333333333332</v>
      </c>
      <c r="R190" cm="1">
        <f t="array" aca="1" ref="R190:U190" ca="1">center_span(Beam_Analysis!$J$29,Q190,Beam_Analysis!$D$3,Beam_Analysis!$D$2,Beam_Analysis!$J$33:$O$79,Beam_Analysis!$G$5:$P$5,0)</f>
        <v>1.1580555555555523</v>
      </c>
      <c r="S190">
        <f ca="1"/>
        <v>4.319807098765434</v>
      </c>
      <c r="T190">
        <f ca="1"/>
        <v>-1.1226532826209452E-3</v>
      </c>
      <c r="U190">
        <f ca="1"/>
        <v>-9.0728028799904381E-2</v>
      </c>
    </row>
    <row r="191" spans="14:21" x14ac:dyDescent="0.25">
      <c r="N191">
        <v>85</v>
      </c>
      <c r="O191" s="12">
        <f t="shared" si="72"/>
        <v>14</v>
      </c>
      <c r="P191">
        <f t="shared" ca="1" si="73"/>
        <v>-9.2855575459024231E-2</v>
      </c>
      <c r="Q191">
        <f t="shared" si="69"/>
        <v>14</v>
      </c>
      <c r="R191" cm="1">
        <f t="array" aca="1" ref="R191:U191" ca="1">center_span(Beam_Analysis!$J$29,Q191,Beam_Analysis!$D$3,Beam_Analysis!$D$2,Beam_Analysis!$J$33:$O$79,Beam_Analysis!$G$5:$P$5,0)</f>
        <v>1.0493749999999959</v>
      </c>
      <c r="S191">
        <f ca="1"/>
        <v>4.5037500000000001</v>
      </c>
      <c r="T191">
        <f ca="1"/>
        <v>-1.0040696372592799E-3</v>
      </c>
      <c r="U191">
        <f ca="1"/>
        <v>-9.2855575459024231E-2</v>
      </c>
    </row>
    <row r="192" spans="14:21" x14ac:dyDescent="0.25">
      <c r="N192">
        <v>86</v>
      </c>
      <c r="O192" s="12">
        <f t="shared" si="72"/>
        <v>14.166666666666666</v>
      </c>
      <c r="P192">
        <f t="shared" ca="1" si="73"/>
        <v>-9.4741174314989407E-2</v>
      </c>
      <c r="Q192">
        <f t="shared" si="69"/>
        <v>14.166666666666666</v>
      </c>
      <c r="R192" cm="1">
        <f t="array" aca="1" ref="R192:U192" ca="1">center_span(Beam_Analysis!$J$29,Q192,Beam_Analysis!$D$3,Beam_Analysis!$D$2,Beam_Analysis!$J$33:$O$79,Beam_Analysis!$G$5:$P$5,0)</f>
        <v>0.94138888888888506</v>
      </c>
      <c r="S192">
        <f ca="1"/>
        <v>4.6696373456790106</v>
      </c>
      <c r="T192">
        <f ca="1"/>
        <v>-8.80786337305723E-4</v>
      </c>
      <c r="U192">
        <f ca="1"/>
        <v>-9.4741174314989407E-2</v>
      </c>
    </row>
    <row r="193" spans="14:21" x14ac:dyDescent="0.25">
      <c r="N193">
        <v>87</v>
      </c>
      <c r="O193" s="12">
        <f t="shared" si="72"/>
        <v>14.333333333333332</v>
      </c>
      <c r="P193">
        <f t="shared" ca="1" si="73"/>
        <v>-9.6375910169014034E-2</v>
      </c>
      <c r="Q193">
        <f t="shared" si="69"/>
        <v>14.333333333333332</v>
      </c>
      <c r="R193" cm="1">
        <f t="array" aca="1" ref="R193:U193" ca="1">center_span(Beam_Analysis!$J$29,Q193,Beam_Analysis!$D$3,Beam_Analysis!$D$2,Beam_Analysis!$J$33:$O$79,Beam_Analysis!$G$5:$P$5,0)</f>
        <v>0.83409722222221871</v>
      </c>
      <c r="S193">
        <f ca="1"/>
        <v>4.8175848765432079</v>
      </c>
      <c r="T193">
        <f ca="1"/>
        <v>-7.5328697483868778E-4</v>
      </c>
      <c r="U193">
        <f ca="1"/>
        <v>-9.6375910169014034E-2</v>
      </c>
    </row>
    <row r="194" spans="14:21" x14ac:dyDescent="0.25">
      <c r="N194">
        <v>88</v>
      </c>
      <c r="O194" s="12">
        <f t="shared" si="72"/>
        <v>14.5</v>
      </c>
      <c r="P194">
        <f t="shared" ca="1" si="73"/>
        <v>-9.7751831896552344E-2</v>
      </c>
      <c r="Q194">
        <f t="shared" si="69"/>
        <v>14.5</v>
      </c>
      <c r="R194" cm="1">
        <f t="array" aca="1" ref="R194:U194" ca="1">center_span(Beam_Analysis!$J$29,Q194,Beam_Analysis!$D$3,Beam_Analysis!$D$2,Beam_Analysis!$J$33:$O$79,Beam_Analysis!$G$5:$P$5,0)</f>
        <v>0.72749999999999604</v>
      </c>
      <c r="S194">
        <f ca="1"/>
        <v>4.9477083333333347</v>
      </c>
      <c r="T194">
        <f ca="1"/>
        <v>-6.2205203201969039E-4</v>
      </c>
      <c r="U194">
        <f ca="1"/>
        <v>-9.7751831896552344E-2</v>
      </c>
    </row>
    <row r="195" spans="14:21" x14ac:dyDescent="0.25">
      <c r="N195">
        <v>89</v>
      </c>
      <c r="O195" s="12">
        <f t="shared" si="72"/>
        <v>14.666666666666666</v>
      </c>
      <c r="P195">
        <f t="shared" ca="1" si="73"/>
        <v>-9.8861946227463693E-2</v>
      </c>
      <c r="Q195">
        <f t="shared" si="69"/>
        <v>14.666666666666666</v>
      </c>
      <c r="R195" cm="1">
        <f t="array" aca="1" ref="R195:U195" ca="1">center_span(Beam_Analysis!$J$29,Q195,Beam_Analysis!$D$3,Beam_Analysis!$D$2,Beam_Analysis!$J$33:$O$79,Beam_Analysis!$G$5:$P$5,0)</f>
        <v>0.62159722222221836</v>
      </c>
      <c r="S195">
        <f ca="1"/>
        <v>5.060123456790123</v>
      </c>
      <c r="T195">
        <f ca="1"/>
        <v>-4.8755888109335357E-4</v>
      </c>
      <c r="U195">
        <f ca="1"/>
        <v>-9.8861946227463693E-2</v>
      </c>
    </row>
    <row r="196" spans="14:21" x14ac:dyDescent="0.25">
      <c r="N196">
        <v>90</v>
      </c>
      <c r="O196" s="12">
        <f t="shared" si="72"/>
        <v>14.833333333333332</v>
      </c>
      <c r="P196">
        <f t="shared" ca="1" si="73"/>
        <v>-9.9700211526181581E-2</v>
      </c>
      <c r="Q196">
        <f t="shared" si="69"/>
        <v>14.833333333333332</v>
      </c>
      <c r="R196" cm="1">
        <f t="array" aca="1" ref="R196:U196" ca="1">center_span(Beam_Analysis!$J$29,Q196,Beam_Analysis!$D$3,Beam_Analysis!$D$2,Beam_Analysis!$J$33:$O$79,Beam_Analysis!$G$5:$P$5,0)</f>
        <v>0.51638888888888568</v>
      </c>
      <c r="S196">
        <f ca="1"/>
        <v>5.1549459876543189</v>
      </c>
      <c r="T196">
        <f ca="1"/>
        <v>-3.5028178438737539E-4</v>
      </c>
      <c r="U196">
        <f ca="1"/>
        <v>-9.9700211526181581E-2</v>
      </c>
    </row>
    <row r="197" spans="14:21" x14ac:dyDescent="0.25">
      <c r="N197">
        <v>91</v>
      </c>
      <c r="O197" s="12">
        <f t="shared" si="72"/>
        <v>15</v>
      </c>
      <c r="P197">
        <f t="shared" ca="1" si="73"/>
        <v>-0.10026153157187667</v>
      </c>
      <c r="Q197">
        <f t="shared" si="69"/>
        <v>15</v>
      </c>
      <c r="R197" cm="1">
        <f t="array" aca="1" ref="R197:U197" ca="1">center_span(Beam_Analysis!$J$29,Q197,Beam_Analysis!$D$3,Beam_Analysis!$D$2,Beam_Analysis!$J$33:$O$79,Beam_Analysis!$G$5:$P$5,0)</f>
        <v>0.41187499999999577</v>
      </c>
      <c r="S197">
        <f ca="1"/>
        <v>5.232291666666665</v>
      </c>
      <c r="T197">
        <f ca="1"/>
        <v>-2.1069189431257088E-4</v>
      </c>
      <c r="U197">
        <f ca="1"/>
        <v>-0.10026153157187667</v>
      </c>
    </row>
    <row r="198" spans="14:21" x14ac:dyDescent="0.25">
      <c r="N198">
        <v>92</v>
      </c>
      <c r="O198" s="12">
        <f t="shared" si="72"/>
        <v>15.166666666666666</v>
      </c>
      <c r="P198">
        <f t="shared" ca="1" si="73"/>
        <v>-0.10054174933862481</v>
      </c>
      <c r="Q198">
        <f t="shared" ref="Q198:Q227" si="74">(N198-1)*$Q$105</f>
        <v>15.166666666666666</v>
      </c>
      <c r="R198" cm="1">
        <f t="array" aca="1" ref="R198:U198" ca="1">center_span(Beam_Analysis!$J$29,Q198,Beam_Analysis!$D$3,Beam_Analysis!$D$2,Beam_Analysis!$J$33:$O$79,Beam_Analysis!$G$5:$P$5,0)</f>
        <v>0.30805555555555175</v>
      </c>
      <c r="S198">
        <f ca="1"/>
        <v>5.2922762345679004</v>
      </c>
      <c r="T198">
        <f ca="1"/>
        <v>-6.9257253362844245E-5</v>
      </c>
      <c r="U198">
        <f ca="1"/>
        <v>-0.10054174933862481</v>
      </c>
    </row>
    <row r="199" spans="14:21" x14ac:dyDescent="0.25">
      <c r="N199">
        <v>93</v>
      </c>
      <c r="O199" s="12">
        <f t="shared" si="72"/>
        <v>15.333333333333332</v>
      </c>
      <c r="P199">
        <f t="shared" ca="1" si="73"/>
        <v>-0.10053764077557237</v>
      </c>
      <c r="Q199">
        <f t="shared" si="74"/>
        <v>15.333333333333332</v>
      </c>
      <c r="R199" cm="1">
        <f t="array" aca="1" ref="R199:U199" ca="1">center_span(Beam_Analysis!$J$29,Q199,Beam_Analysis!$D$3,Beam_Analysis!$D$2,Beam_Analysis!$J$33:$O$79,Beam_Analysis!$G$5:$P$5,0)</f>
        <v>0.20493055555555184</v>
      </c>
      <c r="S199">
        <f ca="1"/>
        <v>5.3350154320987606</v>
      </c>
      <c r="T199">
        <f ca="1"/>
        <v>7.3557205884804133E-5</v>
      </c>
      <c r="U199">
        <f ca="1"/>
        <v>-0.10053764077557237</v>
      </c>
    </row>
    <row r="200" spans="14:21" x14ac:dyDescent="0.25">
      <c r="N200">
        <v>94</v>
      </c>
      <c r="O200" s="12">
        <f t="shared" si="72"/>
        <v>15.5</v>
      </c>
      <c r="P200">
        <f t="shared" ca="1" si="73"/>
        <v>-0.10024690858710295</v>
      </c>
      <c r="Q200">
        <f t="shared" si="74"/>
        <v>15.5</v>
      </c>
      <c r="R200" cm="1">
        <f t="array" aca="1" ref="R200:U200" ca="1">center_span(Beam_Analysis!$J$29,Q200,Beam_Analysis!$D$3,Beam_Analysis!$D$2,Beam_Analysis!$J$33:$O$79,Beam_Analysis!$G$5:$P$5,0)</f>
        <v>0.10249999999999559</v>
      </c>
      <c r="S200">
        <f ca="1"/>
        <v>5.3606249999999953</v>
      </c>
      <c r="T200">
        <f ca="1"/>
        <v>2.1728966077027775E-4</v>
      </c>
      <c r="U200">
        <f ca="1"/>
        <v>-0.10024690858710295</v>
      </c>
    </row>
    <row r="201" spans="14:21" x14ac:dyDescent="0.25">
      <c r="N201">
        <v>95</v>
      </c>
      <c r="O201" s="12">
        <f t="shared" si="72"/>
        <v>15.666666666666666</v>
      </c>
      <c r="P201">
        <f t="shared" ca="1" si="73"/>
        <v>-9.9668176013003706E-2</v>
      </c>
      <c r="Q201">
        <f t="shared" si="74"/>
        <v>15.666666666666666</v>
      </c>
      <c r="R201" cm="1">
        <f t="array" aca="1" ref="R201:U201" ca="1">center_span(Beam_Analysis!$J$29,Q201,Beam_Analysis!$D$3,Beam_Analysis!$D$2,Beam_Analysis!$J$33:$O$79,Beam_Analysis!$G$5:$P$5,0)</f>
        <v>7.6388888888523354E-4</v>
      </c>
      <c r="S201">
        <f ca="1"/>
        <v>5.36922067901234</v>
      </c>
      <c r="T201">
        <f ca="1"/>
        <v>3.6148139855037703E-4</v>
      </c>
      <c r="U201">
        <f ca="1"/>
        <v>-9.9668176013003706E-2</v>
      </c>
    </row>
    <row r="202" spans="14:21" x14ac:dyDescent="0.25">
      <c r="N202">
        <v>96</v>
      </c>
      <c r="O202" s="12">
        <f t="shared" si="72"/>
        <v>15.833333333333332</v>
      </c>
      <c r="P202">
        <f t="shared" ca="1" si="73"/>
        <v>-9.8800980608631739E-2</v>
      </c>
      <c r="Q202">
        <f t="shared" si="74"/>
        <v>15.833333333333332</v>
      </c>
      <c r="R202" cm="1">
        <f t="array" aca="1" ref="R202:U202" ca="1">center_span(Beam_Analysis!$J$29,Q202,Beam_Analysis!$D$3,Beam_Analysis!$D$2,Beam_Analysis!$J$33:$O$79,Beam_Analysis!$G$5:$P$5,0)</f>
        <v>-0.10027777777778102</v>
      </c>
      <c r="S202">
        <f ca="1"/>
        <v>5.3609182098765373</v>
      </c>
      <c r="T202">
        <f ca="1"/>
        <v>5.0567681639881318E-4</v>
      </c>
      <c r="U202">
        <f ca="1"/>
        <v>-9.8800980608631739E-2</v>
      </c>
    </row>
    <row r="203" spans="14:21" x14ac:dyDescent="0.25">
      <c r="N203">
        <v>97</v>
      </c>
      <c r="O203" s="12">
        <f t="shared" ref="O203:O227" si="75">Q203+$F$12</f>
        <v>16</v>
      </c>
      <c r="P203">
        <f t="shared" ref="P203:P227" ca="1" si="76">OFFSET(R203,0,$O$2)</f>
        <v>-9.7645768025078405E-2</v>
      </c>
      <c r="Q203">
        <f t="shared" si="74"/>
        <v>16</v>
      </c>
      <c r="R203" cm="1">
        <f t="array" aca="1" ref="R203:U203" ca="1">center_span(Beam_Analysis!$J$29,Q203,Beam_Analysis!$D$3,Beam_Analysis!$D$2,Beam_Analysis!$J$33:$O$79,Beam_Analysis!$G$5:$P$5,0)</f>
        <v>-0.20062500000000405</v>
      </c>
      <c r="S203">
        <f ca="1"/>
        <v>5.3358333333333263</v>
      </c>
      <c r="T203">
        <f ca="1"/>
        <v>6.4942342140619086E-4</v>
      </c>
      <c r="U203">
        <f ca="1"/>
        <v>-9.7645768025078405E-2</v>
      </c>
    </row>
    <row r="204" spans="14:21" x14ac:dyDescent="0.25">
      <c r="N204">
        <v>98</v>
      </c>
      <c r="O204" s="12">
        <f t="shared" si="75"/>
        <v>16.166666666666664</v>
      </c>
      <c r="P204">
        <f t="shared" ca="1" si="76"/>
        <v>-9.6203885789338695E-2</v>
      </c>
      <c r="Q204">
        <f t="shared" si="74"/>
        <v>16.166666666666664</v>
      </c>
      <c r="R204" cm="1">
        <f t="array" aca="1" ref="R204:U204" ca="1">center_span(Beam_Analysis!$J$29,Q204,Beam_Analysis!$D$3,Beam_Analysis!$D$2,Beam_Analysis!$J$33:$O$79,Beam_Analysis!$G$5:$P$5,0)</f>
        <v>-0.30027777777778031</v>
      </c>
      <c r="S204">
        <f ca="1"/>
        <v>5.2940817901234531</v>
      </c>
      <c r="T204">
        <f ca="1"/>
        <v>7.9227183058002554E-4</v>
      </c>
      <c r="U204">
        <f ca="1"/>
        <v>-9.6203885789338695E-2</v>
      </c>
    </row>
    <row r="205" spans="14:21" x14ac:dyDescent="0.25">
      <c r="N205">
        <v>99</v>
      </c>
      <c r="O205" s="12">
        <f t="shared" si="75"/>
        <v>16.333333333333332</v>
      </c>
      <c r="P205">
        <f t="shared" ca="1" si="76"/>
        <v>-9.4477577084473907E-2</v>
      </c>
      <c r="Q205">
        <f t="shared" si="74"/>
        <v>16.333333333333332</v>
      </c>
      <c r="R205" cm="1">
        <f t="array" aca="1" ref="R205:U205" ca="1">center_span(Beam_Analysis!$J$29,Q205,Beam_Analysis!$D$3,Beam_Analysis!$D$2,Beam_Analysis!$J$33:$O$79,Beam_Analysis!$G$5:$P$5,0)</f>
        <v>-0.39923611111111423</v>
      </c>
      <c r="S205">
        <f ca="1"/>
        <v>5.235779320987648</v>
      </c>
      <c r="T205">
        <f ca="1"/>
        <v>9.3377577084474694E-4</v>
      </c>
      <c r="U205">
        <f ca="1"/>
        <v>-9.4477577084473907E-2</v>
      </c>
    </row>
    <row r="206" spans="14:21" x14ac:dyDescent="0.25">
      <c r="N206">
        <v>100</v>
      </c>
      <c r="O206" s="12">
        <f t="shared" si="75"/>
        <v>16.5</v>
      </c>
      <c r="P206">
        <f t="shared" ca="1" si="76"/>
        <v>-9.2469974529780841E-2</v>
      </c>
      <c r="Q206">
        <f t="shared" si="74"/>
        <v>16.5</v>
      </c>
      <c r="R206" cm="1">
        <f t="array" aca="1" ref="R206:U206" ca="1">center_span(Beam_Analysis!$J$29,Q206,Beam_Analysis!$D$3,Beam_Analysis!$D$2,Beam_Analysis!$J$33:$O$79,Beam_Analysis!$G$5:$P$5,0)</f>
        <v>-0.49750000000000405</v>
      </c>
      <c r="S206">
        <f ca="1"/>
        <v>5.161041666666657</v>
      </c>
      <c r="T206">
        <f ca="1"/>
        <v>1.0734920790416574E-3</v>
      </c>
      <c r="U206">
        <f ca="1"/>
        <v>-9.2469974529780841E-2</v>
      </c>
    </row>
    <row r="207" spans="14:21" x14ac:dyDescent="0.25">
      <c r="N207">
        <v>101</v>
      </c>
      <c r="O207" s="12">
        <f t="shared" si="75"/>
        <v>16.666666666666664</v>
      </c>
      <c r="P207">
        <f t="shared" ca="1" si="76"/>
        <v>-9.0185093960956142E-2</v>
      </c>
      <c r="Q207">
        <f t="shared" si="74"/>
        <v>16.666666666666664</v>
      </c>
      <c r="R207" cm="1">
        <f t="array" aca="1" ref="R207:U207" ca="1">center_span(Beam_Analysis!$J$29,Q207,Beam_Analysis!$D$3,Beam_Analysis!$D$2,Beam_Analysis!$J$33:$O$79,Beam_Analysis!$G$5:$P$5,0)</f>
        <v>-0.59506944444444709</v>
      </c>
      <c r="S207">
        <f ca="1"/>
        <v>5.0699845679012281</v>
      </c>
      <c r="T207">
        <f ca="1"/>
        <v>1.2109807019289875E-3</v>
      </c>
      <c r="U207">
        <f ca="1"/>
        <v>-9.0185093960956142E-2</v>
      </c>
    </row>
    <row r="208" spans="14:21" x14ac:dyDescent="0.25">
      <c r="N208">
        <v>102</v>
      </c>
      <c r="O208" s="12">
        <f t="shared" si="75"/>
        <v>16.833333333333332</v>
      </c>
      <c r="P208">
        <f t="shared" ca="1" si="76"/>
        <v>-8.7627828210263659E-2</v>
      </c>
      <c r="Q208">
        <f t="shared" si="74"/>
        <v>16.833333333333332</v>
      </c>
      <c r="R208" cm="1">
        <f t="array" aca="1" ref="R208:U208" ca="1">center_span(Beam_Analysis!$J$29,Q208,Beam_Analysis!$D$3,Beam_Analysis!$D$2,Beam_Analysis!$J$33:$O$79,Beam_Analysis!$G$5:$P$5,0)</f>
        <v>-0.6919444444444478</v>
      </c>
      <c r="S208">
        <f ca="1"/>
        <v>4.9627237654320897</v>
      </c>
      <c r="T208">
        <f ca="1"/>
        <v>1.3458046961818612E-3</v>
      </c>
      <c r="U208">
        <f ca="1"/>
        <v>-8.7627828210263659E-2</v>
      </c>
    </row>
    <row r="209" spans="14:21" x14ac:dyDescent="0.25">
      <c r="N209">
        <v>103</v>
      </c>
      <c r="O209" s="12">
        <f t="shared" si="75"/>
        <v>17</v>
      </c>
      <c r="P209">
        <f t="shared" ca="1" si="76"/>
        <v>-8.4803940886699625E-2</v>
      </c>
      <c r="Q209">
        <f t="shared" si="74"/>
        <v>17</v>
      </c>
      <c r="R209" cm="1">
        <f t="array" aca="1" ref="R209:U209" ca="1">center_span(Beam_Analysis!$J$29,Q209,Beam_Analysis!$D$3,Beam_Analysis!$D$2,Beam_Analysis!$J$33:$O$79,Beam_Analysis!$G$5:$P$5,0)</f>
        <v>-0.78812500000000441</v>
      </c>
      <c r="S209">
        <f ca="1"/>
        <v>4.8393749999999898</v>
      </c>
      <c r="T209">
        <f ca="1"/>
        <v>1.4775302283923097E-3</v>
      </c>
      <c r="U209">
        <f ca="1"/>
        <v>-8.4803940886699625E-2</v>
      </c>
    </row>
    <row r="210" spans="14:21" x14ac:dyDescent="0.25">
      <c r="N210">
        <v>104</v>
      </c>
      <c r="O210" s="12">
        <f t="shared" si="75"/>
        <v>17.166666666666664</v>
      </c>
      <c r="P210">
        <f t="shared" ca="1" si="76"/>
        <v>-8.1720060156159346E-2</v>
      </c>
      <c r="Q210">
        <f t="shared" si="74"/>
        <v>17.166666666666664</v>
      </c>
      <c r="R210" cm="1">
        <f t="array" aca="1" ref="R210:U210" ca="1">center_span(Beam_Analysis!$J$29,Q210,Beam_Analysis!$D$3,Beam_Analysis!$D$2,Beam_Analysis!$J$33:$O$79,Beam_Analysis!$G$5:$P$5,0)</f>
        <v>-0.88361111111111335</v>
      </c>
      <c r="S210">
        <f ca="1"/>
        <v>4.7000540123456709</v>
      </c>
      <c r="T210">
        <f ca="1"/>
        <v>1.6057265750692579E-3</v>
      </c>
      <c r="U210">
        <f ca="1"/>
        <v>-8.1720060156159346E-2</v>
      </c>
    </row>
    <row r="211" spans="14:21" x14ac:dyDescent="0.25">
      <c r="N211">
        <v>105</v>
      </c>
      <c r="O211" s="12">
        <f t="shared" si="75"/>
        <v>17.333333333333332</v>
      </c>
      <c r="P211">
        <f t="shared" ca="1" si="76"/>
        <v>-7.838367252160372E-2</v>
      </c>
      <c r="Q211">
        <f t="shared" si="74"/>
        <v>17.333333333333332</v>
      </c>
      <c r="R211" cm="1">
        <f t="array" aca="1" ref="R211:U211" ca="1">center_span(Beam_Analysis!$J$29,Q211,Beam_Analysis!$D$3,Beam_Analysis!$D$2,Beam_Analysis!$J$33:$O$79,Beam_Analysis!$G$5:$P$5,0)</f>
        <v>-0.97840277777778084</v>
      </c>
      <c r="S211">
        <f ca="1"/>
        <v>4.5448765432098668</v>
      </c>
      <c r="T211">
        <f ca="1"/>
        <v>1.7299661226385446E-3</v>
      </c>
      <c r="U211">
        <f ca="1"/>
        <v>-7.838367252160372E-2</v>
      </c>
    </row>
    <row r="212" spans="14:21" x14ac:dyDescent="0.25">
      <c r="N212">
        <v>106</v>
      </c>
      <c r="O212" s="12">
        <f t="shared" si="75"/>
        <v>17.5</v>
      </c>
      <c r="P212">
        <f t="shared" ca="1" si="76"/>
        <v>-7.4803116603224418E-2</v>
      </c>
      <c r="Q212">
        <f t="shared" si="74"/>
        <v>17.5</v>
      </c>
      <c r="R212" cm="1">
        <f t="array" aca="1" ref="R212:U212" ca="1">center_span(Beam_Analysis!$J$29,Q212,Beam_Analysis!$D$3,Beam_Analysis!$D$2,Beam_Analysis!$J$33:$O$79,Beam_Analysis!$G$5:$P$5,0)</f>
        <v>-1.0725000000000042</v>
      </c>
      <c r="S212">
        <f ca="1"/>
        <v>4.3739583333333218</v>
      </c>
      <c r="T212">
        <f ca="1"/>
        <v>1.8498243674429093E-3</v>
      </c>
      <c r="U212">
        <f ca="1"/>
        <v>-7.4803116603224418E-2</v>
      </c>
    </row>
    <row r="213" spans="14:21" x14ac:dyDescent="0.25">
      <c r="N213">
        <v>107</v>
      </c>
      <c r="O213" s="12">
        <f t="shared" si="75"/>
        <v>17.666666666666664</v>
      </c>
      <c r="P213">
        <f t="shared" ca="1" si="76"/>
        <v>-7.0987576918611406E-2</v>
      </c>
      <c r="Q213">
        <f t="shared" si="74"/>
        <v>17.666666666666664</v>
      </c>
      <c r="R213" cm="1">
        <f t="array" aca="1" ref="R213:U213" ca="1">center_span(Beam_Analysis!$J$29,Q213,Beam_Analysis!$D$3,Beam_Analysis!$D$2,Beam_Analysis!$J$33:$O$79,Beam_Analysis!$G$5:$P$5,0)</f>
        <v>-1.1659027777777808</v>
      </c>
      <c r="S213">
        <f ca="1"/>
        <v>4.1874151234567805</v>
      </c>
      <c r="T213">
        <f ca="1"/>
        <v>1.9648799157419919E-3</v>
      </c>
      <c r="U213">
        <f ca="1"/>
        <v>-7.0987576918611406E-2</v>
      </c>
    </row>
    <row r="214" spans="14:21" x14ac:dyDescent="0.25">
      <c r="N214">
        <v>108</v>
      </c>
      <c r="O214" s="12">
        <f t="shared" si="75"/>
        <v>17.833333333333332</v>
      </c>
      <c r="P214">
        <f t="shared" ca="1" si="76"/>
        <v>-6.6947077662918131E-2</v>
      </c>
      <c r="Q214">
        <f t="shared" si="74"/>
        <v>17.833333333333332</v>
      </c>
      <c r="R214" cm="1">
        <f t="array" aca="1" ref="R214:U214" ca="1">center_span(Beam_Analysis!$J$29,Q214,Beam_Analysis!$D$3,Beam_Analysis!$D$2,Beam_Analysis!$J$33:$O$79,Beam_Analysis!$G$5:$P$5,0)</f>
        <v>-1.2586111111111142</v>
      </c>
      <c r="S214">
        <f ca="1"/>
        <v>3.9853626543209764</v>
      </c>
      <c r="T214">
        <f ca="1"/>
        <v>2.0747144837123394E-3</v>
      </c>
      <c r="U214">
        <f ca="1"/>
        <v>-6.6947077662918131E-2</v>
      </c>
    </row>
    <row r="215" spans="14:21" x14ac:dyDescent="0.25">
      <c r="N215">
        <v>109</v>
      </c>
      <c r="O215" s="12">
        <f t="shared" si="75"/>
        <v>18</v>
      </c>
      <c r="P215">
        <f t="shared" ca="1" si="76"/>
        <v>-6.2692476489028204E-2</v>
      </c>
      <c r="Q215">
        <f t="shared" si="74"/>
        <v>18</v>
      </c>
      <c r="R215" cm="1">
        <f t="array" aca="1" ref="R215:U215" ca="1">center_span(Beam_Analysis!$J$29,Q215,Beam_Analysis!$D$3,Beam_Analysis!$D$2,Beam_Analysis!$J$33:$O$79,Beam_Analysis!$G$5:$P$5,0)</f>
        <v>-1.3506250000000044</v>
      </c>
      <c r="S215">
        <f ca="1"/>
        <v>3.7679166666666521</v>
      </c>
      <c r="T215">
        <f ca="1"/>
        <v>2.1789128974473923E-3</v>
      </c>
      <c r="U215">
        <f ca="1"/>
        <v>-6.2692476489028204E-2</v>
      </c>
    </row>
    <row r="216" spans="14:21" x14ac:dyDescent="0.25">
      <c r="N216">
        <v>110</v>
      </c>
      <c r="O216" s="12">
        <f t="shared" si="75"/>
        <v>18.166666666666664</v>
      </c>
      <c r="P216">
        <f t="shared" ca="1" si="76"/>
        <v>-5.8235458287721253E-2</v>
      </c>
      <c r="Q216">
        <f t="shared" si="74"/>
        <v>18.166666666666664</v>
      </c>
      <c r="R216" cm="1">
        <f t="array" aca="1" ref="R216:U216" ca="1">center_span(Beam_Analysis!$J$29,Q216,Beam_Analysis!$D$3,Beam_Analysis!$D$2,Beam_Analysis!$J$33:$O$79,Beam_Analysis!$G$5:$P$5,0)</f>
        <v>-1.4419444444444469</v>
      </c>
      <c r="S216">
        <f ca="1"/>
        <v>3.5351929012345567</v>
      </c>
      <c r="T216">
        <f ca="1"/>
        <v>2.2770630929574986E-3</v>
      </c>
      <c r="U216">
        <f ca="1"/>
        <v>-5.8235458287721253E-2</v>
      </c>
    </row>
    <row r="217" spans="14:21" x14ac:dyDescent="0.25">
      <c r="N217">
        <v>111</v>
      </c>
      <c r="O217" s="12">
        <f t="shared" si="75"/>
        <v>18.333333333333332</v>
      </c>
      <c r="P217">
        <f t="shared" ca="1" si="76"/>
        <v>-5.3588528967839361E-2</v>
      </c>
      <c r="Q217">
        <f t="shared" si="74"/>
        <v>18.333333333333332</v>
      </c>
      <c r="R217" cm="1">
        <f t="array" aca="1" ref="R217:U217" ca="1">center_span(Beam_Analysis!$J$29,Q217,Beam_Analysis!$D$3,Beam_Analysis!$D$2,Beam_Analysis!$J$33:$O$79,Beam_Analysis!$G$5:$P$5,0)</f>
        <v>-1.532569444444448</v>
      </c>
      <c r="S217">
        <f ca="1"/>
        <v>3.2873070987654183</v>
      </c>
      <c r="T217">
        <f ca="1"/>
        <v>2.3687561161699136E-3</v>
      </c>
      <c r="U217">
        <f ca="1"/>
        <v>-5.3588528967839361E-2</v>
      </c>
    </row>
    <row r="218" spans="14:21" x14ac:dyDescent="0.25">
      <c r="N218">
        <v>112</v>
      </c>
      <c r="O218" s="12">
        <f t="shared" si="75"/>
        <v>18.5</v>
      </c>
      <c r="P218">
        <f t="shared" ca="1" si="76"/>
        <v>-4.8765009236453077E-2</v>
      </c>
      <c r="Q218">
        <f t="shared" si="74"/>
        <v>18.5</v>
      </c>
      <c r="R218" cm="1">
        <f t="array" aca="1" ref="R218:U218" ca="1">center_span(Beam_Analysis!$J$29,Q218,Beam_Analysis!$D$3,Beam_Analysis!$D$2,Beam_Analysis!$J$33:$O$79,Beam_Analysis!$G$5:$P$5,0)</f>
        <v>-1.6225000000000041</v>
      </c>
      <c r="S218">
        <f ca="1"/>
        <v>3.0243749999999832</v>
      </c>
      <c r="T218">
        <f ca="1"/>
        <v>2.4535861229288067E-3</v>
      </c>
      <c r="U218">
        <f ca="1"/>
        <v>-4.8765009236453077E-2</v>
      </c>
    </row>
    <row r="219" spans="14:21" x14ac:dyDescent="0.25">
      <c r="N219">
        <v>113</v>
      </c>
      <c r="O219" s="12">
        <f t="shared" si="75"/>
        <v>18.666666666666664</v>
      </c>
      <c r="P219">
        <f t="shared" ca="1" si="76"/>
        <v>-4.3779028379028362E-2</v>
      </c>
      <c r="Q219">
        <f t="shared" si="74"/>
        <v>18.666666666666664</v>
      </c>
      <c r="R219" cm="1">
        <f t="array" aca="1" ref="R219:U219" ca="1">center_span(Beam_Analysis!$J$29,Q219,Beam_Analysis!$D$3,Beam_Analysis!$D$2,Beam_Analysis!$J$33:$O$79,Beam_Analysis!$G$5:$P$5,0)</f>
        <v>-1.7117361111111142</v>
      </c>
      <c r="S219">
        <f ca="1"/>
        <v>2.7465123456790002</v>
      </c>
      <c r="T219">
        <f ca="1"/>
        <v>2.5311503789952131E-3</v>
      </c>
      <c r="U219">
        <f ca="1"/>
        <v>-4.3779028379028362E-2</v>
      </c>
    </row>
    <row r="220" spans="14:21" x14ac:dyDescent="0.25">
      <c r="N220">
        <v>114</v>
      </c>
      <c r="O220" s="12">
        <f t="shared" si="75"/>
        <v>18.833333333333332</v>
      </c>
      <c r="P220">
        <f t="shared" ca="1" si="76"/>
        <v>-3.8645518039591181E-2</v>
      </c>
      <c r="Q220">
        <f t="shared" si="74"/>
        <v>18.833333333333332</v>
      </c>
      <c r="R220" cm="1">
        <f t="array" aca="1" ref="R220:U220" ca="1">center_span(Beam_Analysis!$J$29,Q220,Beam_Analysis!$D$3,Beam_Analysis!$D$2,Beam_Analysis!$J$33:$O$79,Beam_Analysis!$G$5:$P$5,0)</f>
        <v>-1.8002777777777812</v>
      </c>
      <c r="S220">
        <f ca="1"/>
        <v>2.453834876543195</v>
      </c>
      <c r="T220">
        <f ca="1"/>
        <v>2.6010492600471169E-3</v>
      </c>
      <c r="U220">
        <f ca="1"/>
        <v>-3.8645518039591181E-2</v>
      </c>
    </row>
    <row r="221" spans="14:21" x14ac:dyDescent="0.25">
      <c r="N221">
        <v>115</v>
      </c>
      <c r="O221" s="12">
        <f t="shared" si="75"/>
        <v>19</v>
      </c>
      <c r="P221">
        <f t="shared" ca="1" si="76"/>
        <v>-3.3380206000895529E-2</v>
      </c>
      <c r="Q221">
        <f t="shared" si="74"/>
        <v>19</v>
      </c>
      <c r="R221" cm="1">
        <f t="array" aca="1" ref="R221:U221" ca="1">center_span(Beam_Analysis!$J$29,Q221,Beam_Analysis!$D$3,Beam_Analysis!$D$2,Beam_Analysis!$J$33:$O$79,Beam_Analysis!$G$5:$P$5,0)</f>
        <v>-1.8881250000000041</v>
      </c>
      <c r="S221">
        <f ca="1"/>
        <v>2.1464583333333156</v>
      </c>
      <c r="T221">
        <f ca="1"/>
        <v>2.6628862516793611E-3</v>
      </c>
      <c r="U221">
        <f ca="1"/>
        <v>-3.3380206000895529E-2</v>
      </c>
    </row>
    <row r="222" spans="14:21" x14ac:dyDescent="0.25">
      <c r="N222">
        <v>116</v>
      </c>
      <c r="O222" s="12">
        <f t="shared" si="75"/>
        <v>19.166666666666664</v>
      </c>
      <c r="P222">
        <f t="shared" ca="1" si="76"/>
        <v>-2.7999609964588321E-2</v>
      </c>
      <c r="Q222">
        <f t="shared" si="74"/>
        <v>19.166666666666664</v>
      </c>
      <c r="R222" cm="1">
        <f t="array" aca="1" ref="R222:U222" ca="1">center_span(Beam_Analysis!$J$29,Q222,Beam_Analysis!$D$3,Beam_Analysis!$D$2,Beam_Analysis!$J$33:$O$79,Beam_Analysis!$G$5:$P$5,0)</f>
        <v>-1.9752777777777801</v>
      </c>
      <c r="S222">
        <f ca="1"/>
        <v>1.8244984567901099</v>
      </c>
      <c r="T222">
        <f ca="1"/>
        <v>2.7162679494037306E-3</v>
      </c>
      <c r="U222">
        <f ca="1"/>
        <v>-2.7999609964588321E-2</v>
      </c>
    </row>
    <row r="223" spans="14:21" x14ac:dyDescent="0.25">
      <c r="N223">
        <v>117</v>
      </c>
      <c r="O223" s="12">
        <f t="shared" si="75"/>
        <v>19.333333333333332</v>
      </c>
      <c r="P223">
        <f t="shared" ca="1" si="76"/>
        <v>-2.2521031331376076E-2</v>
      </c>
      <c r="Q223">
        <f t="shared" si="74"/>
        <v>19.333333333333332</v>
      </c>
      <c r="R223" cm="1">
        <f t="array" aca="1" ref="R223:U223" ca="1">center_span(Beam_Analysis!$J$29,Q223,Beam_Analysis!$D$3,Beam_Analysis!$D$2,Beam_Analysis!$J$33:$O$79,Beam_Analysis!$G$5:$P$5,0)</f>
        <v>-2.0617361111111148</v>
      </c>
      <c r="S223">
        <f ca="1"/>
        <v>1.4880709876543041</v>
      </c>
      <c r="T223">
        <f ca="1"/>
        <v>2.7608040586488969E-3</v>
      </c>
      <c r="U223">
        <f ca="1"/>
        <v>-2.2521031331376076E-2</v>
      </c>
    </row>
    <row r="224" spans="14:21" x14ac:dyDescent="0.25">
      <c r="N224">
        <v>118</v>
      </c>
      <c r="O224" s="12">
        <f t="shared" si="75"/>
        <v>19.5</v>
      </c>
      <c r="P224">
        <f t="shared" ca="1" si="76"/>
        <v>-1.6962548981191067E-2</v>
      </c>
      <c r="Q224">
        <f t="shared" si="74"/>
        <v>19.5</v>
      </c>
      <c r="R224" cm="1">
        <f t="array" aca="1" ref="R224:U224" ca="1">center_span(Beam_Analysis!$J$29,Q224,Beam_Analysis!$D$3,Beam_Analysis!$D$2,Beam_Analysis!$J$33:$O$79,Beam_Analysis!$G$5:$P$5,0)</f>
        <v>-2.1475000000000044</v>
      </c>
      <c r="S224">
        <f ca="1"/>
        <v>1.1372916666666466</v>
      </c>
      <c r="T224">
        <f ca="1"/>
        <v>2.7961073947604179E-3</v>
      </c>
      <c r="U224">
        <f ca="1"/>
        <v>-1.6962548981191067E-2</v>
      </c>
    </row>
    <row r="225" spans="14:21" x14ac:dyDescent="0.25">
      <c r="N225">
        <v>119</v>
      </c>
      <c r="O225" s="12">
        <f t="shared" si="75"/>
        <v>19.666666666666664</v>
      </c>
      <c r="P225">
        <f t="shared" ca="1" si="76"/>
        <v>-1.1343013053357789E-2</v>
      </c>
      <c r="Q225">
        <f t="shared" si="74"/>
        <v>19.666666666666664</v>
      </c>
      <c r="R225" cm="1">
        <f t="array" aca="1" ref="R225:U225" ca="1">center_span(Beam_Analysis!$J$29,Q225,Beam_Analysis!$D$3,Beam_Analysis!$D$2,Beam_Analysis!$J$33:$O$79,Beam_Analysis!$G$5:$P$5,0)</f>
        <v>-2.2325694444444473</v>
      </c>
      <c r="S225">
        <f ca="1"/>
        <v>0.77227623456788597</v>
      </c>
      <c r="T225">
        <f ca="1"/>
        <v>2.8217938830007866E-3</v>
      </c>
      <c r="U225">
        <f ca="1"/>
        <v>-1.1343013053357789E-2</v>
      </c>
    </row>
    <row r="226" spans="14:21" x14ac:dyDescent="0.25">
      <c r="N226">
        <v>120</v>
      </c>
      <c r="O226" s="12">
        <f t="shared" si="75"/>
        <v>19.833333333333332</v>
      </c>
      <c r="P226">
        <f t="shared" ca="1" si="76"/>
        <v>-5.6820387267584246E-3</v>
      </c>
      <c r="Q226">
        <f t="shared" si="74"/>
        <v>19.833333333333332</v>
      </c>
      <c r="R226" cm="1">
        <f t="array" aca="1" ref="R226:U226" ca="1">center_span(Beam_Analysis!$J$29,Q226,Beam_Analysis!$D$3,Beam_Analysis!$D$2,Beam_Analysis!$J$33:$O$79,Beam_Analysis!$G$5:$P$5,0)</f>
        <v>-2.3169444444444478</v>
      </c>
      <c r="S226">
        <f ca="1"/>
        <v>0.39314043209874694</v>
      </c>
      <c r="T226">
        <f ca="1"/>
        <v>2.8374825585493688E-3</v>
      </c>
      <c r="U226">
        <f ca="1"/>
        <v>-5.6820387267584246E-3</v>
      </c>
    </row>
    <row r="227" spans="14:21" x14ac:dyDescent="0.25">
      <c r="N227">
        <v>121</v>
      </c>
      <c r="O227" s="12">
        <f t="shared" si="75"/>
        <v>20</v>
      </c>
      <c r="P227">
        <f t="shared" ca="1" si="76"/>
        <v>1.829973700562623E-16</v>
      </c>
      <c r="Q227">
        <f t="shared" si="74"/>
        <v>20</v>
      </c>
      <c r="R227" cm="1">
        <f t="array" aca="1" ref="R227:U227" ca="1">center_span(Beam_Analysis!$J$29,Q227,Beam_Analysis!$D$3,Beam_Analysis!$D$2,Beam_Analysis!$J$33:$O$79,Beam_Analysis!$G$5:$P$5,0)</f>
        <v>-2.4006250000000042</v>
      </c>
      <c r="S227">
        <f ca="1"/>
        <v>-2.182976022169214E-14</v>
      </c>
      <c r="T227">
        <f ca="1"/>
        <v>2.8427955665024651E-3</v>
      </c>
      <c r="U227">
        <f ca="1"/>
        <v>1.829973700562623E-16</v>
      </c>
    </row>
    <row r="228" spans="14:21" x14ac:dyDescent="0.25">
      <c r="O228" s="12"/>
    </row>
    <row r="229" spans="14:21" x14ac:dyDescent="0.25">
      <c r="O229" s="12"/>
    </row>
    <row r="230" spans="14:21" x14ac:dyDescent="0.25">
      <c r="O230" s="12"/>
    </row>
    <row r="231" spans="14:21" x14ac:dyDescent="0.25">
      <c r="O231" s="12"/>
    </row>
    <row r="232" spans="14:21" x14ac:dyDescent="0.25">
      <c r="O232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AE19C-1A97-4B15-811B-3131B9750BE4}">
  <sheetPr codeName="Sheet3"/>
  <dimension ref="A2:U62"/>
  <sheetViews>
    <sheetView workbookViewId="0">
      <selection activeCell="N57" sqref="N57"/>
    </sheetView>
  </sheetViews>
  <sheetFormatPr defaultRowHeight="15" x14ac:dyDescent="0.25"/>
  <cols>
    <col min="1" max="1" width="42.5703125" style="1" bestFit="1" customWidth="1"/>
  </cols>
  <sheetData>
    <row r="2" spans="1:21" x14ac:dyDescent="0.25">
      <c r="B2" s="1" t="str">
        <f>A3</f>
        <v>D</v>
      </c>
      <c r="C2" s="1" t="str">
        <f>A4</f>
        <v>L</v>
      </c>
      <c r="D2" s="1" t="str">
        <f>A5</f>
        <v>Lr</v>
      </c>
      <c r="E2" s="1" t="str">
        <f>A6</f>
        <v>R</v>
      </c>
      <c r="F2" s="1" t="str">
        <f>A7</f>
        <v>S</v>
      </c>
      <c r="G2" s="1" t="str">
        <f>A8</f>
        <v>H</v>
      </c>
      <c r="H2" s="1" t="str">
        <f>A9</f>
        <v>WX</v>
      </c>
      <c r="I2" s="1" t="str">
        <f>A10</f>
        <v>WY</v>
      </c>
      <c r="J2" s="1" t="str">
        <f>A11</f>
        <v>EX</v>
      </c>
      <c r="K2" s="1" t="str">
        <f>A12</f>
        <v>EY</v>
      </c>
    </row>
    <row r="3" spans="1:21" x14ac:dyDescent="0.25">
      <c r="A3" s="1" t="s">
        <v>18</v>
      </c>
      <c r="B3" s="1">
        <v>1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</row>
    <row r="4" spans="1:21" x14ac:dyDescent="0.25">
      <c r="A4" s="1" t="s">
        <v>22</v>
      </c>
      <c r="B4" s="1">
        <v>0</v>
      </c>
      <c r="C4" s="1">
        <v>1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</row>
    <row r="5" spans="1:21" x14ac:dyDescent="0.25">
      <c r="A5" s="1" t="s">
        <v>23</v>
      </c>
      <c r="B5" s="1">
        <v>0</v>
      </c>
      <c r="C5" s="1">
        <v>0</v>
      </c>
      <c r="D5" s="1">
        <v>1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</row>
    <row r="6" spans="1:21" x14ac:dyDescent="0.25">
      <c r="A6" s="1" t="s">
        <v>24</v>
      </c>
      <c r="B6" s="1">
        <v>0</v>
      </c>
      <c r="C6" s="1">
        <v>0</v>
      </c>
      <c r="D6" s="1">
        <v>0</v>
      </c>
      <c r="E6" s="1">
        <v>1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</row>
    <row r="7" spans="1:21" x14ac:dyDescent="0.25">
      <c r="A7" s="1" t="s">
        <v>17</v>
      </c>
      <c r="B7" s="1">
        <v>0</v>
      </c>
      <c r="C7" s="1">
        <v>0</v>
      </c>
      <c r="D7" s="1">
        <v>0</v>
      </c>
      <c r="E7" s="1">
        <v>0</v>
      </c>
      <c r="F7" s="1">
        <v>1</v>
      </c>
      <c r="G7" s="1">
        <v>0</v>
      </c>
      <c r="H7" s="1">
        <v>0</v>
      </c>
      <c r="I7" s="1">
        <v>0</v>
      </c>
      <c r="J7" s="1">
        <v>0</v>
      </c>
      <c r="K7" s="1">
        <v>0</v>
      </c>
    </row>
    <row r="8" spans="1:21" x14ac:dyDescent="0.25">
      <c r="A8" s="1" t="s">
        <v>25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1</v>
      </c>
      <c r="H8" s="1">
        <v>0</v>
      </c>
      <c r="I8" s="1">
        <v>0</v>
      </c>
      <c r="J8" s="1">
        <v>0</v>
      </c>
      <c r="K8" s="1">
        <v>0</v>
      </c>
    </row>
    <row r="9" spans="1:21" x14ac:dyDescent="0.25">
      <c r="A9" s="1" t="s">
        <v>26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1</v>
      </c>
      <c r="I9" s="1">
        <v>0</v>
      </c>
      <c r="J9" s="1">
        <v>0</v>
      </c>
      <c r="K9" s="1">
        <v>0</v>
      </c>
    </row>
    <row r="10" spans="1:21" x14ac:dyDescent="0.25">
      <c r="A10" s="1" t="s">
        <v>27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1</v>
      </c>
      <c r="J10" s="1">
        <v>0</v>
      </c>
      <c r="K10" s="1">
        <v>0</v>
      </c>
    </row>
    <row r="11" spans="1:21" x14ac:dyDescent="0.25">
      <c r="A11" s="1" t="s">
        <v>28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1</v>
      </c>
      <c r="K11" s="1">
        <v>0</v>
      </c>
    </row>
    <row r="12" spans="1:21" x14ac:dyDescent="0.25">
      <c r="A12" s="1" t="s">
        <v>29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1</v>
      </c>
      <c r="L12" s="1"/>
      <c r="M12" s="1"/>
      <c r="N12" s="1"/>
      <c r="O12" s="1"/>
      <c r="P12" s="1"/>
      <c r="Q12" s="1"/>
      <c r="R12" s="1"/>
      <c r="S12" s="1"/>
      <c r="T12" s="1"/>
      <c r="U12" s="1"/>
    </row>
    <row r="13" spans="1:21" x14ac:dyDescent="0.25">
      <c r="A13" s="1" t="s">
        <v>66</v>
      </c>
      <c r="B13" s="1">
        <v>1.4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</row>
    <row r="14" spans="1:21" x14ac:dyDescent="0.25">
      <c r="A14" s="1" t="s">
        <v>67</v>
      </c>
      <c r="B14" s="1">
        <v>1.2</v>
      </c>
      <c r="C14" s="1">
        <v>1.6</v>
      </c>
      <c r="D14" s="1">
        <v>0.5</v>
      </c>
      <c r="E14" s="1">
        <v>0</v>
      </c>
      <c r="F14" s="1">
        <v>0</v>
      </c>
      <c r="G14" s="1">
        <v>1.6</v>
      </c>
      <c r="H14" s="1">
        <v>0</v>
      </c>
      <c r="I14" s="1">
        <v>0</v>
      </c>
      <c r="J14" s="1">
        <v>0</v>
      </c>
      <c r="K14" s="1">
        <v>0</v>
      </c>
    </row>
    <row r="15" spans="1:21" x14ac:dyDescent="0.25">
      <c r="A15" s="1" t="s">
        <v>68</v>
      </c>
      <c r="B15" s="1">
        <v>1.2</v>
      </c>
      <c r="C15" s="1">
        <v>1.6</v>
      </c>
      <c r="D15" s="1">
        <v>0</v>
      </c>
      <c r="E15" s="1">
        <v>0</v>
      </c>
      <c r="F15" s="1">
        <v>0.5</v>
      </c>
      <c r="G15" s="1">
        <v>1.6</v>
      </c>
      <c r="H15" s="1">
        <v>0</v>
      </c>
      <c r="I15" s="1">
        <v>0</v>
      </c>
      <c r="J15" s="1">
        <v>0</v>
      </c>
      <c r="K15" s="1">
        <v>0</v>
      </c>
    </row>
    <row r="16" spans="1:21" x14ac:dyDescent="0.25">
      <c r="A16" s="1" t="s">
        <v>69</v>
      </c>
      <c r="B16" s="1">
        <v>1.2</v>
      </c>
      <c r="C16" s="1">
        <v>1.6</v>
      </c>
      <c r="D16" s="1">
        <v>0</v>
      </c>
      <c r="E16" s="1">
        <v>0.5</v>
      </c>
      <c r="F16" s="1">
        <v>0</v>
      </c>
      <c r="G16" s="1">
        <v>1.6</v>
      </c>
      <c r="H16" s="1">
        <v>0</v>
      </c>
      <c r="I16" s="1">
        <v>0</v>
      </c>
      <c r="J16" s="1">
        <v>0</v>
      </c>
      <c r="K16" s="1">
        <v>0</v>
      </c>
    </row>
    <row r="17" spans="1:11" x14ac:dyDescent="0.25">
      <c r="A17" s="1" t="s">
        <v>104</v>
      </c>
      <c r="B17" s="1">
        <v>1.2</v>
      </c>
      <c r="C17" s="1">
        <f>Beam_Analysis!$H$1</f>
        <v>0.5</v>
      </c>
      <c r="D17" s="1">
        <v>1.6</v>
      </c>
      <c r="E17" s="1">
        <v>0</v>
      </c>
      <c r="F17" s="1">
        <v>0</v>
      </c>
      <c r="G17" s="1">
        <v>1.6</v>
      </c>
      <c r="H17" s="1">
        <v>0</v>
      </c>
      <c r="I17" s="1">
        <v>0</v>
      </c>
      <c r="J17" s="1">
        <v>0</v>
      </c>
      <c r="K17" s="1">
        <v>0</v>
      </c>
    </row>
    <row r="18" spans="1:11" x14ac:dyDescent="0.25">
      <c r="A18" s="1" t="s">
        <v>105</v>
      </c>
      <c r="B18" s="1">
        <v>1.2</v>
      </c>
      <c r="C18" s="1">
        <f>Beam_Analysis!$H$1</f>
        <v>0.5</v>
      </c>
      <c r="D18" s="1">
        <v>0</v>
      </c>
      <c r="E18" s="1">
        <v>0</v>
      </c>
      <c r="F18" s="1">
        <v>1.6</v>
      </c>
      <c r="G18" s="1">
        <v>1.6</v>
      </c>
      <c r="H18" s="1">
        <v>0</v>
      </c>
      <c r="I18" s="1">
        <v>0</v>
      </c>
      <c r="J18" s="1">
        <v>0</v>
      </c>
      <c r="K18" s="1">
        <v>0</v>
      </c>
    </row>
    <row r="19" spans="1:11" x14ac:dyDescent="0.25">
      <c r="A19" s="1" t="s">
        <v>106</v>
      </c>
      <c r="B19" s="1">
        <v>1.2</v>
      </c>
      <c r="C19" s="1">
        <f>Beam_Analysis!$H$1</f>
        <v>0.5</v>
      </c>
      <c r="D19" s="1">
        <v>0</v>
      </c>
      <c r="E19" s="1">
        <v>1.6</v>
      </c>
      <c r="F19" s="1">
        <v>0</v>
      </c>
      <c r="G19" s="1">
        <v>1.6</v>
      </c>
      <c r="H19" s="1">
        <v>0</v>
      </c>
      <c r="I19" s="1">
        <v>0</v>
      </c>
      <c r="J19" s="1">
        <v>0</v>
      </c>
      <c r="K19" s="1">
        <v>0</v>
      </c>
    </row>
    <row r="20" spans="1:11" x14ac:dyDescent="0.25">
      <c r="A20" s="1" t="s">
        <v>70</v>
      </c>
      <c r="B20" s="1">
        <v>1.2</v>
      </c>
      <c r="C20" s="1">
        <v>0</v>
      </c>
      <c r="D20" s="1">
        <v>1.6</v>
      </c>
      <c r="E20" s="1">
        <v>0</v>
      </c>
      <c r="F20" s="1">
        <v>0</v>
      </c>
      <c r="G20" s="1">
        <v>1.6</v>
      </c>
      <c r="H20" s="1">
        <v>0.5</v>
      </c>
      <c r="I20" s="1">
        <v>0</v>
      </c>
      <c r="J20" s="1">
        <v>0</v>
      </c>
      <c r="K20" s="1">
        <v>0</v>
      </c>
    </row>
    <row r="21" spans="1:11" x14ac:dyDescent="0.25">
      <c r="A21" s="1" t="s">
        <v>71</v>
      </c>
      <c r="B21" s="1">
        <v>1.2</v>
      </c>
      <c r="C21" s="1">
        <v>0</v>
      </c>
      <c r="D21" s="1">
        <v>0</v>
      </c>
      <c r="E21" s="1">
        <v>0</v>
      </c>
      <c r="F21" s="1">
        <v>1.6</v>
      </c>
      <c r="G21" s="1">
        <v>1.6</v>
      </c>
      <c r="H21" s="1">
        <v>0.5</v>
      </c>
      <c r="I21" s="1">
        <v>0</v>
      </c>
      <c r="J21" s="1">
        <v>0</v>
      </c>
      <c r="K21" s="1">
        <v>0</v>
      </c>
    </row>
    <row r="22" spans="1:11" x14ac:dyDescent="0.25">
      <c r="A22" s="1" t="s">
        <v>72</v>
      </c>
      <c r="B22" s="1">
        <v>1.2</v>
      </c>
      <c r="C22" s="1">
        <v>0</v>
      </c>
      <c r="D22" s="1">
        <v>0</v>
      </c>
      <c r="E22" s="1">
        <v>1.6</v>
      </c>
      <c r="F22" s="1">
        <v>0</v>
      </c>
      <c r="G22" s="1">
        <v>1.6</v>
      </c>
      <c r="H22" s="1">
        <v>0.5</v>
      </c>
      <c r="I22" s="1">
        <v>0</v>
      </c>
      <c r="J22" s="1">
        <v>0</v>
      </c>
      <c r="K22" s="1">
        <v>0</v>
      </c>
    </row>
    <row r="23" spans="1:11" x14ac:dyDescent="0.25">
      <c r="A23" s="1" t="s">
        <v>73</v>
      </c>
      <c r="B23" s="1">
        <v>1.2</v>
      </c>
      <c r="C23" s="1">
        <v>0</v>
      </c>
      <c r="D23" s="1">
        <v>1.6</v>
      </c>
      <c r="E23" s="1">
        <v>0</v>
      </c>
      <c r="F23" s="1">
        <v>0</v>
      </c>
      <c r="G23" s="1">
        <v>1.6</v>
      </c>
      <c r="H23" s="1">
        <v>0</v>
      </c>
      <c r="I23" s="1">
        <v>0.5</v>
      </c>
      <c r="J23" s="1">
        <v>0</v>
      </c>
      <c r="K23" s="1">
        <v>0</v>
      </c>
    </row>
    <row r="24" spans="1:11" x14ac:dyDescent="0.25">
      <c r="A24" s="1" t="s">
        <v>74</v>
      </c>
      <c r="B24" s="1">
        <v>1.2</v>
      </c>
      <c r="C24" s="1">
        <v>0</v>
      </c>
      <c r="D24" s="1">
        <v>0</v>
      </c>
      <c r="E24" s="1">
        <v>0</v>
      </c>
      <c r="F24" s="1">
        <v>1.6</v>
      </c>
      <c r="G24" s="1">
        <v>1.6</v>
      </c>
      <c r="H24" s="1">
        <v>0</v>
      </c>
      <c r="I24" s="1">
        <v>0.5</v>
      </c>
      <c r="J24" s="1">
        <v>0</v>
      </c>
      <c r="K24" s="1">
        <v>0</v>
      </c>
    </row>
    <row r="25" spans="1:11" x14ac:dyDescent="0.25">
      <c r="A25" s="1" t="s">
        <v>75</v>
      </c>
      <c r="B25" s="1">
        <v>1.2</v>
      </c>
      <c r="C25" s="1">
        <v>0</v>
      </c>
      <c r="D25" s="1">
        <v>0</v>
      </c>
      <c r="E25" s="1">
        <v>1.6</v>
      </c>
      <c r="F25" s="1">
        <v>0</v>
      </c>
      <c r="G25" s="1">
        <v>1.6</v>
      </c>
      <c r="H25" s="1">
        <v>0</v>
      </c>
      <c r="I25" s="1">
        <v>0.5</v>
      </c>
      <c r="J25" s="1">
        <v>0</v>
      </c>
      <c r="K25" s="1">
        <v>0</v>
      </c>
    </row>
    <row r="26" spans="1:11" x14ac:dyDescent="0.25">
      <c r="A26" s="1" t="s">
        <v>107</v>
      </c>
      <c r="B26" s="1">
        <v>1.2</v>
      </c>
      <c r="C26" s="1">
        <f>Beam_Analysis!$H$1</f>
        <v>0.5</v>
      </c>
      <c r="D26" s="1">
        <v>0.5</v>
      </c>
      <c r="E26" s="1">
        <v>0</v>
      </c>
      <c r="F26" s="1">
        <v>0</v>
      </c>
      <c r="G26" s="1">
        <v>1.6</v>
      </c>
      <c r="H26" s="1">
        <v>1</v>
      </c>
      <c r="I26" s="1">
        <v>0</v>
      </c>
      <c r="J26" s="1">
        <v>0</v>
      </c>
      <c r="K26" s="1">
        <v>0</v>
      </c>
    </row>
    <row r="27" spans="1:11" x14ac:dyDescent="0.25">
      <c r="A27" s="1" t="s">
        <v>108</v>
      </c>
      <c r="B27" s="1">
        <v>1.2</v>
      </c>
      <c r="C27" s="1">
        <f>Beam_Analysis!$H$1</f>
        <v>0.5</v>
      </c>
      <c r="D27" s="1">
        <v>0</v>
      </c>
      <c r="E27" s="1">
        <v>0</v>
      </c>
      <c r="F27" s="1">
        <v>0.5</v>
      </c>
      <c r="G27" s="1">
        <v>1.6</v>
      </c>
      <c r="H27" s="1">
        <v>1</v>
      </c>
      <c r="I27" s="1">
        <v>0</v>
      </c>
      <c r="J27" s="1">
        <v>0</v>
      </c>
      <c r="K27" s="1">
        <v>0</v>
      </c>
    </row>
    <row r="28" spans="1:11" x14ac:dyDescent="0.25">
      <c r="A28" s="1" t="s">
        <v>109</v>
      </c>
      <c r="B28" s="1">
        <v>1.2</v>
      </c>
      <c r="C28" s="1">
        <f>Beam_Analysis!$H$1</f>
        <v>0.5</v>
      </c>
      <c r="D28" s="1">
        <v>0</v>
      </c>
      <c r="E28" s="1">
        <v>0.5</v>
      </c>
      <c r="F28" s="1">
        <v>0</v>
      </c>
      <c r="G28" s="1">
        <v>1.6</v>
      </c>
      <c r="H28" s="1">
        <v>1</v>
      </c>
      <c r="I28" s="1">
        <v>0</v>
      </c>
      <c r="J28" s="1">
        <v>0</v>
      </c>
      <c r="K28" s="1">
        <v>0</v>
      </c>
    </row>
    <row r="29" spans="1:11" x14ac:dyDescent="0.25">
      <c r="A29" s="1" t="s">
        <v>110</v>
      </c>
      <c r="B29" s="1">
        <v>1.2</v>
      </c>
      <c r="C29" s="1">
        <f>Beam_Analysis!$H$1</f>
        <v>0.5</v>
      </c>
      <c r="D29" s="1">
        <v>0.5</v>
      </c>
      <c r="E29" s="1">
        <v>0</v>
      </c>
      <c r="F29" s="1">
        <v>0</v>
      </c>
      <c r="G29" s="1">
        <v>1.6</v>
      </c>
      <c r="H29" s="1">
        <v>0</v>
      </c>
      <c r="I29" s="1">
        <v>1</v>
      </c>
      <c r="J29" s="1">
        <v>0</v>
      </c>
      <c r="K29" s="1">
        <v>0</v>
      </c>
    </row>
    <row r="30" spans="1:11" x14ac:dyDescent="0.25">
      <c r="A30" s="1" t="s">
        <v>111</v>
      </c>
      <c r="B30" s="1">
        <v>1.2</v>
      </c>
      <c r="C30" s="1">
        <f>Beam_Analysis!$H$1</f>
        <v>0.5</v>
      </c>
      <c r="D30" s="1">
        <v>0</v>
      </c>
      <c r="E30" s="1">
        <v>0</v>
      </c>
      <c r="F30" s="1">
        <v>0.5</v>
      </c>
      <c r="G30" s="1">
        <v>1.6</v>
      </c>
      <c r="H30" s="1">
        <v>0</v>
      </c>
      <c r="I30" s="1">
        <v>1</v>
      </c>
      <c r="J30" s="1">
        <v>0</v>
      </c>
      <c r="K30" s="1">
        <v>0</v>
      </c>
    </row>
    <row r="31" spans="1:11" x14ac:dyDescent="0.25">
      <c r="A31" s="1" t="s">
        <v>112</v>
      </c>
      <c r="B31" s="1">
        <v>1.2</v>
      </c>
      <c r="C31" s="1">
        <f>Beam_Analysis!$H$1</f>
        <v>0.5</v>
      </c>
      <c r="D31" s="1">
        <v>0</v>
      </c>
      <c r="E31" s="1">
        <v>0.5</v>
      </c>
      <c r="F31" s="1">
        <v>0</v>
      </c>
      <c r="G31" s="1">
        <v>1.6</v>
      </c>
      <c r="H31" s="1">
        <v>0</v>
      </c>
      <c r="I31" s="1">
        <v>1</v>
      </c>
      <c r="J31" s="1">
        <v>0</v>
      </c>
      <c r="K31" s="1">
        <v>0</v>
      </c>
    </row>
    <row r="32" spans="1:11" x14ac:dyDescent="0.25">
      <c r="A32" s="1" t="s">
        <v>113</v>
      </c>
      <c r="B32" s="1">
        <v>1.2</v>
      </c>
      <c r="C32" s="1">
        <f>Beam_Analysis!$H$1</f>
        <v>0.5</v>
      </c>
      <c r="D32" s="1">
        <v>0</v>
      </c>
      <c r="E32" s="1">
        <v>0</v>
      </c>
      <c r="F32" s="1">
        <f>Beam_Analysis!$H$2</f>
        <v>0.7</v>
      </c>
      <c r="G32" s="1">
        <v>1.6</v>
      </c>
      <c r="H32" s="1">
        <v>0</v>
      </c>
      <c r="I32" s="1">
        <v>0</v>
      </c>
      <c r="J32" s="1">
        <v>1</v>
      </c>
      <c r="K32" s="1">
        <v>0</v>
      </c>
    </row>
    <row r="33" spans="1:11" x14ac:dyDescent="0.25">
      <c r="A33" s="1" t="s">
        <v>114</v>
      </c>
      <c r="B33" s="1">
        <v>1.2</v>
      </c>
      <c r="C33" s="1">
        <f>Beam_Analysis!$H$1</f>
        <v>0.5</v>
      </c>
      <c r="D33" s="1">
        <v>0</v>
      </c>
      <c r="E33" s="1">
        <v>0</v>
      </c>
      <c r="F33" s="1">
        <f>Beam_Analysis!$H$2</f>
        <v>0.7</v>
      </c>
      <c r="G33" s="1">
        <v>1.6</v>
      </c>
      <c r="H33" s="1">
        <v>0</v>
      </c>
      <c r="I33" s="1">
        <v>0</v>
      </c>
      <c r="J33" s="1">
        <v>0</v>
      </c>
      <c r="K33" s="1">
        <v>1</v>
      </c>
    </row>
    <row r="34" spans="1:11" x14ac:dyDescent="0.25">
      <c r="A34" s="1" t="s">
        <v>76</v>
      </c>
      <c r="B34" s="1">
        <v>0.9</v>
      </c>
      <c r="C34" s="1">
        <v>0</v>
      </c>
      <c r="D34" s="1">
        <v>0</v>
      </c>
      <c r="E34" s="1">
        <v>0</v>
      </c>
      <c r="F34" s="1">
        <v>0</v>
      </c>
      <c r="G34" s="1">
        <v>1.6</v>
      </c>
      <c r="H34" s="1">
        <v>1</v>
      </c>
      <c r="I34" s="1">
        <v>0</v>
      </c>
      <c r="J34" s="1">
        <v>0</v>
      </c>
      <c r="K34" s="1">
        <v>0</v>
      </c>
    </row>
    <row r="35" spans="1:11" x14ac:dyDescent="0.25">
      <c r="A35" s="1" t="s">
        <v>77</v>
      </c>
      <c r="B35" s="1">
        <v>0.9</v>
      </c>
      <c r="C35" s="1">
        <v>0</v>
      </c>
      <c r="D35" s="1">
        <v>0</v>
      </c>
      <c r="E35" s="1">
        <v>0</v>
      </c>
      <c r="F35" s="1">
        <v>0</v>
      </c>
      <c r="G35" s="1">
        <v>1.6</v>
      </c>
      <c r="H35" s="1">
        <v>0</v>
      </c>
      <c r="I35" s="1">
        <v>1</v>
      </c>
      <c r="J35" s="1">
        <v>0</v>
      </c>
      <c r="K35" s="1">
        <v>0</v>
      </c>
    </row>
    <row r="36" spans="1:11" x14ac:dyDescent="0.25">
      <c r="A36" s="1" t="s">
        <v>78</v>
      </c>
      <c r="B36" s="1">
        <v>0.9</v>
      </c>
      <c r="C36" s="1">
        <v>0</v>
      </c>
      <c r="D36" s="1">
        <v>0</v>
      </c>
      <c r="E36" s="1">
        <v>0</v>
      </c>
      <c r="F36" s="1">
        <v>0</v>
      </c>
      <c r="G36" s="1">
        <v>1.6</v>
      </c>
      <c r="H36" s="1">
        <v>0</v>
      </c>
      <c r="I36" s="1">
        <v>0</v>
      </c>
      <c r="J36" s="1">
        <v>1</v>
      </c>
      <c r="K36" s="1">
        <v>0</v>
      </c>
    </row>
    <row r="37" spans="1:11" x14ac:dyDescent="0.25">
      <c r="A37" s="1" t="s">
        <v>79</v>
      </c>
      <c r="B37" s="1">
        <v>0.9</v>
      </c>
      <c r="C37" s="1">
        <v>0</v>
      </c>
      <c r="D37" s="1">
        <v>0</v>
      </c>
      <c r="E37" s="1">
        <v>0</v>
      </c>
      <c r="F37" s="1">
        <v>0</v>
      </c>
      <c r="G37" s="1">
        <v>1.6</v>
      </c>
      <c r="H37" s="1">
        <v>0</v>
      </c>
      <c r="I37" s="1">
        <v>0</v>
      </c>
      <c r="J37" s="1">
        <v>0</v>
      </c>
      <c r="K37" s="1">
        <v>1</v>
      </c>
    </row>
    <row r="38" spans="1:11" x14ac:dyDescent="0.25">
      <c r="A38" s="1" t="s">
        <v>80</v>
      </c>
      <c r="B38" s="1">
        <v>1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</row>
    <row r="39" spans="1:11" x14ac:dyDescent="0.25">
      <c r="A39" s="1" t="s">
        <v>81</v>
      </c>
      <c r="B39" s="1">
        <v>1</v>
      </c>
      <c r="C39" s="1">
        <v>1</v>
      </c>
      <c r="D39" s="1">
        <v>0</v>
      </c>
      <c r="E39" s="1">
        <v>0</v>
      </c>
      <c r="F39" s="1">
        <v>0</v>
      </c>
      <c r="G39" s="1">
        <v>1</v>
      </c>
      <c r="H39" s="1">
        <v>0</v>
      </c>
      <c r="I39" s="1">
        <v>0</v>
      </c>
      <c r="J39" s="1">
        <v>0</v>
      </c>
      <c r="K39" s="1">
        <v>0</v>
      </c>
    </row>
    <row r="40" spans="1:11" x14ac:dyDescent="0.25">
      <c r="A40" s="1" t="s">
        <v>82</v>
      </c>
      <c r="B40" s="1">
        <v>1</v>
      </c>
      <c r="C40" s="1">
        <v>0</v>
      </c>
      <c r="D40" s="1">
        <v>1</v>
      </c>
      <c r="E40" s="1">
        <v>0</v>
      </c>
      <c r="F40" s="1">
        <v>0</v>
      </c>
      <c r="G40" s="1">
        <v>1</v>
      </c>
      <c r="H40" s="1">
        <v>0</v>
      </c>
      <c r="I40" s="1">
        <v>0</v>
      </c>
      <c r="J40" s="1">
        <v>0</v>
      </c>
      <c r="K40" s="1">
        <v>0</v>
      </c>
    </row>
    <row r="41" spans="1:11" x14ac:dyDescent="0.25">
      <c r="A41" s="1" t="s">
        <v>83</v>
      </c>
      <c r="B41" s="1">
        <v>1</v>
      </c>
      <c r="C41" s="1">
        <v>0</v>
      </c>
      <c r="D41" s="1">
        <v>0</v>
      </c>
      <c r="E41" s="1">
        <v>0</v>
      </c>
      <c r="F41" s="1">
        <v>1</v>
      </c>
      <c r="G41" s="1">
        <v>1</v>
      </c>
      <c r="H41" s="1">
        <v>0</v>
      </c>
      <c r="I41" s="1">
        <v>0</v>
      </c>
      <c r="J41" s="1">
        <v>0</v>
      </c>
      <c r="K41" s="1">
        <v>0</v>
      </c>
    </row>
    <row r="42" spans="1:11" x14ac:dyDescent="0.25">
      <c r="A42" s="1" t="s">
        <v>84</v>
      </c>
      <c r="B42" s="1">
        <v>1</v>
      </c>
      <c r="C42" s="1">
        <v>0</v>
      </c>
      <c r="D42" s="1">
        <v>0</v>
      </c>
      <c r="E42" s="1">
        <v>1</v>
      </c>
      <c r="F42" s="1">
        <v>0</v>
      </c>
      <c r="G42" s="1">
        <v>1</v>
      </c>
      <c r="H42" s="1">
        <v>0</v>
      </c>
      <c r="I42" s="1">
        <v>0</v>
      </c>
      <c r="J42" s="1">
        <v>0</v>
      </c>
      <c r="K42" s="1">
        <v>0</v>
      </c>
    </row>
    <row r="43" spans="1:11" x14ac:dyDescent="0.25">
      <c r="A43" s="1" t="s">
        <v>85</v>
      </c>
      <c r="B43" s="1">
        <v>1</v>
      </c>
      <c r="C43" s="1">
        <v>0.75</v>
      </c>
      <c r="D43" s="1">
        <v>0.75</v>
      </c>
      <c r="E43" s="1">
        <v>0</v>
      </c>
      <c r="F43" s="1">
        <v>0</v>
      </c>
      <c r="G43" s="1">
        <v>1</v>
      </c>
      <c r="H43" s="1">
        <v>0</v>
      </c>
      <c r="I43" s="1">
        <v>0</v>
      </c>
      <c r="J43" s="1">
        <v>0</v>
      </c>
      <c r="K43" s="1">
        <v>0</v>
      </c>
    </row>
    <row r="44" spans="1:11" x14ac:dyDescent="0.25">
      <c r="A44" s="1" t="s">
        <v>86</v>
      </c>
      <c r="B44" s="1">
        <v>1</v>
      </c>
      <c r="C44" s="1">
        <v>0.75</v>
      </c>
      <c r="D44" s="1">
        <v>0</v>
      </c>
      <c r="E44" s="1">
        <v>0</v>
      </c>
      <c r="F44" s="1">
        <v>0.75</v>
      </c>
      <c r="G44" s="1">
        <v>1</v>
      </c>
      <c r="H44" s="1">
        <v>0</v>
      </c>
      <c r="I44" s="1">
        <v>0</v>
      </c>
      <c r="J44" s="1">
        <v>0</v>
      </c>
      <c r="K44" s="1">
        <v>0</v>
      </c>
    </row>
    <row r="45" spans="1:11" x14ac:dyDescent="0.25">
      <c r="A45" s="1" t="s">
        <v>87</v>
      </c>
      <c r="B45" s="1">
        <v>1</v>
      </c>
      <c r="C45" s="1">
        <v>0.75</v>
      </c>
      <c r="D45" s="1">
        <v>0</v>
      </c>
      <c r="E45" s="1">
        <v>0.75</v>
      </c>
      <c r="F45" s="1">
        <v>0</v>
      </c>
      <c r="G45" s="1">
        <v>1</v>
      </c>
      <c r="H45" s="1">
        <v>0</v>
      </c>
      <c r="I45" s="1">
        <v>0</v>
      </c>
      <c r="J45" s="1">
        <v>0</v>
      </c>
      <c r="K45" s="1">
        <v>0</v>
      </c>
    </row>
    <row r="46" spans="1:11" x14ac:dyDescent="0.25">
      <c r="A46" s="1" t="s">
        <v>88</v>
      </c>
      <c r="B46" s="1">
        <v>1</v>
      </c>
      <c r="C46" s="1">
        <v>0</v>
      </c>
      <c r="D46" s="1">
        <v>0</v>
      </c>
      <c r="E46" s="1">
        <v>0</v>
      </c>
      <c r="F46" s="1">
        <v>0</v>
      </c>
      <c r="G46" s="1">
        <v>1</v>
      </c>
      <c r="H46" s="1">
        <v>0.6</v>
      </c>
      <c r="I46" s="1">
        <v>0</v>
      </c>
      <c r="J46" s="1">
        <v>0</v>
      </c>
      <c r="K46" s="1">
        <v>0</v>
      </c>
    </row>
    <row r="47" spans="1:11" x14ac:dyDescent="0.25">
      <c r="A47" s="1" t="s">
        <v>89</v>
      </c>
      <c r="B47" s="1">
        <v>1</v>
      </c>
      <c r="C47" s="1">
        <v>0</v>
      </c>
      <c r="D47" s="1">
        <v>0</v>
      </c>
      <c r="E47" s="1">
        <v>0</v>
      </c>
      <c r="F47" s="1">
        <v>0</v>
      </c>
      <c r="G47" s="1">
        <v>1</v>
      </c>
      <c r="H47" s="1">
        <v>0</v>
      </c>
      <c r="I47" s="1">
        <v>0.6</v>
      </c>
      <c r="J47" s="1">
        <v>0</v>
      </c>
      <c r="K47" s="1">
        <v>0</v>
      </c>
    </row>
    <row r="48" spans="1:11" x14ac:dyDescent="0.25">
      <c r="A48" s="1" t="s">
        <v>90</v>
      </c>
      <c r="B48" s="1">
        <v>1</v>
      </c>
      <c r="C48" s="1">
        <v>0</v>
      </c>
      <c r="D48" s="1">
        <v>0</v>
      </c>
      <c r="E48" s="1">
        <v>0</v>
      </c>
      <c r="F48" s="1">
        <v>0</v>
      </c>
      <c r="G48" s="1">
        <v>1</v>
      </c>
      <c r="H48" s="1">
        <v>0</v>
      </c>
      <c r="I48" s="1">
        <v>0</v>
      </c>
      <c r="J48" s="1">
        <v>0.7</v>
      </c>
      <c r="K48" s="1">
        <v>0</v>
      </c>
    </row>
    <row r="49" spans="1:11" x14ac:dyDescent="0.25">
      <c r="A49" s="1" t="s">
        <v>91</v>
      </c>
      <c r="B49" s="1">
        <v>1</v>
      </c>
      <c r="C49" s="1">
        <v>0</v>
      </c>
      <c r="D49" s="1">
        <v>0</v>
      </c>
      <c r="E49" s="1">
        <v>0</v>
      </c>
      <c r="F49" s="1">
        <v>0</v>
      </c>
      <c r="G49" s="1">
        <v>1</v>
      </c>
      <c r="H49" s="1">
        <v>0</v>
      </c>
      <c r="I49" s="1">
        <v>0</v>
      </c>
      <c r="J49" s="1">
        <v>0</v>
      </c>
      <c r="K49" s="1">
        <v>0.7</v>
      </c>
    </row>
    <row r="50" spans="1:11" x14ac:dyDescent="0.25">
      <c r="A50" s="1" t="s">
        <v>92</v>
      </c>
      <c r="B50" s="1">
        <v>1</v>
      </c>
      <c r="C50" s="1">
        <v>0.75</v>
      </c>
      <c r="D50" s="1">
        <v>0.75</v>
      </c>
      <c r="E50" s="1">
        <v>0</v>
      </c>
      <c r="F50" s="1">
        <v>0</v>
      </c>
      <c r="G50" s="1">
        <v>1</v>
      </c>
      <c r="H50" s="1">
        <v>0.44999999999999996</v>
      </c>
      <c r="I50" s="1">
        <v>0</v>
      </c>
      <c r="J50" s="1">
        <v>0</v>
      </c>
      <c r="K50" s="1">
        <v>0</v>
      </c>
    </row>
    <row r="51" spans="1:11" x14ac:dyDescent="0.25">
      <c r="A51" s="1" t="s">
        <v>93</v>
      </c>
      <c r="B51" s="1">
        <v>1</v>
      </c>
      <c r="C51" s="1">
        <v>0.75</v>
      </c>
      <c r="D51" s="1">
        <v>0</v>
      </c>
      <c r="E51" s="1">
        <v>0</v>
      </c>
      <c r="F51" s="1">
        <v>0.75</v>
      </c>
      <c r="G51" s="1">
        <v>1</v>
      </c>
      <c r="H51" s="1">
        <v>0.44999999999999996</v>
      </c>
      <c r="I51" s="1">
        <v>0</v>
      </c>
      <c r="J51" s="1">
        <v>0</v>
      </c>
      <c r="K51" s="1">
        <v>0</v>
      </c>
    </row>
    <row r="52" spans="1:11" x14ac:dyDescent="0.25">
      <c r="A52" s="1" t="s">
        <v>94</v>
      </c>
      <c r="B52" s="1">
        <v>1</v>
      </c>
      <c r="C52" s="1">
        <v>0.75</v>
      </c>
      <c r="D52" s="1">
        <v>0</v>
      </c>
      <c r="E52" s="1">
        <v>0.75</v>
      </c>
      <c r="F52" s="1">
        <v>0</v>
      </c>
      <c r="G52" s="1">
        <v>1</v>
      </c>
      <c r="H52" s="1">
        <v>0.44999999999999996</v>
      </c>
      <c r="I52" s="1">
        <v>0</v>
      </c>
      <c r="J52" s="1">
        <v>0</v>
      </c>
      <c r="K52" s="1">
        <v>0</v>
      </c>
    </row>
    <row r="53" spans="1:11" x14ac:dyDescent="0.25">
      <c r="A53" s="1" t="s">
        <v>95</v>
      </c>
      <c r="B53" s="1">
        <v>1</v>
      </c>
      <c r="C53" s="1">
        <v>0.75</v>
      </c>
      <c r="D53" s="1">
        <v>0.75</v>
      </c>
      <c r="E53" s="1">
        <v>0</v>
      </c>
      <c r="F53" s="1">
        <v>0</v>
      </c>
      <c r="G53" s="1">
        <v>1</v>
      </c>
      <c r="H53" s="1">
        <v>0</v>
      </c>
      <c r="I53" s="1">
        <v>0.44999999999999996</v>
      </c>
      <c r="J53" s="1">
        <v>0</v>
      </c>
      <c r="K53" s="1">
        <v>0</v>
      </c>
    </row>
    <row r="54" spans="1:11" x14ac:dyDescent="0.25">
      <c r="A54" s="1" t="s">
        <v>96</v>
      </c>
      <c r="B54" s="1">
        <v>1</v>
      </c>
      <c r="C54" s="1">
        <v>0.75</v>
      </c>
      <c r="D54" s="1">
        <v>0</v>
      </c>
      <c r="E54" s="1">
        <v>0</v>
      </c>
      <c r="F54" s="1">
        <v>0.75</v>
      </c>
      <c r="G54" s="1">
        <v>1</v>
      </c>
      <c r="H54" s="1">
        <v>0</v>
      </c>
      <c r="I54" s="1">
        <v>0.44999999999999996</v>
      </c>
      <c r="J54" s="1">
        <v>0</v>
      </c>
      <c r="K54" s="1">
        <v>0</v>
      </c>
    </row>
    <row r="55" spans="1:11" x14ac:dyDescent="0.25">
      <c r="A55" s="1" t="s">
        <v>97</v>
      </c>
      <c r="B55" s="1">
        <v>1</v>
      </c>
      <c r="C55" s="1">
        <v>0.75</v>
      </c>
      <c r="D55" s="1">
        <v>0</v>
      </c>
      <c r="E55" s="1">
        <v>0.75</v>
      </c>
      <c r="F55" s="1">
        <v>0</v>
      </c>
      <c r="G55" s="1">
        <v>1</v>
      </c>
      <c r="H55" s="1">
        <v>0</v>
      </c>
      <c r="I55" s="1">
        <v>0.44999999999999996</v>
      </c>
      <c r="J55" s="1">
        <v>0</v>
      </c>
      <c r="K55" s="1">
        <v>0</v>
      </c>
    </row>
    <row r="56" spans="1:11" x14ac:dyDescent="0.25">
      <c r="A56" s="1" t="s">
        <v>98</v>
      </c>
      <c r="B56" s="1">
        <v>1</v>
      </c>
      <c r="C56" s="1">
        <v>0.75</v>
      </c>
      <c r="D56" s="1">
        <v>0</v>
      </c>
      <c r="E56" s="1">
        <v>0</v>
      </c>
      <c r="F56" s="1">
        <v>0.75</v>
      </c>
      <c r="G56" s="1">
        <v>1</v>
      </c>
      <c r="H56" s="1">
        <v>0</v>
      </c>
      <c r="I56" s="1">
        <v>0</v>
      </c>
      <c r="J56" s="1">
        <v>0.52499999999999991</v>
      </c>
      <c r="K56" s="1">
        <v>0</v>
      </c>
    </row>
    <row r="57" spans="1:11" x14ac:dyDescent="0.25">
      <c r="A57" s="1" t="s">
        <v>99</v>
      </c>
      <c r="B57" s="1">
        <v>1</v>
      </c>
      <c r="C57" s="1">
        <v>0.75</v>
      </c>
      <c r="D57" s="1">
        <v>0</v>
      </c>
      <c r="E57" s="1">
        <v>0</v>
      </c>
      <c r="F57" s="1">
        <v>0.75</v>
      </c>
      <c r="G57" s="1">
        <v>1</v>
      </c>
      <c r="H57" s="1">
        <v>0</v>
      </c>
      <c r="I57" s="1">
        <v>0</v>
      </c>
      <c r="J57" s="1">
        <v>0</v>
      </c>
      <c r="K57" s="1">
        <v>0.52499999999999991</v>
      </c>
    </row>
    <row r="58" spans="1:11" x14ac:dyDescent="0.25">
      <c r="A58" s="1" t="s">
        <v>100</v>
      </c>
      <c r="B58" s="1">
        <v>0.6</v>
      </c>
      <c r="C58" s="1">
        <v>0</v>
      </c>
      <c r="D58" s="1">
        <v>0</v>
      </c>
      <c r="E58" s="1">
        <v>0</v>
      </c>
      <c r="F58" s="1">
        <v>0</v>
      </c>
      <c r="G58" s="1">
        <v>1</v>
      </c>
      <c r="H58" s="1">
        <v>0.6</v>
      </c>
      <c r="I58" s="1">
        <v>0</v>
      </c>
      <c r="J58" s="1">
        <v>0</v>
      </c>
      <c r="K58" s="1">
        <v>0</v>
      </c>
    </row>
    <row r="59" spans="1:11" x14ac:dyDescent="0.25">
      <c r="A59" s="1" t="s">
        <v>101</v>
      </c>
      <c r="B59" s="1">
        <v>0.6</v>
      </c>
      <c r="C59" s="1">
        <v>0</v>
      </c>
      <c r="D59" s="1">
        <v>0</v>
      </c>
      <c r="E59" s="1">
        <v>0</v>
      </c>
      <c r="F59" s="1">
        <v>0</v>
      </c>
      <c r="G59" s="1">
        <v>1</v>
      </c>
      <c r="H59" s="1">
        <v>0</v>
      </c>
      <c r="I59" s="1">
        <v>0.6</v>
      </c>
      <c r="J59" s="1">
        <v>0</v>
      </c>
      <c r="K59" s="1">
        <v>0</v>
      </c>
    </row>
    <row r="60" spans="1:11" x14ac:dyDescent="0.25">
      <c r="A60" s="1" t="s">
        <v>102</v>
      </c>
      <c r="B60" s="1">
        <v>0.6</v>
      </c>
      <c r="C60" s="1">
        <v>0</v>
      </c>
      <c r="D60" s="1">
        <v>0</v>
      </c>
      <c r="E60" s="1">
        <v>0</v>
      </c>
      <c r="F60" s="1">
        <v>0</v>
      </c>
      <c r="G60" s="1">
        <v>1</v>
      </c>
      <c r="H60" s="1">
        <v>0</v>
      </c>
      <c r="I60" s="1">
        <v>0</v>
      </c>
      <c r="J60" s="1">
        <v>0.7</v>
      </c>
      <c r="K60" s="1">
        <v>0</v>
      </c>
    </row>
    <row r="61" spans="1:11" x14ac:dyDescent="0.25">
      <c r="A61" s="1" t="s">
        <v>103</v>
      </c>
      <c r="B61" s="1">
        <v>0.6</v>
      </c>
      <c r="C61" s="1">
        <v>0</v>
      </c>
      <c r="D61" s="1">
        <v>0</v>
      </c>
      <c r="E61" s="1">
        <v>0</v>
      </c>
      <c r="F61" s="1">
        <v>0</v>
      </c>
      <c r="G61" s="1">
        <v>1</v>
      </c>
      <c r="H61" s="1">
        <v>0</v>
      </c>
      <c r="I61" s="1">
        <v>0</v>
      </c>
      <c r="J61" s="1">
        <v>0</v>
      </c>
      <c r="K61" s="1">
        <v>0.7</v>
      </c>
    </row>
    <row r="62" spans="1:11" x14ac:dyDescent="0.25">
      <c r="A62" s="1" t="s">
        <v>56</v>
      </c>
      <c r="B62" s="1">
        <f>Beam_Analysis!G6</f>
        <v>0</v>
      </c>
      <c r="C62" s="1">
        <f>Beam_Analysis!H6</f>
        <v>1</v>
      </c>
      <c r="D62" s="1">
        <f>Beam_Analysis!I6</f>
        <v>0</v>
      </c>
      <c r="E62" s="1">
        <f>Beam_Analysis!J6</f>
        <v>0</v>
      </c>
      <c r="F62" s="1">
        <f>Beam_Analysis!K6</f>
        <v>0</v>
      </c>
      <c r="G62" s="1">
        <f>Beam_Analysis!L6</f>
        <v>0</v>
      </c>
      <c r="H62" s="1">
        <f>Beam_Analysis!M6</f>
        <v>0</v>
      </c>
      <c r="I62" s="1">
        <f>Beam_Analysis!N6</f>
        <v>0</v>
      </c>
      <c r="J62" s="1">
        <f>Beam_Analysis!O6</f>
        <v>0</v>
      </c>
      <c r="K62" s="1">
        <f>Beam_Analysis!P6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Beam_Analysis</vt:lpstr>
      <vt:lpstr>Data</vt:lpstr>
      <vt:lpstr>Load_Combos</vt:lpstr>
      <vt:lpstr>FF_5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 Bockoven</dc:creator>
  <cp:lastModifiedBy>Donald Bockoven III</cp:lastModifiedBy>
  <dcterms:created xsi:type="dcterms:W3CDTF">2020-12-08T18:46:25Z</dcterms:created>
  <dcterms:modified xsi:type="dcterms:W3CDTF">2020-12-11T12:25:26Z</dcterms:modified>
</cp:coreProperties>
</file>