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530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fe6b96fae790869d/Work/In_Development/"/>
    </mc:Choice>
  </mc:AlternateContent>
  <xr:revisionPtr revIDLastSave="4154" documentId="8_{37E8B246-AF35-42CA-A034-DDDD52D0D400}" xr6:coauthVersionLast="46" xr6:coauthVersionMax="46" xr10:uidLastSave="{2FAF6058-FCDD-4EFD-844E-4F8C20A9328E}"/>
  <bookViews>
    <workbookView xWindow="735" yWindow="510" windowWidth="25935" windowHeight="16815" xr2:uid="{6506FA8A-1F3F-4C50-BBFD-B318EB7939C6}"/>
  </bookViews>
  <sheets>
    <sheet name="Beam_Analysis" sheetId="1" r:id="rId1"/>
    <sheet name="Data" sheetId="2" r:id="rId2"/>
    <sheet name="Load_Combos" sheetId="3" r:id="rId3"/>
  </sheets>
  <functionGroups builtInGroupCount="19"/>
  <definedNames>
    <definedName name="FF_5">Data!$V$26:$V$32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V1" i="1" l="1"/>
  <c r="O2" i="2"/>
  <c r="A53" i="2" l="1"/>
  <c r="B60" i="2" s="1"/>
  <c r="I2" i="1"/>
  <c r="L72" i="1"/>
  <c r="L70" i="1"/>
  <c r="L68" i="1"/>
  <c r="L66" i="1"/>
  <c r="L64" i="1"/>
  <c r="L62" i="1"/>
  <c r="L60" i="1"/>
  <c r="L58" i="1"/>
  <c r="L56" i="1"/>
  <c r="L54" i="1"/>
  <c r="N28" i="1"/>
  <c r="N27" i="1"/>
  <c r="D53" i="1"/>
  <c r="L79" i="1"/>
  <c r="L74" i="1"/>
  <c r="L75" i="1"/>
  <c r="L76" i="1"/>
  <c r="L77" i="1"/>
  <c r="L73" i="1"/>
  <c r="B66" i="2" l="1"/>
  <c r="B75" i="2"/>
  <c r="B67" i="2"/>
  <c r="B59" i="2"/>
  <c r="B65" i="2"/>
  <c r="B57" i="2"/>
  <c r="B80" i="2"/>
  <c r="B72" i="2"/>
  <c r="B64" i="2"/>
  <c r="B56" i="2"/>
  <c r="B74" i="2"/>
  <c r="B73" i="2"/>
  <c r="B79" i="2"/>
  <c r="B71" i="2"/>
  <c r="B63" i="2"/>
  <c r="B55" i="2"/>
  <c r="B54" i="2"/>
  <c r="B78" i="2"/>
  <c r="B70" i="2"/>
  <c r="B62" i="2"/>
  <c r="B58" i="2"/>
  <c r="B77" i="2"/>
  <c r="B69" i="2"/>
  <c r="B61" i="2"/>
  <c r="B76" i="2"/>
  <c r="B68" i="2"/>
  <c r="BA15" i="2"/>
  <c r="BA16" i="2"/>
  <c r="AY16" i="2"/>
  <c r="N29" i="1"/>
  <c r="M28" i="1" s="1"/>
  <c r="O11" i="2"/>
  <c r="O16" i="2"/>
  <c r="O12" i="2"/>
  <c r="O13" i="2"/>
  <c r="O14" i="2"/>
  <c r="O10" i="2"/>
  <c r="O9" i="2" l="1"/>
  <c r="U16" i="2"/>
  <c r="U15" i="2"/>
  <c r="M27" i="1"/>
  <c r="O3" i="2"/>
  <c r="Q105" i="2" s="1"/>
  <c r="Q347" i="2" s="1"/>
  <c r="C62" i="3"/>
  <c r="D62" i="3"/>
  <c r="I5" i="1" s="1"/>
  <c r="E62" i="3"/>
  <c r="J5" i="1" s="1"/>
  <c r="F62" i="3"/>
  <c r="K5" i="1" s="1"/>
  <c r="G62" i="3"/>
  <c r="L5" i="1" s="1"/>
  <c r="H62" i="3"/>
  <c r="M5" i="1" s="1"/>
  <c r="I62" i="3"/>
  <c r="N5" i="1" s="1"/>
  <c r="J62" i="3"/>
  <c r="O5" i="1" s="1"/>
  <c r="K62" i="3"/>
  <c r="P5" i="1" s="1"/>
  <c r="B62" i="3"/>
  <c r="G5" i="1" s="1"/>
  <c r="F33" i="3"/>
  <c r="F32" i="3"/>
  <c r="C33" i="3"/>
  <c r="C32" i="3"/>
  <c r="C31" i="3"/>
  <c r="C30" i="3"/>
  <c r="C29" i="3"/>
  <c r="C28" i="3"/>
  <c r="C27" i="3"/>
  <c r="C26" i="3"/>
  <c r="C19" i="3"/>
  <c r="C18" i="3"/>
  <c r="C17" i="3"/>
  <c r="I1" i="1"/>
  <c r="H5" i="1" l="1"/>
  <c r="Q228" i="2"/>
  <c r="Q236" i="2"/>
  <c r="Q244" i="2"/>
  <c r="Q252" i="2"/>
  <c r="Q260" i="2"/>
  <c r="Q268" i="2"/>
  <c r="Q276" i="2"/>
  <c r="Q284" i="2"/>
  <c r="Q292" i="2"/>
  <c r="Q300" i="2"/>
  <c r="Q308" i="2"/>
  <c r="Q316" i="2"/>
  <c r="Q324" i="2"/>
  <c r="Q332" i="2"/>
  <c r="Q340" i="2"/>
  <c r="Q341" i="2"/>
  <c r="Q238" i="2"/>
  <c r="Q254" i="2"/>
  <c r="Q270" i="2"/>
  <c r="Q294" i="2"/>
  <c r="Q318" i="2"/>
  <c r="Q231" i="2"/>
  <c r="Q255" i="2"/>
  <c r="Q263" i="2"/>
  <c r="Q271" i="2"/>
  <c r="Q295" i="2"/>
  <c r="Q319" i="2"/>
  <c r="Q232" i="2"/>
  <c r="Q264" i="2"/>
  <c r="Q280" i="2"/>
  <c r="Q304" i="2"/>
  <c r="Q336" i="2"/>
  <c r="Q233" i="2"/>
  <c r="Q265" i="2"/>
  <c r="Q273" i="2"/>
  <c r="Q297" i="2"/>
  <c r="Q329" i="2"/>
  <c r="Q250" i="2"/>
  <c r="Q266" i="2"/>
  <c r="Q290" i="2"/>
  <c r="Q322" i="2"/>
  <c r="Q229" i="2"/>
  <c r="Q237" i="2"/>
  <c r="Q245" i="2"/>
  <c r="Q253" i="2"/>
  <c r="Q261" i="2"/>
  <c r="Q269" i="2"/>
  <c r="Q277" i="2"/>
  <c r="Q285" i="2"/>
  <c r="Q293" i="2"/>
  <c r="Q301" i="2"/>
  <c r="Q309" i="2"/>
  <c r="Q317" i="2"/>
  <c r="Q325" i="2"/>
  <c r="Q333" i="2"/>
  <c r="Q230" i="2"/>
  <c r="Q262" i="2"/>
  <c r="Q278" i="2"/>
  <c r="Q302" i="2"/>
  <c r="Q310" i="2"/>
  <c r="Q334" i="2"/>
  <c r="Q239" i="2"/>
  <c r="Q287" i="2"/>
  <c r="Q303" i="2"/>
  <c r="Q327" i="2"/>
  <c r="Q343" i="2"/>
  <c r="Q256" i="2"/>
  <c r="Q288" i="2"/>
  <c r="Q328" i="2"/>
  <c r="Q241" i="2"/>
  <c r="Q281" i="2"/>
  <c r="Q313" i="2"/>
  <c r="Q234" i="2"/>
  <c r="Q274" i="2"/>
  <c r="Q306" i="2"/>
  <c r="Q338" i="2"/>
  <c r="Q246" i="2"/>
  <c r="Q240" i="2"/>
  <c r="Q312" i="2"/>
  <c r="Q344" i="2"/>
  <c r="Q257" i="2"/>
  <c r="Q305" i="2"/>
  <c r="Q337" i="2"/>
  <c r="Q258" i="2"/>
  <c r="Q298" i="2"/>
  <c r="Q330" i="2"/>
  <c r="Q235" i="2"/>
  <c r="Q243" i="2"/>
  <c r="Q251" i="2"/>
  <c r="Q259" i="2"/>
  <c r="Q267" i="2"/>
  <c r="Q275" i="2"/>
  <c r="Q283" i="2"/>
  <c r="Q291" i="2"/>
  <c r="Q299" i="2"/>
  <c r="Q307" i="2"/>
  <c r="Q315" i="2"/>
  <c r="Q323" i="2"/>
  <c r="Q331" i="2"/>
  <c r="Q339" i="2"/>
  <c r="Q286" i="2"/>
  <c r="Q326" i="2"/>
  <c r="Q342" i="2"/>
  <c r="Q247" i="2"/>
  <c r="Q279" i="2"/>
  <c r="Q311" i="2"/>
  <c r="Q335" i="2"/>
  <c r="Q248" i="2"/>
  <c r="Q272" i="2"/>
  <c r="Q296" i="2"/>
  <c r="Q320" i="2"/>
  <c r="Q249" i="2"/>
  <c r="Q289" i="2"/>
  <c r="Q321" i="2"/>
  <c r="Q345" i="2"/>
  <c r="Q242" i="2"/>
  <c r="Q282" i="2"/>
  <c r="Q314" i="2"/>
  <c r="Q346" i="2"/>
  <c r="U17" i="2"/>
  <c r="Q119" i="2"/>
  <c r="Q128" i="2"/>
  <c r="Q120" i="2"/>
  <c r="Q112" i="2"/>
  <c r="Q111" i="2"/>
  <c r="Q107" i="2"/>
  <c r="Q126" i="2"/>
  <c r="Q110" i="2"/>
  <c r="Q133" i="2"/>
  <c r="Q125" i="2"/>
  <c r="Q117" i="2"/>
  <c r="Q109" i="2"/>
  <c r="Q118" i="2"/>
  <c r="Q132" i="2"/>
  <c r="Q124" i="2"/>
  <c r="Q116" i="2"/>
  <c r="Q108" i="2"/>
  <c r="Q127" i="2"/>
  <c r="Q131" i="2"/>
  <c r="Q123" i="2"/>
  <c r="Q115" i="2"/>
  <c r="Q130" i="2"/>
  <c r="Q122" i="2"/>
  <c r="Q114" i="2"/>
  <c r="Q129" i="2"/>
  <c r="Q121" i="2"/>
  <c r="K2" i="3"/>
  <c r="J2" i="3"/>
  <c r="I2" i="3"/>
  <c r="H2" i="3"/>
  <c r="G2" i="3"/>
  <c r="F2" i="3"/>
  <c r="E2" i="3"/>
  <c r="D2" i="3"/>
  <c r="C2" i="3"/>
  <c r="B2" i="3"/>
  <c r="AA16" i="2" a="1"/>
  <c r="Q134" i="2" l="1"/>
  <c r="Q142" i="2"/>
  <c r="Q150" i="2"/>
  <c r="Q158" i="2"/>
  <c r="Q166" i="2"/>
  <c r="Q174" i="2"/>
  <c r="Q182" i="2"/>
  <c r="Q190" i="2"/>
  <c r="Q198" i="2"/>
  <c r="Q206" i="2"/>
  <c r="Q214" i="2"/>
  <c r="Q222" i="2"/>
  <c r="Q209" i="2"/>
  <c r="Q212" i="2"/>
  <c r="Q181" i="2"/>
  <c r="Q221" i="2"/>
  <c r="Q135" i="2"/>
  <c r="Q143" i="2"/>
  <c r="Q151" i="2"/>
  <c r="Q159" i="2"/>
  <c r="Q167" i="2"/>
  <c r="Q175" i="2"/>
  <c r="Q183" i="2"/>
  <c r="Q191" i="2"/>
  <c r="Q199" i="2"/>
  <c r="Q207" i="2"/>
  <c r="Q215" i="2"/>
  <c r="Q223" i="2"/>
  <c r="Q219" i="2"/>
  <c r="Q149" i="2"/>
  <c r="Q136" i="2"/>
  <c r="Q144" i="2"/>
  <c r="Q152" i="2"/>
  <c r="Q160" i="2"/>
  <c r="Q168" i="2"/>
  <c r="Q176" i="2"/>
  <c r="Q184" i="2"/>
  <c r="Q192" i="2"/>
  <c r="Q200" i="2"/>
  <c r="Q208" i="2"/>
  <c r="Q216" i="2"/>
  <c r="Q224" i="2"/>
  <c r="Q225" i="2"/>
  <c r="Q213" i="2"/>
  <c r="Q137" i="2"/>
  <c r="Q145" i="2"/>
  <c r="Q153" i="2"/>
  <c r="Q161" i="2"/>
  <c r="Q169" i="2"/>
  <c r="Q177" i="2"/>
  <c r="Q185" i="2"/>
  <c r="Q193" i="2"/>
  <c r="Q201" i="2"/>
  <c r="Q217" i="2"/>
  <c r="Q173" i="2"/>
  <c r="Q138" i="2"/>
  <c r="Q146" i="2"/>
  <c r="Q154" i="2"/>
  <c r="Q162" i="2"/>
  <c r="Q170" i="2"/>
  <c r="Q178" i="2"/>
  <c r="Q186" i="2"/>
  <c r="Q194" i="2"/>
  <c r="Q202" i="2"/>
  <c r="Q210" i="2"/>
  <c r="Q218" i="2"/>
  <c r="Q226" i="2"/>
  <c r="Q203" i="2"/>
  <c r="Q227" i="2"/>
  <c r="Q165" i="2"/>
  <c r="Q139" i="2"/>
  <c r="Q147" i="2"/>
  <c r="Q155" i="2"/>
  <c r="Q163" i="2"/>
  <c r="Q171" i="2"/>
  <c r="Q179" i="2"/>
  <c r="Q187" i="2"/>
  <c r="Q195" i="2"/>
  <c r="Q211" i="2"/>
  <c r="Q204" i="2"/>
  <c r="Q189" i="2"/>
  <c r="Q140" i="2"/>
  <c r="Q148" i="2"/>
  <c r="Q156" i="2"/>
  <c r="Q164" i="2"/>
  <c r="Q172" i="2"/>
  <c r="Q180" i="2"/>
  <c r="Q188" i="2"/>
  <c r="Q196" i="2"/>
  <c r="Q220" i="2"/>
  <c r="Q205" i="2"/>
  <c r="Q141" i="2"/>
  <c r="Q157" i="2"/>
  <c r="Q197" i="2"/>
  <c r="Q113" i="2"/>
  <c r="AA16" i="2"/>
  <c r="Q20" i="2" s="1"/>
  <c r="G12" i="2"/>
  <c r="F8" i="2"/>
  <c r="AA12" i="2" a="1"/>
  <c r="AA14" i="2" a="1"/>
  <c r="AA13" i="2" a="1"/>
  <c r="AA10" i="2" a="1"/>
  <c r="AA11" i="2" a="1"/>
  <c r="AB14" i="2" a="1"/>
  <c r="AB13" i="2" a="1"/>
  <c r="AB12" i="2" a="1"/>
  <c r="AB11" i="2" a="1"/>
  <c r="AB15" i="2" a="1"/>
  <c r="AB10" i="2" a="1"/>
  <c r="F12" i="2" l="1"/>
  <c r="O177" i="2" s="1"/>
  <c r="A24" i="2"/>
  <c r="O151" i="2"/>
  <c r="O154" i="2"/>
  <c r="O138" i="2"/>
  <c r="O161" i="2"/>
  <c r="O150" i="2"/>
  <c r="O152" i="2"/>
  <c r="X79" i="2"/>
  <c r="W94" i="2"/>
  <c r="Z40" i="2"/>
  <c r="Y61" i="2"/>
  <c r="AB15" i="2"/>
  <c r="R19" i="2" s="1"/>
  <c r="AB11" i="2"/>
  <c r="AB10" i="2"/>
  <c r="X92" i="2" s="1"/>
  <c r="AL92" i="2" s="1"/>
  <c r="AB12" i="2"/>
  <c r="Z59" i="2" s="1"/>
  <c r="AN59" i="2" s="1"/>
  <c r="AB14" i="2"/>
  <c r="AP14" i="2" s="1"/>
  <c r="AB13" i="2"/>
  <c r="AA13" i="2"/>
  <c r="AA12" i="2"/>
  <c r="Y59" i="2" s="1"/>
  <c r="AG59" i="2" s="1"/>
  <c r="AA11" i="2"/>
  <c r="AA10" i="2"/>
  <c r="W92" i="2" s="1"/>
  <c r="AE92" i="2" s="1"/>
  <c r="AA14" i="2"/>
  <c r="AI14" i="2" s="1"/>
  <c r="O119" i="2"/>
  <c r="O129" i="2"/>
  <c r="O114" i="2"/>
  <c r="O108" i="2"/>
  <c r="O123" i="2"/>
  <c r="Z107" i="2"/>
  <c r="Z108" i="2" s="1"/>
  <c r="X107" i="2"/>
  <c r="X108" i="2" s="1"/>
  <c r="D3" i="1"/>
  <c r="D2" i="1"/>
  <c r="A12" i="2"/>
  <c r="C6" i="2"/>
  <c r="J64" i="1" a="1"/>
  <c r="J61" i="1" a="1"/>
  <c r="W13" i="2" a="1"/>
  <c r="Y16" i="2" a="1"/>
  <c r="X10" i="2" a="1"/>
  <c r="V11" i="2" a="1"/>
  <c r="Z10" i="2" a="1"/>
  <c r="J62" i="1" a="1"/>
  <c r="Y10" i="2" a="1"/>
  <c r="J60" i="1" a="1"/>
  <c r="W10" i="2" a="1"/>
  <c r="J71" i="1" a="1"/>
  <c r="J57" i="1" a="1"/>
  <c r="Y13" i="2" a="1"/>
  <c r="Z15" i="2" a="1"/>
  <c r="Z14" i="2" a="1"/>
  <c r="Z12" i="2" a="1"/>
  <c r="W11" i="2" a="1"/>
  <c r="J69" i="1" a="1"/>
  <c r="X16" i="2" a="1"/>
  <c r="J54" i="1" a="1"/>
  <c r="Z16" i="2" a="1"/>
  <c r="V16" i="2" a="1"/>
  <c r="J58" i="1" a="1"/>
  <c r="J67" i="1" a="1"/>
  <c r="J56" i="1" a="1"/>
  <c r="Z13" i="2" a="1"/>
  <c r="Y12" i="2" a="1"/>
  <c r="X12" i="2" a="1"/>
  <c r="X15" i="2" a="1"/>
  <c r="AA15" i="2" a="1"/>
  <c r="AB16" i="2" a="1"/>
  <c r="J68" i="1" a="1"/>
  <c r="J72" i="1" a="1"/>
  <c r="Z11" i="2" a="1"/>
  <c r="J53" i="1" a="1"/>
  <c r="J55" i="1" a="1"/>
  <c r="J59" i="1" a="1"/>
  <c r="W16" i="2" a="1"/>
  <c r="Y11" i="2" a="1"/>
  <c r="W15" i="2" a="1"/>
  <c r="X14" i="2" a="1"/>
  <c r="Y15" i="2" a="1"/>
  <c r="V10" i="2" a="1"/>
  <c r="W14" i="2" a="1"/>
  <c r="J65" i="1" a="1"/>
  <c r="J70" i="1" a="1"/>
  <c r="J63" i="1" a="1"/>
  <c r="W12" i="2" a="1"/>
  <c r="X11" i="2" a="1"/>
  <c r="V15" i="2" a="1"/>
  <c r="V12" i="2" a="1"/>
  <c r="J66" i="1" a="1"/>
  <c r="V13" i="2" a="1"/>
  <c r="X13" i="2" a="1"/>
  <c r="V14" i="2" a="1"/>
  <c r="Y14" i="2" a="1"/>
  <c r="O133" i="2" l="1"/>
  <c r="O182" i="2"/>
  <c r="O147" i="2"/>
  <c r="O215" i="2"/>
  <c r="O118" i="2"/>
  <c r="O128" i="2"/>
  <c r="O111" i="2"/>
  <c r="O117" i="2"/>
  <c r="O181" i="2"/>
  <c r="O199" i="2"/>
  <c r="O168" i="2"/>
  <c r="O122" i="2"/>
  <c r="O183" i="2"/>
  <c r="O169" i="2"/>
  <c r="O159" i="2"/>
  <c r="O125" i="2"/>
  <c r="O131" i="2"/>
  <c r="O109" i="2"/>
  <c r="O127" i="2"/>
  <c r="O132" i="2"/>
  <c r="O126" i="2"/>
  <c r="O113" i="2"/>
  <c r="O189" i="2"/>
  <c r="O211" i="2"/>
  <c r="O146" i="2"/>
  <c r="O213" i="2"/>
  <c r="F13" i="2"/>
  <c r="F17" i="2" s="1"/>
  <c r="F18" i="2" s="1"/>
  <c r="O120" i="2"/>
  <c r="O124" i="2"/>
  <c r="O201" i="2"/>
  <c r="O180" i="2"/>
  <c r="O143" i="2"/>
  <c r="O170" i="2"/>
  <c r="O116" i="2"/>
  <c r="O130" i="2"/>
  <c r="O112" i="2"/>
  <c r="O121" i="2"/>
  <c r="O115" i="2"/>
  <c r="O107" i="2"/>
  <c r="O110" i="2"/>
  <c r="O197" i="2"/>
  <c r="O207" i="2"/>
  <c r="O186" i="2"/>
  <c r="O228" i="2"/>
  <c r="O236" i="2"/>
  <c r="O244" i="2"/>
  <c r="O252" i="2"/>
  <c r="O260" i="2"/>
  <c r="O268" i="2"/>
  <c r="O276" i="2"/>
  <c r="O284" i="2"/>
  <c r="O292" i="2"/>
  <c r="O300" i="2"/>
  <c r="O308" i="2"/>
  <c r="O316" i="2"/>
  <c r="O324" i="2"/>
  <c r="O332" i="2"/>
  <c r="O340" i="2"/>
  <c r="O262" i="2"/>
  <c r="O310" i="2"/>
  <c r="O334" i="2"/>
  <c r="O231" i="2"/>
  <c r="O263" i="2"/>
  <c r="O287" i="2"/>
  <c r="O311" i="2"/>
  <c r="O343" i="2"/>
  <c r="O248" i="2"/>
  <c r="O256" i="2"/>
  <c r="O280" i="2"/>
  <c r="O288" i="2"/>
  <c r="O312" i="2"/>
  <c r="O328" i="2"/>
  <c r="O229" i="2"/>
  <c r="O237" i="2"/>
  <c r="O245" i="2"/>
  <c r="O253" i="2"/>
  <c r="O261" i="2"/>
  <c r="O269" i="2"/>
  <c r="O277" i="2"/>
  <c r="O285" i="2"/>
  <c r="O293" i="2"/>
  <c r="O301" i="2"/>
  <c r="O309" i="2"/>
  <c r="O317" i="2"/>
  <c r="O325" i="2"/>
  <c r="O333" i="2"/>
  <c r="O341" i="2"/>
  <c r="O254" i="2"/>
  <c r="O302" i="2"/>
  <c r="O326" i="2"/>
  <c r="O239" i="2"/>
  <c r="O255" i="2"/>
  <c r="O271" i="2"/>
  <c r="O295" i="2"/>
  <c r="O327" i="2"/>
  <c r="O240" i="2"/>
  <c r="O272" i="2"/>
  <c r="O304" i="2"/>
  <c r="O336" i="2"/>
  <c r="O230" i="2"/>
  <c r="O238" i="2"/>
  <c r="O246" i="2"/>
  <c r="O270" i="2"/>
  <c r="O278" i="2"/>
  <c r="O286" i="2"/>
  <c r="O294" i="2"/>
  <c r="O318" i="2"/>
  <c r="O342" i="2"/>
  <c r="O247" i="2"/>
  <c r="O279" i="2"/>
  <c r="O303" i="2"/>
  <c r="O319" i="2"/>
  <c r="O335" i="2"/>
  <c r="O232" i="2"/>
  <c r="O264" i="2"/>
  <c r="O296" i="2"/>
  <c r="O320" i="2"/>
  <c r="O233" i="2"/>
  <c r="O241" i="2"/>
  <c r="O249" i="2"/>
  <c r="O257" i="2"/>
  <c r="O265" i="2"/>
  <c r="O273" i="2"/>
  <c r="O281" i="2"/>
  <c r="O289" i="2"/>
  <c r="O297" i="2"/>
  <c r="O305" i="2"/>
  <c r="O313" i="2"/>
  <c r="O321" i="2"/>
  <c r="O329" i="2"/>
  <c r="O337" i="2"/>
  <c r="O345" i="2"/>
  <c r="O234" i="2"/>
  <c r="O242" i="2"/>
  <c r="O250" i="2"/>
  <c r="O258" i="2"/>
  <c r="O266" i="2"/>
  <c r="O274" i="2"/>
  <c r="O282" i="2"/>
  <c r="O290" i="2"/>
  <c r="O298" i="2"/>
  <c r="O306" i="2"/>
  <c r="O314" i="2"/>
  <c r="O322" i="2"/>
  <c r="O330" i="2"/>
  <c r="O338" i="2"/>
  <c r="O346" i="2"/>
  <c r="O235" i="2"/>
  <c r="O243" i="2"/>
  <c r="O251" i="2"/>
  <c r="O259" i="2"/>
  <c r="O267" i="2"/>
  <c r="O275" i="2"/>
  <c r="O283" i="2"/>
  <c r="O291" i="2"/>
  <c r="O299" i="2"/>
  <c r="O307" i="2"/>
  <c r="O315" i="2"/>
  <c r="O323" i="2"/>
  <c r="O331" i="2"/>
  <c r="O339" i="2"/>
  <c r="O347" i="2"/>
  <c r="O344" i="2"/>
  <c r="J70" i="1"/>
  <c r="J72" i="1"/>
  <c r="J62" i="1"/>
  <c r="J64" i="1"/>
  <c r="J58" i="1"/>
  <c r="J66" i="1"/>
  <c r="J54" i="1"/>
  <c r="J56" i="1"/>
  <c r="J60" i="1"/>
  <c r="J68" i="1"/>
  <c r="J63" i="1"/>
  <c r="J61" i="1"/>
  <c r="J65" i="1"/>
  <c r="J53" i="1"/>
  <c r="J59" i="1"/>
  <c r="J67" i="1"/>
  <c r="J57" i="1"/>
  <c r="J71" i="1"/>
  <c r="J55" i="1"/>
  <c r="J69" i="1"/>
  <c r="Z13" i="2"/>
  <c r="X14" i="2"/>
  <c r="V10" i="2"/>
  <c r="V14" i="2"/>
  <c r="W13" i="2"/>
  <c r="X10" i="2"/>
  <c r="Y12" i="2"/>
  <c r="X12" i="2"/>
  <c r="Z10" i="2"/>
  <c r="W11" i="2"/>
  <c r="X11" i="2"/>
  <c r="Y10" i="2"/>
  <c r="V12" i="2"/>
  <c r="Y14" i="2"/>
  <c r="W12" i="2"/>
  <c r="Y11" i="2"/>
  <c r="Z14" i="2"/>
  <c r="W14" i="2"/>
  <c r="V11" i="2"/>
  <c r="Z11" i="2"/>
  <c r="W10" i="2"/>
  <c r="Z12" i="2"/>
  <c r="V13" i="2"/>
  <c r="Y13" i="2"/>
  <c r="X13" i="2"/>
  <c r="Z16" i="2"/>
  <c r="AO15" i="2" s="1"/>
  <c r="V15" i="2"/>
  <c r="AA15" i="2"/>
  <c r="X16" i="2"/>
  <c r="Y15" i="2"/>
  <c r="V16" i="2"/>
  <c r="W15" i="2"/>
  <c r="W16" i="2"/>
  <c r="Z15" i="2"/>
  <c r="AH15" i="2" s="1"/>
  <c r="AB16" i="2"/>
  <c r="X15" i="2"/>
  <c r="Y16" i="2"/>
  <c r="O166" i="2"/>
  <c r="O178" i="2"/>
  <c r="O203" i="2"/>
  <c r="O204" i="2"/>
  <c r="O196" i="2"/>
  <c r="O218" i="2"/>
  <c r="O225" i="2"/>
  <c r="O141" i="2"/>
  <c r="O164" i="2"/>
  <c r="O200" i="2"/>
  <c r="O216" i="2"/>
  <c r="O210" i="2"/>
  <c r="O222" i="2"/>
  <c r="O163" i="2"/>
  <c r="O185" i="2"/>
  <c r="O202" i="2"/>
  <c r="O209" i="2"/>
  <c r="O176" i="2"/>
  <c r="O153" i="2"/>
  <c r="O191" i="2"/>
  <c r="O136" i="2"/>
  <c r="O223" i="2"/>
  <c r="O140" i="2"/>
  <c r="O148" i="2"/>
  <c r="O167" i="2"/>
  <c r="O149" i="2"/>
  <c r="O173" i="2"/>
  <c r="O194" i="2"/>
  <c r="O144" i="2"/>
  <c r="O205" i="2"/>
  <c r="O142" i="2"/>
  <c r="O220" i="2"/>
  <c r="O135" i="2"/>
  <c r="O227" i="2"/>
  <c r="O192" i="2"/>
  <c r="O193" i="2"/>
  <c r="O139" i="2"/>
  <c r="O208" i="2"/>
  <c r="O198" i="2"/>
  <c r="O206" i="2"/>
  <c r="O214" i="2"/>
  <c r="O158" i="2"/>
  <c r="O145" i="2"/>
  <c r="O217" i="2"/>
  <c r="I66" i="2"/>
  <c r="I69" i="2"/>
  <c r="I76" i="2"/>
  <c r="I72" i="2"/>
  <c r="I71" i="2"/>
  <c r="I54" i="2"/>
  <c r="I73" i="2"/>
  <c r="I80" i="2"/>
  <c r="I68" i="2"/>
  <c r="I64" i="2"/>
  <c r="I78" i="2"/>
  <c r="I58" i="2"/>
  <c r="I75" i="2"/>
  <c r="I67" i="2"/>
  <c r="I79" i="2"/>
  <c r="I62" i="2"/>
  <c r="I61" i="2"/>
  <c r="B50" i="2"/>
  <c r="B31" i="2"/>
  <c r="B39" i="2"/>
  <c r="B45" i="2"/>
  <c r="B32" i="2"/>
  <c r="B40" i="2"/>
  <c r="B37" i="2"/>
  <c r="B25" i="2"/>
  <c r="B51" i="2"/>
  <c r="B33" i="2"/>
  <c r="B41" i="2"/>
  <c r="B44" i="2"/>
  <c r="B38" i="2"/>
  <c r="B34" i="2"/>
  <c r="B42" i="2"/>
  <c r="B30" i="2"/>
  <c r="B27" i="2"/>
  <c r="B35" i="2"/>
  <c r="B43" i="2"/>
  <c r="B28" i="2"/>
  <c r="B36" i="2"/>
  <c r="B29" i="2"/>
  <c r="B46" i="2"/>
  <c r="B47" i="2"/>
  <c r="B49" i="2"/>
  <c r="B26" i="2"/>
  <c r="B48" i="2"/>
  <c r="O184" i="2"/>
  <c r="O212" i="2"/>
  <c r="O134" i="2"/>
  <c r="O137" i="2"/>
  <c r="O187" i="2"/>
  <c r="O165" i="2"/>
  <c r="O160" i="2"/>
  <c r="O221" i="2"/>
  <c r="O162" i="2"/>
  <c r="O179" i="2"/>
  <c r="O219" i="2"/>
  <c r="O174" i="2"/>
  <c r="O195" i="2"/>
  <c r="O190" i="2"/>
  <c r="O188" i="2"/>
  <c r="O155" i="2"/>
  <c r="O224" i="2"/>
  <c r="O171" i="2"/>
  <c r="O226" i="2"/>
  <c r="O156" i="2"/>
  <c r="O157" i="2"/>
  <c r="O175" i="2"/>
  <c r="O172" i="2"/>
  <c r="Y78" i="2"/>
  <c r="X93" i="2"/>
  <c r="Y57" i="2"/>
  <c r="AG57" i="2" s="1"/>
  <c r="X76" i="2"/>
  <c r="AF76" i="2" s="1"/>
  <c r="Y58" i="2"/>
  <c r="AG58" i="2" s="1"/>
  <c r="X77" i="2"/>
  <c r="AF77" i="2" s="1"/>
  <c r="Z58" i="2"/>
  <c r="AN58" i="2" s="1"/>
  <c r="Y77" i="2"/>
  <c r="AM77" i="2" s="1"/>
  <c r="Z57" i="2"/>
  <c r="AN57" i="2" s="1"/>
  <c r="Y76" i="2"/>
  <c r="AA39" i="2"/>
  <c r="Z60" i="2"/>
  <c r="AP12" i="2"/>
  <c r="AA37" i="2"/>
  <c r="AO37" i="2" s="1"/>
  <c r="AP10" i="2"/>
  <c r="AA35" i="2"/>
  <c r="AO35" i="2" s="1"/>
  <c r="AP13" i="2"/>
  <c r="AA38" i="2"/>
  <c r="AO38" i="2" s="1"/>
  <c r="AP11" i="2"/>
  <c r="AA36" i="2"/>
  <c r="AO36" i="2" s="1"/>
  <c r="AI10" i="2"/>
  <c r="Z35" i="2"/>
  <c r="AH35" i="2" s="1"/>
  <c r="AI11" i="2"/>
  <c r="Z36" i="2"/>
  <c r="AH36" i="2" s="1"/>
  <c r="AI12" i="2"/>
  <c r="Z37" i="2"/>
  <c r="AH37" i="2" s="1"/>
  <c r="AI13" i="2"/>
  <c r="Z38" i="2"/>
  <c r="AH38" i="2" s="1"/>
  <c r="P15" i="2" a="1"/>
  <c r="P11" i="2" a="1"/>
  <c r="P14" i="2" a="1"/>
  <c r="P10" i="2" a="1"/>
  <c r="P12" i="2" a="1"/>
  <c r="P13" i="2" a="1"/>
  <c r="P16" i="2" a="1"/>
  <c r="I57" i="2" l="1"/>
  <c r="I55" i="2"/>
  <c r="I59" i="2"/>
  <c r="I65" i="2"/>
  <c r="I77" i="2"/>
  <c r="I74" i="2"/>
  <c r="I60" i="2"/>
  <c r="I70" i="2"/>
  <c r="I56" i="2"/>
  <c r="I63" i="2"/>
  <c r="V18" i="2" a="1"/>
  <c r="X24" i="2" s="1"/>
  <c r="P16" i="2"/>
  <c r="P15" i="2"/>
  <c r="X60" i="2"/>
  <c r="AF60" i="2" s="1"/>
  <c r="AF15" i="2"/>
  <c r="X39" i="2"/>
  <c r="AF39" i="2" s="1"/>
  <c r="Q19" i="2"/>
  <c r="Z39" i="2"/>
  <c r="AH39" i="2" s="1"/>
  <c r="Y60" i="2"/>
  <c r="AG60" i="2" s="1"/>
  <c r="AI15" i="2"/>
  <c r="W93" i="2"/>
  <c r="AE93" i="2" s="1"/>
  <c r="X78" i="2"/>
  <c r="AF78" i="2" s="1"/>
  <c r="AV11" i="2"/>
  <c r="AH11" i="2"/>
  <c r="AO11" i="2"/>
  <c r="AU10" i="2"/>
  <c r="AN10" i="2"/>
  <c r="Y35" i="2"/>
  <c r="AG10" i="2"/>
  <c r="AR14" i="2"/>
  <c r="AK14" i="2"/>
  <c r="AD14" i="2"/>
  <c r="X94" i="2"/>
  <c r="AL93" i="2" s="1"/>
  <c r="R20" i="2"/>
  <c r="Z61" i="2"/>
  <c r="AN60" i="2" s="1"/>
  <c r="Y79" i="2"/>
  <c r="AM78" i="2" s="1"/>
  <c r="AP15" i="2"/>
  <c r="AA40" i="2"/>
  <c r="AO39" i="2" s="1"/>
  <c r="V93" i="2"/>
  <c r="AD93" i="2" s="1"/>
  <c r="V39" i="2"/>
  <c r="AD39" i="2" s="1"/>
  <c r="V60" i="2"/>
  <c r="AD60" i="2" s="1"/>
  <c r="V78" i="2"/>
  <c r="AD78" i="2" s="1"/>
  <c r="AD15" i="2"/>
  <c r="AD11" i="2"/>
  <c r="V77" i="2"/>
  <c r="V58" i="2"/>
  <c r="AR11" i="2"/>
  <c r="V36" i="2"/>
  <c r="AK11" i="2"/>
  <c r="X58" i="2"/>
  <c r="X36" i="2"/>
  <c r="AM11" i="2"/>
  <c r="AF11" i="2"/>
  <c r="AT11" i="2"/>
  <c r="V76" i="2"/>
  <c r="AR10" i="2"/>
  <c r="V92" i="2"/>
  <c r="AD10" i="2"/>
  <c r="V35" i="2"/>
  <c r="V57" i="2"/>
  <c r="AK10" i="2"/>
  <c r="AS14" i="2"/>
  <c r="AE14" i="2"/>
  <c r="AL14" i="2"/>
  <c r="W58" i="2"/>
  <c r="AL11" i="2"/>
  <c r="AE11" i="2"/>
  <c r="AS11" i="2"/>
  <c r="W36" i="2"/>
  <c r="W77" i="2"/>
  <c r="AT14" i="2"/>
  <c r="AF14" i="2"/>
  <c r="AM14" i="2"/>
  <c r="W40" i="2"/>
  <c r="AL39" i="2" s="1"/>
  <c r="AL15" i="2"/>
  <c r="W61" i="2"/>
  <c r="AL60" i="2" s="1"/>
  <c r="W79" i="2"/>
  <c r="AL78" i="2" s="1"/>
  <c r="AF13" i="2"/>
  <c r="AM13" i="2"/>
  <c r="X38" i="2"/>
  <c r="AT13" i="2"/>
  <c r="AV14" i="2"/>
  <c r="AO14" i="2"/>
  <c r="AH14" i="2"/>
  <c r="AV10" i="2"/>
  <c r="AH10" i="2"/>
  <c r="AO10" i="2"/>
  <c r="AV13" i="2"/>
  <c r="AO13" i="2"/>
  <c r="AH13" i="2"/>
  <c r="W60" i="2"/>
  <c r="AE60" i="2" s="1"/>
  <c r="W78" i="2"/>
  <c r="AE78" i="2" s="1"/>
  <c r="W39" i="2"/>
  <c r="AE39" i="2" s="1"/>
  <c r="AE15" i="2"/>
  <c r="AU13" i="2"/>
  <c r="Y38" i="2"/>
  <c r="AN13" i="2"/>
  <c r="AG13" i="2"/>
  <c r="AU11" i="2"/>
  <c r="AG11" i="2"/>
  <c r="Y36" i="2"/>
  <c r="AN11" i="2"/>
  <c r="X59" i="2"/>
  <c r="AT12" i="2"/>
  <c r="AM12" i="2"/>
  <c r="X37" i="2"/>
  <c r="AF12" i="2"/>
  <c r="V94" i="2"/>
  <c r="AK93" i="2" s="1"/>
  <c r="AK15" i="2"/>
  <c r="V61" i="2"/>
  <c r="AK60" i="2" s="1"/>
  <c r="V40" i="2"/>
  <c r="AK39" i="2" s="1"/>
  <c r="V79" i="2"/>
  <c r="AK78" i="2" s="1"/>
  <c r="AR13" i="2"/>
  <c r="AD13" i="2"/>
  <c r="V38" i="2"/>
  <c r="AK13" i="2"/>
  <c r="W59" i="2"/>
  <c r="AS12" i="2"/>
  <c r="AE12" i="2"/>
  <c r="AL12" i="2"/>
  <c r="W37" i="2"/>
  <c r="AU12" i="2"/>
  <c r="Y37" i="2"/>
  <c r="AN12" i="2"/>
  <c r="AG12" i="2"/>
  <c r="AG15" i="2"/>
  <c r="Y39" i="2"/>
  <c r="AG39" i="2" s="1"/>
  <c r="AV12" i="2"/>
  <c r="AO12" i="2"/>
  <c r="AH12" i="2"/>
  <c r="AU14" i="2"/>
  <c r="AN14" i="2"/>
  <c r="AG14" i="2"/>
  <c r="X57" i="2"/>
  <c r="AT10" i="2"/>
  <c r="AM10" i="2"/>
  <c r="X35" i="2"/>
  <c r="AF10" i="2"/>
  <c r="Y40" i="2"/>
  <c r="AN39" i="2" s="1"/>
  <c r="AN15" i="2"/>
  <c r="X61" i="2"/>
  <c r="AM60" i="2" s="1"/>
  <c r="AM15" i="2"/>
  <c r="X40" i="2"/>
  <c r="AM39" i="2" s="1"/>
  <c r="W57" i="2"/>
  <c r="W76" i="2"/>
  <c r="AS10" i="2"/>
  <c r="AL10" i="2"/>
  <c r="AE10" i="2"/>
  <c r="W35" i="2"/>
  <c r="V59" i="2"/>
  <c r="AK12" i="2"/>
  <c r="AD12" i="2"/>
  <c r="AR12" i="2"/>
  <c r="V37" i="2"/>
  <c r="AS13" i="2"/>
  <c r="AL13" i="2"/>
  <c r="W38" i="2"/>
  <c r="AE13" i="2"/>
  <c r="P10" i="2"/>
  <c r="P11" i="2"/>
  <c r="P12" i="2"/>
  <c r="P13" i="2"/>
  <c r="P14" i="2"/>
  <c r="AM76" i="2"/>
  <c r="T10" i="2"/>
  <c r="T11" i="2"/>
  <c r="T12" i="2"/>
  <c r="U71" i="2" s="1"/>
  <c r="AJ71" i="2" s="1"/>
  <c r="T14" i="2"/>
  <c r="T13" i="2"/>
  <c r="T15" i="2"/>
  <c r="Q28" i="2" s="1"/>
  <c r="T16" i="2"/>
  <c r="Q30" i="2" s="1"/>
  <c r="V96" i="2" l="1" a="1"/>
  <c r="X96" i="2" s="1"/>
  <c r="X19" i="2"/>
  <c r="AA24" i="2"/>
  <c r="Z19" i="2"/>
  <c r="AB19" i="2"/>
  <c r="X18" i="2"/>
  <c r="X22" i="2"/>
  <c r="V19" i="2"/>
  <c r="AB22" i="2"/>
  <c r="Y19" i="2"/>
  <c r="Y22" i="2"/>
  <c r="X23" i="2"/>
  <c r="Y23" i="2"/>
  <c r="AB23" i="2"/>
  <c r="Z20" i="2"/>
  <c r="AD18" i="2" a="1"/>
  <c r="AD18" i="2" s="1"/>
  <c r="AB21" i="2"/>
  <c r="Z21" i="2"/>
  <c r="Z22" i="2"/>
  <c r="Z23" i="2"/>
  <c r="Y21" i="2"/>
  <c r="X20" i="2"/>
  <c r="Y18" i="2"/>
  <c r="Y24" i="2"/>
  <c r="AB24" i="2"/>
  <c r="W22" i="2"/>
  <c r="W21" i="2"/>
  <c r="X21" i="2"/>
  <c r="W19" i="2"/>
  <c r="AA20" i="2"/>
  <c r="AA22" i="2"/>
  <c r="V20" i="2"/>
  <c r="V21" i="2"/>
  <c r="Y20" i="2"/>
  <c r="V24" i="2"/>
  <c r="AA18" i="2"/>
  <c r="AA19" i="2"/>
  <c r="W20" i="2"/>
  <c r="V23" i="2"/>
  <c r="V22" i="2"/>
  <c r="AB18" i="2"/>
  <c r="W23" i="2"/>
  <c r="Z18" i="2"/>
  <c r="AB20" i="2"/>
  <c r="AA21" i="2"/>
  <c r="W24" i="2"/>
  <c r="V18" i="2"/>
  <c r="V26" i="2" s="1" a="1"/>
  <c r="AA23" i="2"/>
  <c r="W18" i="2"/>
  <c r="Z24" i="2"/>
  <c r="V63" i="2" a="1"/>
  <c r="Z65" i="2" s="1"/>
  <c r="AK18" i="2" a="1"/>
  <c r="AM21" i="2" s="1"/>
  <c r="AK37" i="2"/>
  <c r="AR37" i="2"/>
  <c r="AD37" i="2"/>
  <c r="AF37" i="2"/>
  <c r="AT37" i="2"/>
  <c r="AM37" i="2"/>
  <c r="AT58" i="2"/>
  <c r="AM58" i="2"/>
  <c r="AF58" i="2"/>
  <c r="AL76" i="2"/>
  <c r="AE76" i="2"/>
  <c r="AS76" i="2"/>
  <c r="AM35" i="2"/>
  <c r="AF35" i="2"/>
  <c r="AT35" i="2"/>
  <c r="AS37" i="2"/>
  <c r="AL37" i="2"/>
  <c r="AE37" i="2"/>
  <c r="AL58" i="2"/>
  <c r="AS58" i="2"/>
  <c r="AE58" i="2"/>
  <c r="AK92" i="2"/>
  <c r="AK96" i="2" s="1" a="1"/>
  <c r="AD92" i="2"/>
  <c r="AD96" i="2" s="1" a="1"/>
  <c r="AT38" i="2"/>
  <c r="AM38" i="2"/>
  <c r="AF38" i="2"/>
  <c r="AR18" i="2" a="1"/>
  <c r="AK36" i="2"/>
  <c r="AD36" i="2"/>
  <c r="AR36" i="2"/>
  <c r="Q22" i="2" a="1"/>
  <c r="AS57" i="2"/>
  <c r="AE57" i="2"/>
  <c r="AL57" i="2"/>
  <c r="V81" i="2" a="1"/>
  <c r="Y82" i="2" s="1"/>
  <c r="AF59" i="2"/>
  <c r="AT59" i="2"/>
  <c r="AM59" i="2"/>
  <c r="AR76" i="2"/>
  <c r="AK76" i="2"/>
  <c r="AD76" i="2"/>
  <c r="V42" i="2" a="1"/>
  <c r="AA42" i="2" s="1"/>
  <c r="AR59" i="2"/>
  <c r="AD59" i="2"/>
  <c r="AK59" i="2"/>
  <c r="AF57" i="2"/>
  <c r="AM57" i="2"/>
  <c r="AT57" i="2"/>
  <c r="AS77" i="2"/>
  <c r="AE77" i="2"/>
  <c r="AL77" i="2"/>
  <c r="AK58" i="2"/>
  <c r="AR58" i="2"/>
  <c r="AD58" i="2"/>
  <c r="AU38" i="2"/>
  <c r="AN38" i="2"/>
  <c r="AG38" i="2"/>
  <c r="AE38" i="2"/>
  <c r="AL38" i="2"/>
  <c r="AS38" i="2"/>
  <c r="AE35" i="2"/>
  <c r="AL35" i="2"/>
  <c r="AS35" i="2"/>
  <c r="AE59" i="2"/>
  <c r="AS59" i="2"/>
  <c r="AL59" i="2"/>
  <c r="AG36" i="2"/>
  <c r="AN36" i="2"/>
  <c r="AU36" i="2"/>
  <c r="AL36" i="2"/>
  <c r="AS36" i="2"/>
  <c r="AE36" i="2"/>
  <c r="AR77" i="2"/>
  <c r="AD77" i="2"/>
  <c r="AK77" i="2"/>
  <c r="V98" i="2"/>
  <c r="AR57" i="2"/>
  <c r="AK57" i="2"/>
  <c r="AD57" i="2"/>
  <c r="AU37" i="2"/>
  <c r="AG37" i="2"/>
  <c r="AN37" i="2"/>
  <c r="AD38" i="2"/>
  <c r="AK38" i="2"/>
  <c r="AR38" i="2"/>
  <c r="AR35" i="2"/>
  <c r="AK35" i="2"/>
  <c r="AD35" i="2"/>
  <c r="AT36" i="2"/>
  <c r="AM36" i="2"/>
  <c r="AF36" i="2"/>
  <c r="AN35" i="2"/>
  <c r="AU35" i="2"/>
  <c r="AG35" i="2"/>
  <c r="U89" i="2"/>
  <c r="AJ88" i="2" s="1"/>
  <c r="U102" i="2"/>
  <c r="AJ101" i="2" s="1"/>
  <c r="U88" i="2"/>
  <c r="U101" i="2"/>
  <c r="U86" i="2"/>
  <c r="AJ86" i="2" s="1"/>
  <c r="U100" i="2"/>
  <c r="AR100" i="2" s="1"/>
  <c r="BQ10" i="2" s="1"/>
  <c r="U70" i="2"/>
  <c r="AJ70" i="2" s="1"/>
  <c r="U87" i="2"/>
  <c r="AJ87" i="2" s="1"/>
  <c r="U54" i="2"/>
  <c r="AJ53" i="2" s="1"/>
  <c r="U73" i="2"/>
  <c r="AJ72" i="2" s="1"/>
  <c r="U53" i="2"/>
  <c r="U72" i="2"/>
  <c r="U49" i="2"/>
  <c r="U69" i="2"/>
  <c r="AJ30" i="2"/>
  <c r="AJ28" i="2"/>
  <c r="U51" i="2"/>
  <c r="AJ51" i="2" s="1"/>
  <c r="AJ29" i="2"/>
  <c r="U52" i="2"/>
  <c r="AJ52" i="2" s="1"/>
  <c r="AJ31" i="2"/>
  <c r="AJ27" i="2"/>
  <c r="U50" i="2"/>
  <c r="AJ26" i="2"/>
  <c r="X98" i="2" l="1"/>
  <c r="V96" i="2"/>
  <c r="W97" i="2"/>
  <c r="W96" i="2"/>
  <c r="AK22" i="2"/>
  <c r="AO22" i="2"/>
  <c r="AL20" i="2"/>
  <c r="AL22" i="2"/>
  <c r="AO20" i="2"/>
  <c r="AN19" i="2"/>
  <c r="AN23" i="2"/>
  <c r="V97" i="2"/>
  <c r="W98" i="2"/>
  <c r="X97" i="2"/>
  <c r="AN22" i="2"/>
  <c r="AL21" i="2"/>
  <c r="AN20" i="2"/>
  <c r="AO21" i="2"/>
  <c r="AM19" i="2"/>
  <c r="AP20" i="2"/>
  <c r="AK20" i="2"/>
  <c r="AM22" i="2"/>
  <c r="AL19" i="2"/>
  <c r="AO18" i="2"/>
  <c r="X66" i="2"/>
  <c r="Y67" i="2"/>
  <c r="AF18" i="2"/>
  <c r="AD20" i="2"/>
  <c r="X67" i="2"/>
  <c r="V67" i="2"/>
  <c r="AF19" i="2"/>
  <c r="AF23" i="2"/>
  <c r="AI19" i="2"/>
  <c r="W63" i="2"/>
  <c r="AI20" i="2"/>
  <c r="AH21" i="2"/>
  <c r="Z66" i="2"/>
  <c r="W67" i="2"/>
  <c r="AH20" i="2"/>
  <c r="X64" i="2"/>
  <c r="X65" i="2"/>
  <c r="AI18" i="2"/>
  <c r="AH18" i="2"/>
  <c r="Y65" i="2"/>
  <c r="AE20" i="2"/>
  <c r="AG23" i="2"/>
  <c r="W64" i="2"/>
  <c r="W66" i="2"/>
  <c r="AH22" i="2"/>
  <c r="AE23" i="2"/>
  <c r="AE19" i="2"/>
  <c r="V66" i="2"/>
  <c r="AF20" i="2"/>
  <c r="Z67" i="2"/>
  <c r="Y63" i="2"/>
  <c r="Y66" i="2"/>
  <c r="AE22" i="2"/>
  <c r="AF21" i="2"/>
  <c r="AD21" i="2"/>
  <c r="Z63" i="2"/>
  <c r="V64" i="2"/>
  <c r="AE18" i="2"/>
  <c r="AH23" i="2"/>
  <c r="AG18" i="2"/>
  <c r="W43" i="2"/>
  <c r="AO19" i="2"/>
  <c r="AN21" i="2"/>
  <c r="AD22" i="2"/>
  <c r="AI22" i="2"/>
  <c r="AE21" i="2"/>
  <c r="Z44" i="2"/>
  <c r="Y44" i="2"/>
  <c r="AG19" i="2"/>
  <c r="AG21" i="2"/>
  <c r="AI21" i="2"/>
  <c r="W84" i="2"/>
  <c r="AG20" i="2"/>
  <c r="AD81" i="2" a="1"/>
  <c r="AD83" i="2" s="1"/>
  <c r="AI23" i="2"/>
  <c r="AP21" i="2"/>
  <c r="AN18" i="2"/>
  <c r="AP19" i="2"/>
  <c r="AF22" i="2"/>
  <c r="AD19" i="2"/>
  <c r="AH19" i="2"/>
  <c r="AD23" i="2"/>
  <c r="W82" i="2"/>
  <c r="AK81" i="2" a="1"/>
  <c r="AK83" i="2" s="1"/>
  <c r="X83" i="2"/>
  <c r="X44" i="2"/>
  <c r="W83" i="2"/>
  <c r="AG22" i="2"/>
  <c r="AA44" i="2"/>
  <c r="AR42" i="2" a="1"/>
  <c r="AU43" i="2" s="1"/>
  <c r="AK63" i="2" a="1"/>
  <c r="AK63" i="2" s="1"/>
  <c r="Z45" i="2"/>
  <c r="X45" i="2"/>
  <c r="AM23" i="2"/>
  <c r="AK19" i="2"/>
  <c r="AK21" i="2"/>
  <c r="AM20" i="2"/>
  <c r="V65" i="2"/>
  <c r="Z64" i="2"/>
  <c r="V63" i="2"/>
  <c r="X81" i="2"/>
  <c r="AA43" i="2"/>
  <c r="AA47" i="2"/>
  <c r="AO23" i="2"/>
  <c r="AP18" i="2"/>
  <c r="AP23" i="2"/>
  <c r="AP22" i="2"/>
  <c r="AL18" i="2"/>
  <c r="Z47" i="2"/>
  <c r="AK23" i="2"/>
  <c r="AL23" i="2"/>
  <c r="AK18" i="2"/>
  <c r="AM18" i="2"/>
  <c r="W65" i="2"/>
  <c r="X63" i="2"/>
  <c r="Y64" i="2"/>
  <c r="V83" i="2"/>
  <c r="AK42" i="2" a="1"/>
  <c r="AM43" i="2" s="1"/>
  <c r="AD63" i="2" a="1"/>
  <c r="AE64" i="2" s="1"/>
  <c r="Y46" i="2"/>
  <c r="X42" i="2"/>
  <c r="W44" i="2"/>
  <c r="Z42" i="2"/>
  <c r="R23" i="2"/>
  <c r="R22" i="2"/>
  <c r="Q23" i="2"/>
  <c r="Q22" i="2"/>
  <c r="AE97" i="2"/>
  <c r="AD96" i="2"/>
  <c r="AE96" i="2"/>
  <c r="AD97" i="2"/>
  <c r="AA46" i="2"/>
  <c r="AK96" i="2"/>
  <c r="AL97" i="2"/>
  <c r="AK97" i="2"/>
  <c r="AL96" i="2"/>
  <c r="Y47" i="2"/>
  <c r="Z46" i="2"/>
  <c r="V46" i="2"/>
  <c r="V45" i="2"/>
  <c r="V44" i="2"/>
  <c r="W47" i="2"/>
  <c r="Y43" i="2"/>
  <c r="Y84" i="2"/>
  <c r="W81" i="2"/>
  <c r="AD42" i="2" a="1"/>
  <c r="AU21" i="2"/>
  <c r="AR19" i="2"/>
  <c r="AV18" i="2"/>
  <c r="AV19" i="2"/>
  <c r="AV20" i="2"/>
  <c r="AT19" i="2"/>
  <c r="AS19" i="2"/>
  <c r="AS20" i="2"/>
  <c r="AT22" i="2"/>
  <c r="AU19" i="2"/>
  <c r="AR22" i="2"/>
  <c r="AS21" i="2"/>
  <c r="AT21" i="2"/>
  <c r="AR18" i="2"/>
  <c r="AT20" i="2"/>
  <c r="AR20" i="2"/>
  <c r="AV22" i="2"/>
  <c r="AS18" i="2"/>
  <c r="AU22" i="2"/>
  <c r="AU18" i="2"/>
  <c r="AU20" i="2"/>
  <c r="AS22" i="2"/>
  <c r="AV21" i="2"/>
  <c r="AR21" i="2"/>
  <c r="AT18" i="2"/>
  <c r="W46" i="2"/>
  <c r="W45" i="2"/>
  <c r="X47" i="2"/>
  <c r="W42" i="2"/>
  <c r="AA45" i="2"/>
  <c r="V82" i="2"/>
  <c r="X84" i="2"/>
  <c r="AR63" i="2" a="1"/>
  <c r="X82" i="2"/>
  <c r="Y83" i="2"/>
  <c r="AR81" i="2" a="1"/>
  <c r="Z43" i="2"/>
  <c r="X46" i="2"/>
  <c r="X43" i="2"/>
  <c r="V47" i="2"/>
  <c r="V42" i="2"/>
  <c r="Y42" i="2"/>
  <c r="Y45" i="2"/>
  <c r="V43" i="2"/>
  <c r="V81" i="2"/>
  <c r="Y81" i="2"/>
  <c r="V84" i="2"/>
  <c r="AJ49" i="2"/>
  <c r="AJ100" i="2"/>
  <c r="AJ69" i="2"/>
  <c r="AJ50" i="2"/>
  <c r="V26" i="2"/>
  <c r="AX10" i="2" s="1"/>
  <c r="V28" i="2"/>
  <c r="AX12" i="2" s="1"/>
  <c r="V29" i="2"/>
  <c r="AX13" i="2" s="1"/>
  <c r="V30" i="2"/>
  <c r="AX14" i="2" s="1"/>
  <c r="V31" i="2"/>
  <c r="AX15" i="2" s="1"/>
  <c r="V32" i="2"/>
  <c r="AX16" i="2" s="1"/>
  <c r="V27" i="2"/>
  <c r="AX11" i="2" s="1"/>
  <c r="V100" i="2" l="1" a="1"/>
  <c r="V100" i="2" s="1"/>
  <c r="BN10" i="2" s="1"/>
  <c r="AS44" i="2"/>
  <c r="V69" i="2" a="1"/>
  <c r="V69" i="2" s="1"/>
  <c r="BF10" i="2" s="1"/>
  <c r="V49" i="2" a="1"/>
  <c r="V52" i="2" s="1"/>
  <c r="BB13" i="2" s="1"/>
  <c r="V86" i="2" a="1"/>
  <c r="V86" i="2" s="1"/>
  <c r="BJ10" i="2" s="1"/>
  <c r="AK26" i="2" a="1"/>
  <c r="AK28" i="2" s="1"/>
  <c r="AZ12" i="2" s="1"/>
  <c r="Q25" i="2" a="1"/>
  <c r="Q25" i="2" s="1"/>
  <c r="AD26" i="2" a="1"/>
  <c r="AD28" i="2" s="1"/>
  <c r="AY12" i="2" s="1"/>
  <c r="AD100" i="2" a="1"/>
  <c r="AD100" i="2" s="1"/>
  <c r="BO10" i="2" s="1"/>
  <c r="AR26" i="2" a="1"/>
  <c r="AR29" i="2" s="1"/>
  <c r="BA13" i="2" s="1"/>
  <c r="AS45" i="2"/>
  <c r="AM82" i="2"/>
  <c r="AL83" i="2"/>
  <c r="AK81" i="2"/>
  <c r="AK43" i="2"/>
  <c r="AL44" i="2"/>
  <c r="AO44" i="2"/>
  <c r="AK45" i="2"/>
  <c r="AE81" i="2"/>
  <c r="AL66" i="2"/>
  <c r="AM65" i="2"/>
  <c r="AT45" i="2"/>
  <c r="AT42" i="2"/>
  <c r="AK64" i="2"/>
  <c r="AN66" i="2"/>
  <c r="AN63" i="2"/>
  <c r="AD81" i="2"/>
  <c r="AF81" i="2"/>
  <c r="AE83" i="2"/>
  <c r="AL65" i="2"/>
  <c r="AL64" i="2"/>
  <c r="AU42" i="2"/>
  <c r="AD82" i="2"/>
  <c r="AL81" i="2"/>
  <c r="AK66" i="2"/>
  <c r="AM63" i="2"/>
  <c r="AR45" i="2"/>
  <c r="AF82" i="2"/>
  <c r="AE82" i="2"/>
  <c r="AL82" i="2"/>
  <c r="AM81" i="2"/>
  <c r="AM64" i="2"/>
  <c r="AT44" i="2"/>
  <c r="AN65" i="2"/>
  <c r="AK82" i="2"/>
  <c r="AN46" i="2"/>
  <c r="AU45" i="2"/>
  <c r="AM66" i="2"/>
  <c r="AM83" i="2"/>
  <c r="AF83" i="2"/>
  <c r="AT43" i="2"/>
  <c r="AR42" i="2"/>
  <c r="AN43" i="2"/>
  <c r="AO46" i="2"/>
  <c r="AE63" i="2"/>
  <c r="AK65" i="2"/>
  <c r="AD66" i="2"/>
  <c r="AN42" i="2"/>
  <c r="AM44" i="2"/>
  <c r="AO45" i="2"/>
  <c r="AF66" i="2"/>
  <c r="AF65" i="2"/>
  <c r="AE66" i="2"/>
  <c r="AD63" i="2"/>
  <c r="AS43" i="2"/>
  <c r="AR44" i="2"/>
  <c r="AO42" i="2"/>
  <c r="AF63" i="2"/>
  <c r="AN64" i="2"/>
  <c r="AD64" i="2"/>
  <c r="AG63" i="2"/>
  <c r="AO43" i="2"/>
  <c r="AR43" i="2"/>
  <c r="AU44" i="2"/>
  <c r="AG64" i="2"/>
  <c r="AD65" i="2"/>
  <c r="AF64" i="2"/>
  <c r="AG65" i="2"/>
  <c r="AK44" i="2"/>
  <c r="AL45" i="2"/>
  <c r="AM46" i="2"/>
  <c r="AK46" i="2"/>
  <c r="AE65" i="2"/>
  <c r="AL42" i="2"/>
  <c r="AM45" i="2"/>
  <c r="AK42" i="2"/>
  <c r="AL63" i="2"/>
  <c r="AN44" i="2"/>
  <c r="AL43" i="2"/>
  <c r="AS42" i="2"/>
  <c r="AG66" i="2"/>
  <c r="AM42" i="2"/>
  <c r="AN45" i="2"/>
  <c r="AL46" i="2"/>
  <c r="AR81" i="2"/>
  <c r="AS82" i="2"/>
  <c r="AR82" i="2"/>
  <c r="AS81" i="2"/>
  <c r="AS63" i="2"/>
  <c r="AR64" i="2"/>
  <c r="AS64" i="2"/>
  <c r="AR65" i="2"/>
  <c r="AT64" i="2"/>
  <c r="AT65" i="2"/>
  <c r="AR63" i="2"/>
  <c r="AT63" i="2"/>
  <c r="AS65" i="2"/>
  <c r="AD42" i="2"/>
  <c r="AE43" i="2"/>
  <c r="AE44" i="2"/>
  <c r="AG43" i="2"/>
  <c r="AD45" i="2"/>
  <c r="AF46" i="2"/>
  <c r="AH45" i="2"/>
  <c r="AE42" i="2"/>
  <c r="AG45" i="2"/>
  <c r="AG42" i="2"/>
  <c r="AE46" i="2"/>
  <c r="AF42" i="2"/>
  <c r="AG44" i="2"/>
  <c r="AH46" i="2"/>
  <c r="AF43" i="2"/>
  <c r="AF44" i="2"/>
  <c r="AE45" i="2"/>
  <c r="AG46" i="2"/>
  <c r="AD44" i="2"/>
  <c r="AF45" i="2"/>
  <c r="AD46" i="2"/>
  <c r="AH44" i="2"/>
  <c r="AH42" i="2"/>
  <c r="AH43" i="2"/>
  <c r="AD43" i="2"/>
  <c r="AK100" i="2" a="1"/>
  <c r="AK101" i="2" s="1"/>
  <c r="BP16" i="2" s="1"/>
  <c r="V101" i="2" l="1"/>
  <c r="BN15" i="2" s="1"/>
  <c r="V102" i="2"/>
  <c r="BN16" i="2" s="1"/>
  <c r="V89" i="2"/>
  <c r="BJ16" i="2" s="1"/>
  <c r="V88" i="2"/>
  <c r="BJ15" i="2" s="1"/>
  <c r="V50" i="2"/>
  <c r="BB11" i="2" s="1"/>
  <c r="V54" i="2"/>
  <c r="BB16" i="2" s="1"/>
  <c r="V51" i="2"/>
  <c r="BB12" i="2" s="1"/>
  <c r="V87" i="2"/>
  <c r="BJ11" i="2" s="1"/>
  <c r="AD29" i="2"/>
  <c r="AY13" i="2" s="1"/>
  <c r="AK27" i="2"/>
  <c r="AZ11" i="2" s="1"/>
  <c r="V71" i="2"/>
  <c r="BF12" i="2" s="1"/>
  <c r="AK26" i="2"/>
  <c r="AZ10" i="2" s="1"/>
  <c r="V73" i="2"/>
  <c r="BF16" i="2" s="1"/>
  <c r="V70" i="2"/>
  <c r="BF11" i="2" s="1"/>
  <c r="V53" i="2"/>
  <c r="BB15" i="2" s="1"/>
  <c r="V72" i="2"/>
  <c r="BF15" i="2" s="1"/>
  <c r="AK31" i="2"/>
  <c r="AZ16" i="2" s="1"/>
  <c r="AK69" i="2" a="1"/>
  <c r="AK69" i="2" s="1"/>
  <c r="BH10" i="2" s="1"/>
  <c r="AK29" i="2"/>
  <c r="AZ13" i="2" s="1"/>
  <c r="AK49" i="2" a="1"/>
  <c r="AK49" i="2" s="1"/>
  <c r="BD10" i="2" s="1"/>
  <c r="AD31" i="2"/>
  <c r="AY15" i="2" s="1"/>
  <c r="AD27" i="2"/>
  <c r="AY11" i="2" s="1"/>
  <c r="Q26" i="2"/>
  <c r="AK86" i="2" a="1"/>
  <c r="AK87" i="2" s="1"/>
  <c r="BL11" i="2" s="1"/>
  <c r="V49" i="2"/>
  <c r="BB10" i="2" s="1"/>
  <c r="AK30" i="2"/>
  <c r="AZ14" i="2" s="1"/>
  <c r="AD101" i="2"/>
  <c r="BO15" i="2" s="1"/>
  <c r="AD30" i="2"/>
  <c r="AY14" i="2" s="1"/>
  <c r="AD26" i="2"/>
  <c r="AY10" i="2" s="1"/>
  <c r="AD86" i="2" a="1"/>
  <c r="AD87" i="2" s="1"/>
  <c r="BK11" i="2" s="1"/>
  <c r="AD49" i="2" a="1"/>
  <c r="AD49" i="2" s="1"/>
  <c r="BC10" i="2" s="1"/>
  <c r="AD69" i="2" a="1"/>
  <c r="AD72" i="2" s="1"/>
  <c r="BG15" i="2" s="1"/>
  <c r="AR26" i="2"/>
  <c r="BA10" i="2" s="1"/>
  <c r="AR27" i="2"/>
  <c r="BA11" i="2" s="1"/>
  <c r="AR30" i="2"/>
  <c r="BA14" i="2" s="1"/>
  <c r="AR28" i="2"/>
  <c r="BA12" i="2" s="1"/>
  <c r="AR49" i="2" a="1"/>
  <c r="AR49" i="2" s="1"/>
  <c r="BE10" i="2" s="1"/>
  <c r="AK100" i="2"/>
  <c r="BP10" i="2" s="1"/>
  <c r="AR69" i="2" a="1"/>
  <c r="AR86" i="2" a="1"/>
  <c r="N15" i="2" l="1"/>
  <c r="O27" i="1" s="1"/>
  <c r="J78" i="1" s="1"/>
  <c r="AK50" i="2"/>
  <c r="BD11" i="2" s="1"/>
  <c r="AK51" i="2"/>
  <c r="BD12" i="2" s="1"/>
  <c r="AK53" i="2"/>
  <c r="BD16" i="2" s="1"/>
  <c r="AK72" i="2"/>
  <c r="BH16" i="2" s="1"/>
  <c r="N16" i="2" s="1"/>
  <c r="O28" i="1" s="1"/>
  <c r="J79" i="1" s="1"/>
  <c r="AK71" i="2"/>
  <c r="BH12" i="2" s="1"/>
  <c r="AK70" i="2"/>
  <c r="BH11" i="2" s="1"/>
  <c r="AK88" i="2"/>
  <c r="BL16" i="2" s="1"/>
  <c r="AD88" i="2"/>
  <c r="BK15" i="2" s="1"/>
  <c r="AK52" i="2"/>
  <c r="BD13" i="2" s="1"/>
  <c r="AK86" i="2"/>
  <c r="BL10" i="2" s="1"/>
  <c r="AD52" i="2"/>
  <c r="BC13" i="2" s="1"/>
  <c r="N14" i="2"/>
  <c r="D26" i="1" s="1"/>
  <c r="J77" i="1" s="1"/>
  <c r="AD69" i="2"/>
  <c r="BG10" i="2" s="1"/>
  <c r="AD51" i="2"/>
  <c r="BC12" i="2" s="1"/>
  <c r="AD71" i="2"/>
  <c r="BG12" i="2" s="1"/>
  <c r="AD86" i="2"/>
  <c r="BK10" i="2" s="1"/>
  <c r="AD70" i="2"/>
  <c r="BG11" i="2" s="1"/>
  <c r="AD53" i="2"/>
  <c r="BC15" i="2" s="1"/>
  <c r="AD50" i="2"/>
  <c r="BC11" i="2" s="1"/>
  <c r="AR50" i="2"/>
  <c r="BE11" i="2" s="1"/>
  <c r="AR51" i="2"/>
  <c r="BE12" i="2" s="1"/>
  <c r="AR52" i="2"/>
  <c r="BE13" i="2" s="1"/>
  <c r="N13" i="2" s="1"/>
  <c r="D25" i="1" s="1"/>
  <c r="J76" i="1" s="1"/>
  <c r="AR86" i="2"/>
  <c r="BM10" i="2" s="1"/>
  <c r="AR87" i="2"/>
  <c r="BM11" i="2" s="1"/>
  <c r="AR71" i="2"/>
  <c r="BI12" i="2" s="1"/>
  <c r="AR69" i="2"/>
  <c r="BI10" i="2" s="1"/>
  <c r="AR70" i="2"/>
  <c r="BI11" i="2" s="1"/>
  <c r="N10" i="2" l="1"/>
  <c r="D22" i="1" s="1"/>
  <c r="J73" i="1" s="1"/>
  <c r="N11" i="2"/>
  <c r="D23" i="1" s="1"/>
  <c r="J74" i="1" s="1"/>
  <c r="N12" i="2"/>
  <c r="D24" i="1" s="1"/>
  <c r="J75" i="1" s="1"/>
  <c r="R330" i="2" a="1"/>
  <c r="R148" i="2" a="1"/>
  <c r="R285" i="2" a="1"/>
  <c r="R304" i="2" a="1"/>
  <c r="B14" i="1" a="1"/>
  <c r="R149" i="2" a="1"/>
  <c r="R282" i="2" a="1"/>
  <c r="B18" i="1" a="1"/>
  <c r="R235" i="2" a="1"/>
  <c r="R243" i="2" a="1"/>
  <c r="R231" i="2" a="1"/>
  <c r="R326" i="2" a="1"/>
  <c r="R207" i="2" a="1"/>
  <c r="R124" i="2" a="1"/>
  <c r="R164" i="2" a="1"/>
  <c r="R108" i="2" a="1"/>
  <c r="R162" i="2" a="1"/>
  <c r="R199" i="2" a="1"/>
  <c r="R320" i="2" a="1"/>
  <c r="R193" i="2" a="1"/>
  <c r="R242" i="2" a="1"/>
  <c r="R327" i="2" a="1"/>
  <c r="R185" i="2" a="1"/>
  <c r="R234" i="2" a="1"/>
  <c r="R318" i="2" a="1"/>
  <c r="R336" i="2" a="1"/>
  <c r="R263" i="2" a="1"/>
  <c r="R175" i="2" a="1"/>
  <c r="R291" i="2" a="1"/>
  <c r="R136" i="2" a="1"/>
  <c r="R123" i="2" a="1"/>
  <c r="R250" i="2" a="1"/>
  <c r="R205" i="2" a="1"/>
  <c r="R194" i="2" a="1"/>
  <c r="R269" i="2" a="1"/>
  <c r="R112" i="2" a="1"/>
  <c r="B53" i="1" a="1"/>
  <c r="R213" i="2" a="1"/>
  <c r="R222" i="2" a="1"/>
  <c r="R203" i="2" a="1"/>
  <c r="R314" i="2" a="1"/>
  <c r="R154" i="2" a="1"/>
  <c r="R165" i="2" a="1"/>
  <c r="R158" i="2" a="1"/>
  <c r="R232" i="2" a="1"/>
  <c r="R109" i="2" a="1"/>
  <c r="R265" i="2" a="1"/>
  <c r="R241" i="2" a="1"/>
  <c r="R195" i="2" a="1"/>
  <c r="R121" i="2" a="1"/>
  <c r="R273" i="2" a="1"/>
  <c r="R272" i="2" a="1"/>
  <c r="R150" i="2" a="1"/>
  <c r="R152" i="2" a="1"/>
  <c r="R279" i="2" a="1"/>
  <c r="R132" i="2" a="1"/>
  <c r="R186" i="2" a="1"/>
  <c r="R214" i="2" a="1"/>
  <c r="R126" i="2" a="1"/>
  <c r="R305" i="2" a="1"/>
  <c r="R202" i="2" a="1"/>
  <c r="R332" i="2" a="1"/>
  <c r="R117" i="2" a="1"/>
  <c r="R311" i="2" a="1"/>
  <c r="R129" i="2" a="1"/>
  <c r="R290" i="2" a="1"/>
  <c r="R310" i="2" a="1"/>
  <c r="S53" i="1" a="1"/>
  <c r="R206" i="2" a="1"/>
  <c r="R300" i="2" a="1"/>
  <c r="R238" i="2" a="1"/>
  <c r="R172" i="2" a="1"/>
  <c r="R287" i="2" a="1"/>
  <c r="R189" i="2" a="1"/>
  <c r="R107" i="2" a="1"/>
  <c r="R122" i="2" a="1"/>
  <c r="R180" i="2" a="1"/>
  <c r="R204" i="2" a="1"/>
  <c r="R171" i="2" a="1"/>
  <c r="R135" i="2" a="1"/>
  <c r="R226" i="2" a="1"/>
  <c r="R212" i="2" a="1"/>
  <c r="R319" i="2" a="1"/>
  <c r="R264" i="2" a="1"/>
  <c r="R190" i="2" a="1"/>
  <c r="R312" i="2" a="1"/>
  <c r="R161" i="2" a="1"/>
  <c r="R210" i="2" a="1"/>
  <c r="R267" i="2" a="1"/>
  <c r="R225" i="2" a="1"/>
  <c r="R196" i="2" a="1"/>
  <c r="R347" i="2" a="1"/>
  <c r="R220" i="2" a="1"/>
  <c r="R173" i="2" a="1"/>
  <c r="R281" i="2" a="1"/>
  <c r="R306" i="2" a="1"/>
  <c r="B10" i="1" a="1"/>
  <c r="R219" i="2" a="1"/>
  <c r="R237" i="2" a="1"/>
  <c r="R153" i="2" a="1"/>
  <c r="R256" i="2" a="1"/>
  <c r="R296" i="2" a="1"/>
  <c r="R268" i="2" a="1"/>
  <c r="R187" i="2" a="1"/>
  <c r="R260" i="2" a="1"/>
  <c r="R337" i="2" a="1"/>
  <c r="R302" i="2" a="1"/>
  <c r="R155" i="2" a="1"/>
  <c r="B11" i="1" a="1"/>
  <c r="R307" i="2" a="1"/>
  <c r="R266" i="2" a="1"/>
  <c r="R280" i="2" a="1"/>
  <c r="R293" i="2" a="1"/>
  <c r="R224" i="2" a="1"/>
  <c r="R315" i="2" a="1"/>
  <c r="R248" i="2" a="1"/>
  <c r="R110" i="2" a="1"/>
  <c r="R146" i="2" a="1"/>
  <c r="R223" i="2" a="1"/>
  <c r="R197" i="2" a="1"/>
  <c r="R299" i="2" a="1"/>
  <c r="R249" i="2" a="1"/>
  <c r="R258" i="2" a="1"/>
  <c r="R283" i="2" a="1"/>
  <c r="R139" i="2" a="1"/>
  <c r="R278" i="2" a="1"/>
  <c r="R255" i="2" a="1"/>
  <c r="R147" i="2" a="1"/>
  <c r="R177" i="2" a="1"/>
  <c r="R244" i="2" a="1"/>
  <c r="R247" i="2" a="1"/>
  <c r="R227" i="2" a="1"/>
  <c r="R257" i="2" a="1"/>
  <c r="R198" i="2" a="1"/>
  <c r="R254" i="2" a="1"/>
  <c r="R176" i="2" a="1"/>
  <c r="R301" i="2" a="1"/>
  <c r="R133" i="2" a="1"/>
  <c r="R341" i="2" a="1"/>
  <c r="R151" i="2" a="1"/>
  <c r="R251" i="2" a="1"/>
  <c r="A19" i="1" a="1"/>
  <c r="R114" i="2" a="1"/>
  <c r="R157" i="2" a="1"/>
  <c r="R259" i="2" a="1"/>
  <c r="R329" i="2" a="1"/>
  <c r="R308" i="2" a="1"/>
  <c r="R294" i="2" a="1"/>
  <c r="R321" i="2" a="1"/>
  <c r="R345" i="2" a="1"/>
  <c r="R181" i="2" a="1"/>
  <c r="R230" i="2" a="1"/>
  <c r="R167" i="2" a="1"/>
  <c r="R246" i="2" a="1"/>
  <c r="R335" i="2" a="1"/>
  <c r="R134" i="2" a="1"/>
  <c r="R253" i="2" a="1"/>
  <c r="R262" i="2" a="1"/>
  <c r="R163" i="2" a="1"/>
  <c r="R166" i="2" a="1"/>
  <c r="R271" i="2" a="1"/>
  <c r="R142" i="2" a="1"/>
  <c r="R317" i="2" a="1"/>
  <c r="R183" i="2" a="1"/>
  <c r="R240" i="2" a="1"/>
  <c r="B16" i="1" a="1"/>
  <c r="R130" i="2" a="1"/>
  <c r="R275" i="2" a="1"/>
  <c r="R233" i="2" a="1"/>
  <c r="R143" i="2" a="1"/>
  <c r="R118" i="2" a="1"/>
  <c r="R192" i="2" a="1"/>
  <c r="R342" i="2" a="1"/>
  <c r="R277" i="2" a="1"/>
  <c r="R276" i="2" a="1"/>
  <c r="R127" i="2" a="1"/>
  <c r="R323" i="2" a="1"/>
  <c r="R115" i="2" a="1"/>
  <c r="R160" i="2" a="1"/>
  <c r="B20" i="1" a="1"/>
  <c r="R245" i="2" a="1"/>
  <c r="R179" i="2" a="1"/>
  <c r="R274" i="2" a="1"/>
  <c r="R174" i="2" a="1"/>
  <c r="R261" i="2" a="1"/>
  <c r="R316" i="2" a="1"/>
  <c r="R303" i="2" a="1"/>
  <c r="R236" i="2" a="1"/>
  <c r="R324" i="2" a="1"/>
  <c r="R284" i="2" a="1"/>
  <c r="R322" i="2" a="1"/>
  <c r="R218" i="2" a="1"/>
  <c r="R297" i="2" a="1"/>
  <c r="R333" i="2" a="1"/>
  <c r="R328" i="2" a="1"/>
  <c r="R128" i="2" a="1"/>
  <c r="R295" i="2" a="1"/>
  <c r="R346" i="2" a="1"/>
  <c r="R325" i="2" a="1"/>
  <c r="R339" i="2" a="1"/>
  <c r="R217" i="2" a="1"/>
  <c r="R131" i="2" a="1"/>
  <c r="R191" i="2" a="1"/>
  <c r="R178" i="2" a="1"/>
  <c r="R159" i="2" a="1"/>
  <c r="R111" i="2" a="1"/>
  <c r="R309" i="2" a="1"/>
  <c r="R182" i="2" a="1"/>
  <c r="R144" i="2" a="1"/>
  <c r="R211" i="2" a="1"/>
  <c r="R125" i="2" a="1"/>
  <c r="R228" i="2" a="1"/>
  <c r="R334" i="2" a="1"/>
  <c r="R221" i="2" a="1"/>
  <c r="R113" i="2" a="1"/>
  <c r="R141" i="2" a="1"/>
  <c r="R288" i="2" a="1"/>
  <c r="R188" i="2" a="1"/>
  <c r="R239" i="2" a="1"/>
  <c r="A15" i="1" a="1"/>
  <c r="R156" i="2" a="1"/>
  <c r="R116" i="2" a="1"/>
  <c r="R292" i="2" a="1"/>
  <c r="R170" i="2" a="1"/>
  <c r="R289" i="2" a="1"/>
  <c r="R137" i="2" a="1"/>
  <c r="R343" i="2" a="1"/>
  <c r="R209" i="2" a="1"/>
  <c r="R252" i="2" a="1"/>
  <c r="R119" i="2" a="1"/>
  <c r="R145" i="2" a="1"/>
  <c r="R184" i="2" a="1"/>
  <c r="R138" i="2" a="1"/>
  <c r="R313" i="2" a="1"/>
  <c r="R340" i="2" a="1"/>
  <c r="R216" i="2" a="1"/>
  <c r="R168" i="2" a="1"/>
  <c r="R208" i="2" a="1"/>
  <c r="R120" i="2" a="1"/>
  <c r="R215" i="2" a="1"/>
  <c r="R286" i="2" a="1"/>
  <c r="R344" i="2" a="1"/>
  <c r="R200" i="2" a="1"/>
  <c r="R270" i="2" a="1"/>
  <c r="R331" i="2" a="1"/>
  <c r="R169" i="2" a="1"/>
  <c r="R140" i="2" a="1"/>
  <c r="R229" i="2" a="1"/>
  <c r="R201" i="2" a="1"/>
  <c r="R338" i="2" a="1"/>
  <c r="R298" i="2" a="1"/>
  <c r="V111" i="2" l="1"/>
  <c r="V127" i="2"/>
  <c r="V291" i="2"/>
  <c r="V239" i="2"/>
  <c r="V278" i="2"/>
  <c r="V341" i="2"/>
  <c r="V298" i="2"/>
  <c r="V181" i="2"/>
  <c r="V293" i="2"/>
  <c r="V194" i="2"/>
  <c r="V237" i="2"/>
  <c r="V301" i="2"/>
  <c r="V261" i="2"/>
  <c r="V264" i="2"/>
  <c r="V115" i="2"/>
  <c r="V145" i="2"/>
  <c r="V149" i="2"/>
  <c r="V147" i="2"/>
  <c r="V236" i="2"/>
  <c r="V254" i="2"/>
  <c r="V302" i="2"/>
  <c r="V313" i="2"/>
  <c r="V198" i="2"/>
  <c r="V246" i="2"/>
  <c r="V256" i="2"/>
  <c r="V320" i="2"/>
  <c r="V120" i="2"/>
  <c r="V223" i="2"/>
  <c r="V251" i="2"/>
  <c r="V205" i="2"/>
  <c r="V134" i="2"/>
  <c r="V272" i="2"/>
  <c r="V271" i="2"/>
  <c r="V172" i="2"/>
  <c r="V289" i="2"/>
  <c r="V285" i="2"/>
  <c r="V248" i="2"/>
  <c r="V245" i="2"/>
  <c r="V226" i="2"/>
  <c r="V318" i="2"/>
  <c r="V277" i="2"/>
  <c r="V288" i="2"/>
  <c r="V163" i="2"/>
  <c r="V186" i="2"/>
  <c r="V304" i="2"/>
  <c r="V240" i="2"/>
  <c r="V211" i="2"/>
  <c r="V183" i="2"/>
  <c r="V255" i="2"/>
  <c r="V200" i="2"/>
  <c r="V136" i="2"/>
  <c r="V228" i="2"/>
  <c r="V109" i="2"/>
  <c r="V229" i="2"/>
  <c r="V206" i="2"/>
  <c r="V311" i="2"/>
  <c r="V324" i="2"/>
  <c r="V141" i="2"/>
  <c r="V335" i="2"/>
  <c r="V230" i="2"/>
  <c r="V227" i="2"/>
  <c r="V126" i="2"/>
  <c r="V215" i="2"/>
  <c r="V262" i="2"/>
  <c r="V121" i="2"/>
  <c r="V135" i="2"/>
  <c r="V274" i="2"/>
  <c r="V131" i="2"/>
  <c r="V202" i="2"/>
  <c r="V334" i="2"/>
  <c r="V139" i="2"/>
  <c r="V273" i="2"/>
  <c r="V292" i="2"/>
  <c r="V235" i="2"/>
  <c r="V328" i="2"/>
  <c r="V166" i="2"/>
  <c r="V197" i="2"/>
  <c r="V283" i="2"/>
  <c r="V140" i="2"/>
  <c r="V148" i="2"/>
  <c r="V312" i="2"/>
  <c r="V287" i="2"/>
  <c r="V201" i="2"/>
  <c r="V117" i="2"/>
  <c r="V209" i="2"/>
  <c r="V269" i="2"/>
  <c r="V187" i="2"/>
  <c r="V162" i="2"/>
  <c r="V112" i="2"/>
  <c r="V300" i="2"/>
  <c r="V343" i="2"/>
  <c r="V132" i="2"/>
  <c r="V133" i="2"/>
  <c r="V159" i="2"/>
  <c r="V173" i="2"/>
  <c r="V332" i="2"/>
  <c r="V330" i="2"/>
  <c r="V282" i="2"/>
  <c r="V297" i="2"/>
  <c r="V286" i="2"/>
  <c r="V158" i="2"/>
  <c r="V250" i="2"/>
  <c r="V188" i="2"/>
  <c r="V303" i="2"/>
  <c r="V154" i="2"/>
  <c r="V333" i="2"/>
  <c r="V252" i="2"/>
  <c r="V216" i="2"/>
  <c r="V326" i="2"/>
  <c r="V249" i="2"/>
  <c r="V164" i="2"/>
  <c r="V233" i="2"/>
  <c r="V214" i="2"/>
  <c r="V169" i="2"/>
  <c r="V331" i="2"/>
  <c r="V234" i="2"/>
  <c r="V144" i="2"/>
  <c r="V284" i="2"/>
  <c r="V174" i="2"/>
  <c r="V323" i="2"/>
  <c r="V108" i="2"/>
  <c r="V182" i="2"/>
  <c r="V123" i="2"/>
  <c r="V218" i="2"/>
  <c r="V276" i="2"/>
  <c r="V322" i="2"/>
  <c r="V217" i="2"/>
  <c r="V143" i="2"/>
  <c r="V124" i="2"/>
  <c r="V268" i="2"/>
  <c r="V129" i="2"/>
  <c r="V212" i="2"/>
  <c r="V155" i="2"/>
  <c r="V345" i="2"/>
  <c r="V309" i="2"/>
  <c r="V165" i="2"/>
  <c r="V296" i="2"/>
  <c r="V347" i="2"/>
  <c r="V299" i="2"/>
  <c r="V244" i="2"/>
  <c r="V192" i="2"/>
  <c r="V190" i="2"/>
  <c r="V275" i="2"/>
  <c r="V260" i="2"/>
  <c r="V114" i="2"/>
  <c r="V210" i="2"/>
  <c r="V113" i="2"/>
  <c r="V118" i="2"/>
  <c r="V167" i="2"/>
  <c r="V116" i="2"/>
  <c r="V119" i="2"/>
  <c r="V310" i="2"/>
  <c r="V315" i="2"/>
  <c r="V327" i="2"/>
  <c r="V176" i="2"/>
  <c r="V156" i="2"/>
  <c r="V258" i="2"/>
  <c r="V225" i="2"/>
  <c r="V125" i="2"/>
  <c r="V170" i="2"/>
  <c r="V242" i="2"/>
  <c r="V208" i="2"/>
  <c r="V168" i="2"/>
  <c r="V306" i="2"/>
  <c r="V279" i="2"/>
  <c r="V243" i="2"/>
  <c r="V193" i="2"/>
  <c r="V204" i="2"/>
  <c r="V221" i="2"/>
  <c r="V317" i="2"/>
  <c r="V180" i="2"/>
  <c r="V346" i="2"/>
  <c r="V130" i="2"/>
  <c r="V241" i="2"/>
  <c r="V342" i="2"/>
  <c r="V344" i="2"/>
  <c r="V314" i="2"/>
  <c r="V231" i="2"/>
  <c r="V232" i="2"/>
  <c r="V146" i="2"/>
  <c r="V222" i="2"/>
  <c r="V152" i="2"/>
  <c r="V219" i="2"/>
  <c r="V259" i="2"/>
  <c r="V128" i="2"/>
  <c r="V270" i="2"/>
  <c r="V325" i="2"/>
  <c r="V150" i="2"/>
  <c r="V224" i="2"/>
  <c r="V178" i="2"/>
  <c r="V294" i="2"/>
  <c r="V266" i="2"/>
  <c r="V153" i="2"/>
  <c r="V290" i="2"/>
  <c r="V337" i="2"/>
  <c r="V220" i="2"/>
  <c r="V281" i="2"/>
  <c r="V185" i="2"/>
  <c r="V336" i="2"/>
  <c r="V280" i="2"/>
  <c r="V157" i="2"/>
  <c r="V340" i="2"/>
  <c r="V195" i="2"/>
  <c r="V321" i="2"/>
  <c r="V213" i="2"/>
  <c r="V191" i="2"/>
  <c r="V207" i="2"/>
  <c r="V196" i="2"/>
  <c r="V316" i="2"/>
  <c r="V199" i="2"/>
  <c r="V338" i="2"/>
  <c r="V137" i="2"/>
  <c r="V263" i="2"/>
  <c r="V339" i="2"/>
  <c r="V319" i="2"/>
  <c r="V122" i="2"/>
  <c r="V189" i="2"/>
  <c r="V161" i="2"/>
  <c r="V267" i="2"/>
  <c r="V184" i="2"/>
  <c r="V257" i="2"/>
  <c r="V110" i="2"/>
  <c r="V138" i="2"/>
  <c r="V151" i="2"/>
  <c r="V203" i="2"/>
  <c r="V265" i="2"/>
  <c r="V175" i="2"/>
  <c r="V329" i="2"/>
  <c r="V295" i="2"/>
  <c r="V179" i="2"/>
  <c r="V177" i="2"/>
  <c r="V253" i="2"/>
  <c r="V160" i="2"/>
  <c r="V308" i="2"/>
  <c r="V171" i="2"/>
  <c r="V305" i="2"/>
  <c r="V247" i="2"/>
  <c r="V238" i="2"/>
  <c r="V142" i="2"/>
  <c r="V307" i="2"/>
  <c r="V107" i="2"/>
  <c r="R335" i="2"/>
  <c r="P335" i="2" s="1"/>
  <c r="R343" i="2"/>
  <c r="P343" i="2" s="1"/>
  <c r="R291" i="2"/>
  <c r="P291" i="2" s="1"/>
  <c r="R346" i="2"/>
  <c r="R314" i="2"/>
  <c r="P314" i="2" s="1"/>
  <c r="R282" i="2"/>
  <c r="P282" i="2" s="1"/>
  <c r="R250" i="2"/>
  <c r="P250" i="2" s="1"/>
  <c r="R263" i="2"/>
  <c r="R329" i="2"/>
  <c r="R297" i="2"/>
  <c r="P297" i="2" s="1"/>
  <c r="R265" i="2"/>
  <c r="P265" i="2" s="1"/>
  <c r="R233" i="2"/>
  <c r="R320" i="2"/>
  <c r="P320" i="2" s="1"/>
  <c r="R288" i="2"/>
  <c r="P288" i="2" s="1"/>
  <c r="R256" i="2"/>
  <c r="P256" i="2" s="1"/>
  <c r="R135" i="2"/>
  <c r="R125" i="2"/>
  <c r="B20" i="1"/>
  <c r="R119" i="2"/>
  <c r="R197" i="2"/>
  <c r="P197" i="2" s="1"/>
  <c r="R200" i="2"/>
  <c r="P200" i="2" s="1"/>
  <c r="R185" i="2"/>
  <c r="P185" i="2" s="1"/>
  <c r="R199" i="2"/>
  <c r="P199" i="2" s="1"/>
  <c r="R118" i="2"/>
  <c r="R163" i="2"/>
  <c r="P163" i="2" s="1"/>
  <c r="R156" i="2"/>
  <c r="R221" i="2"/>
  <c r="P221" i="2" s="1"/>
  <c r="R117" i="2"/>
  <c r="R141" i="2"/>
  <c r="P141" i="2" s="1"/>
  <c r="R188" i="2"/>
  <c r="P188" i="2" s="1"/>
  <c r="R183" i="2"/>
  <c r="P183" i="2" s="1"/>
  <c r="R184" i="2"/>
  <c r="R169" i="2"/>
  <c r="P169" i="2" s="1"/>
  <c r="R139" i="2"/>
  <c r="R216" i="2"/>
  <c r="P216" i="2" s="1"/>
  <c r="R146" i="2"/>
  <c r="R122" i="2"/>
  <c r="R159" i="2"/>
  <c r="P159" i="2" s="1"/>
  <c r="R295" i="2"/>
  <c r="P295" i="2" s="1"/>
  <c r="R259" i="2"/>
  <c r="R334" i="2"/>
  <c r="R270" i="2"/>
  <c r="R235" i="2"/>
  <c r="P235" i="2" s="1"/>
  <c r="R317" i="2"/>
  <c r="P317" i="2" s="1"/>
  <c r="R253" i="2"/>
  <c r="R340" i="2"/>
  <c r="P340" i="2" s="1"/>
  <c r="R276" i="2"/>
  <c r="P276" i="2" s="1"/>
  <c r="R244" i="2"/>
  <c r="R214" i="2"/>
  <c r="P214" i="2" s="1"/>
  <c r="R192" i="2"/>
  <c r="R202" i="2"/>
  <c r="R203" i="2"/>
  <c r="P203" i="2" s="1"/>
  <c r="A19" i="1"/>
  <c r="Z110" i="2" s="1"/>
  <c r="Z111" i="2" s="1"/>
  <c r="R162" i="2"/>
  <c r="R153" i="2"/>
  <c r="P153" i="2" s="1"/>
  <c r="R170" i="2"/>
  <c r="R251" i="2"/>
  <c r="R330" i="2"/>
  <c r="P330" i="2" s="1"/>
  <c r="R298" i="2"/>
  <c r="R345" i="2"/>
  <c r="R281" i="2"/>
  <c r="R304" i="2"/>
  <c r="P304" i="2" s="1"/>
  <c r="R166" i="2"/>
  <c r="P166" i="2" s="1"/>
  <c r="B53" i="1"/>
  <c r="R112" i="2"/>
  <c r="P112" i="2" s="1"/>
  <c r="R182" i="2"/>
  <c r="R215" i="2"/>
  <c r="R144" i="2"/>
  <c r="P144" i="2" s="1"/>
  <c r="R148" i="2"/>
  <c r="R315" i="2"/>
  <c r="P315" i="2" s="1"/>
  <c r="R243" i="2"/>
  <c r="P243" i="2" s="1"/>
  <c r="R326" i="2"/>
  <c r="R262" i="2"/>
  <c r="R341" i="2"/>
  <c r="R245" i="2"/>
  <c r="R283" i="2"/>
  <c r="R318" i="2"/>
  <c r="R254" i="2"/>
  <c r="P254" i="2" s="1"/>
  <c r="R301" i="2"/>
  <c r="P301" i="2" s="1"/>
  <c r="R237" i="2"/>
  <c r="P237" i="2" s="1"/>
  <c r="R260" i="2"/>
  <c r="R226" i="2"/>
  <c r="R129" i="2"/>
  <c r="P129" i="2" s="1"/>
  <c r="R120" i="2"/>
  <c r="P120" i="2" s="1"/>
  <c r="R165" i="2"/>
  <c r="R164" i="2"/>
  <c r="P164" i="2" s="1"/>
  <c r="R147" i="2"/>
  <c r="P147" i="2" s="1"/>
  <c r="R191" i="2"/>
  <c r="R319" i="2"/>
  <c r="R327" i="2"/>
  <c r="R275" i="2"/>
  <c r="R342" i="2"/>
  <c r="R310" i="2"/>
  <c r="R278" i="2"/>
  <c r="P278" i="2" s="1"/>
  <c r="R246" i="2"/>
  <c r="P246" i="2" s="1"/>
  <c r="R255" i="2"/>
  <c r="P255" i="2" s="1"/>
  <c r="R325" i="2"/>
  <c r="P325" i="2" s="1"/>
  <c r="R293" i="2"/>
  <c r="P293" i="2" s="1"/>
  <c r="R261" i="2"/>
  <c r="R229" i="2"/>
  <c r="R316" i="2"/>
  <c r="P316" i="2" s="1"/>
  <c r="R284" i="2"/>
  <c r="P284" i="2" s="1"/>
  <c r="R252" i="2"/>
  <c r="P252" i="2" s="1"/>
  <c r="R128" i="2"/>
  <c r="P128" i="2" s="1"/>
  <c r="R208" i="2"/>
  <c r="P208" i="2" s="1"/>
  <c r="R194" i="2"/>
  <c r="B18" i="1"/>
  <c r="R225" i="2"/>
  <c r="R134" i="2"/>
  <c r="R123" i="2"/>
  <c r="P123" i="2" s="1"/>
  <c r="R168" i="2"/>
  <c r="P168" i="2" s="1"/>
  <c r="R189" i="2"/>
  <c r="P189" i="2" s="1"/>
  <c r="R124" i="2"/>
  <c r="P124" i="2" s="1"/>
  <c r="R108" i="2"/>
  <c r="P108" i="2" s="1"/>
  <c r="R180" i="2"/>
  <c r="P180" i="2" s="1"/>
  <c r="R347" i="2"/>
  <c r="P347" i="2" s="1"/>
  <c r="R302" i="2"/>
  <c r="R238" i="2"/>
  <c r="P238" i="2" s="1"/>
  <c r="R285" i="2"/>
  <c r="P285" i="2" s="1"/>
  <c r="R308" i="2"/>
  <c r="R178" i="2"/>
  <c r="R211" i="2"/>
  <c r="R130" i="2"/>
  <c r="R107" i="2"/>
  <c r="P107" i="2" s="1"/>
  <c r="R152" i="2"/>
  <c r="P152" i="2" s="1"/>
  <c r="R287" i="2"/>
  <c r="P287" i="2" s="1"/>
  <c r="R234" i="2"/>
  <c r="P234" i="2" s="1"/>
  <c r="R249" i="2"/>
  <c r="R240" i="2"/>
  <c r="R218" i="2"/>
  <c r="R172" i="2"/>
  <c r="P172" i="2" s="1"/>
  <c r="B16" i="1"/>
  <c r="R339" i="2"/>
  <c r="P339" i="2" s="1"/>
  <c r="R309" i="2"/>
  <c r="P309" i="2" s="1"/>
  <c r="R300" i="2"/>
  <c r="P300" i="2" s="1"/>
  <c r="R126" i="2"/>
  <c r="R131" i="2"/>
  <c r="R174" i="2"/>
  <c r="R138" i="2"/>
  <c r="R142" i="2"/>
  <c r="R273" i="2"/>
  <c r="R232" i="2"/>
  <c r="P232" i="2" s="1"/>
  <c r="B14" i="1"/>
  <c r="R195" i="2"/>
  <c r="P195" i="2" s="1"/>
  <c r="R227" i="2"/>
  <c r="R190" i="2"/>
  <c r="R157" i="2"/>
  <c r="P157" i="2" s="1"/>
  <c r="R307" i="2"/>
  <c r="R271" i="2"/>
  <c r="P271" i="2" s="1"/>
  <c r="R324" i="2"/>
  <c r="P324" i="2" s="1"/>
  <c r="R161" i="2"/>
  <c r="P161" i="2" s="1"/>
  <c r="R154" i="2"/>
  <c r="P154" i="2" s="1"/>
  <c r="R181" i="2"/>
  <c r="R303" i="2"/>
  <c r="R311" i="2"/>
  <c r="R267" i="2"/>
  <c r="P267" i="2" s="1"/>
  <c r="R338" i="2"/>
  <c r="P338" i="2" s="1"/>
  <c r="R306" i="2"/>
  <c r="P306" i="2" s="1"/>
  <c r="R274" i="2"/>
  <c r="P274" i="2" s="1"/>
  <c r="R242" i="2"/>
  <c r="P242" i="2" s="1"/>
  <c r="R247" i="2"/>
  <c r="R321" i="2"/>
  <c r="R289" i="2"/>
  <c r="P289" i="2" s="1"/>
  <c r="R257" i="2"/>
  <c r="P257" i="2" s="1"/>
  <c r="R344" i="2"/>
  <c r="R312" i="2"/>
  <c r="P312" i="2" s="1"/>
  <c r="R280" i="2"/>
  <c r="P280" i="2" s="1"/>
  <c r="R248" i="2"/>
  <c r="R217" i="2"/>
  <c r="R116" i="2"/>
  <c r="R110" i="2"/>
  <c r="R220" i="2"/>
  <c r="R210" i="2"/>
  <c r="P210" i="2" s="1"/>
  <c r="R143" i="2"/>
  <c r="R193" i="2"/>
  <c r="R173" i="2"/>
  <c r="R209" i="2"/>
  <c r="R133" i="2"/>
  <c r="R223" i="2"/>
  <c r="P223" i="2" s="1"/>
  <c r="R207" i="2"/>
  <c r="R222" i="2"/>
  <c r="R212" i="2"/>
  <c r="P212" i="2" s="1"/>
  <c r="R204" i="2"/>
  <c r="P204" i="2" s="1"/>
  <c r="R127" i="2"/>
  <c r="B10" i="1"/>
  <c r="Y108" i="2" s="1"/>
  <c r="R114" i="2"/>
  <c r="P114" i="2" s="1"/>
  <c r="R206" i="2"/>
  <c r="R331" i="2"/>
  <c r="P331" i="2" s="1"/>
  <c r="R266" i="2"/>
  <c r="R313" i="2"/>
  <c r="P313" i="2" s="1"/>
  <c r="R336" i="2"/>
  <c r="R272" i="2"/>
  <c r="R150" i="2"/>
  <c r="R140" i="2"/>
  <c r="R158" i="2"/>
  <c r="R109" i="2"/>
  <c r="P109" i="2" s="1"/>
  <c r="R132" i="2"/>
  <c r="P132" i="2" s="1"/>
  <c r="R113" i="2"/>
  <c r="P113" i="2" s="1"/>
  <c r="R294" i="2"/>
  <c r="R230" i="2"/>
  <c r="R277" i="2"/>
  <c r="P277" i="2" s="1"/>
  <c r="R332" i="2"/>
  <c r="R268" i="2"/>
  <c r="P268" i="2" s="1"/>
  <c r="R236" i="2"/>
  <c r="P236" i="2" s="1"/>
  <c r="R121" i="2"/>
  <c r="P121" i="2" s="1"/>
  <c r="R213" i="2"/>
  <c r="P213" i="2" s="1"/>
  <c r="R224" i="2"/>
  <c r="P224" i="2" s="1"/>
  <c r="R136" i="2"/>
  <c r="P136" i="2" s="1"/>
  <c r="R201" i="2"/>
  <c r="P201" i="2" s="1"/>
  <c r="R151" i="2"/>
  <c r="B11" i="1"/>
  <c r="AA108" i="2" s="1"/>
  <c r="R175" i="2"/>
  <c r="P175" i="2" s="1"/>
  <c r="R167" i="2"/>
  <c r="R176" i="2"/>
  <c r="P176" i="2" s="1"/>
  <c r="R219" i="2"/>
  <c r="R299" i="2"/>
  <c r="P299" i="2" s="1"/>
  <c r="R323" i="2"/>
  <c r="R239" i="2"/>
  <c r="R322" i="2"/>
  <c r="R290" i="2"/>
  <c r="P290" i="2" s="1"/>
  <c r="R258" i="2"/>
  <c r="R279" i="2"/>
  <c r="P279" i="2" s="1"/>
  <c r="R337" i="2"/>
  <c r="P337" i="2" s="1"/>
  <c r="R305" i="2"/>
  <c r="R241" i="2"/>
  <c r="R328" i="2"/>
  <c r="P328" i="2" s="1"/>
  <c r="R296" i="2"/>
  <c r="P296" i="2" s="1"/>
  <c r="R264" i="2"/>
  <c r="R111" i="2"/>
  <c r="P111" i="2" s="1"/>
  <c r="R198" i="2"/>
  <c r="P198" i="2" s="1"/>
  <c r="R160" i="2"/>
  <c r="P160" i="2" s="1"/>
  <c r="R186" i="2"/>
  <c r="R177" i="2"/>
  <c r="R115" i="2"/>
  <c r="R196" i="2"/>
  <c r="R187" i="2"/>
  <c r="A15" i="1"/>
  <c r="R149" i="2"/>
  <c r="P149" i="2" s="1"/>
  <c r="R171" i="2"/>
  <c r="P171" i="2" s="1"/>
  <c r="R231" i="2"/>
  <c r="R286" i="2"/>
  <c r="R333" i="2"/>
  <c r="R269" i="2"/>
  <c r="R292" i="2"/>
  <c r="P292" i="2" s="1"/>
  <c r="R228" i="2"/>
  <c r="P228" i="2" s="1"/>
  <c r="R155" i="2"/>
  <c r="P155" i="2" s="1"/>
  <c r="R137" i="2"/>
  <c r="P137" i="2" s="1"/>
  <c r="R205" i="2"/>
  <c r="R145" i="2"/>
  <c r="R179" i="2"/>
  <c r="S53" i="1"/>
  <c r="B15" i="1" a="1"/>
  <c r="D27" i="2" a="1"/>
  <c r="D58" i="2" a="1"/>
  <c r="D34" i="2" a="1"/>
  <c r="D72" i="2" a="1"/>
  <c r="D40" i="2" a="1"/>
  <c r="D73" i="2" a="1"/>
  <c r="D30" i="2" a="1"/>
  <c r="D63" i="2" a="1"/>
  <c r="D35" i="2" a="1"/>
  <c r="D65" i="2" a="1"/>
  <c r="D46" i="2" a="1"/>
  <c r="D50" i="2" a="1"/>
  <c r="D66" i="2" a="1"/>
  <c r="D41" i="2" a="1"/>
  <c r="D79" i="2" a="1"/>
  <c r="D38" i="2" a="1"/>
  <c r="D77" i="2" a="1"/>
  <c r="D67" i="2" a="1"/>
  <c r="B19" i="1" a="1"/>
  <c r="D47" i="2" a="1"/>
  <c r="D25" i="2" a="1"/>
  <c r="D45" i="2" a="1"/>
  <c r="D69" i="2" a="1"/>
  <c r="D31" i="2" a="1"/>
  <c r="D37" i="2" a="1"/>
  <c r="D62" i="2" a="1"/>
  <c r="D29" i="2" a="1"/>
  <c r="D56" i="2" a="1"/>
  <c r="D68" i="2" a="1"/>
  <c r="D32" i="2" a="1"/>
  <c r="D57" i="2" a="1"/>
  <c r="D42" i="2" a="1"/>
  <c r="D59" i="2" a="1"/>
  <c r="D51" i="2" a="1"/>
  <c r="D49" i="2" a="1"/>
  <c r="D36" i="2" a="1"/>
  <c r="D48" i="2" a="1"/>
  <c r="D28" i="2" a="1"/>
  <c r="D80" i="2" a="1"/>
  <c r="D71" i="2" a="1"/>
  <c r="D70" i="2" a="1"/>
  <c r="D54" i="2" a="1"/>
  <c r="D55" i="2" a="1"/>
  <c r="D74" i="2" a="1"/>
  <c r="D44" i="2" a="1"/>
  <c r="D75" i="2" a="1"/>
  <c r="D76" i="2" a="1"/>
  <c r="D26" i="2" a="1"/>
  <c r="D33" i="2" a="1"/>
  <c r="D61" i="2" a="1"/>
  <c r="D64" i="2" a="1"/>
  <c r="D78" i="2" a="1"/>
  <c r="D60" i="2" a="1"/>
  <c r="D39" i="2" a="1"/>
  <c r="D43" i="2" a="1"/>
  <c r="P110" i="2" l="1"/>
  <c r="P245" i="2"/>
  <c r="P322" i="2"/>
  <c r="P269" i="2"/>
  <c r="P258" i="2"/>
  <c r="P167" i="2"/>
  <c r="P222" i="2"/>
  <c r="P302" i="2"/>
  <c r="P281" i="2"/>
  <c r="P158" i="2"/>
  <c r="P130" i="2"/>
  <c r="P261" i="2"/>
  <c r="P202" i="2"/>
  <c r="P333" i="2"/>
  <c r="P133" i="2"/>
  <c r="P194" i="2"/>
  <c r="P327" i="2"/>
  <c r="P182" i="2"/>
  <c r="P192" i="2"/>
  <c r="P270" i="2"/>
  <c r="P209" i="2"/>
  <c r="P247" i="2"/>
  <c r="P227" i="2"/>
  <c r="P251" i="2"/>
  <c r="P231" i="2"/>
  <c r="P127" i="2"/>
  <c r="P248" i="2"/>
  <c r="P308" i="2"/>
  <c r="P326" i="2"/>
  <c r="P135" i="2"/>
  <c r="P263" i="2"/>
  <c r="P264" i="2"/>
  <c r="P220" i="2"/>
  <c r="P225" i="2"/>
  <c r="P229" i="2"/>
  <c r="P283" i="2"/>
  <c r="P345" i="2"/>
  <c r="P146" i="2"/>
  <c r="P117" i="2"/>
  <c r="P346" i="2"/>
  <c r="P179" i="2"/>
  <c r="P239" i="2"/>
  <c r="P116" i="2"/>
  <c r="P321" i="2"/>
  <c r="P190" i="2"/>
  <c r="P218" i="2"/>
  <c r="P341" i="2"/>
  <c r="P156" i="2"/>
  <c r="P286" i="2"/>
  <c r="P150" i="2"/>
  <c r="P131" i="2"/>
  <c r="P240" i="2"/>
  <c r="P178" i="2"/>
  <c r="P334" i="2"/>
  <c r="P329" i="2"/>
  <c r="P241" i="2"/>
  <c r="P205" i="2"/>
  <c r="P186" i="2"/>
  <c r="P305" i="2"/>
  <c r="P230" i="2"/>
  <c r="P126" i="2"/>
  <c r="P249" i="2"/>
  <c r="P191" i="2"/>
  <c r="P244" i="2"/>
  <c r="P184" i="2"/>
  <c r="P118" i="2"/>
  <c r="P219" i="2"/>
  <c r="P294" i="2"/>
  <c r="P336" i="2"/>
  <c r="P193" i="2"/>
  <c r="P134" i="2"/>
  <c r="P187" i="2"/>
  <c r="P207" i="2"/>
  <c r="P142" i="2"/>
  <c r="P342" i="2"/>
  <c r="P206" i="2"/>
  <c r="P138" i="2"/>
  <c r="P275" i="2"/>
  <c r="P215" i="2"/>
  <c r="P298" i="2"/>
  <c r="P119" i="2"/>
  <c r="P115" i="2"/>
  <c r="P140" i="2"/>
  <c r="P174" i="2"/>
  <c r="P211" i="2"/>
  <c r="P226" i="2"/>
  <c r="P139" i="2"/>
  <c r="P217" i="2"/>
  <c r="P319" i="2"/>
  <c r="P125" i="2"/>
  <c r="P177" i="2"/>
  <c r="P173" i="2"/>
  <c r="P143" i="2"/>
  <c r="P162" i="2"/>
  <c r="P266" i="2"/>
  <c r="P344" i="2"/>
  <c r="P273" i="2"/>
  <c r="P310" i="2"/>
  <c r="P165" i="2"/>
  <c r="P318" i="2"/>
  <c r="P148" i="2"/>
  <c r="P253" i="2"/>
  <c r="P122" i="2"/>
  <c r="P307" i="2"/>
  <c r="P233" i="2"/>
  <c r="P196" i="2"/>
  <c r="P311" i="2"/>
  <c r="P151" i="2"/>
  <c r="P332" i="2"/>
  <c r="P303" i="2"/>
  <c r="P145" i="2"/>
  <c r="P323" i="2"/>
  <c r="P181" i="2"/>
  <c r="P260" i="2"/>
  <c r="P262" i="2"/>
  <c r="P272" i="2"/>
  <c r="P170" i="2"/>
  <c r="P259" i="2"/>
  <c r="H74" i="2"/>
  <c r="H70" i="2"/>
  <c r="H67" i="2"/>
  <c r="H56" i="2"/>
  <c r="H76" i="2"/>
  <c r="H68" i="2"/>
  <c r="H57" i="2"/>
  <c r="H69" i="2"/>
  <c r="H71" i="2"/>
  <c r="H79" i="2"/>
  <c r="H55" i="2"/>
  <c r="H66" i="2"/>
  <c r="H77" i="2"/>
  <c r="H65" i="2"/>
  <c r="H61" i="2"/>
  <c r="H72" i="2"/>
  <c r="H75" i="2"/>
  <c r="H73" i="2"/>
  <c r="H60" i="2"/>
  <c r="H62" i="2"/>
  <c r="H59" i="2"/>
  <c r="H80" i="2"/>
  <c r="H63" i="2"/>
  <c r="H64" i="2"/>
  <c r="H58" i="2"/>
  <c r="H78" i="2"/>
  <c r="H54" i="2"/>
  <c r="H40" i="2"/>
  <c r="H42" i="2"/>
  <c r="H34" i="2"/>
  <c r="H47" i="2"/>
  <c r="H36" i="2"/>
  <c r="H30" i="2"/>
  <c r="H49" i="2"/>
  <c r="H37" i="2"/>
  <c r="H31" i="2"/>
  <c r="H29" i="2"/>
  <c r="H46" i="2"/>
  <c r="H26" i="2"/>
  <c r="H39" i="2"/>
  <c r="H41" i="2"/>
  <c r="H38" i="2"/>
  <c r="H32" i="2"/>
  <c r="H35" i="2"/>
  <c r="H27" i="2"/>
  <c r="H50" i="2"/>
  <c r="H44" i="2"/>
  <c r="H33" i="2"/>
  <c r="H45" i="2"/>
  <c r="H43" i="2"/>
  <c r="H48" i="2"/>
  <c r="H51" i="2"/>
  <c r="H28" i="2"/>
  <c r="H25" i="2"/>
  <c r="AA111" i="2"/>
  <c r="B15" i="1"/>
  <c r="Y111" i="2"/>
  <c r="D56" i="2"/>
  <c r="D61" i="2"/>
  <c r="D66" i="2"/>
  <c r="C66" i="2" s="1"/>
  <c r="D63" i="2"/>
  <c r="D74" i="2"/>
  <c r="V29" i="1"/>
  <c r="W28" i="1"/>
  <c r="V28" i="1"/>
  <c r="D54" i="2"/>
  <c r="W30" i="1"/>
  <c r="V30" i="1"/>
  <c r="W29" i="1"/>
  <c r="D58" i="2"/>
  <c r="D57" i="2"/>
  <c r="C57" i="2" s="1"/>
  <c r="D73" i="2"/>
  <c r="D60" i="2"/>
  <c r="C60" i="2" s="1"/>
  <c r="D79" i="2"/>
  <c r="C79" i="2" s="1"/>
  <c r="D62" i="2"/>
  <c r="D70" i="2"/>
  <c r="D69" i="2"/>
  <c r="D76" i="2"/>
  <c r="D55" i="2"/>
  <c r="D77" i="2"/>
  <c r="D71" i="2"/>
  <c r="C71" i="2" s="1"/>
  <c r="D80" i="2"/>
  <c r="D78" i="2"/>
  <c r="D59" i="2"/>
  <c r="D67" i="2"/>
  <c r="C67" i="2" s="1"/>
  <c r="D75" i="2"/>
  <c r="D65" i="2"/>
  <c r="D72" i="2"/>
  <c r="C72" i="2" s="1"/>
  <c r="D68" i="2"/>
  <c r="D64" i="2"/>
  <c r="D51" i="2"/>
  <c r="D50" i="2"/>
  <c r="D26" i="2"/>
  <c r="D36" i="2"/>
  <c r="D33" i="2"/>
  <c r="D31" i="2"/>
  <c r="D39" i="2"/>
  <c r="D37" i="2"/>
  <c r="D42" i="2"/>
  <c r="D35" i="2"/>
  <c r="C35" i="2" s="1"/>
  <c r="D28" i="2"/>
  <c r="C28" i="2" s="1"/>
  <c r="D40" i="2"/>
  <c r="C40" i="2" s="1"/>
  <c r="D49" i="2"/>
  <c r="D34" i="2"/>
  <c r="D48" i="2"/>
  <c r="C48" i="2" s="1"/>
  <c r="D45" i="2"/>
  <c r="D38" i="2"/>
  <c r="D44" i="2"/>
  <c r="D30" i="2"/>
  <c r="D47" i="2"/>
  <c r="D29" i="2"/>
  <c r="D46" i="2"/>
  <c r="D41" i="2"/>
  <c r="C41" i="2" s="1"/>
  <c r="D43" i="2"/>
  <c r="C43" i="2" s="1"/>
  <c r="D32" i="2"/>
  <c r="C32" i="2" s="1"/>
  <c r="D27" i="2"/>
  <c r="F31" i="1"/>
  <c r="E31" i="1"/>
  <c r="D25" i="2"/>
  <c r="E29" i="1"/>
  <c r="F30" i="1"/>
  <c r="E30" i="1"/>
  <c r="F29" i="1"/>
  <c r="B19" i="1"/>
  <c r="X110" i="2"/>
  <c r="X111" i="2" s="1"/>
  <c r="L31" i="1" a="1"/>
  <c r="C55" i="2" l="1"/>
  <c r="C70" i="2"/>
  <c r="C51" i="2"/>
  <c r="C78" i="2"/>
  <c r="C62" i="2"/>
  <c r="C80" i="2"/>
  <c r="C68" i="2"/>
  <c r="C50" i="2"/>
  <c r="C46" i="2"/>
  <c r="C34" i="2"/>
  <c r="C31" i="2"/>
  <c r="C77" i="2"/>
  <c r="C73" i="2"/>
  <c r="C25" i="2"/>
  <c r="C29" i="2"/>
  <c r="C65" i="2"/>
  <c r="C75" i="2"/>
  <c r="C76" i="2"/>
  <c r="C58" i="2"/>
  <c r="C74" i="2"/>
  <c r="C59" i="2"/>
  <c r="C42" i="2"/>
  <c r="C30" i="2"/>
  <c r="C27" i="2"/>
  <c r="C45" i="2"/>
  <c r="C37" i="2"/>
  <c r="C56" i="2"/>
  <c r="C47" i="2"/>
  <c r="C26" i="2"/>
  <c r="C44" i="2"/>
  <c r="C63" i="2"/>
  <c r="C33" i="2"/>
  <c r="C36" i="2"/>
  <c r="C69" i="2"/>
  <c r="C64" i="2"/>
  <c r="C39" i="2"/>
  <c r="C61" i="2"/>
  <c r="C49" i="2"/>
  <c r="C38" i="2"/>
  <c r="W27" i="1"/>
  <c r="V27" i="1"/>
  <c r="L31" i="1"/>
  <c r="F28" i="1"/>
  <c r="E28" i="1"/>
  <c r="C54" i="2"/>
  <c r="L30" i="1" a="1"/>
  <c r="L30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<sst xmlns="http://schemas.openxmlformats.org/spreadsheetml/2006/main" count="395" uniqueCount="131">
  <si>
    <t>Beam Properties:</t>
  </si>
  <si>
    <t xml:space="preserve">Ix = </t>
  </si>
  <si>
    <t xml:space="preserve">E = </t>
  </si>
  <si>
    <t>in4</t>
  </si>
  <si>
    <t>ksi</t>
  </si>
  <si>
    <t>Left Cantilever</t>
  </si>
  <si>
    <t>Span:</t>
  </si>
  <si>
    <t>ft</t>
  </si>
  <si>
    <t>Loads</t>
  </si>
  <si>
    <t>P,M,W1 (kips, ft-kips, klf)</t>
  </si>
  <si>
    <t>W2 (klf)</t>
  </si>
  <si>
    <t>a (ft)</t>
  </si>
  <si>
    <t>b (ft)</t>
  </si>
  <si>
    <t>Type</t>
  </si>
  <si>
    <t>Kind</t>
  </si>
  <si>
    <t>Center Span</t>
  </si>
  <si>
    <t>Right Cantilever</t>
  </si>
  <si>
    <t>S</t>
  </si>
  <si>
    <t>D</t>
  </si>
  <si>
    <t>V (kips)</t>
  </si>
  <si>
    <t>M (ft-kips)</t>
  </si>
  <si>
    <t>S (rad)</t>
  </si>
  <si>
    <t>L</t>
  </si>
  <si>
    <t>Lr</t>
  </si>
  <si>
    <t>R</t>
  </si>
  <si>
    <t>H</t>
  </si>
  <si>
    <t>WX</t>
  </si>
  <si>
    <t>WY</t>
  </si>
  <si>
    <t>EX</t>
  </si>
  <si>
    <t>EY</t>
  </si>
  <si>
    <t>Load Types</t>
  </si>
  <si>
    <t>Loading Types</t>
  </si>
  <si>
    <t>POINT</t>
  </si>
  <si>
    <t>MOMENT</t>
  </si>
  <si>
    <t>UDL</t>
  </si>
  <si>
    <t>TRAP</t>
  </si>
  <si>
    <t>--</t>
  </si>
  <si>
    <t>ft4</t>
  </si>
  <si>
    <t>ksf</t>
  </si>
  <si>
    <t>D (in)</t>
  </si>
  <si>
    <t>Chart:</t>
  </si>
  <si>
    <t>Result</t>
  </si>
  <si>
    <t>Charting</t>
  </si>
  <si>
    <t>Beam</t>
  </si>
  <si>
    <t>Cantilever</t>
  </si>
  <si>
    <t>x</t>
  </si>
  <si>
    <t>y</t>
  </si>
  <si>
    <t xml:space="preserve">Res </t>
  </si>
  <si>
    <t>x(ft)</t>
  </si>
  <si>
    <t>Fixed Left:</t>
  </si>
  <si>
    <t>Fixed Right:</t>
  </si>
  <si>
    <t>Find point of 0 slope between: ( Location of Peak Delta)</t>
  </si>
  <si>
    <t>Find point of 0 shear between: (Location of Peak Moment)</t>
  </si>
  <si>
    <t>f1</t>
  </si>
  <si>
    <t>f2</t>
  </si>
  <si>
    <t>Combo</t>
  </si>
  <si>
    <t>Custom</t>
  </si>
  <si>
    <t>Load Factors</t>
  </si>
  <si>
    <t>Interior Supports:</t>
  </si>
  <si>
    <t>Flexibility Method for Internal Reactions</t>
  </si>
  <si>
    <t>Delta</t>
  </si>
  <si>
    <t>kips</t>
  </si>
  <si>
    <t>ft-kips</t>
  </si>
  <si>
    <t>COMBO</t>
  </si>
  <si>
    <t>#</t>
  </si>
  <si>
    <t>SLOPE</t>
  </si>
  <si>
    <t>LRFD_16-1: 1.4D</t>
  </si>
  <si>
    <t>LRFD_16-2Lr: 1.2D+1.6L+0.5Lr+1.6H</t>
  </si>
  <si>
    <t>LRFD_16-2S: 1.2D+1.6L+0.5S+1.6H</t>
  </si>
  <si>
    <t>LRFD_16-2R: 1.2D+1.6L+0.5R+1.6H</t>
  </si>
  <si>
    <t>LRFD_16-3Lr_W1: 1.2D+1.6Lr+1.6H+0.5WX</t>
  </si>
  <si>
    <t>LRFD_16-3S_W1: 1.2D+1.6S+1.6H+0.5WX</t>
  </si>
  <si>
    <t>LRFD_16-3R_W1: 1.2D+1.6R+1.6H+0.5WX</t>
  </si>
  <si>
    <t>LRFD_16-3Lr_W2: 1.2D+1.6Lr+1.6H+0.5WY</t>
  </si>
  <si>
    <t>LRFD_16-3S_W2: 1.2D+1.6S+1.6H+0.5WY</t>
  </si>
  <si>
    <t>LRFD_16-3R_W2: 1.2D+1.6R+1.6H+0.5WY</t>
  </si>
  <si>
    <t>LRFD_16-6W1: 0.9D+1.6H+1WX</t>
  </si>
  <si>
    <t>LRFD_16-6W2: 0.9D+1.6H+1WY</t>
  </si>
  <si>
    <t>LRFD_16-7E1: 0.9D+1.6H+1EX</t>
  </si>
  <si>
    <t>LRFD_16-7E2: 0.9D+1.6H+1EY</t>
  </si>
  <si>
    <t>ASD_16-8: 1D</t>
  </si>
  <si>
    <t>ASD_16-9: 1D+1L+1H</t>
  </si>
  <si>
    <t>ASD_16-10Lr: 1D+1Lr+1H</t>
  </si>
  <si>
    <t>ASD_16-10S: 1D+1S+1H</t>
  </si>
  <si>
    <t>ASD_16-10R: 1D+1R+1H</t>
  </si>
  <si>
    <t>ASD_16-11Lr: 1D+0.75L+0.75Lr+1H</t>
  </si>
  <si>
    <t>ASD_16-11S: 1D+0.75L+0.75S+1H</t>
  </si>
  <si>
    <t>ASD_16-11R: 1D+0.75L+0.75R+1H</t>
  </si>
  <si>
    <t>ASD_16-12W1: 1D+1H+0.6WX</t>
  </si>
  <si>
    <t>ASD_16-12W2: 1D+1H+0.6WY</t>
  </si>
  <si>
    <t>ASD_16-12E1: 1D+1H+0.7EX</t>
  </si>
  <si>
    <t>ASD_16-12E2: 1D+1H+0.7EY</t>
  </si>
  <si>
    <t>ASD_16-13W1_Lr: 1D+0.75L+0.75Lr+1H+0.45WX</t>
  </si>
  <si>
    <t>ASD_16-13W1_S: 1D+0.75L+0.75S+1H+0.45WX</t>
  </si>
  <si>
    <t>ASD_16-13W1_R: 1D+0.75L+0.75R+1H+0.45WX</t>
  </si>
  <si>
    <t>ASD_16-13W2_Lr: 1D+0.75L+0.75Lr+1H+0.45WY</t>
  </si>
  <si>
    <t>ASD_16-13W2_S: 1D+0.75L+0.75S+1H+0.45WY</t>
  </si>
  <si>
    <t>ASD_16-13W2_R: 1D+0.75L+0.75R+1H+0.45WY</t>
  </si>
  <si>
    <t>ASD_16-14E1: 1D+0.75L+0.75S+1H+0.525EX</t>
  </si>
  <si>
    <t>ASD_16-14E2: 1D+0.75L+0.75S+1H+0.525EY</t>
  </si>
  <si>
    <t>ASD_16-15W1: 0.6D+1H+0.6WX</t>
  </si>
  <si>
    <t>ASD_16-15W2: 0.6D+1H+0.6WY</t>
  </si>
  <si>
    <t>ASD_16-16E1: 0.6D+1H+0.7EX</t>
  </si>
  <si>
    <t>ASD_16-16E2: 0.6D+1H+0.7EY</t>
  </si>
  <si>
    <t>LRFD_16-3Lr_L: 1.2D+f1 L+1.6Lr+1.6H</t>
  </si>
  <si>
    <t>LRFD_16-3S_L: 1.2D+f1 L+1.6S+1.6H</t>
  </si>
  <si>
    <t>LRFD_16-3R_L: 1.2D+f1 L+1.6R+1.6H</t>
  </si>
  <si>
    <t>LRFD_16-4W1_Lr: 1.2D+f1 L+0.5Lr+1.6H+1WX</t>
  </si>
  <si>
    <t>LRFD_16-4W1_S: 1.2D+f1 L+0.5S+1.6H+1WX</t>
  </si>
  <si>
    <t>LRFD_16-4W1_R: 1.2D+f1 L+0.5R+1.6H+1WX</t>
  </si>
  <si>
    <t>LRFD_16-4W2_Lr: 1.2D+f1 L+0.5Lr+1.6H+1WY</t>
  </si>
  <si>
    <t>LRFD_16-4W2_S: 1.2D+f1 L+0.5S+1.6H+1WY</t>
  </si>
  <si>
    <t>LRFD_16-4W2_R: 1.2D+f1 L+0.5R+1.6H+1WY</t>
  </si>
  <si>
    <t>LRFD_16-5E1: 1.2D+f1 L+f2 S+1.6H+1EX</t>
  </si>
  <si>
    <t>LRFD_16-5E2: 1.2D+f1 L+f2 S+1.6H+1EY</t>
  </si>
  <si>
    <t>Center</t>
  </si>
  <si>
    <t>V:</t>
  </si>
  <si>
    <t>M:</t>
  </si>
  <si>
    <t>D:</t>
  </si>
  <si>
    <t>S:</t>
  </si>
  <si>
    <t>rad</t>
  </si>
  <si>
    <t>in</t>
  </si>
  <si>
    <t>Below are for Center Span Details:</t>
  </si>
  <si>
    <t>**Need to Choose Custom Here to Use Custom Factors**</t>
  </si>
  <si>
    <t>RL</t>
  </si>
  <si>
    <t>RR</t>
  </si>
  <si>
    <t>Max</t>
  </si>
  <si>
    <t>Min</t>
  </si>
  <si>
    <t>n</t>
  </si>
  <si>
    <t>C (1/in)</t>
  </si>
  <si>
    <t>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</si>
</sst>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"/>
    <numFmt numFmtId="165" formatCode="0.0000"/>
    <numFmt numFmtId="166" formatCode="0.000E+00"/>
  </numFmts>
  <fonts count="3" x14ac:knownFonts="1">
    <font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</fills>
  <borders count="2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</borders>
  <cellStyleXfs count="1">
    <xf numFmtId="0" fontId="0" fillId="0" borderId="0"/>
  </cellStyleXfs>
  <cellXfs count="100">
    <xf numFmtId="0" fontId="0" fillId="0" borderId="0" xfId="0"/>
    <xf numFmtId="0" fontId="0" fillId="0" borderId="0" xfId="0" applyAlignment="1">
      <alignment horizontal="center"/>
    </xf>
    <xf numFmtId="0" fontId="0" fillId="3" borderId="0" xfId="0" applyFill="1" applyAlignment="1">
      <alignment horizontal="center"/>
    </xf>
    <xf numFmtId="164" fontId="0" fillId="2" borderId="0" xfId="0" applyNumberFormat="1" applyFill="1" applyAlignment="1">
      <alignment horizontal="center"/>
    </xf>
    <xf numFmtId="164" fontId="0" fillId="0" borderId="0" xfId="0" applyNumberFormat="1"/>
    <xf numFmtId="0" fontId="0" fillId="0" borderId="0" xfId="0" applyFill="1" applyAlignment="1">
      <alignment horizontal="center"/>
    </xf>
    <xf numFmtId="0" fontId="0" fillId="0" borderId="0" xfId="0" applyAlignment="1">
      <alignment horizontal="right"/>
    </xf>
    <xf numFmtId="0" fontId="1" fillId="0" borderId="0" xfId="0" applyFont="1"/>
    <xf numFmtId="0" fontId="1" fillId="0" borderId="0" xfId="0" applyFont="1" applyFill="1" applyAlignment="1">
      <alignment horizontal="left"/>
    </xf>
    <xf numFmtId="0" fontId="0" fillId="2" borderId="1" xfId="0" applyFill="1" applyBorder="1" applyAlignment="1">
      <alignment horizontal="center"/>
    </xf>
    <xf numFmtId="0" fontId="2" fillId="6" borderId="1" xfId="0" applyFont="1" applyFill="1" applyBorder="1" applyAlignment="1">
      <alignment horizontal="center"/>
    </xf>
    <xf numFmtId="0" fontId="2" fillId="0" borderId="0" xfId="0" applyFont="1"/>
    <xf numFmtId="2" fontId="0" fillId="0" borderId="0" xfId="0" applyNumberFormat="1" applyAlignment="1">
      <alignment horizontal="center"/>
    </xf>
    <xf numFmtId="0" fontId="0" fillId="0" borderId="0" xfId="0" applyFill="1"/>
    <xf numFmtId="164" fontId="0" fillId="0" borderId="0" xfId="0" applyNumberFormat="1" applyFill="1" applyAlignment="1">
      <alignment horizontal="center"/>
    </xf>
    <xf numFmtId="164" fontId="0" fillId="0" borderId="0" xfId="0" applyNumberFormat="1" applyFill="1"/>
    <xf numFmtId="0" fontId="0" fillId="6" borderId="2" xfId="0" applyFill="1" applyBorder="1"/>
    <xf numFmtId="0" fontId="0" fillId="6" borderId="3" xfId="0" applyFill="1" applyBorder="1"/>
    <xf numFmtId="0" fontId="0" fillId="6" borderId="4" xfId="0" applyFill="1" applyBorder="1"/>
    <xf numFmtId="0" fontId="0" fillId="6" borderId="5" xfId="0" applyFill="1" applyBorder="1"/>
    <xf numFmtId="0" fontId="0" fillId="6" borderId="0" xfId="0" applyFill="1" applyBorder="1"/>
    <xf numFmtId="0" fontId="0" fillId="6" borderId="6" xfId="0" applyFill="1" applyBorder="1"/>
    <xf numFmtId="0" fontId="0" fillId="6" borderId="0" xfId="0" applyFill="1" applyBorder="1" applyAlignment="1">
      <alignment horizontal="center"/>
    </xf>
    <xf numFmtId="0" fontId="0" fillId="6" borderId="7" xfId="0" applyFill="1" applyBorder="1"/>
    <xf numFmtId="0" fontId="0" fillId="6" borderId="8" xfId="0" applyFill="1" applyBorder="1"/>
    <xf numFmtId="0" fontId="0" fillId="6" borderId="9" xfId="0" applyFill="1" applyBorder="1"/>
    <xf numFmtId="0" fontId="0" fillId="0" borderId="2" xfId="0" applyBorder="1" applyAlignment="1">
      <alignment horizontal="right"/>
    </xf>
    <xf numFmtId="0" fontId="0" fillId="0" borderId="4" xfId="0" applyBorder="1"/>
    <xf numFmtId="0" fontId="0" fillId="0" borderId="5" xfId="0" applyBorder="1" applyAlignment="1">
      <alignment horizontal="right"/>
    </xf>
    <xf numFmtId="0" fontId="0" fillId="0" borderId="6" xfId="0" applyBorder="1"/>
    <xf numFmtId="0" fontId="0" fillId="0" borderId="7" xfId="0" applyBorder="1" applyAlignment="1">
      <alignment horizontal="right"/>
    </xf>
    <xf numFmtId="0" fontId="0" fillId="0" borderId="9" xfId="0" applyBorder="1"/>
    <xf numFmtId="164" fontId="0" fillId="2" borderId="11" xfId="0" applyNumberFormat="1" applyFill="1" applyBorder="1" applyAlignment="1">
      <alignment horizontal="center"/>
    </xf>
    <xf numFmtId="164" fontId="0" fillId="2" borderId="12" xfId="0" applyNumberFormat="1" applyFill="1" applyBorder="1" applyAlignment="1">
      <alignment horizontal="center"/>
    </xf>
    <xf numFmtId="0" fontId="0" fillId="3" borderId="12" xfId="0" applyFill="1" applyBorder="1" applyAlignment="1">
      <alignment horizontal="center"/>
    </xf>
    <xf numFmtId="0" fontId="0" fillId="3" borderId="13" xfId="0" applyFill="1" applyBorder="1" applyAlignment="1">
      <alignment horizontal="center"/>
    </xf>
    <xf numFmtId="164" fontId="0" fillId="2" borderId="14" xfId="0" applyNumberFormat="1" applyFill="1" applyBorder="1" applyAlignment="1">
      <alignment horizontal="center"/>
    </xf>
    <xf numFmtId="164" fontId="0" fillId="2" borderId="15" xfId="0" applyNumberFormat="1" applyFill="1" applyBorder="1" applyAlignment="1">
      <alignment horizontal="center"/>
    </xf>
    <xf numFmtId="0" fontId="0" fillId="3" borderId="15" xfId="0" applyFill="1" applyBorder="1" applyAlignment="1">
      <alignment horizontal="center"/>
    </xf>
    <xf numFmtId="0" fontId="0" fillId="3" borderId="16" xfId="0" applyFill="1" applyBorder="1" applyAlignment="1">
      <alignment horizontal="center"/>
    </xf>
    <xf numFmtId="164" fontId="0" fillId="2" borderId="17" xfId="0" applyNumberFormat="1" applyFill="1" applyBorder="1" applyAlignment="1">
      <alignment horizontal="center"/>
    </xf>
    <xf numFmtId="164" fontId="0" fillId="2" borderId="18" xfId="0" applyNumberFormat="1" applyFill="1" applyBorder="1" applyAlignment="1">
      <alignment horizontal="center"/>
    </xf>
    <xf numFmtId="0" fontId="0" fillId="3" borderId="18" xfId="0" applyFill="1" applyBorder="1" applyAlignment="1">
      <alignment horizontal="center"/>
    </xf>
    <xf numFmtId="0" fontId="0" fillId="3" borderId="19" xfId="0" applyFill="1" applyBorder="1" applyAlignment="1">
      <alignment horizontal="center"/>
    </xf>
    <xf numFmtId="164" fontId="0" fillId="5" borderId="3" xfId="0" applyNumberFormat="1" applyFill="1" applyBorder="1" applyAlignment="1">
      <alignment horizontal="center"/>
    </xf>
    <xf numFmtId="164" fontId="0" fillId="5" borderId="0" xfId="0" applyNumberFormat="1" applyFill="1" applyBorder="1" applyAlignment="1">
      <alignment horizontal="center"/>
    </xf>
    <xf numFmtId="11" fontId="0" fillId="5" borderId="0" xfId="0" applyNumberFormat="1" applyFill="1" applyBorder="1" applyAlignment="1">
      <alignment horizontal="center"/>
    </xf>
    <xf numFmtId="164" fontId="0" fillId="5" borderId="8" xfId="0" applyNumberFormat="1" applyFill="1" applyBorder="1" applyAlignment="1">
      <alignment horizontal="center"/>
    </xf>
    <xf numFmtId="0" fontId="2" fillId="0" borderId="2" xfId="0" applyFont="1" applyBorder="1"/>
    <xf numFmtId="0" fontId="0" fillId="0" borderId="3" xfId="0" applyBorder="1"/>
    <xf numFmtId="0" fontId="0" fillId="0" borderId="3" xfId="0" applyBorder="1" applyAlignment="1">
      <alignment horizontal="center"/>
    </xf>
    <xf numFmtId="0" fontId="0" fillId="0" borderId="5" xfId="0" applyBorder="1"/>
    <xf numFmtId="0" fontId="0" fillId="0" borderId="0" xfId="0" applyBorder="1"/>
    <xf numFmtId="164" fontId="0" fillId="2" borderId="0" xfId="0" applyNumberFormat="1" applyFill="1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6" xfId="0" applyBorder="1" applyAlignment="1">
      <alignment horizontal="center"/>
    </xf>
    <xf numFmtId="164" fontId="0" fillId="6" borderId="0" xfId="0" applyNumberFormat="1" applyFill="1" applyBorder="1" applyAlignment="1">
      <alignment horizontal="center"/>
    </xf>
    <xf numFmtId="164" fontId="0" fillId="6" borderId="0" xfId="0" applyNumberFormat="1" applyFill="1" applyBorder="1"/>
    <xf numFmtId="0" fontId="0" fillId="6" borderId="6" xfId="0" applyFill="1" applyBorder="1" applyAlignment="1">
      <alignment horizontal="center"/>
    </xf>
    <xf numFmtId="0" fontId="0" fillId="0" borderId="7" xfId="0" applyBorder="1"/>
    <xf numFmtId="0" fontId="0" fillId="0" borderId="8" xfId="0" applyFill="1" applyBorder="1"/>
    <xf numFmtId="164" fontId="0" fillId="0" borderId="8" xfId="0" applyNumberFormat="1" applyFill="1" applyBorder="1" applyAlignment="1">
      <alignment horizontal="center"/>
    </xf>
    <xf numFmtId="164" fontId="0" fillId="0" borderId="8" xfId="0" applyNumberFormat="1" applyFill="1" applyBorder="1"/>
    <xf numFmtId="0" fontId="0" fillId="0" borderId="8" xfId="0" applyFill="1" applyBorder="1" applyAlignment="1">
      <alignment horizontal="center"/>
    </xf>
    <xf numFmtId="0" fontId="0" fillId="0" borderId="9" xfId="0" applyFill="1" applyBorder="1"/>
    <xf numFmtId="0" fontId="0" fillId="0" borderId="10" xfId="0" applyBorder="1"/>
    <xf numFmtId="0" fontId="0" fillId="0" borderId="3" xfId="0" applyBorder="1" applyAlignment="1">
      <alignment horizontal="right"/>
    </xf>
    <xf numFmtId="0" fontId="0" fillId="3" borderId="3" xfId="0" applyFill="1" applyBorder="1" applyAlignment="1">
      <alignment horizontal="center"/>
    </xf>
    <xf numFmtId="0" fontId="0" fillId="0" borderId="0" xfId="0" applyBorder="1" applyAlignment="1">
      <alignment horizontal="right"/>
    </xf>
    <xf numFmtId="0" fontId="0" fillId="3" borderId="0" xfId="0" applyFill="1" applyBorder="1" applyAlignment="1">
      <alignment horizontal="center"/>
    </xf>
    <xf numFmtId="165" fontId="2" fillId="5" borderId="0" xfId="0" applyNumberFormat="1" applyFont="1" applyFill="1" applyBorder="1" applyAlignment="1">
      <alignment horizontal="center"/>
    </xf>
    <xf numFmtId="0" fontId="0" fillId="4" borderId="0" xfId="0" applyFill="1" applyBorder="1" applyAlignment="1">
      <alignment horizontal="center"/>
    </xf>
    <xf numFmtId="164" fontId="0" fillId="4" borderId="0" xfId="0" applyNumberFormat="1" applyFill="1" applyBorder="1" applyAlignment="1">
      <alignment horizontal="center"/>
    </xf>
    <xf numFmtId="0" fontId="0" fillId="0" borderId="8" xfId="0" applyBorder="1"/>
    <xf numFmtId="0" fontId="0" fillId="0" borderId="7" xfId="0" applyFill="1" applyBorder="1"/>
    <xf numFmtId="0" fontId="0" fillId="0" borderId="9" xfId="0" applyFill="1" applyBorder="1" applyAlignment="1">
      <alignment horizontal="center"/>
    </xf>
    <xf numFmtId="0" fontId="0" fillId="0" borderId="2" xfId="0" applyBorder="1"/>
    <xf numFmtId="0" fontId="0" fillId="2" borderId="3" xfId="0" applyFill="1" applyBorder="1" applyAlignment="1">
      <alignment horizontal="center"/>
    </xf>
    <xf numFmtId="0" fontId="0" fillId="2" borderId="0" xfId="0" applyFill="1" applyBorder="1" applyAlignment="1">
      <alignment horizontal="center"/>
    </xf>
    <xf numFmtId="0" fontId="0" fillId="2" borderId="8" xfId="0" applyFill="1" applyBorder="1" applyAlignment="1">
      <alignment horizontal="center"/>
    </xf>
    <xf numFmtId="0" fontId="0" fillId="2" borderId="11" xfId="0" applyFill="1" applyBorder="1" applyAlignment="1">
      <alignment horizontal="center"/>
    </xf>
    <xf numFmtId="0" fontId="0" fillId="0" borderId="14" xfId="0" applyBorder="1" applyAlignment="1">
      <alignment horizontal="center"/>
    </xf>
    <xf numFmtId="11" fontId="0" fillId="0" borderId="15" xfId="0" applyNumberFormat="1" applyBorder="1" applyAlignment="1">
      <alignment horizontal="center"/>
    </xf>
    <xf numFmtId="0" fontId="0" fillId="2" borderId="17" xfId="0" applyFill="1" applyBorder="1" applyAlignment="1">
      <alignment horizontal="center"/>
    </xf>
    <xf numFmtId="164" fontId="0" fillId="0" borderId="12" xfId="0" applyNumberFormat="1" applyBorder="1" applyAlignment="1">
      <alignment horizontal="center"/>
    </xf>
    <xf numFmtId="164" fontId="0" fillId="0" borderId="13" xfId="0" applyNumberFormat="1" applyBorder="1" applyAlignment="1">
      <alignment horizontal="center"/>
    </xf>
    <xf numFmtId="164" fontId="0" fillId="5" borderId="15" xfId="0" applyNumberFormat="1" applyFill="1" applyBorder="1" applyAlignment="1">
      <alignment horizontal="center"/>
    </xf>
    <xf numFmtId="164" fontId="0" fillId="0" borderId="15" xfId="0" applyNumberFormat="1" applyBorder="1" applyAlignment="1">
      <alignment horizontal="center"/>
    </xf>
    <xf numFmtId="164" fontId="0" fillId="0" borderId="16" xfId="0" applyNumberFormat="1" applyBorder="1" applyAlignment="1">
      <alignment horizontal="center"/>
    </xf>
    <xf numFmtId="164" fontId="0" fillId="0" borderId="18" xfId="0" applyNumberFormat="1" applyBorder="1" applyAlignment="1">
      <alignment horizontal="center"/>
    </xf>
    <xf numFmtId="164" fontId="0" fillId="0" borderId="19" xfId="0" applyNumberFormat="1" applyBorder="1" applyAlignment="1">
      <alignment horizontal="center"/>
    </xf>
    <xf numFmtId="0" fontId="2" fillId="0" borderId="0" xfId="0" applyFont="1" applyAlignment="1">
      <alignment horizontal="left"/>
    </xf>
    <xf numFmtId="164" fontId="0" fillId="5" borderId="16" xfId="0" applyNumberFormat="1" applyFill="1" applyBorder="1" applyAlignment="1">
      <alignment horizontal="center"/>
    </xf>
    <xf numFmtId="11" fontId="0" fillId="0" borderId="12" xfId="0" applyNumberFormat="1" applyBorder="1" applyAlignment="1">
      <alignment horizontal="center"/>
    </xf>
    <xf numFmtId="11" fontId="0" fillId="0" borderId="18" xfId="0" applyNumberFormat="1" applyBorder="1" applyAlignment="1">
      <alignment horizontal="center"/>
    </xf>
    <xf numFmtId="164" fontId="2" fillId="5" borderId="3" xfId="0" applyNumberFormat="1" applyFont="1" applyFill="1" applyBorder="1" applyAlignment="1">
      <alignment horizontal="center"/>
    </xf>
    <xf numFmtId="164" fontId="2" fillId="5" borderId="0" xfId="0" applyNumberFormat="1" applyFont="1" applyFill="1" applyBorder="1" applyAlignment="1">
      <alignment horizontal="center"/>
    </xf>
    <xf numFmtId="164" fontId="2" fillId="5" borderId="8" xfId="0" applyNumberFormat="1" applyFont="1" applyFill="1" applyBorder="1" applyAlignment="1">
      <alignment horizontal="center"/>
    </xf>
    <xf numFmtId="166" fontId="0" fillId="0" borderId="0" xfId="0" applyNumberFormat="1"/>
    <xf numFmtId="0" fontId="0" fillId="3" borderId="0" xfId="0" applyFill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Beam_Analysis!$V$1</c:f>
          <c:strCache>
            <c:ptCount val="1"/>
            <c:pt idx="0">
              <c:v>Shear (Kips)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LEFT_CANTILEVER</c:v>
          </c:tx>
          <c:spPr>
            <a:ln w="25400" cap="rnd">
              <a:solidFill>
                <a:schemeClr val="bg1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Data!$F$7:$F$8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Data!$G$7:$G$8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4BE-4BD8-860F-1E1F00291667}"/>
            </c:ext>
          </c:extLst>
        </c:ser>
        <c:ser>
          <c:idx val="1"/>
          <c:order val="1"/>
          <c:tx>
            <c:v>CENTER_SPAN</c:v>
          </c:tx>
          <c:spPr>
            <a:ln w="25400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Data!$F$12:$F$13</c:f>
              <c:numCache>
                <c:formatCode>General</c:formatCode>
                <c:ptCount val="2"/>
                <c:pt idx="0">
                  <c:v>0</c:v>
                </c:pt>
                <c:pt idx="1">
                  <c:v>10</c:v>
                </c:pt>
              </c:numCache>
            </c:numRef>
          </c:xVal>
          <c:yVal>
            <c:numRef>
              <c:f>Data!$G$12:$G$13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4BE-4BD8-860F-1E1F00291667}"/>
            </c:ext>
          </c:extLst>
        </c:ser>
        <c:ser>
          <c:idx val="2"/>
          <c:order val="2"/>
          <c:tx>
            <c:v>RIGHT_CANTILEVER</c:v>
          </c:tx>
          <c:spPr>
            <a:ln w="25400" cap="rnd">
              <a:solidFill>
                <a:schemeClr val="bg1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Data!$F$17:$F$18</c:f>
              <c:numCache>
                <c:formatCode>General</c:formatCode>
                <c:ptCount val="2"/>
                <c:pt idx="0">
                  <c:v>10</c:v>
                </c:pt>
                <c:pt idx="1">
                  <c:v>10</c:v>
                </c:pt>
              </c:numCache>
            </c:numRef>
          </c:xVal>
          <c:yVal>
            <c:numRef>
              <c:f>Data!$G$17:$G$18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4BE-4BD8-860F-1E1F00291667}"/>
            </c:ext>
          </c:extLst>
        </c:ser>
        <c:ser>
          <c:idx val="3"/>
          <c:order val="3"/>
          <c:tx>
            <c:v>CENTER_RESULTS</c:v>
          </c:tx>
          <c:spPr>
            <a:ln w="22225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2"/>
            <c:spPr>
              <a:noFill/>
              <a:ln w="9525">
                <a:solidFill>
                  <a:srgbClr val="C00000"/>
                </a:solidFill>
              </a:ln>
              <a:effectLst/>
            </c:spPr>
          </c:marker>
          <c:xVal>
            <c:numRef>
              <c:f>Data!$O$107:$O$347</c:f>
              <c:numCache>
                <c:formatCode>0.00</c:formatCode>
                <c:ptCount val="241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0.16666666666666666</c:v>
                </c:pt>
                <c:pt idx="5">
                  <c:v>0.20833333333333331</c:v>
                </c:pt>
                <c:pt idx="6">
                  <c:v>0.25</c:v>
                </c:pt>
                <c:pt idx="7">
                  <c:v>0.29166666666666663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0.41666666666666663</c:v>
                </c:pt>
                <c:pt idx="11">
                  <c:v>0.45833333333333331</c:v>
                </c:pt>
                <c:pt idx="12">
                  <c:v>0.5</c:v>
                </c:pt>
                <c:pt idx="13">
                  <c:v>0.54166666666666663</c:v>
                </c:pt>
                <c:pt idx="14">
                  <c:v>0.58333333333333326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0.70833333333333326</c:v>
                </c:pt>
                <c:pt idx="18">
                  <c:v>0.75</c:v>
                </c:pt>
                <c:pt idx="19">
                  <c:v>0.79166666666666663</c:v>
                </c:pt>
                <c:pt idx="20">
                  <c:v>0.83333333333333326</c:v>
                </c:pt>
                <c:pt idx="21">
                  <c:v>0.875</c:v>
                </c:pt>
                <c:pt idx="22">
                  <c:v>0.91666666666666663</c:v>
                </c:pt>
                <c:pt idx="23">
                  <c:v>0.95833333333333326</c:v>
                </c:pt>
                <c:pt idx="24">
                  <c:v>1</c:v>
                </c:pt>
                <c:pt idx="25">
                  <c:v>1.0416666666666665</c:v>
                </c:pt>
                <c:pt idx="26">
                  <c:v>1.0833333333333333</c:v>
                </c:pt>
                <c:pt idx="27">
                  <c:v>1.125</c:v>
                </c:pt>
                <c:pt idx="28">
                  <c:v>1.1666666666666665</c:v>
                </c:pt>
                <c:pt idx="29">
                  <c:v>1.2083333333333333</c:v>
                </c:pt>
                <c:pt idx="30">
                  <c:v>1.25</c:v>
                </c:pt>
                <c:pt idx="31">
                  <c:v>1.2916666666666665</c:v>
                </c:pt>
                <c:pt idx="32">
                  <c:v>1.3333333333333333</c:v>
                </c:pt>
                <c:pt idx="33">
                  <c:v>1.375</c:v>
                </c:pt>
                <c:pt idx="34">
                  <c:v>1.4166666666666665</c:v>
                </c:pt>
                <c:pt idx="35">
                  <c:v>1.4583333333333333</c:v>
                </c:pt>
                <c:pt idx="36">
                  <c:v>1.5</c:v>
                </c:pt>
                <c:pt idx="37">
                  <c:v>1.5416666666666665</c:v>
                </c:pt>
                <c:pt idx="38">
                  <c:v>1.5833333333333333</c:v>
                </c:pt>
                <c:pt idx="39">
                  <c:v>1.625</c:v>
                </c:pt>
                <c:pt idx="40">
                  <c:v>1.6666666666666665</c:v>
                </c:pt>
                <c:pt idx="41">
                  <c:v>1.7083333333333333</c:v>
                </c:pt>
                <c:pt idx="42">
                  <c:v>1.75</c:v>
                </c:pt>
                <c:pt idx="43">
                  <c:v>1.7916666666666665</c:v>
                </c:pt>
                <c:pt idx="44">
                  <c:v>1.8333333333333333</c:v>
                </c:pt>
                <c:pt idx="45">
                  <c:v>1.875</c:v>
                </c:pt>
                <c:pt idx="46">
                  <c:v>1.9166666666666665</c:v>
                </c:pt>
                <c:pt idx="47">
                  <c:v>1.9583333333333333</c:v>
                </c:pt>
                <c:pt idx="48">
                  <c:v>2</c:v>
                </c:pt>
                <c:pt idx="49">
                  <c:v>2.0416666666666665</c:v>
                </c:pt>
                <c:pt idx="50">
                  <c:v>2.083333333333333</c:v>
                </c:pt>
                <c:pt idx="51">
                  <c:v>2.125</c:v>
                </c:pt>
                <c:pt idx="52">
                  <c:v>2.1666666666666665</c:v>
                </c:pt>
                <c:pt idx="53">
                  <c:v>2.208333333333333</c:v>
                </c:pt>
                <c:pt idx="54">
                  <c:v>2.25</c:v>
                </c:pt>
                <c:pt idx="55">
                  <c:v>2.2916666666666665</c:v>
                </c:pt>
                <c:pt idx="56">
                  <c:v>2.333333333333333</c:v>
                </c:pt>
                <c:pt idx="57">
                  <c:v>2.375</c:v>
                </c:pt>
                <c:pt idx="58">
                  <c:v>2.4166666666666665</c:v>
                </c:pt>
                <c:pt idx="59">
                  <c:v>2.458333333333333</c:v>
                </c:pt>
                <c:pt idx="60">
                  <c:v>2.5</c:v>
                </c:pt>
                <c:pt idx="61">
                  <c:v>2.5416666666666665</c:v>
                </c:pt>
                <c:pt idx="62">
                  <c:v>2.583333333333333</c:v>
                </c:pt>
                <c:pt idx="63">
                  <c:v>2.625</c:v>
                </c:pt>
                <c:pt idx="64">
                  <c:v>2.6666666666666665</c:v>
                </c:pt>
                <c:pt idx="65">
                  <c:v>2.708333333333333</c:v>
                </c:pt>
                <c:pt idx="66">
                  <c:v>2.75</c:v>
                </c:pt>
                <c:pt idx="67">
                  <c:v>2.7916666666666665</c:v>
                </c:pt>
                <c:pt idx="68">
                  <c:v>2.833333333333333</c:v>
                </c:pt>
                <c:pt idx="69">
                  <c:v>2.875</c:v>
                </c:pt>
                <c:pt idx="70">
                  <c:v>2.9166666666666665</c:v>
                </c:pt>
                <c:pt idx="71">
                  <c:v>2.958333333333333</c:v>
                </c:pt>
                <c:pt idx="72">
                  <c:v>3</c:v>
                </c:pt>
                <c:pt idx="73">
                  <c:v>3.0416666666666665</c:v>
                </c:pt>
                <c:pt idx="74">
                  <c:v>3.083333333333333</c:v>
                </c:pt>
                <c:pt idx="75">
                  <c:v>3.125</c:v>
                </c:pt>
                <c:pt idx="76">
                  <c:v>3.1666666666666665</c:v>
                </c:pt>
                <c:pt idx="77">
                  <c:v>3.208333333333333</c:v>
                </c:pt>
                <c:pt idx="78">
                  <c:v>3.25</c:v>
                </c:pt>
                <c:pt idx="79">
                  <c:v>3.2916666666666665</c:v>
                </c:pt>
                <c:pt idx="80">
                  <c:v>3.333333333333333</c:v>
                </c:pt>
                <c:pt idx="81">
                  <c:v>3.375</c:v>
                </c:pt>
                <c:pt idx="82">
                  <c:v>3.4166666666666665</c:v>
                </c:pt>
                <c:pt idx="83">
                  <c:v>3.458333333333333</c:v>
                </c:pt>
                <c:pt idx="84">
                  <c:v>3.5</c:v>
                </c:pt>
                <c:pt idx="85">
                  <c:v>3.5416666666666665</c:v>
                </c:pt>
                <c:pt idx="86">
                  <c:v>3.583333333333333</c:v>
                </c:pt>
                <c:pt idx="87">
                  <c:v>3.625</c:v>
                </c:pt>
                <c:pt idx="88">
                  <c:v>3.6666666666666665</c:v>
                </c:pt>
                <c:pt idx="89">
                  <c:v>3.708333333333333</c:v>
                </c:pt>
                <c:pt idx="90">
                  <c:v>3.75</c:v>
                </c:pt>
                <c:pt idx="91">
                  <c:v>3.7916666666666665</c:v>
                </c:pt>
                <c:pt idx="92">
                  <c:v>3.833333333333333</c:v>
                </c:pt>
                <c:pt idx="93">
                  <c:v>3.875</c:v>
                </c:pt>
                <c:pt idx="94">
                  <c:v>3.9166666666666665</c:v>
                </c:pt>
                <c:pt idx="95">
                  <c:v>3.958333333333333</c:v>
                </c:pt>
                <c:pt idx="96">
                  <c:v>4</c:v>
                </c:pt>
                <c:pt idx="97">
                  <c:v>4.0416666666666661</c:v>
                </c:pt>
                <c:pt idx="98">
                  <c:v>4.083333333333333</c:v>
                </c:pt>
                <c:pt idx="99">
                  <c:v>4.125</c:v>
                </c:pt>
                <c:pt idx="100">
                  <c:v>4.1666666666666661</c:v>
                </c:pt>
                <c:pt idx="101">
                  <c:v>4.208333333333333</c:v>
                </c:pt>
                <c:pt idx="102">
                  <c:v>4.25</c:v>
                </c:pt>
                <c:pt idx="103">
                  <c:v>4.2916666666666661</c:v>
                </c:pt>
                <c:pt idx="104">
                  <c:v>4.333333333333333</c:v>
                </c:pt>
                <c:pt idx="105">
                  <c:v>4.375</c:v>
                </c:pt>
                <c:pt idx="106">
                  <c:v>4.4166666666666661</c:v>
                </c:pt>
                <c:pt idx="107">
                  <c:v>4.458333333333333</c:v>
                </c:pt>
                <c:pt idx="108">
                  <c:v>4.5</c:v>
                </c:pt>
                <c:pt idx="109">
                  <c:v>4.5416666666666661</c:v>
                </c:pt>
                <c:pt idx="110">
                  <c:v>4.583333333333333</c:v>
                </c:pt>
                <c:pt idx="111">
                  <c:v>4.625</c:v>
                </c:pt>
                <c:pt idx="112">
                  <c:v>4.6666666666666661</c:v>
                </c:pt>
                <c:pt idx="113">
                  <c:v>4.708333333333333</c:v>
                </c:pt>
                <c:pt idx="114">
                  <c:v>4.75</c:v>
                </c:pt>
                <c:pt idx="115">
                  <c:v>4.7916666666666661</c:v>
                </c:pt>
                <c:pt idx="116">
                  <c:v>4.833333333333333</c:v>
                </c:pt>
                <c:pt idx="117">
                  <c:v>4.875</c:v>
                </c:pt>
                <c:pt idx="118">
                  <c:v>4.9166666666666661</c:v>
                </c:pt>
                <c:pt idx="119">
                  <c:v>4.958333333333333</c:v>
                </c:pt>
                <c:pt idx="120">
                  <c:v>5</c:v>
                </c:pt>
                <c:pt idx="121">
                  <c:v>5.0416666666666661</c:v>
                </c:pt>
                <c:pt idx="122">
                  <c:v>5.083333333333333</c:v>
                </c:pt>
                <c:pt idx="123">
                  <c:v>5.125</c:v>
                </c:pt>
                <c:pt idx="124">
                  <c:v>5.1666666666666661</c:v>
                </c:pt>
                <c:pt idx="125">
                  <c:v>5.208333333333333</c:v>
                </c:pt>
                <c:pt idx="126">
                  <c:v>5.25</c:v>
                </c:pt>
                <c:pt idx="127">
                  <c:v>5.2916666666666661</c:v>
                </c:pt>
                <c:pt idx="128">
                  <c:v>5.333333333333333</c:v>
                </c:pt>
                <c:pt idx="129">
                  <c:v>5.375</c:v>
                </c:pt>
                <c:pt idx="130">
                  <c:v>5.4166666666666661</c:v>
                </c:pt>
                <c:pt idx="131">
                  <c:v>5.458333333333333</c:v>
                </c:pt>
                <c:pt idx="132">
                  <c:v>5.5</c:v>
                </c:pt>
                <c:pt idx="133">
                  <c:v>5.5416666666666661</c:v>
                </c:pt>
                <c:pt idx="134">
                  <c:v>5.583333333333333</c:v>
                </c:pt>
                <c:pt idx="135">
                  <c:v>5.625</c:v>
                </c:pt>
                <c:pt idx="136">
                  <c:v>5.6666666666666661</c:v>
                </c:pt>
                <c:pt idx="137">
                  <c:v>5.708333333333333</c:v>
                </c:pt>
                <c:pt idx="138">
                  <c:v>5.75</c:v>
                </c:pt>
                <c:pt idx="139">
                  <c:v>5.7916666666666661</c:v>
                </c:pt>
                <c:pt idx="140">
                  <c:v>5.833333333333333</c:v>
                </c:pt>
                <c:pt idx="141">
                  <c:v>5.875</c:v>
                </c:pt>
                <c:pt idx="142">
                  <c:v>5.9166666666666661</c:v>
                </c:pt>
                <c:pt idx="143">
                  <c:v>5.958333333333333</c:v>
                </c:pt>
                <c:pt idx="144">
                  <c:v>6</c:v>
                </c:pt>
                <c:pt idx="145">
                  <c:v>6.0416666666666661</c:v>
                </c:pt>
                <c:pt idx="146">
                  <c:v>6.083333333333333</c:v>
                </c:pt>
                <c:pt idx="147">
                  <c:v>6.125</c:v>
                </c:pt>
                <c:pt idx="148">
                  <c:v>6.1666666666666661</c:v>
                </c:pt>
                <c:pt idx="149">
                  <c:v>6.208333333333333</c:v>
                </c:pt>
                <c:pt idx="150">
                  <c:v>6.25</c:v>
                </c:pt>
                <c:pt idx="151">
                  <c:v>6.2916666666666661</c:v>
                </c:pt>
                <c:pt idx="152">
                  <c:v>6.333333333333333</c:v>
                </c:pt>
                <c:pt idx="153">
                  <c:v>6.375</c:v>
                </c:pt>
                <c:pt idx="154">
                  <c:v>6.4166666666666661</c:v>
                </c:pt>
                <c:pt idx="155">
                  <c:v>6.458333333333333</c:v>
                </c:pt>
                <c:pt idx="156">
                  <c:v>6.5</c:v>
                </c:pt>
                <c:pt idx="157">
                  <c:v>6.5416666666666661</c:v>
                </c:pt>
                <c:pt idx="158">
                  <c:v>6.583333333333333</c:v>
                </c:pt>
                <c:pt idx="159">
                  <c:v>6.625</c:v>
                </c:pt>
                <c:pt idx="160">
                  <c:v>6.6666666666666661</c:v>
                </c:pt>
                <c:pt idx="161">
                  <c:v>6.708333333333333</c:v>
                </c:pt>
                <c:pt idx="162">
                  <c:v>6.75</c:v>
                </c:pt>
                <c:pt idx="163">
                  <c:v>6.7916666666666661</c:v>
                </c:pt>
                <c:pt idx="164">
                  <c:v>6.833333333333333</c:v>
                </c:pt>
                <c:pt idx="165">
                  <c:v>6.875</c:v>
                </c:pt>
                <c:pt idx="166">
                  <c:v>6.9166666666666661</c:v>
                </c:pt>
                <c:pt idx="167">
                  <c:v>6.958333333333333</c:v>
                </c:pt>
                <c:pt idx="168">
                  <c:v>7</c:v>
                </c:pt>
                <c:pt idx="169">
                  <c:v>7.0416666666666661</c:v>
                </c:pt>
                <c:pt idx="170">
                  <c:v>7.083333333333333</c:v>
                </c:pt>
                <c:pt idx="171">
                  <c:v>7.125</c:v>
                </c:pt>
                <c:pt idx="172">
                  <c:v>7.1666666666666661</c:v>
                </c:pt>
                <c:pt idx="173">
                  <c:v>7.208333333333333</c:v>
                </c:pt>
                <c:pt idx="174">
                  <c:v>7.25</c:v>
                </c:pt>
                <c:pt idx="175">
                  <c:v>7.2916666666666661</c:v>
                </c:pt>
                <c:pt idx="176">
                  <c:v>7.333333333333333</c:v>
                </c:pt>
                <c:pt idx="177">
                  <c:v>7.375</c:v>
                </c:pt>
                <c:pt idx="178">
                  <c:v>7.4166666666666661</c:v>
                </c:pt>
                <c:pt idx="179">
                  <c:v>7.458333333333333</c:v>
                </c:pt>
                <c:pt idx="180">
                  <c:v>7.5</c:v>
                </c:pt>
                <c:pt idx="181">
                  <c:v>7.5416666666666661</c:v>
                </c:pt>
                <c:pt idx="182">
                  <c:v>7.583333333333333</c:v>
                </c:pt>
                <c:pt idx="183">
                  <c:v>7.625</c:v>
                </c:pt>
                <c:pt idx="184">
                  <c:v>7.6666666666666661</c:v>
                </c:pt>
                <c:pt idx="185">
                  <c:v>7.708333333333333</c:v>
                </c:pt>
                <c:pt idx="186">
                  <c:v>7.75</c:v>
                </c:pt>
                <c:pt idx="187">
                  <c:v>7.7916666666666661</c:v>
                </c:pt>
                <c:pt idx="188">
                  <c:v>7.833333333333333</c:v>
                </c:pt>
                <c:pt idx="189">
                  <c:v>7.875</c:v>
                </c:pt>
                <c:pt idx="190">
                  <c:v>7.9166666666666661</c:v>
                </c:pt>
                <c:pt idx="191">
                  <c:v>7.958333333333333</c:v>
                </c:pt>
                <c:pt idx="192">
                  <c:v>8</c:v>
                </c:pt>
                <c:pt idx="193">
                  <c:v>8.0416666666666661</c:v>
                </c:pt>
                <c:pt idx="194">
                  <c:v>8.0833333333333321</c:v>
                </c:pt>
                <c:pt idx="195">
                  <c:v>8.125</c:v>
                </c:pt>
                <c:pt idx="196">
                  <c:v>8.1666666666666661</c:v>
                </c:pt>
                <c:pt idx="197">
                  <c:v>8.2083333333333321</c:v>
                </c:pt>
                <c:pt idx="198">
                  <c:v>8.25</c:v>
                </c:pt>
                <c:pt idx="199">
                  <c:v>8.2916666666666661</c:v>
                </c:pt>
                <c:pt idx="200">
                  <c:v>8.3333333333333321</c:v>
                </c:pt>
                <c:pt idx="201">
                  <c:v>8.375</c:v>
                </c:pt>
                <c:pt idx="202">
                  <c:v>8.4166666666666661</c:v>
                </c:pt>
                <c:pt idx="203">
                  <c:v>8.4583333333333321</c:v>
                </c:pt>
                <c:pt idx="204">
                  <c:v>8.5</c:v>
                </c:pt>
                <c:pt idx="205">
                  <c:v>8.5416666666666661</c:v>
                </c:pt>
                <c:pt idx="206">
                  <c:v>8.5833333333333321</c:v>
                </c:pt>
                <c:pt idx="207">
                  <c:v>8.625</c:v>
                </c:pt>
                <c:pt idx="208">
                  <c:v>8.6666666666666661</c:v>
                </c:pt>
                <c:pt idx="209">
                  <c:v>8.7083333333333321</c:v>
                </c:pt>
                <c:pt idx="210">
                  <c:v>8.75</c:v>
                </c:pt>
                <c:pt idx="211">
                  <c:v>8.7916666666666661</c:v>
                </c:pt>
                <c:pt idx="212">
                  <c:v>8.8333333333333321</c:v>
                </c:pt>
                <c:pt idx="213">
                  <c:v>8.875</c:v>
                </c:pt>
                <c:pt idx="214">
                  <c:v>8.9166666666666661</c:v>
                </c:pt>
                <c:pt idx="215">
                  <c:v>8.9583333333333321</c:v>
                </c:pt>
                <c:pt idx="216">
                  <c:v>9</c:v>
                </c:pt>
                <c:pt idx="217">
                  <c:v>9.0416666666666661</c:v>
                </c:pt>
                <c:pt idx="218">
                  <c:v>9.0833333333333321</c:v>
                </c:pt>
                <c:pt idx="219">
                  <c:v>9.125</c:v>
                </c:pt>
                <c:pt idx="220">
                  <c:v>9.1666666666666661</c:v>
                </c:pt>
                <c:pt idx="221">
                  <c:v>9.2083333333333321</c:v>
                </c:pt>
                <c:pt idx="222">
                  <c:v>9.25</c:v>
                </c:pt>
                <c:pt idx="223">
                  <c:v>9.2916666666666661</c:v>
                </c:pt>
                <c:pt idx="224">
                  <c:v>9.3333333333333321</c:v>
                </c:pt>
                <c:pt idx="225">
                  <c:v>9.375</c:v>
                </c:pt>
                <c:pt idx="226">
                  <c:v>9.4166666666666661</c:v>
                </c:pt>
                <c:pt idx="227">
                  <c:v>9.4583333333333321</c:v>
                </c:pt>
                <c:pt idx="228">
                  <c:v>9.5</c:v>
                </c:pt>
                <c:pt idx="229">
                  <c:v>9.5416666666666661</c:v>
                </c:pt>
                <c:pt idx="230">
                  <c:v>9.5833333333333321</c:v>
                </c:pt>
                <c:pt idx="231">
                  <c:v>9.625</c:v>
                </c:pt>
                <c:pt idx="232">
                  <c:v>9.6666666666666661</c:v>
                </c:pt>
                <c:pt idx="233">
                  <c:v>9.7083333333333321</c:v>
                </c:pt>
                <c:pt idx="234">
                  <c:v>9.75</c:v>
                </c:pt>
                <c:pt idx="235">
                  <c:v>9.7916666666666661</c:v>
                </c:pt>
                <c:pt idx="236">
                  <c:v>9.8333333333333321</c:v>
                </c:pt>
                <c:pt idx="237">
                  <c:v>9.875</c:v>
                </c:pt>
                <c:pt idx="238">
                  <c:v>9.9166666666666661</c:v>
                </c:pt>
                <c:pt idx="239">
                  <c:v>9.9583333333333321</c:v>
                </c:pt>
                <c:pt idx="240">
                  <c:v>10</c:v>
                </c:pt>
              </c:numCache>
            </c:numRef>
          </c:xVal>
          <c:yVal>
            <c:numRef>
              <c:f>Data!$P$107:$P$347</c:f>
              <c:numCache>
                <c:formatCode>General</c:formatCode>
                <c:ptCount val="241"/>
                <c:pt idx="0">
                  <c:v>1.5</c:v>
                </c:pt>
                <c:pt idx="1">
                  <c:v>1.4812890624999999</c:v>
                </c:pt>
                <c:pt idx="2">
                  <c:v>1.46265625</c:v>
                </c:pt>
                <c:pt idx="3">
                  <c:v>1.4441015625</c:v>
                </c:pt>
                <c:pt idx="4">
                  <c:v>1.4256249999999999</c:v>
                </c:pt>
                <c:pt idx="5">
                  <c:v>1.4072265625</c:v>
                </c:pt>
                <c:pt idx="6">
                  <c:v>1.38890625</c:v>
                </c:pt>
                <c:pt idx="7">
                  <c:v>1.3706640624999999</c:v>
                </c:pt>
                <c:pt idx="8">
                  <c:v>1.3525</c:v>
                </c:pt>
                <c:pt idx="9">
                  <c:v>1.3344140625000001</c:v>
                </c:pt>
                <c:pt idx="10">
                  <c:v>1.31640625</c:v>
                </c:pt>
                <c:pt idx="11">
                  <c:v>1.2984765625000001</c:v>
                </c:pt>
                <c:pt idx="12">
                  <c:v>1.2806249999999999</c:v>
                </c:pt>
                <c:pt idx="13">
                  <c:v>1.2628515625000001</c:v>
                </c:pt>
                <c:pt idx="14">
                  <c:v>1.24515625</c:v>
                </c:pt>
                <c:pt idx="15">
                  <c:v>1.2275390625</c:v>
                </c:pt>
                <c:pt idx="16">
                  <c:v>1.21</c:v>
                </c:pt>
                <c:pt idx="17">
                  <c:v>1.1925390625000001</c:v>
                </c:pt>
                <c:pt idx="18">
                  <c:v>1.1751562499999999</c:v>
                </c:pt>
                <c:pt idx="19">
                  <c:v>1.1578515625000001</c:v>
                </c:pt>
                <c:pt idx="20">
                  <c:v>1.140625</c:v>
                </c:pt>
                <c:pt idx="21">
                  <c:v>1.1234765625000001</c:v>
                </c:pt>
                <c:pt idx="22">
                  <c:v>1.10640625</c:v>
                </c:pt>
                <c:pt idx="23">
                  <c:v>1.0894140624999999</c:v>
                </c:pt>
                <c:pt idx="24">
                  <c:v>1.0725</c:v>
                </c:pt>
                <c:pt idx="25">
                  <c:v>1.0556640625</c:v>
                </c:pt>
                <c:pt idx="26">
                  <c:v>1.0389062499999999</c:v>
                </c:pt>
                <c:pt idx="27">
                  <c:v>1.0222265625</c:v>
                </c:pt>
                <c:pt idx="28">
                  <c:v>1.005625</c:v>
                </c:pt>
                <c:pt idx="29">
                  <c:v>0.98910156250000003</c:v>
                </c:pt>
                <c:pt idx="30">
                  <c:v>0.97265625</c:v>
                </c:pt>
                <c:pt idx="31">
                  <c:v>0.95628906250000001</c:v>
                </c:pt>
                <c:pt idx="32">
                  <c:v>0.94000000000000006</c:v>
                </c:pt>
                <c:pt idx="33">
                  <c:v>0.92378906250000004</c:v>
                </c:pt>
                <c:pt idx="34">
                  <c:v>0.90765625000000005</c:v>
                </c:pt>
                <c:pt idx="35">
                  <c:v>0.8916015625</c:v>
                </c:pt>
                <c:pt idx="36">
                  <c:v>0.87562499999999999</c:v>
                </c:pt>
                <c:pt idx="37">
                  <c:v>0.85972656250000001</c:v>
                </c:pt>
                <c:pt idx="38">
                  <c:v>0.84390624999999997</c:v>
                </c:pt>
                <c:pt idx="39">
                  <c:v>0.82816406249999996</c:v>
                </c:pt>
                <c:pt idx="40">
                  <c:v>0.8125</c:v>
                </c:pt>
                <c:pt idx="41">
                  <c:v>0.79691406249999996</c:v>
                </c:pt>
                <c:pt idx="42">
                  <c:v>0.78140624999999997</c:v>
                </c:pt>
                <c:pt idx="43">
                  <c:v>0.76597656250000001</c:v>
                </c:pt>
                <c:pt idx="44">
                  <c:v>0.75062499999999999</c:v>
                </c:pt>
                <c:pt idx="45">
                  <c:v>0.7353515625</c:v>
                </c:pt>
                <c:pt idx="46">
                  <c:v>0.72015625000000005</c:v>
                </c:pt>
                <c:pt idx="47">
                  <c:v>0.70503906250000004</c:v>
                </c:pt>
                <c:pt idx="48">
                  <c:v>0.69</c:v>
                </c:pt>
                <c:pt idx="49">
                  <c:v>0.67503906250000001</c:v>
                </c:pt>
                <c:pt idx="50">
                  <c:v>0.66015625000000011</c:v>
                </c:pt>
                <c:pt idx="51">
                  <c:v>0.64535156249999992</c:v>
                </c:pt>
                <c:pt idx="52">
                  <c:v>0.63062499999999999</c:v>
                </c:pt>
                <c:pt idx="53">
                  <c:v>0.6159765625000001</c:v>
                </c:pt>
                <c:pt idx="54">
                  <c:v>0.60140624999999992</c:v>
                </c:pt>
                <c:pt idx="55">
                  <c:v>0.5869140625</c:v>
                </c:pt>
                <c:pt idx="56">
                  <c:v>0.57250000000000012</c:v>
                </c:pt>
                <c:pt idx="57">
                  <c:v>0.55816406249999995</c:v>
                </c:pt>
                <c:pt idx="58">
                  <c:v>0.54390625000000004</c:v>
                </c:pt>
                <c:pt idx="59">
                  <c:v>0.52972656250000005</c:v>
                </c:pt>
                <c:pt idx="60">
                  <c:v>0.515625</c:v>
                </c:pt>
                <c:pt idx="61">
                  <c:v>0.50160156249999999</c:v>
                </c:pt>
                <c:pt idx="62">
                  <c:v>0.48765625000000007</c:v>
                </c:pt>
                <c:pt idx="63">
                  <c:v>0.47378906249999997</c:v>
                </c:pt>
                <c:pt idx="64">
                  <c:v>0.46</c:v>
                </c:pt>
                <c:pt idx="65">
                  <c:v>0.44628906250000006</c:v>
                </c:pt>
                <c:pt idx="66">
                  <c:v>0.43265624999999996</c:v>
                </c:pt>
                <c:pt idx="67">
                  <c:v>0.41910156250000002</c:v>
                </c:pt>
                <c:pt idx="68">
                  <c:v>0.40562500000000007</c:v>
                </c:pt>
                <c:pt idx="69">
                  <c:v>0.39222656249999999</c:v>
                </c:pt>
                <c:pt idx="70">
                  <c:v>0.37890625</c:v>
                </c:pt>
                <c:pt idx="71">
                  <c:v>0.36566406250000005</c:v>
                </c:pt>
                <c:pt idx="72">
                  <c:v>0.35249999999999998</c:v>
                </c:pt>
                <c:pt idx="73">
                  <c:v>0.3394140625</c:v>
                </c:pt>
                <c:pt idx="74">
                  <c:v>0.32640625000000006</c:v>
                </c:pt>
                <c:pt idx="75">
                  <c:v>0.31347656249999994</c:v>
                </c:pt>
                <c:pt idx="76">
                  <c:v>0.30062499999999998</c:v>
                </c:pt>
                <c:pt idx="77">
                  <c:v>0.28785156250000005</c:v>
                </c:pt>
                <c:pt idx="78">
                  <c:v>0.27515624999999994</c:v>
                </c:pt>
                <c:pt idx="79">
                  <c:v>0.26253906249999998</c:v>
                </c:pt>
                <c:pt idx="80">
                  <c:v>0.25000000000000006</c:v>
                </c:pt>
                <c:pt idx="81">
                  <c:v>0.23753906249999995</c:v>
                </c:pt>
                <c:pt idx="82">
                  <c:v>0.22515625</c:v>
                </c:pt>
                <c:pt idx="83">
                  <c:v>0.21285156250000004</c:v>
                </c:pt>
                <c:pt idx="84">
                  <c:v>0.20062499999999994</c:v>
                </c:pt>
                <c:pt idx="85">
                  <c:v>0.1884765625</c:v>
                </c:pt>
                <c:pt idx="86">
                  <c:v>0.17640625000000004</c:v>
                </c:pt>
                <c:pt idx="87">
                  <c:v>0.16441406249999996</c:v>
                </c:pt>
                <c:pt idx="88">
                  <c:v>0.1525</c:v>
                </c:pt>
                <c:pt idx="89">
                  <c:v>0.14066406250000002</c:v>
                </c:pt>
                <c:pt idx="90">
                  <c:v>0.12890624999999994</c:v>
                </c:pt>
                <c:pt idx="91">
                  <c:v>0.11722656249999999</c:v>
                </c:pt>
                <c:pt idx="92">
                  <c:v>0.10562500000000002</c:v>
                </c:pt>
                <c:pt idx="93">
                  <c:v>9.4101562499999944E-2</c:v>
                </c:pt>
                <c:pt idx="94">
                  <c:v>8.2656249999999987E-2</c:v>
                </c:pt>
                <c:pt idx="95">
                  <c:v>7.1289062500000028E-2</c:v>
                </c:pt>
                <c:pt idx="96">
                  <c:v>5.9999999999999942E-2</c:v>
                </c:pt>
                <c:pt idx="97">
                  <c:v>4.8789062500000098E-2</c:v>
                </c:pt>
                <c:pt idx="98">
                  <c:v>3.7656250000000016E-2</c:v>
                </c:pt>
                <c:pt idx="99">
                  <c:v>2.6601562499999939E-2</c:v>
                </c:pt>
                <c:pt idx="100">
                  <c:v>1.5625000000000094E-2</c:v>
                </c:pt>
                <c:pt idx="101">
                  <c:v>4.7265625000000155E-3</c:v>
                </c:pt>
                <c:pt idx="102">
                  <c:v>-6.0937500000000627E-3</c:v>
                </c:pt>
                <c:pt idx="103">
                  <c:v>-1.6835937499999912E-2</c:v>
                </c:pt>
                <c:pt idx="104">
                  <c:v>-2.749999999999999E-2</c:v>
                </c:pt>
                <c:pt idx="105">
                  <c:v>-3.8085937500000062E-2</c:v>
                </c:pt>
                <c:pt idx="106">
                  <c:v>-4.8593749999999915E-2</c:v>
                </c:pt>
                <c:pt idx="107">
                  <c:v>-5.9023437499999991E-2</c:v>
                </c:pt>
                <c:pt idx="108">
                  <c:v>-6.9375000000000062E-2</c:v>
                </c:pt>
                <c:pt idx="109">
                  <c:v>-7.9648437499999919E-2</c:v>
                </c:pt>
                <c:pt idx="110">
                  <c:v>-8.984375E-2</c:v>
                </c:pt>
                <c:pt idx="111">
                  <c:v>-9.9960937500000069E-2</c:v>
                </c:pt>
                <c:pt idx="112">
                  <c:v>-0.10999999999999993</c:v>
                </c:pt>
                <c:pt idx="113">
                  <c:v>-0.1199609375</c:v>
                </c:pt>
                <c:pt idx="114">
                  <c:v>-0.12984375000000006</c:v>
                </c:pt>
                <c:pt idx="115">
                  <c:v>-0.13964843749999994</c:v>
                </c:pt>
                <c:pt idx="116">
                  <c:v>-0.14937500000000001</c:v>
                </c:pt>
                <c:pt idx="117">
                  <c:v>-0.15902343750000009</c:v>
                </c:pt>
                <c:pt idx="118">
                  <c:v>-0.16859374999999993</c:v>
                </c:pt>
                <c:pt idx="119">
                  <c:v>-0.17808593750000001</c:v>
                </c:pt>
                <c:pt idx="120">
                  <c:v>-0.18750000000000008</c:v>
                </c:pt>
                <c:pt idx="121">
                  <c:v>-0.19683593749999995</c:v>
                </c:pt>
                <c:pt idx="122">
                  <c:v>-0.20609375000000002</c:v>
                </c:pt>
                <c:pt idx="123">
                  <c:v>-0.21527343750000008</c:v>
                </c:pt>
                <c:pt idx="124">
                  <c:v>-0.22437499999999996</c:v>
                </c:pt>
                <c:pt idx="125">
                  <c:v>-0.23339843750000003</c:v>
                </c:pt>
                <c:pt idx="126">
                  <c:v>-0.24234375000000008</c:v>
                </c:pt>
                <c:pt idx="127">
                  <c:v>-0.25121093749999995</c:v>
                </c:pt>
                <c:pt idx="128">
                  <c:v>-0.26</c:v>
                </c:pt>
                <c:pt idx="129">
                  <c:v>-0.26871093750000008</c:v>
                </c:pt>
                <c:pt idx="130">
                  <c:v>-0.27734374999999994</c:v>
                </c:pt>
                <c:pt idx="131">
                  <c:v>-0.28589843750000005</c:v>
                </c:pt>
                <c:pt idx="132">
                  <c:v>-0.29437500000000011</c:v>
                </c:pt>
                <c:pt idx="133">
                  <c:v>-0.30277343749999996</c:v>
                </c:pt>
                <c:pt idx="134">
                  <c:v>-0.31109375</c:v>
                </c:pt>
                <c:pt idx="135">
                  <c:v>-0.31933593750000011</c:v>
                </c:pt>
                <c:pt idx="136">
                  <c:v>-0.32749999999999996</c:v>
                </c:pt>
                <c:pt idx="137">
                  <c:v>-0.33558593750000004</c:v>
                </c:pt>
                <c:pt idx="138">
                  <c:v>-0.34359375000000009</c:v>
                </c:pt>
                <c:pt idx="139">
                  <c:v>-0.35152343749999998</c:v>
                </c:pt>
                <c:pt idx="140">
                  <c:v>-0.35937500000000006</c:v>
                </c:pt>
                <c:pt idx="141">
                  <c:v>-0.36714843750000009</c:v>
                </c:pt>
                <c:pt idx="142">
                  <c:v>-0.37484374999999998</c:v>
                </c:pt>
                <c:pt idx="143">
                  <c:v>-0.38246093750000004</c:v>
                </c:pt>
                <c:pt idx="144">
                  <c:v>-0.39000000000000012</c:v>
                </c:pt>
                <c:pt idx="145">
                  <c:v>-0.3974609375</c:v>
                </c:pt>
                <c:pt idx="146">
                  <c:v>-0.40484375000000006</c:v>
                </c:pt>
                <c:pt idx="147">
                  <c:v>-0.41214843750000008</c:v>
                </c:pt>
                <c:pt idx="148">
                  <c:v>-0.419375</c:v>
                </c:pt>
                <c:pt idx="149">
                  <c:v>-0.42652343750000005</c:v>
                </c:pt>
                <c:pt idx="150">
                  <c:v>-0.43359375000000011</c:v>
                </c:pt>
                <c:pt idx="151">
                  <c:v>-0.44058593750000002</c:v>
                </c:pt>
                <c:pt idx="152">
                  <c:v>-0.44750000000000006</c:v>
                </c:pt>
                <c:pt idx="153">
                  <c:v>-0.45433593750000012</c:v>
                </c:pt>
                <c:pt idx="154">
                  <c:v>-0.46109375000000002</c:v>
                </c:pt>
                <c:pt idx="155">
                  <c:v>-0.46777343750000006</c:v>
                </c:pt>
                <c:pt idx="156">
                  <c:v>-0.4743750000000001</c:v>
                </c:pt>
                <c:pt idx="157">
                  <c:v>-0.4808984375</c:v>
                </c:pt>
                <c:pt idx="158">
                  <c:v>-0.48734375000000008</c:v>
                </c:pt>
                <c:pt idx="159">
                  <c:v>-0.49371093750000011</c:v>
                </c:pt>
                <c:pt idx="160">
                  <c:v>-0.5</c:v>
                </c:pt>
                <c:pt idx="161">
                  <c:v>-0.50621093750000001</c:v>
                </c:pt>
                <c:pt idx="162">
                  <c:v>-0.5123437500000001</c:v>
                </c:pt>
                <c:pt idx="163">
                  <c:v>-0.51839843750000003</c:v>
                </c:pt>
                <c:pt idx="164">
                  <c:v>-0.52437500000000004</c:v>
                </c:pt>
                <c:pt idx="165">
                  <c:v>-0.53027343750000011</c:v>
                </c:pt>
                <c:pt idx="166">
                  <c:v>-0.53609375000000004</c:v>
                </c:pt>
                <c:pt idx="167">
                  <c:v>-0.54183593750000003</c:v>
                </c:pt>
                <c:pt idx="168">
                  <c:v>-0.5475000000000001</c:v>
                </c:pt>
                <c:pt idx="169">
                  <c:v>-0.55308593750000001</c:v>
                </c:pt>
                <c:pt idx="170">
                  <c:v>-0.55859375000000011</c:v>
                </c:pt>
                <c:pt idx="171">
                  <c:v>-0.56402343750000017</c:v>
                </c:pt>
                <c:pt idx="172">
                  <c:v>-0.56937500000000008</c:v>
                </c:pt>
                <c:pt idx="173">
                  <c:v>-0.57464843750000005</c:v>
                </c:pt>
                <c:pt idx="174">
                  <c:v>-0.5798437500000001</c:v>
                </c:pt>
                <c:pt idx="175">
                  <c:v>-0.5849609375</c:v>
                </c:pt>
                <c:pt idx="176">
                  <c:v>-0.59000000000000008</c:v>
                </c:pt>
                <c:pt idx="177">
                  <c:v>-0.59496093750000012</c:v>
                </c:pt>
                <c:pt idx="178">
                  <c:v>-0.59984375000000001</c:v>
                </c:pt>
                <c:pt idx="179">
                  <c:v>-0.60464843750000008</c:v>
                </c:pt>
                <c:pt idx="180">
                  <c:v>-0.60937500000000011</c:v>
                </c:pt>
                <c:pt idx="181">
                  <c:v>-0.6140234375000001</c:v>
                </c:pt>
                <c:pt idx="182">
                  <c:v>-0.61859375000000005</c:v>
                </c:pt>
                <c:pt idx="183">
                  <c:v>-0.62308593750000019</c:v>
                </c:pt>
                <c:pt idx="184">
                  <c:v>-0.62750000000000006</c:v>
                </c:pt>
                <c:pt idx="185">
                  <c:v>-0.63183593750000011</c:v>
                </c:pt>
                <c:pt idx="186">
                  <c:v>-0.63609375000000012</c:v>
                </c:pt>
                <c:pt idx="187">
                  <c:v>-0.6402734375000001</c:v>
                </c:pt>
                <c:pt idx="188">
                  <c:v>-0.64437500000000014</c:v>
                </c:pt>
                <c:pt idx="189">
                  <c:v>-0.64839843750000015</c:v>
                </c:pt>
                <c:pt idx="190">
                  <c:v>-0.65234375000000011</c:v>
                </c:pt>
                <c:pt idx="191">
                  <c:v>-0.65621093750000015</c:v>
                </c:pt>
                <c:pt idx="192">
                  <c:v>-0.66000000000000014</c:v>
                </c:pt>
                <c:pt idx="193">
                  <c:v>-0.6637109375000001</c:v>
                </c:pt>
                <c:pt idx="194">
                  <c:v>-0.66734375000000001</c:v>
                </c:pt>
                <c:pt idx="195">
                  <c:v>-0.67089843750000011</c:v>
                </c:pt>
                <c:pt idx="196">
                  <c:v>-0.67437500000000006</c:v>
                </c:pt>
                <c:pt idx="197">
                  <c:v>-0.67777343750000008</c:v>
                </c:pt>
                <c:pt idx="198">
                  <c:v>-0.68109375000000016</c:v>
                </c:pt>
                <c:pt idx="199">
                  <c:v>-0.6843359375000001</c:v>
                </c:pt>
                <c:pt idx="200">
                  <c:v>-0.68750000000000011</c:v>
                </c:pt>
                <c:pt idx="201">
                  <c:v>-0.69058593750000019</c:v>
                </c:pt>
                <c:pt idx="202">
                  <c:v>-0.69359375000000012</c:v>
                </c:pt>
                <c:pt idx="203">
                  <c:v>-0.69652343750000012</c:v>
                </c:pt>
                <c:pt idx="204">
                  <c:v>-0.69937500000000019</c:v>
                </c:pt>
                <c:pt idx="205">
                  <c:v>-0.70214843750000011</c:v>
                </c:pt>
                <c:pt idx="206">
                  <c:v>-0.7048437500000001</c:v>
                </c:pt>
                <c:pt idx="207">
                  <c:v>-0.70746093750000016</c:v>
                </c:pt>
                <c:pt idx="208">
                  <c:v>-0.71000000000000008</c:v>
                </c:pt>
                <c:pt idx="209">
                  <c:v>-0.71246093750000006</c:v>
                </c:pt>
                <c:pt idx="210">
                  <c:v>-0.71484375000000011</c:v>
                </c:pt>
                <c:pt idx="211">
                  <c:v>-0.71714843750000012</c:v>
                </c:pt>
                <c:pt idx="212">
                  <c:v>-0.7193750000000001</c:v>
                </c:pt>
                <c:pt idx="213">
                  <c:v>-0.72152343750000014</c:v>
                </c:pt>
                <c:pt idx="214">
                  <c:v>-0.72359375000000015</c:v>
                </c:pt>
                <c:pt idx="215">
                  <c:v>-0.72558593750000011</c:v>
                </c:pt>
                <c:pt idx="216">
                  <c:v>-0.72750000000000015</c:v>
                </c:pt>
                <c:pt idx="217">
                  <c:v>-0.72933593750000014</c:v>
                </c:pt>
                <c:pt idx="218">
                  <c:v>-0.7310937500000001</c:v>
                </c:pt>
                <c:pt idx="219">
                  <c:v>-0.73277343750000012</c:v>
                </c:pt>
                <c:pt idx="220">
                  <c:v>-0.73437500000000011</c:v>
                </c:pt>
                <c:pt idx="221">
                  <c:v>-0.73589843750000017</c:v>
                </c:pt>
                <c:pt idx="222">
                  <c:v>-0.73734375000000019</c:v>
                </c:pt>
                <c:pt idx="223">
                  <c:v>-0.73871093750000016</c:v>
                </c:pt>
                <c:pt idx="224">
                  <c:v>-0.7400000000000001</c:v>
                </c:pt>
                <c:pt idx="225">
                  <c:v>-0.74121093750000022</c:v>
                </c:pt>
                <c:pt idx="226">
                  <c:v>-0.74234375000000019</c:v>
                </c:pt>
                <c:pt idx="227">
                  <c:v>-0.74339843750000012</c:v>
                </c:pt>
                <c:pt idx="228">
                  <c:v>-0.74437500000000023</c:v>
                </c:pt>
                <c:pt idx="229">
                  <c:v>-0.74527343750000019</c:v>
                </c:pt>
                <c:pt idx="230">
                  <c:v>-0.74609375000000011</c:v>
                </c:pt>
                <c:pt idx="231">
                  <c:v>-0.74683593750000021</c:v>
                </c:pt>
                <c:pt idx="232">
                  <c:v>-0.74750000000000016</c:v>
                </c:pt>
                <c:pt idx="233">
                  <c:v>-0.74808593750000019</c:v>
                </c:pt>
                <c:pt idx="234">
                  <c:v>-0.74859375000000017</c:v>
                </c:pt>
                <c:pt idx="235">
                  <c:v>-0.74902343750000022</c:v>
                </c:pt>
                <c:pt idx="236">
                  <c:v>-0.74937500000000024</c:v>
                </c:pt>
                <c:pt idx="237">
                  <c:v>-0.74964843750000021</c:v>
                </c:pt>
                <c:pt idx="238">
                  <c:v>-0.74984375000000014</c:v>
                </c:pt>
                <c:pt idx="239">
                  <c:v>-0.74996093750000015</c:v>
                </c:pt>
                <c:pt idx="240">
                  <c:v>-0.75000000000000022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4BE-4BD8-860F-1E1F00291667}"/>
            </c:ext>
          </c:extLst>
        </c:ser>
        <c:ser>
          <c:idx val="4"/>
          <c:order val="4"/>
          <c:tx>
            <c:v>CENTER_SPAN_USER_LOC</c:v>
          </c:tx>
          <c:spPr>
            <a:ln w="15875" cap="rnd">
              <a:solidFill>
                <a:schemeClr val="bg2">
                  <a:lumMod val="75000"/>
                </a:schemeClr>
              </a:solidFill>
              <a:prstDash val="dash"/>
              <a:round/>
            </a:ln>
            <a:effectLst/>
          </c:spPr>
          <c:marker>
            <c:symbol val="plus"/>
            <c:size val="6"/>
            <c:spPr>
              <a:noFill/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Data!$X$107:$X$108</c:f>
              <c:numCache>
                <c:formatCode>General</c:formatCode>
                <c:ptCount val="2"/>
                <c:pt idx="0">
                  <c:v>1</c:v>
                </c:pt>
                <c:pt idx="1">
                  <c:v>1</c:v>
                </c:pt>
              </c:numCache>
            </c:numRef>
          </c:xVal>
          <c:yVal>
            <c:numRef>
              <c:f>Data!$Y$107:$Y$108</c:f>
              <c:numCache>
                <c:formatCode>General</c:formatCode>
                <c:ptCount val="2"/>
                <c:pt idx="0">
                  <c:v>0</c:v>
                </c:pt>
                <c:pt idx="1">
                  <c:v>1.0725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275-48B1-A016-60C54D5F6758}"/>
            </c:ext>
          </c:extLst>
        </c:ser>
        <c:ser>
          <c:idx val="5"/>
          <c:order val="5"/>
          <c:tx>
            <c:v>CENTER_SPAN_USER_LOC_2</c:v>
          </c:tx>
          <c:spPr>
            <a:ln w="15875" cap="rnd">
              <a:solidFill>
                <a:schemeClr val="bg1">
                  <a:lumMod val="75000"/>
                </a:schemeClr>
              </a:solidFill>
              <a:prstDash val="dash"/>
              <a:round/>
            </a:ln>
            <a:effectLst/>
          </c:spPr>
          <c:marker>
            <c:symbol val="plus"/>
            <c:size val="6"/>
            <c:spPr>
              <a:noFill/>
              <a:ln w="9525">
                <a:solidFill>
                  <a:srgbClr val="C00000"/>
                </a:solidFill>
              </a:ln>
              <a:effectLst/>
            </c:spPr>
          </c:marker>
          <c:xVal>
            <c:numRef>
              <c:f>Data!$Z$107:$Z$108</c:f>
              <c:numCache>
                <c:formatCode>General</c:formatCode>
                <c:ptCount val="2"/>
                <c:pt idx="0">
                  <c:v>8</c:v>
                </c:pt>
                <c:pt idx="1">
                  <c:v>8</c:v>
                </c:pt>
              </c:numCache>
            </c:numRef>
          </c:xVal>
          <c:yVal>
            <c:numRef>
              <c:f>Data!$AA$107:$AA$108</c:f>
              <c:numCache>
                <c:formatCode>General</c:formatCode>
                <c:ptCount val="2"/>
                <c:pt idx="0">
                  <c:v>0</c:v>
                </c:pt>
                <c:pt idx="1">
                  <c:v>-0.66000000000000014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275-48B1-A016-60C54D5F6758}"/>
            </c:ext>
          </c:extLst>
        </c:ser>
        <c:ser>
          <c:idx val="6"/>
          <c:order val="6"/>
          <c:tx>
            <c:v>CENTER_SPAN_SHEAR_ROOT</c:v>
          </c:tx>
          <c:spPr>
            <a:ln w="15875" cap="rnd">
              <a:solidFill>
                <a:srgbClr val="00B0F0"/>
              </a:solidFill>
              <a:prstDash val="lgDash"/>
              <a:round/>
            </a:ln>
            <a:effectLst/>
          </c:spPr>
          <c:marker>
            <c:symbol val="circle"/>
            <c:size val="5"/>
            <c:spPr>
              <a:solidFill>
                <a:srgbClr val="00B0F0"/>
              </a:solidFill>
              <a:ln w="9525">
                <a:solidFill>
                  <a:srgbClr val="00B0F0"/>
                </a:solidFill>
              </a:ln>
              <a:effectLst/>
            </c:spPr>
          </c:marker>
          <c:xVal>
            <c:numRef>
              <c:f>Data!$X$110:$X$111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Data!$Y$110:$Y$111</c:f>
              <c:numCache>
                <c:formatCode>General</c:formatCode>
                <c:ptCount val="2"/>
                <c:pt idx="0">
                  <c:v>0</c:v>
                </c:pt>
                <c:pt idx="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275-48B1-A016-60C54D5F6758}"/>
            </c:ext>
          </c:extLst>
        </c:ser>
        <c:ser>
          <c:idx val="7"/>
          <c:order val="7"/>
          <c:tx>
            <c:v>CENTER_SPAN_SLOPE_ROOT</c:v>
          </c:tx>
          <c:spPr>
            <a:ln w="19050" cap="rnd">
              <a:solidFill>
                <a:srgbClr val="FF0000"/>
              </a:solidFill>
              <a:prstDash val="dashDot"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Data!$Z$110:$Z$111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Data!$AA$110:$AA$111</c:f>
              <c:numCache>
                <c:formatCode>General</c:formatCode>
                <c:ptCount val="2"/>
                <c:pt idx="0">
                  <c:v>0</c:v>
                </c:pt>
                <c:pt idx="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3275-48B1-A016-60C54D5F6758}"/>
            </c:ext>
          </c:extLst>
        </c:ser>
        <c:ser>
          <c:idx val="8"/>
          <c:order val="8"/>
          <c:tx>
            <c:v>LEFT_CANTILEVER_RESULTS</c:v>
          </c:tx>
          <c:spPr>
            <a:ln w="15875" cap="rnd">
              <a:solidFill>
                <a:srgbClr val="002060"/>
              </a:solidFill>
              <a:round/>
            </a:ln>
            <a:effectLst/>
          </c:spPr>
          <c:marker>
            <c:symbol val="circle"/>
            <c:size val="2"/>
            <c:spPr>
              <a:noFill/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Data!$B$25:$B$51</c:f>
              <c:numCache>
                <c:formatCode>General</c:formatCode>
                <c:ptCount val="2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</c:numCache>
            </c:numRef>
          </c:xVal>
          <c:yVal>
            <c:numRef>
              <c:f>Data!$C$25:$C$51</c:f>
              <c:numCache>
                <c:formatCode>General</c:formatCode>
                <c:ptCount val="2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42E-4401-B23A-65EDA3038A58}"/>
            </c:ext>
          </c:extLst>
        </c:ser>
        <c:ser>
          <c:idx val="9"/>
          <c:order val="9"/>
          <c:tx>
            <c:v>RIGHT_CANTILEVER_RES</c:v>
          </c:tx>
          <c:spPr>
            <a:ln w="15875" cap="rnd">
              <a:solidFill>
                <a:srgbClr val="002060"/>
              </a:solidFill>
              <a:round/>
            </a:ln>
            <a:effectLst/>
          </c:spPr>
          <c:marker>
            <c:symbol val="circle"/>
            <c:size val="3"/>
            <c:spPr>
              <a:noFill/>
              <a:ln w="9525">
                <a:solidFill>
                  <a:srgbClr val="C00000"/>
                </a:solidFill>
              </a:ln>
              <a:effectLst/>
            </c:spPr>
          </c:marker>
          <c:xVal>
            <c:numRef>
              <c:f>Data!$I$54:$I$80</c:f>
              <c:numCache>
                <c:formatCode>General</c:formatCode>
                <c:ptCount val="27"/>
                <c:pt idx="0">
                  <c:v>10</c:v>
                </c:pt>
                <c:pt idx="1">
                  <c:v>10</c:v>
                </c:pt>
                <c:pt idx="2">
                  <c:v>10</c:v>
                </c:pt>
                <c:pt idx="3">
                  <c:v>10</c:v>
                </c:pt>
                <c:pt idx="4">
                  <c:v>10</c:v>
                </c:pt>
                <c:pt idx="5">
                  <c:v>10</c:v>
                </c:pt>
                <c:pt idx="6">
                  <c:v>10</c:v>
                </c:pt>
                <c:pt idx="7">
                  <c:v>10</c:v>
                </c:pt>
                <c:pt idx="8">
                  <c:v>10</c:v>
                </c:pt>
                <c:pt idx="9">
                  <c:v>10</c:v>
                </c:pt>
                <c:pt idx="10">
                  <c:v>10</c:v>
                </c:pt>
                <c:pt idx="11">
                  <c:v>10</c:v>
                </c:pt>
                <c:pt idx="12">
                  <c:v>10</c:v>
                </c:pt>
                <c:pt idx="13">
                  <c:v>10</c:v>
                </c:pt>
                <c:pt idx="14">
                  <c:v>10</c:v>
                </c:pt>
                <c:pt idx="15">
                  <c:v>10</c:v>
                </c:pt>
                <c:pt idx="16">
                  <c:v>10</c:v>
                </c:pt>
                <c:pt idx="17">
                  <c:v>10</c:v>
                </c:pt>
                <c:pt idx="18">
                  <c:v>10</c:v>
                </c:pt>
                <c:pt idx="19">
                  <c:v>10</c:v>
                </c:pt>
                <c:pt idx="20">
                  <c:v>10</c:v>
                </c:pt>
                <c:pt idx="21">
                  <c:v>10</c:v>
                </c:pt>
                <c:pt idx="22">
                  <c:v>10</c:v>
                </c:pt>
                <c:pt idx="23">
                  <c:v>10</c:v>
                </c:pt>
                <c:pt idx="24">
                  <c:v>10</c:v>
                </c:pt>
                <c:pt idx="25">
                  <c:v>10</c:v>
                </c:pt>
                <c:pt idx="26">
                  <c:v>10</c:v>
                </c:pt>
              </c:numCache>
            </c:numRef>
          </c:xVal>
          <c:yVal>
            <c:numRef>
              <c:f>Data!$C$54:$C$80</c:f>
              <c:numCache>
                <c:formatCode>General</c:formatCode>
                <c:ptCount val="2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42E-4401-B23A-65EDA3038A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24825536"/>
        <c:axId val="238675088"/>
      </c:scatterChart>
      <c:valAx>
        <c:axId val="8248255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8675088"/>
        <c:crosses val="autoZero"/>
        <c:crossBetween val="midCat"/>
      </c:valAx>
      <c:valAx>
        <c:axId val="238675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2482553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95250</xdr:colOff>
      <xdr:row>6</xdr:row>
      <xdr:rowOff>42861</xdr:rowOff>
    </xdr:from>
    <xdr:to>
      <xdr:col>17</xdr:col>
      <xdr:colOff>1409700</xdr:colOff>
      <xdr:row>25</xdr:row>
      <xdr:rowOff>161925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5132A21-3E14-4F25-BCF6-4602491E876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E4FBAA-8B2D-4102-98BB-454CB7702AEF}">
  <sheetPr codeName="Sheet1"/>
  <dimension ref="A1:BR80"/>
  <sheetViews>
    <sheetView tabSelected="1" workbookViewId="0">
      <selection activeCell="S22" sqref="S22"/>
    </sheetView>
  </sheetViews>
  <sheetFormatPr defaultRowHeight="15" x14ac:dyDescent="0.25"/>
  <cols>
    <col min="1" max="1" width="16.85546875" customWidth="1"/>
    <col min="2" max="2" width="23.85546875" bestFit="1" customWidth="1"/>
    <col min="3" max="3" width="11.7109375" customWidth="1"/>
    <col min="4" max="4" width="11.7109375" bestFit="1" customWidth="1"/>
    <col min="5" max="5" width="12.140625" bestFit="1" customWidth="1"/>
    <col min="6" max="6" width="10.28515625" bestFit="1" customWidth="1"/>
    <col min="10" max="11" width="23.7109375" bestFit="1" customWidth="1"/>
    <col min="12" max="12" width="9.5703125" bestFit="1" customWidth="1"/>
    <col min="18" max="18" width="23.7109375" bestFit="1" customWidth="1"/>
    <col min="29" max="29" width="14.140625" bestFit="1" customWidth="1"/>
    <col min="32" max="32" width="12" bestFit="1" customWidth="1"/>
    <col min="36" max="36" width="12" bestFit="1" customWidth="1"/>
  </cols>
  <sheetData>
    <row r="1" spans="1:70" x14ac:dyDescent="0.25">
      <c r="A1" s="11" t="s">
        <v>0</v>
      </c>
      <c r="G1" s="6" t="s">
        <v>53</v>
      </c>
      <c r="H1" s="2">
        <v>0.5</v>
      </c>
      <c r="I1" t="str">
        <f>IF(H1=1,"places of public assembly with live loads &gt; 100 psf and parking garages","other live loads")</f>
        <v>other live loads</v>
      </c>
      <c r="V1" t="str">
        <f>IF(B7="V","Shear (Kips)",IF(B7="M","Moment (ft-Kips)",IF(B7="S","Slope/Rotation (rad)",IF(B7="D","Deflection (in)","Curvature (1/in) = M/EI"))))</f>
        <v>Shear (Kips)</v>
      </c>
    </row>
    <row r="2" spans="1:70" x14ac:dyDescent="0.25">
      <c r="A2" s="1" t="s">
        <v>1</v>
      </c>
      <c r="B2" s="3">
        <v>1</v>
      </c>
      <c r="C2" t="s">
        <v>3</v>
      </c>
      <c r="D2" s="4">
        <f>B2/POWER(12,4)</f>
        <v>4.8225308641975306E-5</v>
      </c>
      <c r="E2" t="s">
        <v>37</v>
      </c>
      <c r="G2" s="6" t="s">
        <v>54</v>
      </c>
      <c r="H2" s="2">
        <v>0.7</v>
      </c>
      <c r="I2" t="str">
        <f>IF(H2=0.7,"roof configurations that do not shed snow off of the structure","other roof configurations")</f>
        <v>roof configurations that do not shed snow off of the structure</v>
      </c>
    </row>
    <row r="3" spans="1:70" x14ac:dyDescent="0.25">
      <c r="A3" s="1" t="s">
        <v>2</v>
      </c>
      <c r="B3" s="3">
        <v>29000</v>
      </c>
      <c r="C3" t="s">
        <v>4</v>
      </c>
      <c r="D3" s="4">
        <f>B3*144</f>
        <v>4176000</v>
      </c>
      <c r="E3" t="s">
        <v>38</v>
      </c>
    </row>
    <row r="4" spans="1:70" x14ac:dyDescent="0.25">
      <c r="G4" s="10" t="s">
        <v>18</v>
      </c>
      <c r="H4" s="10" t="s">
        <v>22</v>
      </c>
      <c r="I4" s="10" t="s">
        <v>23</v>
      </c>
      <c r="J4" s="10" t="s">
        <v>24</v>
      </c>
      <c r="K4" s="10" t="s">
        <v>17</v>
      </c>
      <c r="L4" s="10" t="s">
        <v>25</v>
      </c>
      <c r="M4" s="10" t="s">
        <v>26</v>
      </c>
      <c r="N4" s="10" t="s">
        <v>27</v>
      </c>
      <c r="O4" s="10" t="s">
        <v>28</v>
      </c>
      <c r="P4" s="10" t="s">
        <v>29</v>
      </c>
      <c r="AE4" s="1"/>
    </row>
    <row r="5" spans="1:70" x14ac:dyDescent="0.25">
      <c r="A5" s="11" t="s">
        <v>40</v>
      </c>
      <c r="B5" t="s">
        <v>123</v>
      </c>
      <c r="F5" s="6" t="s">
        <v>57</v>
      </c>
      <c r="G5" s="10">
        <f ca="1">OFFSET(Load_Combos!A2,MATCH(Beam_Analysis!B6,Load_Combos!A3:A62,0),1)</f>
        <v>1</v>
      </c>
      <c r="H5" s="10">
        <f ca="1">OFFSET(Load_Combos!$A$2,MATCH(Beam_Analysis!B6,Load_Combos!$A$3:$A$62,0),2)</f>
        <v>0</v>
      </c>
      <c r="I5" s="10">
        <f ca="1">OFFSET(Load_Combos!$A$2,MATCH(Beam_Analysis!B6,Load_Combos!$A$3:$A$62,0),3)</f>
        <v>0</v>
      </c>
      <c r="J5" s="10">
        <f ca="1">OFFSET(Load_Combos!$A$2,MATCH(Beam_Analysis!B6,Load_Combos!$A$3:$A$62,0),4)</f>
        <v>0</v>
      </c>
      <c r="K5" s="10">
        <f ca="1">OFFSET(Load_Combos!$A$2,MATCH(Beam_Analysis!B6,Load_Combos!$A$3:$A$62,0),5)</f>
        <v>0</v>
      </c>
      <c r="L5" s="10">
        <f ca="1">OFFSET(Load_Combos!$A$2,MATCH(Beam_Analysis!B6,Load_Combos!$A$3:$A$62,0),6)</f>
        <v>0</v>
      </c>
      <c r="M5" s="10">
        <f ca="1">OFFSET(Load_Combos!$A$2,MATCH(Beam_Analysis!B6,Load_Combos!$A$3:$A$62,0),7)</f>
        <v>0</v>
      </c>
      <c r="N5" s="10">
        <f ca="1">OFFSET(Load_Combos!$A$2,MATCH(Beam_Analysis!B6,Load_Combos!$A$3:$A$62,0),8)</f>
        <v>0</v>
      </c>
      <c r="O5" s="10">
        <f ca="1">OFFSET(Load_Combos!$A$2,MATCH(Beam_Analysis!B6,Load_Combos!$A$3:$A$62,0),9)</f>
        <v>0</v>
      </c>
      <c r="P5" s="10">
        <f ca="1">OFFSET(Load_Combos!$A$2,MATCH(Beam_Analysis!B6,Load_Combos!$A$3:$A$62,0),10)</f>
        <v>0</v>
      </c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  <c r="BA5" s="1"/>
      <c r="BB5" s="1"/>
      <c r="BC5" s="1"/>
      <c r="BD5" s="1"/>
      <c r="BE5" s="1"/>
      <c r="BF5" s="1"/>
      <c r="BG5" s="1"/>
      <c r="BH5" s="1"/>
      <c r="BI5" s="1"/>
      <c r="BJ5" s="1"/>
      <c r="BK5" s="1"/>
      <c r="BL5" s="1"/>
      <c r="BM5" s="1"/>
      <c r="BN5" s="1"/>
      <c r="BO5" s="1"/>
      <c r="BP5" s="1"/>
      <c r="BQ5" s="1"/>
      <c r="BR5" s="1"/>
    </row>
    <row r="6" spans="1:70" x14ac:dyDescent="0.25">
      <c r="A6" s="1" t="s">
        <v>55</v>
      </c>
      <c r="B6" s="99" t="s">
        <v>18</v>
      </c>
      <c r="C6" s="99"/>
      <c r="D6" s="99"/>
      <c r="F6" s="6" t="s">
        <v>56</v>
      </c>
      <c r="G6" s="9">
        <v>1</v>
      </c>
      <c r="H6" s="9">
        <v>1</v>
      </c>
      <c r="I6" s="9">
        <v>0</v>
      </c>
      <c r="J6" s="9">
        <v>0</v>
      </c>
      <c r="K6" s="9">
        <v>0</v>
      </c>
      <c r="L6" s="9">
        <v>0</v>
      </c>
      <c r="M6" s="9">
        <v>0</v>
      </c>
      <c r="N6" s="9">
        <v>0</v>
      </c>
      <c r="O6" s="9">
        <v>0</v>
      </c>
      <c r="P6" s="9">
        <v>0</v>
      </c>
    </row>
    <row r="7" spans="1:70" x14ac:dyDescent="0.25">
      <c r="A7" s="1" t="s">
        <v>41</v>
      </c>
      <c r="B7" s="2" t="s">
        <v>130</v>
      </c>
    </row>
    <row r="8" spans="1:70" x14ac:dyDescent="0.25">
      <c r="A8" s="91" t="s">
        <v>122</v>
      </c>
    </row>
    <row r="9" spans="1:70" ht="15.75" thickBot="1" x14ac:dyDescent="0.3">
      <c r="A9" s="1" t="s">
        <v>48</v>
      </c>
      <c r="B9" s="1" t="s">
        <v>19</v>
      </c>
      <c r="C9" s="1" t="s">
        <v>20</v>
      </c>
      <c r="D9" s="1" t="s">
        <v>21</v>
      </c>
      <c r="E9" s="1" t="s">
        <v>39</v>
      </c>
    </row>
    <row r="10" spans="1:70" x14ac:dyDescent="0.25">
      <c r="A10" s="80">
        <v>1</v>
      </c>
      <c r="B10" s="84" cm="1">
        <f t="array" aca="1" ref="B10:E10" ca="1">center_span($J$29,A10,$D$3,$D$2,$J$33:$O$79,$G$5:$P$5,0)</f>
        <v>1.0725</v>
      </c>
      <c r="C10" s="84">
        <f ca="1"/>
        <v>1.2825</v>
      </c>
      <c r="D10" s="93">
        <f ca="1"/>
        <v>-4.6294137931034492E-2</v>
      </c>
      <c r="E10" s="85">
        <f ca="1"/>
        <v>-0.58206041379310358</v>
      </c>
    </row>
    <row r="11" spans="1:70" ht="15.75" thickBot="1" x14ac:dyDescent="0.3">
      <c r="A11" s="83">
        <v>8</v>
      </c>
      <c r="B11" s="89" cm="1">
        <f t="array" aca="1" ref="B11:E11" ca="1">center_span($J$29,A11,$D$3,$D$2,$J$33:$O$79,$G$5:$P$5,0)</f>
        <v>-0.66000000000000014</v>
      </c>
      <c r="C11" s="89">
        <f ca="1"/>
        <v>1.4399999999999995</v>
      </c>
      <c r="D11" s="94">
        <f ca="1"/>
        <v>3.6148965517241366E-2</v>
      </c>
      <c r="E11" s="90">
        <f ca="1"/>
        <v>-0.98388744827586316</v>
      </c>
    </row>
    <row r="12" spans="1:70" x14ac:dyDescent="0.25">
      <c r="A12" s="8" t="s">
        <v>52</v>
      </c>
      <c r="B12" s="5"/>
      <c r="C12" s="5"/>
      <c r="D12" s="5"/>
      <c r="E12" s="5"/>
    </row>
    <row r="13" spans="1:70" ht="15.75" thickBot="1" x14ac:dyDescent="0.3">
      <c r="A13" s="1" t="s">
        <v>48</v>
      </c>
      <c r="B13" s="1" t="s">
        <v>19</v>
      </c>
      <c r="C13" s="1" t="s">
        <v>20</v>
      </c>
      <c r="D13" s="1" t="s">
        <v>21</v>
      </c>
      <c r="E13" s="1" t="s">
        <v>39</v>
      </c>
    </row>
    <row r="14" spans="1:70" x14ac:dyDescent="0.25">
      <c r="A14" s="80">
        <v>1</v>
      </c>
      <c r="B14" s="84" cm="1">
        <f t="array" aca="1" ref="B14:E14" ca="1">center_span($J$29,A14,$D$3,$D$2,$J$33:$O$79,G5:P5,0)</f>
        <v>1.0725</v>
      </c>
      <c r="C14" s="84">
        <f ca="1"/>
        <v>1.2825</v>
      </c>
      <c r="D14" s="93">
        <f ca="1"/>
        <v>-4.6294137931034492E-2</v>
      </c>
      <c r="E14" s="85">
        <f ca="1"/>
        <v>-0.58206041379310358</v>
      </c>
    </row>
    <row r="15" spans="1:70" x14ac:dyDescent="0.25">
      <c r="A15" s="81" cm="1">
        <f t="array" aca="1" ref="A15" ca="1">center_span_root(J29,D3,D2,J33:O79,G5:P5,0,A14,A16)</f>
        <v>4.2264973082346842</v>
      </c>
      <c r="B15" s="82" cm="1">
        <f t="array" aca="1" ref="B15:E15" ca="1">center_span($J$29,A15,$D$3,$D$2,$J$33:$O$79,G5:P5,0)</f>
        <v>-3.4019743185703666E-11</v>
      </c>
      <c r="C15" s="86">
        <f ca="1"/>
        <v>2.8867513459481287</v>
      </c>
      <c r="D15" s="82">
        <f ca="1"/>
        <v>-8.2758620670885796E-3</v>
      </c>
      <c r="E15" s="88">
        <f ca="1"/>
        <v>-1.7201056295986481</v>
      </c>
    </row>
    <row r="16" spans="1:70" ht="15.75" thickBot="1" x14ac:dyDescent="0.3">
      <c r="A16" s="83">
        <v>8</v>
      </c>
      <c r="B16" s="89" cm="1">
        <f t="array" aca="1" ref="B16:E16" ca="1">center_span($J$29,A16,$D$3,$D$2,$J$33:$O$79,G5:P5,0)</f>
        <v>-0.66000000000000014</v>
      </c>
      <c r="C16" s="89">
        <f ca="1"/>
        <v>1.4399999999999995</v>
      </c>
      <c r="D16" s="94">
        <f ca="1"/>
        <v>3.6148965517241366E-2</v>
      </c>
      <c r="E16" s="90">
        <f ca="1"/>
        <v>-0.98388744827586316</v>
      </c>
    </row>
    <row r="17" spans="1:24" ht="15.75" thickBot="1" x14ac:dyDescent="0.3">
      <c r="A17" s="7" t="s">
        <v>51</v>
      </c>
    </row>
    <row r="18" spans="1:24" x14ac:dyDescent="0.25">
      <c r="A18" s="80">
        <v>1</v>
      </c>
      <c r="B18" s="84" cm="1">
        <f t="array" aca="1" ref="B18:E18" ca="1">center_span($J$29,A18,$D$3,$D$2,$J$33:$O$79,G5:P5,0)</f>
        <v>1.0725</v>
      </c>
      <c r="C18" s="84">
        <f ca="1"/>
        <v>1.2825</v>
      </c>
      <c r="D18" s="93">
        <f ca="1"/>
        <v>-4.6294137931034492E-2</v>
      </c>
      <c r="E18" s="85">
        <f ca="1"/>
        <v>-0.58206041379310358</v>
      </c>
    </row>
    <row r="19" spans="1:24" x14ac:dyDescent="0.25">
      <c r="A19" s="81" cm="1">
        <f t="array" aca="1" ref="A19" ca="1">center_span_root(J29,D3,D2,J33:O79,G5:P5,2,A18,A20)</f>
        <v>4.8067037742584944</v>
      </c>
      <c r="B19" s="87" cm="1">
        <f t="array" aca="1" ref="B19:E19" ca="1">center_span($J$29,A19,$D$3,$D$2,$J$33:$O$79,G5:P5,0)</f>
        <v>-0.1431676720132283</v>
      </c>
      <c r="C19" s="87">
        <f ca="1"/>
        <v>2.8444854897755847</v>
      </c>
      <c r="D19" s="82">
        <f ca="1"/>
        <v>-3.0356387024777711E-11</v>
      </c>
      <c r="E19" s="92">
        <f ca="1"/>
        <v>-1.7488449857725856</v>
      </c>
    </row>
    <row r="20" spans="1:24" ht="15.75" thickBot="1" x14ac:dyDescent="0.3">
      <c r="A20" s="83">
        <v>8</v>
      </c>
      <c r="B20" s="89" cm="1">
        <f t="array" aca="1" ref="B20:E20" ca="1">center_span($J$29,A20,$D$3,$D$2,$J$33:$O$79,G5:P5,0)</f>
        <v>-0.66000000000000014</v>
      </c>
      <c r="C20" s="89">
        <f ca="1"/>
        <v>1.4399999999999995</v>
      </c>
      <c r="D20" s="94">
        <f ca="1"/>
        <v>3.6148965517241366E-2</v>
      </c>
      <c r="E20" s="90">
        <f ca="1"/>
        <v>-0.98388744827586316</v>
      </c>
    </row>
    <row r="21" spans="1:24" ht="15.75" thickBot="1" x14ac:dyDescent="0.3"/>
    <row r="22" spans="1:24" x14ac:dyDescent="0.25">
      <c r="A22" s="76" t="s">
        <v>58</v>
      </c>
      <c r="B22" s="77">
        <v>0</v>
      </c>
      <c r="C22" s="49" t="s">
        <v>7</v>
      </c>
      <c r="D22" s="95">
        <f ca="1">Data!N10</f>
        <v>0</v>
      </c>
      <c r="E22" s="27" t="s">
        <v>61</v>
      </c>
    </row>
    <row r="23" spans="1:24" x14ac:dyDescent="0.25">
      <c r="A23" s="51"/>
      <c r="B23" s="78">
        <v>0</v>
      </c>
      <c r="C23" s="52" t="s">
        <v>7</v>
      </c>
      <c r="D23" s="96">
        <f ca="1">Data!N11</f>
        <v>0</v>
      </c>
      <c r="E23" s="29" t="s">
        <v>61</v>
      </c>
    </row>
    <row r="24" spans="1:24" x14ac:dyDescent="0.25">
      <c r="A24" s="51"/>
      <c r="B24" s="78">
        <v>0</v>
      </c>
      <c r="C24" s="52" t="s">
        <v>7</v>
      </c>
      <c r="D24" s="96">
        <f ca="1">Data!N12</f>
        <v>0</v>
      </c>
      <c r="E24" s="29" t="s">
        <v>61</v>
      </c>
    </row>
    <row r="25" spans="1:24" x14ac:dyDescent="0.25">
      <c r="A25" s="51"/>
      <c r="B25" s="78">
        <v>0</v>
      </c>
      <c r="C25" s="52" t="s">
        <v>7</v>
      </c>
      <c r="D25" s="96">
        <f ca="1">Data!N13</f>
        <v>0</v>
      </c>
      <c r="E25" s="29" t="s">
        <v>61</v>
      </c>
    </row>
    <row r="26" spans="1:24" ht="15.75" thickBot="1" x14ac:dyDescent="0.3">
      <c r="A26" s="59"/>
      <c r="B26" s="79">
        <v>0</v>
      </c>
      <c r="C26" s="73" t="s">
        <v>7</v>
      </c>
      <c r="D26" s="97">
        <f ca="1">Data!N14</f>
        <v>0</v>
      </c>
      <c r="E26" s="31" t="s">
        <v>61</v>
      </c>
      <c r="V26" s="1" t="s">
        <v>126</v>
      </c>
      <c r="W26" s="1" t="s">
        <v>127</v>
      </c>
    </row>
    <row r="27" spans="1:24" ht="15.75" thickBot="1" x14ac:dyDescent="0.3">
      <c r="A27" s="48" t="s">
        <v>5</v>
      </c>
      <c r="B27" s="49"/>
      <c r="C27" s="49"/>
      <c r="D27" s="49"/>
      <c r="E27" s="50" t="s">
        <v>126</v>
      </c>
      <c r="F27" s="50" t="s">
        <v>127</v>
      </c>
      <c r="G27" s="27"/>
      <c r="I27" s="48" t="s">
        <v>15</v>
      </c>
      <c r="J27" s="49"/>
      <c r="K27" s="66" t="s">
        <v>49</v>
      </c>
      <c r="L27" s="67" t="s">
        <v>128</v>
      </c>
      <c r="M27" s="49">
        <f>IF(AND(B29=0,L27="y",N29=0),1,0)</f>
        <v>0</v>
      </c>
      <c r="N27" s="49">
        <f>IF(AND(L27="y", B29=0),1,0)</f>
        <v>0</v>
      </c>
      <c r="O27" s="95">
        <f ca="1">Data!N15</f>
        <v>0</v>
      </c>
      <c r="P27" s="27" t="s">
        <v>62</v>
      </c>
      <c r="R27" s="48" t="s">
        <v>16</v>
      </c>
      <c r="S27" s="49"/>
      <c r="T27" s="49"/>
      <c r="U27" s="26" t="s">
        <v>116</v>
      </c>
      <c r="V27" s="44">
        <f ca="1">MAX(Data!D54:D80)</f>
        <v>0</v>
      </c>
      <c r="W27" s="44">
        <f ca="1">MIN(Data!D54:D80)</f>
        <v>0</v>
      </c>
      <c r="X27" s="27" t="s">
        <v>61</v>
      </c>
    </row>
    <row r="28" spans="1:24" x14ac:dyDescent="0.25">
      <c r="A28" s="51"/>
      <c r="B28" s="52"/>
      <c r="C28" s="52"/>
      <c r="D28" s="26" t="s">
        <v>116</v>
      </c>
      <c r="E28" s="44">
        <f ca="1">MAX(Data!D25:D51)</f>
        <v>0</v>
      </c>
      <c r="F28" s="44">
        <f ca="1">MIN(Data!D25:D51)</f>
        <v>0</v>
      </c>
      <c r="G28" s="27" t="s">
        <v>61</v>
      </c>
      <c r="I28" s="51"/>
      <c r="J28" s="52"/>
      <c r="K28" s="68" t="s">
        <v>50</v>
      </c>
      <c r="L28" s="69" t="s">
        <v>128</v>
      </c>
      <c r="M28" s="52">
        <f>IF(AND(S29=0,L28="y",N29=0),1,0)</f>
        <v>0</v>
      </c>
      <c r="N28" s="52">
        <f>IF(AND(S29=0,L28="y"),1,0)</f>
        <v>0</v>
      </c>
      <c r="O28" s="96">
        <f ca="1">Data!N16*-1</f>
        <v>0</v>
      </c>
      <c r="P28" s="29" t="s">
        <v>62</v>
      </c>
      <c r="R28" s="51"/>
      <c r="S28" s="54"/>
      <c r="T28" s="52"/>
      <c r="U28" s="28" t="s">
        <v>117</v>
      </c>
      <c r="V28" s="45">
        <f ca="1">MAX(Data!E54:E80)</f>
        <v>0</v>
      </c>
      <c r="W28" s="45">
        <f ca="1">MIN(Data!E54:E80)</f>
        <v>0</v>
      </c>
      <c r="X28" s="29" t="s">
        <v>62</v>
      </c>
    </row>
    <row r="29" spans="1:24" x14ac:dyDescent="0.25">
      <c r="A29" s="51" t="s">
        <v>6</v>
      </c>
      <c r="B29" s="53">
        <v>0</v>
      </c>
      <c r="C29" s="52" t="s">
        <v>7</v>
      </c>
      <c r="D29" s="28" t="s">
        <v>117</v>
      </c>
      <c r="E29" s="45">
        <f ca="1">MAX(Data!E25:E51)</f>
        <v>0</v>
      </c>
      <c r="F29" s="45">
        <f ca="1">MIN(Data!E25:E51)</f>
        <v>0</v>
      </c>
      <c r="G29" s="29" t="s">
        <v>62</v>
      </c>
      <c r="I29" s="51" t="s">
        <v>6</v>
      </c>
      <c r="J29" s="53">
        <v>10</v>
      </c>
      <c r="K29" s="52" t="s">
        <v>7</v>
      </c>
      <c r="L29" s="52"/>
      <c r="M29" s="52"/>
      <c r="N29" s="52">
        <f>COUNTIF(B22:B26,"&lt;&gt;0")</f>
        <v>0</v>
      </c>
      <c r="O29" s="52"/>
      <c r="P29" s="29"/>
      <c r="R29" s="51" t="s">
        <v>6</v>
      </c>
      <c r="S29" s="53">
        <v>0</v>
      </c>
      <c r="T29" s="52" t="s">
        <v>7</v>
      </c>
      <c r="U29" s="28" t="s">
        <v>119</v>
      </c>
      <c r="V29" s="46">
        <f ca="1">MAX(Data!F54:F80)</f>
        <v>0</v>
      </c>
      <c r="W29" s="46">
        <f ca="1">MIN(Data!F54:F80)</f>
        <v>0</v>
      </c>
      <c r="X29" s="29" t="s">
        <v>120</v>
      </c>
    </row>
    <row r="30" spans="1:24" ht="15.75" thickBot="1" x14ac:dyDescent="0.3">
      <c r="A30" s="51"/>
      <c r="B30" s="52"/>
      <c r="C30" s="52"/>
      <c r="D30" s="28" t="s">
        <v>119</v>
      </c>
      <c r="E30" s="46">
        <f ca="1">MAX(Data!F25:F51)</f>
        <v>0</v>
      </c>
      <c r="F30" s="46">
        <f ca="1">MIN(Data!F25:F51)</f>
        <v>0</v>
      </c>
      <c r="G30" s="29" t="s">
        <v>120</v>
      </c>
      <c r="I30" s="51"/>
      <c r="J30" s="52"/>
      <c r="K30" s="68" t="s">
        <v>124</v>
      </c>
      <c r="L30" s="70" cm="1">
        <f t="array" aca="1" ref="L30" ca="1">center_span(Beam_Analysis!$J$29,0,Beam_Analysis!$D$3,Beam_Analysis!$D$2,Beam_Analysis!$J$33:$O$79,Beam_Analysis!$G$5:$P$5,5)+(-1*Data!D51)</f>
        <v>1.5</v>
      </c>
      <c r="M30" s="52" t="s">
        <v>61</v>
      </c>
      <c r="N30" s="52"/>
      <c r="O30" s="52"/>
      <c r="P30" s="29"/>
      <c r="R30" s="51"/>
      <c r="S30" s="52"/>
      <c r="T30" s="52"/>
      <c r="U30" s="30" t="s">
        <v>118</v>
      </c>
      <c r="V30" s="47">
        <f ca="1">MAX(Data!G54:G80)</f>
        <v>0</v>
      </c>
      <c r="W30" s="47">
        <f ca="1">MIN(Data!G54:G80)</f>
        <v>0</v>
      </c>
      <c r="X30" s="31" t="s">
        <v>121</v>
      </c>
    </row>
    <row r="31" spans="1:24" ht="15.75" thickBot="1" x14ac:dyDescent="0.3">
      <c r="A31" s="51" t="s">
        <v>8</v>
      </c>
      <c r="B31" s="52"/>
      <c r="C31" s="52"/>
      <c r="D31" s="30" t="s">
        <v>118</v>
      </c>
      <c r="E31" s="47">
        <f ca="1">MAX(Data!G25:G51)</f>
        <v>0</v>
      </c>
      <c r="F31" s="47">
        <f ca="1">MIN(Data!G25:G51)</f>
        <v>0</v>
      </c>
      <c r="G31" s="31" t="s">
        <v>121</v>
      </c>
      <c r="I31" s="51" t="s">
        <v>8</v>
      </c>
      <c r="J31" s="52"/>
      <c r="K31" s="68" t="s">
        <v>125</v>
      </c>
      <c r="L31" s="70" cm="1">
        <f t="array" aca="1" ref="L31" ca="1">center_span(Beam_Analysis!$J$29,0,Beam_Analysis!$D$3,Beam_Analysis!$D$2,Beam_Analysis!$J$33:$O$79,Beam_Analysis!$G$5:$P$5,6)+Data!D54</f>
        <v>0.75</v>
      </c>
      <c r="M31" s="52" t="s">
        <v>61</v>
      </c>
      <c r="N31" s="52"/>
      <c r="O31" s="52"/>
      <c r="P31" s="29"/>
      <c r="R31" s="51" t="s">
        <v>8</v>
      </c>
      <c r="S31" s="52"/>
      <c r="T31" s="52"/>
      <c r="U31" s="52"/>
      <c r="V31" s="52"/>
      <c r="W31" s="52"/>
      <c r="X31" s="29"/>
    </row>
    <row r="32" spans="1:24" ht="15.75" thickBot="1" x14ac:dyDescent="0.3">
      <c r="A32" s="51"/>
      <c r="B32" s="54" t="s">
        <v>9</v>
      </c>
      <c r="C32" s="54" t="s">
        <v>10</v>
      </c>
      <c r="D32" s="54" t="s">
        <v>11</v>
      </c>
      <c r="E32" s="54" t="s">
        <v>12</v>
      </c>
      <c r="F32" s="54" t="s">
        <v>13</v>
      </c>
      <c r="G32" s="55" t="s">
        <v>14</v>
      </c>
      <c r="I32" s="51"/>
      <c r="J32" s="54" t="s">
        <v>9</v>
      </c>
      <c r="K32" s="54" t="s">
        <v>10</v>
      </c>
      <c r="L32" s="54" t="s">
        <v>11</v>
      </c>
      <c r="M32" s="54" t="s">
        <v>12</v>
      </c>
      <c r="N32" s="54" t="s">
        <v>13</v>
      </c>
      <c r="O32" s="54" t="s">
        <v>14</v>
      </c>
      <c r="P32" s="29"/>
      <c r="R32" s="51"/>
      <c r="S32" s="54" t="s">
        <v>9</v>
      </c>
      <c r="T32" s="54" t="s">
        <v>10</v>
      </c>
      <c r="U32" s="54" t="s">
        <v>11</v>
      </c>
      <c r="V32" s="54" t="s">
        <v>12</v>
      </c>
      <c r="W32" s="54" t="s">
        <v>13</v>
      </c>
      <c r="X32" s="55" t="s">
        <v>14</v>
      </c>
    </row>
    <row r="33" spans="1:70" x14ac:dyDescent="0.25">
      <c r="A33" s="51">
        <v>1</v>
      </c>
      <c r="B33" s="32">
        <v>1</v>
      </c>
      <c r="C33" s="33">
        <v>0</v>
      </c>
      <c r="D33" s="33">
        <v>0</v>
      </c>
      <c r="E33" s="33">
        <v>0</v>
      </c>
      <c r="F33" s="34" t="s">
        <v>32</v>
      </c>
      <c r="G33" s="35" t="s">
        <v>22</v>
      </c>
      <c r="I33" s="51">
        <v>1</v>
      </c>
      <c r="J33" s="32">
        <v>0.45</v>
      </c>
      <c r="K33" s="33">
        <v>0</v>
      </c>
      <c r="L33" s="33">
        <v>0</v>
      </c>
      <c r="M33" s="33">
        <v>10</v>
      </c>
      <c r="N33" s="34" t="s">
        <v>35</v>
      </c>
      <c r="O33" s="35" t="s">
        <v>18</v>
      </c>
      <c r="P33" s="29"/>
      <c r="R33" s="51">
        <v>1</v>
      </c>
      <c r="S33" s="32">
        <v>1</v>
      </c>
      <c r="T33" s="33">
        <v>0</v>
      </c>
      <c r="U33" s="33">
        <v>5</v>
      </c>
      <c r="V33" s="33">
        <v>0</v>
      </c>
      <c r="W33" s="34" t="s">
        <v>32</v>
      </c>
      <c r="X33" s="35" t="s">
        <v>22</v>
      </c>
    </row>
    <row r="34" spans="1:70" x14ac:dyDescent="0.25">
      <c r="A34" s="51">
        <v>2</v>
      </c>
      <c r="B34" s="36">
        <v>0</v>
      </c>
      <c r="C34" s="37">
        <v>0</v>
      </c>
      <c r="D34" s="37">
        <v>0</v>
      </c>
      <c r="E34" s="37">
        <v>0</v>
      </c>
      <c r="F34" s="38" t="s">
        <v>36</v>
      </c>
      <c r="G34" s="39" t="s">
        <v>36</v>
      </c>
      <c r="I34" s="51">
        <v>2</v>
      </c>
      <c r="J34" s="36">
        <v>0</v>
      </c>
      <c r="K34" s="37">
        <v>0</v>
      </c>
      <c r="L34" s="37">
        <v>0</v>
      </c>
      <c r="M34" s="37">
        <v>0</v>
      </c>
      <c r="N34" s="38" t="s">
        <v>36</v>
      </c>
      <c r="O34" s="39" t="s">
        <v>36</v>
      </c>
      <c r="P34" s="29"/>
      <c r="R34" s="51">
        <v>2</v>
      </c>
      <c r="S34" s="36">
        <v>0</v>
      </c>
      <c r="T34" s="37">
        <v>0</v>
      </c>
      <c r="U34" s="37">
        <v>0</v>
      </c>
      <c r="V34" s="37">
        <v>0</v>
      </c>
      <c r="W34" s="38" t="s">
        <v>36</v>
      </c>
      <c r="X34" s="39" t="s">
        <v>36</v>
      </c>
    </row>
    <row r="35" spans="1:70" x14ac:dyDescent="0.25">
      <c r="A35" s="51">
        <v>3</v>
      </c>
      <c r="B35" s="36">
        <v>0</v>
      </c>
      <c r="C35" s="37">
        <v>0</v>
      </c>
      <c r="D35" s="37">
        <v>0</v>
      </c>
      <c r="E35" s="37">
        <v>0</v>
      </c>
      <c r="F35" s="38" t="s">
        <v>36</v>
      </c>
      <c r="G35" s="39" t="s">
        <v>36</v>
      </c>
      <c r="I35" s="51">
        <v>3</v>
      </c>
      <c r="J35" s="36">
        <v>0</v>
      </c>
      <c r="K35" s="37">
        <v>0</v>
      </c>
      <c r="L35" s="37">
        <v>0</v>
      </c>
      <c r="M35" s="37">
        <v>0</v>
      </c>
      <c r="N35" s="38" t="s">
        <v>36</v>
      </c>
      <c r="O35" s="39" t="s">
        <v>36</v>
      </c>
      <c r="P35" s="29"/>
      <c r="R35" s="51">
        <v>3</v>
      </c>
      <c r="S35" s="36">
        <v>0</v>
      </c>
      <c r="T35" s="37">
        <v>0</v>
      </c>
      <c r="U35" s="37">
        <v>0</v>
      </c>
      <c r="V35" s="37">
        <v>0</v>
      </c>
      <c r="W35" s="38" t="s">
        <v>36</v>
      </c>
      <c r="X35" s="39" t="s">
        <v>36</v>
      </c>
    </row>
    <row r="36" spans="1:70" x14ac:dyDescent="0.25">
      <c r="A36" s="51">
        <v>4</v>
      </c>
      <c r="B36" s="36">
        <v>0</v>
      </c>
      <c r="C36" s="37">
        <v>0</v>
      </c>
      <c r="D36" s="37">
        <v>0</v>
      </c>
      <c r="E36" s="37">
        <v>0</v>
      </c>
      <c r="F36" s="38" t="s">
        <v>36</v>
      </c>
      <c r="G36" s="39" t="s">
        <v>36</v>
      </c>
      <c r="I36" s="51">
        <v>4</v>
      </c>
      <c r="J36" s="36">
        <v>0</v>
      </c>
      <c r="K36" s="37">
        <v>0</v>
      </c>
      <c r="L36" s="37">
        <v>0</v>
      </c>
      <c r="M36" s="37">
        <v>0</v>
      </c>
      <c r="N36" s="38" t="s">
        <v>36</v>
      </c>
      <c r="O36" s="39" t="s">
        <v>36</v>
      </c>
      <c r="P36" s="29"/>
      <c r="R36" s="51">
        <v>4</v>
      </c>
      <c r="S36" s="36">
        <v>0</v>
      </c>
      <c r="T36" s="37">
        <v>0</v>
      </c>
      <c r="U36" s="37">
        <v>5</v>
      </c>
      <c r="V36" s="37">
        <v>0</v>
      </c>
      <c r="W36" s="38" t="s">
        <v>36</v>
      </c>
      <c r="X36" s="39" t="s">
        <v>36</v>
      </c>
      <c r="AE36" s="1"/>
    </row>
    <row r="37" spans="1:70" x14ac:dyDescent="0.25">
      <c r="A37" s="51">
        <v>5</v>
      </c>
      <c r="B37" s="36">
        <v>0</v>
      </c>
      <c r="C37" s="37">
        <v>0</v>
      </c>
      <c r="D37" s="37">
        <v>0</v>
      </c>
      <c r="E37" s="37">
        <v>0</v>
      </c>
      <c r="F37" s="38" t="s">
        <v>36</v>
      </c>
      <c r="G37" s="39" t="s">
        <v>36</v>
      </c>
      <c r="I37" s="51">
        <v>5</v>
      </c>
      <c r="J37" s="36">
        <v>0</v>
      </c>
      <c r="K37" s="37">
        <v>0</v>
      </c>
      <c r="L37" s="37">
        <v>0</v>
      </c>
      <c r="M37" s="37">
        <v>0</v>
      </c>
      <c r="N37" s="38" t="s">
        <v>36</v>
      </c>
      <c r="O37" s="39" t="s">
        <v>36</v>
      </c>
      <c r="P37" s="29"/>
      <c r="R37" s="51">
        <v>5</v>
      </c>
      <c r="S37" s="36">
        <v>0</v>
      </c>
      <c r="T37" s="37">
        <v>0</v>
      </c>
      <c r="U37" s="37">
        <v>5</v>
      </c>
      <c r="V37" s="37">
        <v>0</v>
      </c>
      <c r="W37" s="38" t="s">
        <v>36</v>
      </c>
      <c r="X37" s="39" t="s">
        <v>36</v>
      </c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1"/>
      <c r="BD37" s="1"/>
      <c r="BE37" s="1"/>
      <c r="BF37" s="1"/>
      <c r="BG37" s="1"/>
      <c r="BH37" s="1"/>
      <c r="BI37" s="1"/>
      <c r="BJ37" s="1"/>
      <c r="BK37" s="1"/>
      <c r="BL37" s="1"/>
      <c r="BM37" s="1"/>
      <c r="BN37" s="1"/>
      <c r="BO37" s="1"/>
      <c r="BP37" s="1"/>
      <c r="BQ37" s="1"/>
      <c r="BR37" s="1"/>
    </row>
    <row r="38" spans="1:70" x14ac:dyDescent="0.25">
      <c r="A38" s="51">
        <v>6</v>
      </c>
      <c r="B38" s="36">
        <v>0</v>
      </c>
      <c r="C38" s="37">
        <v>0</v>
      </c>
      <c r="D38" s="37">
        <v>0</v>
      </c>
      <c r="E38" s="37">
        <v>0</v>
      </c>
      <c r="F38" s="38" t="s">
        <v>36</v>
      </c>
      <c r="G38" s="39" t="s">
        <v>36</v>
      </c>
      <c r="I38" s="51">
        <v>6</v>
      </c>
      <c r="J38" s="36">
        <v>0</v>
      </c>
      <c r="K38" s="37">
        <v>0</v>
      </c>
      <c r="L38" s="37">
        <v>0</v>
      </c>
      <c r="M38" s="37">
        <v>0</v>
      </c>
      <c r="N38" s="38" t="s">
        <v>36</v>
      </c>
      <c r="O38" s="39" t="s">
        <v>36</v>
      </c>
      <c r="P38" s="29"/>
      <c r="R38" s="51">
        <v>6</v>
      </c>
      <c r="S38" s="36">
        <v>0</v>
      </c>
      <c r="T38" s="37">
        <v>0</v>
      </c>
      <c r="U38" s="37">
        <v>5</v>
      </c>
      <c r="V38" s="37">
        <v>0</v>
      </c>
      <c r="W38" s="38" t="s">
        <v>36</v>
      </c>
      <c r="X38" s="39" t="s">
        <v>36</v>
      </c>
    </row>
    <row r="39" spans="1:70" x14ac:dyDescent="0.25">
      <c r="A39" s="51">
        <v>7</v>
      </c>
      <c r="B39" s="36">
        <v>0</v>
      </c>
      <c r="C39" s="37">
        <v>0</v>
      </c>
      <c r="D39" s="37">
        <v>0</v>
      </c>
      <c r="E39" s="37">
        <v>0</v>
      </c>
      <c r="F39" s="38" t="s">
        <v>36</v>
      </c>
      <c r="G39" s="39" t="s">
        <v>36</v>
      </c>
      <c r="I39" s="51">
        <v>7</v>
      </c>
      <c r="J39" s="36">
        <v>0</v>
      </c>
      <c r="K39" s="37">
        <v>0</v>
      </c>
      <c r="L39" s="37">
        <v>0</v>
      </c>
      <c r="M39" s="37">
        <v>0</v>
      </c>
      <c r="N39" s="38" t="s">
        <v>36</v>
      </c>
      <c r="O39" s="39" t="s">
        <v>36</v>
      </c>
      <c r="P39" s="29"/>
      <c r="R39" s="51">
        <v>7</v>
      </c>
      <c r="S39" s="36">
        <v>0</v>
      </c>
      <c r="T39" s="37">
        <v>0</v>
      </c>
      <c r="U39" s="37">
        <v>5</v>
      </c>
      <c r="V39" s="37">
        <v>0</v>
      </c>
      <c r="W39" s="38" t="s">
        <v>36</v>
      </c>
      <c r="X39" s="39" t="s">
        <v>36</v>
      </c>
    </row>
    <row r="40" spans="1:70" x14ac:dyDescent="0.25">
      <c r="A40" s="51">
        <v>8</v>
      </c>
      <c r="B40" s="36">
        <v>0</v>
      </c>
      <c r="C40" s="37">
        <v>0</v>
      </c>
      <c r="D40" s="37">
        <v>0</v>
      </c>
      <c r="E40" s="37">
        <v>0</v>
      </c>
      <c r="F40" s="38" t="s">
        <v>36</v>
      </c>
      <c r="G40" s="39" t="s">
        <v>36</v>
      </c>
      <c r="I40" s="51">
        <v>8</v>
      </c>
      <c r="J40" s="36">
        <v>0</v>
      </c>
      <c r="K40" s="37">
        <v>0</v>
      </c>
      <c r="L40" s="37">
        <v>0</v>
      </c>
      <c r="M40" s="37">
        <v>0</v>
      </c>
      <c r="N40" s="38" t="s">
        <v>36</v>
      </c>
      <c r="O40" s="39" t="s">
        <v>36</v>
      </c>
      <c r="P40" s="29"/>
      <c r="R40" s="51">
        <v>8</v>
      </c>
      <c r="S40" s="36">
        <v>0</v>
      </c>
      <c r="T40" s="37">
        <v>0</v>
      </c>
      <c r="U40" s="37">
        <v>5</v>
      </c>
      <c r="V40" s="37">
        <v>0</v>
      </c>
      <c r="W40" s="38" t="s">
        <v>36</v>
      </c>
      <c r="X40" s="39" t="s">
        <v>36</v>
      </c>
    </row>
    <row r="41" spans="1:70" x14ac:dyDescent="0.25">
      <c r="A41" s="51">
        <v>9</v>
      </c>
      <c r="B41" s="36">
        <v>0</v>
      </c>
      <c r="C41" s="37">
        <v>0</v>
      </c>
      <c r="D41" s="37">
        <v>0</v>
      </c>
      <c r="E41" s="37">
        <v>0</v>
      </c>
      <c r="F41" s="38" t="s">
        <v>36</v>
      </c>
      <c r="G41" s="39" t="s">
        <v>36</v>
      </c>
      <c r="I41" s="51">
        <v>9</v>
      </c>
      <c r="J41" s="36">
        <v>0</v>
      </c>
      <c r="K41" s="37">
        <v>0</v>
      </c>
      <c r="L41" s="37">
        <v>0</v>
      </c>
      <c r="M41" s="37">
        <v>0</v>
      </c>
      <c r="N41" s="38" t="s">
        <v>36</v>
      </c>
      <c r="O41" s="39" t="s">
        <v>36</v>
      </c>
      <c r="P41" s="29"/>
      <c r="R41" s="51">
        <v>9</v>
      </c>
      <c r="S41" s="36">
        <v>0</v>
      </c>
      <c r="T41" s="37">
        <v>0</v>
      </c>
      <c r="U41" s="37">
        <v>5</v>
      </c>
      <c r="V41" s="37">
        <v>0</v>
      </c>
      <c r="W41" s="38" t="s">
        <v>36</v>
      </c>
      <c r="X41" s="39" t="s">
        <v>36</v>
      </c>
    </row>
    <row r="42" spans="1:70" ht="15.75" thickBot="1" x14ac:dyDescent="0.3">
      <c r="A42" s="51">
        <v>10</v>
      </c>
      <c r="B42" s="36">
        <v>0</v>
      </c>
      <c r="C42" s="37">
        <v>0</v>
      </c>
      <c r="D42" s="37">
        <v>0</v>
      </c>
      <c r="E42" s="37">
        <v>0</v>
      </c>
      <c r="F42" s="38" t="s">
        <v>36</v>
      </c>
      <c r="G42" s="39" t="s">
        <v>36</v>
      </c>
      <c r="I42" s="51">
        <v>10</v>
      </c>
      <c r="J42" s="36">
        <v>0</v>
      </c>
      <c r="K42" s="37">
        <v>0</v>
      </c>
      <c r="L42" s="37">
        <v>0</v>
      </c>
      <c r="M42" s="37">
        <v>0</v>
      </c>
      <c r="N42" s="38" t="s">
        <v>36</v>
      </c>
      <c r="O42" s="39" t="s">
        <v>36</v>
      </c>
      <c r="P42" s="29"/>
      <c r="R42" s="51">
        <v>10</v>
      </c>
      <c r="S42" s="36">
        <v>0</v>
      </c>
      <c r="T42" s="37">
        <v>0</v>
      </c>
      <c r="U42" s="37">
        <v>5</v>
      </c>
      <c r="V42" s="37">
        <v>0</v>
      </c>
      <c r="W42" s="38" t="s">
        <v>36</v>
      </c>
      <c r="X42" s="39" t="s">
        <v>36</v>
      </c>
    </row>
    <row r="43" spans="1:70" ht="15.75" thickBot="1" x14ac:dyDescent="0.3">
      <c r="A43" s="51">
        <v>11</v>
      </c>
      <c r="B43" s="36">
        <v>0</v>
      </c>
      <c r="C43" s="37">
        <v>0</v>
      </c>
      <c r="D43" s="37">
        <v>0</v>
      </c>
      <c r="E43" s="37">
        <v>0</v>
      </c>
      <c r="F43" s="38" t="s">
        <v>36</v>
      </c>
      <c r="G43" s="39" t="s">
        <v>36</v>
      </c>
      <c r="H43" s="65"/>
      <c r="I43" s="51">
        <v>11</v>
      </c>
      <c r="J43" s="36">
        <v>0</v>
      </c>
      <c r="K43" s="37">
        <v>0</v>
      </c>
      <c r="L43" s="37">
        <v>0</v>
      </c>
      <c r="M43" s="37">
        <v>0</v>
      </c>
      <c r="N43" s="38" t="s">
        <v>36</v>
      </c>
      <c r="O43" s="39" t="s">
        <v>36</v>
      </c>
      <c r="P43" s="29"/>
      <c r="R43" s="51">
        <v>11</v>
      </c>
      <c r="S43" s="36">
        <v>0</v>
      </c>
      <c r="T43" s="37">
        <v>0</v>
      </c>
      <c r="U43" s="37">
        <v>0</v>
      </c>
      <c r="V43" s="37">
        <v>0</v>
      </c>
      <c r="W43" s="38" t="s">
        <v>36</v>
      </c>
      <c r="X43" s="39" t="s">
        <v>36</v>
      </c>
    </row>
    <row r="44" spans="1:70" x14ac:dyDescent="0.25">
      <c r="A44" s="51">
        <v>12</v>
      </c>
      <c r="B44" s="36">
        <v>0</v>
      </c>
      <c r="C44" s="37">
        <v>0</v>
      </c>
      <c r="D44" s="37">
        <v>0</v>
      </c>
      <c r="E44" s="37">
        <v>0</v>
      </c>
      <c r="F44" s="38" t="s">
        <v>36</v>
      </c>
      <c r="G44" s="39" t="s">
        <v>36</v>
      </c>
      <c r="I44" s="51">
        <v>12</v>
      </c>
      <c r="J44" s="36">
        <v>0</v>
      </c>
      <c r="K44" s="37">
        <v>0</v>
      </c>
      <c r="L44" s="37">
        <v>0</v>
      </c>
      <c r="M44" s="37">
        <v>0</v>
      </c>
      <c r="N44" s="38" t="s">
        <v>36</v>
      </c>
      <c r="O44" s="39" t="s">
        <v>36</v>
      </c>
      <c r="P44" s="29"/>
      <c r="R44" s="51">
        <v>12</v>
      </c>
      <c r="S44" s="36">
        <v>0</v>
      </c>
      <c r="T44" s="37">
        <v>0</v>
      </c>
      <c r="U44" s="37">
        <v>0</v>
      </c>
      <c r="V44" s="37">
        <v>0</v>
      </c>
      <c r="W44" s="38" t="s">
        <v>36</v>
      </c>
      <c r="X44" s="39" t="s">
        <v>36</v>
      </c>
    </row>
    <row r="45" spans="1:70" x14ac:dyDescent="0.25">
      <c r="A45" s="51">
        <v>13</v>
      </c>
      <c r="B45" s="36">
        <v>0</v>
      </c>
      <c r="C45" s="37">
        <v>0</v>
      </c>
      <c r="D45" s="37">
        <v>0</v>
      </c>
      <c r="E45" s="37">
        <v>0</v>
      </c>
      <c r="F45" s="38" t="s">
        <v>36</v>
      </c>
      <c r="G45" s="39" t="s">
        <v>36</v>
      </c>
      <c r="I45" s="51">
        <v>13</v>
      </c>
      <c r="J45" s="36">
        <v>0</v>
      </c>
      <c r="K45" s="37">
        <v>0</v>
      </c>
      <c r="L45" s="37">
        <v>0</v>
      </c>
      <c r="M45" s="37">
        <v>0</v>
      </c>
      <c r="N45" s="38" t="s">
        <v>36</v>
      </c>
      <c r="O45" s="39" t="s">
        <v>36</v>
      </c>
      <c r="P45" s="29"/>
      <c r="R45" s="51">
        <v>13</v>
      </c>
      <c r="S45" s="36">
        <v>0</v>
      </c>
      <c r="T45" s="37">
        <v>0</v>
      </c>
      <c r="U45" s="37">
        <v>0</v>
      </c>
      <c r="V45" s="37">
        <v>0</v>
      </c>
      <c r="W45" s="38" t="s">
        <v>36</v>
      </c>
      <c r="X45" s="39" t="s">
        <v>36</v>
      </c>
    </row>
    <row r="46" spans="1:70" x14ac:dyDescent="0.25">
      <c r="A46" s="51">
        <v>14</v>
      </c>
      <c r="B46" s="36">
        <v>0</v>
      </c>
      <c r="C46" s="37">
        <v>0</v>
      </c>
      <c r="D46" s="37">
        <v>0</v>
      </c>
      <c r="E46" s="37">
        <v>0</v>
      </c>
      <c r="F46" s="38" t="s">
        <v>36</v>
      </c>
      <c r="G46" s="39" t="s">
        <v>36</v>
      </c>
      <c r="I46" s="51">
        <v>14</v>
      </c>
      <c r="J46" s="36">
        <v>0</v>
      </c>
      <c r="K46" s="37">
        <v>0</v>
      </c>
      <c r="L46" s="37">
        <v>0</v>
      </c>
      <c r="M46" s="37">
        <v>0</v>
      </c>
      <c r="N46" s="38" t="s">
        <v>36</v>
      </c>
      <c r="O46" s="39" t="s">
        <v>36</v>
      </c>
      <c r="P46" s="29"/>
      <c r="R46" s="51">
        <v>14</v>
      </c>
      <c r="S46" s="36">
        <v>0</v>
      </c>
      <c r="T46" s="37">
        <v>0</v>
      </c>
      <c r="U46" s="37">
        <v>0</v>
      </c>
      <c r="V46" s="37">
        <v>0</v>
      </c>
      <c r="W46" s="38" t="s">
        <v>36</v>
      </c>
      <c r="X46" s="39" t="s">
        <v>36</v>
      </c>
    </row>
    <row r="47" spans="1:70" x14ac:dyDescent="0.25">
      <c r="A47" s="51">
        <v>15</v>
      </c>
      <c r="B47" s="36">
        <v>0</v>
      </c>
      <c r="C47" s="37">
        <v>0</v>
      </c>
      <c r="D47" s="37">
        <v>0</v>
      </c>
      <c r="E47" s="37">
        <v>0</v>
      </c>
      <c r="F47" s="38" t="s">
        <v>36</v>
      </c>
      <c r="G47" s="39" t="s">
        <v>36</v>
      </c>
      <c r="I47" s="51">
        <v>15</v>
      </c>
      <c r="J47" s="36">
        <v>0</v>
      </c>
      <c r="K47" s="37">
        <v>0</v>
      </c>
      <c r="L47" s="37">
        <v>0</v>
      </c>
      <c r="M47" s="37">
        <v>0</v>
      </c>
      <c r="N47" s="38" t="s">
        <v>36</v>
      </c>
      <c r="O47" s="39" t="s">
        <v>36</v>
      </c>
      <c r="P47" s="29"/>
      <c r="R47" s="51">
        <v>15</v>
      </c>
      <c r="S47" s="36">
        <v>0</v>
      </c>
      <c r="T47" s="37">
        <v>0</v>
      </c>
      <c r="U47" s="37">
        <v>0</v>
      </c>
      <c r="V47" s="37">
        <v>0</v>
      </c>
      <c r="W47" s="38" t="s">
        <v>36</v>
      </c>
      <c r="X47" s="39" t="s">
        <v>36</v>
      </c>
    </row>
    <row r="48" spans="1:70" x14ac:dyDescent="0.25">
      <c r="A48" s="51">
        <v>16</v>
      </c>
      <c r="B48" s="36">
        <v>0</v>
      </c>
      <c r="C48" s="37">
        <v>0</v>
      </c>
      <c r="D48" s="37">
        <v>0</v>
      </c>
      <c r="E48" s="37">
        <v>0</v>
      </c>
      <c r="F48" s="38" t="s">
        <v>36</v>
      </c>
      <c r="G48" s="39" t="s">
        <v>36</v>
      </c>
      <c r="I48" s="51">
        <v>16</v>
      </c>
      <c r="J48" s="36">
        <v>0</v>
      </c>
      <c r="K48" s="37">
        <v>0</v>
      </c>
      <c r="L48" s="37">
        <v>0</v>
      </c>
      <c r="M48" s="37">
        <v>0</v>
      </c>
      <c r="N48" s="38" t="s">
        <v>36</v>
      </c>
      <c r="O48" s="39" t="s">
        <v>36</v>
      </c>
      <c r="P48" s="29"/>
      <c r="R48" s="51">
        <v>16</v>
      </c>
      <c r="S48" s="36">
        <v>0</v>
      </c>
      <c r="T48" s="37">
        <v>0</v>
      </c>
      <c r="U48" s="37">
        <v>0</v>
      </c>
      <c r="V48" s="37">
        <v>0</v>
      </c>
      <c r="W48" s="38" t="s">
        <v>36</v>
      </c>
      <c r="X48" s="39" t="s">
        <v>36</v>
      </c>
    </row>
    <row r="49" spans="1:24" x14ac:dyDescent="0.25">
      <c r="A49" s="51">
        <v>17</v>
      </c>
      <c r="B49" s="36">
        <v>0</v>
      </c>
      <c r="C49" s="37">
        <v>0</v>
      </c>
      <c r="D49" s="37">
        <v>0</v>
      </c>
      <c r="E49" s="37">
        <v>0</v>
      </c>
      <c r="F49" s="38" t="s">
        <v>36</v>
      </c>
      <c r="G49" s="39" t="s">
        <v>36</v>
      </c>
      <c r="I49" s="51">
        <v>17</v>
      </c>
      <c r="J49" s="36">
        <v>0</v>
      </c>
      <c r="K49" s="37">
        <v>0</v>
      </c>
      <c r="L49" s="37">
        <v>0</v>
      </c>
      <c r="M49" s="37">
        <v>0</v>
      </c>
      <c r="N49" s="38" t="s">
        <v>36</v>
      </c>
      <c r="O49" s="39" t="s">
        <v>36</v>
      </c>
      <c r="P49" s="29"/>
      <c r="R49" s="51">
        <v>17</v>
      </c>
      <c r="S49" s="36">
        <v>0</v>
      </c>
      <c r="T49" s="37">
        <v>0</v>
      </c>
      <c r="U49" s="37">
        <v>0</v>
      </c>
      <c r="V49" s="37">
        <v>0</v>
      </c>
      <c r="W49" s="38" t="s">
        <v>36</v>
      </c>
      <c r="X49" s="39" t="s">
        <v>36</v>
      </c>
    </row>
    <row r="50" spans="1:24" x14ac:dyDescent="0.25">
      <c r="A50" s="51">
        <v>18</v>
      </c>
      <c r="B50" s="36">
        <v>0</v>
      </c>
      <c r="C50" s="37">
        <v>0</v>
      </c>
      <c r="D50" s="37">
        <v>0</v>
      </c>
      <c r="E50" s="37">
        <v>0</v>
      </c>
      <c r="F50" s="38" t="s">
        <v>36</v>
      </c>
      <c r="G50" s="39" t="s">
        <v>36</v>
      </c>
      <c r="I50" s="51">
        <v>18</v>
      </c>
      <c r="J50" s="36">
        <v>0</v>
      </c>
      <c r="K50" s="37">
        <v>0</v>
      </c>
      <c r="L50" s="37">
        <v>0</v>
      </c>
      <c r="M50" s="37">
        <v>0</v>
      </c>
      <c r="N50" s="38" t="s">
        <v>36</v>
      </c>
      <c r="O50" s="39" t="s">
        <v>36</v>
      </c>
      <c r="P50" s="29"/>
      <c r="R50" s="51">
        <v>18</v>
      </c>
      <c r="S50" s="36">
        <v>0</v>
      </c>
      <c r="T50" s="37">
        <v>0</v>
      </c>
      <c r="U50" s="37">
        <v>0</v>
      </c>
      <c r="V50" s="37">
        <v>0</v>
      </c>
      <c r="W50" s="38" t="s">
        <v>36</v>
      </c>
      <c r="X50" s="39" t="s">
        <v>36</v>
      </c>
    </row>
    <row r="51" spans="1:24" x14ac:dyDescent="0.25">
      <c r="A51" s="51">
        <v>19</v>
      </c>
      <c r="B51" s="36">
        <v>0</v>
      </c>
      <c r="C51" s="37">
        <v>0</v>
      </c>
      <c r="D51" s="37">
        <v>0</v>
      </c>
      <c r="E51" s="37">
        <v>0</v>
      </c>
      <c r="F51" s="38" t="s">
        <v>36</v>
      </c>
      <c r="G51" s="39" t="s">
        <v>36</v>
      </c>
      <c r="I51" s="51">
        <v>19</v>
      </c>
      <c r="J51" s="36">
        <v>0</v>
      </c>
      <c r="K51" s="37">
        <v>0</v>
      </c>
      <c r="L51" s="37">
        <v>0</v>
      </c>
      <c r="M51" s="37">
        <v>0</v>
      </c>
      <c r="N51" s="38" t="s">
        <v>36</v>
      </c>
      <c r="O51" s="39" t="s">
        <v>36</v>
      </c>
      <c r="P51" s="29"/>
      <c r="R51" s="51">
        <v>19</v>
      </c>
      <c r="S51" s="36">
        <v>0</v>
      </c>
      <c r="T51" s="37">
        <v>0</v>
      </c>
      <c r="U51" s="37">
        <v>0</v>
      </c>
      <c r="V51" s="37">
        <v>0</v>
      </c>
      <c r="W51" s="38" t="s">
        <v>36</v>
      </c>
      <c r="X51" s="39" t="s">
        <v>36</v>
      </c>
    </row>
    <row r="52" spans="1:24" ht="15.75" thickBot="1" x14ac:dyDescent="0.3">
      <c r="A52" s="51">
        <v>20</v>
      </c>
      <c r="B52" s="40">
        <v>0</v>
      </c>
      <c r="C52" s="41">
        <v>0</v>
      </c>
      <c r="D52" s="41">
        <v>0</v>
      </c>
      <c r="E52" s="41">
        <v>0</v>
      </c>
      <c r="F52" s="42" t="s">
        <v>36</v>
      </c>
      <c r="G52" s="43" t="s">
        <v>36</v>
      </c>
      <c r="I52" s="51">
        <v>20</v>
      </c>
      <c r="J52" s="40">
        <v>0</v>
      </c>
      <c r="K52" s="41">
        <v>0</v>
      </c>
      <c r="L52" s="41">
        <v>0</v>
      </c>
      <c r="M52" s="41">
        <v>0</v>
      </c>
      <c r="N52" s="42" t="s">
        <v>36</v>
      </c>
      <c r="O52" s="43" t="s">
        <v>36</v>
      </c>
      <c r="P52" s="29"/>
      <c r="R52" s="51">
        <v>20</v>
      </c>
      <c r="S52" s="40">
        <v>0</v>
      </c>
      <c r="T52" s="41">
        <v>0</v>
      </c>
      <c r="U52" s="41">
        <v>0</v>
      </c>
      <c r="V52" s="41">
        <v>0</v>
      </c>
      <c r="W52" s="42" t="s">
        <v>36</v>
      </c>
      <c r="X52" s="43" t="s">
        <v>36</v>
      </c>
    </row>
    <row r="53" spans="1:24" x14ac:dyDescent="0.25">
      <c r="A53" s="51">
        <v>21</v>
      </c>
      <c r="B53" s="22" cm="1">
        <f t="array" aca="1" ref="B53" ca="1">center_span(J29,0,D3,D2,J33:O79,G5:P5,3)</f>
        <v>-4.9655172413793115E-2</v>
      </c>
      <c r="C53" s="56">
        <v>0</v>
      </c>
      <c r="D53" s="57">
        <f>$B$29</f>
        <v>0</v>
      </c>
      <c r="E53" s="56">
        <v>0</v>
      </c>
      <c r="F53" s="22" t="s">
        <v>65</v>
      </c>
      <c r="G53" s="58" t="s">
        <v>63</v>
      </c>
      <c r="I53" s="51">
        <v>21</v>
      </c>
      <c r="J53" s="71" cm="1">
        <f t="array" ref="J53">left_cantilever_analysis(B29,B29,D3,D2,B33:G52,Load_Combos!B3:K3,2)</f>
        <v>0</v>
      </c>
      <c r="K53" s="71">
        <v>0</v>
      </c>
      <c r="L53" s="71">
        <v>0</v>
      </c>
      <c r="M53" s="71">
        <v>0</v>
      </c>
      <c r="N53" s="71" t="s">
        <v>33</v>
      </c>
      <c r="O53" s="71" t="s">
        <v>18</v>
      </c>
      <c r="P53" s="29"/>
      <c r="R53" s="51">
        <v>21</v>
      </c>
      <c r="S53" s="22" cm="1">
        <f t="array" aca="1" ref="S53" ca="1">center_span(J29,J29,D3,D2,J33:O79,G5:P5,3)</f>
        <v>4.3448275862068945E-2</v>
      </c>
      <c r="T53" s="56">
        <v>0</v>
      </c>
      <c r="U53" s="56">
        <v>0</v>
      </c>
      <c r="V53" s="56">
        <v>0</v>
      </c>
      <c r="W53" s="22" t="s">
        <v>65</v>
      </c>
      <c r="X53" s="58" t="s">
        <v>63</v>
      </c>
    </row>
    <row r="54" spans="1:24" ht="15.75" thickBot="1" x14ac:dyDescent="0.3">
      <c r="A54" s="59"/>
      <c r="B54" s="60"/>
      <c r="C54" s="61"/>
      <c r="D54" s="62"/>
      <c r="E54" s="61"/>
      <c r="F54" s="63"/>
      <c r="G54" s="64"/>
      <c r="I54" s="51">
        <v>22</v>
      </c>
      <c r="J54" s="71" cm="1">
        <f t="array" ref="J54">right_cantilever_analysis(S29,0,D3,D2,S33:X52,Load_Combos!B3:K3,2)*-1</f>
        <v>0</v>
      </c>
      <c r="K54" s="71">
        <v>0</v>
      </c>
      <c r="L54" s="72">
        <f>$J$29</f>
        <v>10</v>
      </c>
      <c r="M54" s="71">
        <v>0</v>
      </c>
      <c r="N54" s="71" t="s">
        <v>33</v>
      </c>
      <c r="O54" s="71" t="s">
        <v>18</v>
      </c>
      <c r="P54" s="29"/>
      <c r="R54" s="74"/>
      <c r="S54" s="63"/>
      <c r="T54" s="61"/>
      <c r="U54" s="61"/>
      <c r="V54" s="61"/>
      <c r="W54" s="63"/>
      <c r="X54" s="75"/>
    </row>
    <row r="55" spans="1:24" x14ac:dyDescent="0.25">
      <c r="B55" s="13"/>
      <c r="C55" s="14"/>
      <c r="D55" s="15"/>
      <c r="E55" s="14"/>
      <c r="F55" s="5"/>
      <c r="G55" s="13"/>
      <c r="I55" s="51">
        <v>23</v>
      </c>
      <c r="J55" s="71" cm="1">
        <f t="array" ref="J55">left_cantilever_analysis(B29,B29,D3,D2,B33:G52,Load_Combos!B4:K4,2)</f>
        <v>0</v>
      </c>
      <c r="K55" s="71">
        <v>0</v>
      </c>
      <c r="L55" s="71">
        <v>0</v>
      </c>
      <c r="M55" s="71">
        <v>0</v>
      </c>
      <c r="N55" s="71" t="s">
        <v>33</v>
      </c>
      <c r="O55" s="71" t="s">
        <v>22</v>
      </c>
      <c r="P55" s="29"/>
      <c r="Q55" s="13"/>
      <c r="R55" s="5"/>
      <c r="S55" s="14"/>
      <c r="T55" s="14"/>
      <c r="U55" s="14"/>
      <c r="V55" s="5"/>
      <c r="W55" s="5"/>
    </row>
    <row r="56" spans="1:24" x14ac:dyDescent="0.25">
      <c r="B56" s="13"/>
      <c r="C56" s="14"/>
      <c r="D56" s="15"/>
      <c r="E56" s="14"/>
      <c r="F56" s="5"/>
      <c r="G56" s="13"/>
      <c r="I56" s="51">
        <v>24</v>
      </c>
      <c r="J56" s="71" cm="1">
        <f t="array" ref="J56">right_cantilever_analysis(S29,0,D3,D2,S33:X52,Load_Combos!B4:K4,2)*-1</f>
        <v>0</v>
      </c>
      <c r="K56" s="71">
        <v>0</v>
      </c>
      <c r="L56" s="72">
        <f>$J$29</f>
        <v>10</v>
      </c>
      <c r="M56" s="71">
        <v>0</v>
      </c>
      <c r="N56" s="71" t="s">
        <v>33</v>
      </c>
      <c r="O56" s="71" t="s">
        <v>22</v>
      </c>
      <c r="P56" s="29"/>
      <c r="Q56" s="13"/>
      <c r="R56" s="5"/>
      <c r="S56" s="14"/>
      <c r="T56" s="14"/>
      <c r="U56" s="14"/>
      <c r="V56" s="5"/>
      <c r="W56" s="5"/>
    </row>
    <row r="57" spans="1:24" x14ac:dyDescent="0.25">
      <c r="B57" s="13"/>
      <c r="C57" s="14"/>
      <c r="D57" s="15"/>
      <c r="E57" s="14"/>
      <c r="F57" s="5"/>
      <c r="G57" s="13"/>
      <c r="I57" s="51">
        <v>25</v>
      </c>
      <c r="J57" s="71" cm="1">
        <f t="array" ref="J57">left_cantilever_analysis(B29,B29,D3,D2,B33:G52,Load_Combos!B5:K5,2)</f>
        <v>0</v>
      </c>
      <c r="K57" s="71">
        <v>0</v>
      </c>
      <c r="L57" s="71">
        <v>0</v>
      </c>
      <c r="M57" s="71">
        <v>0</v>
      </c>
      <c r="N57" s="71" t="s">
        <v>33</v>
      </c>
      <c r="O57" s="71" t="s">
        <v>23</v>
      </c>
      <c r="P57" s="29"/>
      <c r="Q57" s="13"/>
      <c r="R57" s="5"/>
      <c r="S57" s="14"/>
      <c r="T57" s="14"/>
      <c r="U57" s="14"/>
      <c r="V57" s="5"/>
      <c r="W57" s="5"/>
    </row>
    <row r="58" spans="1:24" x14ac:dyDescent="0.25">
      <c r="B58" s="13"/>
      <c r="C58" s="14"/>
      <c r="D58" s="15"/>
      <c r="E58" s="14"/>
      <c r="F58" s="5"/>
      <c r="G58" s="13"/>
      <c r="I58" s="51">
        <v>26</v>
      </c>
      <c r="J58" s="71" cm="1">
        <f t="array" ref="J58">right_cantilever_analysis(S29,0,D3,D2,S33:X52,Load_Combos!B5:K5,2)*-1</f>
        <v>0</v>
      </c>
      <c r="K58" s="71">
        <v>0</v>
      </c>
      <c r="L58" s="72">
        <f>$J$29</f>
        <v>10</v>
      </c>
      <c r="M58" s="71">
        <v>0</v>
      </c>
      <c r="N58" s="71" t="s">
        <v>33</v>
      </c>
      <c r="O58" s="71" t="s">
        <v>23</v>
      </c>
      <c r="P58" s="29"/>
      <c r="Q58" s="13"/>
      <c r="R58" s="5"/>
      <c r="S58" s="14"/>
      <c r="T58" s="14"/>
      <c r="U58" s="14"/>
      <c r="V58" s="5"/>
      <c r="W58" s="5"/>
    </row>
    <row r="59" spans="1:24" x14ac:dyDescent="0.25">
      <c r="B59" s="13"/>
      <c r="C59" s="14"/>
      <c r="D59" s="15"/>
      <c r="E59" s="14"/>
      <c r="F59" s="5"/>
      <c r="G59" s="13"/>
      <c r="I59" s="51">
        <v>27</v>
      </c>
      <c r="J59" s="71" cm="1">
        <f t="array" ref="J59">left_cantilever_analysis(B29,B29,D3,D2,B33:G52,Load_Combos!B6:K6,2)</f>
        <v>0</v>
      </c>
      <c r="K59" s="71">
        <v>0</v>
      </c>
      <c r="L59" s="71">
        <v>0</v>
      </c>
      <c r="M59" s="71">
        <v>0</v>
      </c>
      <c r="N59" s="71" t="s">
        <v>33</v>
      </c>
      <c r="O59" s="71" t="s">
        <v>24</v>
      </c>
      <c r="P59" s="29"/>
      <c r="Q59" s="13"/>
      <c r="R59" s="5"/>
      <c r="S59" s="14"/>
      <c r="T59" s="14"/>
      <c r="U59" s="14"/>
      <c r="V59" s="5"/>
      <c r="W59" s="5"/>
    </row>
    <row r="60" spans="1:24" x14ac:dyDescent="0.25">
      <c r="B60" s="13"/>
      <c r="C60" s="14"/>
      <c r="D60" s="15"/>
      <c r="E60" s="14"/>
      <c r="F60" s="5"/>
      <c r="G60" s="13"/>
      <c r="I60" s="51">
        <v>28</v>
      </c>
      <c r="J60" s="71" cm="1">
        <f t="array" ref="J60">right_cantilever_analysis(S29,0,D3,D2,S33:X52,Load_Combos!B6:K6,2)*-1</f>
        <v>0</v>
      </c>
      <c r="K60" s="71">
        <v>0</v>
      </c>
      <c r="L60" s="72">
        <f>$J$29</f>
        <v>10</v>
      </c>
      <c r="M60" s="71">
        <v>0</v>
      </c>
      <c r="N60" s="71" t="s">
        <v>33</v>
      </c>
      <c r="O60" s="71" t="s">
        <v>24</v>
      </c>
      <c r="P60" s="29"/>
      <c r="Q60" s="13"/>
      <c r="R60" s="5"/>
      <c r="S60" s="14"/>
      <c r="T60" s="14"/>
      <c r="U60" s="14"/>
      <c r="V60" s="5"/>
      <c r="W60" s="5"/>
    </row>
    <row r="61" spans="1:24" x14ac:dyDescent="0.25">
      <c r="B61" s="13"/>
      <c r="C61" s="14"/>
      <c r="D61" s="15"/>
      <c r="E61" s="14"/>
      <c r="F61" s="5"/>
      <c r="G61" s="13"/>
      <c r="I61" s="51">
        <v>29</v>
      </c>
      <c r="J61" s="71" cm="1">
        <f t="array" ref="J61">left_cantilever_analysis(B29,B29,D3,D2,B33:G52,Load_Combos!B7:K7,2)</f>
        <v>0</v>
      </c>
      <c r="K61" s="71">
        <v>0</v>
      </c>
      <c r="L61" s="71">
        <v>0</v>
      </c>
      <c r="M61" s="71">
        <v>0</v>
      </c>
      <c r="N61" s="71" t="s">
        <v>33</v>
      </c>
      <c r="O61" s="71" t="s">
        <v>17</v>
      </c>
      <c r="P61" s="29"/>
      <c r="Q61" s="13"/>
      <c r="R61" s="5"/>
      <c r="S61" s="14"/>
      <c r="T61" s="14"/>
      <c r="U61" s="14"/>
      <c r="V61" s="5"/>
      <c r="W61" s="5"/>
    </row>
    <row r="62" spans="1:24" x14ac:dyDescent="0.25">
      <c r="B62" s="13"/>
      <c r="C62" s="14"/>
      <c r="D62" s="15"/>
      <c r="E62" s="14"/>
      <c r="F62" s="5"/>
      <c r="G62" s="13"/>
      <c r="I62" s="51">
        <v>30</v>
      </c>
      <c r="J62" s="71" cm="1">
        <f t="array" ref="J62">right_cantilever_analysis(S29,0,D3,D2,S33:X52,Load_Combos!B7:K7,2)*-1</f>
        <v>0</v>
      </c>
      <c r="K62" s="71">
        <v>0</v>
      </c>
      <c r="L62" s="72">
        <f>$J$29</f>
        <v>10</v>
      </c>
      <c r="M62" s="71">
        <v>0</v>
      </c>
      <c r="N62" s="71" t="s">
        <v>33</v>
      </c>
      <c r="O62" s="71" t="s">
        <v>17</v>
      </c>
      <c r="P62" s="29"/>
      <c r="Q62" s="13"/>
      <c r="R62" s="5"/>
      <c r="S62" s="14"/>
      <c r="T62" s="14"/>
      <c r="U62" s="14"/>
      <c r="V62" s="5"/>
      <c r="W62" s="5"/>
    </row>
    <row r="63" spans="1:24" x14ac:dyDescent="0.25">
      <c r="I63" s="51">
        <v>31</v>
      </c>
      <c r="J63" s="71" cm="1">
        <f t="array" ref="J63">left_cantilever_analysis(B29,B29,D3,D2,B33:G52,Load_Combos!B8:K8,2)</f>
        <v>0</v>
      </c>
      <c r="K63" s="71">
        <v>0</v>
      </c>
      <c r="L63" s="71">
        <v>0</v>
      </c>
      <c r="M63" s="71">
        <v>0</v>
      </c>
      <c r="N63" s="71" t="s">
        <v>33</v>
      </c>
      <c r="O63" s="71" t="s">
        <v>25</v>
      </c>
      <c r="P63" s="29"/>
    </row>
    <row r="64" spans="1:24" x14ac:dyDescent="0.25">
      <c r="I64" s="51">
        <v>32</v>
      </c>
      <c r="J64" s="71" cm="1">
        <f t="array" ref="J64">right_cantilever_analysis(S29,0,D3,D2,S33:X52,Load_Combos!B8:K8,2)*-1</f>
        <v>0</v>
      </c>
      <c r="K64" s="71">
        <v>0</v>
      </c>
      <c r="L64" s="72">
        <f>$J$29</f>
        <v>10</v>
      </c>
      <c r="M64" s="71">
        <v>0</v>
      </c>
      <c r="N64" s="71" t="s">
        <v>33</v>
      </c>
      <c r="O64" s="71" t="s">
        <v>25</v>
      </c>
      <c r="P64" s="29"/>
    </row>
    <row r="65" spans="9:70" x14ac:dyDescent="0.25">
      <c r="I65" s="51">
        <v>33</v>
      </c>
      <c r="J65" s="71" cm="1">
        <f t="array" ref="J65">left_cantilever_analysis(B29,B29,D3,D2,B33:G52,Load_Combos!B9:K9,2)</f>
        <v>0</v>
      </c>
      <c r="K65" s="71">
        <v>0</v>
      </c>
      <c r="L65" s="71">
        <v>0</v>
      </c>
      <c r="M65" s="71">
        <v>0</v>
      </c>
      <c r="N65" s="71" t="s">
        <v>33</v>
      </c>
      <c r="O65" s="71" t="s">
        <v>26</v>
      </c>
      <c r="P65" s="29"/>
    </row>
    <row r="66" spans="9:70" x14ac:dyDescent="0.25">
      <c r="I66" s="51">
        <v>34</v>
      </c>
      <c r="J66" s="71" cm="1">
        <f t="array" ref="J66">right_cantilever_analysis(S29,0,D3,D2,S33:X52,Load_Combos!B9:K9,2)*-1</f>
        <v>0</v>
      </c>
      <c r="K66" s="71">
        <v>0</v>
      </c>
      <c r="L66" s="72">
        <f>$J$29</f>
        <v>10</v>
      </c>
      <c r="M66" s="71">
        <v>0</v>
      </c>
      <c r="N66" s="71" t="s">
        <v>33</v>
      </c>
      <c r="O66" s="71" t="s">
        <v>26</v>
      </c>
      <c r="P66" s="29"/>
    </row>
    <row r="67" spans="9:70" x14ac:dyDescent="0.25">
      <c r="I67" s="51">
        <v>35</v>
      </c>
      <c r="J67" s="71" cm="1">
        <f t="array" ref="J67">left_cantilever_analysis(B29,B29,D3,D2,B33:G52,Load_Combos!B10:K10,2)</f>
        <v>0</v>
      </c>
      <c r="K67" s="71">
        <v>0</v>
      </c>
      <c r="L67" s="71">
        <v>0</v>
      </c>
      <c r="M67" s="71">
        <v>0</v>
      </c>
      <c r="N67" s="71" t="s">
        <v>33</v>
      </c>
      <c r="O67" s="71" t="s">
        <v>27</v>
      </c>
      <c r="P67" s="29"/>
    </row>
    <row r="68" spans="9:70" x14ac:dyDescent="0.25">
      <c r="I68" s="51">
        <v>36</v>
      </c>
      <c r="J68" s="71" cm="1">
        <f t="array" ref="J68">right_cantilever_analysis(S29,0,D3,D2,S33:X52,Load_Combos!B10:K10,2)*-1</f>
        <v>0</v>
      </c>
      <c r="K68" s="71">
        <v>0</v>
      </c>
      <c r="L68" s="72">
        <f>$J$29</f>
        <v>10</v>
      </c>
      <c r="M68" s="71">
        <v>0</v>
      </c>
      <c r="N68" s="71" t="s">
        <v>33</v>
      </c>
      <c r="O68" s="71" t="s">
        <v>27</v>
      </c>
      <c r="P68" s="29"/>
      <c r="AE68" s="1"/>
    </row>
    <row r="69" spans="9:70" x14ac:dyDescent="0.25">
      <c r="I69" s="51">
        <v>37</v>
      </c>
      <c r="J69" s="71" cm="1">
        <f t="array" ref="J69">left_cantilever_analysis(B29,B29,D3,D2,B33:G52,Load_Combos!B11:K11,2)</f>
        <v>0</v>
      </c>
      <c r="K69" s="71">
        <v>0</v>
      </c>
      <c r="L69" s="71">
        <v>0</v>
      </c>
      <c r="M69" s="71">
        <v>0</v>
      </c>
      <c r="N69" s="71" t="s">
        <v>33</v>
      </c>
      <c r="O69" s="71" t="s">
        <v>28</v>
      </c>
      <c r="P69" s="29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  <c r="AT69" s="1"/>
      <c r="AU69" s="1"/>
      <c r="AV69" s="1"/>
      <c r="AW69" s="1"/>
      <c r="AX69" s="1"/>
      <c r="AY69" s="1"/>
      <c r="AZ69" s="1"/>
      <c r="BA69" s="1"/>
      <c r="BB69" s="1"/>
      <c r="BC69" s="1"/>
      <c r="BD69" s="1"/>
      <c r="BE69" s="1"/>
      <c r="BF69" s="1"/>
      <c r="BG69" s="1"/>
      <c r="BH69" s="1"/>
      <c r="BI69" s="1"/>
      <c r="BJ69" s="1"/>
      <c r="BK69" s="1"/>
      <c r="BL69" s="1"/>
      <c r="BM69" s="1"/>
      <c r="BN69" s="1"/>
      <c r="BO69" s="1"/>
      <c r="BP69" s="1"/>
      <c r="BQ69" s="1"/>
      <c r="BR69" s="1"/>
    </row>
    <row r="70" spans="9:70" x14ac:dyDescent="0.25">
      <c r="I70" s="51">
        <v>38</v>
      </c>
      <c r="J70" s="71" cm="1">
        <f t="array" ref="J70">right_cantilever_analysis(S29,0,D3,D2,S33:X52,Load_Combos!B11:K11,2)*-1</f>
        <v>0</v>
      </c>
      <c r="K70" s="71">
        <v>0</v>
      </c>
      <c r="L70" s="72">
        <f>$J$29</f>
        <v>10</v>
      </c>
      <c r="M70" s="71">
        <v>0</v>
      </c>
      <c r="N70" s="71" t="s">
        <v>33</v>
      </c>
      <c r="O70" s="71" t="s">
        <v>28</v>
      </c>
      <c r="P70" s="29"/>
    </row>
    <row r="71" spans="9:70" x14ac:dyDescent="0.25">
      <c r="I71" s="51">
        <v>39</v>
      </c>
      <c r="J71" s="71" cm="1">
        <f t="array" ref="J71">left_cantilever_analysis(B29,B29,D3,D2,B33:G52,Load_Combos!B12:K12,2)</f>
        <v>0</v>
      </c>
      <c r="K71" s="71">
        <v>0</v>
      </c>
      <c r="L71" s="71">
        <v>0</v>
      </c>
      <c r="M71" s="71">
        <v>0</v>
      </c>
      <c r="N71" s="71" t="s">
        <v>33</v>
      </c>
      <c r="O71" s="71" t="s">
        <v>29</v>
      </c>
      <c r="P71" s="29"/>
    </row>
    <row r="72" spans="9:70" x14ac:dyDescent="0.25">
      <c r="I72" s="51">
        <v>40</v>
      </c>
      <c r="J72" s="71" cm="1">
        <f t="array" ref="J72">right_cantilever_analysis(S29,0,D3,D2,S33:X52,Load_Combos!B12:K12,2)*-1</f>
        <v>0</v>
      </c>
      <c r="K72" s="71">
        <v>0</v>
      </c>
      <c r="L72" s="72">
        <f>$J$29</f>
        <v>10</v>
      </c>
      <c r="M72" s="71">
        <v>0</v>
      </c>
      <c r="N72" s="71" t="s">
        <v>33</v>
      </c>
      <c r="O72" s="71" t="s">
        <v>29</v>
      </c>
      <c r="P72" s="29"/>
    </row>
    <row r="73" spans="9:70" x14ac:dyDescent="0.25">
      <c r="I73" s="51">
        <v>41</v>
      </c>
      <c r="J73" s="56">
        <f ca="1">D22</f>
        <v>0</v>
      </c>
      <c r="K73" s="22">
        <v>0</v>
      </c>
      <c r="L73" s="22">
        <f>B22</f>
        <v>0</v>
      </c>
      <c r="M73" s="22">
        <v>0</v>
      </c>
      <c r="N73" s="22" t="s">
        <v>32</v>
      </c>
      <c r="O73" s="22" t="s">
        <v>63</v>
      </c>
      <c r="P73" s="29"/>
    </row>
    <row r="74" spans="9:70" x14ac:dyDescent="0.25">
      <c r="I74" s="51">
        <v>42</v>
      </c>
      <c r="J74" s="56">
        <f ca="1">D23</f>
        <v>0</v>
      </c>
      <c r="K74" s="22">
        <v>0</v>
      </c>
      <c r="L74" s="22">
        <f t="shared" ref="L74:L77" si="0">B23</f>
        <v>0</v>
      </c>
      <c r="M74" s="22">
        <v>0</v>
      </c>
      <c r="N74" s="22" t="s">
        <v>32</v>
      </c>
      <c r="O74" s="22" t="s">
        <v>63</v>
      </c>
      <c r="P74" s="29"/>
    </row>
    <row r="75" spans="9:70" x14ac:dyDescent="0.25">
      <c r="I75" s="51">
        <v>43</v>
      </c>
      <c r="J75" s="56">
        <f ca="1">D24</f>
        <v>0</v>
      </c>
      <c r="K75" s="22">
        <v>0</v>
      </c>
      <c r="L75" s="22">
        <f t="shared" si="0"/>
        <v>0</v>
      </c>
      <c r="M75" s="22">
        <v>0</v>
      </c>
      <c r="N75" s="22" t="s">
        <v>32</v>
      </c>
      <c r="O75" s="22" t="s">
        <v>63</v>
      </c>
      <c r="P75" s="29"/>
    </row>
    <row r="76" spans="9:70" x14ac:dyDescent="0.25">
      <c r="I76" s="51">
        <v>44</v>
      </c>
      <c r="J76" s="56">
        <f ca="1">D25</f>
        <v>0</v>
      </c>
      <c r="K76" s="22">
        <v>0</v>
      </c>
      <c r="L76" s="22">
        <f t="shared" si="0"/>
        <v>0</v>
      </c>
      <c r="M76" s="22">
        <v>0</v>
      </c>
      <c r="N76" s="22" t="s">
        <v>32</v>
      </c>
      <c r="O76" s="22" t="s">
        <v>63</v>
      </c>
      <c r="P76" s="29"/>
    </row>
    <row r="77" spans="9:70" x14ac:dyDescent="0.25">
      <c r="I77" s="51">
        <v>45</v>
      </c>
      <c r="J77" s="56">
        <f ca="1">D26</f>
        <v>0</v>
      </c>
      <c r="K77" s="22">
        <v>0</v>
      </c>
      <c r="L77" s="22">
        <f t="shared" si="0"/>
        <v>0</v>
      </c>
      <c r="M77" s="22">
        <v>0</v>
      </c>
      <c r="N77" s="22" t="s">
        <v>32</v>
      </c>
      <c r="O77" s="22" t="s">
        <v>63</v>
      </c>
      <c r="P77" s="29"/>
    </row>
    <row r="78" spans="9:70" x14ac:dyDescent="0.25">
      <c r="I78" s="51">
        <v>46</v>
      </c>
      <c r="J78" s="56">
        <f ca="1">O27</f>
        <v>0</v>
      </c>
      <c r="K78" s="22">
        <v>0</v>
      </c>
      <c r="L78" s="22">
        <v>0</v>
      </c>
      <c r="M78" s="22">
        <v>0</v>
      </c>
      <c r="N78" s="22" t="s">
        <v>33</v>
      </c>
      <c r="O78" s="22" t="s">
        <v>63</v>
      </c>
      <c r="P78" s="29"/>
    </row>
    <row r="79" spans="9:70" x14ac:dyDescent="0.25">
      <c r="I79" s="51">
        <v>47</v>
      </c>
      <c r="J79" s="56">
        <f ca="1">O28*-1</f>
        <v>0</v>
      </c>
      <c r="K79" s="22">
        <v>0</v>
      </c>
      <c r="L79" s="56">
        <f>J29</f>
        <v>10</v>
      </c>
      <c r="M79" s="22">
        <v>0</v>
      </c>
      <c r="N79" s="22" t="s">
        <v>33</v>
      </c>
      <c r="O79" s="22" t="s">
        <v>63</v>
      </c>
      <c r="P79" s="29"/>
    </row>
    <row r="80" spans="9:70" ht="15.75" thickBot="1" x14ac:dyDescent="0.3">
      <c r="I80" s="59"/>
      <c r="J80" s="73"/>
      <c r="K80" s="73"/>
      <c r="L80" s="73"/>
      <c r="M80" s="73"/>
      <c r="N80" s="73"/>
      <c r="O80" s="73"/>
      <c r="P80" s="31"/>
    </row>
  </sheetData>
  <mergeCells count="1">
    <mergeCell ref="B6:D6"/>
  </mergeCells>
  <dataValidations count="4">
    <dataValidation type="list" allowBlank="1" showInputMessage="1" showErrorMessage="1" sqref="B7" xr:uid="{AE9CA0B7-8AFE-459E-B1E3-9B698CDF7357}">
      <formula1>"V,M,S,D,C"</formula1>
    </dataValidation>
    <dataValidation type="list" allowBlank="1" showInputMessage="1" showErrorMessage="1" sqref="L27:L28" xr:uid="{0EF28C8B-E72F-4607-BC7C-931B02B8CB99}">
      <formula1>"y,n"</formula1>
    </dataValidation>
    <dataValidation type="list" allowBlank="1" showInputMessage="1" showErrorMessage="1" sqref="H2" xr:uid="{097ADCBB-0B80-4D2E-A053-23C594BF7DF8}">
      <formula1>"0.7,0.2"</formula1>
    </dataValidation>
    <dataValidation type="list" allowBlank="1" showInputMessage="1" showErrorMessage="1" sqref="H1" xr:uid="{B0271822-907D-4161-B1B5-6D252FF33B77}">
      <formula1>"1,0.5"</formula1>
    </dataValidation>
  </dataValidations>
  <pageMargins left="0.7" right="0.7" top="0.75" bottom="0.75" header="0.3" footer="0.3"/>
  <pageSetup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3746E6F2-BF32-4F5B-9D13-3CB2D580546E}">
          <x14:formula1>
            <xm:f>Data!$C$2:$C$6</xm:f>
          </x14:formula1>
          <xm:sqref>W33:W52 F33:F52 N33:N52</xm:sqref>
        </x14:dataValidation>
        <x14:dataValidation type="list" allowBlank="1" showInputMessage="1" showErrorMessage="1" xr:uid="{2DF0EE76-D99F-47E6-8342-7917AB41E6E5}">
          <x14:formula1>
            <xm:f>Data!$A$2:$A$12</xm:f>
          </x14:formula1>
          <xm:sqref>G33:G52 X33:X52 O33:O52</xm:sqref>
        </x14:dataValidation>
        <x14:dataValidation type="list" allowBlank="1" showInputMessage="1" showErrorMessage="1" xr:uid="{A7E879C5-982F-4864-80CC-7BA01C32BC4E}">
          <x14:formula1>
            <xm:f>Load_Combos!$A$3:$A$62</xm:f>
          </x14:formula1>
          <xm:sqref>B6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48A304-FE81-43BD-A422-48246CA7BFF5}">
  <sheetPr codeName="Sheet2"/>
  <dimension ref="A1:BQ347"/>
  <sheetViews>
    <sheetView topLeftCell="A318" workbookViewId="0">
      <selection activeCell="Q353" sqref="Q353"/>
    </sheetView>
  </sheetViews>
  <sheetFormatPr defaultRowHeight="15" x14ac:dyDescent="0.25"/>
  <cols>
    <col min="18" max="18" width="12" bestFit="1" customWidth="1"/>
    <col min="22" max="22" width="12.28515625" bestFit="1" customWidth="1"/>
    <col min="34" max="34" width="12.7109375" bestFit="1" customWidth="1"/>
  </cols>
  <sheetData>
    <row r="1" spans="1:69" x14ac:dyDescent="0.25">
      <c r="A1" t="s">
        <v>30</v>
      </c>
      <c r="C1" t="s">
        <v>31</v>
      </c>
      <c r="F1" t="s">
        <v>42</v>
      </c>
      <c r="J1" t="s">
        <v>47</v>
      </c>
    </row>
    <row r="2" spans="1:69" x14ac:dyDescent="0.25">
      <c r="A2" t="s">
        <v>18</v>
      </c>
      <c r="C2" t="s">
        <v>32</v>
      </c>
      <c r="O2">
        <f>IF(Beam_Analysis!B7="V",0,IF(Beam_Analysis!B7="M",1,IF(Beam_Analysis!B7="S",2,IF(Beam_Analysis!B7="D",3,4))))</f>
        <v>0</v>
      </c>
    </row>
    <row r="3" spans="1:69" x14ac:dyDescent="0.25">
      <c r="A3" t="s">
        <v>22</v>
      </c>
      <c r="C3" t="s">
        <v>33</v>
      </c>
      <c r="F3" t="s">
        <v>43</v>
      </c>
      <c r="N3" t="s">
        <v>115</v>
      </c>
      <c r="O3">
        <f>Beam_Analysis!J29</f>
        <v>10</v>
      </c>
    </row>
    <row r="4" spans="1:69" ht="15.75" thickBot="1" x14ac:dyDescent="0.3">
      <c r="A4" t="s">
        <v>23</v>
      </c>
      <c r="C4" t="s">
        <v>34</v>
      </c>
      <c r="AA4" s="1"/>
      <c r="AB4" s="1"/>
      <c r="AC4" s="1"/>
      <c r="AD4" s="1"/>
      <c r="AE4" s="1"/>
    </row>
    <row r="5" spans="1:69" x14ac:dyDescent="0.25">
      <c r="A5" t="s">
        <v>24</v>
      </c>
      <c r="C5" t="s">
        <v>35</v>
      </c>
      <c r="F5" t="s">
        <v>44</v>
      </c>
      <c r="N5" s="16"/>
      <c r="O5" s="17"/>
      <c r="P5" s="17"/>
      <c r="Q5" s="17"/>
      <c r="R5" s="17"/>
      <c r="S5" s="17"/>
      <c r="T5" s="17"/>
      <c r="U5" s="17"/>
      <c r="V5" s="17"/>
      <c r="W5" s="17"/>
      <c r="X5" s="17"/>
      <c r="Y5" s="17"/>
      <c r="Z5" s="17"/>
      <c r="AA5" s="17"/>
      <c r="AB5" s="17"/>
      <c r="AC5" s="17"/>
      <c r="AD5" s="17"/>
      <c r="AE5" s="17"/>
      <c r="AF5" s="17"/>
      <c r="AG5" s="17"/>
      <c r="AH5" s="17"/>
      <c r="AI5" s="17"/>
      <c r="AJ5" s="17"/>
      <c r="AK5" s="17"/>
      <c r="AL5" s="17"/>
      <c r="AM5" s="17"/>
      <c r="AN5" s="17"/>
      <c r="AO5" s="17"/>
      <c r="AP5" s="17"/>
      <c r="AQ5" s="17"/>
      <c r="AR5" s="17"/>
      <c r="AS5" s="17"/>
      <c r="AT5" s="17"/>
      <c r="AU5" s="17"/>
      <c r="AV5" s="17"/>
      <c r="AW5" s="17"/>
      <c r="AX5" s="17"/>
      <c r="AY5" s="17"/>
      <c r="AZ5" s="17"/>
      <c r="BA5" s="17"/>
      <c r="BB5" s="17"/>
      <c r="BC5" s="17"/>
      <c r="BD5" s="17"/>
      <c r="BE5" s="17"/>
      <c r="BF5" s="17"/>
      <c r="BG5" s="17"/>
      <c r="BH5" s="17"/>
      <c r="BI5" s="17"/>
      <c r="BJ5" s="17"/>
      <c r="BK5" s="17"/>
      <c r="BL5" s="17"/>
      <c r="BM5" s="17"/>
      <c r="BN5" s="17"/>
      <c r="BO5" s="17"/>
      <c r="BP5" s="17"/>
      <c r="BQ5" s="18"/>
    </row>
    <row r="6" spans="1:69" x14ac:dyDescent="0.25">
      <c r="A6" t="s">
        <v>17</v>
      </c>
      <c r="C6" t="str">
        <f>"--"</f>
        <v>--</v>
      </c>
      <c r="F6" s="1" t="s">
        <v>45</v>
      </c>
      <c r="G6" s="1" t="s">
        <v>46</v>
      </c>
      <c r="N6" s="19"/>
      <c r="O6" s="20"/>
      <c r="P6" s="20"/>
      <c r="Q6" s="20"/>
      <c r="R6" s="20"/>
      <c r="S6" s="20"/>
      <c r="T6" s="20"/>
      <c r="U6" s="20"/>
      <c r="V6" s="20"/>
      <c r="W6" s="20"/>
      <c r="X6" s="20"/>
      <c r="Y6" s="20"/>
      <c r="Z6" s="20"/>
      <c r="AA6" s="20"/>
      <c r="AB6" s="20"/>
      <c r="AC6" s="20"/>
      <c r="AD6" s="20"/>
      <c r="AE6" s="20"/>
      <c r="AF6" s="20"/>
      <c r="AG6" s="20"/>
      <c r="AH6" s="20"/>
      <c r="AI6" s="20"/>
      <c r="AJ6" s="20"/>
      <c r="AK6" s="20"/>
      <c r="AL6" s="20"/>
      <c r="AM6" s="20"/>
      <c r="AN6" s="20"/>
      <c r="AO6" s="20"/>
      <c r="AP6" s="20"/>
      <c r="AQ6" s="20"/>
      <c r="AR6" s="20"/>
      <c r="AS6" s="20"/>
      <c r="AT6" s="20"/>
      <c r="AU6" s="20"/>
      <c r="AV6" s="20"/>
      <c r="AW6" s="20"/>
      <c r="AX6" s="20"/>
      <c r="AY6" s="20"/>
      <c r="AZ6" s="20"/>
      <c r="BA6" s="20"/>
      <c r="BB6" s="20"/>
      <c r="BC6" s="20"/>
      <c r="BD6" s="20"/>
      <c r="BE6" s="20"/>
      <c r="BF6" s="20"/>
      <c r="BG6" s="20"/>
      <c r="BH6" s="20"/>
      <c r="BI6" s="20"/>
      <c r="BJ6" s="20"/>
      <c r="BK6" s="20"/>
      <c r="BL6" s="20"/>
      <c r="BM6" s="20"/>
      <c r="BN6" s="20"/>
      <c r="BO6" s="20"/>
      <c r="BP6" s="20"/>
      <c r="BQ6" s="21"/>
    </row>
    <row r="7" spans="1:69" x14ac:dyDescent="0.25">
      <c r="A7" t="s">
        <v>25</v>
      </c>
      <c r="F7" s="1">
        <v>0</v>
      </c>
      <c r="G7" s="1">
        <v>0</v>
      </c>
      <c r="N7" s="19"/>
      <c r="O7" s="20" t="s">
        <v>59</v>
      </c>
      <c r="P7" s="20"/>
      <c r="Q7" s="20"/>
      <c r="R7" s="20"/>
      <c r="S7" s="20"/>
      <c r="T7" s="20"/>
      <c r="U7" s="20"/>
      <c r="V7" s="20"/>
      <c r="W7" s="20"/>
      <c r="X7" s="20"/>
      <c r="Y7" s="20"/>
      <c r="Z7" s="20"/>
      <c r="AA7" s="20"/>
      <c r="AB7" s="20"/>
      <c r="AC7" s="20"/>
      <c r="AD7" s="20"/>
      <c r="AE7" s="20"/>
      <c r="AF7" s="20"/>
      <c r="AG7" s="20"/>
      <c r="AH7" s="20"/>
      <c r="AI7" s="20"/>
      <c r="AJ7" s="20"/>
      <c r="AK7" s="20"/>
      <c r="AL7" s="20"/>
      <c r="AM7" s="20"/>
      <c r="AN7" s="20"/>
      <c r="AO7" s="20"/>
      <c r="AP7" s="20"/>
      <c r="AQ7" s="20"/>
      <c r="AR7" s="20"/>
      <c r="AS7" s="20"/>
      <c r="AT7" s="20"/>
      <c r="AU7" s="20"/>
      <c r="AV7" s="20"/>
      <c r="AW7" s="20"/>
      <c r="AX7" s="20"/>
      <c r="AY7" s="20"/>
      <c r="AZ7" s="20"/>
      <c r="BA7" s="20"/>
      <c r="BB7" s="20"/>
      <c r="BC7" s="20"/>
      <c r="BD7" s="20"/>
      <c r="BE7" s="20"/>
      <c r="BF7" s="20"/>
      <c r="BG7" s="20"/>
      <c r="BH7" s="20"/>
      <c r="BI7" s="20"/>
      <c r="BJ7" s="20"/>
      <c r="BK7" s="20"/>
      <c r="BL7" s="20"/>
      <c r="BM7" s="20"/>
      <c r="BN7" s="20"/>
      <c r="BO7" s="20"/>
      <c r="BP7" s="20"/>
      <c r="BQ7" s="21"/>
    </row>
    <row r="8" spans="1:69" x14ac:dyDescent="0.25">
      <c r="A8" t="s">
        <v>26</v>
      </c>
      <c r="F8" s="1">
        <f>F7+Beam_Analysis!B29</f>
        <v>0</v>
      </c>
      <c r="G8" s="1">
        <v>0</v>
      </c>
      <c r="N8" s="19"/>
      <c r="O8" s="20"/>
      <c r="P8" s="20"/>
      <c r="Q8" s="20"/>
      <c r="R8" s="20"/>
      <c r="S8" s="20"/>
      <c r="T8" s="20"/>
      <c r="U8" s="20"/>
      <c r="V8" s="20"/>
      <c r="W8" s="20"/>
      <c r="X8" s="20"/>
      <c r="Y8" s="20"/>
      <c r="Z8" s="20"/>
      <c r="AA8" s="20"/>
      <c r="AB8" s="20"/>
      <c r="AC8" s="20"/>
      <c r="AD8" s="20"/>
      <c r="AE8" s="20"/>
      <c r="AF8" s="20"/>
      <c r="AG8" s="20"/>
      <c r="AH8" s="20"/>
      <c r="AI8" s="20"/>
      <c r="AJ8" s="20"/>
      <c r="AK8" s="20"/>
      <c r="AL8" s="20"/>
      <c r="AM8" s="20"/>
      <c r="AN8" s="20"/>
      <c r="AO8" s="20"/>
      <c r="AP8" s="20"/>
      <c r="AQ8" s="20"/>
      <c r="AR8" s="20"/>
      <c r="AS8" s="20"/>
      <c r="AT8" s="20"/>
      <c r="AU8" s="20"/>
      <c r="AV8" s="20"/>
      <c r="AW8" s="20"/>
      <c r="AX8" s="20"/>
      <c r="AY8" s="20"/>
      <c r="AZ8" s="20"/>
      <c r="BA8" s="20"/>
      <c r="BB8" s="20"/>
      <c r="BC8" s="20"/>
      <c r="BD8" s="20"/>
      <c r="BE8" s="20"/>
      <c r="BF8" s="20"/>
      <c r="BG8" s="20"/>
      <c r="BH8" s="20"/>
      <c r="BI8" s="20"/>
      <c r="BJ8" s="20"/>
      <c r="BK8" s="20"/>
      <c r="BL8" s="20"/>
      <c r="BM8" s="20"/>
      <c r="BN8" s="20"/>
      <c r="BO8" s="20"/>
      <c r="BP8" s="20"/>
      <c r="BQ8" s="21"/>
    </row>
    <row r="9" spans="1:69" ht="15.75" thickBot="1" x14ac:dyDescent="0.3">
      <c r="A9" t="s">
        <v>27</v>
      </c>
      <c r="N9" s="19"/>
      <c r="O9" s="20">
        <f>Beam_Analysis!N29</f>
        <v>0</v>
      </c>
      <c r="P9" s="20"/>
      <c r="Q9" s="20"/>
      <c r="R9" s="20"/>
      <c r="S9" s="22" t="s">
        <v>60</v>
      </c>
      <c r="T9" s="20"/>
      <c r="U9" s="20"/>
      <c r="V9" s="20"/>
      <c r="W9" s="20"/>
      <c r="X9" s="20"/>
      <c r="Y9" s="20"/>
      <c r="Z9" s="20"/>
      <c r="AA9" s="20"/>
      <c r="AB9" s="20"/>
      <c r="AC9" s="20"/>
      <c r="AD9" s="20"/>
      <c r="AE9" s="20"/>
      <c r="AF9" s="20"/>
      <c r="AG9" s="20"/>
      <c r="AH9" s="20"/>
      <c r="AI9" s="20"/>
      <c r="AJ9" s="20"/>
      <c r="AK9" s="20"/>
      <c r="AL9" s="20"/>
      <c r="AM9" s="20"/>
      <c r="AN9" s="20"/>
      <c r="AO9" s="20"/>
      <c r="AP9" s="20"/>
      <c r="AQ9" s="20"/>
      <c r="AR9" s="20"/>
      <c r="AS9" s="20"/>
      <c r="AT9" s="20"/>
      <c r="AU9" s="20"/>
      <c r="AV9" s="20"/>
      <c r="AW9" s="20"/>
      <c r="AX9" s="20"/>
      <c r="AY9" s="20"/>
      <c r="AZ9" s="20"/>
      <c r="BA9" s="20"/>
      <c r="BB9" s="20"/>
      <c r="BC9" s="20"/>
      <c r="BD9" s="20"/>
      <c r="BE9" s="20"/>
      <c r="BF9" s="20"/>
      <c r="BG9" s="20"/>
      <c r="BH9" s="20"/>
      <c r="BI9" s="20"/>
      <c r="BJ9" s="20"/>
      <c r="BK9" s="20"/>
      <c r="BL9" s="20"/>
      <c r="BM9" s="20"/>
      <c r="BN9" s="20"/>
      <c r="BO9" s="20"/>
      <c r="BP9" s="20"/>
      <c r="BQ9" s="21"/>
    </row>
    <row r="10" spans="1:69" x14ac:dyDescent="0.25">
      <c r="A10" t="s">
        <v>28</v>
      </c>
      <c r="F10" t="s">
        <v>15</v>
      </c>
      <c r="N10" s="19">
        <f ca="1">OFFSET(AX10,0,(15-(3*$O$9))+$U$17+(5-$O$9))</f>
        <v>0</v>
      </c>
      <c r="O10" s="20">
        <f>Beam_Analysis!B22</f>
        <v>0</v>
      </c>
      <c r="P10" s="20" cm="1">
        <f t="array" aca="1" ref="P10:S10" ca="1">center_span(Beam_Analysis!$J$29,O10,Beam_Analysis!$D$3,Beam_Analysis!$D$2,Beam_Analysis!$J$33:$O$72,Beam_Analysis!$G$5:$P$5,0)</f>
        <v>1.5</v>
      </c>
      <c r="Q10" s="20">
        <f ca="1"/>
        <v>0</v>
      </c>
      <c r="R10" s="20">
        <f ca="1"/>
        <v>-4.9655172413793115E-2</v>
      </c>
      <c r="S10" s="20">
        <f ca="1"/>
        <v>0</v>
      </c>
      <c r="T10" s="20">
        <f ca="1">S10*(-1/12)</f>
        <v>0</v>
      </c>
      <c r="U10" s="20"/>
      <c r="V10" s="20" cm="1">
        <f t="array" ref="V10">point_load(1,O10,Beam_Analysis!$J$29,Beam_Analysis!$D$3,Beam_Analysis!$D$2,$O$10,5)</f>
        <v>0</v>
      </c>
      <c r="W10" s="20" cm="1">
        <f t="array" ref="W10">point_load(1,O10,Beam_Analysis!$J$29,Beam_Analysis!$D$3,Beam_Analysis!$D$2,$O$11,5)</f>
        <v>0</v>
      </c>
      <c r="X10" s="20" cm="1">
        <f t="array" ref="X10">point_load(1,O10,Beam_Analysis!$J$29,Beam_Analysis!$D$3,Beam_Analysis!$D$2,$O$12,5)</f>
        <v>0</v>
      </c>
      <c r="Y10" s="20" cm="1">
        <f t="array" ref="Y10">point_load(1,O10,Beam_Analysis!$J$29,Beam_Analysis!$D$3,Beam_Analysis!$D$2,$O$13,5)</f>
        <v>0</v>
      </c>
      <c r="Z10" s="20" cm="1">
        <f t="array" ref="Z10">point_load(1,O10,Beam_Analysis!$J$29,Beam_Analysis!$D$3,Beam_Analysis!$D$2,$O$14,5)</f>
        <v>0</v>
      </c>
      <c r="AA10" s="20" cm="1">
        <f t="array" ref="AA10">IF($U$15=0,0,point_load(1,O10,Beam_Analysis!$J$29,Beam_Analysis!$D$3,Beam_Analysis!$D$2,$O$15,4))</f>
        <v>0</v>
      </c>
      <c r="AB10" s="20" cm="1">
        <f t="array" ref="AB10">IF($U$16=0,0,point_load(1,O10,Beam_Analysis!$J$29,Beam_Analysis!$D$3,Beam_Analysis!$D$2,$O$16,4))</f>
        <v>0</v>
      </c>
      <c r="AC10" s="20"/>
      <c r="AD10" s="20">
        <f>V10</f>
        <v>0</v>
      </c>
      <c r="AE10" s="20">
        <f t="shared" ref="AE10:AH10" si="0">W10</f>
        <v>0</v>
      </c>
      <c r="AF10" s="20">
        <f t="shared" si="0"/>
        <v>0</v>
      </c>
      <c r="AG10" s="20">
        <f t="shared" si="0"/>
        <v>0</v>
      </c>
      <c r="AH10" s="20">
        <f t="shared" si="0"/>
        <v>0</v>
      </c>
      <c r="AI10" s="20">
        <f>AA10</f>
        <v>0</v>
      </c>
      <c r="AJ10" s="20"/>
      <c r="AK10" s="20">
        <f>V10</f>
        <v>0</v>
      </c>
      <c r="AL10" s="20">
        <f t="shared" ref="AL10:AO14" si="1">W10</f>
        <v>0</v>
      </c>
      <c r="AM10" s="20">
        <f t="shared" si="1"/>
        <v>0</v>
      </c>
      <c r="AN10" s="20">
        <f t="shared" si="1"/>
        <v>0</v>
      </c>
      <c r="AO10" s="20">
        <f t="shared" si="1"/>
        <v>0</v>
      </c>
      <c r="AP10" s="20">
        <f>AB10</f>
        <v>0</v>
      </c>
      <c r="AQ10" s="20"/>
      <c r="AR10" s="20">
        <f>V10</f>
        <v>0</v>
      </c>
      <c r="AS10" s="20">
        <f t="shared" ref="AS10:AV14" si="2">W10</f>
        <v>0</v>
      </c>
      <c r="AT10" s="20">
        <f t="shared" si="2"/>
        <v>0</v>
      </c>
      <c r="AU10" s="20">
        <f t="shared" si="2"/>
        <v>0</v>
      </c>
      <c r="AV10" s="20">
        <f t="shared" si="2"/>
        <v>0</v>
      </c>
      <c r="AW10" s="20"/>
      <c r="AX10" s="16" t="e">
        <f>V26</f>
        <v>#NUM!</v>
      </c>
      <c r="AY10" s="17" t="e">
        <f>AD26</f>
        <v>#NUM!</v>
      </c>
      <c r="AZ10" s="17" t="e">
        <f>AK26</f>
        <v>#NUM!</v>
      </c>
      <c r="BA10" s="18" t="e">
        <f>AR26</f>
        <v>#NUM!</v>
      </c>
      <c r="BB10" s="16" t="e">
        <f>V49</f>
        <v>#NUM!</v>
      </c>
      <c r="BC10" s="17" t="e">
        <f>AD49</f>
        <v>#NUM!</v>
      </c>
      <c r="BD10" s="17" t="e">
        <f>AK49</f>
        <v>#NUM!</v>
      </c>
      <c r="BE10" s="18" t="e">
        <f>AR49</f>
        <v>#NUM!</v>
      </c>
      <c r="BF10" s="16" t="e">
        <f>V69</f>
        <v>#NUM!</v>
      </c>
      <c r="BG10" s="17" t="e">
        <f>AD69</f>
        <v>#NUM!</v>
      </c>
      <c r="BH10" s="17" t="e">
        <f>AK69</f>
        <v>#NUM!</v>
      </c>
      <c r="BI10" s="18" t="e">
        <f>AR69</f>
        <v>#NUM!</v>
      </c>
      <c r="BJ10" s="16" t="e">
        <f>V86</f>
        <v>#NUM!</v>
      </c>
      <c r="BK10" s="17" t="e">
        <f>AD86</f>
        <v>#NUM!</v>
      </c>
      <c r="BL10" s="17" t="e">
        <f>AK86</f>
        <v>#NUM!</v>
      </c>
      <c r="BM10" s="18" t="e">
        <f>AR86</f>
        <v>#NUM!</v>
      </c>
      <c r="BN10" s="17" t="e">
        <f>V100</f>
        <v>#NUM!</v>
      </c>
      <c r="BO10" s="17" t="e">
        <f>AD100</f>
        <v>#NUM!</v>
      </c>
      <c r="BP10" s="17" t="e">
        <f>AK100</f>
        <v>#NUM!</v>
      </c>
      <c r="BQ10" s="18" t="e">
        <f ca="1">AR100</f>
        <v>#DIV/0!</v>
      </c>
    </row>
    <row r="11" spans="1:69" x14ac:dyDescent="0.25">
      <c r="A11" t="s">
        <v>29</v>
      </c>
      <c r="N11" s="19">
        <f ca="1">OFFSET(AX11,0,(15-(3*$O$9))+$U$17+(5-$O$9))</f>
        <v>0</v>
      </c>
      <c r="O11" s="20">
        <f>Beam_Analysis!B23</f>
        <v>0</v>
      </c>
      <c r="P11" s="20" cm="1">
        <f t="array" aca="1" ref="P11:S11" ca="1">center_span(Beam_Analysis!$J$29,O11,Beam_Analysis!$D$3,Beam_Analysis!$D$2,Beam_Analysis!$J$33:$O$72,Beam_Analysis!$G$5:$P$5,0)</f>
        <v>1.5</v>
      </c>
      <c r="Q11" s="20">
        <f ca="1"/>
        <v>0</v>
      </c>
      <c r="R11" s="20">
        <f ca="1"/>
        <v>-4.9655172413793115E-2</v>
      </c>
      <c r="S11" s="20">
        <f ca="1"/>
        <v>0</v>
      </c>
      <c r="T11" s="20">
        <f t="shared" ref="T11:T14" ca="1" si="3">S11*(-1/12)</f>
        <v>0</v>
      </c>
      <c r="U11" s="20"/>
      <c r="V11" s="20" cm="1">
        <f t="array" ref="V11">point_load(1,O11,Beam_Analysis!$J$29,Beam_Analysis!$D$3,Beam_Analysis!$D$2,$O$10,5)</f>
        <v>0</v>
      </c>
      <c r="W11" s="20" cm="1">
        <f t="array" ref="W11">point_load(1,O11,Beam_Analysis!$J$29,Beam_Analysis!$D$3,Beam_Analysis!$D$2,$O$11,5)</f>
        <v>0</v>
      </c>
      <c r="X11" s="20" cm="1">
        <f t="array" ref="X11">point_load(1,O11,Beam_Analysis!$J$29,Beam_Analysis!$D$3,Beam_Analysis!$D$2,$O$12,5)</f>
        <v>0</v>
      </c>
      <c r="Y11" s="20" cm="1">
        <f t="array" ref="Y11">point_load(1,O11,Beam_Analysis!$J$29,Beam_Analysis!$D$3,Beam_Analysis!$D$2,$O$13,5)</f>
        <v>0</v>
      </c>
      <c r="Z11" s="20" cm="1">
        <f t="array" ref="Z11">point_load(1,O11,Beam_Analysis!$J$29,Beam_Analysis!$D$3,Beam_Analysis!$D$2,$O$14,5)</f>
        <v>0</v>
      </c>
      <c r="AA11" s="20" cm="1">
        <f t="array" ref="AA11">IF($U$15=0,0,point_load(1,O11,Beam_Analysis!$J$29,Beam_Analysis!$D$3,Beam_Analysis!$D$2,$O$15,4))</f>
        <v>0</v>
      </c>
      <c r="AB11" s="20" cm="1">
        <f t="array" ref="AB11">IF($U$16=0,0,point_load(1,O11,Beam_Analysis!$J$29,Beam_Analysis!$D$3,Beam_Analysis!$D$2,$O$16,4))</f>
        <v>0</v>
      </c>
      <c r="AC11" s="20"/>
      <c r="AD11" s="20">
        <f t="shared" ref="AD11:AD15" si="4">V11</f>
        <v>0</v>
      </c>
      <c r="AE11" s="20">
        <f t="shared" ref="AE11:AE15" si="5">W11</f>
        <v>0</v>
      </c>
      <c r="AF11" s="20">
        <f t="shared" ref="AF11:AF15" si="6">X11</f>
        <v>0</v>
      </c>
      <c r="AG11" s="20">
        <f t="shared" ref="AG11:AG15" si="7">Y11</f>
        <v>0</v>
      </c>
      <c r="AH11" s="20">
        <f t="shared" ref="AH11:AH15" si="8">Z11</f>
        <v>0</v>
      </c>
      <c r="AI11" s="20">
        <f t="shared" ref="AI11:AI15" si="9">AA11</f>
        <v>0</v>
      </c>
      <c r="AJ11" s="20"/>
      <c r="AK11" s="20">
        <f t="shared" ref="AK11:AK14" si="10">V11</f>
        <v>0</v>
      </c>
      <c r="AL11" s="20">
        <f t="shared" si="1"/>
        <v>0</v>
      </c>
      <c r="AM11" s="20">
        <f t="shared" si="1"/>
        <v>0</v>
      </c>
      <c r="AN11" s="20">
        <f t="shared" si="1"/>
        <v>0</v>
      </c>
      <c r="AO11" s="20">
        <f t="shared" si="1"/>
        <v>0</v>
      </c>
      <c r="AP11" s="20">
        <f t="shared" ref="AP11:AP14" si="11">AB11</f>
        <v>0</v>
      </c>
      <c r="AQ11" s="20"/>
      <c r="AR11" s="20">
        <f t="shared" ref="AR11:AR14" si="12">V11</f>
        <v>0</v>
      </c>
      <c r="AS11" s="20">
        <f t="shared" si="2"/>
        <v>0</v>
      </c>
      <c r="AT11" s="20">
        <f t="shared" si="2"/>
        <v>0</v>
      </c>
      <c r="AU11" s="20">
        <f t="shared" si="2"/>
        <v>0</v>
      </c>
      <c r="AV11" s="20">
        <f t="shared" si="2"/>
        <v>0</v>
      </c>
      <c r="AW11" s="20"/>
      <c r="AX11" s="19" t="e">
        <f>V27</f>
        <v>#NUM!</v>
      </c>
      <c r="AY11" s="20" t="e">
        <f>AD27</f>
        <v>#NUM!</v>
      </c>
      <c r="AZ11" s="20" t="e">
        <f>AK27</f>
        <v>#NUM!</v>
      </c>
      <c r="BA11" s="21" t="e">
        <f>AR27</f>
        <v>#NUM!</v>
      </c>
      <c r="BB11" s="19" t="e">
        <f>V50</f>
        <v>#NUM!</v>
      </c>
      <c r="BC11" s="20" t="e">
        <f>AD50</f>
        <v>#NUM!</v>
      </c>
      <c r="BD11" s="20" t="e">
        <f>AK50</f>
        <v>#NUM!</v>
      </c>
      <c r="BE11" s="21" t="e">
        <f>AR50</f>
        <v>#NUM!</v>
      </c>
      <c r="BF11" s="19" t="e">
        <f>V70</f>
        <v>#NUM!</v>
      </c>
      <c r="BG11" s="20" t="e">
        <f>AD70</f>
        <v>#NUM!</v>
      </c>
      <c r="BH11" s="20" t="e">
        <f>AK70</f>
        <v>#NUM!</v>
      </c>
      <c r="BI11" s="21" t="e">
        <f>AR70</f>
        <v>#NUM!</v>
      </c>
      <c r="BJ11" s="19" t="e">
        <f>V87</f>
        <v>#NUM!</v>
      </c>
      <c r="BK11" s="20" t="e">
        <f>AD87</f>
        <v>#NUM!</v>
      </c>
      <c r="BL11" s="20" t="e">
        <f>AK87</f>
        <v>#NUM!</v>
      </c>
      <c r="BM11" s="21" t="e">
        <f>AR87</f>
        <v>#NUM!</v>
      </c>
      <c r="BN11" s="20">
        <v>0</v>
      </c>
      <c r="BO11" s="20">
        <v>0</v>
      </c>
      <c r="BP11" s="20">
        <v>0</v>
      </c>
      <c r="BQ11" s="21">
        <v>0</v>
      </c>
    </row>
    <row r="12" spans="1:69" x14ac:dyDescent="0.25">
      <c r="A12" t="str">
        <f>"--"</f>
        <v>--</v>
      </c>
      <c r="F12">
        <f>F8</f>
        <v>0</v>
      </c>
      <c r="G12">
        <f>G8</f>
        <v>0</v>
      </c>
      <c r="N12" s="19">
        <f ca="1">OFFSET(AX12,0,(15-(3*$O$9))+$U$17+(5-$O$9))</f>
        <v>0</v>
      </c>
      <c r="O12" s="20">
        <f>Beam_Analysis!B24</f>
        <v>0</v>
      </c>
      <c r="P12" s="20" cm="1">
        <f t="array" aca="1" ref="P12:S12" ca="1">center_span(Beam_Analysis!$J$29,O12,Beam_Analysis!$D$3,Beam_Analysis!$D$2,Beam_Analysis!$J$33:$O$72,Beam_Analysis!$G$5:$P$5,0)</f>
        <v>1.5</v>
      </c>
      <c r="Q12" s="20">
        <f ca="1"/>
        <v>0</v>
      </c>
      <c r="R12" s="20">
        <f ca="1"/>
        <v>-4.9655172413793115E-2</v>
      </c>
      <c r="S12" s="20">
        <f ca="1"/>
        <v>0</v>
      </c>
      <c r="T12" s="20">
        <f t="shared" ca="1" si="3"/>
        <v>0</v>
      </c>
      <c r="U12" s="20"/>
      <c r="V12" s="20" cm="1">
        <f t="array" ref="V12">point_load(1,O12,Beam_Analysis!$J$29,Beam_Analysis!$D$3,Beam_Analysis!$D$2,$O$10,5)</f>
        <v>0</v>
      </c>
      <c r="W12" s="20" cm="1">
        <f t="array" ref="W12">point_load(1,O12,Beam_Analysis!$J$29,Beam_Analysis!$D$3,Beam_Analysis!$D$2,$O$11,5)</f>
        <v>0</v>
      </c>
      <c r="X12" s="20" cm="1">
        <f t="array" ref="X12">point_load(1,O12,Beam_Analysis!$J$29,Beam_Analysis!$D$3,Beam_Analysis!$D$2,$O$12,5)</f>
        <v>0</v>
      </c>
      <c r="Y12" s="20" cm="1">
        <f t="array" ref="Y12">point_load(1,O12,Beam_Analysis!$J$29,Beam_Analysis!$D$3,Beam_Analysis!$D$2,$O$13,5)</f>
        <v>0</v>
      </c>
      <c r="Z12" s="20" cm="1">
        <f t="array" ref="Z12">point_load(1,O12,Beam_Analysis!$J$29,Beam_Analysis!$D$3,Beam_Analysis!$D$2,$O$14,5)</f>
        <v>0</v>
      </c>
      <c r="AA12" s="20" cm="1">
        <f t="array" ref="AA12">IF($U$15=0,0,point_load(1,O12,Beam_Analysis!$J$29,Beam_Analysis!$D$3,Beam_Analysis!$D$2,$O$15,4))</f>
        <v>0</v>
      </c>
      <c r="AB12" s="20" cm="1">
        <f t="array" ref="AB12">IF($U$16=0,0,point_load(1,O12,Beam_Analysis!$J$29,Beam_Analysis!$D$3,Beam_Analysis!$D$2,$O$16,4))</f>
        <v>0</v>
      </c>
      <c r="AC12" s="20"/>
      <c r="AD12" s="20">
        <f t="shared" si="4"/>
        <v>0</v>
      </c>
      <c r="AE12" s="20">
        <f t="shared" si="5"/>
        <v>0</v>
      </c>
      <c r="AF12" s="20">
        <f t="shared" si="6"/>
        <v>0</v>
      </c>
      <c r="AG12" s="20">
        <f t="shared" si="7"/>
        <v>0</v>
      </c>
      <c r="AH12" s="20">
        <f t="shared" si="8"/>
        <v>0</v>
      </c>
      <c r="AI12" s="20">
        <f t="shared" si="9"/>
        <v>0</v>
      </c>
      <c r="AJ12" s="20"/>
      <c r="AK12" s="20">
        <f t="shared" si="10"/>
        <v>0</v>
      </c>
      <c r="AL12" s="20">
        <f t="shared" si="1"/>
        <v>0</v>
      </c>
      <c r="AM12" s="20">
        <f t="shared" si="1"/>
        <v>0</v>
      </c>
      <c r="AN12" s="20">
        <f t="shared" si="1"/>
        <v>0</v>
      </c>
      <c r="AO12" s="20">
        <f t="shared" si="1"/>
        <v>0</v>
      </c>
      <c r="AP12" s="20">
        <f t="shared" si="11"/>
        <v>0</v>
      </c>
      <c r="AQ12" s="20"/>
      <c r="AR12" s="20">
        <f t="shared" si="12"/>
        <v>0</v>
      </c>
      <c r="AS12" s="20">
        <f t="shared" si="2"/>
        <v>0</v>
      </c>
      <c r="AT12" s="20">
        <f t="shared" si="2"/>
        <v>0</v>
      </c>
      <c r="AU12" s="20">
        <f t="shared" si="2"/>
        <v>0</v>
      </c>
      <c r="AV12" s="20">
        <f t="shared" si="2"/>
        <v>0</v>
      </c>
      <c r="AW12" s="20"/>
      <c r="AX12" s="19" t="e">
        <f>V28</f>
        <v>#NUM!</v>
      </c>
      <c r="AY12" s="20" t="e">
        <f t="shared" ref="AY12:AY16" si="13">AD28</f>
        <v>#NUM!</v>
      </c>
      <c r="AZ12" s="20" t="e">
        <f t="shared" ref="AZ12:AZ14" si="14">AK28</f>
        <v>#NUM!</v>
      </c>
      <c r="BA12" s="21" t="e">
        <f t="shared" ref="BA12:BA16" si="15">AR28</f>
        <v>#NUM!</v>
      </c>
      <c r="BB12" s="19" t="e">
        <f t="shared" ref="BB12:BB13" si="16">V51</f>
        <v>#NUM!</v>
      </c>
      <c r="BC12" s="20" t="e">
        <f t="shared" ref="BC12:BC13" si="17">AD51</f>
        <v>#NUM!</v>
      </c>
      <c r="BD12" s="20" t="e">
        <f t="shared" ref="BD12:BD13" si="18">AK51</f>
        <v>#NUM!</v>
      </c>
      <c r="BE12" s="21" t="e">
        <f t="shared" ref="BE12:BE13" si="19">AR51</f>
        <v>#NUM!</v>
      </c>
      <c r="BF12" s="19" t="e">
        <f>V71</f>
        <v>#NUM!</v>
      </c>
      <c r="BG12" s="20" t="e">
        <f>AD71</f>
        <v>#NUM!</v>
      </c>
      <c r="BH12" s="20" t="e">
        <f>AK71</f>
        <v>#NUM!</v>
      </c>
      <c r="BI12" s="21" t="e">
        <f>AR71</f>
        <v>#NUM!</v>
      </c>
      <c r="BJ12" s="19">
        <v>0</v>
      </c>
      <c r="BK12" s="20">
        <v>0</v>
      </c>
      <c r="BL12" s="20">
        <v>0</v>
      </c>
      <c r="BM12" s="21">
        <v>0</v>
      </c>
      <c r="BN12" s="20">
        <v>0</v>
      </c>
      <c r="BO12" s="20">
        <v>0</v>
      </c>
      <c r="BP12" s="20">
        <v>0</v>
      </c>
      <c r="BQ12" s="21">
        <v>0</v>
      </c>
    </row>
    <row r="13" spans="1:69" x14ac:dyDescent="0.25">
      <c r="F13">
        <f>F12+Beam_Analysis!J29</f>
        <v>10</v>
      </c>
      <c r="G13">
        <v>0</v>
      </c>
      <c r="N13" s="19">
        <f ca="1">OFFSET(AX13,0,(15-(3*$O$9))+$U$17+(5-$O$9))</f>
        <v>0</v>
      </c>
      <c r="O13" s="20">
        <f>Beam_Analysis!B25</f>
        <v>0</v>
      </c>
      <c r="P13" s="20" cm="1">
        <f t="array" aca="1" ref="P13:S13" ca="1">center_span(Beam_Analysis!$J$29,O13,Beam_Analysis!$D$3,Beam_Analysis!$D$2,Beam_Analysis!$J$33:$O$72,Beam_Analysis!$G$5:$P$5,0)</f>
        <v>1.5</v>
      </c>
      <c r="Q13" s="20">
        <f ca="1"/>
        <v>0</v>
      </c>
      <c r="R13" s="20">
        <f ca="1"/>
        <v>-4.9655172413793115E-2</v>
      </c>
      <c r="S13" s="20">
        <f ca="1"/>
        <v>0</v>
      </c>
      <c r="T13" s="20">
        <f t="shared" ca="1" si="3"/>
        <v>0</v>
      </c>
      <c r="U13" s="20"/>
      <c r="V13" s="20" cm="1">
        <f t="array" ref="V13">point_load(1,O13,Beam_Analysis!$J$29,Beam_Analysis!$D$3,Beam_Analysis!$D$2,$O$10,5)</f>
        <v>0</v>
      </c>
      <c r="W13" s="20" cm="1">
        <f t="array" ref="W13">point_load(1,O13,Beam_Analysis!$J$29,Beam_Analysis!$D$3,Beam_Analysis!$D$2,$O$11,5)</f>
        <v>0</v>
      </c>
      <c r="X13" s="20" cm="1">
        <f t="array" ref="X13">point_load(1,O13,Beam_Analysis!$J$29,Beam_Analysis!$D$3,Beam_Analysis!$D$2,$O$12,5)</f>
        <v>0</v>
      </c>
      <c r="Y13" s="20" cm="1">
        <f t="array" ref="Y13">point_load(1,O13,Beam_Analysis!$J$29,Beam_Analysis!$D$3,Beam_Analysis!$D$2,$O$13,5)</f>
        <v>0</v>
      </c>
      <c r="Z13" s="20" cm="1">
        <f t="array" ref="Z13">point_load(1,O13,Beam_Analysis!$J$29,Beam_Analysis!$D$3,Beam_Analysis!$D$2,$O$14,5)</f>
        <v>0</v>
      </c>
      <c r="AA13" s="20" cm="1">
        <f t="array" ref="AA13">IF($U$15=0,0,point_load(1,O13,Beam_Analysis!$J$29,Beam_Analysis!$D$3,Beam_Analysis!$D$2,$O$15,4))</f>
        <v>0</v>
      </c>
      <c r="AB13" s="20" cm="1">
        <f t="array" ref="AB13">IF($U$16=0,0,point_load(1,O13,Beam_Analysis!$J$29,Beam_Analysis!$D$3,Beam_Analysis!$D$2,$O$16,4))</f>
        <v>0</v>
      </c>
      <c r="AC13" s="20"/>
      <c r="AD13" s="20">
        <f t="shared" si="4"/>
        <v>0</v>
      </c>
      <c r="AE13" s="20">
        <f t="shared" si="5"/>
        <v>0</v>
      </c>
      <c r="AF13" s="20">
        <f t="shared" si="6"/>
        <v>0</v>
      </c>
      <c r="AG13" s="20">
        <f t="shared" si="7"/>
        <v>0</v>
      </c>
      <c r="AH13" s="20">
        <f t="shared" si="8"/>
        <v>0</v>
      </c>
      <c r="AI13" s="20">
        <f t="shared" si="9"/>
        <v>0</v>
      </c>
      <c r="AJ13" s="20"/>
      <c r="AK13" s="20">
        <f t="shared" si="10"/>
        <v>0</v>
      </c>
      <c r="AL13" s="20">
        <f t="shared" si="1"/>
        <v>0</v>
      </c>
      <c r="AM13" s="20">
        <f t="shared" si="1"/>
        <v>0</v>
      </c>
      <c r="AN13" s="20">
        <f t="shared" si="1"/>
        <v>0</v>
      </c>
      <c r="AO13" s="20">
        <f t="shared" si="1"/>
        <v>0</v>
      </c>
      <c r="AP13" s="20">
        <f t="shared" si="11"/>
        <v>0</v>
      </c>
      <c r="AQ13" s="20"/>
      <c r="AR13" s="20">
        <f t="shared" si="12"/>
        <v>0</v>
      </c>
      <c r="AS13" s="20">
        <f t="shared" si="2"/>
        <v>0</v>
      </c>
      <c r="AT13" s="20">
        <f t="shared" si="2"/>
        <v>0</v>
      </c>
      <c r="AU13" s="20">
        <f t="shared" si="2"/>
        <v>0</v>
      </c>
      <c r="AV13" s="20">
        <f t="shared" si="2"/>
        <v>0</v>
      </c>
      <c r="AW13" s="20"/>
      <c r="AX13" s="19" t="e">
        <f t="shared" ref="AX13:AX16" si="20">V29</f>
        <v>#NUM!</v>
      </c>
      <c r="AY13" s="20" t="e">
        <f t="shared" si="13"/>
        <v>#NUM!</v>
      </c>
      <c r="AZ13" s="20" t="e">
        <f t="shared" si="14"/>
        <v>#NUM!</v>
      </c>
      <c r="BA13" s="21" t="e">
        <f t="shared" si="15"/>
        <v>#NUM!</v>
      </c>
      <c r="BB13" s="19" t="e">
        <f t="shared" si="16"/>
        <v>#NUM!</v>
      </c>
      <c r="BC13" s="20" t="e">
        <f t="shared" si="17"/>
        <v>#NUM!</v>
      </c>
      <c r="BD13" s="20" t="e">
        <f t="shared" si="18"/>
        <v>#NUM!</v>
      </c>
      <c r="BE13" s="21" t="e">
        <f t="shared" si="19"/>
        <v>#NUM!</v>
      </c>
      <c r="BF13" s="19">
        <v>0</v>
      </c>
      <c r="BG13" s="20">
        <v>0</v>
      </c>
      <c r="BH13" s="20">
        <v>0</v>
      </c>
      <c r="BI13" s="21">
        <v>0</v>
      </c>
      <c r="BJ13" s="19">
        <v>0</v>
      </c>
      <c r="BK13" s="20">
        <v>0</v>
      </c>
      <c r="BL13" s="20">
        <v>0</v>
      </c>
      <c r="BM13" s="21">
        <v>0</v>
      </c>
      <c r="BN13" s="20">
        <v>0</v>
      </c>
      <c r="BO13" s="20">
        <v>0</v>
      </c>
      <c r="BP13" s="20">
        <v>0</v>
      </c>
      <c r="BQ13" s="21">
        <v>0</v>
      </c>
    </row>
    <row r="14" spans="1:69" x14ac:dyDescent="0.25">
      <c r="N14" s="19">
        <f ca="1">OFFSET(AX14,0,(15-(3*$O$9))+$U$17+(5-$O$9))</f>
        <v>0</v>
      </c>
      <c r="O14" s="20">
        <f>Beam_Analysis!B26</f>
        <v>0</v>
      </c>
      <c r="P14" s="20" cm="1">
        <f t="array" aca="1" ref="P14:S14" ca="1">center_span(Beam_Analysis!$J$29,O14,Beam_Analysis!$D$3,Beam_Analysis!$D$2,Beam_Analysis!$J$33:$O$72,Beam_Analysis!$G$5:$P$5,0)</f>
        <v>1.5</v>
      </c>
      <c r="Q14" s="20">
        <f ca="1"/>
        <v>0</v>
      </c>
      <c r="R14" s="20">
        <f ca="1"/>
        <v>-4.9655172413793115E-2</v>
      </c>
      <c r="S14" s="20">
        <f ca="1"/>
        <v>0</v>
      </c>
      <c r="T14" s="20">
        <f t="shared" ca="1" si="3"/>
        <v>0</v>
      </c>
      <c r="U14" s="20"/>
      <c r="V14" s="20" cm="1">
        <f t="array" ref="V14">point_load(1,O14,Beam_Analysis!$J$29,Beam_Analysis!$D$3,Beam_Analysis!$D$2,$O$10,5)</f>
        <v>0</v>
      </c>
      <c r="W14" s="20" cm="1">
        <f t="array" ref="W14">point_load(1,O14,Beam_Analysis!$J$29,Beam_Analysis!$D$3,Beam_Analysis!$D$2,$O$11,5)</f>
        <v>0</v>
      </c>
      <c r="X14" s="20" cm="1">
        <f t="array" ref="X14">point_load(1,O14,Beam_Analysis!$J$29,Beam_Analysis!$D$3,Beam_Analysis!$D$2,$O$12,5)</f>
        <v>0</v>
      </c>
      <c r="Y14" s="20" cm="1">
        <f t="array" ref="Y14">point_load(1,O14,Beam_Analysis!$J$29,Beam_Analysis!$D$3,Beam_Analysis!$D$2,$O$13,5)</f>
        <v>0</v>
      </c>
      <c r="Z14" s="20" cm="1">
        <f t="array" ref="Z14">point_load(1,O14,Beam_Analysis!$J$29,Beam_Analysis!$D$3,Beam_Analysis!$D$2,$O$14,5)</f>
        <v>0</v>
      </c>
      <c r="AA14" s="20" cm="1">
        <f t="array" ref="AA14">IF($U$15=0,0,point_load(1,O14,Beam_Analysis!$J$29,Beam_Analysis!$D$3,Beam_Analysis!$D$2,$O$15,4))</f>
        <v>0</v>
      </c>
      <c r="AB14" s="20" cm="1">
        <f t="array" ref="AB14">IF($U$16=0,0,point_load(1,O14,Beam_Analysis!$J$29,Beam_Analysis!$D$3,Beam_Analysis!$D$2,$O$16,4))</f>
        <v>0</v>
      </c>
      <c r="AC14" s="20"/>
      <c r="AD14" s="20">
        <f t="shared" si="4"/>
        <v>0</v>
      </c>
      <c r="AE14" s="20">
        <f t="shared" si="5"/>
        <v>0</v>
      </c>
      <c r="AF14" s="20">
        <f t="shared" si="6"/>
        <v>0</v>
      </c>
      <c r="AG14" s="20">
        <f t="shared" si="7"/>
        <v>0</v>
      </c>
      <c r="AH14" s="20">
        <f t="shared" si="8"/>
        <v>0</v>
      </c>
      <c r="AI14" s="20">
        <f t="shared" si="9"/>
        <v>0</v>
      </c>
      <c r="AJ14" s="20"/>
      <c r="AK14" s="20">
        <f t="shared" si="10"/>
        <v>0</v>
      </c>
      <c r="AL14" s="20">
        <f t="shared" si="1"/>
        <v>0</v>
      </c>
      <c r="AM14" s="20">
        <f t="shared" si="1"/>
        <v>0</v>
      </c>
      <c r="AN14" s="20">
        <f t="shared" si="1"/>
        <v>0</v>
      </c>
      <c r="AO14" s="20">
        <f t="shared" si="1"/>
        <v>0</v>
      </c>
      <c r="AP14" s="20">
        <f t="shared" si="11"/>
        <v>0</v>
      </c>
      <c r="AQ14" s="20"/>
      <c r="AR14" s="20">
        <f t="shared" si="12"/>
        <v>0</v>
      </c>
      <c r="AS14" s="20">
        <f t="shared" si="2"/>
        <v>0</v>
      </c>
      <c r="AT14" s="20">
        <f t="shared" si="2"/>
        <v>0</v>
      </c>
      <c r="AU14" s="20">
        <f t="shared" si="2"/>
        <v>0</v>
      </c>
      <c r="AV14" s="20">
        <f t="shared" si="2"/>
        <v>0</v>
      </c>
      <c r="AW14" s="20"/>
      <c r="AX14" s="19" t="e">
        <f t="shared" si="20"/>
        <v>#NUM!</v>
      </c>
      <c r="AY14" s="20" t="e">
        <f t="shared" si="13"/>
        <v>#NUM!</v>
      </c>
      <c r="AZ14" s="20" t="e">
        <f t="shared" si="14"/>
        <v>#NUM!</v>
      </c>
      <c r="BA14" s="21" t="e">
        <f t="shared" si="15"/>
        <v>#NUM!</v>
      </c>
      <c r="BB14" s="19">
        <v>0</v>
      </c>
      <c r="BC14" s="20">
        <v>0</v>
      </c>
      <c r="BD14" s="20">
        <v>0</v>
      </c>
      <c r="BE14" s="21">
        <v>0</v>
      </c>
      <c r="BF14" s="19">
        <v>0</v>
      </c>
      <c r="BG14" s="20">
        <v>0</v>
      </c>
      <c r="BH14" s="20">
        <v>0</v>
      </c>
      <c r="BI14" s="21">
        <v>0</v>
      </c>
      <c r="BJ14" s="19">
        <v>0</v>
      </c>
      <c r="BK14" s="20">
        <v>0</v>
      </c>
      <c r="BL14" s="20">
        <v>0</v>
      </c>
      <c r="BM14" s="21">
        <v>0</v>
      </c>
      <c r="BN14" s="20">
        <v>0</v>
      </c>
      <c r="BO14" s="20">
        <v>0</v>
      </c>
      <c r="BP14" s="20">
        <v>0</v>
      </c>
      <c r="BQ14" s="21">
        <v>0</v>
      </c>
    </row>
    <row r="15" spans="1:69" x14ac:dyDescent="0.25">
      <c r="F15" t="s">
        <v>44</v>
      </c>
      <c r="N15" s="19">
        <f ca="1">IF(AND(O9=0,U15=1,U16=1),Q25,IF(AND(O9=0,U15=1,U16=0),Q28,IF(AND(O9=0,U15=0),0,OFFSET(AX15,0,(15-(3*$O$9))+$U$17+(5-$O$9)))))</f>
        <v>0</v>
      </c>
      <c r="O15" s="20">
        <v>0</v>
      </c>
      <c r="P15" s="20" cm="1">
        <f t="array" aca="1" ref="P15:S15" ca="1">center_span(Beam_Analysis!$J$29,O15,Beam_Analysis!$D$3,Beam_Analysis!$D$2,Beam_Analysis!$J$33:$O$72,Beam_Analysis!$G$5:$P$5,0)</f>
        <v>1.5</v>
      </c>
      <c r="Q15" s="20">
        <f ca="1"/>
        <v>0</v>
      </c>
      <c r="R15" s="20">
        <f ca="1"/>
        <v>-4.9655172413793115E-2</v>
      </c>
      <c r="S15" s="20">
        <f ca="1"/>
        <v>0</v>
      </c>
      <c r="T15" s="20">
        <f ca="1">-1*R15</f>
        <v>4.9655172413793115E-2</v>
      </c>
      <c r="U15" s="20">
        <f>Beam_Analysis!N27</f>
        <v>0</v>
      </c>
      <c r="V15" s="20" cm="1">
        <f t="array" ref="V15">point_moment(U15,O15,Beam_Analysis!$J$29,Beam_Analysis!$D$3,Beam_Analysis!$D$2,$O$10,5)</f>
        <v>0</v>
      </c>
      <c r="W15" s="20" cm="1">
        <f t="array" ref="W15">point_moment(U15,O15,Beam_Analysis!$J$29,Beam_Analysis!$D$3,Beam_Analysis!$D$2,$O$11,5)</f>
        <v>0</v>
      </c>
      <c r="X15" s="20" cm="1">
        <f t="array" ref="X15">point_moment(U15,O15,Beam_Analysis!$J$29,Beam_Analysis!$D$3,Beam_Analysis!$D$2,$O$12,5)</f>
        <v>0</v>
      </c>
      <c r="Y15" s="20" cm="1">
        <f t="array" ref="Y15">point_moment(U15,O15,Beam_Analysis!$J$29,Beam_Analysis!$D$3,Beam_Analysis!$D$2,$O$13,5)</f>
        <v>0</v>
      </c>
      <c r="Z15" s="20" cm="1">
        <f t="array" ref="Z15">point_moment(U15,O15,Beam_Analysis!$J$29,Beam_Analysis!$D$3,Beam_Analysis!$D$2,$O$14,5)</f>
        <v>0</v>
      </c>
      <c r="AA15" s="20" cm="1">
        <f t="array" ref="AA15">point_moment(U15,O15,Beam_Analysis!$J$29,Beam_Analysis!$D$3,Beam_Analysis!$D$2,$O$15,4)</f>
        <v>0</v>
      </c>
      <c r="AB15" s="20" cm="1">
        <f t="array" ref="AB15">IF(U16=0,0,point_moment(U15,O15,Beam_Analysis!$J$29,Beam_Analysis!$D$3,Beam_Analysis!$D$2,$O$16,4))</f>
        <v>0</v>
      </c>
      <c r="AC15" s="20"/>
      <c r="AD15" s="20">
        <f t="shared" si="4"/>
        <v>0</v>
      </c>
      <c r="AE15" s="20">
        <f t="shared" si="5"/>
        <v>0</v>
      </c>
      <c r="AF15" s="20">
        <f t="shared" si="6"/>
        <v>0</v>
      </c>
      <c r="AG15" s="20">
        <f t="shared" si="7"/>
        <v>0</v>
      </c>
      <c r="AH15" s="20">
        <f t="shared" si="8"/>
        <v>0</v>
      </c>
      <c r="AI15" s="20">
        <f t="shared" si="9"/>
        <v>0</v>
      </c>
      <c r="AJ15" s="20"/>
      <c r="AK15" s="20">
        <f>V16</f>
        <v>0</v>
      </c>
      <c r="AL15" s="20">
        <f t="shared" ref="AL15:AO15" si="21">W16</f>
        <v>0</v>
      </c>
      <c r="AM15" s="20">
        <f t="shared" si="21"/>
        <v>0</v>
      </c>
      <c r="AN15" s="20">
        <f t="shared" si="21"/>
        <v>0</v>
      </c>
      <c r="AO15" s="20">
        <f t="shared" si="21"/>
        <v>0</v>
      </c>
      <c r="AP15" s="20">
        <f>AB16</f>
        <v>0</v>
      </c>
      <c r="AQ15" s="20"/>
      <c r="AR15" s="20"/>
      <c r="AS15" s="20"/>
      <c r="AT15" s="20"/>
      <c r="AU15" s="20"/>
      <c r="AV15" s="20"/>
      <c r="AW15" s="20"/>
      <c r="AX15" s="19" t="e">
        <f t="shared" si="20"/>
        <v>#NUM!</v>
      </c>
      <c r="AY15" s="20" t="e">
        <f t="shared" si="13"/>
        <v>#NUM!</v>
      </c>
      <c r="AZ15" s="20">
        <v>0</v>
      </c>
      <c r="BA15" s="21">
        <f t="shared" si="15"/>
        <v>0</v>
      </c>
      <c r="BB15" s="19" t="e">
        <f>V53</f>
        <v>#NUM!</v>
      </c>
      <c r="BC15" s="20" t="e">
        <f>AD53</f>
        <v>#NUM!</v>
      </c>
      <c r="BD15" s="20">
        <v>0</v>
      </c>
      <c r="BE15" s="21">
        <v>0</v>
      </c>
      <c r="BF15" s="19" t="e">
        <f>V72</f>
        <v>#NUM!</v>
      </c>
      <c r="BG15" s="20" t="e">
        <f>AD72</f>
        <v>#NUM!</v>
      </c>
      <c r="BH15" s="20">
        <v>0</v>
      </c>
      <c r="BI15" s="21">
        <v>0</v>
      </c>
      <c r="BJ15" s="19" t="e">
        <f>V88</f>
        <v>#NUM!</v>
      </c>
      <c r="BK15" s="20" t="e">
        <f>AD88</f>
        <v>#NUM!</v>
      </c>
      <c r="BL15" s="20">
        <v>0</v>
      </c>
      <c r="BM15" s="21">
        <v>0</v>
      </c>
      <c r="BN15" s="20" t="e">
        <f>V101</f>
        <v>#NUM!</v>
      </c>
      <c r="BO15" s="20" t="e">
        <f>AD101</f>
        <v>#NUM!</v>
      </c>
      <c r="BP15" s="20">
        <v>0</v>
      </c>
      <c r="BQ15" s="21">
        <v>0</v>
      </c>
    </row>
    <row r="16" spans="1:69" ht="15.75" thickBot="1" x14ac:dyDescent="0.3">
      <c r="N16" s="19">
        <f ca="1">IF(AND(O9=0,U15=1,U16=1),Q26,IF(AND(O9=0,U15=0,U16=1),Q30,IF(AND(O9=0,U16=0),0,OFFSET(AX16,0,(15-(3*$O$9))+$U$17+(5-$O$9)))))</f>
        <v>0</v>
      </c>
      <c r="O16" s="20">
        <f>Beam_Analysis!J29</f>
        <v>10</v>
      </c>
      <c r="P16" s="20" cm="1">
        <f t="array" aca="1" ref="P16:S16" ca="1">center_span(Beam_Analysis!$J$29,O16,Beam_Analysis!$D$3,Beam_Analysis!$D$2,Beam_Analysis!$J$33:$O$72,Beam_Analysis!$G$5:$P$5,0)</f>
        <v>-0.75000000000000022</v>
      </c>
      <c r="Q16" s="20">
        <f ca="1"/>
        <v>-8.3266726846886741E-16</v>
      </c>
      <c r="R16" s="20">
        <f ca="1"/>
        <v>4.3448275862068945E-2</v>
      </c>
      <c r="S16" s="20">
        <f ca="1"/>
        <v>-1.4165220720534653E-15</v>
      </c>
      <c r="T16" s="20">
        <f ca="1">-1*R16</f>
        <v>-4.3448275862068945E-2</v>
      </c>
      <c r="U16" s="20">
        <f>Beam_Analysis!N28</f>
        <v>0</v>
      </c>
      <c r="V16" s="20" cm="1">
        <f t="array" ref="V16">point_moment(U16,O16,Beam_Analysis!$J$29,Beam_Analysis!$D$3,Beam_Analysis!$D$2,$O$10,5)</f>
        <v>0</v>
      </c>
      <c r="W16" s="20" cm="1">
        <f t="array" ref="W16">point_moment(U16,O16,Beam_Analysis!$J$29,Beam_Analysis!$D$3,Beam_Analysis!$D$2,$O$11,5)</f>
        <v>0</v>
      </c>
      <c r="X16" s="20" cm="1">
        <f t="array" ref="X16">point_moment(U16,O16,Beam_Analysis!$J$29,Beam_Analysis!$D$3,Beam_Analysis!$D$2,$O$12,5)</f>
        <v>0</v>
      </c>
      <c r="Y16" s="20" cm="1">
        <f t="array" ref="Y16">point_moment(U16,O16,Beam_Analysis!$J$29,Beam_Analysis!$D$3,Beam_Analysis!$D$2,$O$13,5)</f>
        <v>0</v>
      </c>
      <c r="Z16" s="20" cm="1">
        <f t="array" ref="Z16">point_moment(U16,O16,Beam_Analysis!$J$29,Beam_Analysis!$D$3,Beam_Analysis!$D$2,$O$14,5)</f>
        <v>0</v>
      </c>
      <c r="AA16" s="20" cm="1">
        <f t="array" ref="AA16">IF(U15=0,0,point_moment(U16,O16,Beam_Analysis!$J$29,Beam_Analysis!$D$3,Beam_Analysis!$D$2,$O$15,4))</f>
        <v>0</v>
      </c>
      <c r="AB16" s="20" cm="1">
        <f t="array" ref="AB16">point_moment(U16,O16,Beam_Analysis!$J$29,Beam_Analysis!$D$3,Beam_Analysis!$D$2,$O$16,4)</f>
        <v>0</v>
      </c>
      <c r="AC16" s="20"/>
      <c r="AD16" s="20"/>
      <c r="AE16" s="20"/>
      <c r="AF16" s="20"/>
      <c r="AG16" s="20"/>
      <c r="AH16" s="20"/>
      <c r="AI16" s="20"/>
      <c r="AJ16" s="20"/>
      <c r="AK16" s="20"/>
      <c r="AL16" s="20"/>
      <c r="AM16" s="20"/>
      <c r="AN16" s="20"/>
      <c r="AO16" s="20"/>
      <c r="AP16" s="20"/>
      <c r="AQ16" s="20"/>
      <c r="AR16" s="20"/>
      <c r="AS16" s="20"/>
      <c r="AT16" s="20"/>
      <c r="AU16" s="20"/>
      <c r="AV16" s="20"/>
      <c r="AW16" s="20"/>
      <c r="AX16" s="23" t="e">
        <f t="shared" si="20"/>
        <v>#NUM!</v>
      </c>
      <c r="AY16" s="24">
        <f t="shared" si="13"/>
        <v>0</v>
      </c>
      <c r="AZ16" s="24" t="e">
        <f>AK31</f>
        <v>#NUM!</v>
      </c>
      <c r="BA16" s="25">
        <f t="shared" si="15"/>
        <v>0</v>
      </c>
      <c r="BB16" s="23" t="e">
        <f>V54</f>
        <v>#NUM!</v>
      </c>
      <c r="BC16" s="24">
        <v>0</v>
      </c>
      <c r="BD16" s="24" t="e">
        <f>AK53</f>
        <v>#NUM!</v>
      </c>
      <c r="BE16" s="25">
        <v>0</v>
      </c>
      <c r="BF16" s="23" t="e">
        <f>V73</f>
        <v>#NUM!</v>
      </c>
      <c r="BG16" s="24">
        <v>0</v>
      </c>
      <c r="BH16" s="24" t="e">
        <f>AK72</f>
        <v>#NUM!</v>
      </c>
      <c r="BI16" s="25">
        <v>0</v>
      </c>
      <c r="BJ16" s="23" t="e">
        <f>V89</f>
        <v>#NUM!</v>
      </c>
      <c r="BK16" s="24">
        <v>0</v>
      </c>
      <c r="BL16" s="24" t="e">
        <f>AK88</f>
        <v>#NUM!</v>
      </c>
      <c r="BM16" s="25">
        <v>0</v>
      </c>
      <c r="BN16" s="24" t="e">
        <f>V102</f>
        <v>#NUM!</v>
      </c>
      <c r="BO16" s="24">
        <v>0</v>
      </c>
      <c r="BP16" s="24" t="e">
        <f>AK101</f>
        <v>#NUM!</v>
      </c>
      <c r="BQ16" s="25">
        <v>0</v>
      </c>
    </row>
    <row r="17" spans="1:69" x14ac:dyDescent="0.25">
      <c r="F17">
        <f>F13</f>
        <v>10</v>
      </c>
      <c r="G17">
        <v>0</v>
      </c>
      <c r="N17" s="19"/>
      <c r="O17" s="20"/>
      <c r="P17" s="20"/>
      <c r="Q17" s="20"/>
      <c r="R17" s="20"/>
      <c r="S17" s="20"/>
      <c r="T17" s="20"/>
      <c r="U17" s="20">
        <f>IF(AND(U15=1,U16=1),0,IF(AND(U15=1,U16=0),1,IF(AND(U15=0,U16=1),2,3)))</f>
        <v>3</v>
      </c>
      <c r="V17" s="20"/>
      <c r="W17" s="20"/>
      <c r="X17" s="20"/>
      <c r="Y17" s="20"/>
      <c r="Z17" s="20"/>
      <c r="AA17" s="20"/>
      <c r="AB17" s="20"/>
      <c r="AC17" s="20"/>
      <c r="AD17" s="20"/>
      <c r="AE17" s="20"/>
      <c r="AF17" s="20"/>
      <c r="AG17" s="20"/>
      <c r="AH17" s="20"/>
      <c r="AI17" s="20"/>
      <c r="AJ17" s="20"/>
      <c r="AK17" s="20"/>
      <c r="AL17" s="20"/>
      <c r="AM17" s="20"/>
      <c r="AN17" s="20"/>
      <c r="AO17" s="20"/>
      <c r="AP17" s="20"/>
      <c r="AQ17" s="20"/>
      <c r="AR17" s="20"/>
      <c r="AS17" s="20"/>
      <c r="AT17" s="20"/>
      <c r="AU17" s="20"/>
      <c r="AV17" s="20"/>
      <c r="AW17" s="20"/>
      <c r="AX17" s="20"/>
      <c r="AY17" s="20"/>
      <c r="AZ17" s="20"/>
      <c r="BA17" s="20"/>
      <c r="BB17" s="20"/>
      <c r="BC17" s="20"/>
      <c r="BD17" s="20"/>
      <c r="BE17" s="20"/>
      <c r="BF17" s="20"/>
      <c r="BG17" s="20"/>
      <c r="BH17" s="20"/>
      <c r="BI17" s="20"/>
      <c r="BJ17" s="20"/>
      <c r="BK17" s="20"/>
      <c r="BL17" s="20"/>
      <c r="BM17" s="20"/>
      <c r="BN17" s="20"/>
      <c r="BO17" s="20"/>
      <c r="BP17" s="20"/>
      <c r="BQ17" s="21"/>
    </row>
    <row r="18" spans="1:69" x14ac:dyDescent="0.25">
      <c r="F18">
        <f>F17+Beam_Analysis!S29</f>
        <v>10</v>
      </c>
      <c r="G18">
        <v>0</v>
      </c>
      <c r="N18" s="19"/>
      <c r="O18" s="20"/>
      <c r="P18" s="20"/>
      <c r="Q18" s="20"/>
      <c r="R18" s="20"/>
      <c r="S18" s="20"/>
      <c r="T18" s="20"/>
      <c r="U18" s="20"/>
      <c r="V18" s="20" t="e">
        <f t="array" ref="V18:AB24">MINVERSE(V10:AB16)</f>
        <v>#NUM!</v>
      </c>
      <c r="W18" s="20" t="e">
        <v>#NUM!</v>
      </c>
      <c r="X18" s="20" t="e">
        <v>#NUM!</v>
      </c>
      <c r="Y18" s="20" t="e">
        <v>#NUM!</v>
      </c>
      <c r="Z18" s="20" t="e">
        <v>#NUM!</v>
      </c>
      <c r="AA18" s="20" t="e">
        <v>#NUM!</v>
      </c>
      <c r="AB18" s="20" t="e">
        <v>#NUM!</v>
      </c>
      <c r="AC18" s="20"/>
      <c r="AD18" s="20" t="e">
        <f t="array" ref="AD18:AI23">MINVERSE(AD10:AI15)</f>
        <v>#NUM!</v>
      </c>
      <c r="AE18" s="20" t="e">
        <v>#NUM!</v>
      </c>
      <c r="AF18" s="20" t="e">
        <v>#NUM!</v>
      </c>
      <c r="AG18" s="20" t="e">
        <v>#NUM!</v>
      </c>
      <c r="AH18" s="20" t="e">
        <v>#NUM!</v>
      </c>
      <c r="AI18" s="20" t="e">
        <v>#NUM!</v>
      </c>
      <c r="AJ18" s="20"/>
      <c r="AK18" s="20" t="e">
        <f t="array" ref="AK18:AP23">MINVERSE(AK10:AP15)</f>
        <v>#NUM!</v>
      </c>
      <c r="AL18" s="20" t="e">
        <v>#NUM!</v>
      </c>
      <c r="AM18" s="20" t="e">
        <v>#NUM!</v>
      </c>
      <c r="AN18" s="20" t="e">
        <v>#NUM!</v>
      </c>
      <c r="AO18" s="20" t="e">
        <v>#NUM!</v>
      </c>
      <c r="AP18" s="20" t="e">
        <v>#NUM!</v>
      </c>
      <c r="AQ18" s="20"/>
      <c r="AR18" s="20" t="e">
        <f t="array" ref="AR18:AV22">MINVERSE(AR10:AV14)</f>
        <v>#NUM!</v>
      </c>
      <c r="AS18" s="20" t="e">
        <v>#NUM!</v>
      </c>
      <c r="AT18" s="20" t="e">
        <v>#NUM!</v>
      </c>
      <c r="AU18" s="20" t="e">
        <v>#NUM!</v>
      </c>
      <c r="AV18" s="20" t="e">
        <v>#NUM!</v>
      </c>
      <c r="AW18" s="20"/>
      <c r="AX18" s="20"/>
      <c r="AY18" s="20"/>
      <c r="AZ18" s="20"/>
      <c r="BA18" s="20"/>
      <c r="BB18" s="20"/>
      <c r="BC18" s="20"/>
      <c r="BD18" s="20"/>
      <c r="BE18" s="20"/>
      <c r="BF18" s="20"/>
      <c r="BG18" s="20"/>
      <c r="BH18" s="20"/>
      <c r="BI18" s="20"/>
      <c r="BJ18" s="20"/>
      <c r="BK18" s="20"/>
      <c r="BL18" s="20"/>
      <c r="BM18" s="20"/>
      <c r="BN18" s="20"/>
      <c r="BO18" s="20"/>
      <c r="BP18" s="20"/>
      <c r="BQ18" s="21"/>
    </row>
    <row r="19" spans="1:69" x14ac:dyDescent="0.25">
      <c r="N19" s="19"/>
      <c r="O19" s="20"/>
      <c r="P19" s="20"/>
      <c r="Q19" s="20">
        <f>AA15</f>
        <v>0</v>
      </c>
      <c r="R19" s="20">
        <f>AB15</f>
        <v>0</v>
      </c>
      <c r="S19" s="20"/>
      <c r="T19" s="20"/>
      <c r="U19" s="20"/>
      <c r="V19" s="20" t="e">
        <v>#NUM!</v>
      </c>
      <c r="W19" s="20" t="e">
        <v>#NUM!</v>
      </c>
      <c r="X19" s="20" t="e">
        <v>#NUM!</v>
      </c>
      <c r="Y19" s="20" t="e">
        <v>#NUM!</v>
      </c>
      <c r="Z19" s="20" t="e">
        <v>#NUM!</v>
      </c>
      <c r="AA19" s="20" t="e">
        <v>#NUM!</v>
      </c>
      <c r="AB19" s="20" t="e">
        <v>#NUM!</v>
      </c>
      <c r="AC19" s="20"/>
      <c r="AD19" s="20" t="e">
        <v>#NUM!</v>
      </c>
      <c r="AE19" s="20" t="e">
        <v>#NUM!</v>
      </c>
      <c r="AF19" s="20" t="e">
        <v>#NUM!</v>
      </c>
      <c r="AG19" s="20" t="e">
        <v>#NUM!</v>
      </c>
      <c r="AH19" s="20" t="e">
        <v>#NUM!</v>
      </c>
      <c r="AI19" s="20" t="e">
        <v>#NUM!</v>
      </c>
      <c r="AJ19" s="20"/>
      <c r="AK19" s="20" t="e">
        <v>#NUM!</v>
      </c>
      <c r="AL19" s="20" t="e">
        <v>#NUM!</v>
      </c>
      <c r="AM19" s="20" t="e">
        <v>#NUM!</v>
      </c>
      <c r="AN19" s="20" t="e">
        <v>#NUM!</v>
      </c>
      <c r="AO19" s="20" t="e">
        <v>#NUM!</v>
      </c>
      <c r="AP19" s="20" t="e">
        <v>#NUM!</v>
      </c>
      <c r="AQ19" s="20"/>
      <c r="AR19" s="20" t="e">
        <v>#NUM!</v>
      </c>
      <c r="AS19" s="20" t="e">
        <v>#NUM!</v>
      </c>
      <c r="AT19" s="20" t="e">
        <v>#NUM!</v>
      </c>
      <c r="AU19" s="20" t="e">
        <v>#NUM!</v>
      </c>
      <c r="AV19" s="20" t="e">
        <v>#NUM!</v>
      </c>
      <c r="AW19" s="20"/>
      <c r="AX19" s="20"/>
      <c r="AY19" s="20"/>
      <c r="AZ19" s="20"/>
      <c r="BA19" s="20"/>
      <c r="BB19" s="20"/>
      <c r="BC19" s="20"/>
      <c r="BD19" s="20"/>
      <c r="BE19" s="20"/>
      <c r="BF19" s="20"/>
      <c r="BG19" s="20"/>
      <c r="BH19" s="20"/>
      <c r="BI19" s="20"/>
      <c r="BJ19" s="20"/>
      <c r="BK19" s="20"/>
      <c r="BL19" s="20"/>
      <c r="BM19" s="20"/>
      <c r="BN19" s="20"/>
      <c r="BO19" s="20"/>
      <c r="BP19" s="20"/>
      <c r="BQ19" s="21"/>
    </row>
    <row r="20" spans="1:69" x14ac:dyDescent="0.25">
      <c r="N20" s="19"/>
      <c r="O20" s="20"/>
      <c r="P20" s="20"/>
      <c r="Q20" s="20">
        <f>AA16</f>
        <v>0</v>
      </c>
      <c r="R20" s="20">
        <f>AB16</f>
        <v>0</v>
      </c>
      <c r="S20" s="20"/>
      <c r="T20" s="20"/>
      <c r="U20" s="20"/>
      <c r="V20" s="20" t="e">
        <v>#NUM!</v>
      </c>
      <c r="W20" s="20" t="e">
        <v>#NUM!</v>
      </c>
      <c r="X20" s="20" t="e">
        <v>#NUM!</v>
      </c>
      <c r="Y20" s="20" t="e">
        <v>#NUM!</v>
      </c>
      <c r="Z20" s="20" t="e">
        <v>#NUM!</v>
      </c>
      <c r="AA20" s="20" t="e">
        <v>#NUM!</v>
      </c>
      <c r="AB20" s="20" t="e">
        <v>#NUM!</v>
      </c>
      <c r="AC20" s="20"/>
      <c r="AD20" s="20" t="e">
        <v>#NUM!</v>
      </c>
      <c r="AE20" s="20" t="e">
        <v>#NUM!</v>
      </c>
      <c r="AF20" s="20" t="e">
        <v>#NUM!</v>
      </c>
      <c r="AG20" s="20" t="e">
        <v>#NUM!</v>
      </c>
      <c r="AH20" s="20" t="e">
        <v>#NUM!</v>
      </c>
      <c r="AI20" s="20" t="e">
        <v>#NUM!</v>
      </c>
      <c r="AJ20" s="20"/>
      <c r="AK20" s="20" t="e">
        <v>#NUM!</v>
      </c>
      <c r="AL20" s="20" t="e">
        <v>#NUM!</v>
      </c>
      <c r="AM20" s="20" t="e">
        <v>#NUM!</v>
      </c>
      <c r="AN20" s="20" t="e">
        <v>#NUM!</v>
      </c>
      <c r="AO20" s="20" t="e">
        <v>#NUM!</v>
      </c>
      <c r="AP20" s="20" t="e">
        <v>#NUM!</v>
      </c>
      <c r="AQ20" s="20"/>
      <c r="AR20" s="20" t="e">
        <v>#NUM!</v>
      </c>
      <c r="AS20" s="20" t="e">
        <v>#NUM!</v>
      </c>
      <c r="AT20" s="20" t="e">
        <v>#NUM!</v>
      </c>
      <c r="AU20" s="20" t="e">
        <v>#NUM!</v>
      </c>
      <c r="AV20" s="20" t="e">
        <v>#NUM!</v>
      </c>
      <c r="AW20" s="20"/>
      <c r="AX20" s="20"/>
      <c r="AY20" s="20"/>
      <c r="AZ20" s="20"/>
      <c r="BA20" s="20"/>
      <c r="BB20" s="20"/>
      <c r="BC20" s="20"/>
      <c r="BD20" s="20"/>
      <c r="BE20" s="20"/>
      <c r="BF20" s="20"/>
      <c r="BG20" s="20"/>
      <c r="BH20" s="20"/>
      <c r="BI20" s="20"/>
      <c r="BJ20" s="20"/>
      <c r="BK20" s="20"/>
      <c r="BL20" s="20"/>
      <c r="BM20" s="20"/>
      <c r="BN20" s="20"/>
      <c r="BO20" s="20"/>
      <c r="BP20" s="20"/>
      <c r="BQ20" s="21"/>
    </row>
    <row r="21" spans="1:69" x14ac:dyDescent="0.25">
      <c r="N21" s="19"/>
      <c r="O21" s="20"/>
      <c r="P21" s="20"/>
      <c r="Q21" s="20"/>
      <c r="R21" s="20"/>
      <c r="S21" s="20"/>
      <c r="T21" s="20"/>
      <c r="U21" s="20"/>
      <c r="V21" s="20" t="e">
        <v>#NUM!</v>
      </c>
      <c r="W21" s="20" t="e">
        <v>#NUM!</v>
      </c>
      <c r="X21" s="20" t="e">
        <v>#NUM!</v>
      </c>
      <c r="Y21" s="20" t="e">
        <v>#NUM!</v>
      </c>
      <c r="Z21" s="20" t="e">
        <v>#NUM!</v>
      </c>
      <c r="AA21" s="20" t="e">
        <v>#NUM!</v>
      </c>
      <c r="AB21" s="20" t="e">
        <v>#NUM!</v>
      </c>
      <c r="AC21" s="20"/>
      <c r="AD21" s="20" t="e">
        <v>#NUM!</v>
      </c>
      <c r="AE21" s="20" t="e">
        <v>#NUM!</v>
      </c>
      <c r="AF21" s="20" t="e">
        <v>#NUM!</v>
      </c>
      <c r="AG21" s="20" t="e">
        <v>#NUM!</v>
      </c>
      <c r="AH21" s="20" t="e">
        <v>#NUM!</v>
      </c>
      <c r="AI21" s="20" t="e">
        <v>#NUM!</v>
      </c>
      <c r="AJ21" s="20"/>
      <c r="AK21" s="20" t="e">
        <v>#NUM!</v>
      </c>
      <c r="AL21" s="20" t="e">
        <v>#NUM!</v>
      </c>
      <c r="AM21" s="20" t="e">
        <v>#NUM!</v>
      </c>
      <c r="AN21" s="20" t="e">
        <v>#NUM!</v>
      </c>
      <c r="AO21" s="20" t="e">
        <v>#NUM!</v>
      </c>
      <c r="AP21" s="20" t="e">
        <v>#NUM!</v>
      </c>
      <c r="AQ21" s="20"/>
      <c r="AR21" s="20" t="e">
        <v>#NUM!</v>
      </c>
      <c r="AS21" s="20" t="e">
        <v>#NUM!</v>
      </c>
      <c r="AT21" s="20" t="e">
        <v>#NUM!</v>
      </c>
      <c r="AU21" s="20" t="e">
        <v>#NUM!</v>
      </c>
      <c r="AV21" s="20" t="e">
        <v>#NUM!</v>
      </c>
      <c r="AW21" s="20"/>
      <c r="AX21" s="20"/>
      <c r="AY21" s="20"/>
      <c r="AZ21" s="20"/>
      <c r="BA21" s="20"/>
      <c r="BB21" s="20"/>
      <c r="BC21" s="20"/>
      <c r="BD21" s="20"/>
      <c r="BE21" s="20"/>
      <c r="BF21" s="20"/>
      <c r="BG21" s="20"/>
      <c r="BH21" s="20"/>
      <c r="BI21" s="20"/>
      <c r="BJ21" s="20"/>
      <c r="BK21" s="20"/>
      <c r="BL21" s="20"/>
      <c r="BM21" s="20"/>
      <c r="BN21" s="20"/>
      <c r="BO21" s="20"/>
      <c r="BP21" s="20"/>
      <c r="BQ21" s="21"/>
    </row>
    <row r="22" spans="1:69" x14ac:dyDescent="0.25">
      <c r="N22" s="19"/>
      <c r="O22" s="20"/>
      <c r="P22" s="20"/>
      <c r="Q22" s="20" t="e">
        <f t="array" ref="Q22:R23">MINVERSE(Q19:R20)</f>
        <v>#NUM!</v>
      </c>
      <c r="R22" s="20" t="e">
        <v>#NUM!</v>
      </c>
      <c r="S22" s="20"/>
      <c r="T22" s="20"/>
      <c r="U22" s="20"/>
      <c r="V22" s="20" t="e">
        <v>#NUM!</v>
      </c>
      <c r="W22" s="20" t="e">
        <v>#NUM!</v>
      </c>
      <c r="X22" s="20" t="e">
        <v>#NUM!</v>
      </c>
      <c r="Y22" s="20" t="e">
        <v>#NUM!</v>
      </c>
      <c r="Z22" s="20" t="e">
        <v>#NUM!</v>
      </c>
      <c r="AA22" s="20" t="e">
        <v>#NUM!</v>
      </c>
      <c r="AB22" s="20" t="e">
        <v>#NUM!</v>
      </c>
      <c r="AC22" s="20"/>
      <c r="AD22" s="20" t="e">
        <v>#NUM!</v>
      </c>
      <c r="AE22" s="20" t="e">
        <v>#NUM!</v>
      </c>
      <c r="AF22" s="20" t="e">
        <v>#NUM!</v>
      </c>
      <c r="AG22" s="20" t="e">
        <v>#NUM!</v>
      </c>
      <c r="AH22" s="20" t="e">
        <v>#NUM!</v>
      </c>
      <c r="AI22" s="20" t="e">
        <v>#NUM!</v>
      </c>
      <c r="AJ22" s="20"/>
      <c r="AK22" s="20" t="e">
        <v>#NUM!</v>
      </c>
      <c r="AL22" s="20" t="e">
        <v>#NUM!</v>
      </c>
      <c r="AM22" s="20" t="e">
        <v>#NUM!</v>
      </c>
      <c r="AN22" s="20" t="e">
        <v>#NUM!</v>
      </c>
      <c r="AO22" s="20" t="e">
        <v>#NUM!</v>
      </c>
      <c r="AP22" s="20" t="e">
        <v>#NUM!</v>
      </c>
      <c r="AQ22" s="20"/>
      <c r="AR22" s="20" t="e">
        <v>#NUM!</v>
      </c>
      <c r="AS22" s="20" t="e">
        <v>#NUM!</v>
      </c>
      <c r="AT22" s="20" t="e">
        <v>#NUM!</v>
      </c>
      <c r="AU22" s="20" t="e">
        <v>#NUM!</v>
      </c>
      <c r="AV22" s="20" t="e">
        <v>#NUM!</v>
      </c>
      <c r="AW22" s="20"/>
      <c r="AX22" s="20"/>
      <c r="AY22" s="20"/>
      <c r="AZ22" s="20"/>
      <c r="BA22" s="20"/>
      <c r="BB22" s="20"/>
      <c r="BC22" s="20"/>
      <c r="BD22" s="20"/>
      <c r="BE22" s="20"/>
      <c r="BF22" s="20"/>
      <c r="BG22" s="20"/>
      <c r="BH22" s="20"/>
      <c r="BI22" s="20"/>
      <c r="BJ22" s="20"/>
      <c r="BK22" s="20"/>
      <c r="BL22" s="20"/>
      <c r="BM22" s="20"/>
      <c r="BN22" s="20"/>
      <c r="BO22" s="20"/>
      <c r="BP22" s="20"/>
      <c r="BQ22" s="21"/>
    </row>
    <row r="23" spans="1:69" x14ac:dyDescent="0.25">
      <c r="B23" t="s">
        <v>44</v>
      </c>
      <c r="N23" s="19"/>
      <c r="O23" s="20"/>
      <c r="P23" s="20"/>
      <c r="Q23" s="20" t="e">
        <v>#NUM!</v>
      </c>
      <c r="R23" s="20" t="e">
        <v>#NUM!</v>
      </c>
      <c r="S23" s="20"/>
      <c r="T23" s="20"/>
      <c r="U23" s="20"/>
      <c r="V23" s="20" t="e">
        <v>#NUM!</v>
      </c>
      <c r="W23" s="20" t="e">
        <v>#NUM!</v>
      </c>
      <c r="X23" s="20" t="e">
        <v>#NUM!</v>
      </c>
      <c r="Y23" s="20" t="e">
        <v>#NUM!</v>
      </c>
      <c r="Z23" s="20" t="e">
        <v>#NUM!</v>
      </c>
      <c r="AA23" s="20" t="e">
        <v>#NUM!</v>
      </c>
      <c r="AB23" s="20" t="e">
        <v>#NUM!</v>
      </c>
      <c r="AC23" s="20"/>
      <c r="AD23" s="20" t="e">
        <v>#NUM!</v>
      </c>
      <c r="AE23" s="20" t="e">
        <v>#NUM!</v>
      </c>
      <c r="AF23" s="20" t="e">
        <v>#NUM!</v>
      </c>
      <c r="AG23" s="20" t="e">
        <v>#NUM!</v>
      </c>
      <c r="AH23" s="20" t="e">
        <v>#NUM!</v>
      </c>
      <c r="AI23" s="20" t="e">
        <v>#NUM!</v>
      </c>
      <c r="AJ23" s="20"/>
      <c r="AK23" s="20" t="e">
        <v>#NUM!</v>
      </c>
      <c r="AL23" s="20" t="e">
        <v>#NUM!</v>
      </c>
      <c r="AM23" s="20" t="e">
        <v>#NUM!</v>
      </c>
      <c r="AN23" s="20" t="e">
        <v>#NUM!</v>
      </c>
      <c r="AO23" s="20" t="e">
        <v>#NUM!</v>
      </c>
      <c r="AP23" s="20" t="e">
        <v>#NUM!</v>
      </c>
      <c r="AQ23" s="20"/>
      <c r="AR23" s="20"/>
      <c r="AS23" s="20"/>
      <c r="AT23" s="20"/>
      <c r="AU23" s="20"/>
      <c r="AV23" s="20"/>
      <c r="AW23" s="20"/>
      <c r="AX23" s="20"/>
      <c r="AY23" s="20"/>
      <c r="AZ23" s="20"/>
      <c r="BA23" s="20"/>
      <c r="BB23" s="20"/>
      <c r="BC23" s="20"/>
      <c r="BD23" s="20"/>
      <c r="BE23" s="20"/>
      <c r="BF23" s="20"/>
      <c r="BG23" s="20"/>
      <c r="BH23" s="20"/>
      <c r="BI23" s="20"/>
      <c r="BJ23" s="20"/>
      <c r="BK23" s="20"/>
      <c r="BL23" s="20"/>
      <c r="BM23" s="20"/>
      <c r="BN23" s="20"/>
      <c r="BO23" s="20"/>
      <c r="BP23" s="20"/>
      <c r="BQ23" s="21"/>
    </row>
    <row r="24" spans="1:69" x14ac:dyDescent="0.25">
      <c r="A24">
        <f>F8/26</f>
        <v>0</v>
      </c>
      <c r="B24" t="s">
        <v>45</v>
      </c>
      <c r="C24" t="s">
        <v>46</v>
      </c>
      <c r="H24" s="1" t="s">
        <v>129</v>
      </c>
      <c r="N24" s="19"/>
      <c r="O24" s="20"/>
      <c r="P24" s="20"/>
      <c r="Q24" s="20"/>
      <c r="R24" s="20"/>
      <c r="S24" s="20"/>
      <c r="T24" s="20"/>
      <c r="U24" s="20"/>
      <c r="V24" s="20" t="e">
        <v>#NUM!</v>
      </c>
      <c r="W24" s="20" t="e">
        <v>#NUM!</v>
      </c>
      <c r="X24" s="20" t="e">
        <v>#NUM!</v>
      </c>
      <c r="Y24" s="20" t="e">
        <v>#NUM!</v>
      </c>
      <c r="Z24" s="20" t="e">
        <v>#NUM!</v>
      </c>
      <c r="AA24" s="20" t="e">
        <v>#NUM!</v>
      </c>
      <c r="AB24" s="20" t="e">
        <v>#NUM!</v>
      </c>
      <c r="AC24" s="20"/>
      <c r="AD24" s="20"/>
      <c r="AE24" s="20"/>
      <c r="AF24" s="20"/>
      <c r="AG24" s="20"/>
      <c r="AH24" s="20"/>
      <c r="AI24" s="20"/>
      <c r="AJ24" s="20"/>
      <c r="AK24" s="20"/>
      <c r="AL24" s="20"/>
      <c r="AM24" s="20"/>
      <c r="AN24" s="20"/>
      <c r="AO24" s="20"/>
      <c r="AP24" s="20"/>
      <c r="AQ24" s="20"/>
      <c r="AR24" s="20"/>
      <c r="AS24" s="20"/>
      <c r="AT24" s="20"/>
      <c r="AU24" s="20"/>
      <c r="AV24" s="20"/>
      <c r="AW24" s="20"/>
      <c r="AX24" s="20"/>
      <c r="AY24" s="20"/>
      <c r="AZ24" s="20"/>
      <c r="BA24" s="20"/>
      <c r="BB24" s="20"/>
      <c r="BC24" s="20"/>
      <c r="BD24" s="20"/>
      <c r="BE24" s="20"/>
      <c r="BF24" s="20"/>
      <c r="BG24" s="20"/>
      <c r="BH24" s="20"/>
      <c r="BI24" s="20"/>
      <c r="BJ24" s="20"/>
      <c r="BK24" s="20"/>
      <c r="BL24" s="20"/>
      <c r="BM24" s="20"/>
      <c r="BN24" s="20"/>
      <c r="BO24" s="20"/>
      <c r="BP24" s="20"/>
      <c r="BQ24" s="21"/>
    </row>
    <row r="25" spans="1:69" x14ac:dyDescent="0.25">
      <c r="A25">
        <v>1</v>
      </c>
      <c r="B25">
        <f>(A25-1)*$A$24</f>
        <v>0</v>
      </c>
      <c r="C25">
        <f ca="1">OFFSET(D25,0,$O$2)</f>
        <v>0</v>
      </c>
      <c r="D25" cm="1">
        <f t="array" aca="1" ref="D25:G25" ca="1">left_cantilever_analysis(Beam_Analysis!$B$29,B25,Beam_Analysis!$D$3,Beam_Analysis!$D$2,Beam_Analysis!$B$33:$G$53,Beam_Analysis!$G$5:$P$5,0)</f>
        <v>0</v>
      </c>
      <c r="E25">
        <f ca="1"/>
        <v>0</v>
      </c>
      <c r="F25">
        <f ca="1"/>
        <v>0</v>
      </c>
      <c r="G25">
        <f ca="1"/>
        <v>0</v>
      </c>
      <c r="H25">
        <f ca="1">(E25*12)/(Beam_Analysis!$B$2*Beam_Analysis!$B$3)</f>
        <v>0</v>
      </c>
      <c r="N25" s="19"/>
      <c r="O25" s="20"/>
      <c r="P25" s="20"/>
      <c r="Q25" s="20" t="e">
        <f t="array" ref="Q25:Q26">MMULT(Q22:R23,T15:T16)</f>
        <v>#NUM!</v>
      </c>
      <c r="R25" s="20"/>
      <c r="S25" s="20"/>
      <c r="T25" s="20"/>
      <c r="U25" s="20"/>
      <c r="V25" s="20"/>
      <c r="W25" s="20"/>
      <c r="X25" s="20"/>
      <c r="Y25" s="20"/>
      <c r="Z25" s="20"/>
      <c r="AA25" s="20"/>
      <c r="AB25" s="20"/>
      <c r="AC25" s="20"/>
      <c r="AD25" s="20"/>
      <c r="AE25" s="20"/>
      <c r="AF25" s="20"/>
      <c r="AG25" s="20"/>
      <c r="AH25" s="20"/>
      <c r="AI25" s="20"/>
      <c r="AJ25" s="20"/>
      <c r="AK25" s="20"/>
      <c r="AL25" s="20"/>
      <c r="AM25" s="20"/>
      <c r="AN25" s="20"/>
      <c r="AO25" s="20"/>
      <c r="AP25" s="20"/>
      <c r="AQ25" s="20"/>
      <c r="AR25" s="20"/>
      <c r="AS25" s="20"/>
      <c r="AT25" s="20"/>
      <c r="AU25" s="20"/>
      <c r="AV25" s="20"/>
      <c r="AW25" s="20"/>
      <c r="AX25" s="20"/>
      <c r="AY25" s="20"/>
      <c r="AZ25" s="20"/>
      <c r="BA25" s="20"/>
      <c r="BB25" s="20"/>
      <c r="BC25" s="20"/>
      <c r="BD25" s="20"/>
      <c r="BE25" s="20"/>
      <c r="BF25" s="20"/>
      <c r="BG25" s="20"/>
      <c r="BH25" s="20"/>
      <c r="BI25" s="20"/>
      <c r="BJ25" s="20"/>
      <c r="BK25" s="20"/>
      <c r="BL25" s="20"/>
      <c r="BM25" s="20"/>
      <c r="BN25" s="20"/>
      <c r="BO25" s="20"/>
      <c r="BP25" s="20"/>
      <c r="BQ25" s="21"/>
    </row>
    <row r="26" spans="1:69" x14ac:dyDescent="0.25">
      <c r="A26">
        <v>2</v>
      </c>
      <c r="B26">
        <f t="shared" ref="B26:B51" si="22">(A26-1)*$A$24</f>
        <v>0</v>
      </c>
      <c r="C26">
        <f t="shared" ref="C26:C51" ca="1" si="23">OFFSET(D26,0,$O$2)</f>
        <v>0</v>
      </c>
      <c r="D26" cm="1">
        <f t="array" aca="1" ref="D26:G26" ca="1">left_cantilever_analysis(Beam_Analysis!$B$29,B26,Beam_Analysis!$D$3,Beam_Analysis!$D$2,Beam_Analysis!$B$33:$G$53,Beam_Analysis!$G$5:$P$5,0)</f>
        <v>0</v>
      </c>
      <c r="E26">
        <f ca="1"/>
        <v>0</v>
      </c>
      <c r="F26">
        <f ca="1"/>
        <v>0</v>
      </c>
      <c r="G26">
        <f ca="1"/>
        <v>0</v>
      </c>
      <c r="H26">
        <f ca="1">(E26*12)/(Beam_Analysis!$B$2*Beam_Analysis!$B$3)</f>
        <v>0</v>
      </c>
      <c r="N26" s="19"/>
      <c r="O26" s="20"/>
      <c r="P26" s="20"/>
      <c r="Q26" s="20" t="e">
        <v>#NUM!</v>
      </c>
      <c r="R26" s="20"/>
      <c r="S26" s="20"/>
      <c r="T26" s="20"/>
      <c r="U26" s="20"/>
      <c r="V26" s="20" t="e">
        <f t="array" ref="V26:V32">MMULT(V18:AB24,T10:T16)</f>
        <v>#NUM!</v>
      </c>
      <c r="W26" s="20"/>
      <c r="X26" s="20"/>
      <c r="Y26" s="20"/>
      <c r="Z26" s="20"/>
      <c r="AA26" s="20"/>
      <c r="AB26" s="20"/>
      <c r="AC26" s="20"/>
      <c r="AD26" s="20" t="e">
        <f t="array" ref="AD26:AD31">MMULT(AD18:AI23,T10:T15)</f>
        <v>#NUM!</v>
      </c>
      <c r="AE26" s="20"/>
      <c r="AF26" s="20"/>
      <c r="AG26" s="20"/>
      <c r="AH26" s="20"/>
      <c r="AI26" s="20"/>
      <c r="AJ26" s="20">
        <f ca="1">T10</f>
        <v>0</v>
      </c>
      <c r="AK26" s="20" t="e">
        <f t="array" ref="AK26:AK31">MMULT(AK18:AP23,AJ26:AJ31)</f>
        <v>#NUM!</v>
      </c>
      <c r="AL26" s="20"/>
      <c r="AM26" s="20"/>
      <c r="AN26" s="20"/>
      <c r="AO26" s="20"/>
      <c r="AP26" s="20"/>
      <c r="AQ26" s="20"/>
      <c r="AR26" s="20" t="e">
        <f t="array" ref="AR26:AR30">MMULT(AR18:AV22,T10:T14)</f>
        <v>#NUM!</v>
      </c>
      <c r="AS26" s="20"/>
      <c r="AT26" s="20"/>
      <c r="AU26" s="20"/>
      <c r="AV26" s="20"/>
      <c r="AW26" s="20"/>
      <c r="AX26" s="20"/>
      <c r="AY26" s="20"/>
      <c r="AZ26" s="20"/>
      <c r="BA26" s="20"/>
      <c r="BB26" s="20"/>
      <c r="BC26" s="20"/>
      <c r="BD26" s="20"/>
      <c r="BE26" s="20"/>
      <c r="BF26" s="20"/>
      <c r="BG26" s="20"/>
      <c r="BH26" s="20"/>
      <c r="BI26" s="20"/>
      <c r="BJ26" s="20"/>
      <c r="BK26" s="20"/>
      <c r="BL26" s="20"/>
      <c r="BM26" s="20"/>
      <c r="BN26" s="20"/>
      <c r="BO26" s="20"/>
      <c r="BP26" s="20"/>
      <c r="BQ26" s="21"/>
    </row>
    <row r="27" spans="1:69" x14ac:dyDescent="0.25">
      <c r="A27">
        <v>3</v>
      </c>
      <c r="B27">
        <f t="shared" si="22"/>
        <v>0</v>
      </c>
      <c r="C27">
        <f t="shared" ca="1" si="23"/>
        <v>0</v>
      </c>
      <c r="D27" cm="1">
        <f t="array" aca="1" ref="D27:G27" ca="1">left_cantilever_analysis(Beam_Analysis!$B$29,B27,Beam_Analysis!$D$3,Beam_Analysis!$D$2,Beam_Analysis!$B$33:$G$53,Beam_Analysis!$G$5:$P$5,0)</f>
        <v>0</v>
      </c>
      <c r="E27">
        <f ca="1"/>
        <v>0</v>
      </c>
      <c r="F27">
        <f ca="1"/>
        <v>0</v>
      </c>
      <c r="G27">
        <f ca="1"/>
        <v>0</v>
      </c>
      <c r="H27">
        <f ca="1">(E27*12)/(Beam_Analysis!$B$2*Beam_Analysis!$B$3)</f>
        <v>0</v>
      </c>
      <c r="N27" s="19"/>
      <c r="O27" s="20"/>
      <c r="P27" s="20"/>
      <c r="Q27" s="20"/>
      <c r="R27" s="20"/>
      <c r="S27" s="20"/>
      <c r="T27" s="20"/>
      <c r="U27" s="20"/>
      <c r="V27" s="20" t="e">
        <v>#NUM!</v>
      </c>
      <c r="W27" s="20"/>
      <c r="X27" s="20"/>
      <c r="Y27" s="20"/>
      <c r="Z27" s="20"/>
      <c r="AA27" s="20"/>
      <c r="AB27" s="20"/>
      <c r="AC27" s="20"/>
      <c r="AD27" s="20" t="e">
        <v>#NUM!</v>
      </c>
      <c r="AE27" s="20"/>
      <c r="AF27" s="20"/>
      <c r="AG27" s="20"/>
      <c r="AH27" s="20"/>
      <c r="AI27" s="20"/>
      <c r="AJ27" s="20">
        <f t="shared" ref="AJ27:AJ30" ca="1" si="24">T11</f>
        <v>0</v>
      </c>
      <c r="AK27" s="20" t="e">
        <v>#NUM!</v>
      </c>
      <c r="AL27" s="20"/>
      <c r="AM27" s="20"/>
      <c r="AN27" s="20"/>
      <c r="AO27" s="20"/>
      <c r="AP27" s="20"/>
      <c r="AQ27" s="20"/>
      <c r="AR27" s="20" t="e">
        <v>#NUM!</v>
      </c>
      <c r="AS27" s="20"/>
      <c r="AT27" s="20"/>
      <c r="AU27" s="20"/>
      <c r="AV27" s="20"/>
      <c r="AW27" s="20"/>
      <c r="AX27" s="20"/>
      <c r="AY27" s="20"/>
      <c r="AZ27" s="20"/>
      <c r="BA27" s="20"/>
      <c r="BB27" s="20"/>
      <c r="BC27" s="20"/>
      <c r="BD27" s="20"/>
      <c r="BE27" s="20"/>
      <c r="BF27" s="20"/>
      <c r="BG27" s="20"/>
      <c r="BH27" s="20"/>
      <c r="BI27" s="20"/>
      <c r="BJ27" s="20"/>
      <c r="BK27" s="20"/>
      <c r="BL27" s="20"/>
      <c r="BM27" s="20"/>
      <c r="BN27" s="20"/>
      <c r="BO27" s="20"/>
      <c r="BP27" s="20"/>
      <c r="BQ27" s="21"/>
    </row>
    <row r="28" spans="1:69" x14ac:dyDescent="0.25">
      <c r="A28">
        <v>4</v>
      </c>
      <c r="B28">
        <f t="shared" si="22"/>
        <v>0</v>
      </c>
      <c r="C28">
        <f t="shared" ca="1" si="23"/>
        <v>0</v>
      </c>
      <c r="D28" cm="1">
        <f t="array" aca="1" ref="D28:G28" ca="1">left_cantilever_analysis(Beam_Analysis!$B$29,B28,Beam_Analysis!$D$3,Beam_Analysis!$D$2,Beam_Analysis!$B$33:$G$53,Beam_Analysis!$G$5:$P$5,0)</f>
        <v>0</v>
      </c>
      <c r="E28">
        <f ca="1"/>
        <v>0</v>
      </c>
      <c r="F28">
        <f ca="1"/>
        <v>0</v>
      </c>
      <c r="G28">
        <f ca="1"/>
        <v>0</v>
      </c>
      <c r="H28">
        <f ca="1">(E28*12)/(Beam_Analysis!$B$2*Beam_Analysis!$B$3)</f>
        <v>0</v>
      </c>
      <c r="N28" s="19"/>
      <c r="O28" s="20"/>
      <c r="P28" s="20"/>
      <c r="Q28" s="20" t="e">
        <f ca="1">T15/AA15</f>
        <v>#DIV/0!</v>
      </c>
      <c r="R28" s="20"/>
      <c r="S28" s="20"/>
      <c r="T28" s="20"/>
      <c r="U28" s="20"/>
      <c r="V28" s="20" t="e">
        <v>#NUM!</v>
      </c>
      <c r="W28" s="20"/>
      <c r="X28" s="20"/>
      <c r="Y28" s="20"/>
      <c r="Z28" s="20"/>
      <c r="AA28" s="20"/>
      <c r="AB28" s="20"/>
      <c r="AC28" s="20"/>
      <c r="AD28" s="20" t="e">
        <v>#NUM!</v>
      </c>
      <c r="AE28" s="20"/>
      <c r="AF28" s="20"/>
      <c r="AG28" s="20"/>
      <c r="AH28" s="20"/>
      <c r="AI28" s="20"/>
      <c r="AJ28" s="20">
        <f t="shared" ca="1" si="24"/>
        <v>0</v>
      </c>
      <c r="AK28" s="20" t="e">
        <v>#NUM!</v>
      </c>
      <c r="AL28" s="20"/>
      <c r="AM28" s="20"/>
      <c r="AN28" s="20"/>
      <c r="AO28" s="20"/>
      <c r="AP28" s="20"/>
      <c r="AQ28" s="20"/>
      <c r="AR28" s="20" t="e">
        <v>#NUM!</v>
      </c>
      <c r="AS28" s="20"/>
      <c r="AT28" s="20"/>
      <c r="AU28" s="20"/>
      <c r="AV28" s="20"/>
      <c r="AW28" s="20"/>
      <c r="AX28" s="20"/>
      <c r="AY28" s="20"/>
      <c r="AZ28" s="20"/>
      <c r="BA28" s="20"/>
      <c r="BB28" s="20"/>
      <c r="BC28" s="20"/>
      <c r="BD28" s="20"/>
      <c r="BE28" s="20"/>
      <c r="BF28" s="20"/>
      <c r="BG28" s="20"/>
      <c r="BH28" s="20"/>
      <c r="BI28" s="20"/>
      <c r="BJ28" s="20"/>
      <c r="BK28" s="20"/>
      <c r="BL28" s="20"/>
      <c r="BM28" s="20"/>
      <c r="BN28" s="20"/>
      <c r="BO28" s="20"/>
      <c r="BP28" s="20"/>
      <c r="BQ28" s="21"/>
    </row>
    <row r="29" spans="1:69" x14ac:dyDescent="0.25">
      <c r="A29">
        <v>5</v>
      </c>
      <c r="B29">
        <f t="shared" si="22"/>
        <v>0</v>
      </c>
      <c r="C29">
        <f t="shared" ca="1" si="23"/>
        <v>0</v>
      </c>
      <c r="D29" cm="1">
        <f t="array" aca="1" ref="D29:G29" ca="1">left_cantilever_analysis(Beam_Analysis!$B$29,B29,Beam_Analysis!$D$3,Beam_Analysis!$D$2,Beam_Analysis!$B$33:$G$53,Beam_Analysis!$G$5:$P$5,0)</f>
        <v>0</v>
      </c>
      <c r="E29">
        <f ca="1"/>
        <v>0</v>
      </c>
      <c r="F29">
        <f ca="1"/>
        <v>0</v>
      </c>
      <c r="G29">
        <f ca="1"/>
        <v>0</v>
      </c>
      <c r="H29">
        <f ca="1">(E29*12)/(Beam_Analysis!$B$2*Beam_Analysis!$B$3)</f>
        <v>0</v>
      </c>
      <c r="N29" s="19"/>
      <c r="O29" s="20"/>
      <c r="P29" s="20"/>
      <c r="Q29" s="20"/>
      <c r="R29" s="20"/>
      <c r="S29" s="20"/>
      <c r="T29" s="20"/>
      <c r="U29" s="20"/>
      <c r="V29" s="20" t="e">
        <v>#NUM!</v>
      </c>
      <c r="W29" s="20"/>
      <c r="X29" s="20"/>
      <c r="Y29" s="20"/>
      <c r="Z29" s="20"/>
      <c r="AA29" s="20"/>
      <c r="AB29" s="20"/>
      <c r="AC29" s="20"/>
      <c r="AD29" s="20" t="e">
        <v>#NUM!</v>
      </c>
      <c r="AE29" s="20"/>
      <c r="AF29" s="20"/>
      <c r="AG29" s="20"/>
      <c r="AH29" s="20"/>
      <c r="AI29" s="20"/>
      <c r="AJ29" s="20">
        <f t="shared" ca="1" si="24"/>
        <v>0</v>
      </c>
      <c r="AK29" s="20" t="e">
        <v>#NUM!</v>
      </c>
      <c r="AL29" s="20"/>
      <c r="AM29" s="20"/>
      <c r="AN29" s="20"/>
      <c r="AO29" s="20"/>
      <c r="AP29" s="20"/>
      <c r="AQ29" s="20"/>
      <c r="AR29" s="20" t="e">
        <v>#NUM!</v>
      </c>
      <c r="AS29" s="20"/>
      <c r="AT29" s="20"/>
      <c r="AU29" s="20"/>
      <c r="AV29" s="20"/>
      <c r="AW29" s="20"/>
      <c r="AX29" s="20"/>
      <c r="AY29" s="20"/>
      <c r="AZ29" s="20"/>
      <c r="BA29" s="20"/>
      <c r="BB29" s="20"/>
      <c r="BC29" s="20"/>
      <c r="BD29" s="20"/>
      <c r="BE29" s="20"/>
      <c r="BF29" s="20"/>
      <c r="BG29" s="20"/>
      <c r="BH29" s="20"/>
      <c r="BI29" s="20"/>
      <c r="BJ29" s="20"/>
      <c r="BK29" s="20"/>
      <c r="BL29" s="20"/>
      <c r="BM29" s="20"/>
      <c r="BN29" s="20"/>
      <c r="BO29" s="20"/>
      <c r="BP29" s="20"/>
      <c r="BQ29" s="21"/>
    </row>
    <row r="30" spans="1:69" x14ac:dyDescent="0.25">
      <c r="A30">
        <v>6</v>
      </c>
      <c r="B30">
        <f t="shared" si="22"/>
        <v>0</v>
      </c>
      <c r="C30">
        <f t="shared" ca="1" si="23"/>
        <v>0</v>
      </c>
      <c r="D30" cm="1">
        <f t="array" aca="1" ref="D30:G30" ca="1">left_cantilever_analysis(Beam_Analysis!$B$29,B30,Beam_Analysis!$D$3,Beam_Analysis!$D$2,Beam_Analysis!$B$33:$G$53,Beam_Analysis!$G$5:$P$5,0)</f>
        <v>0</v>
      </c>
      <c r="E30">
        <f ca="1"/>
        <v>0</v>
      </c>
      <c r="F30">
        <f ca="1"/>
        <v>0</v>
      </c>
      <c r="G30">
        <f ca="1"/>
        <v>0</v>
      </c>
      <c r="H30">
        <f ca="1">(E30*12)/(Beam_Analysis!$B$2*Beam_Analysis!$B$3)</f>
        <v>0</v>
      </c>
      <c r="N30" s="19"/>
      <c r="O30" s="20"/>
      <c r="P30" s="20"/>
      <c r="Q30" s="22" t="e">
        <f ca="1">T16/AB16</f>
        <v>#DIV/0!</v>
      </c>
      <c r="R30" s="20"/>
      <c r="S30" s="20"/>
      <c r="T30" s="20"/>
      <c r="U30" s="20"/>
      <c r="V30" s="20" t="e">
        <v>#NUM!</v>
      </c>
      <c r="W30" s="20"/>
      <c r="X30" s="20"/>
      <c r="Y30" s="20"/>
      <c r="Z30" s="20"/>
      <c r="AA30" s="20"/>
      <c r="AB30" s="20"/>
      <c r="AC30" s="20"/>
      <c r="AD30" s="20" t="e">
        <v>#NUM!</v>
      </c>
      <c r="AE30" s="20"/>
      <c r="AF30" s="20"/>
      <c r="AG30" s="20"/>
      <c r="AH30" s="20"/>
      <c r="AI30" s="20"/>
      <c r="AJ30" s="20">
        <f t="shared" ca="1" si="24"/>
        <v>0</v>
      </c>
      <c r="AK30" s="20" t="e">
        <v>#NUM!</v>
      </c>
      <c r="AL30" s="20"/>
      <c r="AM30" s="20"/>
      <c r="AN30" s="20"/>
      <c r="AO30" s="20"/>
      <c r="AP30" s="20"/>
      <c r="AQ30" s="20"/>
      <c r="AR30" s="20" t="e">
        <v>#NUM!</v>
      </c>
      <c r="AS30" s="20"/>
      <c r="AT30" s="20"/>
      <c r="AU30" s="20"/>
      <c r="AV30" s="20"/>
      <c r="AW30" s="20"/>
      <c r="AX30" s="20"/>
      <c r="AY30" s="20"/>
      <c r="AZ30" s="20"/>
      <c r="BA30" s="20"/>
      <c r="BB30" s="20"/>
      <c r="BC30" s="20"/>
      <c r="BD30" s="20"/>
      <c r="BE30" s="20"/>
      <c r="BF30" s="20"/>
      <c r="BG30" s="20"/>
      <c r="BH30" s="20"/>
      <c r="BI30" s="20"/>
      <c r="BJ30" s="20"/>
      <c r="BK30" s="20"/>
      <c r="BL30" s="20"/>
      <c r="BM30" s="20"/>
      <c r="BN30" s="20"/>
      <c r="BO30" s="20"/>
      <c r="BP30" s="20"/>
      <c r="BQ30" s="21"/>
    </row>
    <row r="31" spans="1:69" x14ac:dyDescent="0.25">
      <c r="A31">
        <v>7</v>
      </c>
      <c r="B31">
        <f t="shared" si="22"/>
        <v>0</v>
      </c>
      <c r="C31">
        <f t="shared" ca="1" si="23"/>
        <v>0</v>
      </c>
      <c r="D31" cm="1">
        <f t="array" aca="1" ref="D31:G31" ca="1">left_cantilever_analysis(Beam_Analysis!$B$29,B31,Beam_Analysis!$D$3,Beam_Analysis!$D$2,Beam_Analysis!$B$33:$G$53,Beam_Analysis!$G$5:$P$5,0)</f>
        <v>0</v>
      </c>
      <c r="E31">
        <f ca="1"/>
        <v>0</v>
      </c>
      <c r="F31">
        <f ca="1"/>
        <v>0</v>
      </c>
      <c r="G31">
        <f ca="1"/>
        <v>0</v>
      </c>
      <c r="H31">
        <f ca="1">(E31*12)/(Beam_Analysis!$B$2*Beam_Analysis!$B$3)</f>
        <v>0</v>
      </c>
      <c r="N31" s="19"/>
      <c r="O31" s="20"/>
      <c r="P31" s="20"/>
      <c r="Q31" s="20"/>
      <c r="R31" s="20"/>
      <c r="S31" s="20"/>
      <c r="T31" s="20"/>
      <c r="U31" s="20"/>
      <c r="V31" s="20" t="e">
        <v>#NUM!</v>
      </c>
      <c r="W31" s="20"/>
      <c r="X31" s="20"/>
      <c r="Y31" s="20"/>
      <c r="Z31" s="20"/>
      <c r="AA31" s="20"/>
      <c r="AB31" s="20"/>
      <c r="AC31" s="20"/>
      <c r="AD31" s="20" t="e">
        <v>#NUM!</v>
      </c>
      <c r="AE31" s="20"/>
      <c r="AF31" s="20"/>
      <c r="AG31" s="20"/>
      <c r="AH31" s="20"/>
      <c r="AI31" s="20"/>
      <c r="AJ31" s="20">
        <f ca="1">T16</f>
        <v>-4.3448275862068945E-2</v>
      </c>
      <c r="AK31" s="20" t="e">
        <v>#NUM!</v>
      </c>
      <c r="AL31" s="20"/>
      <c r="AM31" s="20"/>
      <c r="AN31" s="20"/>
      <c r="AO31" s="20"/>
      <c r="AP31" s="20"/>
      <c r="AQ31" s="20"/>
      <c r="AR31" s="22">
        <v>0</v>
      </c>
      <c r="AS31" s="20"/>
      <c r="AT31" s="20"/>
      <c r="AU31" s="20"/>
      <c r="AV31" s="20"/>
      <c r="AW31" s="20"/>
      <c r="AX31" s="20"/>
      <c r="AY31" s="20"/>
      <c r="AZ31" s="20"/>
      <c r="BA31" s="20"/>
      <c r="BB31" s="20"/>
      <c r="BC31" s="20"/>
      <c r="BD31" s="20"/>
      <c r="BE31" s="20"/>
      <c r="BF31" s="20"/>
      <c r="BG31" s="20"/>
      <c r="BH31" s="20"/>
      <c r="BI31" s="20"/>
      <c r="BJ31" s="20"/>
      <c r="BK31" s="20"/>
      <c r="BL31" s="20"/>
      <c r="BM31" s="20"/>
      <c r="BN31" s="20"/>
      <c r="BO31" s="20"/>
      <c r="BP31" s="20"/>
      <c r="BQ31" s="21"/>
    </row>
    <row r="32" spans="1:69" x14ac:dyDescent="0.25">
      <c r="A32">
        <v>8</v>
      </c>
      <c r="B32">
        <f t="shared" si="22"/>
        <v>0</v>
      </c>
      <c r="C32">
        <f t="shared" ca="1" si="23"/>
        <v>0</v>
      </c>
      <c r="D32" cm="1">
        <f t="array" aca="1" ref="D32:G32" ca="1">left_cantilever_analysis(Beam_Analysis!$B$29,B32,Beam_Analysis!$D$3,Beam_Analysis!$D$2,Beam_Analysis!$B$33:$G$53,Beam_Analysis!$G$5:$P$5,0)</f>
        <v>0</v>
      </c>
      <c r="E32">
        <f ca="1"/>
        <v>0</v>
      </c>
      <c r="F32">
        <f ca="1"/>
        <v>0</v>
      </c>
      <c r="G32">
        <f ca="1"/>
        <v>0</v>
      </c>
      <c r="H32">
        <f ca="1">(E32*12)/(Beam_Analysis!$B$2*Beam_Analysis!$B$3)</f>
        <v>0</v>
      </c>
      <c r="N32" s="19"/>
      <c r="O32" s="20"/>
      <c r="P32" s="20"/>
      <c r="Q32" s="20"/>
      <c r="R32" s="20"/>
      <c r="S32" s="20"/>
      <c r="T32" s="20"/>
      <c r="U32" s="20"/>
      <c r="V32" s="20" t="e">
        <v>#NUM!</v>
      </c>
      <c r="W32" s="20"/>
      <c r="X32" s="20"/>
      <c r="Y32" s="20"/>
      <c r="Z32" s="20"/>
      <c r="AA32" s="20"/>
      <c r="AB32" s="20"/>
      <c r="AC32" s="20"/>
      <c r="AD32" s="22">
        <v>0</v>
      </c>
      <c r="AE32" s="20"/>
      <c r="AF32" s="20"/>
      <c r="AG32" s="20"/>
      <c r="AH32" s="20"/>
      <c r="AI32" s="20"/>
      <c r="AJ32" s="20"/>
      <c r="AK32" s="22">
        <v>0</v>
      </c>
      <c r="AL32" s="20"/>
      <c r="AM32" s="20"/>
      <c r="AN32" s="20"/>
      <c r="AO32" s="20"/>
      <c r="AP32" s="20"/>
      <c r="AQ32" s="20"/>
      <c r="AR32" s="22">
        <v>0</v>
      </c>
      <c r="AS32" s="20"/>
      <c r="AT32" s="20"/>
      <c r="AU32" s="20"/>
      <c r="AV32" s="20"/>
      <c r="AW32" s="20"/>
      <c r="AX32" s="20"/>
      <c r="AY32" s="20"/>
      <c r="AZ32" s="20"/>
      <c r="BA32" s="20"/>
      <c r="BB32" s="20"/>
      <c r="BC32" s="20"/>
      <c r="BD32" s="20"/>
      <c r="BE32" s="20"/>
      <c r="BF32" s="20"/>
      <c r="BG32" s="20"/>
      <c r="BH32" s="20"/>
      <c r="BI32" s="20"/>
      <c r="BJ32" s="20"/>
      <c r="BK32" s="20"/>
      <c r="BL32" s="20"/>
      <c r="BM32" s="20"/>
      <c r="BN32" s="20"/>
      <c r="BO32" s="20"/>
      <c r="BP32" s="20"/>
      <c r="BQ32" s="21"/>
    </row>
    <row r="33" spans="1:69" x14ac:dyDescent="0.25">
      <c r="A33">
        <v>9</v>
      </c>
      <c r="B33">
        <f t="shared" si="22"/>
        <v>0</v>
      </c>
      <c r="C33">
        <f t="shared" ca="1" si="23"/>
        <v>0</v>
      </c>
      <c r="D33" cm="1">
        <f t="array" aca="1" ref="D33:G33" ca="1">left_cantilever_analysis(Beam_Analysis!$B$29,B33,Beam_Analysis!$D$3,Beam_Analysis!$D$2,Beam_Analysis!$B$33:$G$53,Beam_Analysis!$G$5:$P$5,0)</f>
        <v>0</v>
      </c>
      <c r="E33">
        <f ca="1"/>
        <v>0</v>
      </c>
      <c r="F33">
        <f ca="1"/>
        <v>0</v>
      </c>
      <c r="G33">
        <f ca="1"/>
        <v>0</v>
      </c>
      <c r="H33">
        <f ca="1">(E33*12)/(Beam_Analysis!$B$2*Beam_Analysis!$B$3)</f>
        <v>0</v>
      </c>
      <c r="N33" s="19"/>
      <c r="O33" s="20"/>
      <c r="P33" s="20"/>
      <c r="Q33" s="20"/>
      <c r="R33" s="20"/>
      <c r="S33" s="20"/>
      <c r="T33" s="20"/>
      <c r="U33" s="20"/>
      <c r="V33" s="20"/>
      <c r="W33" s="20"/>
      <c r="X33" s="20"/>
      <c r="Y33" s="20"/>
      <c r="Z33" s="20"/>
      <c r="AA33" s="20"/>
      <c r="AB33" s="20"/>
      <c r="AC33" s="20"/>
      <c r="AD33" s="20"/>
      <c r="AE33" s="20"/>
      <c r="AF33" s="20"/>
      <c r="AG33" s="20"/>
      <c r="AH33" s="20"/>
      <c r="AI33" s="20"/>
      <c r="AJ33" s="20"/>
      <c r="AK33" s="20"/>
      <c r="AL33" s="20"/>
      <c r="AM33" s="20"/>
      <c r="AN33" s="20"/>
      <c r="AO33" s="20"/>
      <c r="AP33" s="20"/>
      <c r="AQ33" s="20"/>
      <c r="AR33" s="20"/>
      <c r="AS33" s="20"/>
      <c r="AT33" s="20"/>
      <c r="AU33" s="20"/>
      <c r="AV33" s="20"/>
      <c r="AW33" s="20"/>
      <c r="AX33" s="20"/>
      <c r="AY33" s="20"/>
      <c r="AZ33" s="20"/>
      <c r="BA33" s="20"/>
      <c r="BB33" s="20"/>
      <c r="BC33" s="20"/>
      <c r="BD33" s="20"/>
      <c r="BE33" s="20"/>
      <c r="BF33" s="20"/>
      <c r="BG33" s="20"/>
      <c r="BH33" s="20"/>
      <c r="BI33" s="20"/>
      <c r="BJ33" s="20"/>
      <c r="BK33" s="20"/>
      <c r="BL33" s="20"/>
      <c r="BM33" s="20"/>
      <c r="BN33" s="20"/>
      <c r="BO33" s="20"/>
      <c r="BP33" s="20"/>
      <c r="BQ33" s="21"/>
    </row>
    <row r="34" spans="1:69" x14ac:dyDescent="0.25">
      <c r="A34">
        <v>10</v>
      </c>
      <c r="B34">
        <f t="shared" si="22"/>
        <v>0</v>
      </c>
      <c r="C34">
        <f t="shared" ca="1" si="23"/>
        <v>0</v>
      </c>
      <c r="D34" cm="1">
        <f t="array" aca="1" ref="D34:G34" ca="1">left_cantilever_analysis(Beam_Analysis!$B$29,B34,Beam_Analysis!$D$3,Beam_Analysis!$D$2,Beam_Analysis!$B$33:$G$53,Beam_Analysis!$G$5:$P$5,0)</f>
        <v>0</v>
      </c>
      <c r="E34">
        <f ca="1"/>
        <v>0</v>
      </c>
      <c r="F34">
        <f ca="1"/>
        <v>0</v>
      </c>
      <c r="G34">
        <f ca="1"/>
        <v>0</v>
      </c>
      <c r="H34">
        <f ca="1">(E34*12)/(Beam_Analysis!$B$2*Beam_Analysis!$B$3)</f>
        <v>0</v>
      </c>
      <c r="N34" s="19"/>
      <c r="O34" s="20"/>
      <c r="P34" s="20"/>
      <c r="Q34" s="20"/>
      <c r="R34" s="20"/>
      <c r="S34" s="20"/>
      <c r="T34" s="20"/>
      <c r="U34" s="20"/>
      <c r="V34" s="20"/>
      <c r="W34" s="20"/>
      <c r="X34" s="20"/>
      <c r="Y34" s="20"/>
      <c r="Z34" s="20"/>
      <c r="AA34" s="20"/>
      <c r="AB34" s="20"/>
      <c r="AC34" s="20"/>
      <c r="AD34" s="20"/>
      <c r="AE34" s="20"/>
      <c r="AF34" s="20"/>
      <c r="AG34" s="20"/>
      <c r="AH34" s="20"/>
      <c r="AI34" s="20"/>
      <c r="AJ34" s="20"/>
      <c r="AK34" s="20"/>
      <c r="AL34" s="20"/>
      <c r="AM34" s="20"/>
      <c r="AN34" s="20"/>
      <c r="AO34" s="20"/>
      <c r="AP34" s="20"/>
      <c r="AQ34" s="20"/>
      <c r="AR34" s="20"/>
      <c r="AS34" s="20"/>
      <c r="AT34" s="20"/>
      <c r="AU34" s="20"/>
      <c r="AV34" s="20"/>
      <c r="AW34" s="20"/>
      <c r="AX34" s="20"/>
      <c r="AY34" s="20"/>
      <c r="AZ34" s="20"/>
      <c r="BA34" s="20"/>
      <c r="BB34" s="20"/>
      <c r="BC34" s="20"/>
      <c r="BD34" s="20"/>
      <c r="BE34" s="20"/>
      <c r="BF34" s="20"/>
      <c r="BG34" s="20"/>
      <c r="BH34" s="20"/>
      <c r="BI34" s="20"/>
      <c r="BJ34" s="20"/>
      <c r="BK34" s="20"/>
      <c r="BL34" s="20"/>
      <c r="BM34" s="20"/>
      <c r="BN34" s="20"/>
      <c r="BO34" s="20"/>
      <c r="BP34" s="20"/>
      <c r="BQ34" s="21"/>
    </row>
    <row r="35" spans="1:69" x14ac:dyDescent="0.25">
      <c r="A35">
        <v>11</v>
      </c>
      <c r="B35">
        <f t="shared" si="22"/>
        <v>0</v>
      </c>
      <c r="C35">
        <f t="shared" ca="1" si="23"/>
        <v>0</v>
      </c>
      <c r="D35" cm="1">
        <f t="array" aca="1" ref="D35:G35" ca="1">left_cantilever_analysis(Beam_Analysis!$B$29,B35,Beam_Analysis!$D$3,Beam_Analysis!$D$2,Beam_Analysis!$B$33:$G$53,Beam_Analysis!$G$5:$P$5,0)</f>
        <v>0</v>
      </c>
      <c r="E35">
        <f ca="1"/>
        <v>0</v>
      </c>
      <c r="F35">
        <f ca="1"/>
        <v>0</v>
      </c>
      <c r="G35">
        <f ca="1"/>
        <v>0</v>
      </c>
      <c r="H35">
        <f ca="1">(E35*12)/(Beam_Analysis!$B$2*Beam_Analysis!$B$3)</f>
        <v>0</v>
      </c>
      <c r="N35" s="19"/>
      <c r="O35" s="20"/>
      <c r="P35" s="20"/>
      <c r="Q35" s="20"/>
      <c r="R35" s="20"/>
      <c r="S35" s="20"/>
      <c r="T35" s="20"/>
      <c r="U35" s="20"/>
      <c r="V35" s="20">
        <f>V10</f>
        <v>0</v>
      </c>
      <c r="W35" s="20">
        <f t="shared" ref="W35:Y35" si="25">W10</f>
        <v>0</v>
      </c>
      <c r="X35" s="20">
        <f t="shared" si="25"/>
        <v>0</v>
      </c>
      <c r="Y35" s="20">
        <f t="shared" si="25"/>
        <v>0</v>
      </c>
      <c r="Z35" s="20">
        <f>AA10</f>
        <v>0</v>
      </c>
      <c r="AA35" s="20">
        <f>AB10</f>
        <v>0</v>
      </c>
      <c r="AB35" s="20"/>
      <c r="AC35" s="20"/>
      <c r="AD35" s="20">
        <f>V35</f>
        <v>0</v>
      </c>
      <c r="AE35" s="20">
        <f t="shared" ref="AE35:AH39" si="26">W35</f>
        <v>0</v>
      </c>
      <c r="AF35" s="20">
        <f t="shared" si="26"/>
        <v>0</v>
      </c>
      <c r="AG35" s="20">
        <f t="shared" si="26"/>
        <v>0</v>
      </c>
      <c r="AH35" s="20">
        <f t="shared" si="26"/>
        <v>0</v>
      </c>
      <c r="AI35" s="20"/>
      <c r="AJ35" s="20"/>
      <c r="AK35" s="20">
        <f>V35</f>
        <v>0</v>
      </c>
      <c r="AL35" s="20">
        <f t="shared" ref="AL35:AN35" si="27">W35</f>
        <v>0</v>
      </c>
      <c r="AM35" s="20">
        <f t="shared" si="27"/>
        <v>0</v>
      </c>
      <c r="AN35" s="20">
        <f t="shared" si="27"/>
        <v>0</v>
      </c>
      <c r="AO35" s="20">
        <f>AA35</f>
        <v>0</v>
      </c>
      <c r="AP35" s="20"/>
      <c r="AQ35" s="20"/>
      <c r="AR35" s="20">
        <f>V35</f>
        <v>0</v>
      </c>
      <c r="AS35" s="20">
        <f t="shared" ref="AS35:AU38" si="28">W35</f>
        <v>0</v>
      </c>
      <c r="AT35" s="20">
        <f t="shared" si="28"/>
        <v>0</v>
      </c>
      <c r="AU35" s="20">
        <f t="shared" si="28"/>
        <v>0</v>
      </c>
      <c r="AV35" s="20"/>
      <c r="AW35" s="20"/>
      <c r="AX35" s="20"/>
      <c r="AY35" s="20"/>
      <c r="AZ35" s="20"/>
      <c r="BA35" s="20"/>
      <c r="BB35" s="20"/>
      <c r="BC35" s="20"/>
      <c r="BD35" s="20"/>
      <c r="BE35" s="20"/>
      <c r="BF35" s="20"/>
      <c r="BG35" s="20"/>
      <c r="BH35" s="20"/>
      <c r="BI35" s="20"/>
      <c r="BJ35" s="20"/>
      <c r="BK35" s="20"/>
      <c r="BL35" s="20"/>
      <c r="BM35" s="20"/>
      <c r="BN35" s="20"/>
      <c r="BO35" s="20"/>
      <c r="BP35" s="20"/>
      <c r="BQ35" s="21"/>
    </row>
    <row r="36" spans="1:69" x14ac:dyDescent="0.25">
      <c r="A36">
        <v>12</v>
      </c>
      <c r="B36">
        <f t="shared" si="22"/>
        <v>0</v>
      </c>
      <c r="C36">
        <f t="shared" ca="1" si="23"/>
        <v>0</v>
      </c>
      <c r="D36" cm="1">
        <f t="array" aca="1" ref="D36:G36" ca="1">left_cantilever_analysis(Beam_Analysis!$B$29,B36,Beam_Analysis!$D$3,Beam_Analysis!$D$2,Beam_Analysis!$B$33:$G$53,Beam_Analysis!$G$5:$P$5,0)</f>
        <v>0</v>
      </c>
      <c r="E36">
        <f ca="1"/>
        <v>0</v>
      </c>
      <c r="F36">
        <f ca="1"/>
        <v>0</v>
      </c>
      <c r="G36">
        <f ca="1"/>
        <v>0</v>
      </c>
      <c r="H36">
        <f ca="1">(E36*12)/(Beam_Analysis!$B$2*Beam_Analysis!$B$3)</f>
        <v>0</v>
      </c>
      <c r="N36" s="19"/>
      <c r="O36" s="20"/>
      <c r="P36" s="20"/>
      <c r="Q36" s="20"/>
      <c r="R36" s="20"/>
      <c r="S36" s="20"/>
      <c r="T36" s="20"/>
      <c r="U36" s="20"/>
      <c r="V36" s="20">
        <f t="shared" ref="V36:Y36" si="29">V11</f>
        <v>0</v>
      </c>
      <c r="W36" s="20">
        <f t="shared" si="29"/>
        <v>0</v>
      </c>
      <c r="X36" s="20">
        <f t="shared" si="29"/>
        <v>0</v>
      </c>
      <c r="Y36" s="20">
        <f t="shared" si="29"/>
        <v>0</v>
      </c>
      <c r="Z36" s="20">
        <f t="shared" ref="Z36:AA36" si="30">AA11</f>
        <v>0</v>
      </c>
      <c r="AA36" s="20">
        <f t="shared" si="30"/>
        <v>0</v>
      </c>
      <c r="AB36" s="20"/>
      <c r="AC36" s="20"/>
      <c r="AD36" s="20">
        <f>V36</f>
        <v>0</v>
      </c>
      <c r="AE36" s="20">
        <f t="shared" si="26"/>
        <v>0</v>
      </c>
      <c r="AF36" s="20">
        <f t="shared" si="26"/>
        <v>0</v>
      </c>
      <c r="AG36" s="20">
        <f t="shared" si="26"/>
        <v>0</v>
      </c>
      <c r="AH36" s="20">
        <f t="shared" si="26"/>
        <v>0</v>
      </c>
      <c r="AI36" s="20"/>
      <c r="AJ36" s="20"/>
      <c r="AK36" s="20">
        <f t="shared" ref="AK36:AK38" si="31">V36</f>
        <v>0</v>
      </c>
      <c r="AL36" s="20">
        <f t="shared" ref="AL36:AL38" si="32">W36</f>
        <v>0</v>
      </c>
      <c r="AM36" s="20">
        <f t="shared" ref="AM36:AM38" si="33">X36</f>
        <v>0</v>
      </c>
      <c r="AN36" s="20">
        <f t="shared" ref="AN36:AN38" si="34">Y36</f>
        <v>0</v>
      </c>
      <c r="AO36" s="20">
        <f t="shared" ref="AO36:AO38" si="35">AA36</f>
        <v>0</v>
      </c>
      <c r="AP36" s="20"/>
      <c r="AQ36" s="20"/>
      <c r="AR36" s="20">
        <f t="shared" ref="AR36:AR38" si="36">V36</f>
        <v>0</v>
      </c>
      <c r="AS36" s="20">
        <f t="shared" si="28"/>
        <v>0</v>
      </c>
      <c r="AT36" s="20">
        <f t="shared" si="28"/>
        <v>0</v>
      </c>
      <c r="AU36" s="20">
        <f t="shared" si="28"/>
        <v>0</v>
      </c>
      <c r="AV36" s="20"/>
      <c r="AW36" s="20"/>
      <c r="AX36" s="20"/>
      <c r="AY36" s="20"/>
      <c r="AZ36" s="20"/>
      <c r="BA36" s="20"/>
      <c r="BB36" s="20"/>
      <c r="BC36" s="20"/>
      <c r="BD36" s="20"/>
      <c r="BE36" s="20"/>
      <c r="BF36" s="20"/>
      <c r="BG36" s="20"/>
      <c r="BH36" s="20"/>
      <c r="BI36" s="20"/>
      <c r="BJ36" s="20"/>
      <c r="BK36" s="20"/>
      <c r="BL36" s="20"/>
      <c r="BM36" s="20"/>
      <c r="BN36" s="20"/>
      <c r="BO36" s="20"/>
      <c r="BP36" s="20"/>
      <c r="BQ36" s="21"/>
    </row>
    <row r="37" spans="1:69" x14ac:dyDescent="0.25">
      <c r="A37">
        <v>13</v>
      </c>
      <c r="B37">
        <f t="shared" si="22"/>
        <v>0</v>
      </c>
      <c r="C37">
        <f t="shared" ca="1" si="23"/>
        <v>0</v>
      </c>
      <c r="D37" cm="1">
        <f t="array" aca="1" ref="D37:G37" ca="1">left_cantilever_analysis(Beam_Analysis!$B$29,B37,Beam_Analysis!$D$3,Beam_Analysis!$D$2,Beam_Analysis!$B$33:$G$53,Beam_Analysis!$G$5:$P$5,0)</f>
        <v>0</v>
      </c>
      <c r="E37">
        <f ca="1"/>
        <v>0</v>
      </c>
      <c r="F37">
        <f ca="1"/>
        <v>0</v>
      </c>
      <c r="G37">
        <f ca="1"/>
        <v>0</v>
      </c>
      <c r="H37">
        <f ca="1">(E37*12)/(Beam_Analysis!$B$2*Beam_Analysis!$B$3)</f>
        <v>0</v>
      </c>
      <c r="N37" s="19"/>
      <c r="O37" s="20"/>
      <c r="P37" s="20"/>
      <c r="Q37" s="20"/>
      <c r="R37" s="20"/>
      <c r="S37" s="20"/>
      <c r="T37" s="20"/>
      <c r="U37" s="20"/>
      <c r="V37" s="20">
        <f t="shared" ref="V37:Y37" si="37">V12</f>
        <v>0</v>
      </c>
      <c r="W37" s="20">
        <f t="shared" si="37"/>
        <v>0</v>
      </c>
      <c r="X37" s="20">
        <f t="shared" si="37"/>
        <v>0</v>
      </c>
      <c r="Y37" s="20">
        <f t="shared" si="37"/>
        <v>0</v>
      </c>
      <c r="Z37" s="20">
        <f t="shared" ref="Z37:AA37" si="38">AA12</f>
        <v>0</v>
      </c>
      <c r="AA37" s="20">
        <f t="shared" si="38"/>
        <v>0</v>
      </c>
      <c r="AB37" s="20"/>
      <c r="AC37" s="20"/>
      <c r="AD37" s="20">
        <f>V37</f>
        <v>0</v>
      </c>
      <c r="AE37" s="20">
        <f t="shared" si="26"/>
        <v>0</v>
      </c>
      <c r="AF37" s="20">
        <f t="shared" si="26"/>
        <v>0</v>
      </c>
      <c r="AG37" s="20">
        <f t="shared" si="26"/>
        <v>0</v>
      </c>
      <c r="AH37" s="20">
        <f t="shared" si="26"/>
        <v>0</v>
      </c>
      <c r="AI37" s="20"/>
      <c r="AJ37" s="20"/>
      <c r="AK37" s="20">
        <f t="shared" si="31"/>
        <v>0</v>
      </c>
      <c r="AL37" s="20">
        <f t="shared" si="32"/>
        <v>0</v>
      </c>
      <c r="AM37" s="20">
        <f t="shared" si="33"/>
        <v>0</v>
      </c>
      <c r="AN37" s="20">
        <f t="shared" si="34"/>
        <v>0</v>
      </c>
      <c r="AO37" s="20">
        <f t="shared" si="35"/>
        <v>0</v>
      </c>
      <c r="AP37" s="20"/>
      <c r="AQ37" s="20"/>
      <c r="AR37" s="20">
        <f t="shared" si="36"/>
        <v>0</v>
      </c>
      <c r="AS37" s="20">
        <f t="shared" si="28"/>
        <v>0</v>
      </c>
      <c r="AT37" s="20">
        <f t="shared" si="28"/>
        <v>0</v>
      </c>
      <c r="AU37" s="20">
        <f t="shared" si="28"/>
        <v>0</v>
      </c>
      <c r="AV37" s="20"/>
      <c r="AW37" s="20"/>
      <c r="AX37" s="20"/>
      <c r="AY37" s="20"/>
      <c r="AZ37" s="20"/>
      <c r="BA37" s="20"/>
      <c r="BB37" s="20"/>
      <c r="BC37" s="20"/>
      <c r="BD37" s="20"/>
      <c r="BE37" s="20"/>
      <c r="BF37" s="20"/>
      <c r="BG37" s="20"/>
      <c r="BH37" s="20"/>
      <c r="BI37" s="20"/>
      <c r="BJ37" s="20"/>
      <c r="BK37" s="20"/>
      <c r="BL37" s="20"/>
      <c r="BM37" s="20"/>
      <c r="BN37" s="20"/>
      <c r="BO37" s="20"/>
      <c r="BP37" s="20"/>
      <c r="BQ37" s="21"/>
    </row>
    <row r="38" spans="1:69" x14ac:dyDescent="0.25">
      <c r="A38">
        <v>14</v>
      </c>
      <c r="B38">
        <f t="shared" si="22"/>
        <v>0</v>
      </c>
      <c r="C38">
        <f t="shared" ca="1" si="23"/>
        <v>0</v>
      </c>
      <c r="D38" cm="1">
        <f t="array" aca="1" ref="D38:G38" ca="1">left_cantilever_analysis(Beam_Analysis!$B$29,B38,Beam_Analysis!$D$3,Beam_Analysis!$D$2,Beam_Analysis!$B$33:$G$53,Beam_Analysis!$G$5:$P$5,0)</f>
        <v>0</v>
      </c>
      <c r="E38">
        <f ca="1"/>
        <v>0</v>
      </c>
      <c r="F38">
        <f ca="1"/>
        <v>0</v>
      </c>
      <c r="G38">
        <f ca="1"/>
        <v>0</v>
      </c>
      <c r="H38">
        <f ca="1">(E38*12)/(Beam_Analysis!$B$2*Beam_Analysis!$B$3)</f>
        <v>0</v>
      </c>
      <c r="N38" s="19"/>
      <c r="O38" s="20"/>
      <c r="P38" s="20"/>
      <c r="Q38" s="20"/>
      <c r="R38" s="20"/>
      <c r="S38" s="20"/>
      <c r="T38" s="20"/>
      <c r="U38" s="20"/>
      <c r="V38" s="20">
        <f t="shared" ref="V38:Y38" si="39">V13</f>
        <v>0</v>
      </c>
      <c r="W38" s="20">
        <f t="shared" si="39"/>
        <v>0</v>
      </c>
      <c r="X38" s="20">
        <f t="shared" si="39"/>
        <v>0</v>
      </c>
      <c r="Y38" s="20">
        <f t="shared" si="39"/>
        <v>0</v>
      </c>
      <c r="Z38" s="20">
        <f t="shared" ref="Z38:AA38" si="40">AA13</f>
        <v>0</v>
      </c>
      <c r="AA38" s="20">
        <f t="shared" si="40"/>
        <v>0</v>
      </c>
      <c r="AB38" s="20"/>
      <c r="AC38" s="20"/>
      <c r="AD38" s="20">
        <f>V38</f>
        <v>0</v>
      </c>
      <c r="AE38" s="20">
        <f t="shared" si="26"/>
        <v>0</v>
      </c>
      <c r="AF38" s="20">
        <f t="shared" si="26"/>
        <v>0</v>
      </c>
      <c r="AG38" s="20">
        <f t="shared" si="26"/>
        <v>0</v>
      </c>
      <c r="AH38" s="20">
        <f t="shared" si="26"/>
        <v>0</v>
      </c>
      <c r="AI38" s="20"/>
      <c r="AJ38" s="20"/>
      <c r="AK38" s="20">
        <f t="shared" si="31"/>
        <v>0</v>
      </c>
      <c r="AL38" s="20">
        <f t="shared" si="32"/>
        <v>0</v>
      </c>
      <c r="AM38" s="20">
        <f t="shared" si="33"/>
        <v>0</v>
      </c>
      <c r="AN38" s="20">
        <f t="shared" si="34"/>
        <v>0</v>
      </c>
      <c r="AO38" s="20">
        <f t="shared" si="35"/>
        <v>0</v>
      </c>
      <c r="AP38" s="20"/>
      <c r="AQ38" s="20"/>
      <c r="AR38" s="20">
        <f t="shared" si="36"/>
        <v>0</v>
      </c>
      <c r="AS38" s="20">
        <f t="shared" si="28"/>
        <v>0</v>
      </c>
      <c r="AT38" s="20">
        <f t="shared" si="28"/>
        <v>0</v>
      </c>
      <c r="AU38" s="20">
        <f t="shared" si="28"/>
        <v>0</v>
      </c>
      <c r="AV38" s="20"/>
      <c r="AW38" s="20"/>
      <c r="AX38" s="20"/>
      <c r="AY38" s="20"/>
      <c r="AZ38" s="20"/>
      <c r="BA38" s="20"/>
      <c r="BB38" s="20"/>
      <c r="BC38" s="20"/>
      <c r="BD38" s="20"/>
      <c r="BE38" s="20"/>
      <c r="BF38" s="20"/>
      <c r="BG38" s="20"/>
      <c r="BH38" s="20"/>
      <c r="BI38" s="20"/>
      <c r="BJ38" s="20"/>
      <c r="BK38" s="20"/>
      <c r="BL38" s="20"/>
      <c r="BM38" s="20"/>
      <c r="BN38" s="20"/>
      <c r="BO38" s="20"/>
      <c r="BP38" s="20"/>
      <c r="BQ38" s="21"/>
    </row>
    <row r="39" spans="1:69" x14ac:dyDescent="0.25">
      <c r="A39">
        <v>15</v>
      </c>
      <c r="B39">
        <f t="shared" si="22"/>
        <v>0</v>
      </c>
      <c r="C39">
        <f t="shared" ca="1" si="23"/>
        <v>0</v>
      </c>
      <c r="D39" cm="1">
        <f t="array" aca="1" ref="D39:G39" ca="1">left_cantilever_analysis(Beam_Analysis!$B$29,B39,Beam_Analysis!$D$3,Beam_Analysis!$D$2,Beam_Analysis!$B$33:$G$53,Beam_Analysis!$G$5:$P$5,0)</f>
        <v>0</v>
      </c>
      <c r="E39">
        <f ca="1"/>
        <v>0</v>
      </c>
      <c r="F39">
        <f ca="1"/>
        <v>0</v>
      </c>
      <c r="G39">
        <f ca="1"/>
        <v>0</v>
      </c>
      <c r="H39">
        <f ca="1">(E39*12)/(Beam_Analysis!$B$2*Beam_Analysis!$B$3)</f>
        <v>0</v>
      </c>
      <c r="N39" s="19"/>
      <c r="O39" s="20"/>
      <c r="P39" s="20"/>
      <c r="Q39" s="20"/>
      <c r="R39" s="20"/>
      <c r="S39" s="20"/>
      <c r="T39" s="20"/>
      <c r="U39" s="20"/>
      <c r="V39" s="20">
        <f>V15</f>
        <v>0</v>
      </c>
      <c r="W39" s="20">
        <f t="shared" ref="W39:Y40" si="41">W15</f>
        <v>0</v>
      </c>
      <c r="X39" s="20">
        <f t="shared" si="41"/>
        <v>0</v>
      </c>
      <c r="Y39" s="20">
        <f t="shared" si="41"/>
        <v>0</v>
      </c>
      <c r="Z39" s="20">
        <f>AA15</f>
        <v>0</v>
      </c>
      <c r="AA39" s="20">
        <f>AB15</f>
        <v>0</v>
      </c>
      <c r="AB39" s="20"/>
      <c r="AC39" s="20"/>
      <c r="AD39" s="20">
        <f>V39</f>
        <v>0</v>
      </c>
      <c r="AE39" s="20">
        <f t="shared" si="26"/>
        <v>0</v>
      </c>
      <c r="AF39" s="20">
        <f t="shared" si="26"/>
        <v>0</v>
      </c>
      <c r="AG39" s="20">
        <f t="shared" si="26"/>
        <v>0</v>
      </c>
      <c r="AH39" s="20">
        <f t="shared" si="26"/>
        <v>0</v>
      </c>
      <c r="AI39" s="20"/>
      <c r="AJ39" s="20"/>
      <c r="AK39" s="20">
        <f>V40</f>
        <v>0</v>
      </c>
      <c r="AL39" s="20">
        <f t="shared" ref="AL39:AN39" si="42">W40</f>
        <v>0</v>
      </c>
      <c r="AM39" s="20">
        <f t="shared" si="42"/>
        <v>0</v>
      </c>
      <c r="AN39" s="20">
        <f t="shared" si="42"/>
        <v>0</v>
      </c>
      <c r="AO39" s="20">
        <f>AA40</f>
        <v>0</v>
      </c>
      <c r="AP39" s="20"/>
      <c r="AQ39" s="20"/>
      <c r="AR39" s="20"/>
      <c r="AS39" s="20"/>
      <c r="AT39" s="20"/>
      <c r="AU39" s="20"/>
      <c r="AV39" s="20"/>
      <c r="AW39" s="20"/>
      <c r="AX39" s="20"/>
      <c r="AY39" s="20"/>
      <c r="AZ39" s="20"/>
      <c r="BA39" s="20"/>
      <c r="BB39" s="20"/>
      <c r="BC39" s="20"/>
      <c r="BD39" s="20"/>
      <c r="BE39" s="20"/>
      <c r="BF39" s="20"/>
      <c r="BG39" s="20"/>
      <c r="BH39" s="20"/>
      <c r="BI39" s="20"/>
      <c r="BJ39" s="20"/>
      <c r="BK39" s="20"/>
      <c r="BL39" s="20"/>
      <c r="BM39" s="20"/>
      <c r="BN39" s="20"/>
      <c r="BO39" s="20"/>
      <c r="BP39" s="20"/>
      <c r="BQ39" s="21"/>
    </row>
    <row r="40" spans="1:69" x14ac:dyDescent="0.25">
      <c r="A40">
        <v>16</v>
      </c>
      <c r="B40">
        <f t="shared" si="22"/>
        <v>0</v>
      </c>
      <c r="C40">
        <f t="shared" ca="1" si="23"/>
        <v>0</v>
      </c>
      <c r="D40" cm="1">
        <f t="array" aca="1" ref="D40:G40" ca="1">left_cantilever_analysis(Beam_Analysis!$B$29,B40,Beam_Analysis!$D$3,Beam_Analysis!$D$2,Beam_Analysis!$B$33:$G$53,Beam_Analysis!$G$5:$P$5,0)</f>
        <v>0</v>
      </c>
      <c r="E40">
        <f ca="1"/>
        <v>0</v>
      </c>
      <c r="F40">
        <f ca="1"/>
        <v>0</v>
      </c>
      <c r="G40">
        <f ca="1"/>
        <v>0</v>
      </c>
      <c r="H40">
        <f ca="1">(E40*12)/(Beam_Analysis!$B$2*Beam_Analysis!$B$3)</f>
        <v>0</v>
      </c>
      <c r="N40" s="19"/>
      <c r="O40" s="20"/>
      <c r="P40" s="20"/>
      <c r="Q40" s="20"/>
      <c r="R40" s="20"/>
      <c r="S40" s="20"/>
      <c r="T40" s="20"/>
      <c r="U40" s="20"/>
      <c r="V40" s="20">
        <f>V16</f>
        <v>0</v>
      </c>
      <c r="W40" s="20">
        <f t="shared" si="41"/>
        <v>0</v>
      </c>
      <c r="X40" s="20">
        <f t="shared" si="41"/>
        <v>0</v>
      </c>
      <c r="Y40" s="20">
        <f t="shared" si="41"/>
        <v>0</v>
      </c>
      <c r="Z40" s="20">
        <f>AA16</f>
        <v>0</v>
      </c>
      <c r="AA40" s="20">
        <f>AB16</f>
        <v>0</v>
      </c>
      <c r="AB40" s="20"/>
      <c r="AC40" s="20"/>
      <c r="AD40" s="20"/>
      <c r="AE40" s="20"/>
      <c r="AF40" s="20"/>
      <c r="AG40" s="20"/>
      <c r="AH40" s="20"/>
      <c r="AI40" s="20"/>
      <c r="AJ40" s="20"/>
      <c r="AK40" s="20"/>
      <c r="AL40" s="20"/>
      <c r="AM40" s="20"/>
      <c r="AN40" s="20"/>
      <c r="AO40" s="20"/>
      <c r="AP40" s="20"/>
      <c r="AQ40" s="20"/>
      <c r="AR40" s="20"/>
      <c r="AS40" s="20"/>
      <c r="AT40" s="20"/>
      <c r="AU40" s="20"/>
      <c r="AV40" s="20"/>
      <c r="AW40" s="20"/>
      <c r="AX40" s="20"/>
      <c r="AY40" s="20"/>
      <c r="AZ40" s="20"/>
      <c r="BA40" s="20"/>
      <c r="BB40" s="20"/>
      <c r="BC40" s="20"/>
      <c r="BD40" s="20"/>
      <c r="BE40" s="20"/>
      <c r="BF40" s="20"/>
      <c r="BG40" s="20"/>
      <c r="BH40" s="20"/>
      <c r="BI40" s="20"/>
      <c r="BJ40" s="20"/>
      <c r="BK40" s="20"/>
      <c r="BL40" s="20"/>
      <c r="BM40" s="20"/>
      <c r="BN40" s="20"/>
      <c r="BO40" s="20"/>
      <c r="BP40" s="20"/>
      <c r="BQ40" s="21"/>
    </row>
    <row r="41" spans="1:69" x14ac:dyDescent="0.25">
      <c r="A41">
        <v>17</v>
      </c>
      <c r="B41">
        <f t="shared" si="22"/>
        <v>0</v>
      </c>
      <c r="C41">
        <f t="shared" ca="1" si="23"/>
        <v>0</v>
      </c>
      <c r="D41" cm="1">
        <f t="array" aca="1" ref="D41:G41" ca="1">left_cantilever_analysis(Beam_Analysis!$B$29,B41,Beam_Analysis!$D$3,Beam_Analysis!$D$2,Beam_Analysis!$B$33:$G$53,Beam_Analysis!$G$5:$P$5,0)</f>
        <v>0</v>
      </c>
      <c r="E41">
        <f ca="1"/>
        <v>0</v>
      </c>
      <c r="F41">
        <f ca="1"/>
        <v>0</v>
      </c>
      <c r="G41">
        <f ca="1"/>
        <v>0</v>
      </c>
      <c r="H41">
        <f ca="1">(E41*12)/(Beam_Analysis!$B$2*Beam_Analysis!$B$3)</f>
        <v>0</v>
      </c>
      <c r="N41" s="19"/>
      <c r="O41" s="20"/>
      <c r="P41" s="20"/>
      <c r="Q41" s="20"/>
      <c r="R41" s="20"/>
      <c r="S41" s="20"/>
      <c r="T41" s="20"/>
      <c r="U41" s="20"/>
      <c r="V41" s="20"/>
      <c r="W41" s="20"/>
      <c r="X41" s="20"/>
      <c r="Y41" s="20"/>
      <c r="Z41" s="20"/>
      <c r="AA41" s="20"/>
      <c r="AB41" s="20"/>
      <c r="AC41" s="20"/>
      <c r="AD41" s="20"/>
      <c r="AE41" s="20"/>
      <c r="AF41" s="20"/>
      <c r="AG41" s="20"/>
      <c r="AH41" s="20"/>
      <c r="AI41" s="20"/>
      <c r="AJ41" s="20"/>
      <c r="AK41" s="20"/>
      <c r="AL41" s="20"/>
      <c r="AM41" s="20"/>
      <c r="AN41" s="20"/>
      <c r="AO41" s="20"/>
      <c r="AP41" s="20"/>
      <c r="AQ41" s="20"/>
      <c r="AR41" s="20"/>
      <c r="AS41" s="20"/>
      <c r="AT41" s="20"/>
      <c r="AU41" s="20"/>
      <c r="AV41" s="20"/>
      <c r="AW41" s="20"/>
      <c r="AX41" s="20"/>
      <c r="AY41" s="20"/>
      <c r="AZ41" s="20"/>
      <c r="BA41" s="20"/>
      <c r="BB41" s="20"/>
      <c r="BC41" s="20"/>
      <c r="BD41" s="20"/>
      <c r="BE41" s="20"/>
      <c r="BF41" s="20"/>
      <c r="BG41" s="20"/>
      <c r="BH41" s="20"/>
      <c r="BI41" s="20"/>
      <c r="BJ41" s="20"/>
      <c r="BK41" s="20"/>
      <c r="BL41" s="20"/>
      <c r="BM41" s="20"/>
      <c r="BN41" s="20"/>
      <c r="BO41" s="20"/>
      <c r="BP41" s="20"/>
      <c r="BQ41" s="21"/>
    </row>
    <row r="42" spans="1:69" x14ac:dyDescent="0.25">
      <c r="A42">
        <v>18</v>
      </c>
      <c r="B42">
        <f t="shared" si="22"/>
        <v>0</v>
      </c>
      <c r="C42">
        <f t="shared" ca="1" si="23"/>
        <v>0</v>
      </c>
      <c r="D42" cm="1">
        <f t="array" aca="1" ref="D42:G42" ca="1">left_cantilever_analysis(Beam_Analysis!$B$29,B42,Beam_Analysis!$D$3,Beam_Analysis!$D$2,Beam_Analysis!$B$33:$G$53,Beam_Analysis!$G$5:$P$5,0)</f>
        <v>0</v>
      </c>
      <c r="E42">
        <f ca="1"/>
        <v>0</v>
      </c>
      <c r="F42">
        <f ca="1"/>
        <v>0</v>
      </c>
      <c r="G42">
        <f ca="1"/>
        <v>0</v>
      </c>
      <c r="H42">
        <f ca="1">(E42*12)/(Beam_Analysis!$B$2*Beam_Analysis!$B$3)</f>
        <v>0</v>
      </c>
      <c r="N42" s="19"/>
      <c r="O42" s="20"/>
      <c r="P42" s="20"/>
      <c r="Q42" s="20"/>
      <c r="R42" s="20"/>
      <c r="S42" s="20"/>
      <c r="T42" s="20"/>
      <c r="U42" s="20"/>
      <c r="V42" s="20" t="e">
        <f t="array" ref="V42:AA47">MINVERSE(V35:AA40)</f>
        <v>#NUM!</v>
      </c>
      <c r="W42" s="20" t="e">
        <v>#NUM!</v>
      </c>
      <c r="X42" s="20" t="e">
        <v>#NUM!</v>
      </c>
      <c r="Y42" s="20" t="e">
        <v>#NUM!</v>
      </c>
      <c r="Z42" s="20" t="e">
        <v>#NUM!</v>
      </c>
      <c r="AA42" s="20" t="e">
        <v>#NUM!</v>
      </c>
      <c r="AB42" s="20"/>
      <c r="AC42" s="20"/>
      <c r="AD42" s="20" t="e">
        <f t="array" ref="AD42:AH46">MINVERSE(AD35:AH39)</f>
        <v>#NUM!</v>
      </c>
      <c r="AE42" s="20" t="e">
        <v>#NUM!</v>
      </c>
      <c r="AF42" s="20" t="e">
        <v>#NUM!</v>
      </c>
      <c r="AG42" s="20" t="e">
        <v>#NUM!</v>
      </c>
      <c r="AH42" s="20" t="e">
        <v>#NUM!</v>
      </c>
      <c r="AI42" s="20"/>
      <c r="AJ42" s="20"/>
      <c r="AK42" s="20" t="e">
        <f t="array" ref="AK42:AO46">MINVERSE(AK35:AO39)</f>
        <v>#NUM!</v>
      </c>
      <c r="AL42" s="20" t="e">
        <v>#NUM!</v>
      </c>
      <c r="AM42" s="20" t="e">
        <v>#NUM!</v>
      </c>
      <c r="AN42" s="20" t="e">
        <v>#NUM!</v>
      </c>
      <c r="AO42" s="20" t="e">
        <v>#NUM!</v>
      </c>
      <c r="AP42" s="20"/>
      <c r="AQ42" s="20"/>
      <c r="AR42" s="20" t="e">
        <f t="array" ref="AR42:AU45">MINVERSE(AR35:AU38)</f>
        <v>#NUM!</v>
      </c>
      <c r="AS42" s="20" t="e">
        <v>#NUM!</v>
      </c>
      <c r="AT42" s="20" t="e">
        <v>#NUM!</v>
      </c>
      <c r="AU42" s="20" t="e">
        <v>#NUM!</v>
      </c>
      <c r="AV42" s="20"/>
      <c r="AW42" s="20"/>
      <c r="AX42" s="20"/>
      <c r="AY42" s="20"/>
      <c r="AZ42" s="20"/>
      <c r="BA42" s="20"/>
      <c r="BB42" s="20"/>
      <c r="BC42" s="20"/>
      <c r="BD42" s="20"/>
      <c r="BE42" s="20"/>
      <c r="BF42" s="20"/>
      <c r="BG42" s="20"/>
      <c r="BH42" s="20"/>
      <c r="BI42" s="20"/>
      <c r="BJ42" s="20"/>
      <c r="BK42" s="20"/>
      <c r="BL42" s="20"/>
      <c r="BM42" s="20"/>
      <c r="BN42" s="20"/>
      <c r="BO42" s="20"/>
      <c r="BP42" s="20"/>
      <c r="BQ42" s="21"/>
    </row>
    <row r="43" spans="1:69" x14ac:dyDescent="0.25">
      <c r="A43">
        <v>19</v>
      </c>
      <c r="B43">
        <f t="shared" si="22"/>
        <v>0</v>
      </c>
      <c r="C43">
        <f t="shared" ca="1" si="23"/>
        <v>0</v>
      </c>
      <c r="D43" cm="1">
        <f t="array" aca="1" ref="D43:G43" ca="1">left_cantilever_analysis(Beam_Analysis!$B$29,B43,Beam_Analysis!$D$3,Beam_Analysis!$D$2,Beam_Analysis!$B$33:$G$53,Beam_Analysis!$G$5:$P$5,0)</f>
        <v>0</v>
      </c>
      <c r="E43">
        <f ca="1"/>
        <v>0</v>
      </c>
      <c r="F43">
        <f ca="1"/>
        <v>0</v>
      </c>
      <c r="G43">
        <f ca="1"/>
        <v>0</v>
      </c>
      <c r="H43">
        <f ca="1">(E43*12)/(Beam_Analysis!$B$2*Beam_Analysis!$B$3)</f>
        <v>0</v>
      </c>
      <c r="N43" s="19"/>
      <c r="O43" s="20"/>
      <c r="P43" s="20"/>
      <c r="Q43" s="20"/>
      <c r="R43" s="20"/>
      <c r="S43" s="20"/>
      <c r="T43" s="20"/>
      <c r="U43" s="20"/>
      <c r="V43" s="20" t="e">
        <v>#NUM!</v>
      </c>
      <c r="W43" s="20" t="e">
        <v>#NUM!</v>
      </c>
      <c r="X43" s="20" t="e">
        <v>#NUM!</v>
      </c>
      <c r="Y43" s="20" t="e">
        <v>#NUM!</v>
      </c>
      <c r="Z43" s="20" t="e">
        <v>#NUM!</v>
      </c>
      <c r="AA43" s="20" t="e">
        <v>#NUM!</v>
      </c>
      <c r="AB43" s="20"/>
      <c r="AC43" s="20"/>
      <c r="AD43" s="20" t="e">
        <v>#NUM!</v>
      </c>
      <c r="AE43" s="20" t="e">
        <v>#NUM!</v>
      </c>
      <c r="AF43" s="20" t="e">
        <v>#NUM!</v>
      </c>
      <c r="AG43" s="20" t="e">
        <v>#NUM!</v>
      </c>
      <c r="AH43" s="20" t="e">
        <v>#NUM!</v>
      </c>
      <c r="AI43" s="20"/>
      <c r="AJ43" s="20"/>
      <c r="AK43" s="20" t="e">
        <v>#NUM!</v>
      </c>
      <c r="AL43" s="20" t="e">
        <v>#NUM!</v>
      </c>
      <c r="AM43" s="20" t="e">
        <v>#NUM!</v>
      </c>
      <c r="AN43" s="20" t="e">
        <v>#NUM!</v>
      </c>
      <c r="AO43" s="20" t="e">
        <v>#NUM!</v>
      </c>
      <c r="AP43" s="20"/>
      <c r="AQ43" s="20"/>
      <c r="AR43" s="20" t="e">
        <v>#NUM!</v>
      </c>
      <c r="AS43" s="20" t="e">
        <v>#NUM!</v>
      </c>
      <c r="AT43" s="20" t="e">
        <v>#NUM!</v>
      </c>
      <c r="AU43" s="20" t="e">
        <v>#NUM!</v>
      </c>
      <c r="AV43" s="20"/>
      <c r="AW43" s="20"/>
      <c r="AX43" s="20"/>
      <c r="AY43" s="20"/>
      <c r="AZ43" s="20"/>
      <c r="BA43" s="20"/>
      <c r="BB43" s="20"/>
      <c r="BC43" s="20"/>
      <c r="BD43" s="20"/>
      <c r="BE43" s="20"/>
      <c r="BF43" s="20"/>
      <c r="BG43" s="20"/>
      <c r="BH43" s="20"/>
      <c r="BI43" s="20"/>
      <c r="BJ43" s="20"/>
      <c r="BK43" s="20"/>
      <c r="BL43" s="20"/>
      <c r="BM43" s="20"/>
      <c r="BN43" s="20"/>
      <c r="BO43" s="20"/>
      <c r="BP43" s="20"/>
      <c r="BQ43" s="21"/>
    </row>
    <row r="44" spans="1:69" x14ac:dyDescent="0.25">
      <c r="A44">
        <v>20</v>
      </c>
      <c r="B44">
        <f t="shared" si="22"/>
        <v>0</v>
      </c>
      <c r="C44">
        <f t="shared" ca="1" si="23"/>
        <v>0</v>
      </c>
      <c r="D44" cm="1">
        <f t="array" aca="1" ref="D44:G44" ca="1">left_cantilever_analysis(Beam_Analysis!$B$29,B44,Beam_Analysis!$D$3,Beam_Analysis!$D$2,Beam_Analysis!$B$33:$G$53,Beam_Analysis!$G$5:$P$5,0)</f>
        <v>0</v>
      </c>
      <c r="E44">
        <f ca="1"/>
        <v>0</v>
      </c>
      <c r="F44">
        <f ca="1"/>
        <v>0</v>
      </c>
      <c r="G44">
        <f ca="1"/>
        <v>0</v>
      </c>
      <c r="H44">
        <f ca="1">(E44*12)/(Beam_Analysis!$B$2*Beam_Analysis!$B$3)</f>
        <v>0</v>
      </c>
      <c r="N44" s="19"/>
      <c r="O44" s="20"/>
      <c r="P44" s="20"/>
      <c r="Q44" s="20"/>
      <c r="R44" s="20"/>
      <c r="S44" s="20"/>
      <c r="T44" s="20"/>
      <c r="U44" s="20"/>
      <c r="V44" s="20" t="e">
        <v>#NUM!</v>
      </c>
      <c r="W44" s="20" t="e">
        <v>#NUM!</v>
      </c>
      <c r="X44" s="20" t="e">
        <v>#NUM!</v>
      </c>
      <c r="Y44" s="20" t="e">
        <v>#NUM!</v>
      </c>
      <c r="Z44" s="20" t="e">
        <v>#NUM!</v>
      </c>
      <c r="AA44" s="20" t="e">
        <v>#NUM!</v>
      </c>
      <c r="AB44" s="20"/>
      <c r="AC44" s="20"/>
      <c r="AD44" s="20" t="e">
        <v>#NUM!</v>
      </c>
      <c r="AE44" s="20" t="e">
        <v>#NUM!</v>
      </c>
      <c r="AF44" s="20" t="e">
        <v>#NUM!</v>
      </c>
      <c r="AG44" s="20" t="e">
        <v>#NUM!</v>
      </c>
      <c r="AH44" s="20" t="e">
        <v>#NUM!</v>
      </c>
      <c r="AI44" s="20"/>
      <c r="AJ44" s="20"/>
      <c r="AK44" s="20" t="e">
        <v>#NUM!</v>
      </c>
      <c r="AL44" s="20" t="e">
        <v>#NUM!</v>
      </c>
      <c r="AM44" s="20" t="e">
        <v>#NUM!</v>
      </c>
      <c r="AN44" s="20" t="e">
        <v>#NUM!</v>
      </c>
      <c r="AO44" s="20" t="e">
        <v>#NUM!</v>
      </c>
      <c r="AP44" s="20"/>
      <c r="AQ44" s="20"/>
      <c r="AR44" s="20" t="e">
        <v>#NUM!</v>
      </c>
      <c r="AS44" s="20" t="e">
        <v>#NUM!</v>
      </c>
      <c r="AT44" s="20" t="e">
        <v>#NUM!</v>
      </c>
      <c r="AU44" s="20" t="e">
        <v>#NUM!</v>
      </c>
      <c r="AV44" s="20"/>
      <c r="AW44" s="20"/>
      <c r="AX44" s="20"/>
      <c r="AY44" s="20"/>
      <c r="AZ44" s="20"/>
      <c r="BA44" s="20"/>
      <c r="BB44" s="20"/>
      <c r="BC44" s="20"/>
      <c r="BD44" s="20"/>
      <c r="BE44" s="20"/>
      <c r="BF44" s="20"/>
      <c r="BG44" s="20"/>
      <c r="BH44" s="20"/>
      <c r="BI44" s="20"/>
      <c r="BJ44" s="20"/>
      <c r="BK44" s="20"/>
      <c r="BL44" s="20"/>
      <c r="BM44" s="20"/>
      <c r="BN44" s="20"/>
      <c r="BO44" s="20"/>
      <c r="BP44" s="20"/>
      <c r="BQ44" s="21"/>
    </row>
    <row r="45" spans="1:69" x14ac:dyDescent="0.25">
      <c r="A45">
        <v>21</v>
      </c>
      <c r="B45">
        <f t="shared" si="22"/>
        <v>0</v>
      </c>
      <c r="C45">
        <f t="shared" ca="1" si="23"/>
        <v>0</v>
      </c>
      <c r="D45" cm="1">
        <f t="array" aca="1" ref="D45:G45" ca="1">left_cantilever_analysis(Beam_Analysis!$B$29,B45,Beam_Analysis!$D$3,Beam_Analysis!$D$2,Beam_Analysis!$B$33:$G$53,Beam_Analysis!$G$5:$P$5,0)</f>
        <v>0</v>
      </c>
      <c r="E45">
        <f ca="1"/>
        <v>0</v>
      </c>
      <c r="F45">
        <f ca="1"/>
        <v>0</v>
      </c>
      <c r="G45">
        <f ca="1"/>
        <v>0</v>
      </c>
      <c r="H45">
        <f ca="1">(E45*12)/(Beam_Analysis!$B$2*Beam_Analysis!$B$3)</f>
        <v>0</v>
      </c>
      <c r="N45" s="19"/>
      <c r="O45" s="20"/>
      <c r="P45" s="20"/>
      <c r="Q45" s="20"/>
      <c r="R45" s="20"/>
      <c r="S45" s="20"/>
      <c r="T45" s="20"/>
      <c r="U45" s="20"/>
      <c r="V45" s="20" t="e">
        <v>#NUM!</v>
      </c>
      <c r="W45" s="20" t="e">
        <v>#NUM!</v>
      </c>
      <c r="X45" s="20" t="e">
        <v>#NUM!</v>
      </c>
      <c r="Y45" s="20" t="e">
        <v>#NUM!</v>
      </c>
      <c r="Z45" s="20" t="e">
        <v>#NUM!</v>
      </c>
      <c r="AA45" s="20" t="e">
        <v>#NUM!</v>
      </c>
      <c r="AB45" s="20"/>
      <c r="AC45" s="20"/>
      <c r="AD45" s="20" t="e">
        <v>#NUM!</v>
      </c>
      <c r="AE45" s="20" t="e">
        <v>#NUM!</v>
      </c>
      <c r="AF45" s="20" t="e">
        <v>#NUM!</v>
      </c>
      <c r="AG45" s="20" t="e">
        <v>#NUM!</v>
      </c>
      <c r="AH45" s="20" t="e">
        <v>#NUM!</v>
      </c>
      <c r="AI45" s="20"/>
      <c r="AJ45" s="20"/>
      <c r="AK45" s="20" t="e">
        <v>#NUM!</v>
      </c>
      <c r="AL45" s="20" t="e">
        <v>#NUM!</v>
      </c>
      <c r="AM45" s="20" t="e">
        <v>#NUM!</v>
      </c>
      <c r="AN45" s="20" t="e">
        <v>#NUM!</v>
      </c>
      <c r="AO45" s="20" t="e">
        <v>#NUM!</v>
      </c>
      <c r="AP45" s="20"/>
      <c r="AQ45" s="20"/>
      <c r="AR45" s="20" t="e">
        <v>#NUM!</v>
      </c>
      <c r="AS45" s="20" t="e">
        <v>#NUM!</v>
      </c>
      <c r="AT45" s="20" t="e">
        <v>#NUM!</v>
      </c>
      <c r="AU45" s="20" t="e">
        <v>#NUM!</v>
      </c>
      <c r="AV45" s="20"/>
      <c r="AW45" s="20"/>
      <c r="AX45" s="20"/>
      <c r="AY45" s="20"/>
      <c r="AZ45" s="20"/>
      <c r="BA45" s="20"/>
      <c r="BB45" s="20"/>
      <c r="BC45" s="20"/>
      <c r="BD45" s="20"/>
      <c r="BE45" s="20"/>
      <c r="BF45" s="20"/>
      <c r="BG45" s="20"/>
      <c r="BH45" s="20"/>
      <c r="BI45" s="20"/>
      <c r="BJ45" s="20"/>
      <c r="BK45" s="20"/>
      <c r="BL45" s="20"/>
      <c r="BM45" s="20"/>
      <c r="BN45" s="20"/>
      <c r="BO45" s="20"/>
      <c r="BP45" s="20"/>
      <c r="BQ45" s="21"/>
    </row>
    <row r="46" spans="1:69" x14ac:dyDescent="0.25">
      <c r="A46">
        <v>22</v>
      </c>
      <c r="B46">
        <f t="shared" si="22"/>
        <v>0</v>
      </c>
      <c r="C46">
        <f t="shared" ca="1" si="23"/>
        <v>0</v>
      </c>
      <c r="D46" cm="1">
        <f t="array" aca="1" ref="D46:G46" ca="1">left_cantilever_analysis(Beam_Analysis!$B$29,B46,Beam_Analysis!$D$3,Beam_Analysis!$D$2,Beam_Analysis!$B$33:$G$53,Beam_Analysis!$G$5:$P$5,0)</f>
        <v>0</v>
      </c>
      <c r="E46">
        <f ca="1"/>
        <v>0</v>
      </c>
      <c r="F46">
        <f ca="1"/>
        <v>0</v>
      </c>
      <c r="G46">
        <f ca="1"/>
        <v>0</v>
      </c>
      <c r="H46">
        <f ca="1">(E46*12)/(Beam_Analysis!$B$2*Beam_Analysis!$B$3)</f>
        <v>0</v>
      </c>
      <c r="N46" s="19"/>
      <c r="O46" s="20"/>
      <c r="P46" s="20"/>
      <c r="Q46" s="20"/>
      <c r="R46" s="20"/>
      <c r="S46" s="20"/>
      <c r="T46" s="20"/>
      <c r="U46" s="20"/>
      <c r="V46" s="20" t="e">
        <v>#NUM!</v>
      </c>
      <c r="W46" s="20" t="e">
        <v>#NUM!</v>
      </c>
      <c r="X46" s="20" t="e">
        <v>#NUM!</v>
      </c>
      <c r="Y46" s="20" t="e">
        <v>#NUM!</v>
      </c>
      <c r="Z46" s="20" t="e">
        <v>#NUM!</v>
      </c>
      <c r="AA46" s="20" t="e">
        <v>#NUM!</v>
      </c>
      <c r="AB46" s="20"/>
      <c r="AC46" s="20"/>
      <c r="AD46" s="20" t="e">
        <v>#NUM!</v>
      </c>
      <c r="AE46" s="20" t="e">
        <v>#NUM!</v>
      </c>
      <c r="AF46" s="20" t="e">
        <v>#NUM!</v>
      </c>
      <c r="AG46" s="20" t="e">
        <v>#NUM!</v>
      </c>
      <c r="AH46" s="20" t="e">
        <v>#NUM!</v>
      </c>
      <c r="AI46" s="20"/>
      <c r="AJ46" s="20"/>
      <c r="AK46" s="20" t="e">
        <v>#NUM!</v>
      </c>
      <c r="AL46" s="20" t="e">
        <v>#NUM!</v>
      </c>
      <c r="AM46" s="20" t="e">
        <v>#NUM!</v>
      </c>
      <c r="AN46" s="20" t="e">
        <v>#NUM!</v>
      </c>
      <c r="AO46" s="20" t="e">
        <v>#NUM!</v>
      </c>
      <c r="AP46" s="20"/>
      <c r="AQ46" s="20"/>
      <c r="AR46" s="20"/>
      <c r="AS46" s="20"/>
      <c r="AT46" s="20"/>
      <c r="AU46" s="20"/>
      <c r="AV46" s="20"/>
      <c r="AW46" s="20"/>
      <c r="AX46" s="20"/>
      <c r="AY46" s="20"/>
      <c r="AZ46" s="20"/>
      <c r="BA46" s="20"/>
      <c r="BB46" s="20"/>
      <c r="BC46" s="20"/>
      <c r="BD46" s="20"/>
      <c r="BE46" s="20"/>
      <c r="BF46" s="20"/>
      <c r="BG46" s="20"/>
      <c r="BH46" s="20"/>
      <c r="BI46" s="20"/>
      <c r="BJ46" s="20"/>
      <c r="BK46" s="20"/>
      <c r="BL46" s="20"/>
      <c r="BM46" s="20"/>
      <c r="BN46" s="20"/>
      <c r="BO46" s="20"/>
      <c r="BP46" s="20"/>
      <c r="BQ46" s="21"/>
    </row>
    <row r="47" spans="1:69" x14ac:dyDescent="0.25">
      <c r="A47">
        <v>23</v>
      </c>
      <c r="B47">
        <f t="shared" si="22"/>
        <v>0</v>
      </c>
      <c r="C47">
        <f t="shared" ca="1" si="23"/>
        <v>0</v>
      </c>
      <c r="D47" cm="1">
        <f t="array" aca="1" ref="D47:G47" ca="1">left_cantilever_analysis(Beam_Analysis!$B$29,B47,Beam_Analysis!$D$3,Beam_Analysis!$D$2,Beam_Analysis!$B$33:$G$53,Beam_Analysis!$G$5:$P$5,0)</f>
        <v>0</v>
      </c>
      <c r="E47">
        <f ca="1"/>
        <v>0</v>
      </c>
      <c r="F47">
        <f ca="1"/>
        <v>0</v>
      </c>
      <c r="G47">
        <f ca="1"/>
        <v>0</v>
      </c>
      <c r="H47">
        <f ca="1">(E47*12)/(Beam_Analysis!$B$2*Beam_Analysis!$B$3)</f>
        <v>0</v>
      </c>
      <c r="N47" s="19"/>
      <c r="O47" s="20"/>
      <c r="P47" s="20"/>
      <c r="Q47" s="20"/>
      <c r="R47" s="20"/>
      <c r="S47" s="20"/>
      <c r="T47" s="20"/>
      <c r="U47" s="20"/>
      <c r="V47" s="20" t="e">
        <v>#NUM!</v>
      </c>
      <c r="W47" s="20" t="e">
        <v>#NUM!</v>
      </c>
      <c r="X47" s="20" t="e">
        <v>#NUM!</v>
      </c>
      <c r="Y47" s="20" t="e">
        <v>#NUM!</v>
      </c>
      <c r="Z47" s="20" t="e">
        <v>#NUM!</v>
      </c>
      <c r="AA47" s="20" t="e">
        <v>#NUM!</v>
      </c>
      <c r="AB47" s="20"/>
      <c r="AC47" s="20"/>
      <c r="AD47" s="20"/>
      <c r="AE47" s="20"/>
      <c r="AF47" s="20"/>
      <c r="AG47" s="20"/>
      <c r="AH47" s="20"/>
      <c r="AI47" s="20"/>
      <c r="AJ47" s="20"/>
      <c r="AK47" s="20"/>
      <c r="AL47" s="20"/>
      <c r="AM47" s="20"/>
      <c r="AN47" s="20"/>
      <c r="AO47" s="20"/>
      <c r="AP47" s="20"/>
      <c r="AQ47" s="20"/>
      <c r="AR47" s="20"/>
      <c r="AS47" s="20"/>
      <c r="AT47" s="20"/>
      <c r="AU47" s="20"/>
      <c r="AV47" s="20"/>
      <c r="AW47" s="20"/>
      <c r="AX47" s="20"/>
      <c r="AY47" s="20"/>
      <c r="AZ47" s="20"/>
      <c r="BA47" s="20"/>
      <c r="BB47" s="20"/>
      <c r="BC47" s="20"/>
      <c r="BD47" s="20"/>
      <c r="BE47" s="20"/>
      <c r="BF47" s="20"/>
      <c r="BG47" s="20"/>
      <c r="BH47" s="20"/>
      <c r="BI47" s="20"/>
      <c r="BJ47" s="20"/>
      <c r="BK47" s="20"/>
      <c r="BL47" s="20"/>
      <c r="BM47" s="20"/>
      <c r="BN47" s="20"/>
      <c r="BO47" s="20"/>
      <c r="BP47" s="20"/>
      <c r="BQ47" s="21"/>
    </row>
    <row r="48" spans="1:69" x14ac:dyDescent="0.25">
      <c r="A48">
        <v>24</v>
      </c>
      <c r="B48">
        <f t="shared" si="22"/>
        <v>0</v>
      </c>
      <c r="C48">
        <f t="shared" ca="1" si="23"/>
        <v>0</v>
      </c>
      <c r="D48" cm="1">
        <f t="array" aca="1" ref="D48:G48" ca="1">left_cantilever_analysis(Beam_Analysis!$B$29,B48,Beam_Analysis!$D$3,Beam_Analysis!$D$2,Beam_Analysis!$B$33:$G$53,Beam_Analysis!$G$5:$P$5,0)</f>
        <v>0</v>
      </c>
      <c r="E48">
        <f ca="1"/>
        <v>0</v>
      </c>
      <c r="F48">
        <f ca="1"/>
        <v>0</v>
      </c>
      <c r="G48">
        <f ca="1"/>
        <v>0</v>
      </c>
      <c r="H48">
        <f ca="1">(E48*12)/(Beam_Analysis!$B$2*Beam_Analysis!$B$3)</f>
        <v>0</v>
      </c>
      <c r="N48" s="19"/>
      <c r="O48" s="20"/>
      <c r="P48" s="20"/>
      <c r="Q48" s="20"/>
      <c r="R48" s="20"/>
      <c r="S48" s="20"/>
      <c r="T48" s="20"/>
      <c r="U48" s="20"/>
      <c r="V48" s="20"/>
      <c r="W48" s="20"/>
      <c r="X48" s="20"/>
      <c r="Y48" s="20"/>
      <c r="Z48" s="20"/>
      <c r="AA48" s="20"/>
      <c r="AB48" s="20"/>
      <c r="AC48" s="20"/>
      <c r="AD48" s="20"/>
      <c r="AE48" s="20"/>
      <c r="AF48" s="20"/>
      <c r="AG48" s="20"/>
      <c r="AH48" s="20"/>
      <c r="AI48" s="20"/>
      <c r="AJ48" s="20"/>
      <c r="AK48" s="20"/>
      <c r="AL48" s="20"/>
      <c r="AM48" s="20"/>
      <c r="AN48" s="20"/>
      <c r="AO48" s="20"/>
      <c r="AP48" s="20"/>
      <c r="AQ48" s="20"/>
      <c r="AR48" s="20"/>
      <c r="AS48" s="20"/>
      <c r="AT48" s="20"/>
      <c r="AU48" s="20"/>
      <c r="AV48" s="20"/>
      <c r="AW48" s="20"/>
      <c r="AX48" s="20"/>
      <c r="AY48" s="20"/>
      <c r="AZ48" s="20"/>
      <c r="BA48" s="20"/>
      <c r="BB48" s="20"/>
      <c r="BC48" s="20"/>
      <c r="BD48" s="20"/>
      <c r="BE48" s="20"/>
      <c r="BF48" s="20"/>
      <c r="BG48" s="20"/>
      <c r="BH48" s="20"/>
      <c r="BI48" s="20"/>
      <c r="BJ48" s="20"/>
      <c r="BK48" s="20"/>
      <c r="BL48" s="20"/>
      <c r="BM48" s="20"/>
      <c r="BN48" s="20"/>
      <c r="BO48" s="20"/>
      <c r="BP48" s="20"/>
      <c r="BQ48" s="21"/>
    </row>
    <row r="49" spans="1:69" x14ac:dyDescent="0.25">
      <c r="A49">
        <v>25</v>
      </c>
      <c r="B49">
        <f t="shared" si="22"/>
        <v>0</v>
      </c>
      <c r="C49">
        <f t="shared" ca="1" si="23"/>
        <v>0</v>
      </c>
      <c r="D49" cm="1">
        <f t="array" aca="1" ref="D49:G49" ca="1">left_cantilever_analysis(Beam_Analysis!$B$29,B49,Beam_Analysis!$D$3,Beam_Analysis!$D$2,Beam_Analysis!$B$33:$G$53,Beam_Analysis!$G$5:$P$5,0)</f>
        <v>0</v>
      </c>
      <c r="E49">
        <f ca="1"/>
        <v>0</v>
      </c>
      <c r="F49">
        <f ca="1"/>
        <v>0</v>
      </c>
      <c r="G49">
        <f ca="1"/>
        <v>0</v>
      </c>
      <c r="H49">
        <f ca="1">(E49*12)/(Beam_Analysis!$B$2*Beam_Analysis!$B$3)</f>
        <v>0</v>
      </c>
      <c r="N49" s="19"/>
      <c r="O49" s="20"/>
      <c r="P49" s="20"/>
      <c r="Q49" s="20"/>
      <c r="R49" s="20"/>
      <c r="S49" s="20"/>
      <c r="T49" s="20"/>
      <c r="U49" s="20">
        <f ca="1">T10</f>
        <v>0</v>
      </c>
      <c r="V49" s="20" t="e">
        <f t="array" ref="V49:V54">MMULT(V42:AA47,U49:U54)</f>
        <v>#NUM!</v>
      </c>
      <c r="W49" s="20"/>
      <c r="X49" s="20"/>
      <c r="Y49" s="20"/>
      <c r="Z49" s="20"/>
      <c r="AA49" s="20"/>
      <c r="AB49" s="20"/>
      <c r="AC49" s="20"/>
      <c r="AD49" s="20" t="e">
        <f t="array" ref="AD49:AD53">MMULT(AD42:AH46,U49:U53)</f>
        <v>#NUM!</v>
      </c>
      <c r="AE49" s="20"/>
      <c r="AF49" s="20"/>
      <c r="AG49" s="20"/>
      <c r="AH49" s="20"/>
      <c r="AI49" s="20"/>
      <c r="AJ49" s="20">
        <f ca="1">U49</f>
        <v>0</v>
      </c>
      <c r="AK49" s="20" t="e">
        <f t="array" ref="AK49:AK53">MMULT(AK42:AO46,AJ49:AJ53)</f>
        <v>#NUM!</v>
      </c>
      <c r="AL49" s="20"/>
      <c r="AM49" s="20"/>
      <c r="AN49" s="20"/>
      <c r="AO49" s="20"/>
      <c r="AP49" s="20"/>
      <c r="AQ49" s="20"/>
      <c r="AR49" s="20" t="e">
        <f t="array" ref="AR49:AR52">MMULT(AR42:AU45,U49:U52)</f>
        <v>#NUM!</v>
      </c>
      <c r="AS49" s="20"/>
      <c r="AT49" s="20"/>
      <c r="AU49" s="20"/>
      <c r="AV49" s="20"/>
      <c r="AW49" s="20"/>
      <c r="AX49" s="20"/>
      <c r="AY49" s="20"/>
      <c r="AZ49" s="20"/>
      <c r="BA49" s="20"/>
      <c r="BB49" s="20"/>
      <c r="BC49" s="20"/>
      <c r="BD49" s="20"/>
      <c r="BE49" s="20"/>
      <c r="BF49" s="20"/>
      <c r="BG49" s="20"/>
      <c r="BH49" s="20"/>
      <c r="BI49" s="20"/>
      <c r="BJ49" s="20"/>
      <c r="BK49" s="20"/>
      <c r="BL49" s="20"/>
      <c r="BM49" s="20"/>
      <c r="BN49" s="20"/>
      <c r="BO49" s="20"/>
      <c r="BP49" s="20"/>
      <c r="BQ49" s="21"/>
    </row>
    <row r="50" spans="1:69" x14ac:dyDescent="0.25">
      <c r="A50">
        <v>26</v>
      </c>
      <c r="B50">
        <f t="shared" si="22"/>
        <v>0</v>
      </c>
      <c r="C50">
        <f t="shared" ca="1" si="23"/>
        <v>0</v>
      </c>
      <c r="D50" cm="1">
        <f t="array" aca="1" ref="D50:G50" ca="1">left_cantilever_analysis(Beam_Analysis!$B$29,B50,Beam_Analysis!$D$3,Beam_Analysis!$D$2,Beam_Analysis!$B$33:$G$53,Beam_Analysis!$G$5:$P$5,0)</f>
        <v>0</v>
      </c>
      <c r="E50">
        <f ca="1"/>
        <v>0</v>
      </c>
      <c r="F50">
        <f ca="1"/>
        <v>0</v>
      </c>
      <c r="G50">
        <f ca="1"/>
        <v>0</v>
      </c>
      <c r="H50">
        <f ca="1">(E50*12)/(Beam_Analysis!$B$2*Beam_Analysis!$B$3)</f>
        <v>0</v>
      </c>
      <c r="N50" s="19"/>
      <c r="O50" s="20"/>
      <c r="P50" s="20"/>
      <c r="Q50" s="20"/>
      <c r="R50" s="20"/>
      <c r="S50" s="20"/>
      <c r="T50" s="20"/>
      <c r="U50" s="20">
        <f t="shared" ref="U50:U52" ca="1" si="43">T11</f>
        <v>0</v>
      </c>
      <c r="V50" s="20" t="e">
        <v>#NUM!</v>
      </c>
      <c r="W50" s="20"/>
      <c r="X50" s="20"/>
      <c r="Y50" s="20"/>
      <c r="Z50" s="20"/>
      <c r="AA50" s="20"/>
      <c r="AB50" s="20"/>
      <c r="AC50" s="20"/>
      <c r="AD50" s="20" t="e">
        <v>#NUM!</v>
      </c>
      <c r="AE50" s="20"/>
      <c r="AF50" s="20"/>
      <c r="AG50" s="20"/>
      <c r="AH50" s="20"/>
      <c r="AI50" s="20"/>
      <c r="AJ50" s="20">
        <f t="shared" ref="AJ50:AJ52" ca="1" si="44">U50</f>
        <v>0</v>
      </c>
      <c r="AK50" s="20" t="e">
        <v>#NUM!</v>
      </c>
      <c r="AL50" s="20"/>
      <c r="AM50" s="20"/>
      <c r="AN50" s="20"/>
      <c r="AO50" s="20"/>
      <c r="AP50" s="20"/>
      <c r="AQ50" s="20"/>
      <c r="AR50" s="20" t="e">
        <v>#NUM!</v>
      </c>
      <c r="AS50" s="20"/>
      <c r="AT50" s="20"/>
      <c r="AU50" s="20"/>
      <c r="AV50" s="20"/>
      <c r="AW50" s="20"/>
      <c r="AX50" s="20"/>
      <c r="AY50" s="20"/>
      <c r="AZ50" s="20"/>
      <c r="BA50" s="20"/>
      <c r="BB50" s="20"/>
      <c r="BC50" s="20"/>
      <c r="BD50" s="20"/>
      <c r="BE50" s="20"/>
      <c r="BF50" s="20"/>
      <c r="BG50" s="20"/>
      <c r="BH50" s="20"/>
      <c r="BI50" s="20"/>
      <c r="BJ50" s="20"/>
      <c r="BK50" s="20"/>
      <c r="BL50" s="20"/>
      <c r="BM50" s="20"/>
      <c r="BN50" s="20"/>
      <c r="BO50" s="20"/>
      <c r="BP50" s="20"/>
      <c r="BQ50" s="21"/>
    </row>
    <row r="51" spans="1:69" x14ac:dyDescent="0.25">
      <c r="A51">
        <v>27</v>
      </c>
      <c r="B51">
        <f t="shared" si="22"/>
        <v>0</v>
      </c>
      <c r="C51">
        <f t="shared" ca="1" si="23"/>
        <v>0</v>
      </c>
      <c r="D51" cm="1">
        <f t="array" aca="1" ref="D51:G51" ca="1">left_cantilever_analysis(Beam_Analysis!$B$29,B51,Beam_Analysis!$D$3,Beam_Analysis!$D$2,Beam_Analysis!$B$33:$G$53,Beam_Analysis!$G$5:$P$5,0)</f>
        <v>0</v>
      </c>
      <c r="E51">
        <f ca="1"/>
        <v>0</v>
      </c>
      <c r="F51">
        <f ca="1"/>
        <v>0</v>
      </c>
      <c r="G51">
        <f ca="1"/>
        <v>0</v>
      </c>
      <c r="H51">
        <f ca="1">(E51*12)/(Beam_Analysis!$B$2*Beam_Analysis!$B$3)</f>
        <v>0</v>
      </c>
      <c r="N51" s="19"/>
      <c r="O51" s="20"/>
      <c r="P51" s="20"/>
      <c r="Q51" s="20"/>
      <c r="R51" s="20"/>
      <c r="S51" s="20"/>
      <c r="T51" s="20"/>
      <c r="U51" s="20">
        <f t="shared" ca="1" si="43"/>
        <v>0</v>
      </c>
      <c r="V51" s="20" t="e">
        <v>#NUM!</v>
      </c>
      <c r="W51" s="20"/>
      <c r="X51" s="20"/>
      <c r="Y51" s="20"/>
      <c r="Z51" s="20"/>
      <c r="AA51" s="20"/>
      <c r="AB51" s="20"/>
      <c r="AC51" s="20"/>
      <c r="AD51" s="20" t="e">
        <v>#NUM!</v>
      </c>
      <c r="AE51" s="20"/>
      <c r="AF51" s="20"/>
      <c r="AG51" s="20"/>
      <c r="AH51" s="20"/>
      <c r="AI51" s="20"/>
      <c r="AJ51" s="20">
        <f t="shared" ca="1" si="44"/>
        <v>0</v>
      </c>
      <c r="AK51" s="20" t="e">
        <v>#NUM!</v>
      </c>
      <c r="AL51" s="20"/>
      <c r="AM51" s="20"/>
      <c r="AN51" s="20"/>
      <c r="AO51" s="20"/>
      <c r="AP51" s="20"/>
      <c r="AQ51" s="20"/>
      <c r="AR51" s="20" t="e">
        <v>#NUM!</v>
      </c>
      <c r="AS51" s="20"/>
      <c r="AT51" s="20"/>
      <c r="AU51" s="20"/>
      <c r="AV51" s="20"/>
      <c r="AW51" s="20"/>
      <c r="AX51" s="20"/>
      <c r="AY51" s="20"/>
      <c r="AZ51" s="20"/>
      <c r="BA51" s="20"/>
      <c r="BB51" s="20"/>
      <c r="BC51" s="20"/>
      <c r="BD51" s="20"/>
      <c r="BE51" s="20"/>
      <c r="BF51" s="20"/>
      <c r="BG51" s="20"/>
      <c r="BH51" s="20"/>
      <c r="BI51" s="20"/>
      <c r="BJ51" s="20"/>
      <c r="BK51" s="20"/>
      <c r="BL51" s="20"/>
      <c r="BM51" s="20"/>
      <c r="BN51" s="20"/>
      <c r="BO51" s="20"/>
      <c r="BP51" s="20"/>
      <c r="BQ51" s="21"/>
    </row>
    <row r="52" spans="1:69" x14ac:dyDescent="0.25">
      <c r="N52" s="19"/>
      <c r="O52" s="20"/>
      <c r="P52" s="20"/>
      <c r="Q52" s="20"/>
      <c r="R52" s="20"/>
      <c r="S52" s="20"/>
      <c r="T52" s="20"/>
      <c r="U52" s="20">
        <f t="shared" ca="1" si="43"/>
        <v>0</v>
      </c>
      <c r="V52" s="20" t="e">
        <v>#NUM!</v>
      </c>
      <c r="W52" s="20"/>
      <c r="X52" s="20"/>
      <c r="Y52" s="20"/>
      <c r="Z52" s="20"/>
      <c r="AA52" s="20"/>
      <c r="AB52" s="20"/>
      <c r="AC52" s="20"/>
      <c r="AD52" s="20" t="e">
        <v>#NUM!</v>
      </c>
      <c r="AE52" s="20"/>
      <c r="AF52" s="20"/>
      <c r="AG52" s="20"/>
      <c r="AH52" s="20"/>
      <c r="AI52" s="20"/>
      <c r="AJ52" s="20">
        <f t="shared" ca="1" si="44"/>
        <v>0</v>
      </c>
      <c r="AK52" s="20" t="e">
        <v>#NUM!</v>
      </c>
      <c r="AL52" s="20"/>
      <c r="AM52" s="20"/>
      <c r="AN52" s="20"/>
      <c r="AO52" s="20"/>
      <c r="AP52" s="20"/>
      <c r="AQ52" s="20"/>
      <c r="AR52" s="20" t="e">
        <v>#NUM!</v>
      </c>
      <c r="AS52" s="20"/>
      <c r="AT52" s="20"/>
      <c r="AU52" s="20"/>
      <c r="AV52" s="20"/>
      <c r="AW52" s="20"/>
      <c r="AX52" s="20"/>
      <c r="AY52" s="20"/>
      <c r="AZ52" s="20"/>
      <c r="BA52" s="20"/>
      <c r="BB52" s="20"/>
      <c r="BC52" s="20"/>
      <c r="BD52" s="20"/>
      <c r="BE52" s="20"/>
      <c r="BF52" s="20"/>
      <c r="BG52" s="20"/>
      <c r="BH52" s="20"/>
      <c r="BI52" s="20"/>
      <c r="BJ52" s="20"/>
      <c r="BK52" s="20"/>
      <c r="BL52" s="20"/>
      <c r="BM52" s="20"/>
      <c r="BN52" s="20"/>
      <c r="BO52" s="20"/>
      <c r="BP52" s="20"/>
      <c r="BQ52" s="21"/>
    </row>
    <row r="53" spans="1:69" x14ac:dyDescent="0.25">
      <c r="A53">
        <f>Beam_Analysis!S29/26</f>
        <v>0</v>
      </c>
      <c r="B53" t="s">
        <v>45</v>
      </c>
      <c r="C53" t="s">
        <v>46</v>
      </c>
      <c r="H53" s="1" t="s">
        <v>129</v>
      </c>
      <c r="N53" s="19"/>
      <c r="O53" s="20"/>
      <c r="P53" s="20"/>
      <c r="Q53" s="20"/>
      <c r="R53" s="20"/>
      <c r="S53" s="20"/>
      <c r="T53" s="20"/>
      <c r="U53" s="20">
        <f ca="1">T15</f>
        <v>4.9655172413793115E-2</v>
      </c>
      <c r="V53" s="20" t="e">
        <v>#NUM!</v>
      </c>
      <c r="W53" s="20"/>
      <c r="X53" s="20"/>
      <c r="Y53" s="20"/>
      <c r="Z53" s="20"/>
      <c r="AA53" s="20"/>
      <c r="AB53" s="20"/>
      <c r="AC53" s="20"/>
      <c r="AD53" s="20" t="e">
        <v>#NUM!</v>
      </c>
      <c r="AE53" s="20"/>
      <c r="AF53" s="20"/>
      <c r="AG53" s="20"/>
      <c r="AH53" s="20"/>
      <c r="AI53" s="20"/>
      <c r="AJ53" s="20">
        <f ca="1">U54</f>
        <v>-4.3448275862068945E-2</v>
      </c>
      <c r="AK53" s="20" t="e">
        <v>#NUM!</v>
      </c>
      <c r="AL53" s="20"/>
      <c r="AM53" s="20"/>
      <c r="AN53" s="20"/>
      <c r="AO53" s="20"/>
      <c r="AP53" s="20"/>
      <c r="AQ53" s="20"/>
      <c r="AR53" s="20"/>
      <c r="AS53" s="20"/>
      <c r="AT53" s="20"/>
      <c r="AU53" s="20"/>
      <c r="AV53" s="20"/>
      <c r="AW53" s="20"/>
      <c r="AX53" s="20"/>
      <c r="AY53" s="20"/>
      <c r="AZ53" s="20"/>
      <c r="BA53" s="20"/>
      <c r="BB53" s="20"/>
      <c r="BC53" s="20"/>
      <c r="BD53" s="20"/>
      <c r="BE53" s="20"/>
      <c r="BF53" s="20"/>
      <c r="BG53" s="20"/>
      <c r="BH53" s="20"/>
      <c r="BI53" s="20"/>
      <c r="BJ53" s="20"/>
      <c r="BK53" s="20"/>
      <c r="BL53" s="20"/>
      <c r="BM53" s="20"/>
      <c r="BN53" s="20"/>
      <c r="BO53" s="20"/>
      <c r="BP53" s="20"/>
      <c r="BQ53" s="21"/>
    </row>
    <row r="54" spans="1:69" x14ac:dyDescent="0.25">
      <c r="A54">
        <v>1</v>
      </c>
      <c r="B54">
        <f>(A54-1)*$A$53</f>
        <v>0</v>
      </c>
      <c r="C54">
        <f ca="1">OFFSET(D54,0,$O$2)</f>
        <v>0</v>
      </c>
      <c r="D54" cm="1">
        <f t="array" aca="1" ref="D54:G54" ca="1">right_cantilever_analysis(Beam_Analysis!$S$29,B54,Beam_Analysis!$D$3,Beam_Analysis!$D$2,Beam_Analysis!$S$33:$X$53,Beam_Analysis!$G$5:$P$5,0)</f>
        <v>0</v>
      </c>
      <c r="E54">
        <f ca="1"/>
        <v>0</v>
      </c>
      <c r="F54">
        <f ca="1"/>
        <v>0</v>
      </c>
      <c r="G54">
        <f ca="1"/>
        <v>0</v>
      </c>
      <c r="H54">
        <f ca="1">(E54*12)/(Beam_Analysis!$B$2*Beam_Analysis!$B$3)</f>
        <v>0</v>
      </c>
      <c r="I54">
        <f t="shared" ref="I54:I80" si="45">B54+$F$17</f>
        <v>10</v>
      </c>
      <c r="N54" s="19"/>
      <c r="O54" s="20"/>
      <c r="P54" s="20"/>
      <c r="Q54" s="20"/>
      <c r="R54" s="20"/>
      <c r="S54" s="20"/>
      <c r="T54" s="20"/>
      <c r="U54" s="20">
        <f ca="1">T16</f>
        <v>-4.3448275862068945E-2</v>
      </c>
      <c r="V54" s="20" t="e">
        <v>#NUM!</v>
      </c>
      <c r="W54" s="20"/>
      <c r="X54" s="20"/>
      <c r="Y54" s="20"/>
      <c r="Z54" s="20"/>
      <c r="AA54" s="20"/>
      <c r="AB54" s="20"/>
      <c r="AC54" s="20"/>
      <c r="AD54" s="20"/>
      <c r="AE54" s="20"/>
      <c r="AF54" s="20"/>
      <c r="AG54" s="20"/>
      <c r="AH54" s="20"/>
      <c r="AI54" s="20"/>
      <c r="AJ54" s="20"/>
      <c r="AK54" s="20"/>
      <c r="AL54" s="20"/>
      <c r="AM54" s="20"/>
      <c r="AN54" s="20"/>
      <c r="AO54" s="20"/>
      <c r="AP54" s="20"/>
      <c r="AQ54" s="20"/>
      <c r="AR54" s="20"/>
      <c r="AS54" s="20"/>
      <c r="AT54" s="20"/>
      <c r="AU54" s="20"/>
      <c r="AV54" s="20"/>
      <c r="AW54" s="20"/>
      <c r="AX54" s="20"/>
      <c r="AY54" s="20"/>
      <c r="AZ54" s="20"/>
      <c r="BA54" s="20"/>
      <c r="BB54" s="20"/>
      <c r="BC54" s="20"/>
      <c r="BD54" s="20"/>
      <c r="BE54" s="20"/>
      <c r="BF54" s="20"/>
      <c r="BG54" s="20"/>
      <c r="BH54" s="20"/>
      <c r="BI54" s="20"/>
      <c r="BJ54" s="20"/>
      <c r="BK54" s="20"/>
      <c r="BL54" s="20"/>
      <c r="BM54" s="20"/>
      <c r="BN54" s="20"/>
      <c r="BO54" s="20"/>
      <c r="BP54" s="20"/>
      <c r="BQ54" s="21"/>
    </row>
    <row r="55" spans="1:69" x14ac:dyDescent="0.25">
      <c r="A55">
        <v>2</v>
      </c>
      <c r="B55">
        <f t="shared" ref="B55:B80" si="46">(A55-1)*$A$53</f>
        <v>0</v>
      </c>
      <c r="C55">
        <f t="shared" ref="C55:C80" ca="1" si="47">OFFSET(D55,0,$O$2)</f>
        <v>0</v>
      </c>
      <c r="D55" cm="1">
        <f t="array" aca="1" ref="D55:G55" ca="1">right_cantilever_analysis(Beam_Analysis!$S$29,B55,Beam_Analysis!$D$3,Beam_Analysis!$D$2,Beam_Analysis!$S$33:$X$53,Beam_Analysis!$G$5:$P$5,0)</f>
        <v>0</v>
      </c>
      <c r="E55">
        <f ca="1"/>
        <v>0</v>
      </c>
      <c r="F55">
        <f ca="1"/>
        <v>0</v>
      </c>
      <c r="G55">
        <f ca="1"/>
        <v>0</v>
      </c>
      <c r="H55">
        <f ca="1">(E55*12)/(Beam_Analysis!$B$2*Beam_Analysis!$B$3)</f>
        <v>0</v>
      </c>
      <c r="I55">
        <f t="shared" si="45"/>
        <v>10</v>
      </c>
      <c r="N55" s="19"/>
      <c r="O55" s="20"/>
      <c r="P55" s="20"/>
      <c r="Q55" s="20"/>
      <c r="R55" s="20"/>
      <c r="S55" s="20"/>
      <c r="T55" s="20"/>
      <c r="U55" s="20"/>
      <c r="V55" s="20"/>
      <c r="W55" s="20"/>
      <c r="X55" s="20"/>
      <c r="Y55" s="20"/>
      <c r="Z55" s="20"/>
      <c r="AA55" s="20"/>
      <c r="AB55" s="20"/>
      <c r="AC55" s="20"/>
      <c r="AD55" s="20"/>
      <c r="AE55" s="20"/>
      <c r="AF55" s="20"/>
      <c r="AG55" s="20"/>
      <c r="AH55" s="20"/>
      <c r="AI55" s="20"/>
      <c r="AJ55" s="20"/>
      <c r="AK55" s="20"/>
      <c r="AL55" s="20"/>
      <c r="AM55" s="20"/>
      <c r="AN55" s="20"/>
      <c r="AO55" s="20"/>
      <c r="AP55" s="20"/>
      <c r="AQ55" s="20"/>
      <c r="AR55" s="20"/>
      <c r="AS55" s="20"/>
      <c r="AT55" s="20"/>
      <c r="AU55" s="20"/>
      <c r="AV55" s="20"/>
      <c r="AW55" s="20"/>
      <c r="AX55" s="20"/>
      <c r="AY55" s="20"/>
      <c r="AZ55" s="20"/>
      <c r="BA55" s="20"/>
      <c r="BB55" s="20"/>
      <c r="BC55" s="20"/>
      <c r="BD55" s="20"/>
      <c r="BE55" s="20"/>
      <c r="BF55" s="20"/>
      <c r="BG55" s="20"/>
      <c r="BH55" s="20"/>
      <c r="BI55" s="20"/>
      <c r="BJ55" s="20"/>
      <c r="BK55" s="20"/>
      <c r="BL55" s="20"/>
      <c r="BM55" s="20"/>
      <c r="BN55" s="20"/>
      <c r="BO55" s="20"/>
      <c r="BP55" s="20"/>
      <c r="BQ55" s="21"/>
    </row>
    <row r="56" spans="1:69" x14ac:dyDescent="0.25">
      <c r="A56">
        <v>3</v>
      </c>
      <c r="B56">
        <f t="shared" si="46"/>
        <v>0</v>
      </c>
      <c r="C56">
        <f t="shared" ca="1" si="47"/>
        <v>0</v>
      </c>
      <c r="D56" cm="1">
        <f t="array" aca="1" ref="D56:G56" ca="1">right_cantilever_analysis(Beam_Analysis!$S$29,B56,Beam_Analysis!$D$3,Beam_Analysis!$D$2,Beam_Analysis!$S$33:$X$53,Beam_Analysis!$G$5:$P$5,0)</f>
        <v>0</v>
      </c>
      <c r="E56">
        <f ca="1"/>
        <v>0</v>
      </c>
      <c r="F56">
        <f ca="1"/>
        <v>0</v>
      </c>
      <c r="G56">
        <f ca="1"/>
        <v>0</v>
      </c>
      <c r="H56">
        <f ca="1">(E56*12)/(Beam_Analysis!$B$2*Beam_Analysis!$B$3)</f>
        <v>0</v>
      </c>
      <c r="I56">
        <f t="shared" si="45"/>
        <v>10</v>
      </c>
      <c r="N56" s="19"/>
      <c r="O56" s="20"/>
      <c r="P56" s="20"/>
      <c r="Q56" s="20"/>
      <c r="R56" s="20"/>
      <c r="S56" s="20"/>
      <c r="T56" s="20"/>
      <c r="U56" s="20"/>
      <c r="V56" s="20"/>
      <c r="W56" s="20"/>
      <c r="X56" s="20"/>
      <c r="Y56" s="20"/>
      <c r="Z56" s="20"/>
      <c r="AA56" s="20"/>
      <c r="AB56" s="20"/>
      <c r="AC56" s="20"/>
      <c r="AD56" s="20"/>
      <c r="AE56" s="20"/>
      <c r="AF56" s="20"/>
      <c r="AG56" s="20"/>
      <c r="AH56" s="20"/>
      <c r="AI56" s="20"/>
      <c r="AJ56" s="20"/>
      <c r="AK56" s="20"/>
      <c r="AL56" s="20"/>
      <c r="AM56" s="20"/>
      <c r="AN56" s="20"/>
      <c r="AO56" s="20"/>
      <c r="AP56" s="20"/>
      <c r="AQ56" s="20"/>
      <c r="AR56" s="20"/>
      <c r="AS56" s="20"/>
      <c r="AT56" s="20"/>
      <c r="AU56" s="20"/>
      <c r="AV56" s="20"/>
      <c r="AW56" s="20"/>
      <c r="AX56" s="20"/>
      <c r="AY56" s="20"/>
      <c r="AZ56" s="20"/>
      <c r="BA56" s="20"/>
      <c r="BB56" s="20"/>
      <c r="BC56" s="20"/>
      <c r="BD56" s="20"/>
      <c r="BE56" s="20"/>
      <c r="BF56" s="20"/>
      <c r="BG56" s="20"/>
      <c r="BH56" s="20"/>
      <c r="BI56" s="20"/>
      <c r="BJ56" s="20"/>
      <c r="BK56" s="20"/>
      <c r="BL56" s="20"/>
      <c r="BM56" s="20"/>
      <c r="BN56" s="20"/>
      <c r="BO56" s="20"/>
      <c r="BP56" s="20"/>
      <c r="BQ56" s="21"/>
    </row>
    <row r="57" spans="1:69" x14ac:dyDescent="0.25">
      <c r="A57">
        <v>4</v>
      </c>
      <c r="B57">
        <f t="shared" si="46"/>
        <v>0</v>
      </c>
      <c r="C57">
        <f t="shared" ca="1" si="47"/>
        <v>0</v>
      </c>
      <c r="D57" cm="1">
        <f t="array" aca="1" ref="D57:G57" ca="1">right_cantilever_analysis(Beam_Analysis!$S$29,B57,Beam_Analysis!$D$3,Beam_Analysis!$D$2,Beam_Analysis!$S$33:$X$53,Beam_Analysis!$G$5:$P$5,0)</f>
        <v>0</v>
      </c>
      <c r="E57">
        <f ca="1"/>
        <v>0</v>
      </c>
      <c r="F57">
        <f ca="1"/>
        <v>0</v>
      </c>
      <c r="G57">
        <f ca="1"/>
        <v>0</v>
      </c>
      <c r="H57">
        <f ca="1">(E57*12)/(Beam_Analysis!$B$2*Beam_Analysis!$B$3)</f>
        <v>0</v>
      </c>
      <c r="I57">
        <f t="shared" si="45"/>
        <v>10</v>
      </c>
      <c r="N57" s="19"/>
      <c r="O57" s="20"/>
      <c r="P57" s="20"/>
      <c r="Q57" s="20"/>
      <c r="R57" s="20"/>
      <c r="S57" s="20"/>
      <c r="T57" s="20"/>
      <c r="U57" s="20"/>
      <c r="V57" s="20">
        <f>V10</f>
        <v>0</v>
      </c>
      <c r="W57" s="20">
        <f t="shared" ref="W57:X57" si="48">W10</f>
        <v>0</v>
      </c>
      <c r="X57" s="20">
        <f t="shared" si="48"/>
        <v>0</v>
      </c>
      <c r="Y57" s="20">
        <f>AA10</f>
        <v>0</v>
      </c>
      <c r="Z57" s="20">
        <f>AB10</f>
        <v>0</v>
      </c>
      <c r="AA57" s="20"/>
      <c r="AB57" s="20"/>
      <c r="AC57" s="20"/>
      <c r="AD57" s="20">
        <f>V57</f>
        <v>0</v>
      </c>
      <c r="AE57" s="20">
        <f t="shared" ref="AE57:AG60" si="49">W57</f>
        <v>0</v>
      </c>
      <c r="AF57" s="20">
        <f t="shared" si="49"/>
        <v>0</v>
      </c>
      <c r="AG57" s="20">
        <f t="shared" si="49"/>
        <v>0</v>
      </c>
      <c r="AH57" s="20"/>
      <c r="AI57" s="20"/>
      <c r="AJ57" s="20"/>
      <c r="AK57" s="20">
        <f>V57</f>
        <v>0</v>
      </c>
      <c r="AL57" s="20">
        <f t="shared" ref="AL57:AM59" si="50">W57</f>
        <v>0</v>
      </c>
      <c r="AM57" s="20">
        <f t="shared" si="50"/>
        <v>0</v>
      </c>
      <c r="AN57" s="20">
        <f>Z57</f>
        <v>0</v>
      </c>
      <c r="AO57" s="20"/>
      <c r="AP57" s="20"/>
      <c r="AQ57" s="20"/>
      <c r="AR57" s="20">
        <f>V57</f>
        <v>0</v>
      </c>
      <c r="AS57" s="20">
        <f t="shared" ref="AS57:AT59" si="51">W57</f>
        <v>0</v>
      </c>
      <c r="AT57" s="20">
        <f t="shared" si="51"/>
        <v>0</v>
      </c>
      <c r="AU57" s="20"/>
      <c r="AV57" s="20"/>
      <c r="AW57" s="20"/>
      <c r="AX57" s="20"/>
      <c r="AY57" s="20"/>
      <c r="AZ57" s="20"/>
      <c r="BA57" s="20"/>
      <c r="BB57" s="20"/>
      <c r="BC57" s="20"/>
      <c r="BD57" s="20"/>
      <c r="BE57" s="20"/>
      <c r="BF57" s="20"/>
      <c r="BG57" s="20"/>
      <c r="BH57" s="20"/>
      <c r="BI57" s="20"/>
      <c r="BJ57" s="20"/>
      <c r="BK57" s="20"/>
      <c r="BL57" s="20"/>
      <c r="BM57" s="20"/>
      <c r="BN57" s="20"/>
      <c r="BO57" s="20"/>
      <c r="BP57" s="20"/>
      <c r="BQ57" s="21"/>
    </row>
    <row r="58" spans="1:69" x14ac:dyDescent="0.25">
      <c r="A58">
        <v>5</v>
      </c>
      <c r="B58">
        <f t="shared" si="46"/>
        <v>0</v>
      </c>
      <c r="C58">
        <f t="shared" ca="1" si="47"/>
        <v>0</v>
      </c>
      <c r="D58" cm="1">
        <f t="array" aca="1" ref="D58:G58" ca="1">right_cantilever_analysis(Beam_Analysis!$S$29,B58,Beam_Analysis!$D$3,Beam_Analysis!$D$2,Beam_Analysis!$S$33:$X$53,Beam_Analysis!$G$5:$P$5,0)</f>
        <v>0</v>
      </c>
      <c r="E58">
        <f ca="1"/>
        <v>0</v>
      </c>
      <c r="F58">
        <f ca="1"/>
        <v>0</v>
      </c>
      <c r="G58">
        <f ca="1"/>
        <v>0</v>
      </c>
      <c r="H58">
        <f ca="1">(E58*12)/(Beam_Analysis!$B$2*Beam_Analysis!$B$3)</f>
        <v>0</v>
      </c>
      <c r="I58">
        <f t="shared" si="45"/>
        <v>10</v>
      </c>
      <c r="N58" s="19"/>
      <c r="O58" s="20"/>
      <c r="P58" s="20"/>
      <c r="Q58" s="20"/>
      <c r="R58" s="20"/>
      <c r="S58" s="20"/>
      <c r="T58" s="20"/>
      <c r="U58" s="20"/>
      <c r="V58" s="20">
        <f t="shared" ref="V58:X59" si="52">V11</f>
        <v>0</v>
      </c>
      <c r="W58" s="20">
        <f t="shared" si="52"/>
        <v>0</v>
      </c>
      <c r="X58" s="20">
        <f t="shared" si="52"/>
        <v>0</v>
      </c>
      <c r="Y58" s="20">
        <f t="shared" ref="Y58:Z58" si="53">AA11</f>
        <v>0</v>
      </c>
      <c r="Z58" s="20">
        <f t="shared" si="53"/>
        <v>0</v>
      </c>
      <c r="AA58" s="20"/>
      <c r="AB58" s="20"/>
      <c r="AC58" s="20"/>
      <c r="AD58" s="20">
        <f t="shared" ref="AD58:AD60" si="54">V58</f>
        <v>0</v>
      </c>
      <c r="AE58" s="20">
        <f t="shared" si="49"/>
        <v>0</v>
      </c>
      <c r="AF58" s="20">
        <f t="shared" si="49"/>
        <v>0</v>
      </c>
      <c r="AG58" s="20">
        <f t="shared" si="49"/>
        <v>0</v>
      </c>
      <c r="AH58" s="20"/>
      <c r="AI58" s="20"/>
      <c r="AJ58" s="20"/>
      <c r="AK58" s="20">
        <f t="shared" ref="AK58:AK59" si="55">V58</f>
        <v>0</v>
      </c>
      <c r="AL58" s="20">
        <f t="shared" si="50"/>
        <v>0</v>
      </c>
      <c r="AM58" s="20">
        <f t="shared" si="50"/>
        <v>0</v>
      </c>
      <c r="AN58" s="20">
        <f t="shared" ref="AN58:AN59" si="56">Z58</f>
        <v>0</v>
      </c>
      <c r="AO58" s="20"/>
      <c r="AP58" s="20"/>
      <c r="AQ58" s="20"/>
      <c r="AR58" s="20">
        <f t="shared" ref="AR58:AR59" si="57">V58</f>
        <v>0</v>
      </c>
      <c r="AS58" s="20">
        <f t="shared" si="51"/>
        <v>0</v>
      </c>
      <c r="AT58" s="20">
        <f t="shared" si="51"/>
        <v>0</v>
      </c>
      <c r="AU58" s="20"/>
      <c r="AV58" s="20"/>
      <c r="AW58" s="20"/>
      <c r="AX58" s="20"/>
      <c r="AY58" s="20"/>
      <c r="AZ58" s="20"/>
      <c r="BA58" s="20"/>
      <c r="BB58" s="20"/>
      <c r="BC58" s="20"/>
      <c r="BD58" s="20"/>
      <c r="BE58" s="20"/>
      <c r="BF58" s="20"/>
      <c r="BG58" s="20"/>
      <c r="BH58" s="20"/>
      <c r="BI58" s="20"/>
      <c r="BJ58" s="20"/>
      <c r="BK58" s="20"/>
      <c r="BL58" s="20"/>
      <c r="BM58" s="20"/>
      <c r="BN58" s="20"/>
      <c r="BO58" s="20"/>
      <c r="BP58" s="20"/>
      <c r="BQ58" s="21"/>
    </row>
    <row r="59" spans="1:69" x14ac:dyDescent="0.25">
      <c r="A59">
        <v>6</v>
      </c>
      <c r="B59">
        <f t="shared" si="46"/>
        <v>0</v>
      </c>
      <c r="C59">
        <f t="shared" ca="1" si="47"/>
        <v>0</v>
      </c>
      <c r="D59" cm="1">
        <f t="array" aca="1" ref="D59:G59" ca="1">right_cantilever_analysis(Beam_Analysis!$S$29,B59,Beam_Analysis!$D$3,Beam_Analysis!$D$2,Beam_Analysis!$S$33:$X$53,Beam_Analysis!$G$5:$P$5,0)</f>
        <v>0</v>
      </c>
      <c r="E59">
        <f ca="1"/>
        <v>0</v>
      </c>
      <c r="F59">
        <f ca="1"/>
        <v>0</v>
      </c>
      <c r="G59">
        <f ca="1"/>
        <v>0</v>
      </c>
      <c r="H59">
        <f ca="1">(E59*12)/(Beam_Analysis!$B$2*Beam_Analysis!$B$3)</f>
        <v>0</v>
      </c>
      <c r="I59">
        <f t="shared" si="45"/>
        <v>10</v>
      </c>
      <c r="N59" s="19"/>
      <c r="O59" s="20"/>
      <c r="P59" s="20"/>
      <c r="Q59" s="20"/>
      <c r="R59" s="20"/>
      <c r="S59" s="20"/>
      <c r="T59" s="20"/>
      <c r="U59" s="20"/>
      <c r="V59" s="20">
        <f t="shared" si="52"/>
        <v>0</v>
      </c>
      <c r="W59" s="20">
        <f t="shared" si="52"/>
        <v>0</v>
      </c>
      <c r="X59" s="20">
        <f t="shared" si="52"/>
        <v>0</v>
      </c>
      <c r="Y59" s="20">
        <f t="shared" ref="Y59:Z59" si="58">AA12</f>
        <v>0</v>
      </c>
      <c r="Z59" s="20">
        <f t="shared" si="58"/>
        <v>0</v>
      </c>
      <c r="AA59" s="20"/>
      <c r="AB59" s="20"/>
      <c r="AC59" s="20"/>
      <c r="AD59" s="20">
        <f t="shared" si="54"/>
        <v>0</v>
      </c>
      <c r="AE59" s="20">
        <f t="shared" si="49"/>
        <v>0</v>
      </c>
      <c r="AF59" s="20">
        <f t="shared" si="49"/>
        <v>0</v>
      </c>
      <c r="AG59" s="20">
        <f t="shared" si="49"/>
        <v>0</v>
      </c>
      <c r="AH59" s="20"/>
      <c r="AI59" s="20"/>
      <c r="AJ59" s="20"/>
      <c r="AK59" s="20">
        <f t="shared" si="55"/>
        <v>0</v>
      </c>
      <c r="AL59" s="20">
        <f t="shared" si="50"/>
        <v>0</v>
      </c>
      <c r="AM59" s="20">
        <f t="shared" si="50"/>
        <v>0</v>
      </c>
      <c r="AN59" s="20">
        <f t="shared" si="56"/>
        <v>0</v>
      </c>
      <c r="AO59" s="20"/>
      <c r="AP59" s="20"/>
      <c r="AQ59" s="20"/>
      <c r="AR59" s="20">
        <f t="shared" si="57"/>
        <v>0</v>
      </c>
      <c r="AS59" s="20">
        <f t="shared" si="51"/>
        <v>0</v>
      </c>
      <c r="AT59" s="20">
        <f t="shared" si="51"/>
        <v>0</v>
      </c>
      <c r="AU59" s="20"/>
      <c r="AV59" s="20"/>
      <c r="AW59" s="20"/>
      <c r="AX59" s="20"/>
      <c r="AY59" s="20"/>
      <c r="AZ59" s="20"/>
      <c r="BA59" s="20"/>
      <c r="BB59" s="20"/>
      <c r="BC59" s="20"/>
      <c r="BD59" s="20"/>
      <c r="BE59" s="20"/>
      <c r="BF59" s="20"/>
      <c r="BG59" s="20"/>
      <c r="BH59" s="20"/>
      <c r="BI59" s="20"/>
      <c r="BJ59" s="20"/>
      <c r="BK59" s="20"/>
      <c r="BL59" s="20"/>
      <c r="BM59" s="20"/>
      <c r="BN59" s="20"/>
      <c r="BO59" s="20"/>
      <c r="BP59" s="20"/>
      <c r="BQ59" s="21"/>
    </row>
    <row r="60" spans="1:69" x14ac:dyDescent="0.25">
      <c r="A60">
        <v>7</v>
      </c>
      <c r="B60">
        <f t="shared" si="46"/>
        <v>0</v>
      </c>
      <c r="C60">
        <f t="shared" ca="1" si="47"/>
        <v>0</v>
      </c>
      <c r="D60" cm="1">
        <f t="array" aca="1" ref="D60:G60" ca="1">right_cantilever_analysis(Beam_Analysis!$S$29,B60,Beam_Analysis!$D$3,Beam_Analysis!$D$2,Beam_Analysis!$S$33:$X$53,Beam_Analysis!$G$5:$P$5,0)</f>
        <v>0</v>
      </c>
      <c r="E60">
        <f ca="1"/>
        <v>0</v>
      </c>
      <c r="F60">
        <f ca="1"/>
        <v>0</v>
      </c>
      <c r="G60">
        <f ca="1"/>
        <v>0</v>
      </c>
      <c r="H60">
        <f ca="1">(E60*12)/(Beam_Analysis!$B$2*Beam_Analysis!$B$3)</f>
        <v>0</v>
      </c>
      <c r="I60">
        <f t="shared" si="45"/>
        <v>10</v>
      </c>
      <c r="N60" s="19"/>
      <c r="O60" s="20"/>
      <c r="P60" s="20"/>
      <c r="Q60" s="20"/>
      <c r="R60" s="20"/>
      <c r="S60" s="20"/>
      <c r="T60" s="20"/>
      <c r="U60" s="20"/>
      <c r="V60" s="20">
        <f>V15</f>
        <v>0</v>
      </c>
      <c r="W60" s="20">
        <f t="shared" ref="W60:X60" si="59">W15</f>
        <v>0</v>
      </c>
      <c r="X60" s="20">
        <f t="shared" si="59"/>
        <v>0</v>
      </c>
      <c r="Y60" s="20">
        <f>AA15</f>
        <v>0</v>
      </c>
      <c r="Z60" s="20">
        <f>AB15</f>
        <v>0</v>
      </c>
      <c r="AA60" s="20"/>
      <c r="AB60" s="20"/>
      <c r="AC60" s="20"/>
      <c r="AD60" s="20">
        <f t="shared" si="54"/>
        <v>0</v>
      </c>
      <c r="AE60" s="20">
        <f t="shared" si="49"/>
        <v>0</v>
      </c>
      <c r="AF60" s="20">
        <f t="shared" si="49"/>
        <v>0</v>
      </c>
      <c r="AG60" s="20">
        <f t="shared" si="49"/>
        <v>0</v>
      </c>
      <c r="AH60" s="20"/>
      <c r="AI60" s="20"/>
      <c r="AJ60" s="20"/>
      <c r="AK60" s="20">
        <f>V61</f>
        <v>0</v>
      </c>
      <c r="AL60" s="20">
        <f t="shared" ref="AL60:AM60" si="60">W61</f>
        <v>0</v>
      </c>
      <c r="AM60" s="20">
        <f t="shared" si="60"/>
        <v>0</v>
      </c>
      <c r="AN60" s="20">
        <f>Z61</f>
        <v>0</v>
      </c>
      <c r="AO60" s="20"/>
      <c r="AP60" s="20"/>
      <c r="AQ60" s="20"/>
      <c r="AR60" s="20"/>
      <c r="AS60" s="20"/>
      <c r="AT60" s="20"/>
      <c r="AU60" s="20"/>
      <c r="AV60" s="20"/>
      <c r="AW60" s="20"/>
      <c r="AX60" s="20"/>
      <c r="AY60" s="20"/>
      <c r="AZ60" s="20"/>
      <c r="BA60" s="20"/>
      <c r="BB60" s="20"/>
      <c r="BC60" s="20"/>
      <c r="BD60" s="20"/>
      <c r="BE60" s="20"/>
      <c r="BF60" s="20"/>
      <c r="BG60" s="20"/>
      <c r="BH60" s="20"/>
      <c r="BI60" s="20"/>
      <c r="BJ60" s="20"/>
      <c r="BK60" s="20"/>
      <c r="BL60" s="20"/>
      <c r="BM60" s="20"/>
      <c r="BN60" s="20"/>
      <c r="BO60" s="20"/>
      <c r="BP60" s="20"/>
      <c r="BQ60" s="21"/>
    </row>
    <row r="61" spans="1:69" x14ac:dyDescent="0.25">
      <c r="A61">
        <v>8</v>
      </c>
      <c r="B61">
        <f t="shared" si="46"/>
        <v>0</v>
      </c>
      <c r="C61">
        <f t="shared" ca="1" si="47"/>
        <v>0</v>
      </c>
      <c r="D61" cm="1">
        <f t="array" aca="1" ref="D61:G61" ca="1">right_cantilever_analysis(Beam_Analysis!$S$29,B61,Beam_Analysis!$D$3,Beam_Analysis!$D$2,Beam_Analysis!$S$33:$X$53,Beam_Analysis!$G$5:$P$5,0)</f>
        <v>0</v>
      </c>
      <c r="E61">
        <f ca="1"/>
        <v>0</v>
      </c>
      <c r="F61">
        <f ca="1"/>
        <v>0</v>
      </c>
      <c r="G61">
        <f ca="1"/>
        <v>0</v>
      </c>
      <c r="H61">
        <f ca="1">(E61*12)/(Beam_Analysis!$B$2*Beam_Analysis!$B$3)</f>
        <v>0</v>
      </c>
      <c r="I61">
        <f t="shared" si="45"/>
        <v>10</v>
      </c>
      <c r="N61" s="19"/>
      <c r="O61" s="20"/>
      <c r="P61" s="20"/>
      <c r="Q61" s="20"/>
      <c r="R61" s="20"/>
      <c r="S61" s="20"/>
      <c r="T61" s="20"/>
      <c r="U61" s="20"/>
      <c r="V61" s="20">
        <f>V16</f>
        <v>0</v>
      </c>
      <c r="W61" s="20">
        <f t="shared" ref="W61:X61" si="61">W16</f>
        <v>0</v>
      </c>
      <c r="X61" s="20">
        <f t="shared" si="61"/>
        <v>0</v>
      </c>
      <c r="Y61" s="20">
        <f>AA16</f>
        <v>0</v>
      </c>
      <c r="Z61" s="20">
        <f>AB16</f>
        <v>0</v>
      </c>
      <c r="AA61" s="20"/>
      <c r="AB61" s="20"/>
      <c r="AC61" s="20"/>
      <c r="AD61" s="20"/>
      <c r="AE61" s="20"/>
      <c r="AF61" s="20"/>
      <c r="AG61" s="20"/>
      <c r="AH61" s="20"/>
      <c r="AI61" s="20"/>
      <c r="AJ61" s="20"/>
      <c r="AK61" s="20"/>
      <c r="AL61" s="20"/>
      <c r="AM61" s="20"/>
      <c r="AN61" s="20"/>
      <c r="AO61" s="20"/>
      <c r="AP61" s="20"/>
      <c r="AQ61" s="20"/>
      <c r="AR61" s="20"/>
      <c r="AS61" s="20"/>
      <c r="AT61" s="20"/>
      <c r="AU61" s="20"/>
      <c r="AV61" s="20"/>
      <c r="AW61" s="20"/>
      <c r="AX61" s="20"/>
      <c r="AY61" s="20"/>
      <c r="AZ61" s="20"/>
      <c r="BA61" s="20"/>
      <c r="BB61" s="20"/>
      <c r="BC61" s="20"/>
      <c r="BD61" s="20"/>
      <c r="BE61" s="20"/>
      <c r="BF61" s="20"/>
      <c r="BG61" s="20"/>
      <c r="BH61" s="20"/>
      <c r="BI61" s="20"/>
      <c r="BJ61" s="20"/>
      <c r="BK61" s="20"/>
      <c r="BL61" s="20"/>
      <c r="BM61" s="20"/>
      <c r="BN61" s="20"/>
      <c r="BO61" s="20"/>
      <c r="BP61" s="20"/>
      <c r="BQ61" s="21"/>
    </row>
    <row r="62" spans="1:69" x14ac:dyDescent="0.25">
      <c r="A62">
        <v>9</v>
      </c>
      <c r="B62">
        <f t="shared" si="46"/>
        <v>0</v>
      </c>
      <c r="C62">
        <f t="shared" ca="1" si="47"/>
        <v>0</v>
      </c>
      <c r="D62" cm="1">
        <f t="array" aca="1" ref="D62:G62" ca="1">right_cantilever_analysis(Beam_Analysis!$S$29,B62,Beam_Analysis!$D$3,Beam_Analysis!$D$2,Beam_Analysis!$S$33:$X$53,Beam_Analysis!$G$5:$P$5,0)</f>
        <v>0</v>
      </c>
      <c r="E62">
        <f ca="1"/>
        <v>0</v>
      </c>
      <c r="F62">
        <f ca="1"/>
        <v>0</v>
      </c>
      <c r="G62">
        <f ca="1"/>
        <v>0</v>
      </c>
      <c r="H62">
        <f ca="1">(E62*12)/(Beam_Analysis!$B$2*Beam_Analysis!$B$3)</f>
        <v>0</v>
      </c>
      <c r="I62">
        <f t="shared" si="45"/>
        <v>10</v>
      </c>
      <c r="N62" s="19"/>
      <c r="O62" s="20"/>
      <c r="P62" s="20"/>
      <c r="Q62" s="20"/>
      <c r="R62" s="20"/>
      <c r="S62" s="20"/>
      <c r="T62" s="20"/>
      <c r="U62" s="20"/>
      <c r="V62" s="20"/>
      <c r="W62" s="20"/>
      <c r="X62" s="20"/>
      <c r="Y62" s="20"/>
      <c r="Z62" s="20"/>
      <c r="AA62" s="20"/>
      <c r="AB62" s="20"/>
      <c r="AC62" s="20"/>
      <c r="AD62" s="20"/>
      <c r="AE62" s="20"/>
      <c r="AF62" s="20"/>
      <c r="AG62" s="20"/>
      <c r="AH62" s="20"/>
      <c r="AI62" s="20"/>
      <c r="AJ62" s="20"/>
      <c r="AK62" s="20"/>
      <c r="AL62" s="20"/>
      <c r="AM62" s="20"/>
      <c r="AN62" s="20"/>
      <c r="AO62" s="20"/>
      <c r="AP62" s="20"/>
      <c r="AQ62" s="20"/>
      <c r="AR62" s="20"/>
      <c r="AS62" s="20"/>
      <c r="AT62" s="20"/>
      <c r="AU62" s="20"/>
      <c r="AV62" s="20"/>
      <c r="AW62" s="20"/>
      <c r="AX62" s="20"/>
      <c r="AY62" s="20"/>
      <c r="AZ62" s="20"/>
      <c r="BA62" s="20"/>
      <c r="BB62" s="20"/>
      <c r="BC62" s="20"/>
      <c r="BD62" s="20"/>
      <c r="BE62" s="20"/>
      <c r="BF62" s="20"/>
      <c r="BG62" s="20"/>
      <c r="BH62" s="20"/>
      <c r="BI62" s="20"/>
      <c r="BJ62" s="20"/>
      <c r="BK62" s="20"/>
      <c r="BL62" s="20"/>
      <c r="BM62" s="20"/>
      <c r="BN62" s="20"/>
      <c r="BO62" s="20"/>
      <c r="BP62" s="20"/>
      <c r="BQ62" s="21"/>
    </row>
    <row r="63" spans="1:69" x14ac:dyDescent="0.25">
      <c r="A63">
        <v>10</v>
      </c>
      <c r="B63">
        <f t="shared" si="46"/>
        <v>0</v>
      </c>
      <c r="C63">
        <f t="shared" ca="1" si="47"/>
        <v>0</v>
      </c>
      <c r="D63" cm="1">
        <f t="array" aca="1" ref="D63:G63" ca="1">right_cantilever_analysis(Beam_Analysis!$S$29,B63,Beam_Analysis!$D$3,Beam_Analysis!$D$2,Beam_Analysis!$S$33:$X$53,Beam_Analysis!$G$5:$P$5,0)</f>
        <v>0</v>
      </c>
      <c r="E63">
        <f ca="1"/>
        <v>0</v>
      </c>
      <c r="F63">
        <f ca="1"/>
        <v>0</v>
      </c>
      <c r="G63">
        <f ca="1"/>
        <v>0</v>
      </c>
      <c r="H63">
        <f ca="1">(E63*12)/(Beam_Analysis!$B$2*Beam_Analysis!$B$3)</f>
        <v>0</v>
      </c>
      <c r="I63">
        <f t="shared" si="45"/>
        <v>10</v>
      </c>
      <c r="N63" s="19"/>
      <c r="O63" s="20"/>
      <c r="P63" s="20"/>
      <c r="Q63" s="20"/>
      <c r="R63" s="20"/>
      <c r="S63" s="20"/>
      <c r="T63" s="20"/>
      <c r="U63" s="20"/>
      <c r="V63" s="20" t="e">
        <f t="array" ref="V63:Z67">MINVERSE(V57:Z61)</f>
        <v>#NUM!</v>
      </c>
      <c r="W63" s="20" t="e">
        <v>#NUM!</v>
      </c>
      <c r="X63" s="20" t="e">
        <v>#NUM!</v>
      </c>
      <c r="Y63" s="20" t="e">
        <v>#NUM!</v>
      </c>
      <c r="Z63" s="20" t="e">
        <v>#NUM!</v>
      </c>
      <c r="AA63" s="20"/>
      <c r="AB63" s="20"/>
      <c r="AC63" s="20"/>
      <c r="AD63" s="20" t="e">
        <f t="array" ref="AD63:AG66">MINVERSE(AD57:AG60)</f>
        <v>#NUM!</v>
      </c>
      <c r="AE63" s="20" t="e">
        <v>#NUM!</v>
      </c>
      <c r="AF63" s="20" t="e">
        <v>#NUM!</v>
      </c>
      <c r="AG63" s="20" t="e">
        <v>#NUM!</v>
      </c>
      <c r="AH63" s="20"/>
      <c r="AI63" s="20"/>
      <c r="AJ63" s="20"/>
      <c r="AK63" s="20" t="e">
        <f t="array" ref="AK63:AN66">MINVERSE(AK57:AN60)</f>
        <v>#NUM!</v>
      </c>
      <c r="AL63" s="20" t="e">
        <v>#NUM!</v>
      </c>
      <c r="AM63" s="20" t="e">
        <v>#NUM!</v>
      </c>
      <c r="AN63" s="20" t="e">
        <v>#NUM!</v>
      </c>
      <c r="AO63" s="20"/>
      <c r="AP63" s="20"/>
      <c r="AQ63" s="20"/>
      <c r="AR63" s="20" t="e">
        <f t="array" ref="AR63:AT65">MINVERSE(AR57:AT59)</f>
        <v>#NUM!</v>
      </c>
      <c r="AS63" s="20" t="e">
        <v>#NUM!</v>
      </c>
      <c r="AT63" s="20" t="e">
        <v>#NUM!</v>
      </c>
      <c r="AU63" s="20"/>
      <c r="AV63" s="20"/>
      <c r="AW63" s="20"/>
      <c r="AX63" s="20"/>
      <c r="AY63" s="20"/>
      <c r="AZ63" s="20"/>
      <c r="BA63" s="20"/>
      <c r="BB63" s="20"/>
      <c r="BC63" s="20"/>
      <c r="BD63" s="20"/>
      <c r="BE63" s="20"/>
      <c r="BF63" s="20"/>
      <c r="BG63" s="20"/>
      <c r="BH63" s="20"/>
      <c r="BI63" s="20"/>
      <c r="BJ63" s="20"/>
      <c r="BK63" s="20"/>
      <c r="BL63" s="20"/>
      <c r="BM63" s="20"/>
      <c r="BN63" s="20"/>
      <c r="BO63" s="20"/>
      <c r="BP63" s="20"/>
      <c r="BQ63" s="21"/>
    </row>
    <row r="64" spans="1:69" x14ac:dyDescent="0.25">
      <c r="A64">
        <v>11</v>
      </c>
      <c r="B64">
        <f t="shared" si="46"/>
        <v>0</v>
      </c>
      <c r="C64">
        <f t="shared" ca="1" si="47"/>
        <v>0</v>
      </c>
      <c r="D64" cm="1">
        <f t="array" aca="1" ref="D64:G64" ca="1">right_cantilever_analysis(Beam_Analysis!$S$29,B64,Beam_Analysis!$D$3,Beam_Analysis!$D$2,Beam_Analysis!$S$33:$X$53,Beam_Analysis!$G$5:$P$5,0)</f>
        <v>0</v>
      </c>
      <c r="E64">
        <f ca="1"/>
        <v>0</v>
      </c>
      <c r="F64">
        <f ca="1"/>
        <v>0</v>
      </c>
      <c r="G64">
        <f ca="1"/>
        <v>0</v>
      </c>
      <c r="H64">
        <f ca="1">(E64*12)/(Beam_Analysis!$B$2*Beam_Analysis!$B$3)</f>
        <v>0</v>
      </c>
      <c r="I64">
        <f t="shared" si="45"/>
        <v>10</v>
      </c>
      <c r="N64" s="19"/>
      <c r="O64" s="20"/>
      <c r="P64" s="20"/>
      <c r="Q64" s="20"/>
      <c r="R64" s="20"/>
      <c r="S64" s="20"/>
      <c r="T64" s="20"/>
      <c r="U64" s="20"/>
      <c r="V64" s="20" t="e">
        <v>#NUM!</v>
      </c>
      <c r="W64" s="20" t="e">
        <v>#NUM!</v>
      </c>
      <c r="X64" s="20" t="e">
        <v>#NUM!</v>
      </c>
      <c r="Y64" s="20" t="e">
        <v>#NUM!</v>
      </c>
      <c r="Z64" s="20" t="e">
        <v>#NUM!</v>
      </c>
      <c r="AA64" s="20"/>
      <c r="AB64" s="20"/>
      <c r="AC64" s="20"/>
      <c r="AD64" s="20" t="e">
        <v>#NUM!</v>
      </c>
      <c r="AE64" s="20" t="e">
        <v>#NUM!</v>
      </c>
      <c r="AF64" s="20" t="e">
        <v>#NUM!</v>
      </c>
      <c r="AG64" s="20" t="e">
        <v>#NUM!</v>
      </c>
      <c r="AH64" s="20"/>
      <c r="AI64" s="20"/>
      <c r="AJ64" s="20"/>
      <c r="AK64" s="20" t="e">
        <v>#NUM!</v>
      </c>
      <c r="AL64" s="20" t="e">
        <v>#NUM!</v>
      </c>
      <c r="AM64" s="20" t="e">
        <v>#NUM!</v>
      </c>
      <c r="AN64" s="20" t="e">
        <v>#NUM!</v>
      </c>
      <c r="AO64" s="20"/>
      <c r="AP64" s="20"/>
      <c r="AQ64" s="20"/>
      <c r="AR64" s="20" t="e">
        <v>#NUM!</v>
      </c>
      <c r="AS64" s="20" t="e">
        <v>#NUM!</v>
      </c>
      <c r="AT64" s="20" t="e">
        <v>#NUM!</v>
      </c>
      <c r="AU64" s="20"/>
      <c r="AV64" s="20"/>
      <c r="AW64" s="20"/>
      <c r="AX64" s="20"/>
      <c r="AY64" s="20"/>
      <c r="AZ64" s="20"/>
      <c r="BA64" s="20"/>
      <c r="BB64" s="20"/>
      <c r="BC64" s="20"/>
      <c r="BD64" s="20"/>
      <c r="BE64" s="20"/>
      <c r="BF64" s="20"/>
      <c r="BG64" s="20"/>
      <c r="BH64" s="20"/>
      <c r="BI64" s="20"/>
      <c r="BJ64" s="20"/>
      <c r="BK64" s="20"/>
      <c r="BL64" s="20"/>
      <c r="BM64" s="20"/>
      <c r="BN64" s="20"/>
      <c r="BO64" s="20"/>
      <c r="BP64" s="20"/>
      <c r="BQ64" s="21"/>
    </row>
    <row r="65" spans="1:69" x14ac:dyDescent="0.25">
      <c r="A65">
        <v>12</v>
      </c>
      <c r="B65">
        <f t="shared" si="46"/>
        <v>0</v>
      </c>
      <c r="C65">
        <f t="shared" ca="1" si="47"/>
        <v>0</v>
      </c>
      <c r="D65" cm="1">
        <f t="array" aca="1" ref="D65:G65" ca="1">right_cantilever_analysis(Beam_Analysis!$S$29,B65,Beam_Analysis!$D$3,Beam_Analysis!$D$2,Beam_Analysis!$S$33:$X$53,Beam_Analysis!$G$5:$P$5,0)</f>
        <v>0</v>
      </c>
      <c r="E65">
        <f ca="1"/>
        <v>0</v>
      </c>
      <c r="F65">
        <f ca="1"/>
        <v>0</v>
      </c>
      <c r="G65">
        <f ca="1"/>
        <v>0</v>
      </c>
      <c r="H65">
        <f ca="1">(E65*12)/(Beam_Analysis!$B$2*Beam_Analysis!$B$3)</f>
        <v>0</v>
      </c>
      <c r="I65">
        <f t="shared" si="45"/>
        <v>10</v>
      </c>
      <c r="N65" s="19"/>
      <c r="O65" s="20"/>
      <c r="P65" s="20"/>
      <c r="Q65" s="20"/>
      <c r="R65" s="20"/>
      <c r="S65" s="20"/>
      <c r="T65" s="20"/>
      <c r="U65" s="20"/>
      <c r="V65" s="20" t="e">
        <v>#NUM!</v>
      </c>
      <c r="W65" s="20" t="e">
        <v>#NUM!</v>
      </c>
      <c r="X65" s="20" t="e">
        <v>#NUM!</v>
      </c>
      <c r="Y65" s="20" t="e">
        <v>#NUM!</v>
      </c>
      <c r="Z65" s="20" t="e">
        <v>#NUM!</v>
      </c>
      <c r="AA65" s="20"/>
      <c r="AB65" s="20"/>
      <c r="AC65" s="20"/>
      <c r="AD65" s="20" t="e">
        <v>#NUM!</v>
      </c>
      <c r="AE65" s="20" t="e">
        <v>#NUM!</v>
      </c>
      <c r="AF65" s="20" t="e">
        <v>#NUM!</v>
      </c>
      <c r="AG65" s="20" t="e">
        <v>#NUM!</v>
      </c>
      <c r="AH65" s="20"/>
      <c r="AI65" s="20"/>
      <c r="AJ65" s="20"/>
      <c r="AK65" s="20" t="e">
        <v>#NUM!</v>
      </c>
      <c r="AL65" s="20" t="e">
        <v>#NUM!</v>
      </c>
      <c r="AM65" s="20" t="e">
        <v>#NUM!</v>
      </c>
      <c r="AN65" s="20" t="e">
        <v>#NUM!</v>
      </c>
      <c r="AO65" s="20"/>
      <c r="AP65" s="20"/>
      <c r="AQ65" s="20"/>
      <c r="AR65" s="20" t="e">
        <v>#NUM!</v>
      </c>
      <c r="AS65" s="20" t="e">
        <v>#NUM!</v>
      </c>
      <c r="AT65" s="20" t="e">
        <v>#NUM!</v>
      </c>
      <c r="AU65" s="20"/>
      <c r="AV65" s="20"/>
      <c r="AW65" s="20"/>
      <c r="AX65" s="20"/>
      <c r="AY65" s="20"/>
      <c r="AZ65" s="20"/>
      <c r="BA65" s="20"/>
      <c r="BB65" s="20"/>
      <c r="BC65" s="20"/>
      <c r="BD65" s="20"/>
      <c r="BE65" s="20"/>
      <c r="BF65" s="20"/>
      <c r="BG65" s="20"/>
      <c r="BH65" s="20"/>
      <c r="BI65" s="20"/>
      <c r="BJ65" s="20"/>
      <c r="BK65" s="20"/>
      <c r="BL65" s="20"/>
      <c r="BM65" s="20"/>
      <c r="BN65" s="20"/>
      <c r="BO65" s="20"/>
      <c r="BP65" s="20"/>
      <c r="BQ65" s="21"/>
    </row>
    <row r="66" spans="1:69" x14ac:dyDescent="0.25">
      <c r="A66">
        <v>13</v>
      </c>
      <c r="B66">
        <f t="shared" si="46"/>
        <v>0</v>
      </c>
      <c r="C66">
        <f t="shared" ca="1" si="47"/>
        <v>0</v>
      </c>
      <c r="D66" cm="1">
        <f t="array" aca="1" ref="D66:G66" ca="1">right_cantilever_analysis(Beam_Analysis!$S$29,B66,Beam_Analysis!$D$3,Beam_Analysis!$D$2,Beam_Analysis!$S$33:$X$53,Beam_Analysis!$G$5:$P$5,0)</f>
        <v>0</v>
      </c>
      <c r="E66">
        <f ca="1"/>
        <v>0</v>
      </c>
      <c r="F66">
        <f ca="1"/>
        <v>0</v>
      </c>
      <c r="G66">
        <f ca="1"/>
        <v>0</v>
      </c>
      <c r="H66">
        <f ca="1">(E66*12)/(Beam_Analysis!$B$2*Beam_Analysis!$B$3)</f>
        <v>0</v>
      </c>
      <c r="I66">
        <f t="shared" si="45"/>
        <v>10</v>
      </c>
      <c r="N66" s="19"/>
      <c r="O66" s="20"/>
      <c r="P66" s="20"/>
      <c r="Q66" s="20"/>
      <c r="R66" s="20"/>
      <c r="S66" s="20"/>
      <c r="T66" s="20"/>
      <c r="U66" s="20"/>
      <c r="V66" s="20" t="e">
        <v>#NUM!</v>
      </c>
      <c r="W66" s="20" t="e">
        <v>#NUM!</v>
      </c>
      <c r="X66" s="20" t="e">
        <v>#NUM!</v>
      </c>
      <c r="Y66" s="20" t="e">
        <v>#NUM!</v>
      </c>
      <c r="Z66" s="20" t="e">
        <v>#NUM!</v>
      </c>
      <c r="AA66" s="20"/>
      <c r="AB66" s="20"/>
      <c r="AC66" s="20"/>
      <c r="AD66" s="20" t="e">
        <v>#NUM!</v>
      </c>
      <c r="AE66" s="20" t="e">
        <v>#NUM!</v>
      </c>
      <c r="AF66" s="20" t="e">
        <v>#NUM!</v>
      </c>
      <c r="AG66" s="20" t="e">
        <v>#NUM!</v>
      </c>
      <c r="AH66" s="20"/>
      <c r="AI66" s="20"/>
      <c r="AJ66" s="20"/>
      <c r="AK66" s="20" t="e">
        <v>#NUM!</v>
      </c>
      <c r="AL66" s="20" t="e">
        <v>#NUM!</v>
      </c>
      <c r="AM66" s="20" t="e">
        <v>#NUM!</v>
      </c>
      <c r="AN66" s="20" t="e">
        <v>#NUM!</v>
      </c>
      <c r="AO66" s="20"/>
      <c r="AP66" s="20"/>
      <c r="AQ66" s="20"/>
      <c r="AR66" s="20"/>
      <c r="AS66" s="20"/>
      <c r="AT66" s="20"/>
      <c r="AU66" s="20"/>
      <c r="AV66" s="20"/>
      <c r="AW66" s="20"/>
      <c r="AX66" s="20"/>
      <c r="AY66" s="20"/>
      <c r="AZ66" s="20"/>
      <c r="BA66" s="20"/>
      <c r="BB66" s="20"/>
      <c r="BC66" s="20"/>
      <c r="BD66" s="20"/>
      <c r="BE66" s="20"/>
      <c r="BF66" s="20"/>
      <c r="BG66" s="20"/>
      <c r="BH66" s="20"/>
      <c r="BI66" s="20"/>
      <c r="BJ66" s="20"/>
      <c r="BK66" s="20"/>
      <c r="BL66" s="20"/>
      <c r="BM66" s="20"/>
      <c r="BN66" s="20"/>
      <c r="BO66" s="20"/>
      <c r="BP66" s="20"/>
      <c r="BQ66" s="21"/>
    </row>
    <row r="67" spans="1:69" x14ac:dyDescent="0.25">
      <c r="A67">
        <v>14</v>
      </c>
      <c r="B67">
        <f t="shared" si="46"/>
        <v>0</v>
      </c>
      <c r="C67">
        <f t="shared" ca="1" si="47"/>
        <v>0</v>
      </c>
      <c r="D67" cm="1">
        <f t="array" aca="1" ref="D67:G67" ca="1">right_cantilever_analysis(Beam_Analysis!$S$29,B67,Beam_Analysis!$D$3,Beam_Analysis!$D$2,Beam_Analysis!$S$33:$X$53,Beam_Analysis!$G$5:$P$5,0)</f>
        <v>0</v>
      </c>
      <c r="E67">
        <f ca="1"/>
        <v>0</v>
      </c>
      <c r="F67">
        <f ca="1"/>
        <v>0</v>
      </c>
      <c r="G67">
        <f ca="1"/>
        <v>0</v>
      </c>
      <c r="H67">
        <f ca="1">(E67*12)/(Beam_Analysis!$B$2*Beam_Analysis!$B$3)</f>
        <v>0</v>
      </c>
      <c r="I67">
        <f t="shared" si="45"/>
        <v>10</v>
      </c>
      <c r="N67" s="19"/>
      <c r="O67" s="20"/>
      <c r="P67" s="20"/>
      <c r="Q67" s="20"/>
      <c r="R67" s="20"/>
      <c r="S67" s="20"/>
      <c r="T67" s="20"/>
      <c r="U67" s="20"/>
      <c r="V67" s="20" t="e">
        <v>#NUM!</v>
      </c>
      <c r="W67" s="20" t="e">
        <v>#NUM!</v>
      </c>
      <c r="X67" s="20" t="e">
        <v>#NUM!</v>
      </c>
      <c r="Y67" s="20" t="e">
        <v>#NUM!</v>
      </c>
      <c r="Z67" s="20" t="e">
        <v>#NUM!</v>
      </c>
      <c r="AA67" s="20"/>
      <c r="AB67" s="20"/>
      <c r="AC67" s="20"/>
      <c r="AD67" s="20"/>
      <c r="AE67" s="20"/>
      <c r="AF67" s="20"/>
      <c r="AG67" s="20"/>
      <c r="AH67" s="20"/>
      <c r="AI67" s="20"/>
      <c r="AJ67" s="20"/>
      <c r="AK67" s="20"/>
      <c r="AL67" s="20"/>
      <c r="AM67" s="20"/>
      <c r="AN67" s="20"/>
      <c r="AO67" s="20"/>
      <c r="AP67" s="20"/>
      <c r="AQ67" s="20"/>
      <c r="AR67" s="20"/>
      <c r="AS67" s="20"/>
      <c r="AT67" s="20"/>
      <c r="AU67" s="20"/>
      <c r="AV67" s="20"/>
      <c r="AW67" s="20"/>
      <c r="AX67" s="20"/>
      <c r="AY67" s="20"/>
      <c r="AZ67" s="20"/>
      <c r="BA67" s="20"/>
      <c r="BB67" s="20"/>
      <c r="BC67" s="20"/>
      <c r="BD67" s="20"/>
      <c r="BE67" s="20"/>
      <c r="BF67" s="20"/>
      <c r="BG67" s="20"/>
      <c r="BH67" s="20"/>
      <c r="BI67" s="20"/>
      <c r="BJ67" s="20"/>
      <c r="BK67" s="20"/>
      <c r="BL67" s="20"/>
      <c r="BM67" s="20"/>
      <c r="BN67" s="20"/>
      <c r="BO67" s="20"/>
      <c r="BP67" s="20"/>
      <c r="BQ67" s="21"/>
    </row>
    <row r="68" spans="1:69" x14ac:dyDescent="0.25">
      <c r="A68">
        <v>15</v>
      </c>
      <c r="B68">
        <f t="shared" si="46"/>
        <v>0</v>
      </c>
      <c r="C68">
        <f t="shared" ca="1" si="47"/>
        <v>0</v>
      </c>
      <c r="D68" cm="1">
        <f t="array" aca="1" ref="D68:G68" ca="1">right_cantilever_analysis(Beam_Analysis!$S$29,B68,Beam_Analysis!$D$3,Beam_Analysis!$D$2,Beam_Analysis!$S$33:$X$53,Beam_Analysis!$G$5:$P$5,0)</f>
        <v>0</v>
      </c>
      <c r="E68">
        <f ca="1"/>
        <v>0</v>
      </c>
      <c r="F68">
        <f ca="1"/>
        <v>0</v>
      </c>
      <c r="G68">
        <f ca="1"/>
        <v>0</v>
      </c>
      <c r="H68">
        <f ca="1">(E68*12)/(Beam_Analysis!$B$2*Beam_Analysis!$B$3)</f>
        <v>0</v>
      </c>
      <c r="I68">
        <f t="shared" si="45"/>
        <v>10</v>
      </c>
      <c r="N68" s="19"/>
      <c r="O68" s="20"/>
      <c r="P68" s="20"/>
      <c r="Q68" s="20"/>
      <c r="R68" s="20"/>
      <c r="S68" s="20"/>
      <c r="T68" s="20"/>
      <c r="U68" s="20"/>
      <c r="V68" s="20"/>
      <c r="W68" s="20"/>
      <c r="X68" s="20"/>
      <c r="Y68" s="20"/>
      <c r="Z68" s="20"/>
      <c r="AA68" s="20"/>
      <c r="AB68" s="20"/>
      <c r="AC68" s="20"/>
      <c r="AD68" s="20"/>
      <c r="AE68" s="20"/>
      <c r="AF68" s="20"/>
      <c r="AG68" s="20"/>
      <c r="AH68" s="20"/>
      <c r="AI68" s="20"/>
      <c r="AJ68" s="20"/>
      <c r="AK68" s="20"/>
      <c r="AL68" s="20"/>
      <c r="AM68" s="20"/>
      <c r="AN68" s="20"/>
      <c r="AO68" s="20"/>
      <c r="AP68" s="20"/>
      <c r="AQ68" s="20"/>
      <c r="AR68" s="20"/>
      <c r="AS68" s="20"/>
      <c r="AT68" s="20"/>
      <c r="AU68" s="20"/>
      <c r="AV68" s="20"/>
      <c r="AW68" s="20"/>
      <c r="AX68" s="20"/>
      <c r="AY68" s="20"/>
      <c r="AZ68" s="20"/>
      <c r="BA68" s="20"/>
      <c r="BB68" s="20"/>
      <c r="BC68" s="20"/>
      <c r="BD68" s="20"/>
      <c r="BE68" s="20"/>
      <c r="BF68" s="20"/>
      <c r="BG68" s="20"/>
      <c r="BH68" s="20"/>
      <c r="BI68" s="20"/>
      <c r="BJ68" s="20"/>
      <c r="BK68" s="20"/>
      <c r="BL68" s="20"/>
      <c r="BM68" s="20"/>
      <c r="BN68" s="20"/>
      <c r="BO68" s="20"/>
      <c r="BP68" s="20"/>
      <c r="BQ68" s="21"/>
    </row>
    <row r="69" spans="1:69" x14ac:dyDescent="0.25">
      <c r="A69">
        <v>16</v>
      </c>
      <c r="B69">
        <f t="shared" si="46"/>
        <v>0</v>
      </c>
      <c r="C69">
        <f t="shared" ca="1" si="47"/>
        <v>0</v>
      </c>
      <c r="D69" cm="1">
        <f t="array" aca="1" ref="D69:G69" ca="1">right_cantilever_analysis(Beam_Analysis!$S$29,B69,Beam_Analysis!$D$3,Beam_Analysis!$D$2,Beam_Analysis!$S$33:$X$53,Beam_Analysis!$G$5:$P$5,0)</f>
        <v>0</v>
      </c>
      <c r="E69">
        <f ca="1"/>
        <v>0</v>
      </c>
      <c r="F69">
        <f ca="1"/>
        <v>0</v>
      </c>
      <c r="G69">
        <f ca="1"/>
        <v>0</v>
      </c>
      <c r="H69">
        <f ca="1">(E69*12)/(Beam_Analysis!$B$2*Beam_Analysis!$B$3)</f>
        <v>0</v>
      </c>
      <c r="I69">
        <f t="shared" si="45"/>
        <v>10</v>
      </c>
      <c r="N69" s="19"/>
      <c r="O69" s="20"/>
      <c r="P69" s="20"/>
      <c r="Q69" s="20"/>
      <c r="R69" s="20"/>
      <c r="S69" s="20"/>
      <c r="T69" s="20"/>
      <c r="U69" s="20">
        <f ca="1">T10</f>
        <v>0</v>
      </c>
      <c r="V69" s="20" t="e">
        <f t="array" ref="V69:V73">MMULT(V63:Z67,U69:U73)</f>
        <v>#NUM!</v>
      </c>
      <c r="W69" s="20"/>
      <c r="X69" s="20"/>
      <c r="Y69" s="20"/>
      <c r="Z69" s="20"/>
      <c r="AA69" s="20"/>
      <c r="AB69" s="20"/>
      <c r="AC69" s="20"/>
      <c r="AD69" s="20" t="e">
        <f t="array" ref="AD69:AD72">MMULT(AD63:AG66,U69:U72)</f>
        <v>#NUM!</v>
      </c>
      <c r="AE69" s="20"/>
      <c r="AF69" s="20"/>
      <c r="AG69" s="20"/>
      <c r="AH69" s="20"/>
      <c r="AI69" s="20"/>
      <c r="AJ69" s="20">
        <f ca="1">U69</f>
        <v>0</v>
      </c>
      <c r="AK69" s="20" t="e">
        <f t="array" ref="AK69:AK72">MMULT(AK63:AN66,AJ69:AJ72)</f>
        <v>#NUM!</v>
      </c>
      <c r="AL69" s="20"/>
      <c r="AM69" s="20"/>
      <c r="AN69" s="20"/>
      <c r="AO69" s="20"/>
      <c r="AP69" s="20"/>
      <c r="AQ69" s="20"/>
      <c r="AR69" s="20" t="e">
        <f t="array" ref="AR69:AR71">MMULT(AR63:AT65,U69:U71)</f>
        <v>#NUM!</v>
      </c>
      <c r="AS69" s="20"/>
      <c r="AT69" s="20"/>
      <c r="AU69" s="20"/>
      <c r="AV69" s="20"/>
      <c r="AW69" s="20"/>
      <c r="AX69" s="20"/>
      <c r="AY69" s="20"/>
      <c r="AZ69" s="20"/>
      <c r="BA69" s="20"/>
      <c r="BB69" s="20"/>
      <c r="BC69" s="20"/>
      <c r="BD69" s="20"/>
      <c r="BE69" s="20"/>
      <c r="BF69" s="20"/>
      <c r="BG69" s="20"/>
      <c r="BH69" s="20"/>
      <c r="BI69" s="20"/>
      <c r="BJ69" s="20"/>
      <c r="BK69" s="20"/>
      <c r="BL69" s="20"/>
      <c r="BM69" s="20"/>
      <c r="BN69" s="20"/>
      <c r="BO69" s="20"/>
      <c r="BP69" s="20"/>
      <c r="BQ69" s="21"/>
    </row>
    <row r="70" spans="1:69" x14ac:dyDescent="0.25">
      <c r="A70">
        <v>17</v>
      </c>
      <c r="B70">
        <f t="shared" si="46"/>
        <v>0</v>
      </c>
      <c r="C70">
        <f t="shared" ca="1" si="47"/>
        <v>0</v>
      </c>
      <c r="D70" cm="1">
        <f t="array" aca="1" ref="D70:G70" ca="1">right_cantilever_analysis(Beam_Analysis!$S$29,B70,Beam_Analysis!$D$3,Beam_Analysis!$D$2,Beam_Analysis!$S$33:$X$53,Beam_Analysis!$G$5:$P$5,0)</f>
        <v>0</v>
      </c>
      <c r="E70">
        <f ca="1"/>
        <v>0</v>
      </c>
      <c r="F70">
        <f ca="1"/>
        <v>0</v>
      </c>
      <c r="G70">
        <f ca="1"/>
        <v>0</v>
      </c>
      <c r="H70">
        <f ca="1">(E70*12)/(Beam_Analysis!$B$2*Beam_Analysis!$B$3)</f>
        <v>0</v>
      </c>
      <c r="I70">
        <f t="shared" si="45"/>
        <v>10</v>
      </c>
      <c r="N70" s="19"/>
      <c r="O70" s="20"/>
      <c r="P70" s="20"/>
      <c r="Q70" s="20"/>
      <c r="R70" s="20"/>
      <c r="S70" s="20"/>
      <c r="T70" s="20"/>
      <c r="U70" s="20">
        <f ca="1">T11</f>
        <v>0</v>
      </c>
      <c r="V70" s="20" t="e">
        <v>#NUM!</v>
      </c>
      <c r="W70" s="20"/>
      <c r="X70" s="20"/>
      <c r="Y70" s="20"/>
      <c r="Z70" s="20"/>
      <c r="AA70" s="20"/>
      <c r="AB70" s="20"/>
      <c r="AC70" s="20"/>
      <c r="AD70" s="20" t="e">
        <v>#NUM!</v>
      </c>
      <c r="AE70" s="20"/>
      <c r="AF70" s="20"/>
      <c r="AG70" s="20"/>
      <c r="AH70" s="20"/>
      <c r="AI70" s="20"/>
      <c r="AJ70" s="20">
        <f t="shared" ref="AJ70:AJ71" ca="1" si="62">U70</f>
        <v>0</v>
      </c>
      <c r="AK70" s="20" t="e">
        <v>#NUM!</v>
      </c>
      <c r="AL70" s="20"/>
      <c r="AM70" s="20"/>
      <c r="AN70" s="20"/>
      <c r="AO70" s="20"/>
      <c r="AP70" s="20"/>
      <c r="AQ70" s="20"/>
      <c r="AR70" s="20" t="e">
        <v>#NUM!</v>
      </c>
      <c r="AS70" s="20"/>
      <c r="AT70" s="20"/>
      <c r="AU70" s="20"/>
      <c r="AV70" s="20"/>
      <c r="AW70" s="20"/>
      <c r="AX70" s="20"/>
      <c r="AY70" s="20"/>
      <c r="AZ70" s="20"/>
      <c r="BA70" s="20"/>
      <c r="BB70" s="20"/>
      <c r="BC70" s="20"/>
      <c r="BD70" s="20"/>
      <c r="BE70" s="20"/>
      <c r="BF70" s="20"/>
      <c r="BG70" s="20"/>
      <c r="BH70" s="20"/>
      <c r="BI70" s="20"/>
      <c r="BJ70" s="20"/>
      <c r="BK70" s="20"/>
      <c r="BL70" s="20"/>
      <c r="BM70" s="20"/>
      <c r="BN70" s="20"/>
      <c r="BO70" s="20"/>
      <c r="BP70" s="20"/>
      <c r="BQ70" s="21"/>
    </row>
    <row r="71" spans="1:69" x14ac:dyDescent="0.25">
      <c r="A71">
        <v>18</v>
      </c>
      <c r="B71">
        <f t="shared" si="46"/>
        <v>0</v>
      </c>
      <c r="C71">
        <f t="shared" ca="1" si="47"/>
        <v>0</v>
      </c>
      <c r="D71" cm="1">
        <f t="array" aca="1" ref="D71:G71" ca="1">right_cantilever_analysis(Beam_Analysis!$S$29,B71,Beam_Analysis!$D$3,Beam_Analysis!$D$2,Beam_Analysis!$S$33:$X$53,Beam_Analysis!$G$5:$P$5,0)</f>
        <v>0</v>
      </c>
      <c r="E71">
        <f ca="1"/>
        <v>0</v>
      </c>
      <c r="F71">
        <f ca="1"/>
        <v>0</v>
      </c>
      <c r="G71">
        <f ca="1"/>
        <v>0</v>
      </c>
      <c r="H71">
        <f ca="1">(E71*12)/(Beam_Analysis!$B$2*Beam_Analysis!$B$3)</f>
        <v>0</v>
      </c>
      <c r="I71">
        <f t="shared" si="45"/>
        <v>10</v>
      </c>
      <c r="N71" s="19"/>
      <c r="O71" s="20"/>
      <c r="P71" s="20"/>
      <c r="Q71" s="20"/>
      <c r="R71" s="20"/>
      <c r="S71" s="20"/>
      <c r="T71" s="20"/>
      <c r="U71" s="20">
        <f ca="1">T12</f>
        <v>0</v>
      </c>
      <c r="V71" s="20" t="e">
        <v>#NUM!</v>
      </c>
      <c r="W71" s="20"/>
      <c r="X71" s="20"/>
      <c r="Y71" s="20"/>
      <c r="Z71" s="20"/>
      <c r="AA71" s="20"/>
      <c r="AB71" s="20"/>
      <c r="AC71" s="20"/>
      <c r="AD71" s="20" t="e">
        <v>#NUM!</v>
      </c>
      <c r="AE71" s="20"/>
      <c r="AF71" s="20"/>
      <c r="AG71" s="20"/>
      <c r="AH71" s="20"/>
      <c r="AI71" s="20"/>
      <c r="AJ71" s="20">
        <f t="shared" ca="1" si="62"/>
        <v>0</v>
      </c>
      <c r="AK71" s="20" t="e">
        <v>#NUM!</v>
      </c>
      <c r="AL71" s="20"/>
      <c r="AM71" s="20"/>
      <c r="AN71" s="20"/>
      <c r="AO71" s="20"/>
      <c r="AP71" s="20"/>
      <c r="AQ71" s="20"/>
      <c r="AR71" s="20" t="e">
        <v>#NUM!</v>
      </c>
      <c r="AS71" s="20"/>
      <c r="AT71" s="20"/>
      <c r="AU71" s="20"/>
      <c r="AV71" s="20"/>
      <c r="AW71" s="20"/>
      <c r="AX71" s="20"/>
      <c r="AY71" s="20"/>
      <c r="AZ71" s="20"/>
      <c r="BA71" s="20"/>
      <c r="BB71" s="20"/>
      <c r="BC71" s="20"/>
      <c r="BD71" s="20"/>
      <c r="BE71" s="20"/>
      <c r="BF71" s="20"/>
      <c r="BG71" s="20"/>
      <c r="BH71" s="20"/>
      <c r="BI71" s="20"/>
      <c r="BJ71" s="20"/>
      <c r="BK71" s="20"/>
      <c r="BL71" s="20"/>
      <c r="BM71" s="20"/>
      <c r="BN71" s="20"/>
      <c r="BO71" s="20"/>
      <c r="BP71" s="20"/>
      <c r="BQ71" s="21"/>
    </row>
    <row r="72" spans="1:69" x14ac:dyDescent="0.25">
      <c r="A72">
        <v>19</v>
      </c>
      <c r="B72">
        <f t="shared" si="46"/>
        <v>0</v>
      </c>
      <c r="C72">
        <f t="shared" ca="1" si="47"/>
        <v>0</v>
      </c>
      <c r="D72" cm="1">
        <f t="array" aca="1" ref="D72:G72" ca="1">right_cantilever_analysis(Beam_Analysis!$S$29,B72,Beam_Analysis!$D$3,Beam_Analysis!$D$2,Beam_Analysis!$S$33:$X$53,Beam_Analysis!$G$5:$P$5,0)</f>
        <v>0</v>
      </c>
      <c r="E72">
        <f ca="1"/>
        <v>0</v>
      </c>
      <c r="F72">
        <f ca="1"/>
        <v>0</v>
      </c>
      <c r="G72">
        <f ca="1"/>
        <v>0</v>
      </c>
      <c r="H72">
        <f ca="1">(E72*12)/(Beam_Analysis!$B$2*Beam_Analysis!$B$3)</f>
        <v>0</v>
      </c>
      <c r="I72">
        <f t="shared" si="45"/>
        <v>10</v>
      </c>
      <c r="N72" s="19"/>
      <c r="O72" s="20"/>
      <c r="P72" s="20"/>
      <c r="Q72" s="20"/>
      <c r="R72" s="20"/>
      <c r="S72" s="20"/>
      <c r="T72" s="20"/>
      <c r="U72" s="20">
        <f ca="1">T15</f>
        <v>4.9655172413793115E-2</v>
      </c>
      <c r="V72" s="20" t="e">
        <v>#NUM!</v>
      </c>
      <c r="W72" s="20"/>
      <c r="X72" s="20"/>
      <c r="Y72" s="20"/>
      <c r="Z72" s="20"/>
      <c r="AA72" s="20"/>
      <c r="AB72" s="20"/>
      <c r="AC72" s="20"/>
      <c r="AD72" s="20" t="e">
        <v>#NUM!</v>
      </c>
      <c r="AE72" s="20"/>
      <c r="AF72" s="20"/>
      <c r="AG72" s="20"/>
      <c r="AH72" s="20"/>
      <c r="AI72" s="20"/>
      <c r="AJ72" s="20">
        <f ca="1">U73</f>
        <v>-4.3448275862068945E-2</v>
      </c>
      <c r="AK72" s="20" t="e">
        <v>#NUM!</v>
      </c>
      <c r="AL72" s="20"/>
      <c r="AM72" s="20"/>
      <c r="AN72" s="20"/>
      <c r="AO72" s="20"/>
      <c r="AP72" s="20"/>
      <c r="AQ72" s="20"/>
      <c r="AR72" s="20"/>
      <c r="AS72" s="20"/>
      <c r="AT72" s="20"/>
      <c r="AU72" s="20"/>
      <c r="AV72" s="20"/>
      <c r="AW72" s="20"/>
      <c r="AX72" s="20"/>
      <c r="AY72" s="20"/>
      <c r="AZ72" s="20"/>
      <c r="BA72" s="20"/>
      <c r="BB72" s="20"/>
      <c r="BC72" s="20"/>
      <c r="BD72" s="20"/>
      <c r="BE72" s="20"/>
      <c r="BF72" s="20"/>
      <c r="BG72" s="20"/>
      <c r="BH72" s="20"/>
      <c r="BI72" s="20"/>
      <c r="BJ72" s="20"/>
      <c r="BK72" s="20"/>
      <c r="BL72" s="20"/>
      <c r="BM72" s="20"/>
      <c r="BN72" s="20"/>
      <c r="BO72" s="20"/>
      <c r="BP72" s="20"/>
      <c r="BQ72" s="21"/>
    </row>
    <row r="73" spans="1:69" x14ac:dyDescent="0.25">
      <c r="A73">
        <v>20</v>
      </c>
      <c r="B73">
        <f t="shared" si="46"/>
        <v>0</v>
      </c>
      <c r="C73">
        <f t="shared" ca="1" si="47"/>
        <v>0</v>
      </c>
      <c r="D73" cm="1">
        <f t="array" aca="1" ref="D73:G73" ca="1">right_cantilever_analysis(Beam_Analysis!$S$29,B73,Beam_Analysis!$D$3,Beam_Analysis!$D$2,Beam_Analysis!$S$33:$X$53,Beam_Analysis!$G$5:$P$5,0)</f>
        <v>0</v>
      </c>
      <c r="E73">
        <f ca="1"/>
        <v>0</v>
      </c>
      <c r="F73">
        <f ca="1"/>
        <v>0</v>
      </c>
      <c r="G73">
        <f ca="1"/>
        <v>0</v>
      </c>
      <c r="H73">
        <f ca="1">(E73*12)/(Beam_Analysis!$B$2*Beam_Analysis!$B$3)</f>
        <v>0</v>
      </c>
      <c r="I73">
        <f t="shared" si="45"/>
        <v>10</v>
      </c>
      <c r="N73" s="19"/>
      <c r="O73" s="20"/>
      <c r="P73" s="20"/>
      <c r="Q73" s="20"/>
      <c r="R73" s="20"/>
      <c r="S73" s="20"/>
      <c r="T73" s="20"/>
      <c r="U73" s="20">
        <f ca="1">T16</f>
        <v>-4.3448275862068945E-2</v>
      </c>
      <c r="V73" s="20" t="e">
        <v>#NUM!</v>
      </c>
      <c r="W73" s="20"/>
      <c r="X73" s="20"/>
      <c r="Y73" s="20"/>
      <c r="Z73" s="20"/>
      <c r="AA73" s="20"/>
      <c r="AB73" s="20"/>
      <c r="AC73" s="20"/>
      <c r="AD73" s="20"/>
      <c r="AE73" s="20"/>
      <c r="AF73" s="20"/>
      <c r="AG73" s="20"/>
      <c r="AH73" s="20"/>
      <c r="AI73" s="20"/>
      <c r="AJ73" s="20"/>
      <c r="AK73" s="20"/>
      <c r="AL73" s="20"/>
      <c r="AM73" s="20"/>
      <c r="AN73" s="20"/>
      <c r="AO73" s="20"/>
      <c r="AP73" s="20"/>
      <c r="AQ73" s="20"/>
      <c r="AR73" s="20"/>
      <c r="AS73" s="20"/>
      <c r="AT73" s="20"/>
      <c r="AU73" s="20"/>
      <c r="AV73" s="20"/>
      <c r="AW73" s="20"/>
      <c r="AX73" s="20"/>
      <c r="AY73" s="20"/>
      <c r="AZ73" s="20"/>
      <c r="BA73" s="20"/>
      <c r="BB73" s="20"/>
      <c r="BC73" s="20"/>
      <c r="BD73" s="20"/>
      <c r="BE73" s="20"/>
      <c r="BF73" s="20"/>
      <c r="BG73" s="20"/>
      <c r="BH73" s="20"/>
      <c r="BI73" s="20"/>
      <c r="BJ73" s="20"/>
      <c r="BK73" s="20"/>
      <c r="BL73" s="20"/>
      <c r="BM73" s="20"/>
      <c r="BN73" s="20"/>
      <c r="BO73" s="20"/>
      <c r="BP73" s="20"/>
      <c r="BQ73" s="21"/>
    </row>
    <row r="74" spans="1:69" x14ac:dyDescent="0.25">
      <c r="A74">
        <v>21</v>
      </c>
      <c r="B74">
        <f t="shared" si="46"/>
        <v>0</v>
      </c>
      <c r="C74">
        <f t="shared" ca="1" si="47"/>
        <v>0</v>
      </c>
      <c r="D74" cm="1">
        <f t="array" aca="1" ref="D74:G74" ca="1">right_cantilever_analysis(Beam_Analysis!$S$29,B74,Beam_Analysis!$D$3,Beam_Analysis!$D$2,Beam_Analysis!$S$33:$X$53,Beam_Analysis!$G$5:$P$5,0)</f>
        <v>0</v>
      </c>
      <c r="E74">
        <f ca="1"/>
        <v>0</v>
      </c>
      <c r="F74">
        <f ca="1"/>
        <v>0</v>
      </c>
      <c r="G74">
        <f ca="1"/>
        <v>0</v>
      </c>
      <c r="H74">
        <f ca="1">(E74*12)/(Beam_Analysis!$B$2*Beam_Analysis!$B$3)</f>
        <v>0</v>
      </c>
      <c r="I74">
        <f t="shared" si="45"/>
        <v>10</v>
      </c>
      <c r="N74" s="19"/>
      <c r="O74" s="20"/>
      <c r="P74" s="20"/>
      <c r="Q74" s="20"/>
      <c r="R74" s="20"/>
      <c r="S74" s="20"/>
      <c r="T74" s="20"/>
      <c r="U74" s="20"/>
      <c r="V74" s="20"/>
      <c r="W74" s="20"/>
      <c r="X74" s="20"/>
      <c r="Y74" s="20"/>
      <c r="Z74" s="20"/>
      <c r="AA74" s="20"/>
      <c r="AB74" s="20"/>
      <c r="AC74" s="20"/>
      <c r="AD74" s="20"/>
      <c r="AE74" s="20"/>
      <c r="AF74" s="20"/>
      <c r="AG74" s="20"/>
      <c r="AH74" s="20"/>
      <c r="AI74" s="20"/>
      <c r="AJ74" s="20"/>
      <c r="AK74" s="20"/>
      <c r="AL74" s="20"/>
      <c r="AM74" s="20"/>
      <c r="AN74" s="20"/>
      <c r="AO74" s="20"/>
      <c r="AP74" s="20"/>
      <c r="AQ74" s="20"/>
      <c r="AR74" s="20"/>
      <c r="AS74" s="20"/>
      <c r="AT74" s="20"/>
      <c r="AU74" s="20"/>
      <c r="AV74" s="20"/>
      <c r="AW74" s="20"/>
      <c r="AX74" s="20"/>
      <c r="AY74" s="20"/>
      <c r="AZ74" s="20"/>
      <c r="BA74" s="20"/>
      <c r="BB74" s="20"/>
      <c r="BC74" s="20"/>
      <c r="BD74" s="20"/>
      <c r="BE74" s="20"/>
      <c r="BF74" s="20"/>
      <c r="BG74" s="20"/>
      <c r="BH74" s="20"/>
      <c r="BI74" s="20"/>
      <c r="BJ74" s="20"/>
      <c r="BK74" s="20"/>
      <c r="BL74" s="20"/>
      <c r="BM74" s="20"/>
      <c r="BN74" s="20"/>
      <c r="BO74" s="20"/>
      <c r="BP74" s="20"/>
      <c r="BQ74" s="21"/>
    </row>
    <row r="75" spans="1:69" x14ac:dyDescent="0.25">
      <c r="A75">
        <v>22</v>
      </c>
      <c r="B75">
        <f t="shared" si="46"/>
        <v>0</v>
      </c>
      <c r="C75">
        <f t="shared" ca="1" si="47"/>
        <v>0</v>
      </c>
      <c r="D75" cm="1">
        <f t="array" aca="1" ref="D75:G75" ca="1">right_cantilever_analysis(Beam_Analysis!$S$29,B75,Beam_Analysis!$D$3,Beam_Analysis!$D$2,Beam_Analysis!$S$33:$X$53,Beam_Analysis!$G$5:$P$5,0)</f>
        <v>0</v>
      </c>
      <c r="E75">
        <f ca="1"/>
        <v>0</v>
      </c>
      <c r="F75">
        <f ca="1"/>
        <v>0</v>
      </c>
      <c r="G75">
        <f ca="1"/>
        <v>0</v>
      </c>
      <c r="H75">
        <f ca="1">(E75*12)/(Beam_Analysis!$B$2*Beam_Analysis!$B$3)</f>
        <v>0</v>
      </c>
      <c r="I75">
        <f t="shared" si="45"/>
        <v>10</v>
      </c>
      <c r="N75" s="19"/>
      <c r="O75" s="20"/>
      <c r="P75" s="20"/>
      <c r="Q75" s="20"/>
      <c r="R75" s="20"/>
      <c r="S75" s="20"/>
      <c r="T75" s="20"/>
      <c r="U75" s="20"/>
      <c r="V75" s="20"/>
      <c r="W75" s="20"/>
      <c r="X75" s="20"/>
      <c r="Y75" s="20"/>
      <c r="Z75" s="20"/>
      <c r="AA75" s="20"/>
      <c r="AB75" s="20"/>
      <c r="AC75" s="20"/>
      <c r="AD75" s="20"/>
      <c r="AE75" s="20"/>
      <c r="AF75" s="20"/>
      <c r="AG75" s="20"/>
      <c r="AH75" s="20"/>
      <c r="AI75" s="20"/>
      <c r="AJ75" s="20"/>
      <c r="AK75" s="20"/>
      <c r="AL75" s="20"/>
      <c r="AM75" s="20"/>
      <c r="AN75" s="20"/>
      <c r="AO75" s="20"/>
      <c r="AP75" s="20"/>
      <c r="AQ75" s="20"/>
      <c r="AR75" s="20"/>
      <c r="AS75" s="20"/>
      <c r="AT75" s="20"/>
      <c r="AU75" s="20"/>
      <c r="AV75" s="20"/>
      <c r="AW75" s="20"/>
      <c r="AX75" s="20"/>
      <c r="AY75" s="20"/>
      <c r="AZ75" s="20"/>
      <c r="BA75" s="20"/>
      <c r="BB75" s="20"/>
      <c r="BC75" s="20"/>
      <c r="BD75" s="20"/>
      <c r="BE75" s="20"/>
      <c r="BF75" s="20"/>
      <c r="BG75" s="20"/>
      <c r="BH75" s="20"/>
      <c r="BI75" s="20"/>
      <c r="BJ75" s="20"/>
      <c r="BK75" s="20"/>
      <c r="BL75" s="20"/>
      <c r="BM75" s="20"/>
      <c r="BN75" s="20"/>
      <c r="BO75" s="20"/>
      <c r="BP75" s="20"/>
      <c r="BQ75" s="21"/>
    </row>
    <row r="76" spans="1:69" x14ac:dyDescent="0.25">
      <c r="A76">
        <v>23</v>
      </c>
      <c r="B76">
        <f t="shared" si="46"/>
        <v>0</v>
      </c>
      <c r="C76">
        <f t="shared" ca="1" si="47"/>
        <v>0</v>
      </c>
      <c r="D76" cm="1">
        <f t="array" aca="1" ref="D76:G76" ca="1">right_cantilever_analysis(Beam_Analysis!$S$29,B76,Beam_Analysis!$D$3,Beam_Analysis!$D$2,Beam_Analysis!$S$33:$X$53,Beam_Analysis!$G$5:$P$5,0)</f>
        <v>0</v>
      </c>
      <c r="E76">
        <f ca="1"/>
        <v>0</v>
      </c>
      <c r="F76">
        <f ca="1"/>
        <v>0</v>
      </c>
      <c r="G76">
        <f ca="1"/>
        <v>0</v>
      </c>
      <c r="H76">
        <f ca="1">(E76*12)/(Beam_Analysis!$B$2*Beam_Analysis!$B$3)</f>
        <v>0</v>
      </c>
      <c r="I76">
        <f t="shared" si="45"/>
        <v>10</v>
      </c>
      <c r="N76" s="19"/>
      <c r="O76" s="20"/>
      <c r="P76" s="20"/>
      <c r="Q76" s="20"/>
      <c r="R76" s="20"/>
      <c r="S76" s="20"/>
      <c r="T76" s="20"/>
      <c r="U76" s="20"/>
      <c r="V76" s="20">
        <f>V10</f>
        <v>0</v>
      </c>
      <c r="W76" s="20">
        <f>W10</f>
        <v>0</v>
      </c>
      <c r="X76" s="20">
        <f>AA10</f>
        <v>0</v>
      </c>
      <c r="Y76" s="20">
        <f>AB10</f>
        <v>0</v>
      </c>
      <c r="Z76" s="20"/>
      <c r="AA76" s="20"/>
      <c r="AB76" s="20"/>
      <c r="AC76" s="20"/>
      <c r="AD76" s="20">
        <f>V76</f>
        <v>0</v>
      </c>
      <c r="AE76" s="20">
        <f t="shared" ref="AE76:AF78" si="63">W76</f>
        <v>0</v>
      </c>
      <c r="AF76" s="20">
        <f t="shared" si="63"/>
        <v>0</v>
      </c>
      <c r="AG76" s="20"/>
      <c r="AH76" s="20"/>
      <c r="AI76" s="20"/>
      <c r="AJ76" s="20"/>
      <c r="AK76" s="20">
        <f>V76</f>
        <v>0</v>
      </c>
      <c r="AL76" s="20">
        <f>W76</f>
        <v>0</v>
      </c>
      <c r="AM76" s="20">
        <f>Y76</f>
        <v>0</v>
      </c>
      <c r="AN76" s="20"/>
      <c r="AO76" s="20"/>
      <c r="AP76" s="20"/>
      <c r="AQ76" s="20"/>
      <c r="AR76" s="20">
        <f>V76</f>
        <v>0</v>
      </c>
      <c r="AS76" s="20">
        <f>W76</f>
        <v>0</v>
      </c>
      <c r="AT76" s="20"/>
      <c r="AU76" s="20"/>
      <c r="AV76" s="20"/>
      <c r="AW76" s="20"/>
      <c r="AX76" s="20"/>
      <c r="AY76" s="20"/>
      <c r="AZ76" s="20"/>
      <c r="BA76" s="20"/>
      <c r="BB76" s="20"/>
      <c r="BC76" s="20"/>
      <c r="BD76" s="20"/>
      <c r="BE76" s="20"/>
      <c r="BF76" s="20"/>
      <c r="BG76" s="20"/>
      <c r="BH76" s="20"/>
      <c r="BI76" s="20"/>
      <c r="BJ76" s="20"/>
      <c r="BK76" s="20"/>
      <c r="BL76" s="20"/>
      <c r="BM76" s="20"/>
      <c r="BN76" s="20"/>
      <c r="BO76" s="20"/>
      <c r="BP76" s="20"/>
      <c r="BQ76" s="21"/>
    </row>
    <row r="77" spans="1:69" x14ac:dyDescent="0.25">
      <c r="A77">
        <v>24</v>
      </c>
      <c r="B77">
        <f t="shared" si="46"/>
        <v>0</v>
      </c>
      <c r="C77">
        <f t="shared" ca="1" si="47"/>
        <v>0</v>
      </c>
      <c r="D77" cm="1">
        <f t="array" aca="1" ref="D77:G77" ca="1">right_cantilever_analysis(Beam_Analysis!$S$29,B77,Beam_Analysis!$D$3,Beam_Analysis!$D$2,Beam_Analysis!$S$33:$X$53,Beam_Analysis!$G$5:$P$5,0)</f>
        <v>0</v>
      </c>
      <c r="E77">
        <f ca="1"/>
        <v>0</v>
      </c>
      <c r="F77">
        <f ca="1"/>
        <v>0</v>
      </c>
      <c r="G77">
        <f ca="1"/>
        <v>0</v>
      </c>
      <c r="H77">
        <f ca="1">(E77*12)/(Beam_Analysis!$B$2*Beam_Analysis!$B$3)</f>
        <v>0</v>
      </c>
      <c r="I77">
        <f t="shared" si="45"/>
        <v>10</v>
      </c>
      <c r="N77" s="19"/>
      <c r="O77" s="20"/>
      <c r="P77" s="20"/>
      <c r="Q77" s="20"/>
      <c r="R77" s="20"/>
      <c r="S77" s="20"/>
      <c r="T77" s="20"/>
      <c r="U77" s="20"/>
      <c r="V77" s="20">
        <f>V11</f>
        <v>0</v>
      </c>
      <c r="W77" s="20">
        <f>W11</f>
        <v>0</v>
      </c>
      <c r="X77" s="20">
        <f>AA11</f>
        <v>0</v>
      </c>
      <c r="Y77" s="20">
        <f>AB11</f>
        <v>0</v>
      </c>
      <c r="Z77" s="20"/>
      <c r="AA77" s="20"/>
      <c r="AB77" s="20"/>
      <c r="AC77" s="20"/>
      <c r="AD77" s="20">
        <f t="shared" ref="AD77:AD78" si="64">V77</f>
        <v>0</v>
      </c>
      <c r="AE77" s="20">
        <f t="shared" si="63"/>
        <v>0</v>
      </c>
      <c r="AF77" s="20">
        <f t="shared" si="63"/>
        <v>0</v>
      </c>
      <c r="AG77" s="20"/>
      <c r="AH77" s="20"/>
      <c r="AI77" s="20"/>
      <c r="AJ77" s="20"/>
      <c r="AK77" s="20">
        <f>V77</f>
        <v>0</v>
      </c>
      <c r="AL77" s="20">
        <f>W77</f>
        <v>0</v>
      </c>
      <c r="AM77" s="20">
        <f>Y77</f>
        <v>0</v>
      </c>
      <c r="AN77" s="20"/>
      <c r="AO77" s="20"/>
      <c r="AP77" s="20"/>
      <c r="AQ77" s="20"/>
      <c r="AR77" s="20">
        <f>V77</f>
        <v>0</v>
      </c>
      <c r="AS77" s="20">
        <f>W77</f>
        <v>0</v>
      </c>
      <c r="AT77" s="20"/>
      <c r="AU77" s="20"/>
      <c r="AV77" s="20"/>
      <c r="AW77" s="20"/>
      <c r="AX77" s="20"/>
      <c r="AY77" s="20"/>
      <c r="AZ77" s="20"/>
      <c r="BA77" s="20"/>
      <c r="BB77" s="20"/>
      <c r="BC77" s="20"/>
      <c r="BD77" s="20"/>
      <c r="BE77" s="20"/>
      <c r="BF77" s="20"/>
      <c r="BG77" s="20"/>
      <c r="BH77" s="20"/>
      <c r="BI77" s="20"/>
      <c r="BJ77" s="20"/>
      <c r="BK77" s="20"/>
      <c r="BL77" s="20"/>
      <c r="BM77" s="20"/>
      <c r="BN77" s="20"/>
      <c r="BO77" s="20"/>
      <c r="BP77" s="20"/>
      <c r="BQ77" s="21"/>
    </row>
    <row r="78" spans="1:69" x14ac:dyDescent="0.25">
      <c r="A78">
        <v>25</v>
      </c>
      <c r="B78">
        <f t="shared" si="46"/>
        <v>0</v>
      </c>
      <c r="C78">
        <f t="shared" ca="1" si="47"/>
        <v>0</v>
      </c>
      <c r="D78" cm="1">
        <f t="array" aca="1" ref="D78:G78" ca="1">right_cantilever_analysis(Beam_Analysis!$S$29,B78,Beam_Analysis!$D$3,Beam_Analysis!$D$2,Beam_Analysis!$S$33:$X$53,Beam_Analysis!$G$5:$P$5,0)</f>
        <v>0</v>
      </c>
      <c r="E78">
        <f ca="1"/>
        <v>0</v>
      </c>
      <c r="F78">
        <f ca="1"/>
        <v>0</v>
      </c>
      <c r="G78">
        <f ca="1"/>
        <v>0</v>
      </c>
      <c r="H78">
        <f ca="1">(E78*12)/(Beam_Analysis!$B$2*Beam_Analysis!$B$3)</f>
        <v>0</v>
      </c>
      <c r="I78">
        <f t="shared" si="45"/>
        <v>10</v>
      </c>
      <c r="N78" s="19"/>
      <c r="O78" s="20"/>
      <c r="P78" s="20"/>
      <c r="Q78" s="20"/>
      <c r="R78" s="20"/>
      <c r="S78" s="20"/>
      <c r="T78" s="20"/>
      <c r="U78" s="20"/>
      <c r="V78" s="20">
        <f>V15</f>
        <v>0</v>
      </c>
      <c r="W78" s="20">
        <f>W15</f>
        <v>0</v>
      </c>
      <c r="X78" s="20">
        <f>AA15</f>
        <v>0</v>
      </c>
      <c r="Y78" s="20">
        <f>AB15</f>
        <v>0</v>
      </c>
      <c r="Z78" s="20"/>
      <c r="AA78" s="20"/>
      <c r="AB78" s="20"/>
      <c r="AC78" s="20"/>
      <c r="AD78" s="20">
        <f t="shared" si="64"/>
        <v>0</v>
      </c>
      <c r="AE78" s="20">
        <f t="shared" si="63"/>
        <v>0</v>
      </c>
      <c r="AF78" s="20">
        <f t="shared" si="63"/>
        <v>0</v>
      </c>
      <c r="AG78" s="20"/>
      <c r="AH78" s="20"/>
      <c r="AI78" s="20"/>
      <c r="AJ78" s="20"/>
      <c r="AK78" s="20">
        <f>V79</f>
        <v>0</v>
      </c>
      <c r="AL78" s="20">
        <f>W79</f>
        <v>0</v>
      </c>
      <c r="AM78" s="20">
        <f>Y79</f>
        <v>0</v>
      </c>
      <c r="AN78" s="20"/>
      <c r="AO78" s="20"/>
      <c r="AP78" s="20"/>
      <c r="AQ78" s="20"/>
      <c r="AR78" s="20"/>
      <c r="AS78" s="20"/>
      <c r="AT78" s="20"/>
      <c r="AU78" s="20"/>
      <c r="AV78" s="20"/>
      <c r="AW78" s="20"/>
      <c r="AX78" s="20"/>
      <c r="AY78" s="20"/>
      <c r="AZ78" s="20"/>
      <c r="BA78" s="20"/>
      <c r="BB78" s="20"/>
      <c r="BC78" s="20"/>
      <c r="BD78" s="20"/>
      <c r="BE78" s="20"/>
      <c r="BF78" s="20"/>
      <c r="BG78" s="20"/>
      <c r="BH78" s="20"/>
      <c r="BI78" s="20"/>
      <c r="BJ78" s="20"/>
      <c r="BK78" s="20"/>
      <c r="BL78" s="20"/>
      <c r="BM78" s="20"/>
      <c r="BN78" s="20"/>
      <c r="BO78" s="20"/>
      <c r="BP78" s="20"/>
      <c r="BQ78" s="21"/>
    </row>
    <row r="79" spans="1:69" x14ac:dyDescent="0.25">
      <c r="A79">
        <v>26</v>
      </c>
      <c r="B79">
        <f t="shared" si="46"/>
        <v>0</v>
      </c>
      <c r="C79">
        <f t="shared" ca="1" si="47"/>
        <v>0</v>
      </c>
      <c r="D79" cm="1">
        <f t="array" aca="1" ref="D79:G79" ca="1">right_cantilever_analysis(Beam_Analysis!$S$29,B79,Beam_Analysis!$D$3,Beam_Analysis!$D$2,Beam_Analysis!$S$33:$X$53,Beam_Analysis!$G$5:$P$5,0)</f>
        <v>0</v>
      </c>
      <c r="E79">
        <f ca="1"/>
        <v>0</v>
      </c>
      <c r="F79">
        <f ca="1"/>
        <v>0</v>
      </c>
      <c r="G79">
        <f ca="1"/>
        <v>0</v>
      </c>
      <c r="H79">
        <f ca="1">(E79*12)/(Beam_Analysis!$B$2*Beam_Analysis!$B$3)</f>
        <v>0</v>
      </c>
      <c r="I79">
        <f t="shared" si="45"/>
        <v>10</v>
      </c>
      <c r="N79" s="19"/>
      <c r="O79" s="20"/>
      <c r="P79" s="20"/>
      <c r="Q79" s="20"/>
      <c r="R79" s="20"/>
      <c r="S79" s="20"/>
      <c r="T79" s="20"/>
      <c r="U79" s="20"/>
      <c r="V79" s="20">
        <f>V16</f>
        <v>0</v>
      </c>
      <c r="W79" s="20">
        <f>W16</f>
        <v>0</v>
      </c>
      <c r="X79" s="20">
        <f>AA16</f>
        <v>0</v>
      </c>
      <c r="Y79" s="20">
        <f>AB16</f>
        <v>0</v>
      </c>
      <c r="Z79" s="20"/>
      <c r="AA79" s="20"/>
      <c r="AB79" s="20"/>
      <c r="AC79" s="20"/>
      <c r="AD79" s="20"/>
      <c r="AE79" s="20"/>
      <c r="AF79" s="20"/>
      <c r="AG79" s="20"/>
      <c r="AH79" s="20"/>
      <c r="AI79" s="20"/>
      <c r="AJ79" s="20"/>
      <c r="AK79" s="20"/>
      <c r="AL79" s="20"/>
      <c r="AM79" s="20"/>
      <c r="AN79" s="20"/>
      <c r="AO79" s="20"/>
      <c r="AP79" s="20"/>
      <c r="AQ79" s="20"/>
      <c r="AR79" s="20"/>
      <c r="AS79" s="20"/>
      <c r="AT79" s="20"/>
      <c r="AU79" s="20"/>
      <c r="AV79" s="20"/>
      <c r="AW79" s="20"/>
      <c r="AX79" s="20"/>
      <c r="AY79" s="20"/>
      <c r="AZ79" s="20"/>
      <c r="BA79" s="20"/>
      <c r="BB79" s="20"/>
      <c r="BC79" s="20"/>
      <c r="BD79" s="20"/>
      <c r="BE79" s="20"/>
      <c r="BF79" s="20"/>
      <c r="BG79" s="20"/>
      <c r="BH79" s="20"/>
      <c r="BI79" s="20"/>
      <c r="BJ79" s="20"/>
      <c r="BK79" s="20"/>
      <c r="BL79" s="20"/>
      <c r="BM79" s="20"/>
      <c r="BN79" s="20"/>
      <c r="BO79" s="20"/>
      <c r="BP79" s="20"/>
      <c r="BQ79" s="21"/>
    </row>
    <row r="80" spans="1:69" x14ac:dyDescent="0.25">
      <c r="A80">
        <v>27</v>
      </c>
      <c r="B80">
        <f t="shared" si="46"/>
        <v>0</v>
      </c>
      <c r="C80">
        <f t="shared" ca="1" si="47"/>
        <v>0</v>
      </c>
      <c r="D80" cm="1">
        <f t="array" aca="1" ref="D80:G80" ca="1">right_cantilever_analysis(Beam_Analysis!$S$29,B80,Beam_Analysis!$D$3,Beam_Analysis!$D$2,Beam_Analysis!$S$33:$X$53,Beam_Analysis!$G$5:$P$5,0)</f>
        <v>0</v>
      </c>
      <c r="E80">
        <f ca="1"/>
        <v>0</v>
      </c>
      <c r="F80">
        <f ca="1"/>
        <v>0</v>
      </c>
      <c r="G80">
        <f ca="1"/>
        <v>0</v>
      </c>
      <c r="H80">
        <f ca="1">(E80*12)/(Beam_Analysis!$B$2*Beam_Analysis!$B$3)</f>
        <v>0</v>
      </c>
      <c r="I80">
        <f t="shared" si="45"/>
        <v>10</v>
      </c>
      <c r="N80" s="19"/>
      <c r="O80" s="20"/>
      <c r="P80" s="20"/>
      <c r="Q80" s="20"/>
      <c r="R80" s="20"/>
      <c r="S80" s="20"/>
      <c r="T80" s="20"/>
      <c r="U80" s="20"/>
      <c r="V80" s="20"/>
      <c r="W80" s="20"/>
      <c r="X80" s="20"/>
      <c r="Y80" s="20"/>
      <c r="Z80" s="20"/>
      <c r="AA80" s="20"/>
      <c r="AB80" s="20"/>
      <c r="AC80" s="20"/>
      <c r="AD80" s="20"/>
      <c r="AE80" s="20"/>
      <c r="AF80" s="20"/>
      <c r="AG80" s="20"/>
      <c r="AH80" s="20"/>
      <c r="AI80" s="20"/>
      <c r="AJ80" s="20"/>
      <c r="AK80" s="20"/>
      <c r="AL80" s="20"/>
      <c r="AM80" s="20"/>
      <c r="AN80" s="20"/>
      <c r="AO80" s="20"/>
      <c r="AP80" s="20"/>
      <c r="AQ80" s="20"/>
      <c r="AR80" s="20"/>
      <c r="AS80" s="20"/>
      <c r="AT80" s="20"/>
      <c r="AU80" s="20"/>
      <c r="AV80" s="20"/>
      <c r="AW80" s="20"/>
      <c r="AX80" s="20"/>
      <c r="AY80" s="20"/>
      <c r="AZ80" s="20"/>
      <c r="BA80" s="20"/>
      <c r="BB80" s="20"/>
      <c r="BC80" s="20"/>
      <c r="BD80" s="20"/>
      <c r="BE80" s="20"/>
      <c r="BF80" s="20"/>
      <c r="BG80" s="20"/>
      <c r="BH80" s="20"/>
      <c r="BI80" s="20"/>
      <c r="BJ80" s="20"/>
      <c r="BK80" s="20"/>
      <c r="BL80" s="20"/>
      <c r="BM80" s="20"/>
      <c r="BN80" s="20"/>
      <c r="BO80" s="20"/>
      <c r="BP80" s="20"/>
      <c r="BQ80" s="21"/>
    </row>
    <row r="81" spans="14:69" x14ac:dyDescent="0.25">
      <c r="N81" s="19"/>
      <c r="O81" s="20"/>
      <c r="P81" s="20"/>
      <c r="Q81" s="20"/>
      <c r="R81" s="20"/>
      <c r="S81" s="20"/>
      <c r="T81" s="20"/>
      <c r="U81" s="20"/>
      <c r="V81" s="20" t="e">
        <f t="array" ref="V81:Y84">MINVERSE(V76:Y79)</f>
        <v>#NUM!</v>
      </c>
      <c r="W81" s="20" t="e">
        <v>#NUM!</v>
      </c>
      <c r="X81" s="20" t="e">
        <v>#NUM!</v>
      </c>
      <c r="Y81" s="20" t="e">
        <v>#NUM!</v>
      </c>
      <c r="Z81" s="20"/>
      <c r="AA81" s="20"/>
      <c r="AB81" s="20"/>
      <c r="AC81" s="20"/>
      <c r="AD81" s="20" t="e">
        <f t="array" ref="AD81:AF83">MINVERSE(AD76:AF78)</f>
        <v>#NUM!</v>
      </c>
      <c r="AE81" s="20" t="e">
        <v>#NUM!</v>
      </c>
      <c r="AF81" s="20" t="e">
        <v>#NUM!</v>
      </c>
      <c r="AG81" s="20"/>
      <c r="AH81" s="20"/>
      <c r="AI81" s="20"/>
      <c r="AJ81" s="20"/>
      <c r="AK81" s="20" t="e">
        <f t="array" ref="AK81:AM83">MINVERSE(AK76:AM78)</f>
        <v>#NUM!</v>
      </c>
      <c r="AL81" s="20" t="e">
        <v>#NUM!</v>
      </c>
      <c r="AM81" s="20" t="e">
        <v>#NUM!</v>
      </c>
      <c r="AN81" s="20"/>
      <c r="AO81" s="20"/>
      <c r="AP81" s="20"/>
      <c r="AQ81" s="20"/>
      <c r="AR81" s="20" t="e">
        <f t="array" ref="AR81:AS82">MINVERSE(AR76:AS77)</f>
        <v>#NUM!</v>
      </c>
      <c r="AS81" s="20" t="e">
        <v>#NUM!</v>
      </c>
      <c r="AT81" s="20"/>
      <c r="AU81" s="20"/>
      <c r="AV81" s="20"/>
      <c r="AW81" s="20"/>
      <c r="AX81" s="20"/>
      <c r="AY81" s="20"/>
      <c r="AZ81" s="20"/>
      <c r="BA81" s="20"/>
      <c r="BB81" s="20"/>
      <c r="BC81" s="20"/>
      <c r="BD81" s="20"/>
      <c r="BE81" s="20"/>
      <c r="BF81" s="20"/>
      <c r="BG81" s="20"/>
      <c r="BH81" s="20"/>
      <c r="BI81" s="20"/>
      <c r="BJ81" s="20"/>
      <c r="BK81" s="20"/>
      <c r="BL81" s="20"/>
      <c r="BM81" s="20"/>
      <c r="BN81" s="20"/>
      <c r="BO81" s="20"/>
      <c r="BP81" s="20"/>
      <c r="BQ81" s="21"/>
    </row>
    <row r="82" spans="14:69" x14ac:dyDescent="0.25">
      <c r="N82" s="19"/>
      <c r="O82" s="20"/>
      <c r="P82" s="20"/>
      <c r="Q82" s="20"/>
      <c r="R82" s="20"/>
      <c r="S82" s="20"/>
      <c r="T82" s="20"/>
      <c r="U82" s="20"/>
      <c r="V82" s="20" t="e">
        <v>#NUM!</v>
      </c>
      <c r="W82" s="20" t="e">
        <v>#NUM!</v>
      </c>
      <c r="X82" s="20" t="e">
        <v>#NUM!</v>
      </c>
      <c r="Y82" s="20" t="e">
        <v>#NUM!</v>
      </c>
      <c r="Z82" s="20"/>
      <c r="AA82" s="20"/>
      <c r="AB82" s="20"/>
      <c r="AC82" s="20"/>
      <c r="AD82" s="20" t="e">
        <v>#NUM!</v>
      </c>
      <c r="AE82" s="20" t="e">
        <v>#NUM!</v>
      </c>
      <c r="AF82" s="20" t="e">
        <v>#NUM!</v>
      </c>
      <c r="AG82" s="20"/>
      <c r="AH82" s="20"/>
      <c r="AI82" s="20"/>
      <c r="AJ82" s="20"/>
      <c r="AK82" s="20" t="e">
        <v>#NUM!</v>
      </c>
      <c r="AL82" s="20" t="e">
        <v>#NUM!</v>
      </c>
      <c r="AM82" s="20" t="e">
        <v>#NUM!</v>
      </c>
      <c r="AN82" s="20"/>
      <c r="AO82" s="20"/>
      <c r="AP82" s="20"/>
      <c r="AQ82" s="20"/>
      <c r="AR82" s="20" t="e">
        <v>#NUM!</v>
      </c>
      <c r="AS82" s="20" t="e">
        <v>#NUM!</v>
      </c>
      <c r="AT82" s="20"/>
      <c r="AU82" s="20"/>
      <c r="AV82" s="20"/>
      <c r="AW82" s="20"/>
      <c r="AX82" s="20"/>
      <c r="AY82" s="20"/>
      <c r="AZ82" s="20"/>
      <c r="BA82" s="20"/>
      <c r="BB82" s="20"/>
      <c r="BC82" s="20"/>
      <c r="BD82" s="20"/>
      <c r="BE82" s="20"/>
      <c r="BF82" s="20"/>
      <c r="BG82" s="20"/>
      <c r="BH82" s="20"/>
      <c r="BI82" s="20"/>
      <c r="BJ82" s="20"/>
      <c r="BK82" s="20"/>
      <c r="BL82" s="20"/>
      <c r="BM82" s="20"/>
      <c r="BN82" s="20"/>
      <c r="BO82" s="20"/>
      <c r="BP82" s="20"/>
      <c r="BQ82" s="21"/>
    </row>
    <row r="83" spans="14:69" x14ac:dyDescent="0.25">
      <c r="N83" s="19"/>
      <c r="O83" s="20"/>
      <c r="P83" s="20"/>
      <c r="Q83" s="20"/>
      <c r="R83" s="20"/>
      <c r="S83" s="20"/>
      <c r="T83" s="20"/>
      <c r="U83" s="20"/>
      <c r="V83" s="20" t="e">
        <v>#NUM!</v>
      </c>
      <c r="W83" s="20" t="e">
        <v>#NUM!</v>
      </c>
      <c r="X83" s="20" t="e">
        <v>#NUM!</v>
      </c>
      <c r="Y83" s="20" t="e">
        <v>#NUM!</v>
      </c>
      <c r="Z83" s="20"/>
      <c r="AA83" s="20"/>
      <c r="AB83" s="20"/>
      <c r="AC83" s="20"/>
      <c r="AD83" s="20" t="e">
        <v>#NUM!</v>
      </c>
      <c r="AE83" s="20" t="e">
        <v>#NUM!</v>
      </c>
      <c r="AF83" s="20" t="e">
        <v>#NUM!</v>
      </c>
      <c r="AG83" s="20"/>
      <c r="AH83" s="20"/>
      <c r="AI83" s="20"/>
      <c r="AJ83" s="20"/>
      <c r="AK83" s="20" t="e">
        <v>#NUM!</v>
      </c>
      <c r="AL83" s="20" t="e">
        <v>#NUM!</v>
      </c>
      <c r="AM83" s="20" t="e">
        <v>#NUM!</v>
      </c>
      <c r="AN83" s="20"/>
      <c r="AO83" s="20"/>
      <c r="AP83" s="20"/>
      <c r="AQ83" s="20"/>
      <c r="AR83" s="20"/>
      <c r="AS83" s="20"/>
      <c r="AT83" s="20"/>
      <c r="AU83" s="20"/>
      <c r="AV83" s="20"/>
      <c r="AW83" s="20"/>
      <c r="AX83" s="20"/>
      <c r="AY83" s="20"/>
      <c r="AZ83" s="20"/>
      <c r="BA83" s="20"/>
      <c r="BB83" s="20"/>
      <c r="BC83" s="20"/>
      <c r="BD83" s="20"/>
      <c r="BE83" s="20"/>
      <c r="BF83" s="20"/>
      <c r="BG83" s="20"/>
      <c r="BH83" s="20"/>
      <c r="BI83" s="20"/>
      <c r="BJ83" s="20"/>
      <c r="BK83" s="20"/>
      <c r="BL83" s="20"/>
      <c r="BM83" s="20"/>
      <c r="BN83" s="20"/>
      <c r="BO83" s="20"/>
      <c r="BP83" s="20"/>
      <c r="BQ83" s="21"/>
    </row>
    <row r="84" spans="14:69" x14ac:dyDescent="0.25">
      <c r="N84" s="19"/>
      <c r="O84" s="20"/>
      <c r="P84" s="20"/>
      <c r="Q84" s="20"/>
      <c r="R84" s="20"/>
      <c r="S84" s="20"/>
      <c r="T84" s="20"/>
      <c r="U84" s="20"/>
      <c r="V84" s="20" t="e">
        <v>#NUM!</v>
      </c>
      <c r="W84" s="20" t="e">
        <v>#NUM!</v>
      </c>
      <c r="X84" s="20" t="e">
        <v>#NUM!</v>
      </c>
      <c r="Y84" s="20" t="e">
        <v>#NUM!</v>
      </c>
      <c r="Z84" s="20"/>
      <c r="AA84" s="20"/>
      <c r="AB84" s="20"/>
      <c r="AC84" s="20"/>
      <c r="AD84" s="20"/>
      <c r="AE84" s="20"/>
      <c r="AF84" s="20"/>
      <c r="AG84" s="20"/>
      <c r="AH84" s="20"/>
      <c r="AI84" s="20"/>
      <c r="AJ84" s="20"/>
      <c r="AK84" s="20"/>
      <c r="AL84" s="20"/>
      <c r="AM84" s="20"/>
      <c r="AN84" s="20"/>
      <c r="AO84" s="20"/>
      <c r="AP84" s="20"/>
      <c r="AQ84" s="20"/>
      <c r="AR84" s="20"/>
      <c r="AS84" s="20"/>
      <c r="AT84" s="20"/>
      <c r="AU84" s="20"/>
      <c r="AV84" s="20"/>
      <c r="AW84" s="20"/>
      <c r="AX84" s="20"/>
      <c r="AY84" s="20"/>
      <c r="AZ84" s="20"/>
      <c r="BA84" s="20"/>
      <c r="BB84" s="20"/>
      <c r="BC84" s="20"/>
      <c r="BD84" s="20"/>
      <c r="BE84" s="20"/>
      <c r="BF84" s="20"/>
      <c r="BG84" s="20"/>
      <c r="BH84" s="20"/>
      <c r="BI84" s="20"/>
      <c r="BJ84" s="20"/>
      <c r="BK84" s="20"/>
      <c r="BL84" s="20"/>
      <c r="BM84" s="20"/>
      <c r="BN84" s="20"/>
      <c r="BO84" s="20"/>
      <c r="BP84" s="20"/>
      <c r="BQ84" s="21"/>
    </row>
    <row r="85" spans="14:69" x14ac:dyDescent="0.25">
      <c r="N85" s="19"/>
      <c r="O85" s="20"/>
      <c r="P85" s="20"/>
      <c r="Q85" s="20"/>
      <c r="R85" s="20"/>
      <c r="S85" s="20"/>
      <c r="T85" s="20"/>
      <c r="U85" s="20"/>
      <c r="V85" s="20"/>
      <c r="W85" s="20"/>
      <c r="X85" s="20"/>
      <c r="Y85" s="20"/>
      <c r="Z85" s="20"/>
      <c r="AA85" s="20"/>
      <c r="AB85" s="20"/>
      <c r="AC85" s="20"/>
      <c r="AD85" s="20"/>
      <c r="AE85" s="20"/>
      <c r="AF85" s="20"/>
      <c r="AG85" s="20"/>
      <c r="AH85" s="20"/>
      <c r="AI85" s="20"/>
      <c r="AJ85" s="20"/>
      <c r="AK85" s="20"/>
      <c r="AL85" s="20"/>
      <c r="AM85" s="20"/>
      <c r="AN85" s="20"/>
      <c r="AO85" s="20"/>
      <c r="AP85" s="20"/>
      <c r="AQ85" s="20"/>
      <c r="AR85" s="20"/>
      <c r="AS85" s="20"/>
      <c r="AT85" s="20"/>
      <c r="AU85" s="20"/>
      <c r="AV85" s="20"/>
      <c r="AW85" s="20"/>
      <c r="AX85" s="20"/>
      <c r="AY85" s="20"/>
      <c r="AZ85" s="20"/>
      <c r="BA85" s="20"/>
      <c r="BB85" s="20"/>
      <c r="BC85" s="20"/>
      <c r="BD85" s="20"/>
      <c r="BE85" s="20"/>
      <c r="BF85" s="20"/>
      <c r="BG85" s="20"/>
      <c r="BH85" s="20"/>
      <c r="BI85" s="20"/>
      <c r="BJ85" s="20"/>
      <c r="BK85" s="20"/>
      <c r="BL85" s="20"/>
      <c r="BM85" s="20"/>
      <c r="BN85" s="20"/>
      <c r="BO85" s="20"/>
      <c r="BP85" s="20"/>
      <c r="BQ85" s="21"/>
    </row>
    <row r="86" spans="14:69" x14ac:dyDescent="0.25">
      <c r="N86" s="19"/>
      <c r="O86" s="20"/>
      <c r="P86" s="20"/>
      <c r="Q86" s="20"/>
      <c r="R86" s="20"/>
      <c r="S86" s="20"/>
      <c r="T86" s="20"/>
      <c r="U86" s="20">
        <f ca="1">T10</f>
        <v>0</v>
      </c>
      <c r="V86" s="20" t="e">
        <f t="array" ref="V86:V89">MMULT(V81:Y84,U86:U89)</f>
        <v>#NUM!</v>
      </c>
      <c r="W86" s="20"/>
      <c r="X86" s="20"/>
      <c r="Y86" s="20"/>
      <c r="Z86" s="20"/>
      <c r="AA86" s="20"/>
      <c r="AB86" s="20"/>
      <c r="AC86" s="20"/>
      <c r="AD86" s="20" t="e">
        <f t="array" ref="AD86:AD88">MMULT(AD81:AF83,U86:U88)</f>
        <v>#NUM!</v>
      </c>
      <c r="AE86" s="20"/>
      <c r="AF86" s="20"/>
      <c r="AG86" s="20"/>
      <c r="AH86" s="20"/>
      <c r="AI86" s="20"/>
      <c r="AJ86" s="20">
        <f ca="1">U86</f>
        <v>0</v>
      </c>
      <c r="AK86" s="20" t="e">
        <f t="array" ref="AK86:AK88">MMULT(AK81:AM83,AJ86:AJ88)</f>
        <v>#NUM!</v>
      </c>
      <c r="AL86" s="20"/>
      <c r="AM86" s="20"/>
      <c r="AN86" s="20"/>
      <c r="AO86" s="20"/>
      <c r="AP86" s="20"/>
      <c r="AQ86" s="20"/>
      <c r="AR86" s="20" t="e">
        <f t="array" ref="AR86:AR87">MMULT(AR81:AS82,U86:U87)</f>
        <v>#NUM!</v>
      </c>
      <c r="AS86" s="20"/>
      <c r="AT86" s="20"/>
      <c r="AU86" s="20"/>
      <c r="AV86" s="20"/>
      <c r="AW86" s="20"/>
      <c r="AX86" s="20"/>
      <c r="AY86" s="20"/>
      <c r="AZ86" s="20"/>
      <c r="BA86" s="20"/>
      <c r="BB86" s="20"/>
      <c r="BC86" s="20"/>
      <c r="BD86" s="20"/>
      <c r="BE86" s="20"/>
      <c r="BF86" s="20"/>
      <c r="BG86" s="20"/>
      <c r="BH86" s="20"/>
      <c r="BI86" s="20"/>
      <c r="BJ86" s="20"/>
      <c r="BK86" s="20"/>
      <c r="BL86" s="20"/>
      <c r="BM86" s="20"/>
      <c r="BN86" s="20"/>
      <c r="BO86" s="20"/>
      <c r="BP86" s="20"/>
      <c r="BQ86" s="21"/>
    </row>
    <row r="87" spans="14:69" x14ac:dyDescent="0.25">
      <c r="N87" s="19"/>
      <c r="O87" s="20"/>
      <c r="P87" s="20"/>
      <c r="Q87" s="20"/>
      <c r="R87" s="20"/>
      <c r="S87" s="20"/>
      <c r="T87" s="20"/>
      <c r="U87" s="20">
        <f ca="1">T11</f>
        <v>0</v>
      </c>
      <c r="V87" s="20" t="e">
        <v>#NUM!</v>
      </c>
      <c r="W87" s="20"/>
      <c r="X87" s="20"/>
      <c r="Y87" s="20"/>
      <c r="Z87" s="20"/>
      <c r="AA87" s="20"/>
      <c r="AB87" s="20"/>
      <c r="AC87" s="20"/>
      <c r="AD87" s="20" t="e">
        <v>#NUM!</v>
      </c>
      <c r="AE87" s="20"/>
      <c r="AF87" s="20"/>
      <c r="AG87" s="20"/>
      <c r="AH87" s="20"/>
      <c r="AI87" s="20"/>
      <c r="AJ87" s="20">
        <f t="shared" ref="AJ87" ca="1" si="65">U87</f>
        <v>0</v>
      </c>
      <c r="AK87" s="20" t="e">
        <v>#NUM!</v>
      </c>
      <c r="AL87" s="20"/>
      <c r="AM87" s="20"/>
      <c r="AN87" s="20"/>
      <c r="AO87" s="20"/>
      <c r="AP87" s="20"/>
      <c r="AQ87" s="20"/>
      <c r="AR87" s="20" t="e">
        <v>#NUM!</v>
      </c>
      <c r="AS87" s="20"/>
      <c r="AT87" s="20"/>
      <c r="AU87" s="20"/>
      <c r="AV87" s="20"/>
      <c r="AW87" s="20"/>
      <c r="AX87" s="20"/>
      <c r="AY87" s="20"/>
      <c r="AZ87" s="20"/>
      <c r="BA87" s="20"/>
      <c r="BB87" s="20"/>
      <c r="BC87" s="20"/>
      <c r="BD87" s="20"/>
      <c r="BE87" s="20"/>
      <c r="BF87" s="20"/>
      <c r="BG87" s="20"/>
      <c r="BH87" s="20"/>
      <c r="BI87" s="20"/>
      <c r="BJ87" s="20"/>
      <c r="BK87" s="20"/>
      <c r="BL87" s="20"/>
      <c r="BM87" s="20"/>
      <c r="BN87" s="20"/>
      <c r="BO87" s="20"/>
      <c r="BP87" s="20"/>
      <c r="BQ87" s="21"/>
    </row>
    <row r="88" spans="14:69" x14ac:dyDescent="0.25">
      <c r="N88" s="19"/>
      <c r="O88" s="20"/>
      <c r="P88" s="20"/>
      <c r="Q88" s="20"/>
      <c r="R88" s="20"/>
      <c r="S88" s="20"/>
      <c r="T88" s="20"/>
      <c r="U88" s="20">
        <f ca="1">T15</f>
        <v>4.9655172413793115E-2</v>
      </c>
      <c r="V88" s="20" t="e">
        <v>#NUM!</v>
      </c>
      <c r="W88" s="20"/>
      <c r="X88" s="20"/>
      <c r="Y88" s="20"/>
      <c r="Z88" s="20"/>
      <c r="AA88" s="20"/>
      <c r="AB88" s="20"/>
      <c r="AC88" s="20"/>
      <c r="AD88" s="20" t="e">
        <v>#NUM!</v>
      </c>
      <c r="AE88" s="20"/>
      <c r="AF88" s="20"/>
      <c r="AG88" s="20"/>
      <c r="AH88" s="20"/>
      <c r="AI88" s="20"/>
      <c r="AJ88" s="20">
        <f ca="1">U89</f>
        <v>-4.3448275862068945E-2</v>
      </c>
      <c r="AK88" s="20" t="e">
        <v>#NUM!</v>
      </c>
      <c r="AL88" s="20"/>
      <c r="AM88" s="20"/>
      <c r="AN88" s="20"/>
      <c r="AO88" s="20"/>
      <c r="AP88" s="20"/>
      <c r="AQ88" s="20"/>
      <c r="AR88" s="20"/>
      <c r="AS88" s="20"/>
      <c r="AT88" s="20"/>
      <c r="AU88" s="20"/>
      <c r="AV88" s="20"/>
      <c r="AW88" s="20"/>
      <c r="AX88" s="20"/>
      <c r="AY88" s="20"/>
      <c r="AZ88" s="20"/>
      <c r="BA88" s="20"/>
      <c r="BB88" s="20"/>
      <c r="BC88" s="20"/>
      <c r="BD88" s="20"/>
      <c r="BE88" s="20"/>
      <c r="BF88" s="20"/>
      <c r="BG88" s="20"/>
      <c r="BH88" s="20"/>
      <c r="BI88" s="20"/>
      <c r="BJ88" s="20"/>
      <c r="BK88" s="20"/>
      <c r="BL88" s="20"/>
      <c r="BM88" s="20"/>
      <c r="BN88" s="20"/>
      <c r="BO88" s="20"/>
      <c r="BP88" s="20"/>
      <c r="BQ88" s="21"/>
    </row>
    <row r="89" spans="14:69" x14ac:dyDescent="0.25">
      <c r="N89" s="19"/>
      <c r="O89" s="20"/>
      <c r="P89" s="20"/>
      <c r="Q89" s="20"/>
      <c r="R89" s="20"/>
      <c r="S89" s="20"/>
      <c r="T89" s="20"/>
      <c r="U89" s="20">
        <f ca="1">T16</f>
        <v>-4.3448275862068945E-2</v>
      </c>
      <c r="V89" s="20" t="e">
        <v>#NUM!</v>
      </c>
      <c r="W89" s="20"/>
      <c r="X89" s="20"/>
      <c r="Y89" s="20"/>
      <c r="Z89" s="20"/>
      <c r="AA89" s="20"/>
      <c r="AB89" s="20"/>
      <c r="AC89" s="20"/>
      <c r="AD89" s="20"/>
      <c r="AE89" s="20"/>
      <c r="AF89" s="20"/>
      <c r="AG89" s="20"/>
      <c r="AH89" s="20"/>
      <c r="AI89" s="20"/>
      <c r="AJ89" s="20"/>
      <c r="AK89" s="20"/>
      <c r="AL89" s="20"/>
      <c r="AM89" s="20"/>
      <c r="AN89" s="20"/>
      <c r="AO89" s="20"/>
      <c r="AP89" s="20"/>
      <c r="AQ89" s="20"/>
      <c r="AR89" s="20"/>
      <c r="AS89" s="20"/>
      <c r="AT89" s="20"/>
      <c r="AU89" s="20"/>
      <c r="AV89" s="20"/>
      <c r="AW89" s="20"/>
      <c r="AX89" s="20"/>
      <c r="AY89" s="20"/>
      <c r="AZ89" s="20"/>
      <c r="BA89" s="20"/>
      <c r="BB89" s="20"/>
      <c r="BC89" s="20"/>
      <c r="BD89" s="20"/>
      <c r="BE89" s="20"/>
      <c r="BF89" s="20"/>
      <c r="BG89" s="20"/>
      <c r="BH89" s="20"/>
      <c r="BI89" s="20"/>
      <c r="BJ89" s="20"/>
      <c r="BK89" s="20"/>
      <c r="BL89" s="20"/>
      <c r="BM89" s="20"/>
      <c r="BN89" s="20"/>
      <c r="BO89" s="20"/>
      <c r="BP89" s="20"/>
      <c r="BQ89" s="21"/>
    </row>
    <row r="90" spans="14:69" x14ac:dyDescent="0.25">
      <c r="N90" s="19"/>
      <c r="O90" s="20"/>
      <c r="P90" s="20"/>
      <c r="Q90" s="20"/>
      <c r="R90" s="20"/>
      <c r="S90" s="20"/>
      <c r="T90" s="20"/>
      <c r="U90" s="20"/>
      <c r="V90" s="20"/>
      <c r="W90" s="20"/>
      <c r="X90" s="20"/>
      <c r="Y90" s="20"/>
      <c r="Z90" s="20"/>
      <c r="AA90" s="20"/>
      <c r="AB90" s="20"/>
      <c r="AC90" s="20"/>
      <c r="AD90" s="20"/>
      <c r="AE90" s="20"/>
      <c r="AF90" s="20"/>
      <c r="AG90" s="20"/>
      <c r="AH90" s="20"/>
      <c r="AI90" s="20"/>
      <c r="AJ90" s="20"/>
      <c r="AK90" s="20"/>
      <c r="AL90" s="20"/>
      <c r="AM90" s="20"/>
      <c r="AN90" s="20"/>
      <c r="AO90" s="20"/>
      <c r="AP90" s="20"/>
      <c r="AQ90" s="20"/>
      <c r="AR90" s="20"/>
      <c r="AS90" s="20"/>
      <c r="AT90" s="20"/>
      <c r="AU90" s="20"/>
      <c r="AV90" s="20"/>
      <c r="AW90" s="20"/>
      <c r="AX90" s="20"/>
      <c r="AY90" s="20"/>
      <c r="AZ90" s="20"/>
      <c r="BA90" s="20"/>
      <c r="BB90" s="20"/>
      <c r="BC90" s="20"/>
      <c r="BD90" s="20"/>
      <c r="BE90" s="20"/>
      <c r="BF90" s="20"/>
      <c r="BG90" s="20"/>
      <c r="BH90" s="20"/>
      <c r="BI90" s="20"/>
      <c r="BJ90" s="20"/>
      <c r="BK90" s="20"/>
      <c r="BL90" s="20"/>
      <c r="BM90" s="20"/>
      <c r="BN90" s="20"/>
      <c r="BO90" s="20"/>
      <c r="BP90" s="20"/>
      <c r="BQ90" s="21"/>
    </row>
    <row r="91" spans="14:69" x14ac:dyDescent="0.25">
      <c r="N91" s="19"/>
      <c r="O91" s="20"/>
      <c r="P91" s="20"/>
      <c r="Q91" s="20"/>
      <c r="R91" s="20"/>
      <c r="S91" s="20"/>
      <c r="T91" s="20"/>
      <c r="U91" s="20"/>
      <c r="V91" s="20"/>
      <c r="W91" s="20"/>
      <c r="X91" s="20"/>
      <c r="Y91" s="20"/>
      <c r="Z91" s="20"/>
      <c r="AA91" s="20"/>
      <c r="AB91" s="20"/>
      <c r="AC91" s="20"/>
      <c r="AD91" s="20"/>
      <c r="AE91" s="20"/>
      <c r="AF91" s="20"/>
      <c r="AG91" s="20"/>
      <c r="AH91" s="20"/>
      <c r="AI91" s="20"/>
      <c r="AJ91" s="20"/>
      <c r="AK91" s="20"/>
      <c r="AL91" s="20"/>
      <c r="AM91" s="20"/>
      <c r="AN91" s="20"/>
      <c r="AO91" s="20"/>
      <c r="AP91" s="20"/>
      <c r="AQ91" s="20"/>
      <c r="AR91" s="20"/>
      <c r="AS91" s="20"/>
      <c r="AT91" s="20"/>
      <c r="AU91" s="20"/>
      <c r="AV91" s="20"/>
      <c r="AW91" s="20"/>
      <c r="AX91" s="20"/>
      <c r="AY91" s="20"/>
      <c r="AZ91" s="20"/>
      <c r="BA91" s="20"/>
      <c r="BB91" s="20"/>
      <c r="BC91" s="20"/>
      <c r="BD91" s="20"/>
      <c r="BE91" s="20"/>
      <c r="BF91" s="20"/>
      <c r="BG91" s="20"/>
      <c r="BH91" s="20"/>
      <c r="BI91" s="20"/>
      <c r="BJ91" s="20"/>
      <c r="BK91" s="20"/>
      <c r="BL91" s="20"/>
      <c r="BM91" s="20"/>
      <c r="BN91" s="20"/>
      <c r="BO91" s="20"/>
      <c r="BP91" s="20"/>
      <c r="BQ91" s="21"/>
    </row>
    <row r="92" spans="14:69" x14ac:dyDescent="0.25">
      <c r="N92" s="19"/>
      <c r="O92" s="20"/>
      <c r="P92" s="20"/>
      <c r="Q92" s="20"/>
      <c r="R92" s="20"/>
      <c r="S92" s="20"/>
      <c r="T92" s="20"/>
      <c r="U92" s="20"/>
      <c r="V92" s="20">
        <f>V10</f>
        <v>0</v>
      </c>
      <c r="W92" s="20">
        <f>AA10</f>
        <v>0</v>
      </c>
      <c r="X92" s="20">
        <f>AB10</f>
        <v>0</v>
      </c>
      <c r="Y92" s="20"/>
      <c r="Z92" s="20"/>
      <c r="AA92" s="20"/>
      <c r="AB92" s="20"/>
      <c r="AC92" s="20"/>
      <c r="AD92" s="20">
        <f>V92</f>
        <v>0</v>
      </c>
      <c r="AE92" s="20">
        <f>W92</f>
        <v>0</v>
      </c>
      <c r="AF92" s="20"/>
      <c r="AG92" s="20"/>
      <c r="AH92" s="20"/>
      <c r="AI92" s="20"/>
      <c r="AJ92" s="20"/>
      <c r="AK92" s="20">
        <f>V92</f>
        <v>0</v>
      </c>
      <c r="AL92" s="20">
        <f>X92</f>
        <v>0</v>
      </c>
      <c r="AM92" s="20"/>
      <c r="AN92" s="20"/>
      <c r="AO92" s="20"/>
      <c r="AP92" s="20"/>
      <c r="AQ92" s="20"/>
      <c r="AR92" s="20"/>
      <c r="AS92" s="20"/>
      <c r="AT92" s="20"/>
      <c r="AU92" s="20"/>
      <c r="AV92" s="20"/>
      <c r="AW92" s="20"/>
      <c r="AX92" s="20"/>
      <c r="AY92" s="20"/>
      <c r="AZ92" s="20"/>
      <c r="BA92" s="20"/>
      <c r="BB92" s="20"/>
      <c r="BC92" s="20"/>
      <c r="BD92" s="20"/>
      <c r="BE92" s="20"/>
      <c r="BF92" s="20"/>
      <c r="BG92" s="20"/>
      <c r="BH92" s="20"/>
      <c r="BI92" s="20"/>
      <c r="BJ92" s="20"/>
      <c r="BK92" s="20"/>
      <c r="BL92" s="20"/>
      <c r="BM92" s="20"/>
      <c r="BN92" s="20"/>
      <c r="BO92" s="20"/>
      <c r="BP92" s="20"/>
      <c r="BQ92" s="21"/>
    </row>
    <row r="93" spans="14:69" x14ac:dyDescent="0.25">
      <c r="N93" s="19"/>
      <c r="O93" s="20"/>
      <c r="P93" s="20"/>
      <c r="Q93" s="20"/>
      <c r="R93" s="20"/>
      <c r="S93" s="20"/>
      <c r="T93" s="20"/>
      <c r="U93" s="20"/>
      <c r="V93" s="20">
        <f>V15</f>
        <v>0</v>
      </c>
      <c r="W93" s="20">
        <f>AA15</f>
        <v>0</v>
      </c>
      <c r="X93" s="20">
        <f>AB15</f>
        <v>0</v>
      </c>
      <c r="Y93" s="20"/>
      <c r="Z93" s="20"/>
      <c r="AA93" s="20"/>
      <c r="AB93" s="20"/>
      <c r="AC93" s="20"/>
      <c r="AD93" s="20">
        <f>V93</f>
        <v>0</v>
      </c>
      <c r="AE93" s="20">
        <f>W93</f>
        <v>0</v>
      </c>
      <c r="AF93" s="20"/>
      <c r="AG93" s="20"/>
      <c r="AH93" s="20"/>
      <c r="AI93" s="20"/>
      <c r="AJ93" s="20"/>
      <c r="AK93" s="20">
        <f>V94</f>
        <v>0</v>
      </c>
      <c r="AL93" s="20">
        <f>X94</f>
        <v>0</v>
      </c>
      <c r="AM93" s="20"/>
      <c r="AN93" s="20"/>
      <c r="AO93" s="20"/>
      <c r="AP93" s="20"/>
      <c r="AQ93" s="20"/>
      <c r="AR93" s="20"/>
      <c r="AS93" s="20"/>
      <c r="AT93" s="20"/>
      <c r="AU93" s="20"/>
      <c r="AV93" s="20"/>
      <c r="AW93" s="20"/>
      <c r="AX93" s="20"/>
      <c r="AY93" s="20"/>
      <c r="AZ93" s="20"/>
      <c r="BA93" s="20"/>
      <c r="BB93" s="20"/>
      <c r="BC93" s="20"/>
      <c r="BD93" s="20"/>
      <c r="BE93" s="20"/>
      <c r="BF93" s="20"/>
      <c r="BG93" s="20"/>
      <c r="BH93" s="20"/>
      <c r="BI93" s="20"/>
      <c r="BJ93" s="20"/>
      <c r="BK93" s="20"/>
      <c r="BL93" s="20"/>
      <c r="BM93" s="20"/>
      <c r="BN93" s="20"/>
      <c r="BO93" s="20"/>
      <c r="BP93" s="20"/>
      <c r="BQ93" s="21"/>
    </row>
    <row r="94" spans="14:69" x14ac:dyDescent="0.25">
      <c r="N94" s="19"/>
      <c r="O94" s="20"/>
      <c r="P94" s="20"/>
      <c r="Q94" s="20"/>
      <c r="R94" s="20"/>
      <c r="S94" s="20"/>
      <c r="T94" s="20"/>
      <c r="U94" s="20"/>
      <c r="V94" s="20">
        <f>V16</f>
        <v>0</v>
      </c>
      <c r="W94" s="20">
        <f>AA16</f>
        <v>0</v>
      </c>
      <c r="X94" s="20">
        <f>AB16</f>
        <v>0</v>
      </c>
      <c r="Y94" s="20"/>
      <c r="Z94" s="20"/>
      <c r="AA94" s="20"/>
      <c r="AB94" s="20"/>
      <c r="AC94" s="20"/>
      <c r="AD94" s="20"/>
      <c r="AE94" s="20"/>
      <c r="AF94" s="20"/>
      <c r="AG94" s="20"/>
      <c r="AH94" s="20"/>
      <c r="AI94" s="20"/>
      <c r="AJ94" s="20"/>
      <c r="AK94" s="20"/>
      <c r="AL94" s="20"/>
      <c r="AM94" s="20"/>
      <c r="AN94" s="20"/>
      <c r="AO94" s="20"/>
      <c r="AP94" s="20"/>
      <c r="AQ94" s="20"/>
      <c r="AR94" s="20"/>
      <c r="AS94" s="20"/>
      <c r="AT94" s="20"/>
      <c r="AU94" s="20"/>
      <c r="AV94" s="20"/>
      <c r="AW94" s="20"/>
      <c r="AX94" s="20"/>
      <c r="AY94" s="20"/>
      <c r="AZ94" s="20"/>
      <c r="BA94" s="20"/>
      <c r="BB94" s="20"/>
      <c r="BC94" s="20"/>
      <c r="BD94" s="20"/>
      <c r="BE94" s="20"/>
      <c r="BF94" s="20"/>
      <c r="BG94" s="20"/>
      <c r="BH94" s="20"/>
      <c r="BI94" s="20"/>
      <c r="BJ94" s="20"/>
      <c r="BK94" s="20"/>
      <c r="BL94" s="20"/>
      <c r="BM94" s="20"/>
      <c r="BN94" s="20"/>
      <c r="BO94" s="20"/>
      <c r="BP94" s="20"/>
      <c r="BQ94" s="21"/>
    </row>
    <row r="95" spans="14:69" x14ac:dyDescent="0.25">
      <c r="N95" s="19"/>
      <c r="O95" s="20"/>
      <c r="P95" s="20"/>
      <c r="Q95" s="20"/>
      <c r="R95" s="20"/>
      <c r="S95" s="20"/>
      <c r="T95" s="20"/>
      <c r="U95" s="20"/>
      <c r="V95" s="20"/>
      <c r="W95" s="20"/>
      <c r="X95" s="20"/>
      <c r="Y95" s="20"/>
      <c r="Z95" s="20"/>
      <c r="AA95" s="20"/>
      <c r="AB95" s="20"/>
      <c r="AC95" s="20"/>
      <c r="AD95" s="20"/>
      <c r="AE95" s="20"/>
      <c r="AF95" s="20"/>
      <c r="AG95" s="20"/>
      <c r="AH95" s="20"/>
      <c r="AI95" s="20"/>
      <c r="AJ95" s="20"/>
      <c r="AK95" s="20"/>
      <c r="AL95" s="20"/>
      <c r="AM95" s="20"/>
      <c r="AN95" s="20"/>
      <c r="AO95" s="20"/>
      <c r="AP95" s="20"/>
      <c r="AQ95" s="20"/>
      <c r="AR95" s="20"/>
      <c r="AS95" s="20"/>
      <c r="AT95" s="20"/>
      <c r="AU95" s="20"/>
      <c r="AV95" s="20"/>
      <c r="AW95" s="20"/>
      <c r="AX95" s="20"/>
      <c r="AY95" s="20"/>
      <c r="AZ95" s="20"/>
      <c r="BA95" s="20"/>
      <c r="BB95" s="20"/>
      <c r="BC95" s="20"/>
      <c r="BD95" s="20"/>
      <c r="BE95" s="20"/>
      <c r="BF95" s="20"/>
      <c r="BG95" s="20"/>
      <c r="BH95" s="20"/>
      <c r="BI95" s="20"/>
      <c r="BJ95" s="20"/>
      <c r="BK95" s="20"/>
      <c r="BL95" s="20"/>
      <c r="BM95" s="20"/>
      <c r="BN95" s="20"/>
      <c r="BO95" s="20"/>
      <c r="BP95" s="20"/>
      <c r="BQ95" s="21"/>
    </row>
    <row r="96" spans="14:69" x14ac:dyDescent="0.25">
      <c r="N96" s="19"/>
      <c r="O96" s="20"/>
      <c r="P96" s="20"/>
      <c r="Q96" s="20"/>
      <c r="R96" s="20"/>
      <c r="S96" s="20"/>
      <c r="T96" s="20"/>
      <c r="U96" s="20"/>
      <c r="V96" s="20" t="e">
        <f t="array" ref="V96:X98">MINVERSE(V92:X94)</f>
        <v>#NUM!</v>
      </c>
      <c r="W96" s="20" t="e">
        <v>#NUM!</v>
      </c>
      <c r="X96" s="20" t="e">
        <v>#NUM!</v>
      </c>
      <c r="Y96" s="20"/>
      <c r="Z96" s="20"/>
      <c r="AA96" s="20"/>
      <c r="AB96" s="20"/>
      <c r="AC96" s="20"/>
      <c r="AD96" s="20" t="e">
        <f t="array" ref="AD96:AE97">MINVERSE(AD92:AE93)</f>
        <v>#NUM!</v>
      </c>
      <c r="AE96" s="20" t="e">
        <v>#NUM!</v>
      </c>
      <c r="AF96" s="20"/>
      <c r="AG96" s="20"/>
      <c r="AH96" s="20"/>
      <c r="AI96" s="20"/>
      <c r="AJ96" s="20"/>
      <c r="AK96" s="20" t="e">
        <f t="array" ref="AK96:AL97">MINVERSE(AK92:AL93)</f>
        <v>#NUM!</v>
      </c>
      <c r="AL96" s="20" t="e">
        <v>#NUM!</v>
      </c>
      <c r="AM96" s="20"/>
      <c r="AN96" s="20"/>
      <c r="AO96" s="20"/>
      <c r="AP96" s="20"/>
      <c r="AQ96" s="20"/>
      <c r="AR96" s="20"/>
      <c r="AS96" s="20"/>
      <c r="AT96" s="20"/>
      <c r="AU96" s="20"/>
      <c r="AV96" s="20"/>
      <c r="AW96" s="20"/>
      <c r="AX96" s="20"/>
      <c r="AY96" s="20"/>
      <c r="AZ96" s="20"/>
      <c r="BA96" s="20"/>
      <c r="BB96" s="20"/>
      <c r="BC96" s="20"/>
      <c r="BD96" s="20"/>
      <c r="BE96" s="20"/>
      <c r="BF96" s="20"/>
      <c r="BG96" s="20"/>
      <c r="BH96" s="20"/>
      <c r="BI96" s="20"/>
      <c r="BJ96" s="20"/>
      <c r="BK96" s="20"/>
      <c r="BL96" s="20"/>
      <c r="BM96" s="20"/>
      <c r="BN96" s="20"/>
      <c r="BO96" s="20"/>
      <c r="BP96" s="20"/>
      <c r="BQ96" s="21"/>
    </row>
    <row r="97" spans="14:69" x14ac:dyDescent="0.25">
      <c r="N97" s="19"/>
      <c r="O97" s="20"/>
      <c r="P97" s="20"/>
      <c r="Q97" s="20"/>
      <c r="R97" s="20"/>
      <c r="S97" s="20"/>
      <c r="T97" s="20"/>
      <c r="U97" s="20"/>
      <c r="V97" s="20" t="e">
        <v>#NUM!</v>
      </c>
      <c r="W97" s="20" t="e">
        <v>#NUM!</v>
      </c>
      <c r="X97" s="20" t="e">
        <v>#NUM!</v>
      </c>
      <c r="Y97" s="20"/>
      <c r="Z97" s="20"/>
      <c r="AA97" s="20"/>
      <c r="AB97" s="20"/>
      <c r="AC97" s="20"/>
      <c r="AD97" s="20" t="e">
        <v>#NUM!</v>
      </c>
      <c r="AE97" s="20" t="e">
        <v>#NUM!</v>
      </c>
      <c r="AF97" s="20"/>
      <c r="AG97" s="20"/>
      <c r="AH97" s="20"/>
      <c r="AI97" s="20"/>
      <c r="AJ97" s="20"/>
      <c r="AK97" s="20" t="e">
        <v>#NUM!</v>
      </c>
      <c r="AL97" s="20" t="e">
        <v>#NUM!</v>
      </c>
      <c r="AM97" s="20"/>
      <c r="AN97" s="20"/>
      <c r="AO97" s="20"/>
      <c r="AP97" s="20"/>
      <c r="AQ97" s="20"/>
      <c r="AR97" s="20"/>
      <c r="AS97" s="20"/>
      <c r="AT97" s="20"/>
      <c r="AU97" s="20"/>
      <c r="AV97" s="20"/>
      <c r="AW97" s="20"/>
      <c r="AX97" s="20"/>
      <c r="AY97" s="20"/>
      <c r="AZ97" s="20"/>
      <c r="BA97" s="20"/>
      <c r="BB97" s="20"/>
      <c r="BC97" s="20"/>
      <c r="BD97" s="20"/>
      <c r="BE97" s="20"/>
      <c r="BF97" s="20"/>
      <c r="BG97" s="20"/>
      <c r="BH97" s="20"/>
      <c r="BI97" s="20"/>
      <c r="BJ97" s="20"/>
      <c r="BK97" s="20"/>
      <c r="BL97" s="20"/>
      <c r="BM97" s="20"/>
      <c r="BN97" s="20"/>
      <c r="BO97" s="20"/>
      <c r="BP97" s="20"/>
      <c r="BQ97" s="21"/>
    </row>
    <row r="98" spans="14:69" x14ac:dyDescent="0.25">
      <c r="N98" s="19"/>
      <c r="O98" s="20"/>
      <c r="P98" s="20"/>
      <c r="Q98" s="20"/>
      <c r="R98" s="20"/>
      <c r="S98" s="20"/>
      <c r="T98" s="20"/>
      <c r="U98" s="20"/>
      <c r="V98" s="20" t="e">
        <v>#NUM!</v>
      </c>
      <c r="W98" s="20" t="e">
        <v>#NUM!</v>
      </c>
      <c r="X98" s="20" t="e">
        <v>#NUM!</v>
      </c>
      <c r="Y98" s="20"/>
      <c r="Z98" s="20"/>
      <c r="AA98" s="20"/>
      <c r="AB98" s="20"/>
      <c r="AC98" s="20"/>
      <c r="AD98" s="20"/>
      <c r="AE98" s="20"/>
      <c r="AF98" s="20"/>
      <c r="AG98" s="20"/>
      <c r="AH98" s="20"/>
      <c r="AI98" s="20"/>
      <c r="AJ98" s="20"/>
      <c r="AK98" s="20"/>
      <c r="AL98" s="20"/>
      <c r="AM98" s="20"/>
      <c r="AN98" s="20"/>
      <c r="AO98" s="20"/>
      <c r="AP98" s="20"/>
      <c r="AQ98" s="20"/>
      <c r="AR98" s="20"/>
      <c r="AS98" s="20"/>
      <c r="AT98" s="20"/>
      <c r="AU98" s="20"/>
      <c r="AV98" s="20"/>
      <c r="AW98" s="20"/>
      <c r="AX98" s="20"/>
      <c r="AY98" s="20"/>
      <c r="AZ98" s="20"/>
      <c r="BA98" s="20"/>
      <c r="BB98" s="20"/>
      <c r="BC98" s="20"/>
      <c r="BD98" s="20"/>
      <c r="BE98" s="20"/>
      <c r="BF98" s="20"/>
      <c r="BG98" s="20"/>
      <c r="BH98" s="20"/>
      <c r="BI98" s="20"/>
      <c r="BJ98" s="20"/>
      <c r="BK98" s="20"/>
      <c r="BL98" s="20"/>
      <c r="BM98" s="20"/>
      <c r="BN98" s="20"/>
      <c r="BO98" s="20"/>
      <c r="BP98" s="20"/>
      <c r="BQ98" s="21"/>
    </row>
    <row r="99" spans="14:69" x14ac:dyDescent="0.25">
      <c r="N99" s="19"/>
      <c r="O99" s="20"/>
      <c r="P99" s="20"/>
      <c r="Q99" s="20"/>
      <c r="R99" s="20"/>
      <c r="S99" s="20"/>
      <c r="T99" s="20"/>
      <c r="U99" s="20"/>
      <c r="V99" s="20"/>
      <c r="W99" s="20"/>
      <c r="X99" s="20"/>
      <c r="Y99" s="20"/>
      <c r="Z99" s="20"/>
      <c r="AA99" s="20"/>
      <c r="AB99" s="20"/>
      <c r="AC99" s="20"/>
      <c r="AD99" s="20"/>
      <c r="AE99" s="20"/>
      <c r="AF99" s="20"/>
      <c r="AG99" s="20"/>
      <c r="AH99" s="20"/>
      <c r="AI99" s="20"/>
      <c r="AJ99" s="20"/>
      <c r="AK99" s="20"/>
      <c r="AL99" s="20"/>
      <c r="AM99" s="20"/>
      <c r="AN99" s="20"/>
      <c r="AO99" s="20"/>
      <c r="AP99" s="20"/>
      <c r="AQ99" s="20"/>
      <c r="AR99" s="20"/>
      <c r="AS99" s="20"/>
      <c r="AT99" s="20"/>
      <c r="AU99" s="20"/>
      <c r="AV99" s="20"/>
      <c r="AW99" s="20"/>
      <c r="AX99" s="20"/>
      <c r="AY99" s="20"/>
      <c r="AZ99" s="20"/>
      <c r="BA99" s="20"/>
      <c r="BB99" s="20"/>
      <c r="BC99" s="20"/>
      <c r="BD99" s="20"/>
      <c r="BE99" s="20"/>
      <c r="BF99" s="20"/>
      <c r="BG99" s="20"/>
      <c r="BH99" s="20"/>
      <c r="BI99" s="20"/>
      <c r="BJ99" s="20"/>
      <c r="BK99" s="20"/>
      <c r="BL99" s="20"/>
      <c r="BM99" s="20"/>
      <c r="BN99" s="20"/>
      <c r="BO99" s="20"/>
      <c r="BP99" s="20"/>
      <c r="BQ99" s="21"/>
    </row>
    <row r="100" spans="14:69" x14ac:dyDescent="0.25">
      <c r="N100" s="19"/>
      <c r="O100" s="20"/>
      <c r="P100" s="20"/>
      <c r="Q100" s="20"/>
      <c r="R100" s="20"/>
      <c r="S100" s="20"/>
      <c r="T100" s="20"/>
      <c r="U100" s="20">
        <f ca="1">T10</f>
        <v>0</v>
      </c>
      <c r="V100" s="20" t="e">
        <f t="array" ref="V100:V102">MMULT(V96:X98,U100:U102)</f>
        <v>#NUM!</v>
      </c>
      <c r="W100" s="20"/>
      <c r="X100" s="20"/>
      <c r="Y100" s="20"/>
      <c r="Z100" s="20"/>
      <c r="AA100" s="20"/>
      <c r="AB100" s="20"/>
      <c r="AC100" s="20"/>
      <c r="AD100" s="20" t="e">
        <f t="array" ref="AD100:AD101">MMULT(AD96:AE97,U100:U101)</f>
        <v>#NUM!</v>
      </c>
      <c r="AE100" s="20"/>
      <c r="AF100" s="20"/>
      <c r="AG100" s="20"/>
      <c r="AH100" s="20"/>
      <c r="AI100" s="20"/>
      <c r="AJ100" s="20">
        <f ca="1">U100</f>
        <v>0</v>
      </c>
      <c r="AK100" s="20" t="e">
        <f t="array" ref="AK100:AK101">MMULT(AK96:AL97,AJ100:AJ101)</f>
        <v>#NUM!</v>
      </c>
      <c r="AL100" s="20"/>
      <c r="AM100" s="20"/>
      <c r="AN100" s="20"/>
      <c r="AO100" s="20"/>
      <c r="AP100" s="20"/>
      <c r="AQ100" s="20"/>
      <c r="AR100" s="20" t="e">
        <f ca="1">U100/V92</f>
        <v>#DIV/0!</v>
      </c>
      <c r="AS100" s="20"/>
      <c r="AT100" s="20"/>
      <c r="AU100" s="20"/>
      <c r="AV100" s="20"/>
      <c r="AW100" s="20"/>
      <c r="AX100" s="20"/>
      <c r="AY100" s="20"/>
      <c r="AZ100" s="20"/>
      <c r="BA100" s="20"/>
      <c r="BB100" s="20"/>
      <c r="BC100" s="20"/>
      <c r="BD100" s="20"/>
      <c r="BE100" s="20"/>
      <c r="BF100" s="20"/>
      <c r="BG100" s="20"/>
      <c r="BH100" s="20"/>
      <c r="BI100" s="20"/>
      <c r="BJ100" s="20"/>
      <c r="BK100" s="20"/>
      <c r="BL100" s="20"/>
      <c r="BM100" s="20"/>
      <c r="BN100" s="20"/>
      <c r="BO100" s="20"/>
      <c r="BP100" s="20"/>
      <c r="BQ100" s="21"/>
    </row>
    <row r="101" spans="14:69" x14ac:dyDescent="0.25">
      <c r="N101" s="19"/>
      <c r="O101" s="20"/>
      <c r="P101" s="20"/>
      <c r="Q101" s="20"/>
      <c r="R101" s="20"/>
      <c r="S101" s="20"/>
      <c r="T101" s="20"/>
      <c r="U101" s="20">
        <f ca="1">T15</f>
        <v>4.9655172413793115E-2</v>
      </c>
      <c r="V101" s="20" t="e">
        <v>#NUM!</v>
      </c>
      <c r="W101" s="20"/>
      <c r="X101" s="20"/>
      <c r="Y101" s="20"/>
      <c r="Z101" s="20"/>
      <c r="AA101" s="20"/>
      <c r="AB101" s="20"/>
      <c r="AC101" s="20"/>
      <c r="AD101" s="20" t="e">
        <v>#NUM!</v>
      </c>
      <c r="AE101" s="20"/>
      <c r="AF101" s="20"/>
      <c r="AG101" s="20"/>
      <c r="AH101" s="20"/>
      <c r="AI101" s="20"/>
      <c r="AJ101" s="20">
        <f ca="1">U102</f>
        <v>-4.3448275862068945E-2</v>
      </c>
      <c r="AK101" s="20" t="e">
        <v>#NUM!</v>
      </c>
      <c r="AL101" s="20"/>
      <c r="AM101" s="20"/>
      <c r="AN101" s="20"/>
      <c r="AO101" s="20"/>
      <c r="AP101" s="20"/>
      <c r="AQ101" s="20"/>
      <c r="AR101" s="20"/>
      <c r="AS101" s="20"/>
      <c r="AT101" s="20"/>
      <c r="AU101" s="20"/>
      <c r="AV101" s="20"/>
      <c r="AW101" s="20"/>
      <c r="AX101" s="20"/>
      <c r="AY101" s="20"/>
      <c r="AZ101" s="20"/>
      <c r="BA101" s="20"/>
      <c r="BB101" s="20"/>
      <c r="BC101" s="20"/>
      <c r="BD101" s="20"/>
      <c r="BE101" s="20"/>
      <c r="BF101" s="20"/>
      <c r="BG101" s="20"/>
      <c r="BH101" s="20"/>
      <c r="BI101" s="20"/>
      <c r="BJ101" s="20"/>
      <c r="BK101" s="20"/>
      <c r="BL101" s="20"/>
      <c r="BM101" s="20"/>
      <c r="BN101" s="20"/>
      <c r="BO101" s="20"/>
      <c r="BP101" s="20"/>
      <c r="BQ101" s="21"/>
    </row>
    <row r="102" spans="14:69" x14ac:dyDescent="0.25">
      <c r="N102" s="19"/>
      <c r="O102" s="20"/>
      <c r="P102" s="20"/>
      <c r="Q102" s="20"/>
      <c r="R102" s="20"/>
      <c r="S102" s="20"/>
      <c r="T102" s="20"/>
      <c r="U102" s="20">
        <f ca="1">T16</f>
        <v>-4.3448275862068945E-2</v>
      </c>
      <c r="V102" s="20" t="e">
        <v>#NUM!</v>
      </c>
      <c r="W102" s="20"/>
      <c r="X102" s="20"/>
      <c r="Y102" s="20"/>
      <c r="Z102" s="20"/>
      <c r="AA102" s="20"/>
      <c r="AB102" s="20"/>
      <c r="AC102" s="20"/>
      <c r="AD102" s="20"/>
      <c r="AE102" s="20"/>
      <c r="AF102" s="20"/>
      <c r="AG102" s="20"/>
      <c r="AH102" s="20"/>
      <c r="AI102" s="20"/>
      <c r="AJ102" s="20"/>
      <c r="AK102" s="20"/>
      <c r="AL102" s="20"/>
      <c r="AM102" s="20"/>
      <c r="AN102" s="20"/>
      <c r="AO102" s="20"/>
      <c r="AP102" s="20"/>
      <c r="AQ102" s="20"/>
      <c r="AR102" s="20"/>
      <c r="AS102" s="20"/>
      <c r="AT102" s="20"/>
      <c r="AU102" s="20"/>
      <c r="AV102" s="20"/>
      <c r="AW102" s="20"/>
      <c r="AX102" s="20"/>
      <c r="AY102" s="20"/>
      <c r="AZ102" s="20"/>
      <c r="BA102" s="20"/>
      <c r="BB102" s="20"/>
      <c r="BC102" s="20"/>
      <c r="BD102" s="20"/>
      <c r="BE102" s="20"/>
      <c r="BF102" s="20"/>
      <c r="BG102" s="20"/>
      <c r="BH102" s="20"/>
      <c r="BI102" s="20"/>
      <c r="BJ102" s="20"/>
      <c r="BK102" s="20"/>
      <c r="BL102" s="20"/>
      <c r="BM102" s="20"/>
      <c r="BN102" s="20"/>
      <c r="BO102" s="20"/>
      <c r="BP102" s="20"/>
      <c r="BQ102" s="21"/>
    </row>
    <row r="103" spans="14:69" ht="15.75" thickBot="1" x14ac:dyDescent="0.3">
      <c r="N103" s="23"/>
      <c r="O103" s="24"/>
      <c r="P103" s="24"/>
      <c r="Q103" s="24"/>
      <c r="R103" s="24"/>
      <c r="S103" s="24"/>
      <c r="T103" s="24"/>
      <c r="U103" s="24"/>
      <c r="V103" s="24"/>
      <c r="W103" s="24"/>
      <c r="X103" s="24"/>
      <c r="Y103" s="24"/>
      <c r="Z103" s="24"/>
      <c r="AA103" s="24"/>
      <c r="AB103" s="24"/>
      <c r="AC103" s="24"/>
      <c r="AD103" s="24"/>
      <c r="AE103" s="24"/>
      <c r="AF103" s="24"/>
      <c r="AG103" s="24"/>
      <c r="AH103" s="24"/>
      <c r="AI103" s="24"/>
      <c r="AJ103" s="24"/>
      <c r="AK103" s="24"/>
      <c r="AL103" s="24"/>
      <c r="AM103" s="24"/>
      <c r="AN103" s="24"/>
      <c r="AO103" s="24"/>
      <c r="AP103" s="24"/>
      <c r="AQ103" s="24"/>
      <c r="AR103" s="24"/>
      <c r="AS103" s="24"/>
      <c r="AT103" s="24"/>
      <c r="AU103" s="24"/>
      <c r="AV103" s="24"/>
      <c r="AW103" s="24"/>
      <c r="AX103" s="24"/>
      <c r="AY103" s="24"/>
      <c r="AZ103" s="24"/>
      <c r="BA103" s="24"/>
      <c r="BB103" s="24"/>
      <c r="BC103" s="24"/>
      <c r="BD103" s="24"/>
      <c r="BE103" s="24"/>
      <c r="BF103" s="24"/>
      <c r="BG103" s="24"/>
      <c r="BH103" s="24"/>
      <c r="BI103" s="24"/>
      <c r="BJ103" s="24"/>
      <c r="BK103" s="24"/>
      <c r="BL103" s="24"/>
      <c r="BM103" s="24"/>
      <c r="BN103" s="24"/>
      <c r="BO103" s="24"/>
      <c r="BP103" s="24"/>
      <c r="BQ103" s="25"/>
    </row>
    <row r="105" spans="14:69" x14ac:dyDescent="0.25">
      <c r="Q105">
        <f>O3/240</f>
        <v>4.1666666666666664E-2</v>
      </c>
    </row>
    <row r="106" spans="14:69" x14ac:dyDescent="0.25">
      <c r="N106" s="1" t="s">
        <v>64</v>
      </c>
      <c r="O106" s="1" t="s">
        <v>45</v>
      </c>
      <c r="P106" s="1" t="s">
        <v>46</v>
      </c>
      <c r="R106" s="1" t="s">
        <v>19</v>
      </c>
      <c r="S106" s="1" t="s">
        <v>20</v>
      </c>
      <c r="T106" s="1" t="s">
        <v>21</v>
      </c>
      <c r="U106" s="1" t="s">
        <v>39</v>
      </c>
      <c r="V106" s="1" t="s">
        <v>129</v>
      </c>
      <c r="X106" s="1" t="s">
        <v>45</v>
      </c>
      <c r="Y106" s="1" t="s">
        <v>46</v>
      </c>
      <c r="Z106" s="1" t="s">
        <v>45</v>
      </c>
      <c r="AA106" s="1" t="s">
        <v>46</v>
      </c>
    </row>
    <row r="107" spans="14:69" x14ac:dyDescent="0.25">
      <c r="N107">
        <v>1</v>
      </c>
      <c r="O107" s="12">
        <f t="shared" ref="O107:O138" si="66">Q107+$F$12</f>
        <v>0</v>
      </c>
      <c r="P107">
        <f t="shared" ref="P107:P138" ca="1" si="67">OFFSET(R107,0,$O$2)</f>
        <v>1.5</v>
      </c>
      <c r="Q107">
        <f t="shared" ref="Q107:Q133" si="68">(N107-1)*$Q$105</f>
        <v>0</v>
      </c>
      <c r="R107" cm="1">
        <f t="array" aca="1" ref="R107:U107" ca="1">center_span(Beam_Analysis!$J$29,Q107,Beam_Analysis!$D$3,Beam_Analysis!$D$2,Beam_Analysis!$J$33:$O$79,Beam_Analysis!$G$5:$P$5,0)</f>
        <v>1.5</v>
      </c>
      <c r="S107">
        <f ca="1"/>
        <v>0</v>
      </c>
      <c r="T107">
        <f ca="1"/>
        <v>-4.9655172413793115E-2</v>
      </c>
      <c r="U107">
        <f ca="1"/>
        <v>0</v>
      </c>
      <c r="V107">
        <f ca="1">(S107*12)/(Beam_Analysis!$B$2*Beam_Analysis!$B$3)</f>
        <v>0</v>
      </c>
      <c r="X107">
        <f>Beam_Analysis!A10+Data!F12</f>
        <v>1</v>
      </c>
      <c r="Y107">
        <v>0</v>
      </c>
      <c r="Z107">
        <f>F12+Beam_Analysis!A11</f>
        <v>8</v>
      </c>
      <c r="AA107">
        <v>0</v>
      </c>
    </row>
    <row r="108" spans="14:69" x14ac:dyDescent="0.25">
      <c r="N108">
        <v>2</v>
      </c>
      <c r="O108" s="12">
        <f t="shared" si="66"/>
        <v>4.1666666666666664E-2</v>
      </c>
      <c r="P108">
        <f t="shared" ca="1" si="67"/>
        <v>1.4812890624999999</v>
      </c>
      <c r="Q108">
        <f t="shared" si="68"/>
        <v>4.1666666666666664E-2</v>
      </c>
      <c r="R108" cm="1">
        <f t="array" aca="1" ref="R108:U108" ca="1">center_span(Beam_Analysis!$J$29,Q108,Beam_Analysis!$D$3,Beam_Analysis!$D$2,Beam_Analysis!$J$33:$O$79,Beam_Analysis!$G$5:$P$5,0)</f>
        <v>1.4812890624999999</v>
      </c>
      <c r="S108">
        <f ca="1"/>
        <v>6.2109917534722218E-2</v>
      </c>
      <c r="T108">
        <f ca="1"/>
        <v>-4.9648733808144767E-2</v>
      </c>
      <c r="U108">
        <f ca="1"/>
        <v>-2.482651198534034E-2</v>
      </c>
      <c r="V108">
        <f ca="1">(S108*12)/(Beam_Analysis!$B$2*Beam_Analysis!$B$3)</f>
        <v>2.5700655531609194E-5</v>
      </c>
      <c r="X108">
        <f>X107</f>
        <v>1</v>
      </c>
      <c r="Y108">
        <f ca="1">OFFSET(Beam_Analysis!A10,0,Data!O2+1)</f>
        <v>1.0725</v>
      </c>
      <c r="Z108">
        <f>Z107</f>
        <v>8</v>
      </c>
      <c r="AA108">
        <f ca="1">OFFSET(Beam_Analysis!A11,0,Data!O2+1)</f>
        <v>-0.66000000000000014</v>
      </c>
    </row>
    <row r="109" spans="14:69" x14ac:dyDescent="0.25">
      <c r="N109">
        <v>3</v>
      </c>
      <c r="O109" s="12">
        <f t="shared" si="66"/>
        <v>8.3333333333333329E-2</v>
      </c>
      <c r="P109">
        <f t="shared" ca="1" si="67"/>
        <v>1.46265625</v>
      </c>
      <c r="Q109">
        <f t="shared" si="68"/>
        <v>8.3333333333333329E-2</v>
      </c>
      <c r="R109" cm="1">
        <f t="array" aca="1" ref="R109:U109" ca="1">center_span(Beam_Analysis!$J$29,Q109,Beam_Analysis!$D$3,Beam_Analysis!$D$2,Beam_Analysis!$J$33:$O$79,Beam_Analysis!$G$5:$P$5,0)</f>
        <v>1.46265625</v>
      </c>
      <c r="S109">
        <f ca="1"/>
        <v>0.12344184027777777</v>
      </c>
      <c r="T109">
        <f ca="1"/>
        <v>-4.9629525413074721E-2</v>
      </c>
      <c r="U109">
        <f ca="1"/>
        <v>-4.9646605513649439E-2</v>
      </c>
      <c r="V109">
        <f ca="1">(S109*12)/(Beam_Analysis!$B$2*Beam_Analysis!$B$3)</f>
        <v>5.1079382183908046E-5</v>
      </c>
    </row>
    <row r="110" spans="14:69" x14ac:dyDescent="0.25">
      <c r="N110">
        <v>4</v>
      </c>
      <c r="O110" s="12">
        <f t="shared" si="66"/>
        <v>0.125</v>
      </c>
      <c r="P110">
        <f t="shared" ca="1" si="67"/>
        <v>1.4441015625</v>
      </c>
      <c r="Q110">
        <f t="shared" si="68"/>
        <v>0.125</v>
      </c>
      <c r="R110" cm="1">
        <f t="array" aca="1" ref="R110:U110" ca="1">center_span(Beam_Analysis!$J$29,Q110,Beam_Analysis!$D$3,Beam_Analysis!$D$2,Beam_Analysis!$J$33:$O$79,Beam_Analysis!$G$5:$P$5,0)</f>
        <v>1.4441015625</v>
      </c>
      <c r="S110">
        <f ca="1"/>
        <v>0.18399902343749999</v>
      </c>
      <c r="T110">
        <f ca="1"/>
        <v>-4.959770785627695E-2</v>
      </c>
      <c r="U110">
        <f ca="1"/>
        <v>-7.4453935875202076E-2</v>
      </c>
      <c r="V110">
        <f ca="1">(S110*12)/(Beam_Analysis!$B$2*Beam_Analysis!$B$3)</f>
        <v>7.6137526939655179E-5</v>
      </c>
      <c r="X110" t="e">
        <f>IF(O2=1,F12+Beam_Analysis!A15,NA())</f>
        <v>#N/A</v>
      </c>
      <c r="Y110">
        <v>0</v>
      </c>
      <c r="Z110" t="e">
        <f>IF(O2=3,F12+Beam_Analysis!A19,NA())</f>
        <v>#N/A</v>
      </c>
      <c r="AA110">
        <v>0</v>
      </c>
    </row>
    <row r="111" spans="14:69" x14ac:dyDescent="0.25">
      <c r="N111">
        <v>5</v>
      </c>
      <c r="O111" s="12">
        <f t="shared" si="66"/>
        <v>0.16666666666666666</v>
      </c>
      <c r="P111">
        <f t="shared" ca="1" si="67"/>
        <v>1.4256249999999999</v>
      </c>
      <c r="Q111">
        <f t="shared" si="68"/>
        <v>0.16666666666666666</v>
      </c>
      <c r="R111" cm="1">
        <f t="array" aca="1" ref="R111:U111" ca="1">center_span(Beam_Analysis!$J$29,Q111,Beam_Analysis!$D$3,Beam_Analysis!$D$2,Beam_Analysis!$J$33:$O$79,Beam_Analysis!$G$5:$P$5,0)</f>
        <v>1.4256249999999999</v>
      </c>
      <c r="S111">
        <f ca="1"/>
        <v>0.24378472222222222</v>
      </c>
      <c r="T111">
        <f ca="1"/>
        <v>-4.9553441091954031E-2</v>
      </c>
      <c r="U111">
        <f ca="1"/>
        <v>-9.9242238505747135E-2</v>
      </c>
      <c r="V111">
        <f ca="1">(S111*12)/(Beam_Analysis!$B$2*Beam_Analysis!$B$3)</f>
        <v>1.0087643678160919E-4</v>
      </c>
      <c r="X111" t="e">
        <f>X110</f>
        <v>#N/A</v>
      </c>
      <c r="Y111" t="e">
        <f ca="1">IF(O2=1,OFFSET(Beam_Analysis!A15,0,Data!O2+1),NA())</f>
        <v>#N/A</v>
      </c>
      <c r="Z111" t="e">
        <f>Z110</f>
        <v>#N/A</v>
      </c>
      <c r="AA111" t="e">
        <f ca="1">IF(O2=3,OFFSET(Beam_Analysis!A19,0,Data!O2+1),NA())</f>
        <v>#N/A</v>
      </c>
    </row>
    <row r="112" spans="14:69" x14ac:dyDescent="0.25">
      <c r="N112">
        <v>6</v>
      </c>
      <c r="O112" s="12">
        <f t="shared" si="66"/>
        <v>0.20833333333333331</v>
      </c>
      <c r="P112">
        <f t="shared" ca="1" si="67"/>
        <v>1.4072265625</v>
      </c>
      <c r="Q112">
        <f t="shared" si="68"/>
        <v>0.20833333333333331</v>
      </c>
      <c r="R112" cm="1">
        <f t="array" aca="1" ref="R112:U112" ca="1">center_span(Beam_Analysis!$J$29,Q112,Beam_Analysis!$D$3,Beam_Analysis!$D$2,Beam_Analysis!$J$33:$O$79,Beam_Analysis!$G$5:$P$5,0)</f>
        <v>1.4072265625</v>
      </c>
      <c r="S112">
        <f ca="1"/>
        <v>0.30280219184027773</v>
      </c>
      <c r="T112">
        <f ca="1"/>
        <v>-4.9496884400817183E-2</v>
      </c>
      <c r="U112">
        <f ca="1"/>
        <v>-0.12400532864976205</v>
      </c>
      <c r="V112">
        <f ca="1">(S112*12)/(Beam_Analysis!$B$2*Beam_Analysis!$B$3)</f>
        <v>1.2529745869252872E-4</v>
      </c>
    </row>
    <row r="113" spans="14:22" x14ac:dyDescent="0.25">
      <c r="N113">
        <v>7</v>
      </c>
      <c r="O113" s="12">
        <f t="shared" si="66"/>
        <v>0.25</v>
      </c>
      <c r="P113">
        <f t="shared" ca="1" si="67"/>
        <v>1.38890625</v>
      </c>
      <c r="Q113">
        <f t="shared" si="68"/>
        <v>0.25</v>
      </c>
      <c r="R113" cm="1">
        <f t="array" aca="1" ref="R113:U113" ca="1">center_span(Beam_Analysis!$J$29,Q113,Beam_Analysis!$D$3,Beam_Analysis!$D$2,Beam_Analysis!$J$33:$O$79,Beam_Analysis!$G$5:$P$5,0)</f>
        <v>1.38890625</v>
      </c>
      <c r="S113">
        <f ca="1"/>
        <v>0.36105468750000003</v>
      </c>
      <c r="T113">
        <f ca="1"/>
        <v>-4.9428196390086221E-2</v>
      </c>
      <c r="U113">
        <f ca="1"/>
        <v>-0.14873710102370694</v>
      </c>
      <c r="V113">
        <f ca="1">(S113*12)/(Beam_Analysis!$B$2*Beam_Analysis!$B$3)</f>
        <v>1.4940193965517243E-4</v>
      </c>
    </row>
    <row r="114" spans="14:22" x14ac:dyDescent="0.25">
      <c r="N114">
        <v>8</v>
      </c>
      <c r="O114" s="12">
        <f t="shared" si="66"/>
        <v>0.29166666666666663</v>
      </c>
      <c r="P114">
        <f t="shared" ca="1" si="67"/>
        <v>1.3706640624999999</v>
      </c>
      <c r="Q114">
        <f t="shared" si="68"/>
        <v>0.29166666666666663</v>
      </c>
      <c r="R114" cm="1">
        <f t="array" aca="1" ref="R114:U114" ca="1">center_span(Beam_Analysis!$J$29,Q114,Beam_Analysis!$D$3,Beam_Analysis!$D$2,Beam_Analysis!$J$33:$O$79,Beam_Analysis!$G$5:$P$5,0)</f>
        <v>1.3706640624999999</v>
      </c>
      <c r="S114">
        <f ca="1"/>
        <v>0.41854546440972218</v>
      </c>
      <c r="T114">
        <f ca="1"/>
        <v>-4.9347534993489595E-2</v>
      </c>
      <c r="U114">
        <f ca="1"/>
        <v>-0.17343152947927892</v>
      </c>
      <c r="V114">
        <f ca="1">(S114*12)/(Beam_Analysis!$B$2*Beam_Analysis!$B$3)</f>
        <v>1.7319122665229882E-4</v>
      </c>
    </row>
    <row r="115" spans="14:22" x14ac:dyDescent="0.25">
      <c r="N115">
        <v>9</v>
      </c>
      <c r="O115" s="12">
        <f t="shared" si="66"/>
        <v>0.33333333333333331</v>
      </c>
      <c r="P115">
        <f t="shared" ca="1" si="67"/>
        <v>1.3525</v>
      </c>
      <c r="Q115">
        <f t="shared" si="68"/>
        <v>0.33333333333333331</v>
      </c>
      <c r="R115" cm="1">
        <f t="array" aca="1" ref="R115:U115" ca="1">center_span(Beam_Analysis!$J$29,Q115,Beam_Analysis!$D$3,Beam_Analysis!$D$2,Beam_Analysis!$J$33:$O$79,Beam_Analysis!$G$5:$P$5,0)</f>
        <v>1.3525</v>
      </c>
      <c r="S115">
        <f ca="1"/>
        <v>0.47527777777777774</v>
      </c>
      <c r="T115">
        <f ca="1"/>
        <v>-4.925505747126438E-2</v>
      </c>
      <c r="U115">
        <f ca="1"/>
        <v>-0.19808266666666668</v>
      </c>
      <c r="V115">
        <f ca="1">(S115*12)/(Beam_Analysis!$B$2*Beam_Analysis!$B$3)</f>
        <v>1.9666666666666666E-4</v>
      </c>
    </row>
    <row r="116" spans="14:22" x14ac:dyDescent="0.25">
      <c r="N116">
        <v>10</v>
      </c>
      <c r="O116" s="12">
        <f t="shared" si="66"/>
        <v>0.375</v>
      </c>
      <c r="P116">
        <f t="shared" ca="1" si="67"/>
        <v>1.3344140625000001</v>
      </c>
      <c r="Q116">
        <f t="shared" si="68"/>
        <v>0.375</v>
      </c>
      <c r="R116" cm="1">
        <f t="array" aca="1" ref="R116:U116" ca="1">center_span(Beam_Analysis!$J$29,Q116,Beam_Analysis!$D$3,Beam_Analysis!$D$2,Beam_Analysis!$J$33:$O$79,Beam_Analysis!$G$5:$P$5,0)</f>
        <v>1.3344140625000001</v>
      </c>
      <c r="S116">
        <f ca="1"/>
        <v>0.5312548828125</v>
      </c>
      <c r="T116">
        <f ca="1"/>
        <v>-4.9150920410156264E-2</v>
      </c>
      <c r="U116">
        <f ca="1"/>
        <v>-0.2226846436978045</v>
      </c>
      <c r="V116">
        <f ca="1">(S116*12)/(Beam_Analysis!$B$2*Beam_Analysis!$B$3)</f>
        <v>2.1982960668103446E-4</v>
      </c>
    </row>
    <row r="117" spans="14:22" x14ac:dyDescent="0.25">
      <c r="N117">
        <v>11</v>
      </c>
      <c r="O117" s="12">
        <f t="shared" si="66"/>
        <v>0.41666666666666663</v>
      </c>
      <c r="P117">
        <f t="shared" ca="1" si="67"/>
        <v>1.31640625</v>
      </c>
      <c r="Q117">
        <f t="shared" si="68"/>
        <v>0.41666666666666663</v>
      </c>
      <c r="R117" cm="1">
        <f t="array" aca="1" ref="R117:U117" ca="1">center_span(Beam_Analysis!$J$29,Q117,Beam_Analysis!$D$3,Beam_Analysis!$D$2,Beam_Analysis!$J$33:$O$79,Beam_Analysis!$G$5:$P$5,0)</f>
        <v>1.31640625</v>
      </c>
      <c r="S117">
        <f ca="1"/>
        <v>0.58648003472222221</v>
      </c>
      <c r="T117">
        <f ca="1"/>
        <v>-4.9035279723419554E-2</v>
      </c>
      <c r="U117">
        <f ca="1"/>
        <v>-0.24723166980962646</v>
      </c>
      <c r="V117">
        <f ca="1">(S117*12)/(Beam_Analysis!$B$2*Beam_Analysis!$B$3)</f>
        <v>2.4268139367816089E-4</v>
      </c>
    </row>
    <row r="118" spans="14:22" x14ac:dyDescent="0.25">
      <c r="N118">
        <v>12</v>
      </c>
      <c r="O118" s="12">
        <f t="shared" si="66"/>
        <v>0.45833333333333331</v>
      </c>
      <c r="P118">
        <f t="shared" ca="1" si="67"/>
        <v>1.2984765625000001</v>
      </c>
      <c r="Q118">
        <f t="shared" si="68"/>
        <v>0.45833333333333331</v>
      </c>
      <c r="R118" cm="1">
        <f t="array" aca="1" ref="R118:U118" ca="1">center_span(Beam_Analysis!$J$29,Q118,Beam_Analysis!$D$3,Beam_Analysis!$D$2,Beam_Analysis!$J$33:$O$79,Beam_Analysis!$G$5:$P$5,0)</f>
        <v>1.2984765625000001</v>
      </c>
      <c r="S118">
        <f ca="1"/>
        <v>0.64095648871527777</v>
      </c>
      <c r="T118">
        <f ca="1"/>
        <v>-4.8908290650817178E-2</v>
      </c>
      <c r="U118">
        <f ca="1"/>
        <v>-0.27171803202732137</v>
      </c>
      <c r="V118">
        <f ca="1">(S118*12)/(Beam_Analysis!$B$2*Beam_Analysis!$B$3)</f>
        <v>2.6522337464080463E-4</v>
      </c>
    </row>
    <row r="119" spans="14:22" x14ac:dyDescent="0.25">
      <c r="N119">
        <v>13</v>
      </c>
      <c r="O119" s="12">
        <f t="shared" si="66"/>
        <v>0.5</v>
      </c>
      <c r="P119">
        <f t="shared" ca="1" si="67"/>
        <v>1.2806249999999999</v>
      </c>
      <c r="Q119">
        <f t="shared" si="68"/>
        <v>0.5</v>
      </c>
      <c r="R119" cm="1">
        <f t="array" aca="1" ref="R119:U119" ca="1">center_span(Beam_Analysis!$J$29,Q119,Beam_Analysis!$D$3,Beam_Analysis!$D$2,Beam_Analysis!$J$33:$O$79,Beam_Analysis!$G$5:$P$5,0)</f>
        <v>1.2806249999999999</v>
      </c>
      <c r="S119">
        <f ca="1"/>
        <v>0.69468750000000001</v>
      </c>
      <c r="T119">
        <f ca="1"/>
        <v>-4.8770107758620701E-2</v>
      </c>
      <c r="U119">
        <f ca="1"/>
        <v>-0.2961380948275863</v>
      </c>
      <c r="V119">
        <f ca="1">(S119*12)/(Beam_Analysis!$B$2*Beam_Analysis!$B$3)</f>
        <v>2.8745689655172414E-4</v>
      </c>
    </row>
    <row r="120" spans="14:22" x14ac:dyDescent="0.25">
      <c r="N120">
        <v>14</v>
      </c>
      <c r="O120" s="12">
        <f t="shared" si="66"/>
        <v>0.54166666666666663</v>
      </c>
      <c r="P120">
        <f t="shared" ca="1" si="67"/>
        <v>1.2628515625000001</v>
      </c>
      <c r="Q120">
        <f t="shared" si="68"/>
        <v>0.54166666666666663</v>
      </c>
      <c r="R120" cm="1">
        <f t="array" aca="1" ref="R120:U120" ca="1">center_span(Beam_Analysis!$J$29,Q120,Beam_Analysis!$D$3,Beam_Analysis!$D$2,Beam_Analysis!$J$33:$O$79,Beam_Analysis!$G$5:$P$5,0)</f>
        <v>1.2628515625000001</v>
      </c>
      <c r="S120">
        <f ca="1"/>
        <v>0.74767632378472215</v>
      </c>
      <c r="T120">
        <f ca="1"/>
        <v>-4.8620884939610282E-2</v>
      </c>
      <c r="U120">
        <f ca="1"/>
        <v>-0.32048629980188131</v>
      </c>
      <c r="V120">
        <f ca="1">(S120*12)/(Beam_Analysis!$B$2*Beam_Analysis!$B$3)</f>
        <v>3.0938330639367816E-4</v>
      </c>
    </row>
    <row r="121" spans="14:22" x14ac:dyDescent="0.25">
      <c r="N121">
        <v>15</v>
      </c>
      <c r="O121" s="12">
        <f t="shared" si="66"/>
        <v>0.58333333333333326</v>
      </c>
      <c r="P121">
        <f t="shared" ca="1" si="67"/>
        <v>1.24515625</v>
      </c>
      <c r="Q121">
        <f t="shared" si="68"/>
        <v>0.58333333333333326</v>
      </c>
      <c r="R121" cm="1">
        <f t="array" aca="1" ref="R121:U121" ca="1">center_span(Beam_Analysis!$J$29,Q121,Beam_Analysis!$D$3,Beam_Analysis!$D$2,Beam_Analysis!$J$33:$O$79,Beam_Analysis!$G$5:$P$5,0)</f>
        <v>1.24515625</v>
      </c>
      <c r="S121">
        <f ca="1"/>
        <v>0.79992621527777763</v>
      </c>
      <c r="T121">
        <f ca="1"/>
        <v>-4.8460775413074725E-2</v>
      </c>
      <c r="U121">
        <f ca="1"/>
        <v>-0.34475716531968398</v>
      </c>
      <c r="V121">
        <f ca="1">(S121*12)/(Beam_Analysis!$B$2*Beam_Analysis!$B$3)</f>
        <v>3.3100395114942524E-4</v>
      </c>
    </row>
    <row r="122" spans="14:22" x14ac:dyDescent="0.25">
      <c r="N122">
        <v>16</v>
      </c>
      <c r="O122" s="12">
        <f t="shared" si="66"/>
        <v>0.625</v>
      </c>
      <c r="P122">
        <f t="shared" ca="1" si="67"/>
        <v>1.2275390625</v>
      </c>
      <c r="Q122">
        <f t="shared" si="68"/>
        <v>0.625</v>
      </c>
      <c r="R122" cm="1">
        <f t="array" aca="1" ref="R122:U122" ca="1">center_span(Beam_Analysis!$J$29,Q122,Beam_Analysis!$D$3,Beam_Analysis!$D$2,Beam_Analysis!$J$33:$O$79,Beam_Analysis!$G$5:$P$5,0)</f>
        <v>1.2275390625</v>
      </c>
      <c r="S122">
        <f ca="1"/>
        <v>0.8514404296875</v>
      </c>
      <c r="T122">
        <f ca="1"/>
        <v>-4.8289931724811434E-2</v>
      </c>
      <c r="U122">
        <f ca="1"/>
        <v>-0.36894528619174305</v>
      </c>
      <c r="V122">
        <f ca="1">(S122*12)/(Beam_Analysis!$B$2*Beam_Analysis!$B$3)</f>
        <v>3.5232017780172412E-4</v>
      </c>
    </row>
    <row r="123" spans="14:22" x14ac:dyDescent="0.25">
      <c r="N123">
        <v>17</v>
      </c>
      <c r="O123" s="12">
        <f t="shared" si="66"/>
        <v>0.66666666666666663</v>
      </c>
      <c r="P123">
        <f t="shared" ca="1" si="67"/>
        <v>1.21</v>
      </c>
      <c r="Q123">
        <f t="shared" si="68"/>
        <v>0.66666666666666663</v>
      </c>
      <c r="R123" cm="1">
        <f t="array" aca="1" ref="R123:U123" ca="1">center_span(Beam_Analysis!$J$29,Q123,Beam_Analysis!$D$3,Beam_Analysis!$D$2,Beam_Analysis!$J$33:$O$79,Beam_Analysis!$G$5:$P$5,0)</f>
        <v>1.21</v>
      </c>
      <c r="S123">
        <f ca="1"/>
        <v>0.90222222222222215</v>
      </c>
      <c r="T123">
        <f ca="1"/>
        <v>-4.8108505747126447E-2</v>
      </c>
      <c r="U123">
        <f ca="1"/>
        <v>-0.39304533333333341</v>
      </c>
      <c r="V123">
        <f ca="1">(S123*12)/(Beam_Analysis!$B$2*Beam_Analysis!$B$3)</f>
        <v>3.7333333333333332E-4</v>
      </c>
    </row>
    <row r="124" spans="14:22" x14ac:dyDescent="0.25">
      <c r="N124">
        <v>18</v>
      </c>
      <c r="O124" s="12">
        <f t="shared" si="66"/>
        <v>0.70833333333333326</v>
      </c>
      <c r="P124">
        <f t="shared" ca="1" si="67"/>
        <v>1.1925390625000001</v>
      </c>
      <c r="Q124">
        <f t="shared" si="68"/>
        <v>0.70833333333333326</v>
      </c>
      <c r="R124" cm="1">
        <f t="array" aca="1" ref="R124:U124" ca="1">center_span(Beam_Analysis!$J$29,Q124,Beam_Analysis!$D$3,Beam_Analysis!$D$2,Beam_Analysis!$J$33:$O$79,Beam_Analysis!$G$5:$P$5,0)</f>
        <v>1.1925390625000001</v>
      </c>
      <c r="S124">
        <f ca="1"/>
        <v>0.95227484809027774</v>
      </c>
      <c r="T124">
        <f ca="1"/>
        <v>-4.7916648678834425E-2</v>
      </c>
      <c r="U124">
        <f ca="1"/>
        <v>-0.41705205342750989</v>
      </c>
      <c r="V124">
        <f ca="1">(S124*12)/(Beam_Analysis!$B$2*Beam_Analysis!$B$3)</f>
        <v>3.940447647270115E-4</v>
      </c>
    </row>
    <row r="125" spans="14:22" x14ac:dyDescent="0.25">
      <c r="N125">
        <v>19</v>
      </c>
      <c r="O125" s="12">
        <f t="shared" si="66"/>
        <v>0.75</v>
      </c>
      <c r="P125">
        <f t="shared" ca="1" si="67"/>
        <v>1.1751562499999999</v>
      </c>
      <c r="Q125">
        <f t="shared" si="68"/>
        <v>0.75</v>
      </c>
      <c r="R125" cm="1">
        <f t="array" aca="1" ref="R125:U125" ca="1">center_span(Beam_Analysis!$J$29,Q125,Beam_Analysis!$D$3,Beam_Analysis!$D$2,Beam_Analysis!$J$33:$O$79,Beam_Analysis!$G$5:$P$5,0)</f>
        <v>1.1751562499999999</v>
      </c>
      <c r="S125">
        <f ca="1"/>
        <v>1.0016015625000001</v>
      </c>
      <c r="T125">
        <f ca="1"/>
        <v>-4.7714511045258631E-2</v>
      </c>
      <c r="U125">
        <f ca="1"/>
        <v>-0.44096026858836218</v>
      </c>
      <c r="V125">
        <f ca="1">(S125*12)/(Beam_Analysis!$B$2*Beam_Analysis!$B$3)</f>
        <v>4.1445581896551724E-4</v>
      </c>
    </row>
    <row r="126" spans="14:22" x14ac:dyDescent="0.25">
      <c r="N126">
        <v>20</v>
      </c>
      <c r="O126" s="12">
        <f t="shared" si="66"/>
        <v>0.79166666666666663</v>
      </c>
      <c r="P126">
        <f t="shared" ca="1" si="67"/>
        <v>1.1578515625000001</v>
      </c>
      <c r="Q126">
        <f t="shared" si="68"/>
        <v>0.79166666666666663</v>
      </c>
      <c r="R126" cm="1">
        <f t="array" aca="1" ref="R126:U126" ca="1">center_span(Beam_Analysis!$J$29,Q126,Beam_Analysis!$D$3,Beam_Analysis!$D$2,Beam_Analysis!$J$33:$O$79,Beam_Analysis!$G$5:$P$5,0)</f>
        <v>1.1578515625000001</v>
      </c>
      <c r="S126">
        <f ca="1"/>
        <v>1.0502056206597221</v>
      </c>
      <c r="T126">
        <f ca="1"/>
        <v>-4.7502242698230973E-2</v>
      </c>
      <c r="U126">
        <f ca="1"/>
        <v>-0.46476487602426819</v>
      </c>
      <c r="V126">
        <f ca="1">(S126*12)/(Beam_Analysis!$B$2*Beam_Analysis!$B$3)</f>
        <v>4.3456784303160916E-4</v>
      </c>
    </row>
    <row r="127" spans="14:22" x14ac:dyDescent="0.25">
      <c r="N127">
        <v>21</v>
      </c>
      <c r="O127" s="12">
        <f t="shared" si="66"/>
        <v>0.83333333333333326</v>
      </c>
      <c r="P127">
        <f t="shared" ca="1" si="67"/>
        <v>1.140625</v>
      </c>
      <c r="Q127">
        <f t="shared" si="68"/>
        <v>0.83333333333333326</v>
      </c>
      <c r="R127" cm="1">
        <f t="array" aca="1" ref="R127:U127" ca="1">center_span(Beam_Analysis!$J$29,Q127,Beam_Analysis!$D$3,Beam_Analysis!$D$2,Beam_Analysis!$J$33:$O$79,Beam_Analysis!$G$5:$P$5,0)</f>
        <v>1.140625</v>
      </c>
      <c r="S127">
        <f ca="1"/>
        <v>1.0980902777777777</v>
      </c>
      <c r="T127">
        <f ca="1"/>
        <v>-4.7279992816091965E-2</v>
      </c>
      <c r="U127">
        <f ca="1"/>
        <v>-0.4884608477011495</v>
      </c>
      <c r="V127">
        <f ca="1">(S127*12)/(Beam_Analysis!$B$2*Beam_Analysis!$B$3)</f>
        <v>4.5438218390804594E-4</v>
      </c>
    </row>
    <row r="128" spans="14:22" x14ac:dyDescent="0.25">
      <c r="N128">
        <v>22</v>
      </c>
      <c r="O128" s="12">
        <f t="shared" si="66"/>
        <v>0.875</v>
      </c>
      <c r="P128">
        <f t="shared" ca="1" si="67"/>
        <v>1.1234765625000001</v>
      </c>
      <c r="Q128">
        <f t="shared" si="68"/>
        <v>0.875</v>
      </c>
      <c r="R128" cm="1">
        <f t="array" aca="1" ref="R128:U128" ca="1">center_span(Beam_Analysis!$J$29,Q128,Beam_Analysis!$D$3,Beam_Analysis!$D$2,Beam_Analysis!$J$33:$O$79,Beam_Analysis!$G$5:$P$5,0)</f>
        <v>1.1234765625000001</v>
      </c>
      <c r="S128">
        <f ca="1"/>
        <v>1.1452587890624999</v>
      </c>
      <c r="T128">
        <f ca="1"/>
        <v>-4.7047909903690746E-2</v>
      </c>
      <c r="U128">
        <f ca="1"/>
        <v>-0.51204323000572483</v>
      </c>
      <c r="V128">
        <f ca="1">(S128*12)/(Beam_Analysis!$B$2*Beam_Analysis!$B$3)</f>
        <v>4.7390018857758614E-4</v>
      </c>
    </row>
    <row r="129" spans="14:22" x14ac:dyDescent="0.25">
      <c r="N129">
        <v>23</v>
      </c>
      <c r="O129" s="12">
        <f t="shared" si="66"/>
        <v>0.91666666666666663</v>
      </c>
      <c r="P129">
        <f t="shared" ca="1" si="67"/>
        <v>1.10640625</v>
      </c>
      <c r="Q129">
        <f t="shared" si="68"/>
        <v>0.91666666666666663</v>
      </c>
      <c r="R129" cm="1">
        <f t="array" aca="1" ref="R129:U129" ca="1">center_span(Beam_Analysis!$J$29,Q129,Beam_Analysis!$D$3,Beam_Analysis!$D$2,Beam_Analysis!$J$33:$O$79,Beam_Analysis!$G$5:$P$5,0)</f>
        <v>1.10640625</v>
      </c>
      <c r="S129">
        <f ca="1"/>
        <v>1.1917144097222221</v>
      </c>
      <c r="T129">
        <f ca="1"/>
        <v>-4.680614179238507E-2</v>
      </c>
      <c r="U129">
        <f ca="1"/>
        <v>-0.53550714340876449</v>
      </c>
      <c r="V129">
        <f ca="1">(S129*12)/(Beam_Analysis!$B$2*Beam_Analysis!$B$3)</f>
        <v>4.9312320402298843E-4</v>
      </c>
    </row>
    <row r="130" spans="14:22" x14ac:dyDescent="0.25">
      <c r="N130">
        <v>24</v>
      </c>
      <c r="O130" s="12">
        <f t="shared" si="66"/>
        <v>0.95833333333333326</v>
      </c>
      <c r="P130">
        <f t="shared" ca="1" si="67"/>
        <v>1.0894140624999999</v>
      </c>
      <c r="Q130">
        <f t="shared" si="68"/>
        <v>0.95833333333333326</v>
      </c>
      <c r="R130" cm="1">
        <f t="array" aca="1" ref="R130:U130" ca="1">center_span(Beam_Analysis!$J$29,Q130,Beam_Analysis!$D$3,Beam_Analysis!$D$2,Beam_Analysis!$J$33:$O$79,Beam_Analysis!$G$5:$P$5,0)</f>
        <v>1.0894140624999999</v>
      </c>
      <c r="S130">
        <f ca="1"/>
        <v>1.2374603949652776</v>
      </c>
      <c r="T130">
        <f ca="1"/>
        <v>-4.6554835640041321E-2</v>
      </c>
      <c r="U130">
        <f ca="1"/>
        <v>-0.55884778212834507</v>
      </c>
      <c r="V130">
        <f ca="1">(S130*12)/(Beam_Analysis!$B$2*Beam_Analysis!$B$3)</f>
        <v>5.1205257722701134E-4</v>
      </c>
    </row>
    <row r="131" spans="14:22" x14ac:dyDescent="0.25">
      <c r="N131">
        <v>25</v>
      </c>
      <c r="O131" s="12">
        <f t="shared" si="66"/>
        <v>1</v>
      </c>
      <c r="P131">
        <f t="shared" ca="1" si="67"/>
        <v>1.0725</v>
      </c>
      <c r="Q131">
        <f t="shared" si="68"/>
        <v>1</v>
      </c>
      <c r="R131" cm="1">
        <f t="array" aca="1" ref="R131:U131" ca="1">center_span(Beam_Analysis!$J$29,Q131,Beam_Analysis!$D$3,Beam_Analysis!$D$2,Beam_Analysis!$J$33:$O$79,Beam_Analysis!$G$5:$P$5,0)</f>
        <v>1.0725</v>
      </c>
      <c r="S131">
        <f ca="1"/>
        <v>1.2825</v>
      </c>
      <c r="T131">
        <f ca="1"/>
        <v>-4.6294137931034492E-2</v>
      </c>
      <c r="U131">
        <f ca="1"/>
        <v>-0.58206041379310358</v>
      </c>
      <c r="V131">
        <f ca="1">(S131*12)/(Beam_Analysis!$B$2*Beam_Analysis!$B$3)</f>
        <v>5.3068965517241381E-4</v>
      </c>
    </row>
    <row r="132" spans="14:22" x14ac:dyDescent="0.25">
      <c r="N132">
        <v>26</v>
      </c>
      <c r="O132" s="12">
        <f t="shared" si="66"/>
        <v>1.0416666666666665</v>
      </c>
      <c r="P132">
        <f t="shared" ca="1" si="67"/>
        <v>1.0556640625</v>
      </c>
      <c r="Q132">
        <f t="shared" si="68"/>
        <v>1.0416666666666665</v>
      </c>
      <c r="R132" cm="1">
        <f t="array" aca="1" ref="R132:U132" ca="1">center_span(Beam_Analysis!$J$29,Q132,Beam_Analysis!$D$3,Beam_Analysis!$D$2,Beam_Analysis!$J$33:$O$79,Beam_Analysis!$G$5:$P$5,0)</f>
        <v>1.0556640625</v>
      </c>
      <c r="S132">
        <f ca="1"/>
        <v>1.3268364800347221</v>
      </c>
      <c r="T132">
        <f ca="1"/>
        <v>-4.6024194476248219E-2</v>
      </c>
      <c r="U132">
        <f ca="1"/>
        <v>-0.60514037910549123</v>
      </c>
      <c r="V132">
        <f ca="1">(S132*12)/(Beam_Analysis!$B$2*Beam_Analysis!$B$3)</f>
        <v>5.4903578484195392E-4</v>
      </c>
    </row>
    <row r="133" spans="14:22" x14ac:dyDescent="0.25">
      <c r="N133">
        <v>27</v>
      </c>
      <c r="O133" s="12">
        <f t="shared" si="66"/>
        <v>1.0833333333333333</v>
      </c>
      <c r="P133">
        <f t="shared" ca="1" si="67"/>
        <v>1.0389062499999999</v>
      </c>
      <c r="Q133">
        <f t="shared" si="68"/>
        <v>1.0833333333333333</v>
      </c>
      <c r="R133" cm="1">
        <f t="array" aca="1" ref="R133:U133" ca="1">center_span(Beam_Analysis!$J$29,Q133,Beam_Analysis!$D$3,Beam_Analysis!$D$2,Beam_Analysis!$J$33:$O$79,Beam_Analysis!$G$5:$P$5,0)</f>
        <v>1.0389062499999999</v>
      </c>
      <c r="S133">
        <f ca="1"/>
        <v>1.3704730902777778</v>
      </c>
      <c r="T133">
        <f ca="1"/>
        <v>-4.5745150413074726E-2</v>
      </c>
      <c r="U133">
        <f ca="1"/>
        <v>-0.62808309150502883</v>
      </c>
      <c r="V133">
        <f ca="1">(S133*12)/(Beam_Analysis!$B$2*Beam_Analysis!$B$3)</f>
        <v>5.6709231321839084E-4</v>
      </c>
    </row>
    <row r="134" spans="14:22" x14ac:dyDescent="0.25">
      <c r="N134">
        <v>28</v>
      </c>
      <c r="O134" s="12">
        <f t="shared" si="66"/>
        <v>1.125</v>
      </c>
      <c r="P134">
        <f t="shared" ca="1" si="67"/>
        <v>1.0222265625</v>
      </c>
      <c r="Q134">
        <f t="shared" ref="Q134:Q197" si="69">(N134-1)*$Q$105</f>
        <v>1.125</v>
      </c>
      <c r="R134" cm="1">
        <f t="array" aca="1" ref="R134:U134" ca="1">center_span(Beam_Analysis!$J$29,Q134,Beam_Analysis!$D$3,Beam_Analysis!$D$2,Beam_Analysis!$J$33:$O$79,Beam_Analysis!$G$5:$P$5,0)</f>
        <v>1.0222265625</v>
      </c>
      <c r="S134">
        <f ca="1"/>
        <v>1.4134130859375</v>
      </c>
      <c r="T134">
        <f ca="1"/>
        <v>-4.5457150205414881E-2</v>
      </c>
      <c r="U134">
        <f ca="1"/>
        <v>-0.65088403683156004</v>
      </c>
      <c r="V134">
        <f ca="1">(S134*12)/(Beam_Analysis!$B$2*Beam_Analysis!$B$3)</f>
        <v>5.8486058728448274E-4</v>
      </c>
    </row>
    <row r="135" spans="14:22" x14ac:dyDescent="0.25">
      <c r="N135">
        <v>29</v>
      </c>
      <c r="O135" s="12">
        <f t="shared" si="66"/>
        <v>1.1666666666666665</v>
      </c>
      <c r="P135">
        <f t="shared" ca="1" si="67"/>
        <v>1.005625</v>
      </c>
      <c r="Q135">
        <f t="shared" si="69"/>
        <v>1.1666666666666665</v>
      </c>
      <c r="R135" cm="1">
        <f t="array" aca="1" ref="R135:U135" ca="1">center_span(Beam_Analysis!$J$29,Q135,Beam_Analysis!$D$3,Beam_Analysis!$D$2,Beam_Analysis!$J$33:$O$79,Beam_Analysis!$G$5:$P$5,0)</f>
        <v>1.005625</v>
      </c>
      <c r="S135">
        <f ca="1"/>
        <v>1.4556597222222221</v>
      </c>
      <c r="T135">
        <f ca="1"/>
        <v>-4.5160337643678175E-2</v>
      </c>
      <c r="U135">
        <f ca="1"/>
        <v>-0.67353877298850584</v>
      </c>
      <c r="V135">
        <f ca="1">(S135*12)/(Beam_Analysis!$B$2*Beam_Analysis!$B$3)</f>
        <v>6.0234195402298837E-4</v>
      </c>
    </row>
    <row r="136" spans="14:22" x14ac:dyDescent="0.25">
      <c r="N136">
        <v>30</v>
      </c>
      <c r="O136" s="12">
        <f t="shared" si="66"/>
        <v>1.2083333333333333</v>
      </c>
      <c r="P136">
        <f t="shared" ca="1" si="67"/>
        <v>0.98910156250000003</v>
      </c>
      <c r="Q136">
        <f t="shared" si="69"/>
        <v>1.2083333333333333</v>
      </c>
      <c r="R136" cm="1">
        <f t="array" aca="1" ref="R136:U136" ca="1">center_span(Beam_Analysis!$J$29,Q136,Beam_Analysis!$D$3,Beam_Analysis!$D$2,Beam_Analysis!$J$33:$O$79,Beam_Analysis!$G$5:$P$5,0)</f>
        <v>0.98910156250000003</v>
      </c>
      <c r="S136">
        <f ca="1"/>
        <v>1.4972162543402776</v>
      </c>
      <c r="T136">
        <f ca="1"/>
        <v>-4.4854855844782701E-2</v>
      </c>
      <c r="U136">
        <f ca="1"/>
        <v>-0.69604292960611991</v>
      </c>
      <c r="V136">
        <f ca="1">(S136*12)/(Beam_Analysis!$B$2*Beam_Analysis!$B$3)</f>
        <v>6.1953776041666657E-4</v>
      </c>
    </row>
    <row r="137" spans="14:22" x14ac:dyDescent="0.25">
      <c r="N137">
        <v>31</v>
      </c>
      <c r="O137" s="12">
        <f t="shared" si="66"/>
        <v>1.25</v>
      </c>
      <c r="P137">
        <f t="shared" ca="1" si="67"/>
        <v>0.97265625</v>
      </c>
      <c r="Q137">
        <f t="shared" si="69"/>
        <v>1.25</v>
      </c>
      <c r="R137" cm="1">
        <f t="array" aca="1" ref="R137:U137" ca="1">center_span(Beam_Analysis!$J$29,Q137,Beam_Analysis!$D$3,Beam_Analysis!$D$2,Beam_Analysis!$J$33:$O$79,Beam_Analysis!$G$5:$P$5,0)</f>
        <v>0.97265625</v>
      </c>
      <c r="S137">
        <f ca="1"/>
        <v>1.5380859375</v>
      </c>
      <c r="T137">
        <f ca="1"/>
        <v>-4.4540847252155187E-2</v>
      </c>
      <c r="U137">
        <f ca="1"/>
        <v>-0.71839220770474155</v>
      </c>
      <c r="V137">
        <f ca="1">(S137*12)/(Beam_Analysis!$B$2*Beam_Analysis!$B$3)</f>
        <v>6.3644935344827583E-4</v>
      </c>
    </row>
    <row r="138" spans="14:22" x14ac:dyDescent="0.25">
      <c r="N138">
        <v>32</v>
      </c>
      <c r="O138" s="12">
        <f t="shared" si="66"/>
        <v>1.2916666666666665</v>
      </c>
      <c r="P138">
        <f t="shared" ca="1" si="67"/>
        <v>0.95628906250000001</v>
      </c>
      <c r="Q138">
        <f t="shared" si="69"/>
        <v>1.2916666666666665</v>
      </c>
      <c r="R138" cm="1">
        <f t="array" aca="1" ref="R138:U138" ca="1">center_span(Beam_Analysis!$J$29,Q138,Beam_Analysis!$D$3,Beam_Analysis!$D$2,Beam_Analysis!$J$33:$O$79,Beam_Analysis!$G$5:$P$5,0)</f>
        <v>0.95628906250000001</v>
      </c>
      <c r="S138">
        <f ca="1"/>
        <v>1.5782720269097221</v>
      </c>
      <c r="T138">
        <f ca="1"/>
        <v>-4.4218453635730973E-2</v>
      </c>
      <c r="U138">
        <f ca="1"/>
        <v>-0.7405823793580506</v>
      </c>
      <c r="V138">
        <f ca="1">(S138*12)/(Beam_Analysis!$B$2*Beam_Analysis!$B$3)</f>
        <v>6.5307808010057458E-4</v>
      </c>
    </row>
    <row r="139" spans="14:22" x14ac:dyDescent="0.25">
      <c r="N139">
        <v>33</v>
      </c>
      <c r="O139" s="12">
        <f t="shared" ref="O139:O170" si="70">Q139+$F$12</f>
        <v>1.3333333333333333</v>
      </c>
      <c r="P139">
        <f t="shared" ref="P139:P170" ca="1" si="71">OFFSET(R139,0,$O$2)</f>
        <v>0.94000000000000006</v>
      </c>
      <c r="Q139">
        <f t="shared" si="69"/>
        <v>1.3333333333333333</v>
      </c>
      <c r="R139" cm="1">
        <f t="array" aca="1" ref="R139:U139" ca="1">center_span(Beam_Analysis!$J$29,Q139,Beam_Analysis!$D$3,Beam_Analysis!$D$2,Beam_Analysis!$J$33:$O$79,Beam_Analysis!$G$5:$P$5,0)</f>
        <v>0.94000000000000006</v>
      </c>
      <c r="S139">
        <f ca="1"/>
        <v>1.6177777777777778</v>
      </c>
      <c r="T139">
        <f ca="1"/>
        <v>-4.3887816091954038E-2</v>
      </c>
      <c r="U139">
        <f ca="1"/>
        <v>-0.76260928735632194</v>
      </c>
      <c r="V139">
        <f ca="1">(S139*12)/(Beam_Analysis!$B$2*Beam_Analysis!$B$3)</f>
        <v>6.6942528735632187E-4</v>
      </c>
    </row>
    <row r="140" spans="14:22" x14ac:dyDescent="0.25">
      <c r="N140">
        <v>34</v>
      </c>
      <c r="O140" s="12">
        <f t="shared" si="70"/>
        <v>1.375</v>
      </c>
      <c r="P140">
        <f t="shared" ca="1" si="71"/>
        <v>0.92378906250000004</v>
      </c>
      <c r="Q140">
        <f t="shared" si="69"/>
        <v>1.375</v>
      </c>
      <c r="R140" cm="1">
        <f t="array" aca="1" ref="R140:U140" ca="1">center_span(Beam_Analysis!$J$29,Q140,Beam_Analysis!$D$3,Beam_Analysis!$D$2,Beam_Analysis!$J$33:$O$79,Beam_Analysis!$G$5:$P$5,0)</f>
        <v>0.92378906250000004</v>
      </c>
      <c r="S140">
        <f ca="1"/>
        <v>1.6566064453125</v>
      </c>
      <c r="T140">
        <f ca="1"/>
        <v>-4.3549075043776954E-2</v>
      </c>
      <c r="U140">
        <f ca="1"/>
        <v>-0.7844688448696796</v>
      </c>
      <c r="V140">
        <f ca="1">(S140*12)/(Beam_Analysis!$B$2*Beam_Analysis!$B$3)</f>
        <v>6.8549232219827587E-4</v>
      </c>
    </row>
    <row r="141" spans="14:22" x14ac:dyDescent="0.25">
      <c r="N141">
        <v>35</v>
      </c>
      <c r="O141" s="12">
        <f t="shared" si="70"/>
        <v>1.4166666666666665</v>
      </c>
      <c r="P141">
        <f t="shared" ca="1" si="71"/>
        <v>0.90765625000000005</v>
      </c>
      <c r="Q141">
        <f t="shared" si="69"/>
        <v>1.4166666666666665</v>
      </c>
      <c r="R141" cm="1">
        <f t="array" aca="1" ref="R141:U141" ca="1">center_span(Beam_Analysis!$J$29,Q141,Beam_Analysis!$D$3,Beam_Analysis!$D$2,Beam_Analysis!$J$33:$O$79,Beam_Analysis!$G$5:$P$5,0)</f>
        <v>0.90765625000000005</v>
      </c>
      <c r="S141">
        <f ca="1"/>
        <v>1.694761284722222</v>
      </c>
      <c r="T141">
        <f ca="1"/>
        <v>-4.3202370240660933E-2</v>
      </c>
      <c r="U141">
        <f ca="1"/>
        <v>-0.80615703511135062</v>
      </c>
      <c r="V141">
        <f ca="1">(S141*12)/(Beam_Analysis!$B$2*Beam_Analysis!$B$3)</f>
        <v>7.0128053160919523E-4</v>
      </c>
    </row>
    <row r="142" spans="14:22" x14ac:dyDescent="0.25">
      <c r="N142">
        <v>36</v>
      </c>
      <c r="O142" s="12">
        <f t="shared" si="70"/>
        <v>1.4583333333333333</v>
      </c>
      <c r="P142">
        <f t="shared" ca="1" si="71"/>
        <v>0.8916015625</v>
      </c>
      <c r="Q142">
        <f t="shared" si="69"/>
        <v>1.4583333333333333</v>
      </c>
      <c r="R142" cm="1">
        <f t="array" aca="1" ref="R142:U142" ca="1">center_span(Beam_Analysis!$J$29,Q142,Beam_Analysis!$D$3,Beam_Analysis!$D$2,Beam_Analysis!$J$33:$O$79,Beam_Analysis!$G$5:$P$5,0)</f>
        <v>0.8916015625</v>
      </c>
      <c r="S142">
        <f ca="1"/>
        <v>1.7322455512152777</v>
      </c>
      <c r="T142">
        <f ca="1"/>
        <v>-4.2847840758575804E-2</v>
      </c>
      <c r="U142">
        <f ca="1"/>
        <v>-0.82766991100092069</v>
      </c>
      <c r="V142">
        <f ca="1">(S142*12)/(Beam_Analysis!$B$2*Beam_Analysis!$B$3)</f>
        <v>7.1679126257183899E-4</v>
      </c>
    </row>
    <row r="143" spans="14:22" x14ac:dyDescent="0.25">
      <c r="N143">
        <v>37</v>
      </c>
      <c r="O143" s="12">
        <f t="shared" si="70"/>
        <v>1.5</v>
      </c>
      <c r="P143">
        <f t="shared" ca="1" si="71"/>
        <v>0.87562499999999999</v>
      </c>
      <c r="Q143">
        <f t="shared" si="69"/>
        <v>1.5</v>
      </c>
      <c r="R143" cm="1">
        <f t="array" aca="1" ref="R143:U143" ca="1">center_span(Beam_Analysis!$J$29,Q143,Beam_Analysis!$D$3,Beam_Analysis!$D$2,Beam_Analysis!$J$33:$O$79,Beam_Analysis!$G$5:$P$5,0)</f>
        <v>0.87562499999999999</v>
      </c>
      <c r="S143">
        <f ca="1"/>
        <v>1.7690625</v>
      </c>
      <c r="T143">
        <f ca="1"/>
        <v>-4.2485625000000013E-2</v>
      </c>
      <c r="U143">
        <f ca="1"/>
        <v>-0.84900359482758636</v>
      </c>
      <c r="V143">
        <f ca="1">(S143*12)/(Beam_Analysis!$B$2*Beam_Analysis!$B$3)</f>
        <v>7.3202586206896545E-4</v>
      </c>
    </row>
    <row r="144" spans="14:22" x14ac:dyDescent="0.25">
      <c r="N144">
        <v>38</v>
      </c>
      <c r="O144" s="12">
        <f t="shared" si="70"/>
        <v>1.5416666666666665</v>
      </c>
      <c r="P144">
        <f t="shared" ca="1" si="71"/>
        <v>0.85972656250000001</v>
      </c>
      <c r="Q144">
        <f t="shared" si="69"/>
        <v>1.5416666666666665</v>
      </c>
      <c r="R144" cm="1">
        <f t="array" aca="1" ref="R144:U144" ca="1">center_span(Beam_Analysis!$J$29,Q144,Beam_Analysis!$D$3,Beam_Analysis!$D$2,Beam_Analysis!$J$33:$O$79,Beam_Analysis!$G$5:$P$5,0)</f>
        <v>0.85972656250000001</v>
      </c>
      <c r="S144">
        <f ca="1"/>
        <v>1.805215386284722</v>
      </c>
      <c r="T144">
        <f ca="1"/>
        <v>-4.2115860693920627E-2</v>
      </c>
      <c r="U144">
        <f ca="1"/>
        <v>-0.8701542779134116</v>
      </c>
      <c r="V144">
        <f ca="1">(S144*12)/(Beam_Analysis!$B$2*Beam_Analysis!$B$3)</f>
        <v>7.4698567708333323E-4</v>
      </c>
    </row>
    <row r="145" spans="14:22" x14ac:dyDescent="0.25">
      <c r="N145">
        <v>39</v>
      </c>
      <c r="O145" s="12">
        <f t="shared" si="70"/>
        <v>1.5833333333333333</v>
      </c>
      <c r="P145">
        <f t="shared" ca="1" si="71"/>
        <v>0.84390624999999997</v>
      </c>
      <c r="Q145">
        <f t="shared" si="69"/>
        <v>1.5833333333333333</v>
      </c>
      <c r="R145" cm="1">
        <f t="array" aca="1" ref="R145:U145" ca="1">center_span(Beam_Analysis!$J$29,Q145,Beam_Analysis!$D$3,Beam_Analysis!$D$2,Beam_Analysis!$J$33:$O$79,Beam_Analysis!$G$5:$P$5,0)</f>
        <v>0.84390624999999997</v>
      </c>
      <c r="S145">
        <f ca="1"/>
        <v>1.8407074652777777</v>
      </c>
      <c r="T145">
        <f ca="1"/>
        <v>-4.1738684895833343E-2</v>
      </c>
      <c r="U145">
        <f ca="1"/>
        <v>-0.89111822027658061</v>
      </c>
      <c r="V145">
        <f ca="1">(S145*12)/(Beam_Analysis!$B$2*Beam_Analysis!$B$3)</f>
        <v>7.6167205459770116E-4</v>
      </c>
    </row>
    <row r="146" spans="14:22" x14ac:dyDescent="0.25">
      <c r="N146">
        <v>40</v>
      </c>
      <c r="O146" s="12">
        <f t="shared" si="70"/>
        <v>1.625</v>
      </c>
      <c r="P146">
        <f t="shared" ca="1" si="71"/>
        <v>0.82816406249999996</v>
      </c>
      <c r="Q146">
        <f t="shared" si="69"/>
        <v>1.625</v>
      </c>
      <c r="R146" cm="1">
        <f t="array" aca="1" ref="R146:U146" ca="1">center_span(Beam_Analysis!$J$29,Q146,Beam_Analysis!$D$3,Beam_Analysis!$D$2,Beam_Analysis!$J$33:$O$79,Beam_Analysis!$G$5:$P$5,0)</f>
        <v>0.82816406249999996</v>
      </c>
      <c r="S146">
        <f ca="1"/>
        <v>1.8755419921875001</v>
      </c>
      <c r="T146">
        <f ca="1"/>
        <v>-4.1354233987742468E-2</v>
      </c>
      <c r="U146">
        <f ca="1"/>
        <v>-0.91189175029465264</v>
      </c>
      <c r="V146">
        <f ca="1">(S146*12)/(Beam_Analysis!$B$2*Beam_Analysis!$B$3)</f>
        <v>7.7608634159482756E-4</v>
      </c>
    </row>
    <row r="147" spans="14:22" x14ac:dyDescent="0.25">
      <c r="N147">
        <v>41</v>
      </c>
      <c r="O147" s="12">
        <f t="shared" si="70"/>
        <v>1.6666666666666665</v>
      </c>
      <c r="P147">
        <f t="shared" ca="1" si="71"/>
        <v>0.8125</v>
      </c>
      <c r="Q147">
        <f t="shared" si="69"/>
        <v>1.6666666666666665</v>
      </c>
      <c r="R147" cm="1">
        <f t="array" aca="1" ref="R147:U147" ca="1">center_span(Beam_Analysis!$J$29,Q147,Beam_Analysis!$D$3,Beam_Analysis!$D$2,Beam_Analysis!$J$33:$O$79,Beam_Analysis!$G$5:$P$5,0)</f>
        <v>0.8125</v>
      </c>
      <c r="S147">
        <f ca="1"/>
        <v>1.9097222222222221</v>
      </c>
      <c r="T147">
        <f ca="1"/>
        <v>-4.096264367816093E-2</v>
      </c>
      <c r="U147">
        <f ca="1"/>
        <v>-0.93247126436781635</v>
      </c>
      <c r="V147">
        <f ca="1">(S147*12)/(Beam_Analysis!$B$2*Beam_Analysis!$B$3)</f>
        <v>7.9022988505747114E-4</v>
      </c>
    </row>
    <row r="148" spans="14:22" x14ac:dyDescent="0.25">
      <c r="N148">
        <v>42</v>
      </c>
      <c r="O148" s="12">
        <f t="shared" si="70"/>
        <v>1.7083333333333333</v>
      </c>
      <c r="P148">
        <f t="shared" ca="1" si="71"/>
        <v>0.79691406249999996</v>
      </c>
      <c r="Q148">
        <f t="shared" si="69"/>
        <v>1.7083333333333333</v>
      </c>
      <c r="R148" cm="1">
        <f t="array" aca="1" ref="R148:U148" ca="1">center_span(Beam_Analysis!$J$29,Q148,Beam_Analysis!$D$3,Beam_Analysis!$D$2,Beam_Analysis!$J$33:$O$79,Beam_Analysis!$G$5:$P$5,0)</f>
        <v>0.79691406249999996</v>
      </c>
      <c r="S148">
        <f ca="1"/>
        <v>1.9432514105902776</v>
      </c>
      <c r="T148">
        <f ca="1"/>
        <v>-4.0564049002110282E-2</v>
      </c>
      <c r="U148">
        <f ca="1"/>
        <v>-0.95285322658214378</v>
      </c>
      <c r="V148">
        <f ca="1">(S148*12)/(Beam_Analysis!$B$2*Beam_Analysis!$B$3)</f>
        <v>8.0410403196839076E-4</v>
      </c>
    </row>
    <row r="149" spans="14:22" x14ac:dyDescent="0.25">
      <c r="N149">
        <v>43</v>
      </c>
      <c r="O149" s="12">
        <f t="shared" si="70"/>
        <v>1.75</v>
      </c>
      <c r="P149">
        <f t="shared" ca="1" si="71"/>
        <v>0.78140624999999997</v>
      </c>
      <c r="Q149">
        <f t="shared" si="69"/>
        <v>1.75</v>
      </c>
      <c r="R149" cm="1">
        <f t="array" aca="1" ref="R149:U149" ca="1">center_span(Beam_Analysis!$J$29,Q149,Beam_Analysis!$D$3,Beam_Analysis!$D$2,Beam_Analysis!$J$33:$O$79,Beam_Analysis!$G$5:$P$5,0)</f>
        <v>0.78140624999999997</v>
      </c>
      <c r="S149">
        <f ca="1"/>
        <v>1.9761328124999999</v>
      </c>
      <c r="T149">
        <f ca="1"/>
        <v>-4.0158584321120704E-2</v>
      </c>
      <c r="U149">
        <f ca="1"/>
        <v>-0.97303416837284495</v>
      </c>
      <c r="V149">
        <f ca="1">(S149*12)/(Beam_Analysis!$B$2*Beam_Analysis!$B$3)</f>
        <v>8.1771012931034491E-4</v>
      </c>
    </row>
    <row r="150" spans="14:22" x14ac:dyDescent="0.25">
      <c r="N150">
        <v>44</v>
      </c>
      <c r="O150" s="12">
        <f t="shared" si="70"/>
        <v>1.7916666666666665</v>
      </c>
      <c r="P150">
        <f t="shared" ca="1" si="71"/>
        <v>0.76597656250000001</v>
      </c>
      <c r="Q150">
        <f t="shared" si="69"/>
        <v>1.7916666666666665</v>
      </c>
      <c r="R150" cm="1">
        <f t="array" aca="1" ref="R150:U150" ca="1">center_span(Beam_Analysis!$J$29,Q150,Beam_Analysis!$D$3,Beam_Analysis!$D$2,Beam_Analysis!$J$33:$O$79,Beam_Analysis!$G$5:$P$5,0)</f>
        <v>0.76597656250000001</v>
      </c>
      <c r="S150">
        <f ca="1"/>
        <v>2.0083696831597222</v>
      </c>
      <c r="T150">
        <f ca="1"/>
        <v>-3.9746383323230973E-2</v>
      </c>
      <c r="U150">
        <f ca="1"/>
        <v>-0.99301068818752258</v>
      </c>
      <c r="V150">
        <f ca="1">(S150*12)/(Beam_Analysis!$B$2*Beam_Analysis!$B$3)</f>
        <v>8.3104952406609189E-4</v>
      </c>
    </row>
    <row r="151" spans="14:22" x14ac:dyDescent="0.25">
      <c r="N151">
        <v>45</v>
      </c>
      <c r="O151" s="12">
        <f t="shared" si="70"/>
        <v>1.8333333333333333</v>
      </c>
      <c r="P151">
        <f t="shared" ca="1" si="71"/>
        <v>0.75062499999999999</v>
      </c>
      <c r="Q151">
        <f t="shared" si="69"/>
        <v>1.8333333333333333</v>
      </c>
      <c r="R151" cm="1">
        <f t="array" aca="1" ref="R151:U151" ca="1">center_span(Beam_Analysis!$J$29,Q151,Beam_Analysis!$D$3,Beam_Analysis!$D$2,Beam_Analysis!$J$33:$O$79,Beam_Analysis!$G$5:$P$5,0)</f>
        <v>0.75062499999999999</v>
      </c>
      <c r="S151">
        <f ca="1"/>
        <v>2.0399652777777777</v>
      </c>
      <c r="T151">
        <f ca="1"/>
        <v>-3.9327579022988515E-2</v>
      </c>
      <c r="U151">
        <f ca="1"/>
        <v>-1.0127794511494255</v>
      </c>
      <c r="V151">
        <f ca="1">(S151*12)/(Beam_Analysis!$B$2*Beam_Analysis!$B$3)</f>
        <v>8.4412356321839066E-4</v>
      </c>
    </row>
    <row r="152" spans="14:22" x14ac:dyDescent="0.25">
      <c r="N152">
        <v>46</v>
      </c>
      <c r="O152" s="12">
        <f t="shared" si="70"/>
        <v>1.875</v>
      </c>
      <c r="P152">
        <f t="shared" ca="1" si="71"/>
        <v>0.7353515625</v>
      </c>
      <c r="Q152">
        <f t="shared" si="69"/>
        <v>1.875</v>
      </c>
      <c r="R152" cm="1">
        <f t="array" aca="1" ref="R152:U152" ca="1">center_span(Beam_Analysis!$J$29,Q152,Beam_Analysis!$D$3,Beam_Analysis!$D$2,Beam_Analysis!$J$33:$O$79,Beam_Analysis!$G$5:$P$5,0)</f>
        <v>0.7353515625</v>
      </c>
      <c r="S152">
        <f ca="1"/>
        <v>2.0709228515625</v>
      </c>
      <c r="T152">
        <f ca="1"/>
        <v>-3.8902303761449361E-2</v>
      </c>
      <c r="U152">
        <f ca="1"/>
        <v>-1.0323371887207036</v>
      </c>
      <c r="V152">
        <f ca="1">(S152*12)/(Beam_Analysis!$B$2*Beam_Analysis!$B$3)</f>
        <v>8.5693359374999995E-4</v>
      </c>
    </row>
    <row r="153" spans="14:22" x14ac:dyDescent="0.25">
      <c r="N153">
        <v>47</v>
      </c>
      <c r="O153" s="12">
        <f t="shared" si="70"/>
        <v>1.9166666666666665</v>
      </c>
      <c r="P153">
        <f t="shared" ca="1" si="71"/>
        <v>0.72015625000000005</v>
      </c>
      <c r="Q153">
        <f t="shared" si="69"/>
        <v>1.9166666666666665</v>
      </c>
      <c r="R153" cm="1">
        <f t="array" aca="1" ref="R153:U153" ca="1">center_span(Beam_Analysis!$J$29,Q153,Beam_Analysis!$D$3,Beam_Analysis!$D$2,Beam_Analysis!$J$33:$O$79,Beam_Analysis!$G$5:$P$5,0)</f>
        <v>0.72015625000000005</v>
      </c>
      <c r="S153">
        <f ca="1"/>
        <v>2.1012456597222222</v>
      </c>
      <c r="T153">
        <f ca="1"/>
        <v>-3.8470689206178174E-2</v>
      </c>
      <c r="U153">
        <f ca="1"/>
        <v>-1.051680698365661</v>
      </c>
      <c r="V153">
        <f ca="1">(S153*12)/(Beam_Analysis!$B$2*Beam_Analysis!$B$3)</f>
        <v>8.6948096264367815E-4</v>
      </c>
    </row>
    <row r="154" spans="14:22" x14ac:dyDescent="0.25">
      <c r="N154">
        <v>48</v>
      </c>
      <c r="O154" s="12">
        <f t="shared" si="70"/>
        <v>1.9583333333333333</v>
      </c>
      <c r="P154">
        <f t="shared" ca="1" si="71"/>
        <v>0.70503906250000004</v>
      </c>
      <c r="Q154">
        <f t="shared" si="69"/>
        <v>1.9583333333333333</v>
      </c>
      <c r="R154" cm="1">
        <f t="array" aca="1" ref="R154:U154" ca="1">center_span(Beam_Analysis!$J$29,Q154,Beam_Analysis!$D$3,Beam_Analysis!$D$2,Beam_Analysis!$J$33:$O$79,Beam_Analysis!$G$5:$P$5,0)</f>
        <v>0.70503906250000004</v>
      </c>
      <c r="S154">
        <f ca="1"/>
        <v>2.1309369574652779</v>
      </c>
      <c r="T154">
        <f ca="1"/>
        <v>-3.8032866351248217E-2</v>
      </c>
      <c r="U154">
        <f ca="1"/>
        <v>-1.0708068432140134</v>
      </c>
      <c r="V154">
        <f ca="1">(S154*12)/(Beam_Analysis!$B$2*Beam_Analysis!$B$3)</f>
        <v>8.8176701688218401E-4</v>
      </c>
    </row>
    <row r="155" spans="14:22" x14ac:dyDescent="0.25">
      <c r="N155">
        <v>49</v>
      </c>
      <c r="O155" s="12">
        <f t="shared" si="70"/>
        <v>2</v>
      </c>
      <c r="P155">
        <f t="shared" ca="1" si="71"/>
        <v>0.69</v>
      </c>
      <c r="Q155">
        <f t="shared" si="69"/>
        <v>2</v>
      </c>
      <c r="R155" cm="1">
        <f t="array" aca="1" ref="R155:U155" ca="1">center_span(Beam_Analysis!$J$29,Q155,Beam_Analysis!$D$3,Beam_Analysis!$D$2,Beam_Analysis!$J$33:$O$79,Beam_Analysis!$G$5:$P$5,0)</f>
        <v>0.69</v>
      </c>
      <c r="S155">
        <f ca="1"/>
        <v>2.16</v>
      </c>
      <c r="T155">
        <f ca="1"/>
        <v>-3.7588965517241391E-2</v>
      </c>
      <c r="U155">
        <f ca="1"/>
        <v>-1.0897125517241384</v>
      </c>
      <c r="V155">
        <f ca="1">(S155*12)/(Beam_Analysis!$B$2*Beam_Analysis!$B$3)</f>
        <v>8.9379310344827592E-4</v>
      </c>
    </row>
    <row r="156" spans="14:22" x14ac:dyDescent="0.25">
      <c r="N156">
        <v>50</v>
      </c>
      <c r="O156" s="12">
        <f t="shared" si="70"/>
        <v>2.0416666666666665</v>
      </c>
      <c r="P156">
        <f t="shared" ca="1" si="71"/>
        <v>0.67503906250000001</v>
      </c>
      <c r="Q156">
        <f t="shared" si="69"/>
        <v>2.0416666666666665</v>
      </c>
      <c r="R156" cm="1">
        <f t="array" aca="1" ref="R156:U156" ca="1">center_span(Beam_Analysis!$J$29,Q156,Beam_Analysis!$D$3,Beam_Analysis!$D$2,Beam_Analysis!$J$33:$O$79,Beam_Analysis!$G$5:$P$5,0)</f>
        <v>0.67503906250000001</v>
      </c>
      <c r="S156">
        <f ca="1"/>
        <v>2.1884380425347221</v>
      </c>
      <c r="T156">
        <f ca="1"/>
        <v>-3.7139116351248218E-2</v>
      </c>
      <c r="U156">
        <f ca="1"/>
        <v>-1.1083948173463321</v>
      </c>
      <c r="V156">
        <f ca="1">(S156*12)/(Beam_Analysis!$B$2*Beam_Analysis!$B$3)</f>
        <v>9.0556056932471261E-4</v>
      </c>
    </row>
    <row r="157" spans="14:22" x14ac:dyDescent="0.25">
      <c r="N157">
        <v>51</v>
      </c>
      <c r="O157" s="12">
        <f t="shared" si="70"/>
        <v>2.083333333333333</v>
      </c>
      <c r="P157">
        <f t="shared" ca="1" si="71"/>
        <v>0.66015625000000011</v>
      </c>
      <c r="Q157">
        <f t="shared" si="69"/>
        <v>2.083333333333333</v>
      </c>
      <c r="R157" cm="1">
        <f t="array" aca="1" ref="R157:U157" ca="1">center_span(Beam_Analysis!$J$29,Q157,Beam_Analysis!$D$3,Beam_Analysis!$D$2,Beam_Analysis!$J$33:$O$79,Beam_Analysis!$G$5:$P$5,0)</f>
        <v>0.66015625000000011</v>
      </c>
      <c r="S157">
        <f ca="1"/>
        <v>2.2162543402777777</v>
      </c>
      <c r="T157">
        <f ca="1"/>
        <v>-3.6683447826867832E-2</v>
      </c>
      <c r="U157">
        <f ca="1"/>
        <v>-1.1268506981860633</v>
      </c>
      <c r="V157">
        <f ca="1">(S157*12)/(Beam_Analysis!$B$2*Beam_Analysis!$B$3)</f>
        <v>9.1707076149425283E-4</v>
      </c>
    </row>
    <row r="158" spans="14:22" x14ac:dyDescent="0.25">
      <c r="N158">
        <v>52</v>
      </c>
      <c r="O158" s="12">
        <f t="shared" si="70"/>
        <v>2.125</v>
      </c>
      <c r="P158">
        <f t="shared" ca="1" si="71"/>
        <v>0.64535156249999992</v>
      </c>
      <c r="Q158">
        <f t="shared" si="69"/>
        <v>2.125</v>
      </c>
      <c r="R158" cm="1">
        <f t="array" aca="1" ref="R158:U158" ca="1">center_span(Beam_Analysis!$J$29,Q158,Beam_Analysis!$D$3,Beam_Analysis!$D$2,Beam_Analysis!$J$33:$O$79,Beam_Analysis!$G$5:$P$5,0)</f>
        <v>0.64535156249999992</v>
      </c>
      <c r="S158">
        <f ca="1"/>
        <v>2.2434521484375001</v>
      </c>
      <c r="T158">
        <f ca="1"/>
        <v>-3.6222088244207987E-2</v>
      </c>
      <c r="U158">
        <f ca="1"/>
        <v>-1.1450773166672281</v>
      </c>
      <c r="V158">
        <f ca="1">(S158*12)/(Beam_Analysis!$B$2*Beam_Analysis!$B$3)</f>
        <v>9.2832502693965518E-4</v>
      </c>
    </row>
    <row r="159" spans="14:22" x14ac:dyDescent="0.25">
      <c r="N159">
        <v>53</v>
      </c>
      <c r="O159" s="12">
        <f t="shared" si="70"/>
        <v>2.1666666666666665</v>
      </c>
      <c r="P159">
        <f t="shared" ca="1" si="71"/>
        <v>0.63062499999999999</v>
      </c>
      <c r="Q159">
        <f t="shared" si="69"/>
        <v>2.1666666666666665</v>
      </c>
      <c r="R159" cm="1">
        <f t="array" aca="1" ref="R159:U159" ca="1">center_span(Beam_Analysis!$J$29,Q159,Beam_Analysis!$D$3,Beam_Analysis!$D$2,Beam_Analysis!$J$33:$O$79,Beam_Analysis!$G$5:$P$5,0)</f>
        <v>0.63062499999999999</v>
      </c>
      <c r="S159">
        <f ca="1"/>
        <v>2.2700347222222219</v>
      </c>
      <c r="T159">
        <f ca="1"/>
        <v>-3.5755165229885068E-2</v>
      </c>
      <c r="U159">
        <f ca="1"/>
        <v>-1.1630718591954026</v>
      </c>
      <c r="V159">
        <f ca="1">(S159*12)/(Beam_Analysis!$B$2*Beam_Analysis!$B$3)</f>
        <v>9.3932471264367796E-4</v>
      </c>
    </row>
    <row r="160" spans="14:22" x14ac:dyDescent="0.25">
      <c r="N160">
        <v>54</v>
      </c>
      <c r="O160" s="12">
        <f t="shared" si="70"/>
        <v>2.208333333333333</v>
      </c>
      <c r="P160">
        <f t="shared" ca="1" si="71"/>
        <v>0.6159765625000001</v>
      </c>
      <c r="Q160">
        <f t="shared" si="69"/>
        <v>2.208333333333333</v>
      </c>
      <c r="R160" cm="1">
        <f t="array" aca="1" ref="R160:U160" ca="1">center_span(Beam_Analysis!$J$29,Q160,Beam_Analysis!$D$3,Beam_Analysis!$D$2,Beam_Analysis!$J$33:$O$79,Beam_Analysis!$G$5:$P$5,0)</f>
        <v>0.6159765625000001</v>
      </c>
      <c r="S160">
        <f ca="1"/>
        <v>2.2960053168402776</v>
      </c>
      <c r="T160">
        <f ca="1"/>
        <v>-3.5282805737024081E-2</v>
      </c>
      <c r="U160">
        <f ca="1"/>
        <v>-1.1808315758210985</v>
      </c>
      <c r="V160">
        <f ca="1">(S160*12)/(Beam_Analysis!$B$2*Beam_Analysis!$B$3)</f>
        <v>9.5007116558908046E-4</v>
      </c>
    </row>
    <row r="161" spans="14:22" x14ac:dyDescent="0.25">
      <c r="N161">
        <v>55</v>
      </c>
      <c r="O161" s="12">
        <f t="shared" si="70"/>
        <v>2.25</v>
      </c>
      <c r="P161">
        <f t="shared" ca="1" si="71"/>
        <v>0.60140624999999992</v>
      </c>
      <c r="Q161">
        <f t="shared" si="69"/>
        <v>2.25</v>
      </c>
      <c r="R161" cm="1">
        <f t="array" aca="1" ref="R161:U161" ca="1">center_span(Beam_Analysis!$J$29,Q161,Beam_Analysis!$D$3,Beam_Analysis!$D$2,Beam_Analysis!$J$33:$O$79,Beam_Analysis!$G$5:$P$5,0)</f>
        <v>0.60140624999999992</v>
      </c>
      <c r="S161">
        <f ca="1"/>
        <v>2.3213671874999999</v>
      </c>
      <c r="T161">
        <f ca="1"/>
        <v>-3.4805136045258631E-2</v>
      </c>
      <c r="U161">
        <f ca="1"/>
        <v>-1.1983537799030175</v>
      </c>
      <c r="V161">
        <f ca="1">(S161*12)/(Beam_Analysis!$B$2*Beam_Analysis!$B$3)</f>
        <v>9.6056573275862063E-4</v>
      </c>
    </row>
    <row r="162" spans="14:22" x14ac:dyDescent="0.25">
      <c r="N162">
        <v>56</v>
      </c>
      <c r="O162" s="12">
        <f t="shared" si="70"/>
        <v>2.2916666666666665</v>
      </c>
      <c r="P162">
        <f t="shared" ca="1" si="71"/>
        <v>0.5869140625</v>
      </c>
      <c r="Q162">
        <f t="shared" si="69"/>
        <v>2.2916666666666665</v>
      </c>
      <c r="R162" cm="1">
        <f t="array" aca="1" ref="R162:U162" ca="1">center_span(Beam_Analysis!$J$29,Q162,Beam_Analysis!$D$3,Beam_Analysis!$D$2,Beam_Analysis!$J$33:$O$79,Beam_Analysis!$G$5:$P$5,0)</f>
        <v>0.5869140625</v>
      </c>
      <c r="S162">
        <f ca="1"/>
        <v>2.3461235894097223</v>
      </c>
      <c r="T162">
        <f ca="1"/>
        <v>-3.4322281760730974E-2</v>
      </c>
      <c r="U162">
        <f ca="1"/>
        <v>-1.215635847771305</v>
      </c>
      <c r="V162">
        <f ca="1">(S162*12)/(Beam_Analysis!$B$2*Beam_Analysis!$B$3)</f>
        <v>9.7080976113505754E-4</v>
      </c>
    </row>
    <row r="163" spans="14:22" x14ac:dyDescent="0.25">
      <c r="N163">
        <v>57</v>
      </c>
      <c r="O163" s="12">
        <f t="shared" si="70"/>
        <v>2.333333333333333</v>
      </c>
      <c r="P163">
        <f t="shared" ca="1" si="71"/>
        <v>0.57250000000000012</v>
      </c>
      <c r="Q163">
        <f t="shared" si="69"/>
        <v>2.333333333333333</v>
      </c>
      <c r="R163" cm="1">
        <f t="array" aca="1" ref="R163:U163" ca="1">center_span(Beam_Analysis!$J$29,Q163,Beam_Analysis!$D$3,Beam_Analysis!$D$2,Beam_Analysis!$J$33:$O$79,Beam_Analysis!$G$5:$P$5,0)</f>
        <v>0.57250000000000012</v>
      </c>
      <c r="S163">
        <f ca="1"/>
        <v>2.3702777777777775</v>
      </c>
      <c r="T163">
        <f ca="1"/>
        <v>-3.3834367816091969E-2</v>
      </c>
      <c r="U163">
        <f ca="1"/>
        <v>-1.2326752183908047</v>
      </c>
      <c r="V163">
        <f ca="1">(S163*12)/(Beam_Analysis!$B$2*Beam_Analysis!$B$3)</f>
        <v>9.8080459770114926E-4</v>
      </c>
    </row>
    <row r="164" spans="14:22" x14ac:dyDescent="0.25">
      <c r="N164">
        <v>58</v>
      </c>
      <c r="O164" s="12">
        <f t="shared" si="70"/>
        <v>2.375</v>
      </c>
      <c r="P164">
        <f t="shared" ca="1" si="71"/>
        <v>0.55816406249999995</v>
      </c>
      <c r="Q164">
        <f t="shared" si="69"/>
        <v>2.375</v>
      </c>
      <c r="R164" cm="1">
        <f t="array" aca="1" ref="R164:U164" ca="1">center_span(Beam_Analysis!$J$29,Q164,Beam_Analysis!$D$3,Beam_Analysis!$D$2,Beam_Analysis!$J$33:$O$79,Beam_Analysis!$G$5:$P$5,0)</f>
        <v>0.55816406249999995</v>
      </c>
      <c r="S164">
        <f ca="1"/>
        <v>2.3938330078124999</v>
      </c>
      <c r="T164">
        <f ca="1"/>
        <v>-3.334151847050109E-2</v>
      </c>
      <c r="U164">
        <f ca="1"/>
        <v>-1.2494693930243135</v>
      </c>
      <c r="V164">
        <f ca="1">(S164*12)/(Beam_Analysis!$B$2*Beam_Analysis!$B$3)</f>
        <v>9.9055158943965518E-4</v>
      </c>
    </row>
    <row r="165" spans="14:22" x14ac:dyDescent="0.25">
      <c r="N165">
        <v>59</v>
      </c>
      <c r="O165" s="12">
        <f t="shared" si="70"/>
        <v>2.4166666666666665</v>
      </c>
      <c r="P165">
        <f t="shared" ca="1" si="71"/>
        <v>0.54390625000000004</v>
      </c>
      <c r="Q165">
        <f t="shared" si="69"/>
        <v>2.4166666666666665</v>
      </c>
      <c r="R165" cm="1">
        <f t="array" aca="1" ref="R165:U165" ca="1">center_span(Beam_Analysis!$J$29,Q165,Beam_Analysis!$D$3,Beam_Analysis!$D$2,Beam_Analysis!$J$33:$O$79,Beam_Analysis!$G$5:$P$5,0)</f>
        <v>0.54390625000000004</v>
      </c>
      <c r="S165">
        <f ca="1"/>
        <v>2.4167925347222221</v>
      </c>
      <c r="T165">
        <f ca="1"/>
        <v>-3.2843857309626447E-2</v>
      </c>
      <c r="U165">
        <f ca="1"/>
        <v>-1.2660159348958335</v>
      </c>
      <c r="V165">
        <f ca="1">(S165*12)/(Beam_Analysis!$B$2*Beam_Analysis!$B$3)</f>
        <v>1.0000520833333333E-3</v>
      </c>
    </row>
    <row r="166" spans="14:22" x14ac:dyDescent="0.25">
      <c r="N166">
        <v>60</v>
      </c>
      <c r="O166" s="12">
        <f t="shared" si="70"/>
        <v>2.458333333333333</v>
      </c>
      <c r="P166">
        <f t="shared" ca="1" si="71"/>
        <v>0.52972656250000005</v>
      </c>
      <c r="Q166">
        <f t="shared" si="69"/>
        <v>2.458333333333333</v>
      </c>
      <c r="R166" cm="1">
        <f t="array" aca="1" ref="R166:U166" ca="1">center_span(Beam_Analysis!$J$29,Q166,Beam_Analysis!$D$3,Beam_Analysis!$D$2,Beam_Analysis!$J$33:$O$79,Beam_Analysis!$G$5:$P$5,0)</f>
        <v>0.52972656250000005</v>
      </c>
      <c r="S166">
        <f ca="1"/>
        <v>2.4391596137152778</v>
      </c>
      <c r="T166">
        <f ca="1"/>
        <v>-3.2341507245644767E-2</v>
      </c>
      <c r="U166">
        <f ca="1"/>
        <v>-1.2823124688538301</v>
      </c>
      <c r="V166">
        <f ca="1">(S166*12)/(Beam_Analysis!$B$2*Beam_Analysis!$B$3)</f>
        <v>1.0093074263649426E-3</v>
      </c>
    </row>
    <row r="167" spans="14:22" x14ac:dyDescent="0.25">
      <c r="N167">
        <v>61</v>
      </c>
      <c r="O167" s="12">
        <f t="shared" si="70"/>
        <v>2.5</v>
      </c>
      <c r="P167">
        <f t="shared" ca="1" si="71"/>
        <v>0.515625</v>
      </c>
      <c r="Q167">
        <f t="shared" si="69"/>
        <v>2.5</v>
      </c>
      <c r="R167" cm="1">
        <f t="array" aca="1" ref="R167:U167" ca="1">center_span(Beam_Analysis!$J$29,Q167,Beam_Analysis!$D$3,Beam_Analysis!$D$2,Beam_Analysis!$J$33:$O$79,Beam_Analysis!$G$5:$P$5,0)</f>
        <v>0.515625</v>
      </c>
      <c r="S167">
        <f ca="1"/>
        <v>2.4609375</v>
      </c>
      <c r="T167">
        <f ca="1"/>
        <v>-3.1834590517241391E-2</v>
      </c>
      <c r="U167">
        <f ca="1"/>
        <v>-1.2983566810344831</v>
      </c>
      <c r="V167">
        <f ca="1">(S167*12)/(Beam_Analysis!$B$2*Beam_Analysis!$B$3)</f>
        <v>1.0183189655172413E-3</v>
      </c>
    </row>
    <row r="168" spans="14:22" x14ac:dyDescent="0.25">
      <c r="N168">
        <v>62</v>
      </c>
      <c r="O168" s="12">
        <f t="shared" si="70"/>
        <v>2.5416666666666665</v>
      </c>
      <c r="P168">
        <f t="shared" ca="1" si="71"/>
        <v>0.50160156249999999</v>
      </c>
      <c r="Q168">
        <f t="shared" si="69"/>
        <v>2.5416666666666665</v>
      </c>
      <c r="R168" cm="1">
        <f t="array" aca="1" ref="R168:U168" ca="1">center_span(Beam_Analysis!$J$29,Q168,Beam_Analysis!$D$3,Beam_Analysis!$D$2,Beam_Analysis!$J$33:$O$79,Beam_Analysis!$G$5:$P$5,0)</f>
        <v>0.50160156249999999</v>
      </c>
      <c r="S168">
        <f ca="1"/>
        <v>2.4821294487847223</v>
      </c>
      <c r="T168">
        <f ca="1"/>
        <v>-3.1323228689610287E-2</v>
      </c>
      <c r="U168">
        <f ca="1"/>
        <v>-1.3141463185249418</v>
      </c>
      <c r="V168">
        <f ca="1">(S168*12)/(Beam_Analysis!$B$2*Beam_Analysis!$B$3)</f>
        <v>1.0270880477729887E-3</v>
      </c>
    </row>
    <row r="169" spans="14:22" x14ac:dyDescent="0.25">
      <c r="N169">
        <v>63</v>
      </c>
      <c r="O169" s="12">
        <f t="shared" si="70"/>
        <v>2.583333333333333</v>
      </c>
      <c r="P169">
        <f t="shared" ca="1" si="71"/>
        <v>0.48765625000000007</v>
      </c>
      <c r="Q169">
        <f t="shared" si="69"/>
        <v>2.583333333333333</v>
      </c>
      <c r="R169" cm="1">
        <f t="array" aca="1" ref="R169:U169" ca="1">center_span(Beam_Analysis!$J$29,Q169,Beam_Analysis!$D$3,Beam_Analysis!$D$2,Beam_Analysis!$J$33:$O$79,Beam_Analysis!$G$5:$P$5,0)</f>
        <v>0.48765625000000007</v>
      </c>
      <c r="S169">
        <f ca="1"/>
        <v>2.5027387152777778</v>
      </c>
      <c r="T169">
        <f ca="1"/>
        <v>-3.0807542654454036E-2</v>
      </c>
      <c r="U169">
        <f ca="1"/>
        <v>-1.3296791890265807</v>
      </c>
      <c r="V169">
        <f ca="1">(S169*12)/(Beam_Analysis!$B$2*Beam_Analysis!$B$3)</f>
        <v>1.0356160201149425E-3</v>
      </c>
    </row>
    <row r="170" spans="14:22" x14ac:dyDescent="0.25">
      <c r="N170">
        <v>64</v>
      </c>
      <c r="O170" s="12">
        <f t="shared" si="70"/>
        <v>2.625</v>
      </c>
      <c r="P170">
        <f t="shared" ca="1" si="71"/>
        <v>0.47378906249999997</v>
      </c>
      <c r="Q170">
        <f t="shared" si="69"/>
        <v>2.625</v>
      </c>
      <c r="R170" cm="1">
        <f t="array" aca="1" ref="R170:U170" ca="1">center_span(Beam_Analysis!$J$29,Q170,Beam_Analysis!$D$3,Beam_Analysis!$D$2,Beam_Analysis!$J$33:$O$79,Beam_Analysis!$G$5:$P$5,0)</f>
        <v>0.47378906249999997</v>
      </c>
      <c r="S170">
        <f ca="1"/>
        <v>2.5227685546875001</v>
      </c>
      <c r="T170">
        <f ca="1"/>
        <v>-3.0287652629983848E-2</v>
      </c>
      <c r="U170">
        <f ca="1"/>
        <v>-1.3449531605182521</v>
      </c>
      <c r="V170">
        <f ca="1">(S170*12)/(Beam_Analysis!$B$2*Beam_Analysis!$B$3)</f>
        <v>1.0439042295258621E-3</v>
      </c>
    </row>
    <row r="171" spans="14:22" x14ac:dyDescent="0.25">
      <c r="N171">
        <v>65</v>
      </c>
      <c r="O171" s="12">
        <f t="shared" ref="O171:O202" si="72">Q171+$F$12</f>
        <v>2.6666666666666665</v>
      </c>
      <c r="P171">
        <f t="shared" ref="P171:P202" ca="1" si="73">OFFSET(R171,0,$O$2)</f>
        <v>0.46</v>
      </c>
      <c r="Q171">
        <f t="shared" si="69"/>
        <v>2.6666666666666665</v>
      </c>
      <c r="R171" cm="1">
        <f t="array" aca="1" ref="R171:U171" ca="1">center_span(Beam_Analysis!$J$29,Q171,Beam_Analysis!$D$3,Beam_Analysis!$D$2,Beam_Analysis!$J$33:$O$79,Beam_Analysis!$G$5:$P$5,0)</f>
        <v>0.46</v>
      </c>
      <c r="S171">
        <f ca="1"/>
        <v>2.5422222222222222</v>
      </c>
      <c r="T171">
        <f ca="1"/>
        <v>-2.9763678160919554E-2</v>
      </c>
      <c r="U171">
        <f ca="1"/>
        <v>-1.3599661609195406</v>
      </c>
      <c r="V171">
        <f ca="1">(S171*12)/(Beam_Analysis!$B$2*Beam_Analysis!$B$3)</f>
        <v>1.0519540229885058E-3</v>
      </c>
    </row>
    <row r="172" spans="14:22" x14ac:dyDescent="0.25">
      <c r="N172">
        <v>66</v>
      </c>
      <c r="O172" s="12">
        <f t="shared" si="72"/>
        <v>2.708333333333333</v>
      </c>
      <c r="P172">
        <f t="shared" ca="1" si="73"/>
        <v>0.44628906250000006</v>
      </c>
      <c r="Q172">
        <f t="shared" si="69"/>
        <v>2.708333333333333</v>
      </c>
      <c r="R172" cm="1">
        <f t="array" aca="1" ref="R172:U172" ca="1">center_span(Beam_Analysis!$J$29,Q172,Beam_Analysis!$D$3,Beam_Analysis!$D$2,Beam_Analysis!$J$33:$O$79,Beam_Analysis!$G$5:$P$5,0)</f>
        <v>0.44628906250000006</v>
      </c>
      <c r="S172">
        <f ca="1"/>
        <v>2.5611029730902777</v>
      </c>
      <c r="T172">
        <f ca="1"/>
        <v>-2.9235738118489597E-2</v>
      </c>
      <c r="U172">
        <f ca="1"/>
        <v>-1.3747161777540187</v>
      </c>
      <c r="V172">
        <f ca="1">(S172*12)/(Beam_Analysis!$B$2*Beam_Analysis!$B$3)</f>
        <v>1.0597667474856322E-3</v>
      </c>
    </row>
    <row r="173" spans="14:22" x14ac:dyDescent="0.25">
      <c r="N173">
        <v>67</v>
      </c>
      <c r="O173" s="12">
        <f t="shared" si="72"/>
        <v>2.75</v>
      </c>
      <c r="P173">
        <f t="shared" ca="1" si="73"/>
        <v>0.43265624999999996</v>
      </c>
      <c r="Q173">
        <f t="shared" si="69"/>
        <v>2.75</v>
      </c>
      <c r="R173" cm="1">
        <f t="array" aca="1" ref="R173:U173" ca="1">center_span(Beam_Analysis!$J$29,Q173,Beam_Analysis!$D$3,Beam_Analysis!$D$2,Beam_Analysis!$J$33:$O$79,Beam_Analysis!$G$5:$P$5,0)</f>
        <v>0.43265624999999996</v>
      </c>
      <c r="S173">
        <f ca="1"/>
        <v>2.5794140625000002</v>
      </c>
      <c r="T173">
        <f ca="1"/>
        <v>-2.8703950700431045E-2</v>
      </c>
      <c r="U173">
        <f ca="1"/>
        <v>-1.3892012578125004</v>
      </c>
      <c r="V173">
        <f ca="1">(S173*12)/(Beam_Analysis!$B$2*Beam_Analysis!$B$3)</f>
        <v>1.0673437500000002E-3</v>
      </c>
    </row>
    <row r="174" spans="14:22" x14ac:dyDescent="0.25">
      <c r="N174">
        <v>68</v>
      </c>
      <c r="O174" s="12">
        <f t="shared" si="72"/>
        <v>2.7916666666666665</v>
      </c>
      <c r="P174">
        <f t="shared" ca="1" si="73"/>
        <v>0.41910156250000002</v>
      </c>
      <c r="Q174">
        <f t="shared" si="69"/>
        <v>2.7916666666666665</v>
      </c>
      <c r="R174" cm="1">
        <f t="array" aca="1" ref="R174:U174" ca="1">center_span(Beam_Analysis!$J$29,Q174,Beam_Analysis!$D$3,Beam_Analysis!$D$2,Beam_Analysis!$J$33:$O$79,Beam_Analysis!$G$5:$P$5,0)</f>
        <v>0.41910156250000002</v>
      </c>
      <c r="S174">
        <f ca="1"/>
        <v>2.5971587456597223</v>
      </c>
      <c r="T174">
        <f ca="1"/>
        <v>-2.8168433430989594E-2</v>
      </c>
      <c r="U174">
        <f ca="1"/>
        <v>-1.4034195068162945</v>
      </c>
      <c r="V174">
        <f ca="1">(S174*12)/(Beam_Analysis!$B$2*Beam_Analysis!$B$3)</f>
        <v>1.0746863775143677E-3</v>
      </c>
    </row>
    <row r="175" spans="14:22" x14ac:dyDescent="0.25">
      <c r="N175">
        <v>69</v>
      </c>
      <c r="O175" s="12">
        <f t="shared" si="72"/>
        <v>2.833333333333333</v>
      </c>
      <c r="P175">
        <f t="shared" ca="1" si="73"/>
        <v>0.40562500000000007</v>
      </c>
      <c r="Q175">
        <f t="shared" si="69"/>
        <v>2.833333333333333</v>
      </c>
      <c r="R175" cm="1">
        <f t="array" aca="1" ref="R175:U175" ca="1">center_span(Beam_Analysis!$J$29,Q175,Beam_Analysis!$D$3,Beam_Analysis!$D$2,Beam_Analysis!$J$33:$O$79,Beam_Analysis!$G$5:$P$5,0)</f>
        <v>0.40562500000000007</v>
      </c>
      <c r="S175">
        <f ca="1"/>
        <v>2.6143402777777776</v>
      </c>
      <c r="T175">
        <f ca="1"/>
        <v>-2.7629303160919556E-2</v>
      </c>
      <c r="U175">
        <f ca="1"/>
        <v>-1.4173690890804602</v>
      </c>
      <c r="V175">
        <f ca="1">(S175*12)/(Beam_Analysis!$B$2*Beam_Analysis!$B$3)</f>
        <v>1.081795977011494E-3</v>
      </c>
    </row>
    <row r="176" spans="14:22" x14ac:dyDescent="0.25">
      <c r="N176">
        <v>70</v>
      </c>
      <c r="O176" s="12">
        <f t="shared" si="72"/>
        <v>2.875</v>
      </c>
      <c r="P176">
        <f t="shared" ca="1" si="73"/>
        <v>0.39222656249999999</v>
      </c>
      <c r="Q176">
        <f t="shared" si="69"/>
        <v>2.875</v>
      </c>
      <c r="R176" cm="1">
        <f t="array" aca="1" ref="R176:U176" ca="1">center_span(Beam_Analysis!$J$29,Q176,Beam_Analysis!$D$3,Beam_Analysis!$D$2,Beam_Analysis!$J$33:$O$79,Beam_Analysis!$G$5:$P$5,0)</f>
        <v>0.39222656249999999</v>
      </c>
      <c r="S176">
        <f ca="1"/>
        <v>2.6309619140625</v>
      </c>
      <c r="T176">
        <f ca="1"/>
        <v>-2.7086676067483845E-2</v>
      </c>
      <c r="U176">
        <f ca="1"/>
        <v>-1.4310482271770613</v>
      </c>
      <c r="V176">
        <f ca="1">(S176*12)/(Beam_Analysis!$B$2*Beam_Analysis!$B$3)</f>
        <v>1.0886738954741381E-3</v>
      </c>
    </row>
    <row r="177" spans="14:22" x14ac:dyDescent="0.25">
      <c r="N177">
        <v>71</v>
      </c>
      <c r="O177" s="12">
        <f t="shared" si="72"/>
        <v>2.9166666666666665</v>
      </c>
      <c r="P177">
        <f t="shared" ca="1" si="73"/>
        <v>0.37890625</v>
      </c>
      <c r="Q177">
        <f t="shared" si="69"/>
        <v>2.9166666666666665</v>
      </c>
      <c r="R177" cm="1">
        <f t="array" aca="1" ref="R177:U177" ca="1">center_span(Beam_Analysis!$J$29,Q177,Beam_Analysis!$D$3,Beam_Analysis!$D$2,Beam_Analysis!$J$33:$O$79,Beam_Analysis!$G$5:$P$5,0)</f>
        <v>0.37890625</v>
      </c>
      <c r="S177">
        <f ca="1"/>
        <v>2.6470269097222223</v>
      </c>
      <c r="T177">
        <f ca="1"/>
        <v>-2.6540667654454037E-2</v>
      </c>
      <c r="U177">
        <f ca="1"/>
        <v>-1.44445520159842</v>
      </c>
      <c r="V177">
        <f ca="1">(S177*12)/(Beam_Analysis!$B$2*Beam_Analysis!$B$3)</f>
        <v>1.0953214798850575E-3</v>
      </c>
    </row>
    <row r="178" spans="14:22" x14ac:dyDescent="0.25">
      <c r="N178">
        <v>72</v>
      </c>
      <c r="O178" s="12">
        <f t="shared" si="72"/>
        <v>2.958333333333333</v>
      </c>
      <c r="P178">
        <f t="shared" ca="1" si="73"/>
        <v>0.36566406250000005</v>
      </c>
      <c r="Q178">
        <f t="shared" si="69"/>
        <v>2.958333333333333</v>
      </c>
      <c r="R178" cm="1">
        <f t="array" aca="1" ref="R178:U178" ca="1">center_span(Beam_Analysis!$J$29,Q178,Beam_Analysis!$D$3,Beam_Analysis!$D$2,Beam_Analysis!$J$33:$O$79,Beam_Analysis!$G$5:$P$5,0)</f>
        <v>0.36566406250000005</v>
      </c>
      <c r="S178">
        <f ca="1"/>
        <v>2.6625385199652776</v>
      </c>
      <c r="T178">
        <f ca="1"/>
        <v>-2.5991392752110286E-2</v>
      </c>
      <c r="U178">
        <f ca="1"/>
        <v>-1.4575883504203713</v>
      </c>
      <c r="V178">
        <f ca="1">(S178*12)/(Beam_Analysis!$B$2*Beam_Analysis!$B$3)</f>
        <v>1.1017400772270114E-3</v>
      </c>
    </row>
    <row r="179" spans="14:22" x14ac:dyDescent="0.25">
      <c r="N179">
        <v>73</v>
      </c>
      <c r="O179" s="12">
        <f t="shared" si="72"/>
        <v>3</v>
      </c>
      <c r="P179">
        <f t="shared" ca="1" si="73"/>
        <v>0.35249999999999998</v>
      </c>
      <c r="Q179">
        <f t="shared" si="69"/>
        <v>3</v>
      </c>
      <c r="R179" cm="1">
        <f t="array" aca="1" ref="R179:U179" ca="1">center_span(Beam_Analysis!$J$29,Q179,Beam_Analysis!$D$3,Beam_Analysis!$D$2,Beam_Analysis!$J$33:$O$79,Beam_Analysis!$G$5:$P$5,0)</f>
        <v>0.35249999999999998</v>
      </c>
      <c r="S179">
        <f ca="1"/>
        <v>2.6774999999999998</v>
      </c>
      <c r="T179">
        <f ca="1"/>
        <v>-2.5438965517241389E-2</v>
      </c>
      <c r="U179">
        <f ca="1"/>
        <v>-1.4704460689655177</v>
      </c>
      <c r="V179">
        <f ca="1">(S179*12)/(Beam_Analysis!$B$2*Beam_Analysis!$B$3)</f>
        <v>1.1079310344827584E-3</v>
      </c>
    </row>
    <row r="180" spans="14:22" x14ac:dyDescent="0.25">
      <c r="N180">
        <v>74</v>
      </c>
      <c r="O180" s="12">
        <f t="shared" si="72"/>
        <v>3.0416666666666665</v>
      </c>
      <c r="P180">
        <f t="shared" ca="1" si="73"/>
        <v>0.3394140625</v>
      </c>
      <c r="Q180">
        <f t="shared" si="69"/>
        <v>3.0416666666666665</v>
      </c>
      <c r="R180" cm="1">
        <f t="array" aca="1" ref="R180:U180" ca="1">center_span(Beam_Analysis!$J$29,Q180,Beam_Analysis!$D$3,Beam_Analysis!$D$2,Beam_Analysis!$J$33:$O$79,Beam_Analysis!$G$5:$P$5,0)</f>
        <v>0.3394140625</v>
      </c>
      <c r="S180">
        <f ca="1"/>
        <v>2.691914605034722</v>
      </c>
      <c r="T180">
        <f ca="1"/>
        <v>-2.488349943314477E-2</v>
      </c>
      <c r="U180">
        <f ca="1"/>
        <v>-1.4830268094664829</v>
      </c>
      <c r="V180">
        <f ca="1">(S180*12)/(Beam_Analysis!$B$2*Beam_Analysis!$B$3)</f>
        <v>1.1138956986350575E-3</v>
      </c>
    </row>
    <row r="181" spans="14:22" x14ac:dyDescent="0.25">
      <c r="N181">
        <v>75</v>
      </c>
      <c r="O181" s="12">
        <f t="shared" si="72"/>
        <v>3.083333333333333</v>
      </c>
      <c r="P181">
        <f t="shared" ca="1" si="73"/>
        <v>0.32640625000000006</v>
      </c>
      <c r="Q181">
        <f t="shared" si="69"/>
        <v>3.083333333333333</v>
      </c>
      <c r="R181" cm="1">
        <f t="array" aca="1" ref="R181:U181" ca="1">center_span(Beam_Analysis!$J$29,Q181,Beam_Analysis!$D$3,Beam_Analysis!$D$2,Beam_Analysis!$J$33:$O$79,Beam_Analysis!$G$5:$P$5,0)</f>
        <v>0.32640625000000006</v>
      </c>
      <c r="S181">
        <f ca="1"/>
        <v>2.7057855902777774</v>
      </c>
      <c r="T181">
        <f ca="1"/>
        <v>-2.4325107309626452E-2</v>
      </c>
      <c r="U181">
        <f ca="1"/>
        <v>-1.4953290807291668</v>
      </c>
      <c r="V181">
        <f ca="1">(S181*12)/(Beam_Analysis!$B$2*Beam_Analysis!$B$3)</f>
        <v>1.1196354166666666E-3</v>
      </c>
    </row>
    <row r="182" spans="14:22" x14ac:dyDescent="0.25">
      <c r="N182">
        <v>76</v>
      </c>
      <c r="O182" s="12">
        <f t="shared" si="72"/>
        <v>3.125</v>
      </c>
      <c r="P182">
        <f t="shared" ca="1" si="73"/>
        <v>0.31347656249999994</v>
      </c>
      <c r="Q182">
        <f t="shared" si="69"/>
        <v>3.125</v>
      </c>
      <c r="R182" cm="1">
        <f t="array" aca="1" ref="R182:U182" ca="1">center_span(Beam_Analysis!$J$29,Q182,Beam_Analysis!$D$3,Beam_Analysis!$D$2,Beam_Analysis!$J$33:$O$79,Beam_Analysis!$G$5:$P$5,0)</f>
        <v>0.31347656249999994</v>
      </c>
      <c r="S182">
        <f ca="1"/>
        <v>2.7191162109375</v>
      </c>
      <c r="T182">
        <f ca="1"/>
        <v>-2.3763901283001088E-2</v>
      </c>
      <c r="U182">
        <f ca="1"/>
        <v>-1.5073514477959999</v>
      </c>
      <c r="V182">
        <f ca="1">(S182*12)/(Beam_Analysis!$B$2*Beam_Analysis!$B$3)</f>
        <v>1.1251515355603448E-3</v>
      </c>
    </row>
    <row r="183" spans="14:22" x14ac:dyDescent="0.25">
      <c r="N183">
        <v>77</v>
      </c>
      <c r="O183" s="12">
        <f t="shared" si="72"/>
        <v>3.1666666666666665</v>
      </c>
      <c r="P183">
        <f t="shared" ca="1" si="73"/>
        <v>0.30062499999999998</v>
      </c>
      <c r="Q183">
        <f t="shared" si="69"/>
        <v>3.1666666666666665</v>
      </c>
      <c r="R183" cm="1">
        <f t="array" aca="1" ref="R183:U183" ca="1">center_span(Beam_Analysis!$J$29,Q183,Beam_Analysis!$D$3,Beam_Analysis!$D$2,Beam_Analysis!$J$33:$O$79,Beam_Analysis!$G$5:$P$5,0)</f>
        <v>0.30062499999999998</v>
      </c>
      <c r="S183">
        <f ca="1"/>
        <v>2.7319097222222219</v>
      </c>
      <c r="T183">
        <f ca="1"/>
        <v>-2.3199992816091967E-2</v>
      </c>
      <c r="U183">
        <f ca="1"/>
        <v>-1.5190925316091959</v>
      </c>
      <c r="V183">
        <f ca="1">(S183*12)/(Beam_Analysis!$B$2*Beam_Analysis!$B$3)</f>
        <v>1.1304454022988506E-3</v>
      </c>
    </row>
    <row r="184" spans="14:22" x14ac:dyDescent="0.25">
      <c r="N184">
        <v>78</v>
      </c>
      <c r="O184" s="12">
        <f t="shared" si="72"/>
        <v>3.208333333333333</v>
      </c>
      <c r="P184">
        <f t="shared" ca="1" si="73"/>
        <v>0.28785156250000005</v>
      </c>
      <c r="Q184">
        <f t="shared" si="69"/>
        <v>3.208333333333333</v>
      </c>
      <c r="R184" cm="1">
        <f t="array" aca="1" ref="R184:U184" ca="1">center_span(Beam_Analysis!$J$29,Q184,Beam_Analysis!$D$3,Beam_Analysis!$D$2,Beam_Analysis!$J$33:$O$79,Beam_Analysis!$G$5:$P$5,0)</f>
        <v>0.28785156250000005</v>
      </c>
      <c r="S184">
        <f ca="1"/>
        <v>2.7441693793402777</v>
      </c>
      <c r="T184">
        <f ca="1"/>
        <v>-2.2633492698230978E-2</v>
      </c>
      <c r="U184">
        <f ca="1"/>
        <v>-1.530551008674008</v>
      </c>
      <c r="V184">
        <f ca="1">(S184*12)/(Beam_Analysis!$B$2*Beam_Analysis!$B$3)</f>
        <v>1.1355183638649426E-3</v>
      </c>
    </row>
    <row r="185" spans="14:22" x14ac:dyDescent="0.25">
      <c r="N185">
        <v>79</v>
      </c>
      <c r="O185" s="12">
        <f t="shared" si="72"/>
        <v>3.25</v>
      </c>
      <c r="P185">
        <f t="shared" ca="1" si="73"/>
        <v>0.27515624999999994</v>
      </c>
      <c r="Q185">
        <f t="shared" si="69"/>
        <v>3.25</v>
      </c>
      <c r="R185" cm="1">
        <f t="array" aca="1" ref="R185:U185" ca="1">center_span(Beam_Analysis!$J$29,Q185,Beam_Analysis!$D$3,Beam_Analysis!$D$2,Beam_Analysis!$J$33:$O$79,Beam_Analysis!$G$5:$P$5,0)</f>
        <v>0.27515624999999994</v>
      </c>
      <c r="S185">
        <f ca="1"/>
        <v>2.7558984375</v>
      </c>
      <c r="T185">
        <f ca="1"/>
        <v>-2.2064511045258632E-2</v>
      </c>
      <c r="U185">
        <f ca="1"/>
        <v>-1.5417256107219832</v>
      </c>
      <c r="V185">
        <f ca="1">(S185*12)/(Beam_Analysis!$B$2*Beam_Analysis!$B$3)</f>
        <v>1.1403717672413792E-3</v>
      </c>
    </row>
    <row r="186" spans="14:22" x14ac:dyDescent="0.25">
      <c r="N186">
        <v>80</v>
      </c>
      <c r="O186" s="12">
        <f t="shared" si="72"/>
        <v>3.2916666666666665</v>
      </c>
      <c r="P186">
        <f t="shared" ca="1" si="73"/>
        <v>0.26253906249999998</v>
      </c>
      <c r="Q186">
        <f t="shared" si="69"/>
        <v>3.2916666666666665</v>
      </c>
      <c r="R186" cm="1">
        <f t="array" aca="1" ref="R186:U186" ca="1">center_span(Beam_Analysis!$J$29,Q186,Beam_Analysis!$D$3,Beam_Analysis!$D$2,Beam_Analysis!$J$33:$O$79,Beam_Analysis!$G$5:$P$5,0)</f>
        <v>0.26253906249999998</v>
      </c>
      <c r="S186">
        <f ca="1"/>
        <v>2.7671001519097222</v>
      </c>
      <c r="T186">
        <f ca="1"/>
        <v>-2.1493157299524078E-2</v>
      </c>
      <c r="U186">
        <f ca="1"/>
        <v>-1.5526151243742146</v>
      </c>
      <c r="V186">
        <f ca="1">(S186*12)/(Beam_Analysis!$B$2*Beam_Analysis!$B$3)</f>
        <v>1.1450069594109195E-3</v>
      </c>
    </row>
    <row r="187" spans="14:22" x14ac:dyDescent="0.25">
      <c r="N187">
        <v>81</v>
      </c>
      <c r="O187" s="12">
        <f t="shared" si="72"/>
        <v>3.333333333333333</v>
      </c>
      <c r="P187">
        <f t="shared" ca="1" si="73"/>
        <v>0.25000000000000006</v>
      </c>
      <c r="Q187">
        <f t="shared" si="69"/>
        <v>3.333333333333333</v>
      </c>
      <c r="R187" cm="1">
        <f t="array" aca="1" ref="R187:U187" ca="1">center_span(Beam_Analysis!$J$29,Q187,Beam_Analysis!$D$3,Beam_Analysis!$D$2,Beam_Analysis!$J$33:$O$79,Beam_Analysis!$G$5:$P$5,0)</f>
        <v>0.25000000000000006</v>
      </c>
      <c r="S187">
        <f ca="1"/>
        <v>2.7777777777777777</v>
      </c>
      <c r="T187">
        <f ca="1"/>
        <v>-2.0919540229885073E-2</v>
      </c>
      <c r="U187">
        <f ca="1"/>
        <v>-1.5632183908045982</v>
      </c>
      <c r="V187">
        <f ca="1">(S187*12)/(Beam_Analysis!$B$2*Beam_Analysis!$B$3)</f>
        <v>1.1494252873563216E-3</v>
      </c>
    </row>
    <row r="188" spans="14:22" x14ac:dyDescent="0.25">
      <c r="N188">
        <v>82</v>
      </c>
      <c r="O188" s="12">
        <f t="shared" si="72"/>
        <v>3.375</v>
      </c>
      <c r="P188">
        <f t="shared" ca="1" si="73"/>
        <v>0.23753906249999995</v>
      </c>
      <c r="Q188">
        <f t="shared" si="69"/>
        <v>3.375</v>
      </c>
      <c r="R188" cm="1">
        <f t="array" aca="1" ref="R188:U188" ca="1">center_span(Beam_Analysis!$J$29,Q188,Beam_Analysis!$D$3,Beam_Analysis!$D$2,Beam_Analysis!$J$33:$O$79,Beam_Analysis!$G$5:$P$5,0)</f>
        <v>0.23753906249999995</v>
      </c>
      <c r="S188">
        <f ca="1"/>
        <v>2.7879345703124998</v>
      </c>
      <c r="T188">
        <f ca="1"/>
        <v>-2.0343767931707984E-2</v>
      </c>
      <c r="U188">
        <f ca="1"/>
        <v>-1.573534305403085</v>
      </c>
      <c r="V188">
        <f ca="1">(S188*12)/(Beam_Analysis!$B$2*Beam_Analysis!$B$3)</f>
        <v>1.1536280980603449E-3</v>
      </c>
    </row>
    <row r="189" spans="14:22" x14ac:dyDescent="0.25">
      <c r="N189">
        <v>83</v>
      </c>
      <c r="O189" s="12">
        <f t="shared" si="72"/>
        <v>3.4166666666666665</v>
      </c>
      <c r="P189">
        <f t="shared" ca="1" si="73"/>
        <v>0.22515625</v>
      </c>
      <c r="Q189">
        <f t="shared" si="69"/>
        <v>3.4166666666666665</v>
      </c>
      <c r="R189" cm="1">
        <f t="array" aca="1" ref="R189:U189" ca="1">center_span(Beam_Analysis!$J$29,Q189,Beam_Analysis!$D$3,Beam_Analysis!$D$2,Beam_Analysis!$J$33:$O$79,Beam_Analysis!$G$5:$P$5,0)</f>
        <v>0.22515625</v>
      </c>
      <c r="S189">
        <f ca="1"/>
        <v>2.7975737847222222</v>
      </c>
      <c r="T189">
        <f ca="1"/>
        <v>-1.976594782686783E-2</v>
      </c>
      <c r="U189">
        <f ca="1"/>
        <v>-1.5835618174389372</v>
      </c>
      <c r="V189">
        <f ca="1">(S189*12)/(Beam_Analysis!$B$2*Beam_Analysis!$B$3)</f>
        <v>1.1576167385057472E-3</v>
      </c>
    </row>
    <row r="190" spans="14:22" x14ac:dyDescent="0.25">
      <c r="N190">
        <v>84</v>
      </c>
      <c r="O190" s="12">
        <f t="shared" si="72"/>
        <v>3.458333333333333</v>
      </c>
      <c r="P190">
        <f t="shared" ca="1" si="73"/>
        <v>0.21285156250000004</v>
      </c>
      <c r="Q190">
        <f t="shared" si="69"/>
        <v>3.458333333333333</v>
      </c>
      <c r="R190" cm="1">
        <f t="array" aca="1" ref="R190:U190" ca="1">center_span(Beam_Analysis!$J$29,Q190,Beam_Analysis!$D$3,Beam_Analysis!$D$2,Beam_Analysis!$J$33:$O$79,Beam_Analysis!$G$5:$P$5,0)</f>
        <v>0.21285156250000004</v>
      </c>
      <c r="S190">
        <f ca="1"/>
        <v>2.8066986762152775</v>
      </c>
      <c r="T190">
        <f ca="1"/>
        <v>-1.9186186663748217E-2</v>
      </c>
      <c r="U190">
        <f ca="1"/>
        <v>-1.5932999297239809</v>
      </c>
      <c r="V190">
        <f ca="1">(S190*12)/(Beam_Analysis!$B$2*Beam_Analysis!$B$3)</f>
        <v>1.1613925556752873E-3</v>
      </c>
    </row>
    <row r="191" spans="14:22" x14ac:dyDescent="0.25">
      <c r="N191">
        <v>85</v>
      </c>
      <c r="O191" s="12">
        <f t="shared" si="72"/>
        <v>3.5</v>
      </c>
      <c r="P191">
        <f t="shared" ca="1" si="73"/>
        <v>0.20062499999999994</v>
      </c>
      <c r="Q191">
        <f t="shared" si="69"/>
        <v>3.5</v>
      </c>
      <c r="R191" cm="1">
        <f t="array" aca="1" ref="R191:U191" ca="1">center_span(Beam_Analysis!$J$29,Q191,Beam_Analysis!$D$3,Beam_Analysis!$D$2,Beam_Analysis!$J$33:$O$79,Beam_Analysis!$G$5:$P$5,0)</f>
        <v>0.20062499999999994</v>
      </c>
      <c r="S191">
        <f ca="1"/>
        <v>2.8153125000000001</v>
      </c>
      <c r="T191">
        <f ca="1"/>
        <v>-1.8604590517241389E-2</v>
      </c>
      <c r="U191">
        <f ca="1"/>
        <v>-1.6027476982758624</v>
      </c>
      <c r="V191">
        <f ca="1">(S191*12)/(Beam_Analysis!$B$2*Beam_Analysis!$B$3)</f>
        <v>1.1649568965517241E-3</v>
      </c>
    </row>
    <row r="192" spans="14:22" x14ac:dyDescent="0.25">
      <c r="N192">
        <v>86</v>
      </c>
      <c r="O192" s="12">
        <f t="shared" si="72"/>
        <v>3.5416666666666665</v>
      </c>
      <c r="P192">
        <f t="shared" ca="1" si="73"/>
        <v>0.1884765625</v>
      </c>
      <c r="Q192">
        <f t="shared" si="69"/>
        <v>3.5416666666666665</v>
      </c>
      <c r="R192" cm="1">
        <f t="array" aca="1" ref="R192:U192" ca="1">center_span(Beam_Analysis!$J$29,Q192,Beam_Analysis!$D$3,Beam_Analysis!$D$2,Beam_Analysis!$J$33:$O$79,Beam_Analysis!$G$5:$P$5,0)</f>
        <v>0.1884765625</v>
      </c>
      <c r="S192">
        <f ca="1"/>
        <v>2.8234185112847223</v>
      </c>
      <c r="T192">
        <f ca="1"/>
        <v>-1.8021264788748215E-2</v>
      </c>
      <c r="U192">
        <f ca="1"/>
        <v>-1.6119042319812997</v>
      </c>
      <c r="V192">
        <f ca="1">(S192*12)/(Beam_Analysis!$B$2*Beam_Analysis!$B$3)</f>
        <v>1.1683111081178164E-3</v>
      </c>
    </row>
    <row r="193" spans="14:22" x14ac:dyDescent="0.25">
      <c r="N193">
        <v>87</v>
      </c>
      <c r="O193" s="12">
        <f t="shared" si="72"/>
        <v>3.583333333333333</v>
      </c>
      <c r="P193">
        <f t="shared" ca="1" si="73"/>
        <v>0.17640625000000004</v>
      </c>
      <c r="Q193">
        <f t="shared" si="69"/>
        <v>3.583333333333333</v>
      </c>
      <c r="R193" cm="1">
        <f t="array" aca="1" ref="R193:U193" ca="1">center_span(Beam_Analysis!$J$29,Q193,Beam_Analysis!$D$3,Beam_Analysis!$D$2,Beam_Analysis!$J$33:$O$79,Beam_Analysis!$G$5:$P$5,0)</f>
        <v>0.17640625000000004</v>
      </c>
      <c r="S193">
        <f ca="1"/>
        <v>2.8310199652777777</v>
      </c>
      <c r="T193">
        <f ca="1"/>
        <v>-1.7436314206178177E-2</v>
      </c>
      <c r="U193">
        <f ca="1"/>
        <v>-1.6207686922593394</v>
      </c>
      <c r="V193">
        <f ca="1">(S193*12)/(Beam_Analysis!$B$2*Beam_Analysis!$B$3)</f>
        <v>1.171456537356322E-3</v>
      </c>
    </row>
    <row r="194" spans="14:22" x14ac:dyDescent="0.25">
      <c r="N194">
        <v>88</v>
      </c>
      <c r="O194" s="12">
        <f t="shared" si="72"/>
        <v>3.625</v>
      </c>
      <c r="P194">
        <f t="shared" ca="1" si="73"/>
        <v>0.16441406249999996</v>
      </c>
      <c r="Q194">
        <f t="shared" si="69"/>
        <v>3.625</v>
      </c>
      <c r="R194" cm="1">
        <f t="array" aca="1" ref="R194:U194" ca="1">center_span(Beam_Analysis!$J$29,Q194,Beam_Analysis!$D$3,Beam_Analysis!$D$2,Beam_Analysis!$J$33:$O$79,Beam_Analysis!$G$5:$P$5,0)</f>
        <v>0.16441406249999996</v>
      </c>
      <c r="S194">
        <f ca="1"/>
        <v>2.8381201171875001</v>
      </c>
      <c r="T194">
        <f ca="1"/>
        <v>-1.6849842823949364E-2</v>
      </c>
      <c r="U194">
        <f ca="1"/>
        <v>-1.6293402927246099</v>
      </c>
      <c r="V194">
        <f ca="1">(S194*12)/(Beam_Analysis!$B$2*Beam_Analysis!$B$3)</f>
        <v>1.17439453125E-3</v>
      </c>
    </row>
    <row r="195" spans="14:22" x14ac:dyDescent="0.25">
      <c r="N195">
        <v>89</v>
      </c>
      <c r="O195" s="12">
        <f t="shared" si="72"/>
        <v>3.6666666666666665</v>
      </c>
      <c r="P195">
        <f t="shared" ca="1" si="73"/>
        <v>0.1525</v>
      </c>
      <c r="Q195">
        <f t="shared" si="69"/>
        <v>3.6666666666666665</v>
      </c>
      <c r="R195" cm="1">
        <f t="array" aca="1" ref="R195:U195" ca="1">center_span(Beam_Analysis!$J$29,Q195,Beam_Analysis!$D$3,Beam_Analysis!$D$2,Beam_Analysis!$J$33:$O$79,Beam_Analysis!$G$5:$P$5,0)</f>
        <v>0.1525</v>
      </c>
      <c r="S195">
        <f ca="1"/>
        <v>2.8447222222222219</v>
      </c>
      <c r="T195">
        <f ca="1"/>
        <v>-1.6261954022988519E-2</v>
      </c>
      <c r="U195">
        <f ca="1"/>
        <v>-1.6376182988505752</v>
      </c>
      <c r="V195">
        <f ca="1">(S195*12)/(Beam_Analysis!$B$2*Beam_Analysis!$B$3)</f>
        <v>1.1771264367816091E-3</v>
      </c>
    </row>
    <row r="196" spans="14:22" x14ac:dyDescent="0.25">
      <c r="N196">
        <v>90</v>
      </c>
      <c r="O196" s="12">
        <f t="shared" si="72"/>
        <v>3.708333333333333</v>
      </c>
      <c r="P196">
        <f t="shared" ca="1" si="73"/>
        <v>0.14066406250000002</v>
      </c>
      <c r="Q196">
        <f t="shared" si="69"/>
        <v>3.708333333333333</v>
      </c>
      <c r="R196" cm="1">
        <f t="array" aca="1" ref="R196:U196" ca="1">center_span(Beam_Analysis!$J$29,Q196,Beam_Analysis!$D$3,Beam_Analysis!$D$2,Beam_Analysis!$J$33:$O$79,Beam_Analysis!$G$5:$P$5,0)</f>
        <v>0.14066406250000002</v>
      </c>
      <c r="S196">
        <f ca="1"/>
        <v>2.8508295355902775</v>
      </c>
      <c r="T196">
        <f ca="1"/>
        <v>-1.5672750510730978E-2</v>
      </c>
      <c r="U196">
        <f ca="1"/>
        <v>-1.6456020276327905</v>
      </c>
      <c r="V196">
        <f ca="1">(S196*12)/(Beam_Analysis!$B$2*Beam_Analysis!$B$3)</f>
        <v>1.179653600933908E-3</v>
      </c>
    </row>
    <row r="197" spans="14:22" x14ac:dyDescent="0.25">
      <c r="N197">
        <v>91</v>
      </c>
      <c r="O197" s="12">
        <f t="shared" si="72"/>
        <v>3.75</v>
      </c>
      <c r="P197">
        <f t="shared" ca="1" si="73"/>
        <v>0.12890624999999994</v>
      </c>
      <c r="Q197">
        <f t="shared" si="69"/>
        <v>3.75</v>
      </c>
      <c r="R197" cm="1">
        <f t="array" aca="1" ref="R197:U197" ca="1">center_span(Beam_Analysis!$J$29,Q197,Beam_Analysis!$D$3,Beam_Analysis!$D$2,Beam_Analysis!$J$33:$O$79,Beam_Analysis!$G$5:$P$5,0)</f>
        <v>0.12890624999999994</v>
      </c>
      <c r="S197">
        <f ca="1"/>
        <v>2.8564453125</v>
      </c>
      <c r="T197">
        <f ca="1"/>
        <v>-1.5082334321120701E-2</v>
      </c>
      <c r="U197">
        <f ca="1"/>
        <v>-1.6532908472521557</v>
      </c>
      <c r="V197">
        <f ca="1">(S197*12)/(Beam_Analysis!$B$2*Beam_Analysis!$B$3)</f>
        <v>1.1819773706896553E-3</v>
      </c>
    </row>
    <row r="198" spans="14:22" x14ac:dyDescent="0.25">
      <c r="N198">
        <v>92</v>
      </c>
      <c r="O198" s="12">
        <f t="shared" si="72"/>
        <v>3.7916666666666665</v>
      </c>
      <c r="P198">
        <f t="shared" ca="1" si="73"/>
        <v>0.11722656249999999</v>
      </c>
      <c r="Q198">
        <f t="shared" ref="Q198:Q261" si="74">(N198-1)*$Q$105</f>
        <v>3.7916666666666665</v>
      </c>
      <c r="R198" cm="1">
        <f t="array" aca="1" ref="R198:U198" ca="1">center_span(Beam_Analysis!$J$29,Q198,Beam_Analysis!$D$3,Beam_Analysis!$D$2,Beam_Analysis!$J$33:$O$79,Beam_Analysis!$G$5:$P$5,0)</f>
        <v>0.11722656249999999</v>
      </c>
      <c r="S198">
        <f ca="1"/>
        <v>2.861572808159722</v>
      </c>
      <c r="T198">
        <f ca="1"/>
        <v>-1.4490806814610286E-2</v>
      </c>
      <c r="U198">
        <f ca="1"/>
        <v>-1.6606841767381695</v>
      </c>
      <c r="V198">
        <f ca="1">(S198*12)/(Beam_Analysis!$B$2*Beam_Analysis!$B$3)</f>
        <v>1.1840990930316092E-3</v>
      </c>
    </row>
    <row r="199" spans="14:22" x14ac:dyDescent="0.25">
      <c r="N199">
        <v>93</v>
      </c>
      <c r="O199" s="12">
        <f t="shared" si="72"/>
        <v>3.833333333333333</v>
      </c>
      <c r="P199">
        <f t="shared" ca="1" si="73"/>
        <v>0.10562500000000002</v>
      </c>
      <c r="Q199">
        <f t="shared" si="74"/>
        <v>3.833333333333333</v>
      </c>
      <c r="R199" cm="1">
        <f t="array" aca="1" ref="R199:U199" ca="1">center_span(Beam_Analysis!$J$29,Q199,Beam_Analysis!$D$3,Beam_Analysis!$D$2,Beam_Analysis!$J$33:$O$79,Beam_Analysis!$G$5:$P$5,0)</f>
        <v>0.10562500000000002</v>
      </c>
      <c r="S199">
        <f ca="1"/>
        <v>2.8662152777777776</v>
      </c>
      <c r="T199">
        <f ca="1"/>
        <v>-1.3898268678160934E-2</v>
      </c>
      <c r="U199">
        <f ca="1"/>
        <v>-1.6677814856321844</v>
      </c>
      <c r="V199">
        <f ca="1">(S199*12)/(Beam_Analysis!$B$2*Beam_Analysis!$B$3)</f>
        <v>1.1860201149425287E-3</v>
      </c>
    </row>
    <row r="200" spans="14:22" x14ac:dyDescent="0.25">
      <c r="N200">
        <v>94</v>
      </c>
      <c r="O200" s="12">
        <f t="shared" si="72"/>
        <v>3.875</v>
      </c>
      <c r="P200">
        <f t="shared" ca="1" si="73"/>
        <v>9.4101562499999944E-2</v>
      </c>
      <c r="Q200">
        <f t="shared" si="74"/>
        <v>3.875</v>
      </c>
      <c r="R200" cm="1">
        <f t="array" aca="1" ref="R200:U200" ca="1">center_span(Beam_Analysis!$J$29,Q200,Beam_Analysis!$D$3,Beam_Analysis!$D$2,Beam_Analysis!$J$33:$O$79,Beam_Analysis!$G$5:$P$5,0)</f>
        <v>9.4101562499999944E-2</v>
      </c>
      <c r="S200">
        <f ca="1"/>
        <v>2.8703759765624999</v>
      </c>
      <c r="T200">
        <f ca="1"/>
        <v>-1.3304819925242467E-2</v>
      </c>
      <c r="U200">
        <f ca="1"/>
        <v>-1.6745822936506607</v>
      </c>
      <c r="V200">
        <f ca="1">(S200*12)/(Beam_Analysis!$B$2*Beam_Analysis!$B$3)</f>
        <v>1.1877417834051725E-3</v>
      </c>
    </row>
    <row r="201" spans="14:22" x14ac:dyDescent="0.25">
      <c r="N201">
        <v>95</v>
      </c>
      <c r="O201" s="12">
        <f t="shared" si="72"/>
        <v>3.9166666666666665</v>
      </c>
      <c r="P201">
        <f t="shared" ca="1" si="73"/>
        <v>8.2656249999999987E-2</v>
      </c>
      <c r="Q201">
        <f t="shared" si="74"/>
        <v>3.9166666666666665</v>
      </c>
      <c r="R201" cm="1">
        <f t="array" aca="1" ref="R201:U201" ca="1">center_span(Beam_Analysis!$J$29,Q201,Beam_Analysis!$D$3,Beam_Analysis!$D$2,Beam_Analysis!$J$33:$O$79,Beam_Analysis!$G$5:$P$5,0)</f>
        <v>8.2656249999999987E-2</v>
      </c>
      <c r="S201">
        <f ca="1"/>
        <v>2.8740581597222219</v>
      </c>
      <c r="T201">
        <f ca="1"/>
        <v>-1.2710559895833345E-2</v>
      </c>
      <c r="U201">
        <f ca="1"/>
        <v>-1.6810861703484201</v>
      </c>
      <c r="V201">
        <f ca="1">(S201*12)/(Beam_Analysis!$B$2*Beam_Analysis!$B$3)</f>
        <v>1.1892654454022989E-3</v>
      </c>
    </row>
    <row r="202" spans="14:22" x14ac:dyDescent="0.25">
      <c r="N202">
        <v>96</v>
      </c>
      <c r="O202" s="12">
        <f t="shared" si="72"/>
        <v>3.958333333333333</v>
      </c>
      <c r="P202">
        <f t="shared" ca="1" si="73"/>
        <v>7.1289062500000028E-2</v>
      </c>
      <c r="Q202">
        <f t="shared" si="74"/>
        <v>3.958333333333333</v>
      </c>
      <c r="R202" cm="1">
        <f t="array" aca="1" ref="R202:U202" ca="1">center_span(Beam_Analysis!$J$29,Q202,Beam_Analysis!$D$3,Beam_Analysis!$D$2,Beam_Analysis!$J$33:$O$79,Beam_Analysis!$G$5:$P$5,0)</f>
        <v>7.1289062500000028E-2</v>
      </c>
      <c r="S202">
        <f ca="1"/>
        <v>2.8772650824652777</v>
      </c>
      <c r="T202">
        <f ca="1"/>
        <v>-1.2115587256420632E-2</v>
      </c>
      <c r="U202">
        <f ca="1"/>
        <v>-1.6872927347819016</v>
      </c>
      <c r="V202">
        <f ca="1">(S202*12)/(Beam_Analysis!$B$2*Beam_Analysis!$B$3)</f>
        <v>1.1905924479166665E-3</v>
      </c>
    </row>
    <row r="203" spans="14:22" x14ac:dyDescent="0.25">
      <c r="N203">
        <v>97</v>
      </c>
      <c r="O203" s="12">
        <f t="shared" ref="O203:O227" si="75">Q203+$F$12</f>
        <v>4</v>
      </c>
      <c r="P203">
        <f t="shared" ref="P203:P227" ca="1" si="76">OFFSET(R203,0,$O$2)</f>
        <v>5.9999999999999942E-2</v>
      </c>
      <c r="Q203">
        <f t="shared" si="74"/>
        <v>4</v>
      </c>
      <c r="R203" cm="1">
        <f t="array" aca="1" ref="R203:U203" ca="1">center_span(Beam_Analysis!$J$29,Q203,Beam_Analysis!$D$3,Beam_Analysis!$D$2,Beam_Analysis!$J$33:$O$79,Beam_Analysis!$G$5:$P$5,0)</f>
        <v>5.9999999999999942E-2</v>
      </c>
      <c r="S203">
        <f ca="1"/>
        <v>2.88</v>
      </c>
      <c r="T203">
        <f ca="1"/>
        <v>-1.1520000000000009E-2</v>
      </c>
      <c r="U203">
        <f ca="1"/>
        <v>-1.6932016551724143</v>
      </c>
      <c r="V203">
        <f ca="1">(S203*12)/(Beam_Analysis!$B$2*Beam_Analysis!$B$3)</f>
        <v>1.1917241379310346E-3</v>
      </c>
    </row>
    <row r="204" spans="14:22" x14ac:dyDescent="0.25">
      <c r="N204">
        <v>98</v>
      </c>
      <c r="O204" s="12">
        <f t="shared" si="75"/>
        <v>4.0416666666666661</v>
      </c>
      <c r="P204">
        <f t="shared" ca="1" si="76"/>
        <v>4.8789062500000098E-2</v>
      </c>
      <c r="Q204">
        <f t="shared" si="74"/>
        <v>4.0416666666666661</v>
      </c>
      <c r="R204" cm="1">
        <f t="array" aca="1" ref="R204:U204" ca="1">center_span(Beam_Analysis!$J$29,Q204,Beam_Analysis!$D$3,Beam_Analysis!$D$2,Beam_Analysis!$J$33:$O$79,Beam_Analysis!$G$5:$P$5,0)</f>
        <v>4.8789062500000098E-2</v>
      </c>
      <c r="S204">
        <f ca="1"/>
        <v>2.8822661675347221</v>
      </c>
      <c r="T204">
        <f ca="1"/>
        <v>-1.0923895446075809E-2</v>
      </c>
      <c r="U204">
        <f ca="1"/>
        <v>-1.6988126485693926</v>
      </c>
      <c r="V204">
        <f ca="1">(S204*12)/(Beam_Analysis!$B$2*Beam_Analysis!$B$3)</f>
        <v>1.192661862428161E-3</v>
      </c>
    </row>
    <row r="205" spans="14:22" x14ac:dyDescent="0.25">
      <c r="N205">
        <v>99</v>
      </c>
      <c r="O205" s="12">
        <f t="shared" si="75"/>
        <v>4.083333333333333</v>
      </c>
      <c r="P205">
        <f t="shared" ca="1" si="76"/>
        <v>3.7656250000000016E-2</v>
      </c>
      <c r="Q205">
        <f t="shared" si="74"/>
        <v>4.083333333333333</v>
      </c>
      <c r="R205" cm="1">
        <f t="array" aca="1" ref="R205:U205" ca="1">center_span(Beam_Analysis!$J$29,Q205,Beam_Analysis!$D$3,Beam_Analysis!$D$2,Beam_Analysis!$J$33:$O$79,Beam_Analysis!$G$5:$P$5,0)</f>
        <v>3.7656250000000016E-2</v>
      </c>
      <c r="S205">
        <f ca="1"/>
        <v>2.8840668402777778</v>
      </c>
      <c r="T205">
        <f ca="1"/>
        <v>-1.0327370240660935E-2</v>
      </c>
      <c r="U205">
        <f ca="1"/>
        <v>-1.7041254805136499</v>
      </c>
      <c r="V205">
        <f ca="1">(S205*12)/(Beam_Analysis!$B$2*Beam_Analysis!$B$3)</f>
        <v>1.1934069683908045E-3</v>
      </c>
    </row>
    <row r="206" spans="14:22" x14ac:dyDescent="0.25">
      <c r="N206">
        <v>100</v>
      </c>
      <c r="O206" s="12">
        <f t="shared" si="75"/>
        <v>4.125</v>
      </c>
      <c r="P206">
        <f t="shared" ca="1" si="76"/>
        <v>2.6601562499999939E-2</v>
      </c>
      <c r="Q206">
        <f t="shared" si="74"/>
        <v>4.125</v>
      </c>
      <c r="R206" cm="1">
        <f t="array" aca="1" ref="R206:U206" ca="1">center_span(Beam_Analysis!$J$29,Q206,Beam_Analysis!$D$3,Beam_Analysis!$D$2,Beam_Analysis!$J$33:$O$79,Beam_Analysis!$G$5:$P$5,0)</f>
        <v>2.6601562499999939E-2</v>
      </c>
      <c r="S206">
        <f ca="1"/>
        <v>2.8854052734374998</v>
      </c>
      <c r="T206">
        <f ca="1"/>
        <v>-9.7305203562769501E-3</v>
      </c>
      <c r="U206">
        <f ca="1"/>
        <v>-1.7091399647006338</v>
      </c>
      <c r="V206">
        <f ca="1">(S206*12)/(Beam_Analysis!$B$2*Beam_Analysis!$B$3)</f>
        <v>1.1939608028017242E-3</v>
      </c>
    </row>
    <row r="207" spans="14:22" x14ac:dyDescent="0.25">
      <c r="N207">
        <v>101</v>
      </c>
      <c r="O207" s="12">
        <f t="shared" si="75"/>
        <v>4.1666666666666661</v>
      </c>
      <c r="P207">
        <f t="shared" ca="1" si="76"/>
        <v>1.5625000000000094E-2</v>
      </c>
      <c r="Q207">
        <f t="shared" si="74"/>
        <v>4.1666666666666661</v>
      </c>
      <c r="R207" cm="1">
        <f t="array" aca="1" ref="R207:U207" ca="1">center_span(Beam_Analysis!$J$29,Q207,Beam_Analysis!$D$3,Beam_Analysis!$D$2,Beam_Analysis!$J$33:$O$79,Beam_Analysis!$G$5:$P$5,0)</f>
        <v>1.5625000000000094E-2</v>
      </c>
      <c r="S207">
        <f ca="1"/>
        <v>2.8862847222222219</v>
      </c>
      <c r="T207">
        <f ca="1"/>
        <v>-9.1334410919540424E-3</v>
      </c>
      <c r="U207">
        <f ca="1"/>
        <v>-1.7138559626436787</v>
      </c>
      <c r="V207">
        <f ca="1">(S207*12)/(Beam_Analysis!$B$2*Beam_Analysis!$B$3)</f>
        <v>1.1943247126436781E-3</v>
      </c>
    </row>
    <row r="208" spans="14:22" x14ac:dyDescent="0.25">
      <c r="N208">
        <v>102</v>
      </c>
      <c r="O208" s="12">
        <f t="shared" si="75"/>
        <v>4.208333333333333</v>
      </c>
      <c r="P208">
        <f t="shared" ca="1" si="76"/>
        <v>4.7265625000000155E-3</v>
      </c>
      <c r="Q208">
        <f t="shared" si="74"/>
        <v>4.208333333333333</v>
      </c>
      <c r="R208" cm="1">
        <f t="array" aca="1" ref="R208:U208" ca="1">center_span(Beam_Analysis!$J$29,Q208,Beam_Analysis!$D$3,Beam_Analysis!$D$2,Beam_Analysis!$J$33:$O$79,Beam_Analysis!$G$5:$P$5,0)</f>
        <v>4.7265625000000155E-3</v>
      </c>
      <c r="S208">
        <f ca="1"/>
        <v>2.8867084418402778</v>
      </c>
      <c r="T208">
        <f ca="1"/>
        <v>-8.5362270732309772E-3</v>
      </c>
      <c r="U208">
        <f ca="1"/>
        <v>-1.7182733833372623</v>
      </c>
      <c r="V208">
        <f ca="1">(S208*12)/(Beam_Analysis!$B$2*Beam_Analysis!$B$3)</f>
        <v>1.1945000448994254E-3</v>
      </c>
    </row>
    <row r="209" spans="14:22" x14ac:dyDescent="0.25">
      <c r="N209">
        <v>103</v>
      </c>
      <c r="O209" s="12">
        <f t="shared" si="75"/>
        <v>4.25</v>
      </c>
      <c r="P209">
        <f t="shared" ca="1" si="76"/>
        <v>-6.0937500000000627E-3</v>
      </c>
      <c r="Q209">
        <f t="shared" si="74"/>
        <v>4.25</v>
      </c>
      <c r="R209" cm="1">
        <f t="array" aca="1" ref="R209:U209" ca="1">center_span(Beam_Analysis!$J$29,Q209,Beam_Analysis!$D$3,Beam_Analysis!$D$2,Beam_Analysis!$J$33:$O$79,Beam_Analysis!$G$5:$P$5,0)</f>
        <v>-6.0937500000000627E-3</v>
      </c>
      <c r="S209">
        <f ca="1"/>
        <v>2.8866796875</v>
      </c>
      <c r="T209">
        <f ca="1"/>
        <v>-7.9389722521551829E-3</v>
      </c>
      <c r="U209">
        <f ca="1"/>
        <v>-1.7223921829202593</v>
      </c>
      <c r="V209">
        <f ca="1">(S209*12)/(Beam_Analysis!$B$2*Beam_Analysis!$B$3)</f>
        <v>1.1944881465517244E-3</v>
      </c>
    </row>
    <row r="210" spans="14:22" x14ac:dyDescent="0.25">
      <c r="N210">
        <v>104</v>
      </c>
      <c r="O210" s="12">
        <f t="shared" si="75"/>
        <v>4.2916666666666661</v>
      </c>
      <c r="P210">
        <f t="shared" ca="1" si="76"/>
        <v>-1.6835937499999912E-2</v>
      </c>
      <c r="Q210">
        <f t="shared" si="74"/>
        <v>4.2916666666666661</v>
      </c>
      <c r="R210" cm="1">
        <f t="array" aca="1" ref="R210:U210" ca="1">center_span(Beam_Analysis!$J$29,Q210,Beam_Analysis!$D$3,Beam_Analysis!$D$2,Beam_Analysis!$J$33:$O$79,Beam_Analysis!$G$5:$P$5,0)</f>
        <v>-1.6835937499999912E-2</v>
      </c>
      <c r="S210">
        <f ca="1"/>
        <v>2.8862017144097223</v>
      </c>
      <c r="T210">
        <f ca="1"/>
        <v>-7.3417699072827053E-3</v>
      </c>
      <c r="U210">
        <f ca="1"/>
        <v>-1.7262123643391933</v>
      </c>
      <c r="V210">
        <f ca="1">(S210*12)/(Beam_Analysis!$B$2*Beam_Analysis!$B$3)</f>
        <v>1.1942903645833333E-3</v>
      </c>
    </row>
    <row r="211" spans="14:22" x14ac:dyDescent="0.25">
      <c r="N211">
        <v>105</v>
      </c>
      <c r="O211" s="12">
        <f t="shared" si="75"/>
        <v>4.333333333333333</v>
      </c>
      <c r="P211">
        <f t="shared" ca="1" si="76"/>
        <v>-2.749999999999999E-2</v>
      </c>
      <c r="Q211">
        <f t="shared" si="74"/>
        <v>4.333333333333333</v>
      </c>
      <c r="R211" cm="1">
        <f t="array" aca="1" ref="R211:U211" ca="1">center_span(Beam_Analysis!$J$29,Q211,Beam_Analysis!$D$3,Beam_Analysis!$D$2,Beam_Analysis!$J$33:$O$79,Beam_Analysis!$G$5:$P$5,0)</f>
        <v>-2.749999999999999E-2</v>
      </c>
      <c r="S211">
        <f ca="1"/>
        <v>2.8852777777777776</v>
      </c>
      <c r="T211">
        <f ca="1"/>
        <v>-6.7447126436781749E-3</v>
      </c>
      <c r="U211">
        <f ca="1"/>
        <v>-1.7297339770114948</v>
      </c>
      <c r="V211">
        <f ca="1">(S211*12)/(Beam_Analysis!$B$2*Beam_Analysis!$B$3)</f>
        <v>1.1939080459770115E-3</v>
      </c>
    </row>
    <row r="212" spans="14:22" x14ac:dyDescent="0.25">
      <c r="N212">
        <v>106</v>
      </c>
      <c r="O212" s="12">
        <f t="shared" si="75"/>
        <v>4.375</v>
      </c>
      <c r="P212">
        <f t="shared" ca="1" si="76"/>
        <v>-3.8085937500000062E-2</v>
      </c>
      <c r="Q212">
        <f t="shared" si="74"/>
        <v>4.375</v>
      </c>
      <c r="R212" cm="1">
        <f t="array" aca="1" ref="R212:U212" ca="1">center_span(Beam_Analysis!$J$29,Q212,Beam_Analysis!$D$3,Beam_Analysis!$D$2,Beam_Analysis!$J$33:$O$79,Beam_Analysis!$G$5:$P$5,0)</f>
        <v>-3.8085937500000062E-2</v>
      </c>
      <c r="S212">
        <f ca="1"/>
        <v>2.8839111328125</v>
      </c>
      <c r="T212">
        <f ca="1"/>
        <v>-6.1478923929148806E-3</v>
      </c>
      <c r="U212">
        <f ca="1"/>
        <v>-1.7329571164887532</v>
      </c>
      <c r="V212">
        <f ca="1">(S212*12)/(Beam_Analysis!$B$2*Beam_Analysis!$B$3)</f>
        <v>1.1933425377155173E-3</v>
      </c>
    </row>
    <row r="213" spans="14:22" x14ac:dyDescent="0.25">
      <c r="N213">
        <v>107</v>
      </c>
      <c r="O213" s="12">
        <f t="shared" si="75"/>
        <v>4.4166666666666661</v>
      </c>
      <c r="P213">
        <f t="shared" ca="1" si="76"/>
        <v>-4.8593749999999915E-2</v>
      </c>
      <c r="Q213">
        <f t="shared" si="74"/>
        <v>4.4166666666666661</v>
      </c>
      <c r="R213" cm="1">
        <f t="array" aca="1" ref="R213:U213" ca="1">center_span(Beam_Analysis!$J$29,Q213,Beam_Analysis!$D$3,Beam_Analysis!$D$2,Beam_Analysis!$J$33:$O$79,Beam_Analysis!$G$5:$P$5,0)</f>
        <v>-4.8593749999999915E-2</v>
      </c>
      <c r="S213">
        <f ca="1"/>
        <v>2.8821050347222221</v>
      </c>
      <c r="T213">
        <f ca="1"/>
        <v>-5.5514004130747313E-3</v>
      </c>
      <c r="U213">
        <f ca="1"/>
        <v>-1.7358819241199719</v>
      </c>
      <c r="V213">
        <f ca="1">(S213*12)/(Beam_Analysis!$B$2*Beam_Analysis!$B$3)</f>
        <v>1.1925951867816091E-3</v>
      </c>
    </row>
    <row r="214" spans="14:22" x14ac:dyDescent="0.25">
      <c r="N214">
        <v>108</v>
      </c>
      <c r="O214" s="12">
        <f t="shared" si="75"/>
        <v>4.458333333333333</v>
      </c>
      <c r="P214">
        <f t="shared" ca="1" si="76"/>
        <v>-5.9023437499999991E-2</v>
      </c>
      <c r="Q214">
        <f t="shared" si="74"/>
        <v>4.458333333333333</v>
      </c>
      <c r="R214" cm="1">
        <f t="array" aca="1" ref="R214:U214" ca="1">center_span(Beam_Analysis!$J$29,Q214,Beam_Analysis!$D$3,Beam_Analysis!$D$2,Beam_Analysis!$J$33:$O$79,Beam_Analysis!$G$5:$P$5,0)</f>
        <v>-5.9023437499999991E-2</v>
      </c>
      <c r="S214">
        <f ca="1"/>
        <v>2.8798627387152775</v>
      </c>
      <c r="T214">
        <f ca="1"/>
        <v>-4.9553272887482187E-3</v>
      </c>
      <c r="U214">
        <f ca="1"/>
        <v>-1.738508586714822</v>
      </c>
      <c r="V214">
        <f ca="1">(S214*12)/(Beam_Analysis!$B$2*Beam_Analysis!$B$3)</f>
        <v>1.1916673401580458E-3</v>
      </c>
    </row>
    <row r="215" spans="14:22" x14ac:dyDescent="0.25">
      <c r="N215">
        <v>109</v>
      </c>
      <c r="O215" s="12">
        <f t="shared" si="75"/>
        <v>4.5</v>
      </c>
      <c r="P215">
        <f t="shared" ca="1" si="76"/>
        <v>-6.9375000000000062E-2</v>
      </c>
      <c r="Q215">
        <f t="shared" si="74"/>
        <v>4.5</v>
      </c>
      <c r="R215" cm="1">
        <f t="array" aca="1" ref="R215:U215" ca="1">center_span(Beam_Analysis!$J$29,Q215,Beam_Analysis!$D$3,Beam_Analysis!$D$2,Beam_Analysis!$J$33:$O$79,Beam_Analysis!$G$5:$P$5,0)</f>
        <v>-6.9375000000000062E-2</v>
      </c>
      <c r="S215">
        <f ca="1"/>
        <v>2.8771874999999998</v>
      </c>
      <c r="T215">
        <f ca="1"/>
        <v>-4.3597629310344931E-3</v>
      </c>
      <c r="U215">
        <f ca="1"/>
        <v>-1.7408373362068974</v>
      </c>
      <c r="V215">
        <f ca="1">(S215*12)/(Beam_Analysis!$B$2*Beam_Analysis!$B$3)</f>
        <v>1.1905603448275862E-3</v>
      </c>
    </row>
    <row r="216" spans="14:22" x14ac:dyDescent="0.25">
      <c r="N216">
        <v>110</v>
      </c>
      <c r="O216" s="12">
        <f t="shared" si="75"/>
        <v>4.5416666666666661</v>
      </c>
      <c r="P216">
        <f t="shared" ca="1" si="76"/>
        <v>-7.9648437499999919E-2</v>
      </c>
      <c r="Q216">
        <f t="shared" si="74"/>
        <v>4.5416666666666661</v>
      </c>
      <c r="R216" cm="1">
        <f t="array" aca="1" ref="R216:U216" ca="1">center_span(Beam_Analysis!$J$29,Q216,Beam_Analysis!$D$3,Beam_Analysis!$D$2,Beam_Analysis!$J$33:$O$79,Beam_Analysis!$G$5:$P$5,0)</f>
        <v>-7.9648437499999919E-2</v>
      </c>
      <c r="S216">
        <f ca="1"/>
        <v>2.874082573784722</v>
      </c>
      <c r="T216">
        <f ca="1"/>
        <v>-3.7647965775413259E-3</v>
      </c>
      <c r="U216">
        <f ca="1"/>
        <v>-1.7428684493169682</v>
      </c>
      <c r="V216">
        <f ca="1">(S216*12)/(Beam_Analysis!$B$2*Beam_Analysis!$B$3)</f>
        <v>1.1892755477729883E-3</v>
      </c>
    </row>
    <row r="217" spans="14:22" x14ac:dyDescent="0.25">
      <c r="N217">
        <v>111</v>
      </c>
      <c r="O217" s="12">
        <f t="shared" si="75"/>
        <v>4.583333333333333</v>
      </c>
      <c r="P217">
        <f t="shared" ca="1" si="76"/>
        <v>-8.984375E-2</v>
      </c>
      <c r="Q217">
        <f t="shared" si="74"/>
        <v>4.583333333333333</v>
      </c>
      <c r="R217" cm="1">
        <f t="array" aca="1" ref="R217:U217" ca="1">center_span(Beam_Analysis!$J$29,Q217,Beam_Analysis!$D$3,Beam_Analysis!$D$2,Beam_Analysis!$J$33:$O$79,Beam_Analysis!$G$5:$P$5,0)</f>
        <v>-8.984375E-2</v>
      </c>
      <c r="S217">
        <f ca="1"/>
        <v>2.8705512152777777</v>
      </c>
      <c r="T217">
        <f ca="1"/>
        <v>-3.1705167923850716E-3</v>
      </c>
      <c r="U217">
        <f ca="1"/>
        <v>-1.7446022472162361</v>
      </c>
      <c r="V217">
        <f ca="1">(S217*12)/(Beam_Analysis!$B$2*Beam_Analysis!$B$3)</f>
        <v>1.1878142959770113E-3</v>
      </c>
    </row>
    <row r="218" spans="14:22" x14ac:dyDescent="0.25">
      <c r="N218">
        <v>112</v>
      </c>
      <c r="O218" s="12">
        <f t="shared" si="75"/>
        <v>4.625</v>
      </c>
      <c r="P218">
        <f t="shared" ca="1" si="76"/>
        <v>-9.9960937500000069E-2</v>
      </c>
      <c r="Q218">
        <f t="shared" si="74"/>
        <v>4.625</v>
      </c>
      <c r="R218" cm="1">
        <f t="array" aca="1" ref="R218:U218" ca="1">center_span(Beam_Analysis!$J$29,Q218,Beam_Analysis!$D$3,Beam_Analysis!$D$2,Beam_Analysis!$J$33:$O$79,Beam_Analysis!$G$5:$P$5,0)</f>
        <v>-9.9960937500000069E-2</v>
      </c>
      <c r="S218">
        <f ca="1"/>
        <v>2.8665966796875</v>
      </c>
      <c r="T218">
        <f ca="1"/>
        <v>-2.5770114661907428E-3</v>
      </c>
      <c r="U218">
        <f ca="1"/>
        <v>-1.7460390951895886</v>
      </c>
      <c r="V218">
        <f ca="1">(S218*12)/(Beam_Analysis!$B$2*Beam_Analysis!$B$3)</f>
        <v>1.1861779364224136E-3</v>
      </c>
    </row>
    <row r="219" spans="14:22" x14ac:dyDescent="0.25">
      <c r="N219">
        <v>113</v>
      </c>
      <c r="O219" s="12">
        <f t="shared" si="75"/>
        <v>4.6666666666666661</v>
      </c>
      <c r="P219">
        <f t="shared" ca="1" si="76"/>
        <v>-0.10999999999999993</v>
      </c>
      <c r="Q219">
        <f t="shared" si="74"/>
        <v>4.6666666666666661</v>
      </c>
      <c r="R219" cm="1">
        <f t="array" aca="1" ref="R219:U219" ca="1">center_span(Beam_Analysis!$J$29,Q219,Beam_Analysis!$D$3,Beam_Analysis!$D$2,Beam_Analysis!$J$33:$O$79,Beam_Analysis!$G$5:$P$5,0)</f>
        <v>-0.10999999999999993</v>
      </c>
      <c r="S219">
        <f ca="1"/>
        <v>2.862222222222222</v>
      </c>
      <c r="T219">
        <f ca="1"/>
        <v>-1.9843678160919725E-3</v>
      </c>
      <c r="U219">
        <f ca="1"/>
        <v>-1.7471794022988512</v>
      </c>
      <c r="V219">
        <f ca="1">(S219*12)/(Beam_Analysis!$B$2*Beam_Analysis!$B$3)</f>
        <v>1.184367816091954E-3</v>
      </c>
    </row>
    <row r="220" spans="14:22" x14ac:dyDescent="0.25">
      <c r="N220">
        <v>114</v>
      </c>
      <c r="O220" s="12">
        <f t="shared" si="75"/>
        <v>4.708333333333333</v>
      </c>
      <c r="P220">
        <f t="shared" ca="1" si="76"/>
        <v>-0.1199609375</v>
      </c>
      <c r="Q220">
        <f t="shared" si="74"/>
        <v>4.708333333333333</v>
      </c>
      <c r="R220" cm="1">
        <f t="array" aca="1" ref="R220:U220" ca="1">center_span(Beam_Analysis!$J$29,Q220,Beam_Analysis!$D$3,Beam_Analysis!$D$2,Beam_Analysis!$J$33:$O$79,Beam_Analysis!$G$5:$P$5,0)</f>
        <v>-0.1199609375</v>
      </c>
      <c r="S220">
        <f ca="1"/>
        <v>2.8574310980902777</v>
      </c>
      <c r="T220">
        <f ca="1"/>
        <v>-1.3926723857309769E-3</v>
      </c>
      <c r="U220">
        <f ca="1"/>
        <v>-1.7480236210460447</v>
      </c>
      <c r="V220">
        <f ca="1">(S220*12)/(Beam_Analysis!$B$2*Beam_Analysis!$B$3)</f>
        <v>1.1823852819683909E-3</v>
      </c>
    </row>
    <row r="221" spans="14:22" x14ac:dyDescent="0.25">
      <c r="N221">
        <v>115</v>
      </c>
      <c r="O221" s="12">
        <f t="shared" si="75"/>
        <v>4.75</v>
      </c>
      <c r="P221">
        <f t="shared" ca="1" si="76"/>
        <v>-0.12984375000000006</v>
      </c>
      <c r="Q221">
        <f t="shared" si="74"/>
        <v>4.75</v>
      </c>
      <c r="R221" cm="1">
        <f t="array" aca="1" ref="R221:U221" ca="1">center_span(Beam_Analysis!$J$29,Q221,Beam_Analysis!$D$3,Beam_Analysis!$D$2,Beam_Analysis!$J$33:$O$79,Beam_Analysis!$G$5:$P$5,0)</f>
        <v>-0.12984375000000006</v>
      </c>
      <c r="S221">
        <f ca="1"/>
        <v>2.8522265624999998</v>
      </c>
      <c r="T221">
        <f ca="1"/>
        <v>-8.0201104525863076E-4</v>
      </c>
      <c r="U221">
        <f ca="1"/>
        <v>-1.7485722470366385</v>
      </c>
      <c r="V221">
        <f ca="1">(S221*12)/(Beam_Analysis!$B$2*Beam_Analysis!$B$3)</f>
        <v>1.1802316810344826E-3</v>
      </c>
    </row>
    <row r="222" spans="14:22" x14ac:dyDescent="0.25">
      <c r="N222">
        <v>116</v>
      </c>
      <c r="O222" s="12">
        <f t="shared" si="75"/>
        <v>4.7916666666666661</v>
      </c>
      <c r="P222">
        <f t="shared" ca="1" si="76"/>
        <v>-0.13964843749999994</v>
      </c>
      <c r="Q222">
        <f t="shared" si="74"/>
        <v>4.7916666666666661</v>
      </c>
      <c r="R222" cm="1">
        <f t="array" aca="1" ref="R222:U222" ca="1">center_span(Beam_Analysis!$J$29,Q222,Beam_Analysis!$D$3,Beam_Analysis!$D$2,Beam_Analysis!$J$33:$O$79,Beam_Analysis!$G$5:$P$5,0)</f>
        <v>-0.13964843749999994</v>
      </c>
      <c r="S222">
        <f ca="1"/>
        <v>2.8466118706597223</v>
      </c>
      <c r="T222">
        <f ca="1"/>
        <v>-2.1246899133442931E-4</v>
      </c>
      <c r="U222">
        <f ca="1"/>
        <v>-1.7488258186428034</v>
      </c>
      <c r="V222">
        <f ca="1">(S222*12)/(Beam_Analysis!$B$2*Beam_Analysis!$B$3)</f>
        <v>1.1779083602729886E-3</v>
      </c>
    </row>
    <row r="223" spans="14:22" x14ac:dyDescent="0.25">
      <c r="N223">
        <v>117</v>
      </c>
      <c r="O223" s="12">
        <f t="shared" si="75"/>
        <v>4.833333333333333</v>
      </c>
      <c r="P223">
        <f t="shared" ca="1" si="76"/>
        <v>-0.14937500000000001</v>
      </c>
      <c r="Q223">
        <f t="shared" si="74"/>
        <v>4.833333333333333</v>
      </c>
      <c r="R223" cm="1">
        <f t="array" aca="1" ref="R223:U223" ca="1">center_span(Beam_Analysis!$J$29,Q223,Beam_Analysis!$D$3,Beam_Analysis!$D$2,Beam_Analysis!$J$33:$O$79,Beam_Analysis!$G$5:$P$5,0)</f>
        <v>-0.14937500000000001</v>
      </c>
      <c r="S223">
        <f ca="1"/>
        <v>2.8405902777777778</v>
      </c>
      <c r="T223">
        <f ca="1"/>
        <v>3.7586925287354901E-4</v>
      </c>
      <c r="U223">
        <f ca="1"/>
        <v>-1.7487849166666671</v>
      </c>
      <c r="V223">
        <f ca="1">(S223*12)/(Beam_Analysis!$B$2*Beam_Analysis!$B$3)</f>
        <v>1.1754166666666666E-3</v>
      </c>
    </row>
    <row r="224" spans="14:22" x14ac:dyDescent="0.25">
      <c r="N224">
        <v>118</v>
      </c>
      <c r="O224" s="12">
        <f t="shared" si="75"/>
        <v>4.875</v>
      </c>
      <c r="P224">
        <f t="shared" ca="1" si="76"/>
        <v>-0.15902343750000009</v>
      </c>
      <c r="Q224">
        <f t="shared" si="74"/>
        <v>4.875</v>
      </c>
      <c r="R224" cm="1">
        <f t="array" aca="1" ref="R224:U224" ca="1">center_span(Beam_Analysis!$J$29,Q224,Beam_Analysis!$D$3,Beam_Analysis!$D$2,Beam_Analysis!$J$33:$O$79,Beam_Analysis!$G$5:$P$5,0)</f>
        <v>-0.15902343750000009</v>
      </c>
      <c r="S224">
        <f ca="1"/>
        <v>2.8341650390624999</v>
      </c>
      <c r="T224">
        <f ca="1"/>
        <v>9.6291983768856751E-4</v>
      </c>
      <c r="U224">
        <f ca="1"/>
        <v>-1.7484501640035699</v>
      </c>
      <c r="V224">
        <f ca="1">(S224*12)/(Beam_Analysis!$B$2*Beam_Analysis!$B$3)</f>
        <v>1.1727579471982759E-3</v>
      </c>
    </row>
    <row r="225" spans="14:22" x14ac:dyDescent="0.25">
      <c r="N225">
        <v>119</v>
      </c>
      <c r="O225" s="12">
        <f t="shared" si="75"/>
        <v>4.9166666666666661</v>
      </c>
      <c r="P225">
        <f t="shared" ca="1" si="76"/>
        <v>-0.16859374999999993</v>
      </c>
      <c r="Q225">
        <f t="shared" si="74"/>
        <v>4.9166666666666661</v>
      </c>
      <c r="R225" cm="1">
        <f t="array" aca="1" ref="R225:U225" ca="1">center_span(Beam_Analysis!$J$29,Q225,Beam_Analysis!$D$3,Beam_Analysis!$D$2,Beam_Analysis!$J$33:$O$79,Beam_Analysis!$G$5:$P$5,0)</f>
        <v>-0.16859374999999993</v>
      </c>
      <c r="S225">
        <f ca="1"/>
        <v>2.8273394097222222</v>
      </c>
      <c r="T225">
        <f ca="1"/>
        <v>1.5485995869252689E-3</v>
      </c>
      <c r="U225">
        <f ca="1"/>
        <v>-1.7478222253053168</v>
      </c>
      <c r="V225">
        <f ca="1">(S225*12)/(Beam_Analysis!$B$2*Beam_Analysis!$B$3)</f>
        <v>1.1699335488505745E-3</v>
      </c>
    </row>
    <row r="226" spans="14:22" x14ac:dyDescent="0.25">
      <c r="N226">
        <v>120</v>
      </c>
      <c r="O226" s="12">
        <f t="shared" si="75"/>
        <v>4.958333333333333</v>
      </c>
      <c r="P226">
        <f t="shared" ca="1" si="76"/>
        <v>-0.17808593750000001</v>
      </c>
      <c r="Q226">
        <f t="shared" si="74"/>
        <v>4.958333333333333</v>
      </c>
      <c r="R226" cm="1">
        <f t="array" aca="1" ref="R226:U226" ca="1">center_span(Beam_Analysis!$J$29,Q226,Beam_Analysis!$D$3,Beam_Analysis!$D$2,Beam_Analysis!$J$33:$O$79,Beam_Analysis!$G$5:$P$5,0)</f>
        <v>-0.17808593750000001</v>
      </c>
      <c r="S226">
        <f ca="1"/>
        <v>2.8201166449652777</v>
      </c>
      <c r="T226">
        <f ca="1"/>
        <v>2.1328259978897128E-3</v>
      </c>
      <c r="U226">
        <f ca="1"/>
        <v>-1.7469018066434319</v>
      </c>
      <c r="V226">
        <f ca="1">(S226*12)/(Beam_Analysis!$B$2*Beam_Analysis!$B$3)</f>
        <v>1.1669448186063217E-3</v>
      </c>
    </row>
    <row r="227" spans="14:22" x14ac:dyDescent="0.25">
      <c r="N227">
        <v>121</v>
      </c>
      <c r="O227" s="12">
        <f t="shared" si="75"/>
        <v>5</v>
      </c>
      <c r="P227">
        <f t="shared" ca="1" si="76"/>
        <v>-0.18750000000000008</v>
      </c>
      <c r="Q227">
        <f t="shared" si="74"/>
        <v>5</v>
      </c>
      <c r="R227" cm="1">
        <f t="array" aca="1" ref="R227:U227" ca="1">center_span(Beam_Analysis!$J$29,Q227,Beam_Analysis!$D$3,Beam_Analysis!$D$2,Beam_Analysis!$J$33:$O$79,Beam_Analysis!$G$5:$P$5,0)</f>
        <v>-0.18750000000000008</v>
      </c>
      <c r="S227">
        <f ca="1"/>
        <v>2.8125</v>
      </c>
      <c r="T227">
        <f ca="1"/>
        <v>2.7155172413793004E-3</v>
      </c>
      <c r="U227">
        <f ca="1"/>
        <v>-1.7456896551724144</v>
      </c>
      <c r="V227">
        <f ca="1">(S227*12)/(Beam_Analysis!$B$2*Beam_Analysis!$B$3)</f>
        <v>1.1637931034482758E-3</v>
      </c>
    </row>
    <row r="228" spans="14:22" x14ac:dyDescent="0.25">
      <c r="N228">
        <v>122</v>
      </c>
      <c r="O228" s="12">
        <f t="shared" ref="O228:O291" si="77">Q228+$F$12</f>
        <v>5.0416666666666661</v>
      </c>
      <c r="P228">
        <f t="shared" ref="P228:P291" ca="1" si="78">OFFSET(R228,0,$O$2)</f>
        <v>-0.19683593749999995</v>
      </c>
      <c r="Q228">
        <f t="shared" si="74"/>
        <v>5.0416666666666661</v>
      </c>
      <c r="R228" cm="1">
        <f t="array" aca="1" ref="R228:U228" ca="1">center_span(Beam_Analysis!$J$29,Q228,Beam_Analysis!$D$3,Beam_Analysis!$D$2,Beam_Analysis!$J$33:$O$79,Beam_Analysis!$G$5:$P$5,0)</f>
        <v>-0.19683593749999995</v>
      </c>
      <c r="S228">
        <f ca="1"/>
        <v>2.8044927300347222</v>
      </c>
      <c r="T228">
        <f ca="1"/>
        <v>3.2965921616828122E-3</v>
      </c>
      <c r="U228">
        <f ca="1"/>
        <v>-1.7441865587929919</v>
      </c>
      <c r="V228">
        <f ca="1">(S228*12)/(Beam_Analysis!$B$2*Beam_Analysis!$B$3)</f>
        <v>1.1604797503591954E-3</v>
      </c>
    </row>
    <row r="229" spans="14:22" x14ac:dyDescent="0.25">
      <c r="N229">
        <v>123</v>
      </c>
      <c r="O229" s="12">
        <f t="shared" si="77"/>
        <v>5.083333333333333</v>
      </c>
      <c r="P229">
        <f t="shared" ca="1" si="78"/>
        <v>-0.20609375000000002</v>
      </c>
      <c r="Q229">
        <f t="shared" si="74"/>
        <v>5.083333333333333</v>
      </c>
      <c r="R229" cm="1">
        <f t="array" aca="1" ref="R229:U229" ca="1">center_span(Beam_Analysis!$J$29,Q229,Beam_Analysis!$D$3,Beam_Analysis!$D$2,Beam_Analysis!$J$33:$O$79,Beam_Analysis!$G$5:$P$5,0)</f>
        <v>-0.20609375000000002</v>
      </c>
      <c r="S229">
        <f ca="1"/>
        <v>2.7960980902777774</v>
      </c>
      <c r="T229">
        <f ca="1"/>
        <v>3.8759702765804455E-3</v>
      </c>
      <c r="U229">
        <f ca="1"/>
        <v>-1.7423933458153744</v>
      </c>
      <c r="V229">
        <f ca="1">(S229*12)/(Beam_Analysis!$B$2*Beam_Analysis!$B$3)</f>
        <v>1.1570061063218391E-3</v>
      </c>
    </row>
    <row r="230" spans="14:22" x14ac:dyDescent="0.25">
      <c r="N230">
        <v>124</v>
      </c>
      <c r="O230" s="12">
        <f t="shared" si="77"/>
        <v>5.125</v>
      </c>
      <c r="P230">
        <f t="shared" ca="1" si="78"/>
        <v>-0.21527343750000008</v>
      </c>
      <c r="Q230">
        <f t="shared" si="74"/>
        <v>5.125</v>
      </c>
      <c r="R230" cm="1">
        <f t="array" aca="1" ref="R230:U230" ca="1">center_span(Beam_Analysis!$J$29,Q230,Beam_Analysis!$D$3,Beam_Analysis!$D$2,Beam_Analysis!$J$33:$O$79,Beam_Analysis!$G$5:$P$5,0)</f>
        <v>-0.21527343750000008</v>
      </c>
      <c r="S230">
        <f ca="1"/>
        <v>2.7873193359374997</v>
      </c>
      <c r="T230">
        <f ca="1"/>
        <v>4.4535717773437396E-3</v>
      </c>
      <c r="U230">
        <f ca="1"/>
        <v>-1.7403108846225088</v>
      </c>
      <c r="V230">
        <f ca="1">(S230*12)/(Beam_Analysis!$B$2*Beam_Analysis!$B$3)</f>
        <v>1.1533735183189653E-3</v>
      </c>
    </row>
    <row r="231" spans="14:22" x14ac:dyDescent="0.25">
      <c r="N231">
        <v>125</v>
      </c>
      <c r="O231" s="12">
        <f t="shared" si="77"/>
        <v>5.1666666666666661</v>
      </c>
      <c r="P231">
        <f t="shared" ca="1" si="78"/>
        <v>-0.22437499999999996</v>
      </c>
      <c r="Q231">
        <f t="shared" si="74"/>
        <v>5.1666666666666661</v>
      </c>
      <c r="R231" cm="1">
        <f t="array" aca="1" ref="R231:U231" ca="1">center_span(Beam_Analysis!$J$29,Q231,Beam_Analysis!$D$3,Beam_Analysis!$D$2,Beam_Analysis!$J$33:$O$79,Beam_Analysis!$G$5:$P$5,0)</f>
        <v>-0.22437499999999996</v>
      </c>
      <c r="S231">
        <f ca="1"/>
        <v>2.7781597222222221</v>
      </c>
      <c r="T231">
        <f ca="1"/>
        <v>5.0293175287356136E-3</v>
      </c>
      <c r="U231">
        <f ca="1"/>
        <v>-1.7379400833333341</v>
      </c>
      <c r="V231">
        <f ca="1">(S231*12)/(Beam_Analysis!$B$2*Beam_Analysis!$B$3)</f>
        <v>1.1495833333333332E-3</v>
      </c>
    </row>
    <row r="232" spans="14:22" x14ac:dyDescent="0.25">
      <c r="N232">
        <v>126</v>
      </c>
      <c r="O232" s="12">
        <f t="shared" si="77"/>
        <v>5.208333333333333</v>
      </c>
      <c r="P232">
        <f t="shared" ca="1" si="78"/>
        <v>-0.23339843750000003</v>
      </c>
      <c r="Q232">
        <f t="shared" si="74"/>
        <v>5.208333333333333</v>
      </c>
      <c r="R232" cm="1">
        <f t="array" aca="1" ref="R232:U232" ca="1">center_span(Beam_Analysis!$J$29,Q232,Beam_Analysis!$D$3,Beam_Analysis!$D$2,Beam_Analysis!$J$33:$O$79,Beam_Analysis!$G$5:$P$5,0)</f>
        <v>-0.23339843750000003</v>
      </c>
      <c r="S232">
        <f ca="1"/>
        <v>2.7686225043402777</v>
      </c>
      <c r="T232">
        <f ca="1"/>
        <v>5.6031290690104025E-3</v>
      </c>
      <c r="U232">
        <f ca="1"/>
        <v>-1.7352818894660342</v>
      </c>
      <c r="V232">
        <f ca="1">(S232*12)/(Beam_Analysis!$B$2*Beam_Analysis!$B$3)</f>
        <v>1.1456368983477009E-3</v>
      </c>
    </row>
    <row r="233" spans="14:22" x14ac:dyDescent="0.25">
      <c r="N233">
        <v>127</v>
      </c>
      <c r="O233" s="12">
        <f t="shared" si="77"/>
        <v>5.25</v>
      </c>
      <c r="P233">
        <f t="shared" ca="1" si="78"/>
        <v>-0.24234375000000008</v>
      </c>
      <c r="Q233">
        <f t="shared" si="74"/>
        <v>5.25</v>
      </c>
      <c r="R233" cm="1">
        <f t="array" aca="1" ref="R233:U233" ca="1">center_span(Beam_Analysis!$J$29,Q233,Beam_Analysis!$D$3,Beam_Analysis!$D$2,Beam_Analysis!$J$33:$O$79,Beam_Analysis!$G$5:$P$5,0)</f>
        <v>-0.24234375000000008</v>
      </c>
      <c r="S233">
        <f ca="1"/>
        <v>2.7587109374999996</v>
      </c>
      <c r="T233">
        <f ca="1"/>
        <v>6.1749286099137832E-3</v>
      </c>
      <c r="U233">
        <f ca="1"/>
        <v>-1.7323372896012939</v>
      </c>
      <c r="V233">
        <f ca="1">(S233*12)/(Beam_Analysis!$B$2*Beam_Analysis!$B$3)</f>
        <v>1.1415355603448273E-3</v>
      </c>
    </row>
    <row r="234" spans="14:22" x14ac:dyDescent="0.25">
      <c r="N234">
        <v>128</v>
      </c>
      <c r="O234" s="12">
        <f t="shared" si="77"/>
        <v>5.2916666666666661</v>
      </c>
      <c r="P234">
        <f t="shared" ca="1" si="78"/>
        <v>-0.25121093749999995</v>
      </c>
      <c r="Q234">
        <f t="shared" si="74"/>
        <v>5.2916666666666661</v>
      </c>
      <c r="R234" cm="1">
        <f t="array" aca="1" ref="R234:U234" ca="1">center_span(Beam_Analysis!$J$29,Q234,Beam_Analysis!$D$3,Beam_Analysis!$D$2,Beam_Analysis!$J$33:$O$79,Beam_Analysis!$G$5:$P$5,0)</f>
        <v>-0.25121093749999995</v>
      </c>
      <c r="S234">
        <f ca="1"/>
        <v>2.7484282769097224</v>
      </c>
      <c r="T234">
        <f ca="1"/>
        <v>6.7446390366828124E-3</v>
      </c>
      <c r="U234">
        <f ca="1"/>
        <v>-1.7291073090455513</v>
      </c>
      <c r="V234">
        <f ca="1">(S234*12)/(Beam_Analysis!$B$2*Beam_Analysis!$B$3)</f>
        <v>1.1372806663074713E-3</v>
      </c>
    </row>
    <row r="235" spans="14:22" x14ac:dyDescent="0.25">
      <c r="N235">
        <v>129</v>
      </c>
      <c r="O235" s="12">
        <f t="shared" si="77"/>
        <v>5.333333333333333</v>
      </c>
      <c r="P235">
        <f t="shared" ca="1" si="78"/>
        <v>-0.26</v>
      </c>
      <c r="Q235">
        <f t="shared" si="74"/>
        <v>5.333333333333333</v>
      </c>
      <c r="R235" cm="1">
        <f t="array" aca="1" ref="R235:U235" ca="1">center_span(Beam_Analysis!$J$29,Q235,Beam_Analysis!$D$3,Beam_Analysis!$D$2,Beam_Analysis!$J$33:$O$79,Beam_Analysis!$G$5:$P$5,0)</f>
        <v>-0.26</v>
      </c>
      <c r="S235">
        <f ca="1"/>
        <v>2.7377777777777776</v>
      </c>
      <c r="T235">
        <f ca="1"/>
        <v>7.312183908045963E-3</v>
      </c>
      <c r="U235">
        <f ca="1"/>
        <v>-1.7255930114942537</v>
      </c>
      <c r="V235">
        <f ca="1">(S235*12)/(Beam_Analysis!$B$2*Beam_Analysis!$B$3)</f>
        <v>1.1328735632183907E-3</v>
      </c>
    </row>
    <row r="236" spans="14:22" x14ac:dyDescent="0.25">
      <c r="N236">
        <v>130</v>
      </c>
      <c r="O236" s="12">
        <f t="shared" si="77"/>
        <v>5.375</v>
      </c>
      <c r="P236">
        <f t="shared" ca="1" si="78"/>
        <v>-0.26871093750000008</v>
      </c>
      <c r="Q236">
        <f t="shared" si="74"/>
        <v>5.375</v>
      </c>
      <c r="R236" cm="1">
        <f t="array" aca="1" ref="R236:U236" ca="1">center_span(Beam_Analysis!$J$29,Q236,Beam_Analysis!$D$3,Beam_Analysis!$D$2,Beam_Analysis!$J$33:$O$79,Beam_Analysis!$G$5:$P$5,0)</f>
        <v>-0.26871093750000008</v>
      </c>
      <c r="S236">
        <f ca="1"/>
        <v>2.7267626953124999</v>
      </c>
      <c r="T236">
        <f ca="1"/>
        <v>7.8774874562230496E-3</v>
      </c>
      <c r="U236">
        <f ca="1"/>
        <v>-1.7217954986951112</v>
      </c>
      <c r="V236">
        <f ca="1">(S236*12)/(Beam_Analysis!$B$2*Beam_Analysis!$B$3)</f>
        <v>1.1283155980603447E-3</v>
      </c>
    </row>
    <row r="237" spans="14:22" x14ac:dyDescent="0.25">
      <c r="N237">
        <v>131</v>
      </c>
      <c r="O237" s="12">
        <f t="shared" si="77"/>
        <v>5.4166666666666661</v>
      </c>
      <c r="P237">
        <f t="shared" ca="1" si="78"/>
        <v>-0.27734374999999994</v>
      </c>
      <c r="Q237">
        <f t="shared" si="74"/>
        <v>5.4166666666666661</v>
      </c>
      <c r="R237" cm="1">
        <f t="array" aca="1" ref="R237:U237" ca="1">center_span(Beam_Analysis!$J$29,Q237,Beam_Analysis!$D$3,Beam_Analysis!$D$2,Beam_Analysis!$J$33:$O$79,Beam_Analysis!$G$5:$P$5,0)</f>
        <v>-0.27734374999999994</v>
      </c>
      <c r="S237">
        <f ca="1"/>
        <v>2.7153862847222223</v>
      </c>
      <c r="T237">
        <f ca="1"/>
        <v>8.4404745869252687E-3</v>
      </c>
      <c r="U237">
        <f ca="1"/>
        <v>-1.7177159101113513</v>
      </c>
      <c r="V237">
        <f ca="1">(S237*12)/(Beam_Analysis!$B$2*Beam_Analysis!$B$3)</f>
        <v>1.1236081178160921E-3</v>
      </c>
    </row>
    <row r="238" spans="14:22" x14ac:dyDescent="0.25">
      <c r="N238">
        <v>132</v>
      </c>
      <c r="O238" s="12">
        <f t="shared" si="77"/>
        <v>5.458333333333333</v>
      </c>
      <c r="P238">
        <f t="shared" ca="1" si="78"/>
        <v>-0.28589843750000005</v>
      </c>
      <c r="Q238">
        <f t="shared" si="74"/>
        <v>5.458333333333333</v>
      </c>
      <c r="R238" cm="1">
        <f t="array" aca="1" ref="R238:U238" ca="1">center_span(Beam_Analysis!$J$29,Q238,Beam_Analysis!$D$3,Beam_Analysis!$D$2,Beam_Analysis!$J$33:$O$79,Beam_Analysis!$G$5:$P$5,0)</f>
        <v>-0.28589843750000005</v>
      </c>
      <c r="S238">
        <f ca="1"/>
        <v>2.7036518012152775</v>
      </c>
      <c r="T238">
        <f ca="1"/>
        <v>9.0010708793552309E-3</v>
      </c>
      <c r="U238">
        <f ca="1"/>
        <v>-1.7133554225849728</v>
      </c>
      <c r="V238">
        <f ca="1">(S238*12)/(Beam_Analysis!$B$2*Beam_Analysis!$B$3)</f>
        <v>1.1187524694683906E-3</v>
      </c>
    </row>
    <row r="239" spans="14:22" x14ac:dyDescent="0.25">
      <c r="N239">
        <v>133</v>
      </c>
      <c r="O239" s="12">
        <f t="shared" si="77"/>
        <v>5.5</v>
      </c>
      <c r="P239">
        <f t="shared" ca="1" si="78"/>
        <v>-0.29437500000000011</v>
      </c>
      <c r="Q239">
        <f t="shared" si="74"/>
        <v>5.5</v>
      </c>
      <c r="R239" cm="1">
        <f t="array" aca="1" ref="R239:U239" ca="1">center_span(Beam_Analysis!$J$29,Q239,Beam_Analysis!$D$3,Beam_Analysis!$D$2,Beam_Analysis!$J$33:$O$79,Beam_Analysis!$G$5:$P$5,0)</f>
        <v>-0.29437500000000011</v>
      </c>
      <c r="S239">
        <f ca="1"/>
        <v>2.6915624999999999</v>
      </c>
      <c r="T239">
        <f ca="1"/>
        <v>9.5592025862068861E-3</v>
      </c>
      <c r="U239">
        <f ca="1"/>
        <v>-1.7087152500000009</v>
      </c>
      <c r="V239">
        <f ca="1">(S239*12)/(Beam_Analysis!$B$2*Beam_Analysis!$B$3)</f>
        <v>1.1137499999999999E-3</v>
      </c>
    </row>
    <row r="240" spans="14:22" x14ac:dyDescent="0.25">
      <c r="N240">
        <v>134</v>
      </c>
      <c r="O240" s="12">
        <f t="shared" si="77"/>
        <v>5.5416666666666661</v>
      </c>
      <c r="P240">
        <f t="shared" ca="1" si="78"/>
        <v>-0.30277343749999996</v>
      </c>
      <c r="Q240">
        <f t="shared" si="74"/>
        <v>5.5416666666666661</v>
      </c>
      <c r="R240" cm="1">
        <f t="array" aca="1" ref="R240:U240" ca="1">center_span(Beam_Analysis!$J$29,Q240,Beam_Analysis!$D$3,Beam_Analysis!$D$2,Beam_Analysis!$J$33:$O$79,Beam_Analysis!$G$5:$P$5,0)</f>
        <v>-0.30277343749999996</v>
      </c>
      <c r="S240">
        <f ca="1"/>
        <v>2.6791216362847221</v>
      </c>
      <c r="T240">
        <f ca="1"/>
        <v>1.011479663366557E-2</v>
      </c>
      <c r="U240">
        <f ca="1"/>
        <v>-1.7037966429457398</v>
      </c>
      <c r="V240">
        <f ca="1">(S240*12)/(Beam_Analysis!$B$2*Beam_Analysis!$B$3)</f>
        <v>1.1086020563936779E-3</v>
      </c>
    </row>
    <row r="241" spans="14:22" x14ac:dyDescent="0.25">
      <c r="N241">
        <v>135</v>
      </c>
      <c r="O241" s="12">
        <f t="shared" si="77"/>
        <v>5.583333333333333</v>
      </c>
      <c r="P241">
        <f t="shared" ca="1" si="78"/>
        <v>-0.31109375</v>
      </c>
      <c r="Q241">
        <f t="shared" si="74"/>
        <v>5.583333333333333</v>
      </c>
      <c r="R241" cm="1">
        <f t="array" aca="1" ref="R241:U241" ca="1">center_span(Beam_Analysis!$J$29,Q241,Beam_Analysis!$D$3,Beam_Analysis!$D$2,Beam_Analysis!$J$33:$O$79,Beam_Analysis!$G$5:$P$5,0)</f>
        <v>-0.31109375</v>
      </c>
      <c r="S241">
        <f ca="1"/>
        <v>2.6663324652777778</v>
      </c>
      <c r="T241">
        <f ca="1"/>
        <v>1.0667780621408033E-2</v>
      </c>
      <c r="U241">
        <f ca="1"/>
        <v>-1.6986008883800296</v>
      </c>
      <c r="V241">
        <f ca="1">(S241*12)/(Beam_Analysis!$B$2*Beam_Analysis!$B$3)</f>
        <v>1.103309985632184E-3</v>
      </c>
    </row>
    <row r="242" spans="14:22" x14ac:dyDescent="0.25">
      <c r="N242">
        <v>136</v>
      </c>
      <c r="O242" s="12">
        <f t="shared" si="77"/>
        <v>5.625</v>
      </c>
      <c r="P242">
        <f t="shared" ca="1" si="78"/>
        <v>-0.31933593750000011</v>
      </c>
      <c r="Q242">
        <f t="shared" si="74"/>
        <v>5.625</v>
      </c>
      <c r="R242" cm="1">
        <f t="array" aca="1" ref="R242:U242" ca="1">center_span(Beam_Analysis!$J$29,Q242,Beam_Analysis!$D$3,Beam_Analysis!$D$2,Beam_Analysis!$J$33:$O$79,Beam_Analysis!$G$5:$P$5,0)</f>
        <v>-0.31933593750000011</v>
      </c>
      <c r="S242">
        <f ca="1"/>
        <v>2.6531982421874996</v>
      </c>
      <c r="T242">
        <f ca="1"/>
        <v>1.121808282260236E-2</v>
      </c>
      <c r="U242">
        <f ca="1"/>
        <v>-1.6931293092924982</v>
      </c>
      <c r="V242">
        <f ca="1">(S242*12)/(Beam_Analysis!$B$2*Beam_Analysis!$B$3)</f>
        <v>1.0978751346982756E-3</v>
      </c>
    </row>
    <row r="243" spans="14:22" x14ac:dyDescent="0.25">
      <c r="N243">
        <v>137</v>
      </c>
      <c r="O243" s="12">
        <f t="shared" si="77"/>
        <v>5.6666666666666661</v>
      </c>
      <c r="P243">
        <f t="shared" ca="1" si="78"/>
        <v>-0.32749999999999996</v>
      </c>
      <c r="Q243">
        <f t="shared" si="74"/>
        <v>5.6666666666666661</v>
      </c>
      <c r="R243" cm="1">
        <f t="array" aca="1" ref="R243:U243" ca="1">center_span(Beam_Analysis!$J$29,Q243,Beam_Analysis!$D$3,Beam_Analysis!$D$2,Beam_Analysis!$J$33:$O$79,Beam_Analysis!$G$5:$P$5,0)</f>
        <v>-0.32749999999999996</v>
      </c>
      <c r="S243">
        <f ca="1"/>
        <v>2.6397222222222223</v>
      </c>
      <c r="T243">
        <f ca="1"/>
        <v>1.1765632183908028E-2</v>
      </c>
      <c r="U243">
        <f ca="1"/>
        <v>-1.687383264367817</v>
      </c>
      <c r="V243">
        <f ca="1">(S243*12)/(Beam_Analysis!$B$2*Beam_Analysis!$B$3)</f>
        <v>1.0922988505747127E-3</v>
      </c>
    </row>
    <row r="244" spans="14:22" x14ac:dyDescent="0.25">
      <c r="N244">
        <v>138</v>
      </c>
      <c r="O244" s="12">
        <f t="shared" si="77"/>
        <v>5.708333333333333</v>
      </c>
      <c r="P244">
        <f t="shared" ca="1" si="78"/>
        <v>-0.33558593750000004</v>
      </c>
      <c r="Q244">
        <f t="shared" si="74"/>
        <v>5.708333333333333</v>
      </c>
      <c r="R244" cm="1">
        <f t="array" aca="1" ref="R244:U244" ca="1">center_span(Beam_Analysis!$J$29,Q244,Beam_Analysis!$D$3,Beam_Analysis!$D$2,Beam_Analysis!$J$33:$O$79,Beam_Analysis!$G$5:$P$5,0)</f>
        <v>-0.33558593750000004</v>
      </c>
      <c r="S244">
        <f ca="1"/>
        <v>2.6259076605902778</v>
      </c>
      <c r="T244">
        <f ca="1"/>
        <v>1.2310358325475919E-2</v>
      </c>
      <c r="U244">
        <f ca="1"/>
        <v>-1.6813641476489547</v>
      </c>
      <c r="V244">
        <f ca="1">(S244*12)/(Beam_Analysis!$B$2*Beam_Analysis!$B$3)</f>
        <v>1.086582480244253E-3</v>
      </c>
    </row>
    <row r="245" spans="14:22" x14ac:dyDescent="0.25">
      <c r="N245">
        <v>139</v>
      </c>
      <c r="O245" s="12">
        <f t="shared" si="77"/>
        <v>5.75</v>
      </c>
      <c r="P245">
        <f t="shared" ca="1" si="78"/>
        <v>-0.34359375000000009</v>
      </c>
      <c r="Q245">
        <f t="shared" si="74"/>
        <v>5.75</v>
      </c>
      <c r="R245" cm="1">
        <f t="array" aca="1" ref="R245:U245" ca="1">center_span(Beam_Analysis!$J$29,Q245,Beam_Analysis!$D$3,Beam_Analysis!$D$2,Beam_Analysis!$J$33:$O$79,Beam_Analysis!$G$5:$P$5,0)</f>
        <v>-0.34359375000000009</v>
      </c>
      <c r="S245">
        <f ca="1"/>
        <v>2.6117578124999996</v>
      </c>
      <c r="T245">
        <f ca="1"/>
        <v>1.2852191540948266E-2</v>
      </c>
      <c r="U245">
        <f ca="1"/>
        <v>-1.6750733882004316</v>
      </c>
      <c r="V245">
        <f ca="1">(S245*12)/(Beam_Analysis!$B$2*Beam_Analysis!$B$3)</f>
        <v>1.080727370689655E-3</v>
      </c>
    </row>
    <row r="246" spans="14:22" x14ac:dyDescent="0.25">
      <c r="N246">
        <v>140</v>
      </c>
      <c r="O246" s="12">
        <f t="shared" si="77"/>
        <v>5.7916666666666661</v>
      </c>
      <c r="P246">
        <f t="shared" ca="1" si="78"/>
        <v>-0.35152343749999998</v>
      </c>
      <c r="Q246">
        <f t="shared" si="74"/>
        <v>5.7916666666666661</v>
      </c>
      <c r="R246" cm="1">
        <f t="array" aca="1" ref="R246:U246" ca="1">center_span(Beam_Analysis!$J$29,Q246,Beam_Analysis!$D$3,Beam_Analysis!$D$2,Beam_Analysis!$J$33:$O$79,Beam_Analysis!$G$5:$P$5,0)</f>
        <v>-0.35152343749999998</v>
      </c>
      <c r="S246">
        <f ca="1"/>
        <v>2.5972759331597222</v>
      </c>
      <c r="T246">
        <f ca="1"/>
        <v>1.3391062797458674E-2</v>
      </c>
      <c r="U246">
        <f ca="1"/>
        <v>-1.6685124497715751</v>
      </c>
      <c r="V246">
        <f ca="1">(S246*12)/(Beam_Analysis!$B$2*Beam_Analysis!$B$3)</f>
        <v>1.0747348688936783E-3</v>
      </c>
    </row>
    <row r="247" spans="14:22" x14ac:dyDescent="0.25">
      <c r="N247">
        <v>141</v>
      </c>
      <c r="O247" s="12">
        <f t="shared" si="77"/>
        <v>5.833333333333333</v>
      </c>
      <c r="P247">
        <f t="shared" ca="1" si="78"/>
        <v>-0.35937500000000006</v>
      </c>
      <c r="Q247">
        <f t="shared" si="74"/>
        <v>5.833333333333333</v>
      </c>
      <c r="R247" cm="1">
        <f t="array" aca="1" ref="R247:U247" ca="1">center_span(Beam_Analysis!$J$29,Q247,Beam_Analysis!$D$3,Beam_Analysis!$D$2,Beam_Analysis!$J$33:$O$79,Beam_Analysis!$G$5:$P$5,0)</f>
        <v>-0.35937500000000006</v>
      </c>
      <c r="S247">
        <f ca="1"/>
        <v>2.5824652777777777</v>
      </c>
      <c r="T247">
        <f ca="1"/>
        <v>1.3926903735632171E-2</v>
      </c>
      <c r="U247">
        <f ca="1"/>
        <v>-1.6616828304597711</v>
      </c>
      <c r="V247">
        <f ca="1">(S247*12)/(Beam_Analysis!$B$2*Beam_Analysis!$B$3)</f>
        <v>1.0686063218390805E-3</v>
      </c>
    </row>
    <row r="248" spans="14:22" x14ac:dyDescent="0.25">
      <c r="N248">
        <v>142</v>
      </c>
      <c r="O248" s="12">
        <f t="shared" si="77"/>
        <v>5.875</v>
      </c>
      <c r="P248">
        <f t="shared" ca="1" si="78"/>
        <v>-0.36714843750000009</v>
      </c>
      <c r="Q248">
        <f t="shared" si="74"/>
        <v>5.875</v>
      </c>
      <c r="R248" cm="1">
        <f t="array" aca="1" ref="R248:U248" ca="1">center_span(Beam_Analysis!$J$29,Q248,Beam_Analysis!$D$3,Beam_Analysis!$D$2,Beam_Analysis!$J$33:$O$79,Beam_Analysis!$G$5:$P$5,0)</f>
        <v>-0.36714843750000009</v>
      </c>
      <c r="S248">
        <f ca="1"/>
        <v>2.5673291015624997</v>
      </c>
      <c r="T248">
        <f ca="1"/>
        <v>1.445964666958512E-2</v>
      </c>
      <c r="U248">
        <f ca="1"/>
        <v>-1.6545860623737212</v>
      </c>
      <c r="V248">
        <f ca="1">(S248*12)/(Beam_Analysis!$B$2*Beam_Analysis!$B$3)</f>
        <v>1.0623430765086205E-3</v>
      </c>
    </row>
    <row r="249" spans="14:22" x14ac:dyDescent="0.25">
      <c r="N249">
        <v>143</v>
      </c>
      <c r="O249" s="12">
        <f t="shared" si="77"/>
        <v>5.9166666666666661</v>
      </c>
      <c r="P249">
        <f t="shared" ca="1" si="78"/>
        <v>-0.37484374999999998</v>
      </c>
      <c r="Q249">
        <f t="shared" si="74"/>
        <v>5.9166666666666661</v>
      </c>
      <c r="R249" cm="1">
        <f t="array" aca="1" ref="R249:U249" ca="1">center_span(Beam_Analysis!$J$29,Q249,Beam_Analysis!$D$3,Beam_Analysis!$D$2,Beam_Analysis!$J$33:$O$79,Beam_Analysis!$G$5:$P$5,0)</f>
        <v>-0.37484374999999998</v>
      </c>
      <c r="S249">
        <f ca="1"/>
        <v>2.5518706597222223</v>
      </c>
      <c r="T249">
        <f ca="1"/>
        <v>1.4989224586925269E-2</v>
      </c>
      <c r="U249">
        <f ca="1"/>
        <v>-1.6472237112966961</v>
      </c>
      <c r="V249">
        <f ca="1">(S249*12)/(Beam_Analysis!$B$2*Beam_Analysis!$B$3)</f>
        <v>1.0559464798850574E-3</v>
      </c>
    </row>
    <row r="250" spans="14:22" x14ac:dyDescent="0.25">
      <c r="N250">
        <v>144</v>
      </c>
      <c r="O250" s="12">
        <f t="shared" si="77"/>
        <v>5.958333333333333</v>
      </c>
      <c r="P250">
        <f t="shared" ca="1" si="78"/>
        <v>-0.38246093750000004</v>
      </c>
      <c r="Q250">
        <f t="shared" si="74"/>
        <v>5.958333333333333</v>
      </c>
      <c r="R250" cm="1">
        <f t="array" aca="1" ref="R250:U250" ca="1">center_span(Beam_Analysis!$J$29,Q250,Beam_Analysis!$D$3,Beam_Analysis!$D$2,Beam_Analysis!$J$33:$O$79,Beam_Analysis!$G$5:$P$5,0)</f>
        <v>-0.38246093750000004</v>
      </c>
      <c r="S250">
        <f ca="1"/>
        <v>2.5360932074652776</v>
      </c>
      <c r="T250">
        <f ca="1"/>
        <v>1.5515571148751782E-2</v>
      </c>
      <c r="U250">
        <f ca="1"/>
        <v>-1.6395973763497897</v>
      </c>
      <c r="V250">
        <f ca="1">(S250*12)/(Beam_Analysis!$B$2*Beam_Analysis!$B$3)</f>
        <v>1.0494178789511492E-3</v>
      </c>
    </row>
    <row r="251" spans="14:22" x14ac:dyDescent="0.25">
      <c r="N251">
        <v>145</v>
      </c>
      <c r="O251" s="12">
        <f t="shared" si="77"/>
        <v>6</v>
      </c>
      <c r="P251">
        <f t="shared" ca="1" si="78"/>
        <v>-0.39000000000000012</v>
      </c>
      <c r="Q251">
        <f t="shared" si="74"/>
        <v>6</v>
      </c>
      <c r="R251" cm="1">
        <f t="array" aca="1" ref="R251:U251" ca="1">center_span(Beam_Analysis!$J$29,Q251,Beam_Analysis!$D$3,Beam_Analysis!$D$2,Beam_Analysis!$J$33:$O$79,Beam_Analysis!$G$5:$P$5,0)</f>
        <v>-0.39000000000000012</v>
      </c>
      <c r="S251">
        <f ca="1"/>
        <v>2.5199999999999996</v>
      </c>
      <c r="T251">
        <f ca="1"/>
        <v>1.6038620689655163E-2</v>
      </c>
      <c r="U251">
        <f ca="1"/>
        <v>-1.6317086896551731</v>
      </c>
      <c r="V251">
        <f ca="1">(S251*12)/(Beam_Analysis!$B$2*Beam_Analysis!$B$3)</f>
        <v>1.042758620689655E-3</v>
      </c>
    </row>
    <row r="252" spans="14:22" x14ac:dyDescent="0.25">
      <c r="N252">
        <v>146</v>
      </c>
      <c r="O252" s="12">
        <f t="shared" si="77"/>
        <v>6.0416666666666661</v>
      </c>
      <c r="P252">
        <f t="shared" ca="1" si="78"/>
        <v>-0.3974609375</v>
      </c>
      <c r="Q252">
        <f t="shared" si="74"/>
        <v>6.0416666666666661</v>
      </c>
      <c r="R252" cm="1">
        <f t="array" aca="1" ref="R252:U252" ca="1">center_span(Beam_Analysis!$J$29,Q252,Beam_Analysis!$D$3,Beam_Analysis!$D$2,Beam_Analysis!$J$33:$O$79,Beam_Analysis!$G$5:$P$5,0)</f>
        <v>-0.3974609375</v>
      </c>
      <c r="S252">
        <f ca="1"/>
        <v>2.5035942925347223</v>
      </c>
      <c r="T252">
        <f ca="1"/>
        <v>1.6558308217717296E-2</v>
      </c>
      <c r="U252">
        <f ca="1"/>
        <v>-1.62355931599935</v>
      </c>
      <c r="V252" s="98">
        <f ca="1">(S252*12)/(Beam_Analysis!$B$2*Beam_Analysis!$B$3)</f>
        <v>1.0359700520833333E-3</v>
      </c>
    </row>
    <row r="253" spans="14:22" x14ac:dyDescent="0.25">
      <c r="N253">
        <v>147</v>
      </c>
      <c r="O253" s="12">
        <f t="shared" si="77"/>
        <v>6.083333333333333</v>
      </c>
      <c r="P253">
        <f t="shared" ca="1" si="78"/>
        <v>-0.40484375000000006</v>
      </c>
      <c r="Q253">
        <f t="shared" si="74"/>
        <v>6.083333333333333</v>
      </c>
      <c r="R253" cm="1">
        <f t="array" aca="1" ref="R253:U253" ca="1">center_span(Beam_Analysis!$J$29,Q253,Beam_Analysis!$D$3,Beam_Analysis!$D$2,Beam_Analysis!$J$33:$O$79,Beam_Analysis!$G$5:$P$5,0)</f>
        <v>-0.40484375000000006</v>
      </c>
      <c r="S253">
        <f ca="1"/>
        <v>2.4868793402777776</v>
      </c>
      <c r="T253">
        <f ca="1"/>
        <v>1.7074569414511478E-2</v>
      </c>
      <c r="U253">
        <f ca="1"/>
        <v>-1.6151509524964087</v>
      </c>
      <c r="V253">
        <f ca="1">(S253*12)/(Beam_Analysis!$B$2*Beam_Analysis!$B$3)</f>
        <v>1.0290535201149425E-3</v>
      </c>
    </row>
    <row r="254" spans="14:22" x14ac:dyDescent="0.25">
      <c r="N254">
        <v>148</v>
      </c>
      <c r="O254" s="12">
        <f t="shared" si="77"/>
        <v>6.125</v>
      </c>
      <c r="P254">
        <f t="shared" ca="1" si="78"/>
        <v>-0.41214843750000008</v>
      </c>
      <c r="Q254">
        <f t="shared" si="74"/>
        <v>6.125</v>
      </c>
      <c r="R254" cm="1">
        <f t="array" aca="1" ref="R254:U254" ca="1">center_span(Beam_Analysis!$J$29,Q254,Beam_Analysis!$D$3,Beam_Analysis!$D$2,Beam_Analysis!$J$33:$O$79,Beam_Analysis!$G$5:$P$5,0)</f>
        <v>-0.41214843750000008</v>
      </c>
      <c r="S254">
        <f ca="1"/>
        <v>2.4698583984374998</v>
      </c>
      <c r="T254">
        <f ca="1"/>
        <v>1.758734063510236E-2</v>
      </c>
      <c r="U254">
        <f ca="1"/>
        <v>-1.6064853282512803</v>
      </c>
      <c r="V254">
        <f ca="1">(S254*12)/(Beam_Analysis!$B$2*Beam_Analysis!$B$3)</f>
        <v>1.0220103717672412E-3</v>
      </c>
    </row>
    <row r="255" spans="14:22" x14ac:dyDescent="0.25">
      <c r="N255">
        <v>149</v>
      </c>
      <c r="O255" s="12">
        <f t="shared" si="77"/>
        <v>6.1666666666666661</v>
      </c>
      <c r="P255">
        <f t="shared" ca="1" si="78"/>
        <v>-0.419375</v>
      </c>
      <c r="Q255">
        <f t="shared" si="74"/>
        <v>6.1666666666666661</v>
      </c>
      <c r="R255" cm="1">
        <f t="array" aca="1" ref="R255:U255" ca="1">center_span(Beam_Analysis!$J$29,Q255,Beam_Analysis!$D$3,Beam_Analysis!$D$2,Beam_Analysis!$J$33:$O$79,Beam_Analysis!$G$5:$P$5,0)</f>
        <v>-0.419375</v>
      </c>
      <c r="S255">
        <f ca="1"/>
        <v>2.452534722222222</v>
      </c>
      <c r="T255">
        <f ca="1"/>
        <v>1.809655890804596E-2</v>
      </c>
      <c r="U255">
        <f ca="1"/>
        <v>-1.5975642040229894</v>
      </c>
      <c r="V255">
        <f ca="1">(S255*12)/(Beam_Analysis!$B$2*Beam_Analysis!$B$3)</f>
        <v>1.0148419540229885E-3</v>
      </c>
    </row>
    <row r="256" spans="14:22" x14ac:dyDescent="0.25">
      <c r="N256">
        <v>150</v>
      </c>
      <c r="O256" s="12">
        <f t="shared" si="77"/>
        <v>6.208333333333333</v>
      </c>
      <c r="P256">
        <f t="shared" ca="1" si="78"/>
        <v>-0.42652343750000005</v>
      </c>
      <c r="Q256">
        <f t="shared" si="74"/>
        <v>6.208333333333333</v>
      </c>
      <c r="R256" cm="1">
        <f t="array" aca="1" ref="R256:U256" ca="1">center_span(Beam_Analysis!$J$29,Q256,Beam_Analysis!$D$3,Beam_Analysis!$D$2,Beam_Analysis!$J$33:$O$79,Beam_Analysis!$G$5:$P$5,0)</f>
        <v>-0.42652343750000005</v>
      </c>
      <c r="S256">
        <f ca="1"/>
        <v>2.4349115668402774</v>
      </c>
      <c r="T256">
        <f ca="1"/>
        <v>1.8602161935389713E-2</v>
      </c>
      <c r="U256">
        <f ca="1"/>
        <v>-1.5883893718879096</v>
      </c>
      <c r="V256">
        <f ca="1">(S256*12)/(Beam_Analysis!$B$2*Beam_Analysis!$B$3)</f>
        <v>1.0075496138649423E-3</v>
      </c>
    </row>
    <row r="257" spans="14:22" x14ac:dyDescent="0.25">
      <c r="N257">
        <v>151</v>
      </c>
      <c r="O257" s="12">
        <f t="shared" si="77"/>
        <v>6.25</v>
      </c>
      <c r="P257">
        <f t="shared" ca="1" si="78"/>
        <v>-0.43359375000000011</v>
      </c>
      <c r="Q257">
        <f t="shared" si="74"/>
        <v>6.25</v>
      </c>
      <c r="R257" cm="1">
        <f t="array" aca="1" ref="R257:U257" ca="1">center_span(Beam_Analysis!$J$29,Q257,Beam_Analysis!$D$3,Beam_Analysis!$D$2,Beam_Analysis!$J$33:$O$79,Beam_Analysis!$G$5:$P$5,0)</f>
        <v>-0.43359375000000011</v>
      </c>
      <c r="S257">
        <f ca="1"/>
        <v>2.4169921874999996</v>
      </c>
      <c r="T257">
        <f ca="1"/>
        <v>1.9104088092672403E-2</v>
      </c>
      <c r="U257">
        <f ca="1"/>
        <v>-1.5789626549030182</v>
      </c>
      <c r="V257">
        <f ca="1">(S257*12)/(Beam_Analysis!$B$2*Beam_Analysis!$B$3)</f>
        <v>1.0001346982758618E-3</v>
      </c>
    </row>
    <row r="258" spans="14:22" x14ac:dyDescent="0.25">
      <c r="N258">
        <v>152</v>
      </c>
      <c r="O258" s="12">
        <f t="shared" si="77"/>
        <v>6.2916666666666661</v>
      </c>
      <c r="P258">
        <f t="shared" ca="1" si="78"/>
        <v>-0.44058593750000002</v>
      </c>
      <c r="Q258">
        <f t="shared" si="74"/>
        <v>6.2916666666666661</v>
      </c>
      <c r="R258" cm="1">
        <f t="array" aca="1" ref="R258:U258" ca="1">center_span(Beam_Analysis!$J$29,Q258,Beam_Analysis!$D$3,Beam_Analysis!$D$2,Beam_Analysis!$J$33:$O$79,Beam_Analysis!$G$5:$P$5,0)</f>
        <v>-0.44058593750000002</v>
      </c>
      <c r="S258">
        <f ca="1"/>
        <v>2.3987798394097224</v>
      </c>
      <c r="T258">
        <f ca="1"/>
        <v>1.9602276428924193E-2</v>
      </c>
      <c r="U258">
        <f ca="1"/>
        <v>-1.5692859067691507</v>
      </c>
      <c r="V258">
        <f ca="1">(S258*12)/(Beam_Analysis!$B$2*Beam_Analysis!$B$3)</f>
        <v>9.9259855423850592E-4</v>
      </c>
    </row>
    <row r="259" spans="14:22" x14ac:dyDescent="0.25">
      <c r="N259">
        <v>153</v>
      </c>
      <c r="O259" s="12">
        <f t="shared" si="77"/>
        <v>6.333333333333333</v>
      </c>
      <c r="P259">
        <f t="shared" ca="1" si="78"/>
        <v>-0.44750000000000006</v>
      </c>
      <c r="Q259">
        <f t="shared" si="74"/>
        <v>6.333333333333333</v>
      </c>
      <c r="R259" cm="1">
        <f t="array" aca="1" ref="R259:U259" ca="1">center_span(Beam_Analysis!$J$29,Q259,Beam_Analysis!$D$3,Beam_Analysis!$D$2,Beam_Analysis!$J$33:$O$79,Beam_Analysis!$G$5:$P$5,0)</f>
        <v>-0.44750000000000006</v>
      </c>
      <c r="S259">
        <f ca="1"/>
        <v>2.3802777777777777</v>
      </c>
      <c r="T259">
        <f ca="1"/>
        <v>2.0096666666666652E-2</v>
      </c>
      <c r="U259">
        <f ca="1"/>
        <v>-1.559361011494254</v>
      </c>
      <c r="V259">
        <f ca="1">(S259*12)/(Beam_Analysis!$B$2*Beam_Analysis!$B$3)</f>
        <v>9.8494252873563225E-4</v>
      </c>
    </row>
    <row r="260" spans="14:22" x14ac:dyDescent="0.25">
      <c r="N260">
        <v>154</v>
      </c>
      <c r="O260" s="12">
        <f t="shared" si="77"/>
        <v>6.375</v>
      </c>
      <c r="P260">
        <f t="shared" ca="1" si="78"/>
        <v>-0.45433593750000012</v>
      </c>
      <c r="Q260">
        <f t="shared" si="74"/>
        <v>6.375</v>
      </c>
      <c r="R260" cm="1">
        <f t="array" aca="1" ref="R260:U260" ca="1">center_span(Beam_Analysis!$J$29,Q260,Beam_Analysis!$D$3,Beam_Analysis!$D$2,Beam_Analysis!$J$33:$O$79,Beam_Analysis!$G$5:$P$5,0)</f>
        <v>-0.45433593750000012</v>
      </c>
      <c r="S260">
        <f ca="1"/>
        <v>2.3614892578124995</v>
      </c>
      <c r="T260">
        <f ca="1"/>
        <v>2.0587199201912706E-2</v>
      </c>
      <c r="U260">
        <f ca="1"/>
        <v>-1.5491898830566415</v>
      </c>
      <c r="V260">
        <f ca="1">(S260*12)/(Beam_Analysis!$B$2*Beam_Analysis!$B$3)</f>
        <v>9.7716796874999985E-4</v>
      </c>
    </row>
    <row r="261" spans="14:22" x14ac:dyDescent="0.25">
      <c r="N261">
        <v>155</v>
      </c>
      <c r="O261" s="12">
        <f t="shared" si="77"/>
        <v>6.4166666666666661</v>
      </c>
      <c r="P261">
        <f t="shared" ca="1" si="78"/>
        <v>-0.46109375000000002</v>
      </c>
      <c r="Q261">
        <f t="shared" si="74"/>
        <v>6.4166666666666661</v>
      </c>
      <c r="R261" cm="1">
        <f t="array" aca="1" ref="R261:U261" ca="1">center_span(Beam_Analysis!$J$29,Q261,Beam_Analysis!$D$3,Beam_Analysis!$D$2,Beam_Analysis!$J$33:$O$79,Beam_Analysis!$G$5:$P$5,0)</f>
        <v>-0.46109375000000002</v>
      </c>
      <c r="S261">
        <f ca="1"/>
        <v>2.3424175347222222</v>
      </c>
      <c r="T261">
        <f ca="1"/>
        <v>2.107381510416665E-2</v>
      </c>
      <c r="U261">
        <f ca="1"/>
        <v>-1.538774465068248</v>
      </c>
      <c r="V261">
        <f ca="1">(S261*12)/(Beam_Analysis!$B$2*Beam_Analysis!$B$3)</f>
        <v>9.6927622126436787E-4</v>
      </c>
    </row>
    <row r="262" spans="14:22" x14ac:dyDescent="0.25">
      <c r="N262">
        <v>156</v>
      </c>
      <c r="O262" s="12">
        <f t="shared" si="77"/>
        <v>6.458333333333333</v>
      </c>
      <c r="P262">
        <f t="shared" ca="1" si="78"/>
        <v>-0.46777343750000006</v>
      </c>
      <c r="Q262">
        <f t="shared" ref="Q262:Q325" si="79">(N262-1)*$Q$105</f>
        <v>6.458333333333333</v>
      </c>
      <c r="R262" cm="1">
        <f t="array" aca="1" ref="R262:U262" ca="1">center_span(Beam_Analysis!$J$29,Q262,Beam_Analysis!$D$3,Beam_Analysis!$D$2,Beam_Analysis!$J$33:$O$79,Beam_Analysis!$G$5:$P$5,0)</f>
        <v>-0.46777343750000006</v>
      </c>
      <c r="S262">
        <f ca="1"/>
        <v>2.3230658637152777</v>
      </c>
      <c r="T262">
        <f ca="1"/>
        <v>2.1556456116424195E-2</v>
      </c>
      <c r="U262">
        <f ca="1"/>
        <v>-1.5281167304378827</v>
      </c>
      <c r="V262">
        <f ca="1">(S262*12)/(Beam_Analysis!$B$2*Beam_Analysis!$B$3)</f>
        <v>9.6126863326149417E-4</v>
      </c>
    </row>
    <row r="263" spans="14:22" x14ac:dyDescent="0.25">
      <c r="N263">
        <v>157</v>
      </c>
      <c r="O263" s="12">
        <f t="shared" si="77"/>
        <v>6.5</v>
      </c>
      <c r="P263">
        <f t="shared" ca="1" si="78"/>
        <v>-0.4743750000000001</v>
      </c>
      <c r="Q263">
        <f t="shared" si="79"/>
        <v>6.5</v>
      </c>
      <c r="R263" cm="1">
        <f t="array" aca="1" ref="R263:U263" ca="1">center_span(Beam_Analysis!$J$29,Q263,Beam_Analysis!$D$3,Beam_Analysis!$D$2,Beam_Analysis!$J$33:$O$79,Beam_Analysis!$G$5:$P$5,0)</f>
        <v>-0.4743750000000001</v>
      </c>
      <c r="S263">
        <f ca="1"/>
        <v>2.3034374999999998</v>
      </c>
      <c r="T263">
        <f ca="1"/>
        <v>2.2035064655172402E-2</v>
      </c>
      <c r="U263">
        <f ca="1"/>
        <v>-1.5172186810344834</v>
      </c>
      <c r="V263">
        <f ca="1">(S263*12)/(Beam_Analysis!$B$2*Beam_Analysis!$B$3)</f>
        <v>9.5314655172413793E-4</v>
      </c>
    </row>
    <row r="264" spans="14:22" x14ac:dyDescent="0.25">
      <c r="N264">
        <v>158</v>
      </c>
      <c r="O264" s="12">
        <f t="shared" si="77"/>
        <v>6.5416666666666661</v>
      </c>
      <c r="P264">
        <f t="shared" ca="1" si="78"/>
        <v>-0.4808984375</v>
      </c>
      <c r="Q264">
        <f t="shared" si="79"/>
        <v>6.5416666666666661</v>
      </c>
      <c r="R264" cm="1">
        <f t="array" aca="1" ref="R264:U264" ca="1">center_span(Beam_Analysis!$J$29,Q264,Beam_Analysis!$D$3,Beam_Analysis!$D$2,Beam_Analysis!$J$33:$O$79,Beam_Analysis!$G$5:$P$5,0)</f>
        <v>-0.4808984375</v>
      </c>
      <c r="S264">
        <f ca="1"/>
        <v>2.2835356987847222</v>
      </c>
      <c r="T264">
        <f ca="1"/>
        <v>2.250958381038971E-2</v>
      </c>
      <c r="U264">
        <f ca="1"/>
        <v>-1.5060823473503735</v>
      </c>
      <c r="V264">
        <f ca="1">(S264*12)/(Beam_Analysis!$B$2*Beam_Analysis!$B$3)</f>
        <v>9.4491132363505744E-4</v>
      </c>
    </row>
    <row r="265" spans="14:22" x14ac:dyDescent="0.25">
      <c r="N265">
        <v>159</v>
      </c>
      <c r="O265" s="12">
        <f t="shared" si="77"/>
        <v>6.583333333333333</v>
      </c>
      <c r="P265">
        <f t="shared" ca="1" si="78"/>
        <v>-0.48734375000000008</v>
      </c>
      <c r="Q265">
        <f t="shared" si="79"/>
        <v>6.583333333333333</v>
      </c>
      <c r="R265" cm="1">
        <f t="array" aca="1" ref="R265:U265" ca="1">center_span(Beam_Analysis!$J$29,Q265,Beam_Analysis!$D$3,Beam_Analysis!$D$2,Beam_Analysis!$J$33:$O$79,Beam_Analysis!$G$5:$P$5,0)</f>
        <v>-0.48734375000000008</v>
      </c>
      <c r="S265">
        <f ca="1"/>
        <v>2.2633637152777775</v>
      </c>
      <c r="T265">
        <f ca="1"/>
        <v>2.2979957345545962E-2</v>
      </c>
      <c r="U265">
        <f ca="1"/>
        <v>-1.4947097881645126</v>
      </c>
      <c r="V265">
        <f ca="1">(S265*12)/(Beam_Analysis!$B$2*Beam_Analysis!$B$3)</f>
        <v>9.3656429597701132E-4</v>
      </c>
    </row>
    <row r="266" spans="14:22" x14ac:dyDescent="0.25">
      <c r="N266">
        <v>160</v>
      </c>
      <c r="O266" s="12">
        <f t="shared" si="77"/>
        <v>6.625</v>
      </c>
      <c r="P266">
        <f t="shared" ca="1" si="78"/>
        <v>-0.49371093750000011</v>
      </c>
      <c r="Q266">
        <f t="shared" si="79"/>
        <v>6.625</v>
      </c>
      <c r="R266" cm="1">
        <f t="array" aca="1" ref="R266:U266" ca="1">center_span(Beam_Analysis!$J$29,Q266,Beam_Analysis!$D$3,Beam_Analysis!$D$2,Beam_Analysis!$J$33:$O$79,Beam_Analysis!$G$5:$P$5,0)</f>
        <v>-0.49371093750000011</v>
      </c>
      <c r="S266">
        <f ca="1"/>
        <v>2.2429248046874997</v>
      </c>
      <c r="T266">
        <f ca="1"/>
        <v>2.3446129697602361E-2</v>
      </c>
      <c r="U266">
        <f ca="1"/>
        <v>-1.4831030902057525</v>
      </c>
      <c r="V266">
        <f ca="1">(S266*12)/(Beam_Analysis!$B$2*Beam_Analysis!$B$3)</f>
        <v>9.2810681573275852E-4</v>
      </c>
    </row>
    <row r="267" spans="14:22" x14ac:dyDescent="0.25">
      <c r="N267">
        <v>161</v>
      </c>
      <c r="O267" s="12">
        <f t="shared" si="77"/>
        <v>6.6666666666666661</v>
      </c>
      <c r="P267">
        <f t="shared" ca="1" si="78"/>
        <v>-0.5</v>
      </c>
      <c r="Q267">
        <f t="shared" si="79"/>
        <v>6.6666666666666661</v>
      </c>
      <c r="R267" cm="1">
        <f t="array" aca="1" ref="R267:U267" ca="1">center_span(Beam_Analysis!$J$29,Q267,Beam_Analysis!$D$3,Beam_Analysis!$D$2,Beam_Analysis!$J$33:$O$79,Beam_Analysis!$G$5:$P$5,0)</f>
        <v>-0.5</v>
      </c>
      <c r="S267">
        <f ca="1"/>
        <v>2.2222222222222223</v>
      </c>
      <c r="T267">
        <f ca="1"/>
        <v>2.3908045977011478E-2</v>
      </c>
      <c r="U267">
        <f ca="1"/>
        <v>-1.471264367816093</v>
      </c>
      <c r="V267">
        <f ca="1">(S267*12)/(Beam_Analysis!$B$2*Beam_Analysis!$B$3)</f>
        <v>9.1954022988505755E-4</v>
      </c>
    </row>
    <row r="268" spans="14:22" x14ac:dyDescent="0.25">
      <c r="N268">
        <v>162</v>
      </c>
      <c r="O268" s="12">
        <f t="shared" si="77"/>
        <v>6.708333333333333</v>
      </c>
      <c r="P268">
        <f t="shared" ca="1" si="78"/>
        <v>-0.50621093750000001</v>
      </c>
      <c r="Q268">
        <f t="shared" si="79"/>
        <v>6.708333333333333</v>
      </c>
      <c r="R268" cm="1">
        <f t="array" aca="1" ref="R268:U268" ca="1">center_span(Beam_Analysis!$J$29,Q268,Beam_Analysis!$D$3,Beam_Analysis!$D$2,Beam_Analysis!$J$33:$O$79,Beam_Analysis!$G$5:$P$5,0)</f>
        <v>-0.50621093750000001</v>
      </c>
      <c r="S268">
        <f ca="1"/>
        <v>2.2012592230902777</v>
      </c>
      <c r="T268">
        <f ca="1"/>
        <v>2.4365651967717301E-2</v>
      </c>
      <c r="U268">
        <f ca="1"/>
        <v>-1.4591957626139334</v>
      </c>
      <c r="V268">
        <f ca="1">(S268*12)/(Beam_Analysis!$B$2*Beam_Analysis!$B$3)</f>
        <v>9.108658854166667E-4</v>
      </c>
    </row>
    <row r="269" spans="14:22" x14ac:dyDescent="0.25">
      <c r="N269">
        <v>163</v>
      </c>
      <c r="O269" s="12">
        <f t="shared" si="77"/>
        <v>6.75</v>
      </c>
      <c r="P269">
        <f t="shared" ca="1" si="78"/>
        <v>-0.5123437500000001</v>
      </c>
      <c r="Q269">
        <f t="shared" si="79"/>
        <v>6.75</v>
      </c>
      <c r="R269" cm="1">
        <f t="array" aca="1" ref="R269:U269" ca="1">center_span(Beam_Analysis!$J$29,Q269,Beam_Analysis!$D$3,Beam_Analysis!$D$2,Beam_Analysis!$J$33:$O$79,Beam_Analysis!$G$5:$P$5,0)</f>
        <v>-0.5123437500000001</v>
      </c>
      <c r="S269">
        <f ca="1"/>
        <v>2.1800390624999997</v>
      </c>
      <c r="T269">
        <f ca="1"/>
        <v>2.4818894127155162E-2</v>
      </c>
      <c r="U269">
        <f ca="1"/>
        <v>-1.4468994431573283</v>
      </c>
      <c r="V269">
        <f ca="1">(S269*12)/(Beam_Analysis!$B$2*Beam_Analysis!$B$3)</f>
        <v>9.0208512931034472E-4</v>
      </c>
    </row>
    <row r="270" spans="14:22" x14ac:dyDescent="0.25">
      <c r="N270">
        <v>164</v>
      </c>
      <c r="O270" s="12">
        <f t="shared" si="77"/>
        <v>6.7916666666666661</v>
      </c>
      <c r="P270">
        <f t="shared" ca="1" si="78"/>
        <v>-0.51839843750000003</v>
      </c>
      <c r="Q270">
        <f t="shared" si="79"/>
        <v>6.7916666666666661</v>
      </c>
      <c r="R270" cm="1">
        <f t="array" aca="1" ref="R270:U270" ca="1">center_span(Beam_Analysis!$J$29,Q270,Beam_Analysis!$D$3,Beam_Analysis!$D$2,Beam_Analysis!$J$33:$O$79,Beam_Analysis!$G$5:$P$5,0)</f>
        <v>-0.51839843750000003</v>
      </c>
      <c r="S270">
        <f ca="1"/>
        <v>2.1585649956597224</v>
      </c>
      <c r="T270">
        <f ca="1"/>
        <v>2.5267719586251777E-2</v>
      </c>
      <c r="U270">
        <f ca="1"/>
        <v>-1.4343776046072434</v>
      </c>
      <c r="V270">
        <f ca="1">(S270*12)/(Beam_Analysis!$B$2*Beam_Analysis!$B$3)</f>
        <v>8.9319930854885065E-4</v>
      </c>
    </row>
    <row r="271" spans="14:22" x14ac:dyDescent="0.25">
      <c r="N271">
        <v>165</v>
      </c>
      <c r="O271" s="12">
        <f t="shared" si="77"/>
        <v>6.833333333333333</v>
      </c>
      <c r="P271">
        <f t="shared" ca="1" si="78"/>
        <v>-0.52437500000000004</v>
      </c>
      <c r="Q271">
        <f t="shared" si="79"/>
        <v>6.833333333333333</v>
      </c>
      <c r="R271" cm="1">
        <f t="array" aca="1" ref="R271:U271" ca="1">center_span(Beam_Analysis!$J$29,Q271,Beam_Analysis!$D$3,Beam_Analysis!$D$2,Beam_Analysis!$J$33:$O$79,Beam_Analysis!$G$5:$P$5,0)</f>
        <v>-0.52437500000000004</v>
      </c>
      <c r="S271">
        <f ca="1"/>
        <v>2.1368402777777775</v>
      </c>
      <c r="T271">
        <f ca="1"/>
        <v>2.5712076149425275E-2</v>
      </c>
      <c r="U271">
        <f ca="1"/>
        <v>-1.4216324683908055</v>
      </c>
      <c r="V271">
        <f ca="1">(S271*12)/(Beam_Analysis!$B$2*Beam_Analysis!$B$3)</f>
        <v>8.8420977011494247E-4</v>
      </c>
    </row>
    <row r="272" spans="14:22" x14ac:dyDescent="0.25">
      <c r="N272">
        <v>166</v>
      </c>
      <c r="O272" s="12">
        <f t="shared" si="77"/>
        <v>6.875</v>
      </c>
      <c r="P272">
        <f t="shared" ca="1" si="78"/>
        <v>-0.53027343750000011</v>
      </c>
      <c r="Q272">
        <f t="shared" si="79"/>
        <v>6.875</v>
      </c>
      <c r="R272" cm="1">
        <f t="array" aca="1" ref="R272:U272" ca="1">center_span(Beam_Analysis!$J$29,Q272,Beam_Analysis!$D$3,Beam_Analysis!$D$2,Beam_Analysis!$J$33:$O$79,Beam_Analysis!$G$5:$P$5,0)</f>
        <v>-0.53027343750000011</v>
      </c>
      <c r="S272">
        <f ca="1"/>
        <v>2.1148681640624996</v>
      </c>
      <c r="T272">
        <f ca="1"/>
        <v>2.615191229458512E-2</v>
      </c>
      <c r="U272">
        <f ca="1"/>
        <v>-1.4086662818645619</v>
      </c>
      <c r="V272">
        <f ca="1">(S272*12)/(Beam_Analysis!$B$2*Beam_Analysis!$B$3)</f>
        <v>8.7511786099137901E-4</v>
      </c>
    </row>
    <row r="273" spans="14:22" x14ac:dyDescent="0.25">
      <c r="N273">
        <v>167</v>
      </c>
      <c r="O273" s="12">
        <f t="shared" si="77"/>
        <v>6.9166666666666661</v>
      </c>
      <c r="P273">
        <f t="shared" ca="1" si="78"/>
        <v>-0.53609375000000004</v>
      </c>
      <c r="Q273">
        <f t="shared" si="79"/>
        <v>6.9166666666666661</v>
      </c>
      <c r="R273" cm="1">
        <f t="array" aca="1" ref="R273:U273" ca="1">center_span(Beam_Analysis!$J$29,Q273,Beam_Analysis!$D$3,Beam_Analysis!$D$2,Beam_Analysis!$J$33:$O$79,Beam_Analysis!$G$5:$P$5,0)</f>
        <v>-0.53609375000000004</v>
      </c>
      <c r="S273">
        <f ca="1"/>
        <v>2.092651909722222</v>
      </c>
      <c r="T273">
        <f ca="1"/>
        <v>2.6587177173132165E-2</v>
      </c>
      <c r="U273">
        <f ca="1"/>
        <v>-1.395481317977731</v>
      </c>
      <c r="V273">
        <f ca="1">(S273*12)/(Beam_Analysis!$B$2*Beam_Analysis!$B$3)</f>
        <v>8.6592492816091945E-4</v>
      </c>
    </row>
    <row r="274" spans="14:22" x14ac:dyDescent="0.25">
      <c r="N274">
        <v>168</v>
      </c>
      <c r="O274" s="12">
        <f t="shared" si="77"/>
        <v>6.958333333333333</v>
      </c>
      <c r="P274">
        <f t="shared" ca="1" si="78"/>
        <v>-0.54183593750000003</v>
      </c>
      <c r="Q274">
        <f t="shared" si="79"/>
        <v>6.958333333333333</v>
      </c>
      <c r="R274" cm="1">
        <f t="array" aca="1" ref="R274:U274" ca="1">center_span(Beam_Analysis!$J$29,Q274,Beam_Analysis!$D$3,Beam_Analysis!$D$2,Beam_Analysis!$J$33:$O$79,Beam_Analysis!$G$5:$P$5,0)</f>
        <v>-0.54183593750000003</v>
      </c>
      <c r="S274">
        <f ca="1"/>
        <v>2.0701947699652776</v>
      </c>
      <c r="T274">
        <f ca="1"/>
        <v>2.7017820609958679E-2</v>
      </c>
      <c r="U274">
        <f ca="1"/>
        <v>-1.3820798749354581</v>
      </c>
      <c r="V274">
        <f ca="1">(S274*12)/(Beam_Analysis!$B$2*Beam_Analysis!$B$3)</f>
        <v>8.5663231860632174E-4</v>
      </c>
    </row>
    <row r="275" spans="14:22" x14ac:dyDescent="0.25">
      <c r="N275">
        <v>169</v>
      </c>
      <c r="O275" s="12">
        <f t="shared" si="77"/>
        <v>7</v>
      </c>
      <c r="P275">
        <f t="shared" ca="1" si="78"/>
        <v>-0.5475000000000001</v>
      </c>
      <c r="Q275">
        <f t="shared" si="79"/>
        <v>7</v>
      </c>
      <c r="R275" cm="1">
        <f t="array" aca="1" ref="R275:U275" ca="1">center_span(Beam_Analysis!$J$29,Q275,Beam_Analysis!$D$3,Beam_Analysis!$D$2,Beam_Analysis!$J$33:$O$79,Beam_Analysis!$G$5:$P$5,0)</f>
        <v>-0.5475000000000001</v>
      </c>
      <c r="S275">
        <f ca="1"/>
        <v>2.0474999999999994</v>
      </c>
      <c r="T275">
        <f ca="1"/>
        <v>2.7443793103448265E-2</v>
      </c>
      <c r="U275">
        <f ca="1"/>
        <v>-1.3684642758620698</v>
      </c>
      <c r="V275">
        <f ca="1">(S275*12)/(Beam_Analysis!$B$2*Beam_Analysis!$B$3)</f>
        <v>8.4724137931034462E-4</v>
      </c>
    </row>
    <row r="276" spans="14:22" x14ac:dyDescent="0.25">
      <c r="N276">
        <v>170</v>
      </c>
      <c r="O276" s="12">
        <f t="shared" si="77"/>
        <v>7.0416666666666661</v>
      </c>
      <c r="P276">
        <f t="shared" ca="1" si="78"/>
        <v>-0.55308593750000001</v>
      </c>
      <c r="Q276">
        <f t="shared" si="79"/>
        <v>7.0416666666666661</v>
      </c>
      <c r="R276" cm="1">
        <f t="array" aca="1" ref="R276:U276" ca="1">center_span(Beam_Analysis!$J$29,Q276,Beam_Analysis!$D$3,Beam_Analysis!$D$2,Beam_Analysis!$J$33:$O$79,Beam_Analysis!$G$5:$P$5,0)</f>
        <v>-0.55308593750000001</v>
      </c>
      <c r="S276">
        <f ca="1"/>
        <v>2.0245708550347223</v>
      </c>
      <c r="T276">
        <f ca="1"/>
        <v>2.7865045825475918E-2</v>
      </c>
      <c r="U276">
        <f ca="1"/>
        <v>-1.3546368684643286</v>
      </c>
      <c r="V276">
        <f ca="1">(S276*12)/(Beam_Analysis!$B$2*Beam_Analysis!$B$3)</f>
        <v>8.3775345725574716E-4</v>
      </c>
    </row>
    <row r="277" spans="14:22" x14ac:dyDescent="0.25">
      <c r="N277">
        <v>171</v>
      </c>
      <c r="O277" s="12">
        <f t="shared" si="77"/>
        <v>7.083333333333333</v>
      </c>
      <c r="P277">
        <f t="shared" ca="1" si="78"/>
        <v>-0.55859375000000011</v>
      </c>
      <c r="Q277">
        <f t="shared" si="79"/>
        <v>7.083333333333333</v>
      </c>
      <c r="R277" cm="1">
        <f t="array" aca="1" ref="R277:U277" ca="1">center_span(Beam_Analysis!$J$29,Q277,Beam_Analysis!$D$3,Beam_Analysis!$D$2,Beam_Analysis!$J$33:$O$79,Beam_Analysis!$G$5:$P$5,0)</f>
        <v>-0.55859375000000011</v>
      </c>
      <c r="S277">
        <f ca="1"/>
        <v>2.0014105902777777</v>
      </c>
      <c r="T277">
        <f ca="1"/>
        <v>2.8281530621408032E-2</v>
      </c>
      <c r="U277">
        <f ca="1"/>
        <v>-1.3406000246946848</v>
      </c>
      <c r="V277">
        <f ca="1">(S277*12)/(Beam_Analysis!$B$2*Beam_Analysis!$B$3)</f>
        <v>8.2816989942528731E-4</v>
      </c>
    </row>
    <row r="278" spans="14:22" x14ac:dyDescent="0.25">
      <c r="N278">
        <v>172</v>
      </c>
      <c r="O278" s="12">
        <f t="shared" si="77"/>
        <v>7.125</v>
      </c>
      <c r="P278">
        <f t="shared" ca="1" si="78"/>
        <v>-0.56402343750000017</v>
      </c>
      <c r="Q278">
        <f t="shared" si="79"/>
        <v>7.125</v>
      </c>
      <c r="R278" cm="1">
        <f t="array" aca="1" ref="R278:U278" ca="1">center_span(Beam_Analysis!$J$29,Q278,Beam_Analysis!$D$3,Beam_Analysis!$D$2,Beam_Analysis!$J$33:$O$79,Beam_Analysis!$G$5:$P$5,0)</f>
        <v>-0.56402343750000017</v>
      </c>
      <c r="S278">
        <f ca="1"/>
        <v>1.9780224609374997</v>
      </c>
      <c r="T278">
        <f ca="1"/>
        <v>2.8693200010102358E-2</v>
      </c>
      <c r="U278">
        <f ca="1"/>
        <v>-1.3263561404145348</v>
      </c>
      <c r="V278">
        <f ca="1">(S278*12)/(Beam_Analysis!$B$2*Beam_Analysis!$B$3)</f>
        <v>8.1849205280172402E-4</v>
      </c>
    </row>
    <row r="279" spans="14:22" x14ac:dyDescent="0.25">
      <c r="N279">
        <v>173</v>
      </c>
      <c r="O279" s="12">
        <f t="shared" si="77"/>
        <v>7.1666666666666661</v>
      </c>
      <c r="P279">
        <f t="shared" ca="1" si="78"/>
        <v>-0.56937500000000008</v>
      </c>
      <c r="Q279">
        <f t="shared" si="79"/>
        <v>7.1666666666666661</v>
      </c>
      <c r="R279" cm="1">
        <f t="array" aca="1" ref="R279:U279" ca="1">center_span(Beam_Analysis!$J$29,Q279,Beam_Analysis!$D$3,Beam_Analysis!$D$2,Beam_Analysis!$J$33:$O$79,Beam_Analysis!$G$5:$P$5,0)</f>
        <v>-0.56937500000000008</v>
      </c>
      <c r="S279">
        <f ca="1"/>
        <v>1.9544097222222221</v>
      </c>
      <c r="T279">
        <f ca="1"/>
        <v>2.9100007183908028E-2</v>
      </c>
      <c r="U279">
        <f ca="1"/>
        <v>-1.3119076350574723</v>
      </c>
      <c r="V279">
        <f ca="1">(S279*12)/(Beam_Analysis!$B$2*Beam_Analysis!$B$3)</f>
        <v>8.0872126436781614E-4</v>
      </c>
    </row>
    <row r="280" spans="14:22" x14ac:dyDescent="0.25">
      <c r="N280">
        <v>174</v>
      </c>
      <c r="O280" s="12">
        <f t="shared" si="77"/>
        <v>7.208333333333333</v>
      </c>
      <c r="P280">
        <f t="shared" ca="1" si="78"/>
        <v>-0.57464843750000005</v>
      </c>
      <c r="Q280">
        <f t="shared" si="79"/>
        <v>7.208333333333333</v>
      </c>
      <c r="R280" cm="1">
        <f t="array" aca="1" ref="R280:U280" ca="1">center_span(Beam_Analysis!$J$29,Q280,Beam_Analysis!$D$3,Beam_Analysis!$D$2,Beam_Analysis!$J$33:$O$79,Beam_Analysis!$G$5:$P$5,0)</f>
        <v>-0.57464843750000005</v>
      </c>
      <c r="S280">
        <f ca="1"/>
        <v>1.9305756293402776</v>
      </c>
      <c r="T280">
        <f ca="1"/>
        <v>2.9501906008665573E-2</v>
      </c>
      <c r="U280">
        <f ca="1"/>
        <v>-1.2972569512925434</v>
      </c>
      <c r="V280">
        <f ca="1">(S280*12)/(Beam_Analysis!$B$2*Beam_Analysis!$B$3)</f>
        <v>7.9885888110632175E-4</v>
      </c>
    </row>
    <row r="281" spans="14:22" x14ac:dyDescent="0.25">
      <c r="N281">
        <v>175</v>
      </c>
      <c r="O281" s="12">
        <f t="shared" si="77"/>
        <v>7.25</v>
      </c>
      <c r="P281">
        <f t="shared" ca="1" si="78"/>
        <v>-0.5798437500000001</v>
      </c>
      <c r="Q281">
        <f t="shared" si="79"/>
        <v>7.25</v>
      </c>
      <c r="R281" cm="1">
        <f t="array" aca="1" ref="R281:U281" ca="1">center_span(Beam_Analysis!$J$29,Q281,Beam_Analysis!$D$3,Beam_Analysis!$D$2,Beam_Analysis!$J$33:$O$79,Beam_Analysis!$G$5:$P$5,0)</f>
        <v>-0.5798437500000001</v>
      </c>
      <c r="S281">
        <f ca="1"/>
        <v>1.9065234374999995</v>
      </c>
      <c r="T281">
        <f ca="1"/>
        <v>2.9898851023706884E-2</v>
      </c>
      <c r="U281">
        <f ca="1"/>
        <v>-1.282406554687501</v>
      </c>
      <c r="V281">
        <f ca="1">(S281*12)/(Beam_Analysis!$B$2*Beam_Analysis!$B$3)</f>
        <v>7.8890624999999979E-4</v>
      </c>
    </row>
    <row r="282" spans="14:22" x14ac:dyDescent="0.25">
      <c r="N282">
        <v>176</v>
      </c>
      <c r="O282" s="12">
        <f t="shared" si="77"/>
        <v>7.2916666666666661</v>
      </c>
      <c r="P282">
        <f t="shared" ca="1" si="78"/>
        <v>-0.5849609375</v>
      </c>
      <c r="Q282">
        <f t="shared" si="79"/>
        <v>7.2916666666666661</v>
      </c>
      <c r="R282" cm="1">
        <f t="array" aca="1" ref="R282:U282" ca="1">center_span(Beam_Analysis!$J$29,Q282,Beam_Analysis!$D$3,Beam_Analysis!$D$2,Beam_Analysis!$J$33:$O$79,Beam_Analysis!$G$5:$P$5,0)</f>
        <v>-0.5849609375</v>
      </c>
      <c r="S282">
        <f ca="1"/>
        <v>1.8822564019097221</v>
      </c>
      <c r="T282">
        <f ca="1"/>
        <v>3.0290797441855227E-2</v>
      </c>
      <c r="U282">
        <f ca="1"/>
        <v>-1.2673589333720603</v>
      </c>
      <c r="V282">
        <f ca="1">(S282*12)/(Beam_Analysis!$B$2*Beam_Analysis!$B$3)</f>
        <v>7.7886471803160909E-4</v>
      </c>
    </row>
    <row r="283" spans="14:22" x14ac:dyDescent="0.25">
      <c r="N283">
        <v>177</v>
      </c>
      <c r="O283" s="12">
        <f t="shared" si="77"/>
        <v>7.333333333333333</v>
      </c>
      <c r="P283">
        <f t="shared" ca="1" si="78"/>
        <v>-0.59000000000000008</v>
      </c>
      <c r="Q283">
        <f t="shared" si="79"/>
        <v>7.333333333333333</v>
      </c>
      <c r="R283" cm="1">
        <f t="array" aca="1" ref="R283:U283" ca="1">center_span(Beam_Analysis!$J$29,Q283,Beam_Analysis!$D$3,Beam_Analysis!$D$2,Beam_Analysis!$J$33:$O$79,Beam_Analysis!$G$5:$P$5,0)</f>
        <v>-0.59000000000000008</v>
      </c>
      <c r="S283">
        <f ca="1"/>
        <v>1.8577777777777775</v>
      </c>
      <c r="T283">
        <f ca="1"/>
        <v>3.0677701149425272E-2</v>
      </c>
      <c r="U283">
        <f ca="1"/>
        <v>-1.2521165977011504</v>
      </c>
      <c r="V283">
        <f ca="1">(S283*12)/(Beam_Analysis!$B$2*Beam_Analysis!$B$3)</f>
        <v>7.6873563218390786E-4</v>
      </c>
    </row>
    <row r="284" spans="14:22" x14ac:dyDescent="0.25">
      <c r="N284">
        <v>178</v>
      </c>
      <c r="O284" s="12">
        <f t="shared" si="77"/>
        <v>7.375</v>
      </c>
      <c r="P284">
        <f t="shared" ca="1" si="78"/>
        <v>-0.59496093750000012</v>
      </c>
      <c r="Q284">
        <f t="shared" si="79"/>
        <v>7.375</v>
      </c>
      <c r="R284" cm="1">
        <f t="array" aca="1" ref="R284:U284" ca="1">center_span(Beam_Analysis!$J$29,Q284,Beam_Analysis!$D$3,Beam_Analysis!$D$2,Beam_Analysis!$J$33:$O$79,Beam_Analysis!$G$5:$P$5,0)</f>
        <v>-0.59496093750000012</v>
      </c>
      <c r="S284">
        <f ca="1"/>
        <v>1.8330908203124996</v>
      </c>
      <c r="T284">
        <f ca="1"/>
        <v>3.105951870622305E-2</v>
      </c>
      <c r="U284">
        <f ca="1"/>
        <v>-1.2366820799181717</v>
      </c>
      <c r="V284">
        <f ca="1">(S284*12)/(Beam_Analysis!$B$2*Beam_Analysis!$B$3)</f>
        <v>7.5852033943965504E-4</v>
      </c>
    </row>
    <row r="285" spans="14:22" x14ac:dyDescent="0.25">
      <c r="N285">
        <v>179</v>
      </c>
      <c r="O285" s="12">
        <f t="shared" si="77"/>
        <v>7.4166666666666661</v>
      </c>
      <c r="P285">
        <f t="shared" ca="1" si="78"/>
        <v>-0.59984375000000001</v>
      </c>
      <c r="Q285">
        <f t="shared" si="79"/>
        <v>7.4166666666666661</v>
      </c>
      <c r="R285" cm="1">
        <f t="array" aca="1" ref="R285:U285" ca="1">center_span(Beam_Analysis!$J$29,Q285,Beam_Analysis!$D$3,Beam_Analysis!$D$2,Beam_Analysis!$J$33:$O$79,Beam_Analysis!$G$5:$P$5,0)</f>
        <v>-0.59984375000000001</v>
      </c>
      <c r="S285">
        <f ca="1"/>
        <v>1.8081987847222221</v>
      </c>
      <c r="T285">
        <f ca="1"/>
        <v>3.1436207345545961E-2</v>
      </c>
      <c r="U285">
        <f ca="1"/>
        <v>-1.2210579338182483</v>
      </c>
      <c r="V285">
        <f ca="1">(S285*12)/(Beam_Analysis!$B$2*Beam_Analysis!$B$3)</f>
        <v>7.4822018678160913E-4</v>
      </c>
    </row>
    <row r="286" spans="14:22" x14ac:dyDescent="0.25">
      <c r="N286">
        <v>180</v>
      </c>
      <c r="O286" s="12">
        <f t="shared" si="77"/>
        <v>7.458333333333333</v>
      </c>
      <c r="P286">
        <f t="shared" ca="1" si="78"/>
        <v>-0.60464843750000008</v>
      </c>
      <c r="Q286">
        <f t="shared" si="79"/>
        <v>7.458333333333333</v>
      </c>
      <c r="R286" cm="1">
        <f t="array" aca="1" ref="R286:U286" ca="1">center_span(Beam_Analysis!$J$29,Q286,Beam_Analysis!$D$3,Beam_Analysis!$D$2,Beam_Analysis!$J$33:$O$79,Beam_Analysis!$G$5:$P$5,0)</f>
        <v>-0.60464843750000008</v>
      </c>
      <c r="S286">
        <f ca="1"/>
        <v>1.7831049262152776</v>
      </c>
      <c r="T286">
        <f ca="1"/>
        <v>3.1807724974182813E-2</v>
      </c>
      <c r="U286">
        <f ca="1"/>
        <v>-1.2052467344114819</v>
      </c>
      <c r="V286">
        <f ca="1">(S286*12)/(Beam_Analysis!$B$2*Beam_Analysis!$B$3)</f>
        <v>7.3783652119252866E-4</v>
      </c>
    </row>
    <row r="287" spans="14:22" x14ac:dyDescent="0.25">
      <c r="N287">
        <v>181</v>
      </c>
      <c r="O287" s="12">
        <f t="shared" si="77"/>
        <v>7.5</v>
      </c>
      <c r="P287">
        <f t="shared" ca="1" si="78"/>
        <v>-0.60937500000000011</v>
      </c>
      <c r="Q287">
        <f t="shared" si="79"/>
        <v>7.5</v>
      </c>
      <c r="R287" cm="1">
        <f t="array" aca="1" ref="R287:U287" ca="1">center_span(Beam_Analysis!$J$29,Q287,Beam_Analysis!$D$3,Beam_Analysis!$D$2,Beam_Analysis!$J$33:$O$79,Beam_Analysis!$G$5:$P$5,0)</f>
        <v>-0.60937500000000011</v>
      </c>
      <c r="S287">
        <f ca="1"/>
        <v>1.7578124999999996</v>
      </c>
      <c r="T287">
        <f ca="1"/>
        <v>3.2174030172413784E-2</v>
      </c>
      <c r="U287">
        <f ca="1"/>
        <v>-1.1892510775862077</v>
      </c>
      <c r="V287">
        <f ca="1">(S287*12)/(Beam_Analysis!$B$2*Beam_Analysis!$B$3)</f>
        <v>7.2737068965517213E-4</v>
      </c>
    </row>
    <row r="288" spans="14:22" x14ac:dyDescent="0.25">
      <c r="N288">
        <v>182</v>
      </c>
      <c r="O288" s="12">
        <f t="shared" si="77"/>
        <v>7.5416666666666661</v>
      </c>
      <c r="P288">
        <f t="shared" ca="1" si="78"/>
        <v>-0.6140234375000001</v>
      </c>
      <c r="Q288">
        <f t="shared" si="79"/>
        <v>7.5416666666666661</v>
      </c>
      <c r="R288" cm="1">
        <f t="array" aca="1" ref="R288:U288" ca="1">center_span(Beam_Analysis!$J$29,Q288,Beam_Analysis!$D$3,Beam_Analysis!$D$2,Beam_Analysis!$J$33:$O$79,Beam_Analysis!$G$5:$P$5,0)</f>
        <v>-0.6140234375000001</v>
      </c>
      <c r="S288">
        <f ca="1"/>
        <v>1.7323247612847221</v>
      </c>
      <c r="T288">
        <f ca="1"/>
        <v>3.2535082194010398E-2</v>
      </c>
      <c r="U288">
        <f ca="1"/>
        <v>-1.1730735797722489</v>
      </c>
      <c r="V288">
        <f ca="1">(S288*12)/(Beam_Analysis!$B$2*Beam_Analysis!$B$3)</f>
        <v>7.1682403915229872E-4</v>
      </c>
    </row>
    <row r="289" spans="14:22" x14ac:dyDescent="0.25">
      <c r="N289">
        <v>183</v>
      </c>
      <c r="O289" s="12">
        <f t="shared" si="77"/>
        <v>7.583333333333333</v>
      </c>
      <c r="P289">
        <f t="shared" ca="1" si="78"/>
        <v>-0.61859375000000005</v>
      </c>
      <c r="Q289">
        <f t="shared" si="79"/>
        <v>7.583333333333333</v>
      </c>
      <c r="R289" cm="1">
        <f t="array" aca="1" ref="R289:U289" ca="1">center_span(Beam_Analysis!$J$29,Q289,Beam_Analysis!$D$3,Beam_Analysis!$D$2,Beam_Analysis!$J$33:$O$79,Beam_Analysis!$G$5:$P$5,0)</f>
        <v>-0.61859375000000005</v>
      </c>
      <c r="S289">
        <f ca="1"/>
        <v>1.7066449652777775</v>
      </c>
      <c r="T289">
        <f ca="1"/>
        <v>3.2890840966235617E-2</v>
      </c>
      <c r="U289">
        <f ca="1"/>
        <v>-1.1567168776041679</v>
      </c>
      <c r="V289">
        <f ca="1">(S289*12)/(Beam_Analysis!$B$2*Beam_Analysis!$B$3)</f>
        <v>7.0619791666666661E-4</v>
      </c>
    </row>
    <row r="290" spans="14:22" x14ac:dyDescent="0.25">
      <c r="N290">
        <v>184</v>
      </c>
      <c r="O290" s="12">
        <f t="shared" si="77"/>
        <v>7.625</v>
      </c>
      <c r="P290">
        <f t="shared" ca="1" si="78"/>
        <v>-0.62308593750000019</v>
      </c>
      <c r="Q290">
        <f t="shared" si="79"/>
        <v>7.625</v>
      </c>
      <c r="R290" cm="1">
        <f t="array" aca="1" ref="R290:U290" ca="1">center_span(Beam_Analysis!$J$29,Q290,Beam_Analysis!$D$3,Beam_Analysis!$D$2,Beam_Analysis!$J$33:$O$79,Beam_Analysis!$G$5:$P$5,0)</f>
        <v>-0.62308593750000019</v>
      </c>
      <c r="S290">
        <f ca="1"/>
        <v>1.6807763671874996</v>
      </c>
      <c r="T290">
        <f ca="1"/>
        <v>3.3241267089843735E-2</v>
      </c>
      <c r="U290">
        <f ca="1"/>
        <v>-1.1401836275845241</v>
      </c>
      <c r="V290">
        <f ca="1">(S290*12)/(Beam_Analysis!$B$2*Beam_Analysis!$B$3)</f>
        <v>6.9549366918103431E-4</v>
      </c>
    </row>
    <row r="291" spans="14:22" x14ac:dyDescent="0.25">
      <c r="N291">
        <v>185</v>
      </c>
      <c r="O291" s="12">
        <f t="shared" si="77"/>
        <v>7.6666666666666661</v>
      </c>
      <c r="P291">
        <f t="shared" ca="1" si="78"/>
        <v>-0.62750000000000006</v>
      </c>
      <c r="Q291">
        <f t="shared" si="79"/>
        <v>7.6666666666666661</v>
      </c>
      <c r="R291" cm="1">
        <f t="array" aca="1" ref="R291:U291" ca="1">center_span(Beam_Analysis!$J$29,Q291,Beam_Analysis!$D$3,Beam_Analysis!$D$2,Beam_Analysis!$J$33:$O$79,Beam_Analysis!$G$5:$P$5,0)</f>
        <v>-0.62750000000000006</v>
      </c>
      <c r="S291">
        <f ca="1"/>
        <v>1.6547222222222222</v>
      </c>
      <c r="T291">
        <f ca="1"/>
        <v>3.3586321839080439E-2</v>
      </c>
      <c r="U291">
        <f ca="1"/>
        <v>-1.1234765057471277</v>
      </c>
      <c r="V291">
        <f ca="1">(S291*12)/(Beam_Analysis!$B$2*Beam_Analysis!$B$3)</f>
        <v>6.8471264367816087E-4</v>
      </c>
    </row>
    <row r="292" spans="14:22" x14ac:dyDescent="0.25">
      <c r="N292">
        <v>186</v>
      </c>
      <c r="O292" s="12">
        <f t="shared" ref="O292:O347" si="80">Q292+$F$12</f>
        <v>7.708333333333333</v>
      </c>
      <c r="P292">
        <f t="shared" ref="P292:P347" ca="1" si="81">OFFSET(R292,0,$O$2)</f>
        <v>-0.63183593750000011</v>
      </c>
      <c r="Q292">
        <f t="shared" si="79"/>
        <v>7.708333333333333</v>
      </c>
      <c r="R292" cm="1">
        <f t="array" aca="1" ref="R292:U292" ca="1">center_span(Beam_Analysis!$J$29,Q292,Beam_Analysis!$D$3,Beam_Analysis!$D$2,Beam_Analysis!$J$33:$O$79,Beam_Analysis!$G$5:$P$5,0)</f>
        <v>-0.63183593750000011</v>
      </c>
      <c r="S292">
        <f ca="1"/>
        <v>1.6284857855902775</v>
      </c>
      <c r="T292">
        <f ca="1"/>
        <v>3.3925967161682814E-2</v>
      </c>
      <c r="U292">
        <f ca="1"/>
        <v>-1.1065982073202911</v>
      </c>
      <c r="V292">
        <f ca="1">(S292*12)/(Beam_Analysis!$B$2*Beam_Analysis!$B$3)</f>
        <v>6.7385618714080439E-4</v>
      </c>
    </row>
    <row r="293" spans="14:22" x14ac:dyDescent="0.25">
      <c r="N293">
        <v>187</v>
      </c>
      <c r="O293" s="12">
        <f t="shared" si="80"/>
        <v>7.75</v>
      </c>
      <c r="P293">
        <f t="shared" ca="1" si="81"/>
        <v>-0.63609375000000012</v>
      </c>
      <c r="Q293">
        <f t="shared" si="79"/>
        <v>7.75</v>
      </c>
      <c r="R293" cm="1">
        <f t="array" aca="1" ref="R293:U293" ca="1">center_span(Beam_Analysis!$J$29,Q293,Beam_Analysis!$D$3,Beam_Analysis!$D$2,Beam_Analysis!$J$33:$O$79,Beam_Analysis!$G$5:$P$5,0)</f>
        <v>-0.63609375000000012</v>
      </c>
      <c r="S293">
        <f ca="1"/>
        <v>1.6020703124999995</v>
      </c>
      <c r="T293">
        <f ca="1"/>
        <v>3.4260165678879295E-2</v>
      </c>
      <c r="U293">
        <f ca="1"/>
        <v>-1.0895514463900873</v>
      </c>
      <c r="V293">
        <f ca="1">(S293*12)/(Beam_Analysis!$B$2*Beam_Analysis!$B$3)</f>
        <v>6.6292564655172392E-4</v>
      </c>
    </row>
    <row r="294" spans="14:22" x14ac:dyDescent="0.25">
      <c r="N294">
        <v>188</v>
      </c>
      <c r="O294" s="12">
        <f t="shared" si="80"/>
        <v>7.7916666666666661</v>
      </c>
      <c r="P294">
        <f t="shared" ca="1" si="81"/>
        <v>-0.6402734375000001</v>
      </c>
      <c r="Q294">
        <f t="shared" si="79"/>
        <v>7.7916666666666661</v>
      </c>
      <c r="R294" cm="1">
        <f t="array" aca="1" ref="R294:U294" ca="1">center_span(Beam_Analysis!$J$29,Q294,Beam_Analysis!$D$3,Beam_Analysis!$D$2,Beam_Analysis!$J$33:$O$79,Beam_Analysis!$G$5:$P$5,0)</f>
        <v>-0.6402734375000001</v>
      </c>
      <c r="S294">
        <f ca="1"/>
        <v>1.5754790581597222</v>
      </c>
      <c r="T294">
        <f ca="1"/>
        <v>3.4588880685389713E-2</v>
      </c>
      <c r="U294">
        <f ca="1"/>
        <v>-1.0723389555636014</v>
      </c>
      <c r="V294">
        <f ca="1">(S294*12)/(Beam_Analysis!$B$2*Beam_Analysis!$B$3)</f>
        <v>6.5192236889367817E-4</v>
      </c>
    </row>
    <row r="295" spans="14:22" x14ac:dyDescent="0.25">
      <c r="N295">
        <v>189</v>
      </c>
      <c r="O295" s="12">
        <f t="shared" si="80"/>
        <v>7.833333333333333</v>
      </c>
      <c r="P295">
        <f t="shared" ca="1" si="81"/>
        <v>-0.64437500000000014</v>
      </c>
      <c r="Q295">
        <f t="shared" si="79"/>
        <v>7.833333333333333</v>
      </c>
      <c r="R295" cm="1">
        <f t="array" aca="1" ref="R295:U295" ca="1">center_span(Beam_Analysis!$J$29,Q295,Beam_Analysis!$D$3,Beam_Analysis!$D$2,Beam_Analysis!$J$33:$O$79,Beam_Analysis!$G$5:$P$5,0)</f>
        <v>-0.64437500000000014</v>
      </c>
      <c r="S295">
        <f ca="1"/>
        <v>1.5487152777777775</v>
      </c>
      <c r="T295">
        <f ca="1"/>
        <v>3.4912076149425271E-2</v>
      </c>
      <c r="U295">
        <f ca="1"/>
        <v>-1.054963485632185</v>
      </c>
      <c r="V295">
        <f ca="1">(S295*12)/(Beam_Analysis!$B$2*Beam_Analysis!$B$3)</f>
        <v>6.4084770114942525E-4</v>
      </c>
    </row>
    <row r="296" spans="14:22" x14ac:dyDescent="0.25">
      <c r="N296">
        <v>190</v>
      </c>
      <c r="O296" s="12">
        <f t="shared" si="80"/>
        <v>7.875</v>
      </c>
      <c r="P296">
        <f t="shared" ca="1" si="81"/>
        <v>-0.64839843750000015</v>
      </c>
      <c r="Q296">
        <f t="shared" si="79"/>
        <v>7.875</v>
      </c>
      <c r="R296" cm="1">
        <f t="array" aca="1" ref="R296:U296" ca="1">center_span(Beam_Analysis!$J$29,Q296,Beam_Analysis!$D$3,Beam_Analysis!$D$2,Beam_Analysis!$J$33:$O$79,Beam_Analysis!$G$5:$P$5,0)</f>
        <v>-0.64839843750000015</v>
      </c>
      <c r="S296">
        <f ca="1"/>
        <v>1.5217822265624996</v>
      </c>
      <c r="T296">
        <f ca="1"/>
        <v>3.5229716712688562E-2</v>
      </c>
      <c r="U296">
        <f ca="1"/>
        <v>-1.0374278052347128</v>
      </c>
      <c r="V296">
        <f ca="1">(S296*12)/(Beam_Analysis!$B$2*Beam_Analysis!$B$3)</f>
        <v>6.2970299030172398E-4</v>
      </c>
    </row>
    <row r="297" spans="14:22" x14ac:dyDescent="0.25">
      <c r="N297">
        <v>191</v>
      </c>
      <c r="O297" s="12">
        <f t="shared" si="80"/>
        <v>7.9166666666666661</v>
      </c>
      <c r="P297">
        <f t="shared" ca="1" si="81"/>
        <v>-0.65234375000000011</v>
      </c>
      <c r="Q297">
        <f t="shared" si="79"/>
        <v>7.9166666666666661</v>
      </c>
      <c r="R297" cm="1">
        <f t="array" aca="1" ref="R297:U297" ca="1">center_span(Beam_Analysis!$J$29,Q297,Beam_Analysis!$D$3,Beam_Analysis!$D$2,Beam_Analysis!$J$33:$O$79,Beam_Analysis!$G$5:$P$5,0)</f>
        <v>-0.65234375000000011</v>
      </c>
      <c r="S297">
        <f ca="1"/>
        <v>1.4946831597222221</v>
      </c>
      <c r="T297">
        <f ca="1"/>
        <v>3.5541767690373545E-2</v>
      </c>
      <c r="U297">
        <f ca="1"/>
        <v>-1.0197347005208346</v>
      </c>
      <c r="V297">
        <f ca="1">(S297*12)/(Beam_Analysis!$B$2*Beam_Analysis!$B$3)</f>
        <v>6.184895833333333E-4</v>
      </c>
    </row>
    <row r="298" spans="14:22" x14ac:dyDescent="0.25">
      <c r="N298">
        <v>192</v>
      </c>
      <c r="O298" s="12">
        <f t="shared" si="80"/>
        <v>7.958333333333333</v>
      </c>
      <c r="P298">
        <f t="shared" ca="1" si="81"/>
        <v>-0.65621093750000015</v>
      </c>
      <c r="Q298">
        <f t="shared" si="79"/>
        <v>7.958333333333333</v>
      </c>
      <c r="R298" cm="1">
        <f t="array" aca="1" ref="R298:U298" ca="1">center_span(Beam_Analysis!$J$29,Q298,Beam_Analysis!$D$3,Beam_Analysis!$D$2,Beam_Analysis!$J$33:$O$79,Beam_Analysis!$G$5:$P$5,0)</f>
        <v>-0.65621093750000015</v>
      </c>
      <c r="S298">
        <f ca="1"/>
        <v>1.4674213324652774</v>
      </c>
      <c r="T298">
        <f ca="1"/>
        <v>3.5848195071165573E-2</v>
      </c>
      <c r="U298">
        <f ca="1"/>
        <v>-1.0018869748142298</v>
      </c>
      <c r="V298">
        <f ca="1">(S298*12)/(Beam_Analysis!$B$2*Beam_Analysis!$B$3)</f>
        <v>6.0720882722701131E-4</v>
      </c>
    </row>
    <row r="299" spans="14:22" x14ac:dyDescent="0.25">
      <c r="N299">
        <v>193</v>
      </c>
      <c r="O299" s="12">
        <f t="shared" si="80"/>
        <v>8</v>
      </c>
      <c r="P299">
        <f t="shared" ca="1" si="81"/>
        <v>-0.66000000000000014</v>
      </c>
      <c r="Q299">
        <f t="shared" si="79"/>
        <v>8</v>
      </c>
      <c r="R299" cm="1">
        <f t="array" aca="1" ref="R299:U299" ca="1">center_span(Beam_Analysis!$J$29,Q299,Beam_Analysis!$D$3,Beam_Analysis!$D$2,Beam_Analysis!$J$33:$O$79,Beam_Analysis!$G$5:$P$5,0)</f>
        <v>-0.66000000000000014</v>
      </c>
      <c r="S299">
        <f ca="1"/>
        <v>1.4399999999999995</v>
      </c>
      <c r="T299">
        <f ca="1"/>
        <v>3.6148965517241366E-2</v>
      </c>
      <c r="U299">
        <f ca="1"/>
        <v>-0.98388744827586316</v>
      </c>
      <c r="V299">
        <f ca="1">(S299*12)/(Beam_Analysis!$B$2*Beam_Analysis!$B$3)</f>
        <v>5.9586206896551706E-4</v>
      </c>
    </row>
    <row r="300" spans="14:22" x14ac:dyDescent="0.25">
      <c r="N300">
        <v>194</v>
      </c>
      <c r="O300" s="12">
        <f t="shared" si="80"/>
        <v>8.0416666666666661</v>
      </c>
      <c r="P300">
        <f t="shared" ca="1" si="81"/>
        <v>-0.6637109375000001</v>
      </c>
      <c r="Q300">
        <f t="shared" si="79"/>
        <v>8.0416666666666661</v>
      </c>
      <c r="R300" cm="1">
        <f t="array" aca="1" ref="R300:U300" ca="1">center_span(Beam_Analysis!$J$29,Q300,Beam_Analysis!$D$3,Beam_Analysis!$D$2,Beam_Analysis!$J$33:$O$79,Beam_Analysis!$G$5:$P$5,0)</f>
        <v>-0.6637109375000001</v>
      </c>
      <c r="S300">
        <f ca="1"/>
        <v>1.4124224175347222</v>
      </c>
      <c r="T300">
        <f ca="1"/>
        <v>3.6444046364269019E-2</v>
      </c>
      <c r="U300">
        <f ca="1"/>
        <v>-0.96573895756723815</v>
      </c>
      <c r="V300">
        <f ca="1">(S300*12)/(Beam_Analysis!$B$2*Beam_Analysis!$B$3)</f>
        <v>5.8445065553160917E-4</v>
      </c>
    </row>
    <row r="301" spans="14:22" x14ac:dyDescent="0.25">
      <c r="N301">
        <v>195</v>
      </c>
      <c r="O301" s="12">
        <f t="shared" si="80"/>
        <v>8.0833333333333321</v>
      </c>
      <c r="P301">
        <f t="shared" ca="1" si="81"/>
        <v>-0.66734375000000001</v>
      </c>
      <c r="Q301">
        <f t="shared" si="79"/>
        <v>8.0833333333333321</v>
      </c>
      <c r="R301" cm="1">
        <f t="array" aca="1" ref="R301:U301" ca="1">center_span(Beam_Analysis!$J$29,Q301,Beam_Analysis!$D$3,Beam_Analysis!$D$2,Beam_Analysis!$J$33:$O$79,Beam_Analysis!$G$5:$P$5,0)</f>
        <v>-0.66734375000000001</v>
      </c>
      <c r="S301">
        <f ca="1"/>
        <v>1.3846918402777781</v>
      </c>
      <c r="T301">
        <f ca="1"/>
        <v>3.6733405621408026E-2</v>
      </c>
      <c r="U301">
        <f ca="1"/>
        <v>-0.94744435551365114</v>
      </c>
      <c r="V301">
        <f ca="1">(S301*12)/(Beam_Analysis!$B$2*Beam_Analysis!$B$3)</f>
        <v>5.7297593390804615E-4</v>
      </c>
    </row>
    <row r="302" spans="14:22" x14ac:dyDescent="0.25">
      <c r="N302">
        <v>196</v>
      </c>
      <c r="O302" s="12">
        <f t="shared" si="80"/>
        <v>8.125</v>
      </c>
      <c r="P302">
        <f t="shared" ca="1" si="81"/>
        <v>-0.67089843750000011</v>
      </c>
      <c r="Q302">
        <f t="shared" si="79"/>
        <v>8.125</v>
      </c>
      <c r="R302" cm="1">
        <f t="array" aca="1" ref="R302:U302" ca="1">center_span(Beam_Analysis!$J$29,Q302,Beam_Analysis!$D$3,Beam_Analysis!$D$2,Beam_Analysis!$J$33:$O$79,Beam_Analysis!$G$5:$P$5,0)</f>
        <v>-0.67089843750000011</v>
      </c>
      <c r="S302">
        <f ca="1"/>
        <v>1.3568115234374996</v>
      </c>
      <c r="T302">
        <f ca="1"/>
        <v>3.7017011971309251E-2</v>
      </c>
      <c r="U302">
        <f ca="1"/>
        <v>-0.92900651076744445</v>
      </c>
      <c r="V302">
        <f ca="1">(S302*12)/(Beam_Analysis!$B$2*Beam_Analysis!$B$3)</f>
        <v>5.6143925107758597E-4</v>
      </c>
    </row>
    <row r="303" spans="14:22" x14ac:dyDescent="0.25">
      <c r="N303">
        <v>197</v>
      </c>
      <c r="O303" s="12">
        <f t="shared" si="80"/>
        <v>8.1666666666666661</v>
      </c>
      <c r="P303">
        <f t="shared" ca="1" si="81"/>
        <v>-0.67437500000000006</v>
      </c>
      <c r="Q303">
        <f t="shared" si="79"/>
        <v>8.1666666666666661</v>
      </c>
      <c r="R303" cm="1">
        <f t="array" aca="1" ref="R303:U303" ca="1">center_span(Beam_Analysis!$J$29,Q303,Beam_Analysis!$D$3,Beam_Analysis!$D$2,Beam_Analysis!$J$33:$O$79,Beam_Analysis!$G$5:$P$5,0)</f>
        <v>-0.67437500000000006</v>
      </c>
      <c r="S303">
        <f ca="1"/>
        <v>1.328784722222222</v>
      </c>
      <c r="T303">
        <f ca="1"/>
        <v>3.7294834770114922E-2</v>
      </c>
      <c r="U303">
        <f ca="1"/>
        <v>-0.91042830747126569</v>
      </c>
      <c r="V303">
        <f ca="1">(S303*12)/(Beam_Analysis!$B$2*Beam_Analysis!$B$3)</f>
        <v>5.4984195402298834E-4</v>
      </c>
    </row>
    <row r="304" spans="14:22" x14ac:dyDescent="0.25">
      <c r="N304">
        <v>198</v>
      </c>
      <c r="O304" s="12">
        <f t="shared" si="80"/>
        <v>8.2083333333333321</v>
      </c>
      <c r="P304">
        <f t="shared" ca="1" si="81"/>
        <v>-0.67777343750000008</v>
      </c>
      <c r="Q304">
        <f t="shared" si="79"/>
        <v>8.2083333333333321</v>
      </c>
      <c r="R304" cm="1">
        <f t="array" aca="1" ref="R304:U304" ca="1">center_span(Beam_Analysis!$J$29,Q304,Beam_Analysis!$D$3,Beam_Analysis!$D$2,Beam_Analysis!$J$33:$O$79,Beam_Analysis!$G$5:$P$5,0)</f>
        <v>-0.67777343750000008</v>
      </c>
      <c r="S304">
        <f ca="1"/>
        <v>1.3006146918402781</v>
      </c>
      <c r="T304">
        <f ca="1"/>
        <v>3.7566844047458671E-2</v>
      </c>
      <c r="U304">
        <f ca="1"/>
        <v>-0.89171264492131541</v>
      </c>
      <c r="V304">
        <f ca="1">(S304*12)/(Beam_Analysis!$B$2*Beam_Analysis!$B$3)</f>
        <v>5.3818538972701167E-4</v>
      </c>
    </row>
    <row r="305" spans="14:22" x14ac:dyDescent="0.25">
      <c r="N305">
        <v>199</v>
      </c>
      <c r="O305" s="12">
        <f t="shared" si="80"/>
        <v>8.25</v>
      </c>
      <c r="P305">
        <f t="shared" ca="1" si="81"/>
        <v>-0.68109375000000016</v>
      </c>
      <c r="Q305">
        <f t="shared" si="79"/>
        <v>8.25</v>
      </c>
      <c r="R305" cm="1">
        <f t="array" aca="1" ref="R305:U305" ca="1">center_span(Beam_Analysis!$J$29,Q305,Beam_Analysis!$D$3,Beam_Analysis!$D$2,Beam_Analysis!$J$33:$O$79,Beam_Analysis!$G$5:$P$5,0)</f>
        <v>-0.68109375000000016</v>
      </c>
      <c r="S305">
        <f ca="1"/>
        <v>1.2723046874999995</v>
      </c>
      <c r="T305">
        <f ca="1"/>
        <v>3.7833010506465502E-2</v>
      </c>
      <c r="U305">
        <f ca="1"/>
        <v>-0.87286243723060453</v>
      </c>
      <c r="V305">
        <f ca="1">(S305*12)/(Beam_Analysis!$B$2*Beam_Analysis!$B$3)</f>
        <v>5.2647090517241361E-4</v>
      </c>
    </row>
    <row r="306" spans="14:22" x14ac:dyDescent="0.25">
      <c r="N306">
        <v>200</v>
      </c>
      <c r="O306" s="12">
        <f t="shared" si="80"/>
        <v>8.2916666666666661</v>
      </c>
      <c r="P306">
        <f t="shared" ca="1" si="81"/>
        <v>-0.6843359375000001</v>
      </c>
      <c r="Q306">
        <f t="shared" si="79"/>
        <v>8.2916666666666661</v>
      </c>
      <c r="R306" cm="1">
        <f t="array" aca="1" ref="R306:U306" ca="1">center_span(Beam_Analysis!$J$29,Q306,Beam_Analysis!$D$3,Beam_Analysis!$D$2,Beam_Analysis!$J$33:$O$79,Beam_Analysis!$G$5:$P$5,0)</f>
        <v>-0.6843359375000001</v>
      </c>
      <c r="S306">
        <f ca="1"/>
        <v>1.2438579644097221</v>
      </c>
      <c r="T306">
        <f ca="1"/>
        <v>3.8093305523751779E-2</v>
      </c>
      <c r="U306">
        <f ca="1"/>
        <v>-0.85388061299221119</v>
      </c>
      <c r="V306">
        <f ca="1">(S306*12)/(Beam_Analysis!$B$2*Beam_Analysis!$B$3)</f>
        <v>5.1469984734195395E-4</v>
      </c>
    </row>
    <row r="307" spans="14:22" x14ac:dyDescent="0.25">
      <c r="N307">
        <v>201</v>
      </c>
      <c r="O307" s="12">
        <f t="shared" si="80"/>
        <v>8.3333333333333321</v>
      </c>
      <c r="P307">
        <f t="shared" ca="1" si="81"/>
        <v>-0.68750000000000011</v>
      </c>
      <c r="Q307">
        <f t="shared" si="79"/>
        <v>8.3333333333333321</v>
      </c>
      <c r="R307" cm="1">
        <f t="array" aca="1" ref="R307:U307" ca="1">center_span(Beam_Analysis!$J$29,Q307,Beam_Analysis!$D$3,Beam_Analysis!$D$2,Beam_Analysis!$J$33:$O$79,Beam_Analysis!$G$5:$P$5,0)</f>
        <v>-0.68750000000000011</v>
      </c>
      <c r="S307">
        <f ca="1"/>
        <v>1.2152777777777781</v>
      </c>
      <c r="T307">
        <f ca="1"/>
        <v>3.8347701149425269E-2</v>
      </c>
      <c r="U307">
        <f ca="1"/>
        <v>-0.83477011494253039</v>
      </c>
      <c r="V307">
        <f ca="1">(S307*12)/(Beam_Analysis!$B$2*Beam_Analysis!$B$3)</f>
        <v>5.0287356321839091E-4</v>
      </c>
    </row>
    <row r="308" spans="14:22" x14ac:dyDescent="0.25">
      <c r="N308">
        <v>202</v>
      </c>
      <c r="O308" s="12">
        <f t="shared" si="80"/>
        <v>8.375</v>
      </c>
      <c r="P308">
        <f t="shared" ca="1" si="81"/>
        <v>-0.69058593750000019</v>
      </c>
      <c r="Q308">
        <f t="shared" si="79"/>
        <v>8.375</v>
      </c>
      <c r="R308" cm="1">
        <f t="array" aca="1" ref="R308:U308" ca="1">center_span(Beam_Analysis!$J$29,Q308,Beam_Analysis!$D$3,Beam_Analysis!$D$2,Beam_Analysis!$J$33:$O$79,Beam_Analysis!$G$5:$P$5,0)</f>
        <v>-0.69058593750000019</v>
      </c>
      <c r="S308">
        <f ca="1"/>
        <v>1.1865673828124994</v>
      </c>
      <c r="T308">
        <f ca="1"/>
        <v>3.8596170107085118E-2</v>
      </c>
      <c r="U308">
        <f ca="1"/>
        <v>-0.8155338996245296</v>
      </c>
      <c r="V308">
        <f ca="1">(S308*12)/(Beam_Analysis!$B$2*Beam_Analysis!$B$3)</f>
        <v>4.9099339978448254E-4</v>
      </c>
    </row>
    <row r="309" spans="14:22" x14ac:dyDescent="0.25">
      <c r="N309">
        <v>203</v>
      </c>
      <c r="O309" s="12">
        <f t="shared" si="80"/>
        <v>8.4166666666666661</v>
      </c>
      <c r="P309">
        <f t="shared" ca="1" si="81"/>
        <v>-0.69359375000000012</v>
      </c>
      <c r="Q309">
        <f t="shared" si="79"/>
        <v>8.4166666666666661</v>
      </c>
      <c r="R309" cm="1">
        <f t="array" aca="1" ref="R309:U309" ca="1">center_span(Beam_Analysis!$J$29,Q309,Beam_Analysis!$D$3,Beam_Analysis!$D$2,Beam_Analysis!$J$33:$O$79,Beam_Analysis!$G$5:$P$5,0)</f>
        <v>-0.69359375000000012</v>
      </c>
      <c r="S309">
        <f ca="1"/>
        <v>1.1577300347222221</v>
      </c>
      <c r="T309">
        <f ca="1"/>
        <v>3.8838685793821819E-2</v>
      </c>
      <c r="U309">
        <f ca="1"/>
        <v>-0.79617493705100706</v>
      </c>
      <c r="V309">
        <f ca="1">(S309*12)/(Beam_Analysis!$B$2*Beam_Analysis!$B$3)</f>
        <v>4.7906070402298846E-4</v>
      </c>
    </row>
    <row r="310" spans="14:22" x14ac:dyDescent="0.25">
      <c r="N310">
        <v>204</v>
      </c>
      <c r="O310" s="12">
        <f t="shared" si="80"/>
        <v>8.4583333333333321</v>
      </c>
      <c r="P310">
        <f t="shared" ca="1" si="81"/>
        <v>-0.69652343750000012</v>
      </c>
      <c r="Q310">
        <f t="shared" si="79"/>
        <v>8.4583333333333321</v>
      </c>
      <c r="R310" cm="1">
        <f t="array" aca="1" ref="R310:U310" ca="1">center_span(Beam_Analysis!$J$29,Q310,Beam_Analysis!$D$3,Beam_Analysis!$D$2,Beam_Analysis!$J$33:$O$79,Beam_Analysis!$G$5:$P$5,0)</f>
        <v>-0.69652343750000012</v>
      </c>
      <c r="S310">
        <f ca="1"/>
        <v>1.1287689887152781</v>
      </c>
      <c r="T310">
        <f ca="1"/>
        <v>3.9075222280217294E-2</v>
      </c>
      <c r="U310">
        <f ca="1"/>
        <v>-0.77669621036784009</v>
      </c>
      <c r="V310">
        <f ca="1">(S310*12)/(Beam_Analysis!$B$2*Beam_Analysis!$B$3)</f>
        <v>4.670768229166668E-4</v>
      </c>
    </row>
    <row r="311" spans="14:22" x14ac:dyDescent="0.25">
      <c r="N311">
        <v>205</v>
      </c>
      <c r="O311" s="12">
        <f t="shared" si="80"/>
        <v>8.5</v>
      </c>
      <c r="P311">
        <f t="shared" ca="1" si="81"/>
        <v>-0.69937500000000019</v>
      </c>
      <c r="Q311">
        <f t="shared" si="79"/>
        <v>8.5</v>
      </c>
      <c r="R311" cm="1">
        <f t="array" aca="1" ref="R311:U311" ca="1">center_span(Beam_Analysis!$J$29,Q311,Beam_Analysis!$D$3,Beam_Analysis!$D$2,Beam_Analysis!$J$33:$O$79,Beam_Analysis!$G$5:$P$5,0)</f>
        <v>-0.69937500000000019</v>
      </c>
      <c r="S311">
        <f ca="1"/>
        <v>1.0996874999999995</v>
      </c>
      <c r="T311">
        <f ca="1"/>
        <v>3.9305754310344811E-2</v>
      </c>
      <c r="U311">
        <f ca="1"/>
        <v>-0.75710071551724245</v>
      </c>
      <c r="V311">
        <f ca="1">(S311*12)/(Beam_Analysis!$B$2*Beam_Analysis!$B$3)</f>
        <v>4.5504310344827563E-4</v>
      </c>
    </row>
    <row r="312" spans="14:22" x14ac:dyDescent="0.25">
      <c r="N312">
        <v>206</v>
      </c>
      <c r="O312" s="12">
        <f t="shared" si="80"/>
        <v>8.5416666666666661</v>
      </c>
      <c r="P312">
        <f t="shared" ca="1" si="81"/>
        <v>-0.70214843750000011</v>
      </c>
      <c r="Q312">
        <f t="shared" si="79"/>
        <v>8.5416666666666661</v>
      </c>
      <c r="R312" cm="1">
        <f t="array" aca="1" ref="R312:U312" ca="1">center_span(Beam_Analysis!$J$29,Q312,Beam_Analysis!$D$3,Beam_Analysis!$D$2,Beam_Analysis!$J$33:$O$79,Beam_Analysis!$G$5:$P$5,0)</f>
        <v>-0.70214843750000011</v>
      </c>
      <c r="S312">
        <f ca="1"/>
        <v>1.0704888237847221</v>
      </c>
      <c r="T312">
        <f ca="1"/>
        <v>3.9530257301769019E-2</v>
      </c>
      <c r="U312">
        <f ca="1"/>
        <v>-0.73739146090102059</v>
      </c>
      <c r="V312">
        <f ca="1">(S312*12)/(Beam_Analysis!$B$2*Beam_Analysis!$B$3)</f>
        <v>4.4296089260057462E-4</v>
      </c>
    </row>
    <row r="313" spans="14:22" x14ac:dyDescent="0.25">
      <c r="N313">
        <v>207</v>
      </c>
      <c r="O313" s="12">
        <f t="shared" si="80"/>
        <v>8.5833333333333321</v>
      </c>
      <c r="P313">
        <f t="shared" ca="1" si="81"/>
        <v>-0.7048437500000001</v>
      </c>
      <c r="Q313">
        <f t="shared" si="79"/>
        <v>8.5833333333333321</v>
      </c>
      <c r="R313" cm="1">
        <f t="array" aca="1" ref="R313:U313" ca="1">center_span(Beam_Analysis!$J$29,Q313,Beam_Analysis!$D$3,Beam_Analysis!$D$2,Beam_Analysis!$J$33:$O$79,Beam_Analysis!$G$5:$P$5,0)</f>
        <v>-0.7048437500000001</v>
      </c>
      <c r="S313">
        <f ca="1"/>
        <v>1.0411762152777779</v>
      </c>
      <c r="T313">
        <f ca="1"/>
        <v>3.9748707345545954E-2</v>
      </c>
      <c r="U313">
        <f ca="1"/>
        <v>-0.71757146704382357</v>
      </c>
      <c r="V313">
        <f ca="1">(S313*12)/(Beam_Analysis!$B$2*Beam_Analysis!$B$3)</f>
        <v>4.3083153735632188E-4</v>
      </c>
    </row>
    <row r="314" spans="14:22" x14ac:dyDescent="0.25">
      <c r="N314">
        <v>208</v>
      </c>
      <c r="O314" s="12">
        <f t="shared" si="80"/>
        <v>8.625</v>
      </c>
      <c r="P314">
        <f t="shared" ca="1" si="81"/>
        <v>-0.70746093750000016</v>
      </c>
      <c r="Q314">
        <f t="shared" si="79"/>
        <v>8.625</v>
      </c>
      <c r="R314" cm="1">
        <f t="array" aca="1" ref="R314:U314" ca="1">center_span(Beam_Analysis!$J$29,Q314,Beam_Analysis!$D$3,Beam_Analysis!$D$2,Beam_Analysis!$J$33:$O$79,Beam_Analysis!$G$5:$P$5,0)</f>
        <v>-0.70746093750000016</v>
      </c>
      <c r="S314">
        <f ca="1"/>
        <v>1.0117529296874994</v>
      </c>
      <c r="T314">
        <f ca="1"/>
        <v>3.9961081206223048E-2</v>
      </c>
      <c r="U314">
        <f ca="1"/>
        <v>-0.69764376625639923</v>
      </c>
      <c r="V314">
        <f ca="1">(S314*12)/(Beam_Analysis!$B$2*Beam_Analysis!$B$3)</f>
        <v>4.1865638469827562E-4</v>
      </c>
    </row>
    <row r="315" spans="14:22" x14ac:dyDescent="0.25">
      <c r="N315">
        <v>209</v>
      </c>
      <c r="O315" s="12">
        <f t="shared" si="80"/>
        <v>8.6666666666666661</v>
      </c>
      <c r="P315">
        <f t="shared" ca="1" si="81"/>
        <v>-0.71000000000000008</v>
      </c>
      <c r="Q315">
        <f t="shared" si="79"/>
        <v>8.6666666666666661</v>
      </c>
      <c r="R315" cm="1">
        <f t="array" aca="1" ref="R315:U315" ca="1">center_span(Beam_Analysis!$J$29,Q315,Beam_Analysis!$D$3,Beam_Analysis!$D$2,Beam_Analysis!$J$33:$O$79,Beam_Analysis!$G$5:$P$5,0)</f>
        <v>-0.71000000000000008</v>
      </c>
      <c r="S315">
        <f ca="1"/>
        <v>0.982222222222222</v>
      </c>
      <c r="T315">
        <f ca="1"/>
        <v>4.0167356321839064E-2</v>
      </c>
      <c r="U315">
        <f ca="1"/>
        <v>-0.67761140229885197</v>
      </c>
      <c r="V315">
        <f ca="1">(S315*12)/(Beam_Analysis!$B$2*Beam_Analysis!$B$3)</f>
        <v>4.0643678160919532E-4</v>
      </c>
    </row>
    <row r="316" spans="14:22" x14ac:dyDescent="0.25">
      <c r="N316">
        <v>210</v>
      </c>
      <c r="O316" s="12">
        <f t="shared" si="80"/>
        <v>8.7083333333333321</v>
      </c>
      <c r="P316">
        <f t="shared" ca="1" si="81"/>
        <v>-0.71246093750000006</v>
      </c>
      <c r="Q316">
        <f t="shared" si="79"/>
        <v>8.7083333333333321</v>
      </c>
      <c r="R316" cm="1">
        <f t="array" aca="1" ref="R316:U316" ca="1">center_span(Beam_Analysis!$J$29,Q316,Beam_Analysis!$D$3,Beam_Analysis!$D$2,Beam_Analysis!$J$33:$O$79,Beam_Analysis!$G$5:$P$5,0)</f>
        <v>-0.71246093750000006</v>
      </c>
      <c r="S316">
        <f ca="1"/>
        <v>0.95258734809027801</v>
      </c>
      <c r="T316">
        <f ca="1"/>
        <v>4.0367510803924186E-2</v>
      </c>
      <c r="U316">
        <f ca="1"/>
        <v>-0.65747743004389092</v>
      </c>
      <c r="V316">
        <f ca="1">(S316*12)/(Beam_Analysis!$B$2*Beam_Analysis!$B$3)</f>
        <v>3.9417407507183922E-4</v>
      </c>
    </row>
    <row r="317" spans="14:22" x14ac:dyDescent="0.25">
      <c r="N317">
        <v>211</v>
      </c>
      <c r="O317" s="12">
        <f t="shared" si="80"/>
        <v>8.75</v>
      </c>
      <c r="P317">
        <f t="shared" ca="1" si="81"/>
        <v>-0.71484375000000011</v>
      </c>
      <c r="Q317">
        <f t="shared" si="79"/>
        <v>8.75</v>
      </c>
      <c r="R317" cm="1">
        <f t="array" aca="1" ref="R317:U317" ca="1">center_span(Beam_Analysis!$J$29,Q317,Beam_Analysis!$D$3,Beam_Analysis!$D$2,Beam_Analysis!$J$33:$O$79,Beam_Analysis!$G$5:$P$5,0)</f>
        <v>-0.71484375000000011</v>
      </c>
      <c r="S317">
        <f ca="1"/>
        <v>0.92285156249999933</v>
      </c>
      <c r="T317">
        <f ca="1"/>
        <v>4.0561523437499983E-2</v>
      </c>
      <c r="U317">
        <f ca="1"/>
        <v>-0.63724491514008741</v>
      </c>
      <c r="V317">
        <f ca="1">(S317*12)/(Beam_Analysis!$B$2*Beam_Analysis!$B$3)</f>
        <v>3.8186961206896529E-4</v>
      </c>
    </row>
    <row r="318" spans="14:22" x14ac:dyDescent="0.25">
      <c r="N318">
        <v>212</v>
      </c>
      <c r="O318" s="12">
        <f t="shared" si="80"/>
        <v>8.7916666666666661</v>
      </c>
      <c r="P318">
        <f t="shared" ca="1" si="81"/>
        <v>-0.71714843750000012</v>
      </c>
      <c r="Q318">
        <f t="shared" si="79"/>
        <v>8.7916666666666661</v>
      </c>
      <c r="R318" cm="1">
        <f t="array" aca="1" ref="R318:U318" ca="1">center_span(Beam_Analysis!$J$29,Q318,Beam_Analysis!$D$3,Beam_Analysis!$D$2,Beam_Analysis!$J$33:$O$79,Beam_Analysis!$G$5:$P$5,0)</f>
        <v>-0.71714843750000012</v>
      </c>
      <c r="S318">
        <f ca="1"/>
        <v>0.89301812065972208</v>
      </c>
      <c r="T318">
        <f ca="1"/>
        <v>4.0749373681079365E-2</v>
      </c>
      <c r="U318">
        <f ca="1"/>
        <v>-0.61691693367513167</v>
      </c>
      <c r="V318">
        <f ca="1">(S318*12)/(Beam_Analysis!$B$2*Beam_Analysis!$B$3)</f>
        <v>3.695247395833333E-4</v>
      </c>
    </row>
    <row r="319" spans="14:22" x14ac:dyDescent="0.25">
      <c r="N319">
        <v>213</v>
      </c>
      <c r="O319" s="12">
        <f t="shared" si="80"/>
        <v>8.8333333333333321</v>
      </c>
      <c r="P319">
        <f t="shared" ca="1" si="81"/>
        <v>-0.7193750000000001</v>
      </c>
      <c r="Q319">
        <f t="shared" si="79"/>
        <v>8.8333333333333321</v>
      </c>
      <c r="R319" cm="1">
        <f t="array" aca="1" ref="R319:U319" ca="1">center_span(Beam_Analysis!$J$29,Q319,Beam_Analysis!$D$3,Beam_Analysis!$D$2,Beam_Analysis!$J$33:$O$79,Beam_Analysis!$G$5:$P$5,0)</f>
        <v>-0.7193750000000001</v>
      </c>
      <c r="S319">
        <f ca="1"/>
        <v>0.86309027777777803</v>
      </c>
      <c r="T319">
        <f ca="1"/>
        <v>4.0931041666666647E-2</v>
      </c>
      <c r="U319">
        <f ca="1"/>
        <v>-0.59649657183908222</v>
      </c>
      <c r="V319">
        <f ca="1">(S319*12)/(Beam_Analysis!$B$2*Beam_Analysis!$B$3)</f>
        <v>3.5714080459770122E-4</v>
      </c>
    </row>
    <row r="320" spans="14:22" x14ac:dyDescent="0.25">
      <c r="N320">
        <v>214</v>
      </c>
      <c r="O320" s="12">
        <f t="shared" si="80"/>
        <v>8.875</v>
      </c>
      <c r="P320">
        <f t="shared" ca="1" si="81"/>
        <v>-0.72152343750000014</v>
      </c>
      <c r="Q320">
        <f t="shared" si="79"/>
        <v>8.875</v>
      </c>
      <c r="R320" cm="1">
        <f t="array" aca="1" ref="R320:U320" ca="1">center_span(Beam_Analysis!$J$29,Q320,Beam_Analysis!$D$3,Beam_Analysis!$D$2,Beam_Analysis!$J$33:$O$79,Beam_Analysis!$G$5:$P$5,0)</f>
        <v>-0.72152343750000014</v>
      </c>
      <c r="S320">
        <f ca="1"/>
        <v>0.83307128906249939</v>
      </c>
      <c r="T320">
        <f ca="1"/>
        <v>4.110650819975753E-2</v>
      </c>
      <c r="U320">
        <f ca="1"/>
        <v>-0.57598692558762243</v>
      </c>
      <c r="V320">
        <f ca="1">(S320*12)/(Beam_Analysis!$B$2*Beam_Analysis!$B$3)</f>
        <v>3.4471915409482729E-4</v>
      </c>
    </row>
    <row r="321" spans="14:22" x14ac:dyDescent="0.25">
      <c r="N321">
        <v>215</v>
      </c>
      <c r="O321" s="12">
        <f t="shared" si="80"/>
        <v>8.9166666666666661</v>
      </c>
      <c r="P321">
        <f t="shared" ca="1" si="81"/>
        <v>-0.72359375000000015</v>
      </c>
      <c r="Q321">
        <f t="shared" si="79"/>
        <v>8.9166666666666661</v>
      </c>
      <c r="R321" cm="1">
        <f t="array" aca="1" ref="R321:U321" ca="1">center_span(Beam_Analysis!$J$29,Q321,Beam_Analysis!$D$3,Beam_Analysis!$D$2,Beam_Analysis!$J$33:$O$79,Beam_Analysis!$G$5:$P$5,0)</f>
        <v>-0.72359375000000015</v>
      </c>
      <c r="S321">
        <f ca="1"/>
        <v>0.80296440972222205</v>
      </c>
      <c r="T321">
        <f ca="1"/>
        <v>4.1275754759339062E-2</v>
      </c>
      <c r="U321">
        <f ca="1"/>
        <v>-0.55539110030531758</v>
      </c>
      <c r="V321">
        <f ca="1">(S321*12)/(Beam_Analysis!$B$2*Beam_Analysis!$B$3)</f>
        <v>3.3226113505747116E-4</v>
      </c>
    </row>
    <row r="322" spans="14:22" x14ac:dyDescent="0.25">
      <c r="N322">
        <v>216</v>
      </c>
      <c r="O322" s="12">
        <f t="shared" si="80"/>
        <v>8.9583333333333321</v>
      </c>
      <c r="P322">
        <f t="shared" ca="1" si="81"/>
        <v>-0.72558593750000011</v>
      </c>
      <c r="Q322">
        <f t="shared" si="79"/>
        <v>8.9583333333333321</v>
      </c>
      <c r="R322" cm="1">
        <f t="array" aca="1" ref="R322:U322" ca="1">center_span(Beam_Analysis!$J$29,Q322,Beam_Analysis!$D$3,Beam_Analysis!$D$2,Beam_Analysis!$J$33:$O$79,Beam_Analysis!$G$5:$P$5,0)</f>
        <v>-0.72558593750000011</v>
      </c>
      <c r="S322">
        <f ca="1"/>
        <v>0.77277289496527801</v>
      </c>
      <c r="T322">
        <f ca="1"/>
        <v>4.1438763497889705E-2</v>
      </c>
      <c r="U322">
        <f ca="1"/>
        <v>-0.53471221046886408</v>
      </c>
      <c r="V322">
        <f ca="1">(S322*12)/(Beam_Analysis!$B$2*Beam_Analysis!$B$3)</f>
        <v>3.1976809446839091E-4</v>
      </c>
    </row>
    <row r="323" spans="14:22" x14ac:dyDescent="0.25">
      <c r="N323">
        <v>217</v>
      </c>
      <c r="O323" s="12">
        <f t="shared" si="80"/>
        <v>9</v>
      </c>
      <c r="P323">
        <f t="shared" ca="1" si="81"/>
        <v>-0.72750000000000015</v>
      </c>
      <c r="Q323">
        <f t="shared" si="79"/>
        <v>9</v>
      </c>
      <c r="R323" cm="1">
        <f t="array" aca="1" ref="R323:U323" ca="1">center_span(Beam_Analysis!$J$29,Q323,Beam_Analysis!$D$3,Beam_Analysis!$D$2,Beam_Analysis!$J$33:$O$79,Beam_Analysis!$G$5:$P$5,0)</f>
        <v>-0.72750000000000015</v>
      </c>
      <c r="S323">
        <f ca="1"/>
        <v>0.74249999999999938</v>
      </c>
      <c r="T323">
        <f ca="1"/>
        <v>4.1595517241379297E-2</v>
      </c>
      <c r="U323">
        <f ca="1"/>
        <v>-0.51395337931034613</v>
      </c>
      <c r="V323">
        <f ca="1">(S323*12)/(Beam_Analysis!$B$2*Beam_Analysis!$B$3)</f>
        <v>3.0724137931034456E-4</v>
      </c>
    </row>
    <row r="324" spans="14:22" x14ac:dyDescent="0.25">
      <c r="N324">
        <v>218</v>
      </c>
      <c r="O324" s="12">
        <f t="shared" si="80"/>
        <v>9.0416666666666661</v>
      </c>
      <c r="P324">
        <f t="shared" ca="1" si="81"/>
        <v>-0.72933593750000014</v>
      </c>
      <c r="Q324">
        <f t="shared" si="79"/>
        <v>9.0416666666666661</v>
      </c>
      <c r="R324" cm="1">
        <f t="array" aca="1" ref="R324:U324" ca="1">center_span(Beam_Analysis!$J$29,Q324,Beam_Analysis!$D$3,Beam_Analysis!$D$2,Beam_Analysis!$J$33:$O$79,Beam_Analysis!$G$5:$P$5,0)</f>
        <v>-0.72933593750000014</v>
      </c>
      <c r="S324">
        <f ca="1"/>
        <v>0.71214898003472205</v>
      </c>
      <c r="T324">
        <f ca="1"/>
        <v>4.174599948926902E-2</v>
      </c>
      <c r="U324">
        <f ca="1"/>
        <v>-0.49311773848049267</v>
      </c>
      <c r="V324">
        <f ca="1">(S324*12)/(Beam_Analysis!$B$2*Beam_Analysis!$B$3)</f>
        <v>2.9468233656609189E-4</v>
      </c>
    </row>
    <row r="325" spans="14:22" x14ac:dyDescent="0.25">
      <c r="N325">
        <v>219</v>
      </c>
      <c r="O325" s="12">
        <f t="shared" si="80"/>
        <v>9.0833333333333321</v>
      </c>
      <c r="P325">
        <f t="shared" ca="1" si="81"/>
        <v>-0.7310937500000001</v>
      </c>
      <c r="Q325">
        <f t="shared" si="79"/>
        <v>9.0833333333333321</v>
      </c>
      <c r="R325" cm="1">
        <f t="array" aca="1" ref="R325:U325" ca="1">center_span(Beam_Analysis!$J$29,Q325,Beam_Analysis!$D$3,Beam_Analysis!$D$2,Beam_Analysis!$J$33:$O$79,Beam_Analysis!$G$5:$P$5,0)</f>
        <v>-0.7310937500000001</v>
      </c>
      <c r="S325">
        <f ca="1"/>
        <v>0.681723090277778</v>
      </c>
      <c r="T325">
        <f ca="1"/>
        <v>4.1890194414511472E-2</v>
      </c>
      <c r="U325">
        <f ca="1"/>
        <v>-0.47220842771192711</v>
      </c>
      <c r="V325">
        <f ca="1">(S325*12)/(Beam_Analysis!$B$2*Beam_Analysis!$B$3)</f>
        <v>2.820923132183909E-4</v>
      </c>
    </row>
    <row r="326" spans="14:22" x14ac:dyDescent="0.25">
      <c r="N326">
        <v>220</v>
      </c>
      <c r="O326" s="12">
        <f t="shared" si="80"/>
        <v>9.125</v>
      </c>
      <c r="P326">
        <f t="shared" ca="1" si="81"/>
        <v>-0.73277343750000012</v>
      </c>
      <c r="Q326">
        <f t="shared" ref="Q326:Q346" si="82">(N326-1)*$Q$105</f>
        <v>9.125</v>
      </c>
      <c r="R326" cm="1">
        <f t="array" aca="1" ref="R326:U326" ca="1">center_span(Beam_Analysis!$J$29,Q326,Beam_Analysis!$D$3,Beam_Analysis!$D$2,Beam_Analysis!$J$33:$O$79,Beam_Analysis!$G$5:$P$5,0)</f>
        <v>-0.73277343750000012</v>
      </c>
      <c r="S326">
        <f ca="1"/>
        <v>0.65122558593749935</v>
      </c>
      <c r="T326">
        <f ca="1"/>
        <v>4.2028086863550633E-2</v>
      </c>
      <c r="U326">
        <f ca="1"/>
        <v>-0.45122859448242314</v>
      </c>
      <c r="V326">
        <f ca="1">(S326*12)/(Beam_Analysis!$B$2*Beam_Analysis!$B$3)</f>
        <v>2.6947265624999975E-4</v>
      </c>
    </row>
    <row r="327" spans="14:22" x14ac:dyDescent="0.25">
      <c r="N327">
        <v>221</v>
      </c>
      <c r="O327" s="12">
        <f t="shared" si="80"/>
        <v>9.1666666666666661</v>
      </c>
      <c r="P327">
        <f t="shared" ca="1" si="81"/>
        <v>-0.73437500000000011</v>
      </c>
      <c r="Q327">
        <f t="shared" si="82"/>
        <v>9.1666666666666661</v>
      </c>
      <c r="R327" cm="1">
        <f t="array" aca="1" ref="R327:U327" ca="1">center_span(Beam_Analysis!$J$29,Q327,Beam_Analysis!$D$3,Beam_Analysis!$D$2,Beam_Analysis!$J$33:$O$79,Beam_Analysis!$G$5:$P$5,0)</f>
        <v>-0.73437500000000011</v>
      </c>
      <c r="S327">
        <f ca="1"/>
        <v>0.62065972222222199</v>
      </c>
      <c r="T327">
        <f ca="1"/>
        <v>4.215966235632182E-2</v>
      </c>
      <c r="U327">
        <f ca="1"/>
        <v>-0.43018139367816249</v>
      </c>
      <c r="V327">
        <f ca="1">(S327*12)/(Beam_Analysis!$B$2*Beam_Analysis!$B$3)</f>
        <v>2.5682471264367807E-4</v>
      </c>
    </row>
    <row r="328" spans="14:22" x14ac:dyDescent="0.25">
      <c r="N328">
        <v>222</v>
      </c>
      <c r="O328" s="12">
        <f t="shared" si="80"/>
        <v>9.2083333333333321</v>
      </c>
      <c r="P328">
        <f t="shared" ca="1" si="81"/>
        <v>-0.73589843750000017</v>
      </c>
      <c r="Q328">
        <f t="shared" si="82"/>
        <v>9.2083333333333321</v>
      </c>
      <c r="R328" cm="1">
        <f t="array" aca="1" ref="R328:U328" ca="1">center_span(Beam_Analysis!$J$29,Q328,Beam_Analysis!$D$3,Beam_Analysis!$D$2,Beam_Analysis!$J$33:$O$79,Beam_Analysis!$G$5:$P$5,0)</f>
        <v>-0.73589843750000017</v>
      </c>
      <c r="S328">
        <f ca="1"/>
        <v>0.59002875434027802</v>
      </c>
      <c r="T328">
        <f ca="1"/>
        <v>4.2284907086251773E-2</v>
      </c>
      <c r="U328">
        <f ca="1"/>
        <v>-0.40906998725698374</v>
      </c>
      <c r="V328">
        <f ca="1">(S328*12)/(Beam_Analysis!$B$2*Beam_Analysis!$B$3)</f>
        <v>2.4414982938218401E-4</v>
      </c>
    </row>
    <row r="329" spans="14:22" x14ac:dyDescent="0.25">
      <c r="N329">
        <v>223</v>
      </c>
      <c r="O329" s="12">
        <f t="shared" si="80"/>
        <v>9.25</v>
      </c>
      <c r="P329">
        <f t="shared" ca="1" si="81"/>
        <v>-0.73734375000000019</v>
      </c>
      <c r="Q329">
        <f t="shared" si="82"/>
        <v>9.25</v>
      </c>
      <c r="R329" cm="1">
        <f t="array" aca="1" ref="R329:U329" ca="1">center_span(Beam_Analysis!$J$29,Q329,Beam_Analysis!$D$3,Beam_Analysis!$D$2,Beam_Analysis!$J$33:$O$79,Beam_Analysis!$G$5:$P$5,0)</f>
        <v>-0.73734375000000019</v>
      </c>
      <c r="S329">
        <f ca="1"/>
        <v>0.55933593749999932</v>
      </c>
      <c r="T329">
        <f ca="1"/>
        <v>4.2403807920258607E-2</v>
      </c>
      <c r="U329">
        <f ca="1"/>
        <v>-0.38789754391163922</v>
      </c>
      <c r="V329">
        <f ca="1">(S329*12)/(Beam_Analysis!$B$2*Beam_Analysis!$B$3)</f>
        <v>2.3144935344827558E-4</v>
      </c>
    </row>
    <row r="330" spans="14:22" x14ac:dyDescent="0.25">
      <c r="N330">
        <v>224</v>
      </c>
      <c r="O330" s="12">
        <f t="shared" si="80"/>
        <v>9.2916666666666661</v>
      </c>
      <c r="P330">
        <f t="shared" ca="1" si="81"/>
        <v>-0.73871093750000016</v>
      </c>
      <c r="Q330">
        <f t="shared" si="82"/>
        <v>9.2916666666666661</v>
      </c>
      <c r="R330" cm="1">
        <f t="array" aca="1" ref="R330:U330" ca="1">center_span(Beam_Analysis!$J$29,Q330,Beam_Analysis!$D$3,Beam_Analysis!$D$2,Beam_Analysis!$J$33:$O$79,Beam_Analysis!$G$5:$P$5,0)</f>
        <v>-0.73871093750000016</v>
      </c>
      <c r="S330">
        <f ca="1"/>
        <v>0.52858452690972191</v>
      </c>
      <c r="T330">
        <f ca="1"/>
        <v>4.2516352398751775E-2</v>
      </c>
      <c r="U330">
        <f ca="1"/>
        <v>-0.36666723873305207</v>
      </c>
      <c r="V330">
        <f ca="1">(S330*12)/(Beam_Analysis!$B$2*Beam_Analysis!$B$3)</f>
        <v>2.1872463182471251E-4</v>
      </c>
    </row>
    <row r="331" spans="14:22" x14ac:dyDescent="0.25">
      <c r="N331">
        <v>225</v>
      </c>
      <c r="O331" s="12">
        <f t="shared" si="80"/>
        <v>9.3333333333333321</v>
      </c>
      <c r="P331">
        <f t="shared" ca="1" si="81"/>
        <v>-0.7400000000000001</v>
      </c>
      <c r="Q331">
        <f t="shared" si="82"/>
        <v>9.3333333333333321</v>
      </c>
      <c r="R331" cm="1">
        <f t="array" aca="1" ref="R331:U331" ca="1">center_span(Beam_Analysis!$J$29,Q331,Beam_Analysis!$D$3,Beam_Analysis!$D$2,Beam_Analysis!$J$33:$O$79,Beam_Analysis!$G$5:$P$5,0)</f>
        <v>-0.7400000000000001</v>
      </c>
      <c r="S331">
        <f ca="1"/>
        <v>0.49777777777777793</v>
      </c>
      <c r="T331">
        <f ca="1"/>
        <v>4.2622528735632166E-2</v>
      </c>
      <c r="U331">
        <f ca="1"/>
        <v>-0.34538225287356505</v>
      </c>
      <c r="V331">
        <f ca="1">(S331*12)/(Beam_Analysis!$B$2*Beam_Analysis!$B$3)</f>
        <v>2.0597701149425293E-4</v>
      </c>
    </row>
    <row r="332" spans="14:22" x14ac:dyDescent="0.25">
      <c r="N332">
        <v>226</v>
      </c>
      <c r="O332" s="12">
        <f t="shared" si="80"/>
        <v>9.375</v>
      </c>
      <c r="P332">
        <f t="shared" ca="1" si="81"/>
        <v>-0.74121093750000022</v>
      </c>
      <c r="Q332">
        <f t="shared" si="82"/>
        <v>9.375</v>
      </c>
      <c r="R332" cm="1">
        <f t="array" aca="1" ref="R332:U332" ca="1">center_span(Beam_Analysis!$J$29,Q332,Beam_Analysis!$D$3,Beam_Analysis!$D$2,Beam_Analysis!$J$33:$O$79,Beam_Analysis!$G$5:$P$5,0)</f>
        <v>-0.74121093750000022</v>
      </c>
      <c r="S332">
        <f ca="1"/>
        <v>0.46691894531249928</v>
      </c>
      <c r="T332">
        <f ca="1"/>
        <v>4.2722325818292009E-2</v>
      </c>
      <c r="U332">
        <f ca="1"/>
        <v>-0.32404577321019795</v>
      </c>
      <c r="V332">
        <f ca="1">(S332*12)/(Beam_Analysis!$B$2*Beam_Analysis!$B$3)</f>
        <v>1.9320783943965487E-4</v>
      </c>
    </row>
    <row r="333" spans="14:22" x14ac:dyDescent="0.25">
      <c r="N333">
        <v>227</v>
      </c>
      <c r="O333" s="12">
        <f t="shared" si="80"/>
        <v>9.4166666666666661</v>
      </c>
      <c r="P333">
        <f t="shared" ca="1" si="81"/>
        <v>-0.74234375000000019</v>
      </c>
      <c r="Q333">
        <f t="shared" si="82"/>
        <v>9.4166666666666661</v>
      </c>
      <c r="R333" cm="1">
        <f t="array" aca="1" ref="R333:U333" ca="1">center_span(Beam_Analysis!$J$29,Q333,Beam_Analysis!$D$3,Beam_Analysis!$D$2,Beam_Analysis!$J$33:$O$79,Beam_Analysis!$G$5:$P$5,0)</f>
        <v>-0.74234375000000019</v>
      </c>
      <c r="S333">
        <f ca="1"/>
        <v>0.43601128472222195</v>
      </c>
      <c r="T333">
        <f ca="1"/>
        <v>4.2815733207614927E-2</v>
      </c>
      <c r="U333">
        <f ca="1"/>
        <v>-0.30266099200790392</v>
      </c>
      <c r="V333">
        <f ca="1">(S333*12)/(Beam_Analysis!$B$2*Beam_Analysis!$B$3)</f>
        <v>1.8041846264367804E-4</v>
      </c>
    </row>
    <row r="334" spans="14:22" x14ac:dyDescent="0.25">
      <c r="N334">
        <v>228</v>
      </c>
      <c r="O334" s="12">
        <f t="shared" si="80"/>
        <v>9.4583333333333321</v>
      </c>
      <c r="P334">
        <f t="shared" ca="1" si="81"/>
        <v>-0.74339843750000012</v>
      </c>
      <c r="Q334">
        <f t="shared" si="82"/>
        <v>9.4583333333333321</v>
      </c>
      <c r="R334" cm="1">
        <f t="array" aca="1" ref="R334:U334" ca="1">center_span(Beam_Analysis!$J$29,Q334,Beam_Analysis!$D$3,Beam_Analysis!$D$2,Beam_Analysis!$J$33:$O$79,Beam_Analysis!$G$5:$P$5,0)</f>
        <v>-0.74339843750000012</v>
      </c>
      <c r="S334">
        <f ca="1"/>
        <v>0.40505805121527794</v>
      </c>
      <c r="T334">
        <f ca="1"/>
        <v>4.2902741137975917E-2</v>
      </c>
      <c r="U334">
        <f ca="1"/>
        <v>-0.28123110658281891</v>
      </c>
      <c r="V334">
        <f ca="1">(S334*12)/(Beam_Analysis!$B$2*Beam_Analysis!$B$3)</f>
        <v>1.6761022808908053E-4</v>
      </c>
    </row>
    <row r="335" spans="14:22" x14ac:dyDescent="0.25">
      <c r="N335">
        <v>229</v>
      </c>
      <c r="O335" s="12">
        <f t="shared" si="80"/>
        <v>9.5</v>
      </c>
      <c r="P335">
        <f t="shared" ca="1" si="81"/>
        <v>-0.74437500000000023</v>
      </c>
      <c r="Q335">
        <f t="shared" si="82"/>
        <v>9.5</v>
      </c>
      <c r="R335" cm="1">
        <f t="array" aca="1" ref="R335:U335" ca="1">center_span(Beam_Analysis!$J$29,Q335,Beam_Analysis!$D$3,Beam_Analysis!$D$2,Beam_Analysis!$J$33:$O$79,Beam_Analysis!$G$5:$P$5,0)</f>
        <v>-0.74437500000000023</v>
      </c>
      <c r="S335">
        <f ca="1"/>
        <v>0.37406249999999924</v>
      </c>
      <c r="T335">
        <f ca="1"/>
        <v>4.2983340517241363E-2</v>
      </c>
      <c r="U335">
        <f ca="1"/>
        <v>-0.25975931896551852</v>
      </c>
      <c r="V335">
        <f ca="1">(S335*12)/(Beam_Analysis!$B$2*Beam_Analysis!$B$3)</f>
        <v>1.5478448275862037E-4</v>
      </c>
    </row>
    <row r="336" spans="14:22" x14ac:dyDescent="0.25">
      <c r="N336">
        <v>230</v>
      </c>
      <c r="O336" s="12">
        <f t="shared" si="80"/>
        <v>9.5416666666666661</v>
      </c>
      <c r="P336">
        <f t="shared" ca="1" si="81"/>
        <v>-0.74527343750000019</v>
      </c>
      <c r="Q336">
        <f t="shared" si="82"/>
        <v>9.5416666666666661</v>
      </c>
      <c r="R336" cm="1">
        <f t="array" aca="1" ref="R336:U336" ca="1">center_span(Beam_Analysis!$J$29,Q336,Beam_Analysis!$D$3,Beam_Analysis!$D$2,Beam_Analysis!$J$33:$O$79,Beam_Analysis!$G$5:$P$5,0)</f>
        <v>-0.74527343750000019</v>
      </c>
      <c r="S336">
        <f ca="1"/>
        <v>0.34302788628472192</v>
      </c>
      <c r="T336">
        <f ca="1"/>
        <v>4.3057522926769017E-2</v>
      </c>
      <c r="U336">
        <f ca="1"/>
        <v>-0.23824883556427515</v>
      </c>
      <c r="V336">
        <f ca="1">(S336*12)/(Beam_Analysis!$B$2*Beam_Analysis!$B$3)</f>
        <v>1.4194257363505736E-4</v>
      </c>
    </row>
    <row r="337" spans="14:22" x14ac:dyDescent="0.25">
      <c r="N337">
        <v>231</v>
      </c>
      <c r="O337" s="12">
        <f t="shared" si="80"/>
        <v>9.5833333333333321</v>
      </c>
      <c r="P337">
        <f t="shared" ca="1" si="81"/>
        <v>-0.74609375000000011</v>
      </c>
      <c r="Q337">
        <f t="shared" si="82"/>
        <v>9.5833333333333321</v>
      </c>
      <c r="R337" cm="1">
        <f t="array" aca="1" ref="R337:U337" ca="1">center_span(Beam_Analysis!$J$29,Q337,Beam_Analysis!$D$3,Beam_Analysis!$D$2,Beam_Analysis!$J$33:$O$79,Beam_Analysis!$G$5:$P$5,0)</f>
        <v>-0.74609375000000011</v>
      </c>
      <c r="S337">
        <f ca="1"/>
        <v>0.3119574652777779</v>
      </c>
      <c r="T337">
        <f ca="1"/>
        <v>4.3125280621408024E-2</v>
      </c>
      <c r="U337">
        <f ca="1"/>
        <v>-0.21670286682830653</v>
      </c>
      <c r="V337">
        <f ca="1">(S337*12)/(Beam_Analysis!$B$2*Beam_Analysis!$B$3)</f>
        <v>1.2908584770114948E-4</v>
      </c>
    </row>
    <row r="338" spans="14:22" x14ac:dyDescent="0.25">
      <c r="N338">
        <v>232</v>
      </c>
      <c r="O338" s="12">
        <f t="shared" si="80"/>
        <v>9.625</v>
      </c>
      <c r="P338">
        <f t="shared" ca="1" si="81"/>
        <v>-0.74683593750000021</v>
      </c>
      <c r="Q338">
        <f t="shared" si="82"/>
        <v>9.625</v>
      </c>
      <c r="R338" cm="1">
        <f t="array" aca="1" ref="R338:U338" ca="1">center_span(Beam_Analysis!$J$29,Q338,Beam_Analysis!$D$3,Beam_Analysis!$D$2,Beam_Analysis!$J$33:$O$79,Beam_Analysis!$G$5:$P$5,0)</f>
        <v>-0.74683593750000021</v>
      </c>
      <c r="S338">
        <f ca="1"/>
        <v>0.28085449218749925</v>
      </c>
      <c r="T338">
        <f ca="1"/>
        <v>4.3186606529498905E-2</v>
      </c>
      <c r="U338">
        <f ca="1"/>
        <v>-0.19512462691103311</v>
      </c>
      <c r="V338">
        <f ca="1">(S338*12)/(Beam_Analysis!$B$2*Beam_Analysis!$B$3)</f>
        <v>1.1621565193965486E-4</v>
      </c>
    </row>
    <row r="339" spans="14:22" x14ac:dyDescent="0.25">
      <c r="N339">
        <v>233</v>
      </c>
      <c r="O339" s="12">
        <f t="shared" si="80"/>
        <v>9.6666666666666661</v>
      </c>
      <c r="P339">
        <f t="shared" ca="1" si="81"/>
        <v>-0.74750000000000016</v>
      </c>
      <c r="Q339">
        <f t="shared" si="82"/>
        <v>9.6666666666666661</v>
      </c>
      <c r="R339" cm="1">
        <f t="array" aca="1" ref="R339:U339" ca="1">center_span(Beam_Analysis!$J$29,Q339,Beam_Analysis!$D$3,Beam_Analysis!$D$2,Beam_Analysis!$J$33:$O$79,Beam_Analysis!$G$5:$P$5,0)</f>
        <v>-0.74750000000000016</v>
      </c>
      <c r="S339">
        <f ca="1"/>
        <v>0.2497222222222219</v>
      </c>
      <c r="T339">
        <f ca="1"/>
        <v>4.3241494252873547E-2</v>
      </c>
      <c r="U339">
        <f ca="1"/>
        <v>-0.17351733333333497</v>
      </c>
      <c r="V339">
        <f ca="1">(S339*12)/(Beam_Analysis!$B$2*Beam_Analysis!$B$3)</f>
        <v>1.0333333333333319E-4</v>
      </c>
    </row>
    <row r="340" spans="14:22" x14ac:dyDescent="0.25">
      <c r="N340">
        <v>234</v>
      </c>
      <c r="O340" s="12">
        <f t="shared" si="80"/>
        <v>9.7083333333333321</v>
      </c>
      <c r="P340">
        <f t="shared" ca="1" si="81"/>
        <v>-0.74808593750000019</v>
      </c>
      <c r="Q340">
        <f t="shared" si="82"/>
        <v>9.7083333333333321</v>
      </c>
      <c r="R340" cm="1">
        <f t="array" aca="1" ref="R340:U340" ca="1">center_span(Beam_Analysis!$J$29,Q340,Beam_Analysis!$D$3,Beam_Analysis!$D$2,Beam_Analysis!$J$33:$O$79,Beam_Analysis!$G$5:$P$5,0)</f>
        <v>-0.74808593750000019</v>
      </c>
      <c r="S340">
        <f ca="1"/>
        <v>0.21856391059027788</v>
      </c>
      <c r="T340">
        <f ca="1"/>
        <v>4.3289938066855223E-2</v>
      </c>
      <c r="U340">
        <f ca="1"/>
        <v>-0.15188420664680063</v>
      </c>
      <c r="V340">
        <f ca="1">(S340*12)/(Beam_Analysis!$B$2*Beam_Analysis!$B$3)</f>
        <v>9.0440238864942564E-5</v>
      </c>
    </row>
    <row r="341" spans="14:22" x14ac:dyDescent="0.25">
      <c r="N341">
        <v>235</v>
      </c>
      <c r="O341" s="12">
        <f t="shared" si="80"/>
        <v>9.75</v>
      </c>
      <c r="P341">
        <f t="shared" ca="1" si="81"/>
        <v>-0.74859375000000017</v>
      </c>
      <c r="Q341">
        <f t="shared" si="82"/>
        <v>9.75</v>
      </c>
      <c r="R341" cm="1">
        <f t="array" aca="1" ref="R341:U341" ca="1">center_span(Beam_Analysis!$J$29,Q341,Beam_Analysis!$D$3,Beam_Analysis!$D$2,Beam_Analysis!$J$33:$O$79,Beam_Analysis!$G$5:$P$5,0)</f>
        <v>-0.74859375000000017</v>
      </c>
      <c r="S341">
        <f ca="1"/>
        <v>0.18738281249999922</v>
      </c>
      <c r="T341">
        <f ca="1"/>
        <v>4.3331932920258602E-2</v>
      </c>
      <c r="U341">
        <f ca="1"/>
        <v>-0.13022847009698413</v>
      </c>
      <c r="V341">
        <f ca="1">(S341*12)/(Beam_Analysis!$B$2*Beam_Analysis!$B$3)</f>
        <v>7.7537715517241051E-5</v>
      </c>
    </row>
    <row r="342" spans="14:22" x14ac:dyDescent="0.25">
      <c r="N342">
        <v>236</v>
      </c>
      <c r="O342" s="12">
        <f t="shared" si="80"/>
        <v>9.7916666666666661</v>
      </c>
      <c r="P342">
        <f t="shared" ca="1" si="81"/>
        <v>-0.74902343750000022</v>
      </c>
      <c r="Q342">
        <f t="shared" si="82"/>
        <v>9.7916666666666661</v>
      </c>
      <c r="R342" cm="1">
        <f t="array" aca="1" ref="R342:U342" ca="1">center_span(Beam_Analysis!$J$29,Q342,Beam_Analysis!$D$3,Beam_Analysis!$D$2,Beam_Analysis!$J$33:$O$79,Beam_Analysis!$G$5:$P$5,0)</f>
        <v>-0.74902343750000022</v>
      </c>
      <c r="S342">
        <f ca="1"/>
        <v>0.15618218315972188</v>
      </c>
      <c r="T342">
        <f ca="1"/>
        <v>4.3367474435389707E-2</v>
      </c>
      <c r="U342">
        <f ca="1"/>
        <v>-0.10855334928666208</v>
      </c>
      <c r="V342">
        <f ca="1">(S342*12)/(Beam_Analysis!$B$2*Beam_Analysis!$B$3)</f>
        <v>6.4627110272988362E-5</v>
      </c>
    </row>
    <row r="343" spans="14:22" x14ac:dyDescent="0.25">
      <c r="N343">
        <v>237</v>
      </c>
      <c r="O343" s="12">
        <f t="shared" si="80"/>
        <v>9.8333333333333321</v>
      </c>
      <c r="P343">
        <f t="shared" ca="1" si="81"/>
        <v>-0.74937500000000024</v>
      </c>
      <c r="Q343">
        <f t="shared" si="82"/>
        <v>9.8333333333333321</v>
      </c>
      <c r="R343" cm="1">
        <f t="array" aca="1" ref="R343:U343" ca="1">center_span(Beam_Analysis!$J$29,Q343,Beam_Analysis!$D$3,Beam_Analysis!$D$2,Beam_Analysis!$J$33:$O$79,Beam_Analysis!$G$5:$P$5,0)</f>
        <v>-0.74937500000000024</v>
      </c>
      <c r="S343">
        <f ca="1"/>
        <v>0.12496527777777787</v>
      </c>
      <c r="T343">
        <f ca="1"/>
        <v>4.339655890804596E-2</v>
      </c>
      <c r="U343">
        <f ca="1"/>
        <v>-8.6862071839082455E-2</v>
      </c>
      <c r="V343">
        <f ca="1">(S343*12)/(Beam_Analysis!$B$2*Beam_Analysis!$B$3)</f>
        <v>5.1709770114942563E-5</v>
      </c>
    </row>
    <row r="344" spans="14:22" x14ac:dyDescent="0.25">
      <c r="N344">
        <v>238</v>
      </c>
      <c r="O344" s="12">
        <f t="shared" si="80"/>
        <v>9.875</v>
      </c>
      <c r="P344">
        <f t="shared" ca="1" si="81"/>
        <v>-0.74964843750000021</v>
      </c>
      <c r="Q344">
        <f t="shared" si="82"/>
        <v>9.875</v>
      </c>
      <c r="R344" cm="1">
        <f t="array" aca="1" ref="R344:U344" ca="1">center_span(Beam_Analysis!$J$29,Q344,Beam_Analysis!$D$3,Beam_Analysis!$D$2,Beam_Analysis!$J$33:$O$79,Beam_Analysis!$G$5:$P$5,0)</f>
        <v>-0.74964843750000021</v>
      </c>
      <c r="S344">
        <f ca="1"/>
        <v>9.3735351562499195E-2</v>
      </c>
      <c r="T344">
        <f ca="1"/>
        <v>4.3419183307516145E-2</v>
      </c>
      <c r="U344">
        <f ca="1"/>
        <v>-6.5157867061221758E-2</v>
      </c>
      <c r="V344">
        <f ca="1">(S344*12)/(Beam_Analysis!$B$2*Beam_Analysis!$B$3)</f>
        <v>3.878704202586174E-5</v>
      </c>
    </row>
    <row r="345" spans="14:22" x14ac:dyDescent="0.25">
      <c r="N345">
        <v>239</v>
      </c>
      <c r="O345" s="12">
        <f t="shared" si="80"/>
        <v>9.9166666666666661</v>
      </c>
      <c r="P345">
        <f t="shared" ca="1" si="81"/>
        <v>-0.74984375000000014</v>
      </c>
      <c r="Q345">
        <f t="shared" si="82"/>
        <v>9.9166666666666661</v>
      </c>
      <c r="R345" cm="1">
        <f t="array" aca="1" ref="R345:U345" ca="1">center_span(Beam_Analysis!$J$29,Q345,Beam_Analysis!$D$3,Beam_Analysis!$D$2,Beam_Analysis!$J$33:$O$79,Beam_Analysis!$G$5:$P$5,0)</f>
        <v>-0.74984375000000014</v>
      </c>
      <c r="S345">
        <f ca="1"/>
        <v>6.2495659722221847E-2</v>
      </c>
      <c r="T345">
        <f ca="1"/>
        <v>4.3435345276580439E-2</v>
      </c>
      <c r="U345">
        <f ca="1"/>
        <v>-4.3443965607041939E-2</v>
      </c>
      <c r="V345">
        <f ca="1">(S345*12)/(Beam_Analysis!$B$2*Beam_Analysis!$B$3)</f>
        <v>2.5860272988505593E-5</v>
      </c>
    </row>
    <row r="346" spans="14:22" x14ac:dyDescent="0.25">
      <c r="N346">
        <v>240</v>
      </c>
      <c r="O346" s="12">
        <f t="shared" si="80"/>
        <v>9.9583333333333321</v>
      </c>
      <c r="P346">
        <f t="shared" ca="1" si="81"/>
        <v>-0.74996093750000015</v>
      </c>
      <c r="Q346">
        <f t="shared" si="82"/>
        <v>9.9583333333333321</v>
      </c>
      <c r="R346" cm="1">
        <f t="array" aca="1" ref="R346:U346" ca="1">center_span(Beam_Analysis!$J$29,Q346,Beam_Analysis!$D$3,Beam_Analysis!$D$2,Beam_Analysis!$J$33:$O$79,Beam_Analysis!$G$5:$P$5,0)</f>
        <v>-0.74996093750000015</v>
      </c>
      <c r="S346">
        <f ca="1"/>
        <v>3.1249457465277838E-2</v>
      </c>
      <c r="T346">
        <f ca="1"/>
        <v>4.3445043131510395E-2</v>
      </c>
      <c r="U346">
        <f ca="1"/>
        <v>-2.1723599140739274E-2</v>
      </c>
      <c r="V346">
        <f ca="1">(S346*12)/(Beam_Analysis!$B$2*Beam_Analysis!$B$3)</f>
        <v>1.2930809985632209E-5</v>
      </c>
    </row>
    <row r="347" spans="14:22" x14ac:dyDescent="0.25">
      <c r="N347">
        <v>241</v>
      </c>
      <c r="O347" s="12">
        <f t="shared" si="80"/>
        <v>10</v>
      </c>
      <c r="P347">
        <f t="shared" ca="1" si="81"/>
        <v>-0.75000000000000022</v>
      </c>
      <c r="Q347">
        <f>MIN((N347-1)*$Q$105,Beam_Analysis!J29)</f>
        <v>10</v>
      </c>
      <c r="R347" cm="1">
        <f t="array" aca="1" ref="R347:U347" ca="1">center_span(Beam_Analysis!$J$29,Q347,Beam_Analysis!$D$3,Beam_Analysis!$D$2,Beam_Analysis!$J$33:$O$79,Beam_Analysis!$G$5:$P$5,0)</f>
        <v>-0.75000000000000022</v>
      </c>
      <c r="S347">
        <f ca="1"/>
        <v>-8.3266726846886741E-16</v>
      </c>
      <c r="T347">
        <f ca="1"/>
        <v>4.3448275862068945E-2</v>
      </c>
      <c r="U347">
        <f ca="1"/>
        <v>-1.4165220720534653E-15</v>
      </c>
      <c r="V347">
        <f ca="1">(S347*12)/(Beam_Analysis!$B$2*Beam_Analysis!$B$3)</f>
        <v>-3.4455197315953133E-19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0AE19C-1A97-4B15-811B-3131B9750BE4}">
  <sheetPr codeName="Sheet3"/>
  <dimension ref="A2:U62"/>
  <sheetViews>
    <sheetView workbookViewId="0">
      <selection activeCell="N14" sqref="N14"/>
    </sheetView>
  </sheetViews>
  <sheetFormatPr defaultRowHeight="15" x14ac:dyDescent="0.25"/>
  <cols>
    <col min="1" max="1" width="42.5703125" style="1" bestFit="1" customWidth="1"/>
  </cols>
  <sheetData>
    <row r="2" spans="1:21" x14ac:dyDescent="0.25">
      <c r="B2" s="1" t="str">
        <f>A3</f>
        <v>D</v>
      </c>
      <c r="C2" s="1" t="str">
        <f>A4</f>
        <v>L</v>
      </c>
      <c r="D2" s="1" t="str">
        <f>A5</f>
        <v>Lr</v>
      </c>
      <c r="E2" s="1" t="str">
        <f>A6</f>
        <v>R</v>
      </c>
      <c r="F2" s="1" t="str">
        <f>A7</f>
        <v>S</v>
      </c>
      <c r="G2" s="1" t="str">
        <f>A8</f>
        <v>H</v>
      </c>
      <c r="H2" s="1" t="str">
        <f>A9</f>
        <v>WX</v>
      </c>
      <c r="I2" s="1" t="str">
        <f>A10</f>
        <v>WY</v>
      </c>
      <c r="J2" s="1" t="str">
        <f>A11</f>
        <v>EX</v>
      </c>
      <c r="K2" s="1" t="str">
        <f>A12</f>
        <v>EY</v>
      </c>
    </row>
    <row r="3" spans="1:21" x14ac:dyDescent="0.25">
      <c r="A3" s="1" t="s">
        <v>18</v>
      </c>
      <c r="B3" s="1">
        <v>1</v>
      </c>
      <c r="C3" s="1">
        <v>0</v>
      </c>
      <c r="D3" s="1">
        <v>0</v>
      </c>
      <c r="E3" s="1">
        <v>0</v>
      </c>
      <c r="F3" s="1">
        <v>0</v>
      </c>
      <c r="G3" s="1">
        <v>0</v>
      </c>
      <c r="H3" s="1">
        <v>0</v>
      </c>
      <c r="I3" s="1">
        <v>0</v>
      </c>
      <c r="J3" s="1">
        <v>0</v>
      </c>
      <c r="K3" s="1">
        <v>0</v>
      </c>
    </row>
    <row r="4" spans="1:21" x14ac:dyDescent="0.25">
      <c r="A4" s="1" t="s">
        <v>22</v>
      </c>
      <c r="B4" s="1">
        <v>0</v>
      </c>
      <c r="C4" s="1">
        <v>1</v>
      </c>
      <c r="D4" s="1">
        <v>0</v>
      </c>
      <c r="E4" s="1">
        <v>0</v>
      </c>
      <c r="F4" s="1">
        <v>0</v>
      </c>
      <c r="G4" s="1">
        <v>0</v>
      </c>
      <c r="H4" s="1">
        <v>0</v>
      </c>
      <c r="I4" s="1">
        <v>0</v>
      </c>
      <c r="J4" s="1">
        <v>0</v>
      </c>
      <c r="K4" s="1">
        <v>0</v>
      </c>
    </row>
    <row r="5" spans="1:21" x14ac:dyDescent="0.25">
      <c r="A5" s="1" t="s">
        <v>23</v>
      </c>
      <c r="B5" s="1">
        <v>0</v>
      </c>
      <c r="C5" s="1">
        <v>0</v>
      </c>
      <c r="D5" s="1">
        <v>1</v>
      </c>
      <c r="E5" s="1">
        <v>0</v>
      </c>
      <c r="F5" s="1">
        <v>0</v>
      </c>
      <c r="G5" s="1">
        <v>0</v>
      </c>
      <c r="H5" s="1">
        <v>0</v>
      </c>
      <c r="I5" s="1">
        <v>0</v>
      </c>
      <c r="J5" s="1">
        <v>0</v>
      </c>
      <c r="K5" s="1">
        <v>0</v>
      </c>
    </row>
    <row r="6" spans="1:21" x14ac:dyDescent="0.25">
      <c r="A6" s="1" t="s">
        <v>24</v>
      </c>
      <c r="B6" s="1">
        <v>0</v>
      </c>
      <c r="C6" s="1">
        <v>0</v>
      </c>
      <c r="D6" s="1">
        <v>0</v>
      </c>
      <c r="E6" s="1">
        <v>1</v>
      </c>
      <c r="F6" s="1">
        <v>0</v>
      </c>
      <c r="G6" s="1">
        <v>0</v>
      </c>
      <c r="H6" s="1">
        <v>0</v>
      </c>
      <c r="I6" s="1">
        <v>0</v>
      </c>
      <c r="J6" s="1">
        <v>0</v>
      </c>
      <c r="K6" s="1">
        <v>0</v>
      </c>
    </row>
    <row r="7" spans="1:21" x14ac:dyDescent="0.25">
      <c r="A7" s="1" t="s">
        <v>17</v>
      </c>
      <c r="B7" s="1">
        <v>0</v>
      </c>
      <c r="C7" s="1">
        <v>0</v>
      </c>
      <c r="D7" s="1">
        <v>0</v>
      </c>
      <c r="E7" s="1">
        <v>0</v>
      </c>
      <c r="F7" s="1">
        <v>1</v>
      </c>
      <c r="G7" s="1">
        <v>0</v>
      </c>
      <c r="H7" s="1">
        <v>0</v>
      </c>
      <c r="I7" s="1">
        <v>0</v>
      </c>
      <c r="J7" s="1">
        <v>0</v>
      </c>
      <c r="K7" s="1">
        <v>0</v>
      </c>
    </row>
    <row r="8" spans="1:21" x14ac:dyDescent="0.25">
      <c r="A8" s="1" t="s">
        <v>25</v>
      </c>
      <c r="B8" s="1">
        <v>0</v>
      </c>
      <c r="C8" s="1">
        <v>0</v>
      </c>
      <c r="D8" s="1">
        <v>0</v>
      </c>
      <c r="E8" s="1">
        <v>0</v>
      </c>
      <c r="F8" s="1">
        <v>0</v>
      </c>
      <c r="G8" s="1">
        <v>1</v>
      </c>
      <c r="H8" s="1">
        <v>0</v>
      </c>
      <c r="I8" s="1">
        <v>0</v>
      </c>
      <c r="J8" s="1">
        <v>0</v>
      </c>
      <c r="K8" s="1">
        <v>0</v>
      </c>
    </row>
    <row r="9" spans="1:21" x14ac:dyDescent="0.25">
      <c r="A9" s="1" t="s">
        <v>26</v>
      </c>
      <c r="B9" s="1">
        <v>0</v>
      </c>
      <c r="C9" s="1">
        <v>0</v>
      </c>
      <c r="D9" s="1">
        <v>0</v>
      </c>
      <c r="E9" s="1">
        <v>0</v>
      </c>
      <c r="F9" s="1">
        <v>0</v>
      </c>
      <c r="G9" s="1">
        <v>0</v>
      </c>
      <c r="H9" s="1">
        <v>1</v>
      </c>
      <c r="I9" s="1">
        <v>0</v>
      </c>
      <c r="J9" s="1">
        <v>0</v>
      </c>
      <c r="K9" s="1">
        <v>0</v>
      </c>
    </row>
    <row r="10" spans="1:21" x14ac:dyDescent="0.25">
      <c r="A10" s="1" t="s">
        <v>27</v>
      </c>
      <c r="B10" s="1">
        <v>0</v>
      </c>
      <c r="C10" s="1">
        <v>0</v>
      </c>
      <c r="D10" s="1">
        <v>0</v>
      </c>
      <c r="E10" s="1">
        <v>0</v>
      </c>
      <c r="F10" s="1">
        <v>0</v>
      </c>
      <c r="G10" s="1">
        <v>0</v>
      </c>
      <c r="H10" s="1">
        <v>0</v>
      </c>
      <c r="I10" s="1">
        <v>1</v>
      </c>
      <c r="J10" s="1">
        <v>0</v>
      </c>
      <c r="K10" s="1">
        <v>0</v>
      </c>
    </row>
    <row r="11" spans="1:21" x14ac:dyDescent="0.25">
      <c r="A11" s="1" t="s">
        <v>28</v>
      </c>
      <c r="B11" s="1">
        <v>0</v>
      </c>
      <c r="C11" s="1">
        <v>0</v>
      </c>
      <c r="D11" s="1">
        <v>0</v>
      </c>
      <c r="E11" s="1">
        <v>0</v>
      </c>
      <c r="F11" s="1">
        <v>0</v>
      </c>
      <c r="G11" s="1">
        <v>0</v>
      </c>
      <c r="H11" s="1">
        <v>0</v>
      </c>
      <c r="I11" s="1">
        <v>0</v>
      </c>
      <c r="J11" s="1">
        <v>1</v>
      </c>
      <c r="K11" s="1">
        <v>0</v>
      </c>
    </row>
    <row r="12" spans="1:21" x14ac:dyDescent="0.25">
      <c r="A12" s="1" t="s">
        <v>29</v>
      </c>
      <c r="B12" s="1">
        <v>0</v>
      </c>
      <c r="C12" s="1">
        <v>0</v>
      </c>
      <c r="D12" s="1">
        <v>0</v>
      </c>
      <c r="E12" s="1">
        <v>0</v>
      </c>
      <c r="F12" s="1">
        <v>0</v>
      </c>
      <c r="G12" s="1">
        <v>0</v>
      </c>
      <c r="H12" s="1">
        <v>0</v>
      </c>
      <c r="I12" s="1">
        <v>0</v>
      </c>
      <c r="J12" s="1">
        <v>0</v>
      </c>
      <c r="K12" s="1">
        <v>1</v>
      </c>
      <c r="L12" s="1"/>
      <c r="M12" s="1"/>
      <c r="N12" s="1"/>
      <c r="O12" s="1"/>
      <c r="P12" s="1"/>
      <c r="Q12" s="1"/>
      <c r="R12" s="1"/>
      <c r="S12" s="1"/>
      <c r="T12" s="1"/>
      <c r="U12" s="1"/>
    </row>
    <row r="13" spans="1:21" x14ac:dyDescent="0.25">
      <c r="A13" s="1" t="s">
        <v>66</v>
      </c>
      <c r="B13" s="1">
        <v>1.4</v>
      </c>
      <c r="C13" s="1">
        <v>0</v>
      </c>
      <c r="D13" s="1">
        <v>0</v>
      </c>
      <c r="E13" s="1">
        <v>0</v>
      </c>
      <c r="F13" s="1">
        <v>0</v>
      </c>
      <c r="G13" s="1">
        <v>0</v>
      </c>
      <c r="H13" s="1">
        <v>0</v>
      </c>
      <c r="I13" s="1">
        <v>0</v>
      </c>
      <c r="J13" s="1">
        <v>0</v>
      </c>
      <c r="K13" s="1">
        <v>0</v>
      </c>
    </row>
    <row r="14" spans="1:21" x14ac:dyDescent="0.25">
      <c r="A14" s="1" t="s">
        <v>67</v>
      </c>
      <c r="B14" s="1">
        <v>1.2</v>
      </c>
      <c r="C14" s="1">
        <v>1.6</v>
      </c>
      <c r="D14" s="1">
        <v>0.5</v>
      </c>
      <c r="E14" s="1">
        <v>0</v>
      </c>
      <c r="F14" s="1">
        <v>0</v>
      </c>
      <c r="G14" s="1">
        <v>1.6</v>
      </c>
      <c r="H14" s="1">
        <v>0</v>
      </c>
      <c r="I14" s="1">
        <v>0</v>
      </c>
      <c r="J14" s="1">
        <v>0</v>
      </c>
      <c r="K14" s="1">
        <v>0</v>
      </c>
    </row>
    <row r="15" spans="1:21" x14ac:dyDescent="0.25">
      <c r="A15" s="1" t="s">
        <v>68</v>
      </c>
      <c r="B15" s="1">
        <v>1.2</v>
      </c>
      <c r="C15" s="1">
        <v>1.6</v>
      </c>
      <c r="D15" s="1">
        <v>0</v>
      </c>
      <c r="E15" s="1">
        <v>0</v>
      </c>
      <c r="F15" s="1">
        <v>0.5</v>
      </c>
      <c r="G15" s="1">
        <v>1.6</v>
      </c>
      <c r="H15" s="1">
        <v>0</v>
      </c>
      <c r="I15" s="1">
        <v>0</v>
      </c>
      <c r="J15" s="1">
        <v>0</v>
      </c>
      <c r="K15" s="1">
        <v>0</v>
      </c>
    </row>
    <row r="16" spans="1:21" x14ac:dyDescent="0.25">
      <c r="A16" s="1" t="s">
        <v>69</v>
      </c>
      <c r="B16" s="1">
        <v>1.2</v>
      </c>
      <c r="C16" s="1">
        <v>1.6</v>
      </c>
      <c r="D16" s="1">
        <v>0</v>
      </c>
      <c r="E16" s="1">
        <v>0.5</v>
      </c>
      <c r="F16" s="1">
        <v>0</v>
      </c>
      <c r="G16" s="1">
        <v>1.6</v>
      </c>
      <c r="H16" s="1">
        <v>0</v>
      </c>
      <c r="I16" s="1">
        <v>0</v>
      </c>
      <c r="J16" s="1">
        <v>0</v>
      </c>
      <c r="K16" s="1">
        <v>0</v>
      </c>
    </row>
    <row r="17" spans="1:11" x14ac:dyDescent="0.25">
      <c r="A17" s="1" t="s">
        <v>104</v>
      </c>
      <c r="B17" s="1">
        <v>1.2</v>
      </c>
      <c r="C17" s="1">
        <f>Beam_Analysis!$H$1</f>
        <v>0.5</v>
      </c>
      <c r="D17" s="1">
        <v>1.6</v>
      </c>
      <c r="E17" s="1">
        <v>0</v>
      </c>
      <c r="F17" s="1">
        <v>0</v>
      </c>
      <c r="G17" s="1">
        <v>1.6</v>
      </c>
      <c r="H17" s="1">
        <v>0</v>
      </c>
      <c r="I17" s="1">
        <v>0</v>
      </c>
      <c r="J17" s="1">
        <v>0</v>
      </c>
      <c r="K17" s="1">
        <v>0</v>
      </c>
    </row>
    <row r="18" spans="1:11" x14ac:dyDescent="0.25">
      <c r="A18" s="1" t="s">
        <v>105</v>
      </c>
      <c r="B18" s="1">
        <v>1.2</v>
      </c>
      <c r="C18" s="1">
        <f>Beam_Analysis!$H$1</f>
        <v>0.5</v>
      </c>
      <c r="D18" s="1">
        <v>0</v>
      </c>
      <c r="E18" s="1">
        <v>0</v>
      </c>
      <c r="F18" s="1">
        <v>1.6</v>
      </c>
      <c r="G18" s="1">
        <v>1.6</v>
      </c>
      <c r="H18" s="1">
        <v>0</v>
      </c>
      <c r="I18" s="1">
        <v>0</v>
      </c>
      <c r="J18" s="1">
        <v>0</v>
      </c>
      <c r="K18" s="1">
        <v>0</v>
      </c>
    </row>
    <row r="19" spans="1:11" x14ac:dyDescent="0.25">
      <c r="A19" s="1" t="s">
        <v>106</v>
      </c>
      <c r="B19" s="1">
        <v>1.2</v>
      </c>
      <c r="C19" s="1">
        <f>Beam_Analysis!$H$1</f>
        <v>0.5</v>
      </c>
      <c r="D19" s="1">
        <v>0</v>
      </c>
      <c r="E19" s="1">
        <v>1.6</v>
      </c>
      <c r="F19" s="1">
        <v>0</v>
      </c>
      <c r="G19" s="1">
        <v>1.6</v>
      </c>
      <c r="H19" s="1">
        <v>0</v>
      </c>
      <c r="I19" s="1">
        <v>0</v>
      </c>
      <c r="J19" s="1">
        <v>0</v>
      </c>
      <c r="K19" s="1">
        <v>0</v>
      </c>
    </row>
    <row r="20" spans="1:11" x14ac:dyDescent="0.25">
      <c r="A20" s="1" t="s">
        <v>70</v>
      </c>
      <c r="B20" s="1">
        <v>1.2</v>
      </c>
      <c r="C20" s="1">
        <v>0</v>
      </c>
      <c r="D20" s="1">
        <v>1.6</v>
      </c>
      <c r="E20" s="1">
        <v>0</v>
      </c>
      <c r="F20" s="1">
        <v>0</v>
      </c>
      <c r="G20" s="1">
        <v>1.6</v>
      </c>
      <c r="H20" s="1">
        <v>0.5</v>
      </c>
      <c r="I20" s="1">
        <v>0</v>
      </c>
      <c r="J20" s="1">
        <v>0</v>
      </c>
      <c r="K20" s="1">
        <v>0</v>
      </c>
    </row>
    <row r="21" spans="1:11" x14ac:dyDescent="0.25">
      <c r="A21" s="1" t="s">
        <v>71</v>
      </c>
      <c r="B21" s="1">
        <v>1.2</v>
      </c>
      <c r="C21" s="1">
        <v>0</v>
      </c>
      <c r="D21" s="1">
        <v>0</v>
      </c>
      <c r="E21" s="1">
        <v>0</v>
      </c>
      <c r="F21" s="1">
        <v>1.6</v>
      </c>
      <c r="G21" s="1">
        <v>1.6</v>
      </c>
      <c r="H21" s="1">
        <v>0.5</v>
      </c>
      <c r="I21" s="1">
        <v>0</v>
      </c>
      <c r="J21" s="1">
        <v>0</v>
      </c>
      <c r="K21" s="1">
        <v>0</v>
      </c>
    </row>
    <row r="22" spans="1:11" x14ac:dyDescent="0.25">
      <c r="A22" s="1" t="s">
        <v>72</v>
      </c>
      <c r="B22" s="1">
        <v>1.2</v>
      </c>
      <c r="C22" s="1">
        <v>0</v>
      </c>
      <c r="D22" s="1">
        <v>0</v>
      </c>
      <c r="E22" s="1">
        <v>1.6</v>
      </c>
      <c r="F22" s="1">
        <v>0</v>
      </c>
      <c r="G22" s="1">
        <v>1.6</v>
      </c>
      <c r="H22" s="1">
        <v>0.5</v>
      </c>
      <c r="I22" s="1">
        <v>0</v>
      </c>
      <c r="J22" s="1">
        <v>0</v>
      </c>
      <c r="K22" s="1">
        <v>0</v>
      </c>
    </row>
    <row r="23" spans="1:11" x14ac:dyDescent="0.25">
      <c r="A23" s="1" t="s">
        <v>73</v>
      </c>
      <c r="B23" s="1">
        <v>1.2</v>
      </c>
      <c r="C23" s="1">
        <v>0</v>
      </c>
      <c r="D23" s="1">
        <v>1.6</v>
      </c>
      <c r="E23" s="1">
        <v>0</v>
      </c>
      <c r="F23" s="1">
        <v>0</v>
      </c>
      <c r="G23" s="1">
        <v>1.6</v>
      </c>
      <c r="H23" s="1">
        <v>0</v>
      </c>
      <c r="I23" s="1">
        <v>0.5</v>
      </c>
      <c r="J23" s="1">
        <v>0</v>
      </c>
      <c r="K23" s="1">
        <v>0</v>
      </c>
    </row>
    <row r="24" spans="1:11" x14ac:dyDescent="0.25">
      <c r="A24" s="1" t="s">
        <v>74</v>
      </c>
      <c r="B24" s="1">
        <v>1.2</v>
      </c>
      <c r="C24" s="1">
        <v>0</v>
      </c>
      <c r="D24" s="1">
        <v>0</v>
      </c>
      <c r="E24" s="1">
        <v>0</v>
      </c>
      <c r="F24" s="1">
        <v>1.6</v>
      </c>
      <c r="G24" s="1">
        <v>1.6</v>
      </c>
      <c r="H24" s="1">
        <v>0</v>
      </c>
      <c r="I24" s="1">
        <v>0.5</v>
      </c>
      <c r="J24" s="1">
        <v>0</v>
      </c>
      <c r="K24" s="1">
        <v>0</v>
      </c>
    </row>
    <row r="25" spans="1:11" x14ac:dyDescent="0.25">
      <c r="A25" s="1" t="s">
        <v>75</v>
      </c>
      <c r="B25" s="1">
        <v>1.2</v>
      </c>
      <c r="C25" s="1">
        <v>0</v>
      </c>
      <c r="D25" s="1">
        <v>0</v>
      </c>
      <c r="E25" s="1">
        <v>1.6</v>
      </c>
      <c r="F25" s="1">
        <v>0</v>
      </c>
      <c r="G25" s="1">
        <v>1.6</v>
      </c>
      <c r="H25" s="1">
        <v>0</v>
      </c>
      <c r="I25" s="1">
        <v>0.5</v>
      </c>
      <c r="J25" s="1">
        <v>0</v>
      </c>
      <c r="K25" s="1">
        <v>0</v>
      </c>
    </row>
    <row r="26" spans="1:11" x14ac:dyDescent="0.25">
      <c r="A26" s="1" t="s">
        <v>107</v>
      </c>
      <c r="B26" s="1">
        <v>1.2</v>
      </c>
      <c r="C26" s="1">
        <f>Beam_Analysis!$H$1</f>
        <v>0.5</v>
      </c>
      <c r="D26" s="1">
        <v>0.5</v>
      </c>
      <c r="E26" s="1">
        <v>0</v>
      </c>
      <c r="F26" s="1">
        <v>0</v>
      </c>
      <c r="G26" s="1">
        <v>1.6</v>
      </c>
      <c r="H26" s="1">
        <v>1</v>
      </c>
      <c r="I26" s="1">
        <v>0</v>
      </c>
      <c r="J26" s="1">
        <v>0</v>
      </c>
      <c r="K26" s="1">
        <v>0</v>
      </c>
    </row>
    <row r="27" spans="1:11" x14ac:dyDescent="0.25">
      <c r="A27" s="1" t="s">
        <v>108</v>
      </c>
      <c r="B27" s="1">
        <v>1.2</v>
      </c>
      <c r="C27" s="1">
        <f>Beam_Analysis!$H$1</f>
        <v>0.5</v>
      </c>
      <c r="D27" s="1">
        <v>0</v>
      </c>
      <c r="E27" s="1">
        <v>0</v>
      </c>
      <c r="F27" s="1">
        <v>0.5</v>
      </c>
      <c r="G27" s="1">
        <v>1.6</v>
      </c>
      <c r="H27" s="1">
        <v>1</v>
      </c>
      <c r="I27" s="1">
        <v>0</v>
      </c>
      <c r="J27" s="1">
        <v>0</v>
      </c>
      <c r="K27" s="1">
        <v>0</v>
      </c>
    </row>
    <row r="28" spans="1:11" x14ac:dyDescent="0.25">
      <c r="A28" s="1" t="s">
        <v>109</v>
      </c>
      <c r="B28" s="1">
        <v>1.2</v>
      </c>
      <c r="C28" s="1">
        <f>Beam_Analysis!$H$1</f>
        <v>0.5</v>
      </c>
      <c r="D28" s="1">
        <v>0</v>
      </c>
      <c r="E28" s="1">
        <v>0.5</v>
      </c>
      <c r="F28" s="1">
        <v>0</v>
      </c>
      <c r="G28" s="1">
        <v>1.6</v>
      </c>
      <c r="H28" s="1">
        <v>1</v>
      </c>
      <c r="I28" s="1">
        <v>0</v>
      </c>
      <c r="J28" s="1">
        <v>0</v>
      </c>
      <c r="K28" s="1">
        <v>0</v>
      </c>
    </row>
    <row r="29" spans="1:11" x14ac:dyDescent="0.25">
      <c r="A29" s="1" t="s">
        <v>110</v>
      </c>
      <c r="B29" s="1">
        <v>1.2</v>
      </c>
      <c r="C29" s="1">
        <f>Beam_Analysis!$H$1</f>
        <v>0.5</v>
      </c>
      <c r="D29" s="1">
        <v>0.5</v>
      </c>
      <c r="E29" s="1">
        <v>0</v>
      </c>
      <c r="F29" s="1">
        <v>0</v>
      </c>
      <c r="G29" s="1">
        <v>1.6</v>
      </c>
      <c r="H29" s="1">
        <v>0</v>
      </c>
      <c r="I29" s="1">
        <v>1</v>
      </c>
      <c r="J29" s="1">
        <v>0</v>
      </c>
      <c r="K29" s="1">
        <v>0</v>
      </c>
    </row>
    <row r="30" spans="1:11" x14ac:dyDescent="0.25">
      <c r="A30" s="1" t="s">
        <v>111</v>
      </c>
      <c r="B30" s="1">
        <v>1.2</v>
      </c>
      <c r="C30" s="1">
        <f>Beam_Analysis!$H$1</f>
        <v>0.5</v>
      </c>
      <c r="D30" s="1">
        <v>0</v>
      </c>
      <c r="E30" s="1">
        <v>0</v>
      </c>
      <c r="F30" s="1">
        <v>0.5</v>
      </c>
      <c r="G30" s="1">
        <v>1.6</v>
      </c>
      <c r="H30" s="1">
        <v>0</v>
      </c>
      <c r="I30" s="1">
        <v>1</v>
      </c>
      <c r="J30" s="1">
        <v>0</v>
      </c>
      <c r="K30" s="1">
        <v>0</v>
      </c>
    </row>
    <row r="31" spans="1:11" x14ac:dyDescent="0.25">
      <c r="A31" s="1" t="s">
        <v>112</v>
      </c>
      <c r="B31" s="1">
        <v>1.2</v>
      </c>
      <c r="C31" s="1">
        <f>Beam_Analysis!$H$1</f>
        <v>0.5</v>
      </c>
      <c r="D31" s="1">
        <v>0</v>
      </c>
      <c r="E31" s="1">
        <v>0.5</v>
      </c>
      <c r="F31" s="1">
        <v>0</v>
      </c>
      <c r="G31" s="1">
        <v>1.6</v>
      </c>
      <c r="H31" s="1">
        <v>0</v>
      </c>
      <c r="I31" s="1">
        <v>1</v>
      </c>
      <c r="J31" s="1">
        <v>0</v>
      </c>
      <c r="K31" s="1">
        <v>0</v>
      </c>
    </row>
    <row r="32" spans="1:11" x14ac:dyDescent="0.25">
      <c r="A32" s="1" t="s">
        <v>113</v>
      </c>
      <c r="B32" s="1">
        <v>1.2</v>
      </c>
      <c r="C32" s="1">
        <f>Beam_Analysis!$H$1</f>
        <v>0.5</v>
      </c>
      <c r="D32" s="1">
        <v>0</v>
      </c>
      <c r="E32" s="1">
        <v>0</v>
      </c>
      <c r="F32" s="1">
        <f>Beam_Analysis!$H$2</f>
        <v>0.7</v>
      </c>
      <c r="G32" s="1">
        <v>1.6</v>
      </c>
      <c r="H32" s="1">
        <v>0</v>
      </c>
      <c r="I32" s="1">
        <v>0</v>
      </c>
      <c r="J32" s="1">
        <v>1</v>
      </c>
      <c r="K32" s="1">
        <v>0</v>
      </c>
    </row>
    <row r="33" spans="1:11" x14ac:dyDescent="0.25">
      <c r="A33" s="1" t="s">
        <v>114</v>
      </c>
      <c r="B33" s="1">
        <v>1.2</v>
      </c>
      <c r="C33" s="1">
        <f>Beam_Analysis!$H$1</f>
        <v>0.5</v>
      </c>
      <c r="D33" s="1">
        <v>0</v>
      </c>
      <c r="E33" s="1">
        <v>0</v>
      </c>
      <c r="F33" s="1">
        <f>Beam_Analysis!$H$2</f>
        <v>0.7</v>
      </c>
      <c r="G33" s="1">
        <v>1.6</v>
      </c>
      <c r="H33" s="1">
        <v>0</v>
      </c>
      <c r="I33" s="1">
        <v>0</v>
      </c>
      <c r="J33" s="1">
        <v>0</v>
      </c>
      <c r="K33" s="1">
        <v>1</v>
      </c>
    </row>
    <row r="34" spans="1:11" x14ac:dyDescent="0.25">
      <c r="A34" s="1" t="s">
        <v>76</v>
      </c>
      <c r="B34" s="1">
        <v>0.9</v>
      </c>
      <c r="C34" s="1">
        <v>0</v>
      </c>
      <c r="D34" s="1">
        <v>0</v>
      </c>
      <c r="E34" s="1">
        <v>0</v>
      </c>
      <c r="F34" s="1">
        <v>0</v>
      </c>
      <c r="G34" s="1">
        <v>1.6</v>
      </c>
      <c r="H34" s="1">
        <v>1</v>
      </c>
      <c r="I34" s="1">
        <v>0</v>
      </c>
      <c r="J34" s="1">
        <v>0</v>
      </c>
      <c r="K34" s="1">
        <v>0</v>
      </c>
    </row>
    <row r="35" spans="1:11" x14ac:dyDescent="0.25">
      <c r="A35" s="1" t="s">
        <v>77</v>
      </c>
      <c r="B35" s="1">
        <v>0.9</v>
      </c>
      <c r="C35" s="1">
        <v>0</v>
      </c>
      <c r="D35" s="1">
        <v>0</v>
      </c>
      <c r="E35" s="1">
        <v>0</v>
      </c>
      <c r="F35" s="1">
        <v>0</v>
      </c>
      <c r="G35" s="1">
        <v>1.6</v>
      </c>
      <c r="H35" s="1">
        <v>0</v>
      </c>
      <c r="I35" s="1">
        <v>1</v>
      </c>
      <c r="J35" s="1">
        <v>0</v>
      </c>
      <c r="K35" s="1">
        <v>0</v>
      </c>
    </row>
    <row r="36" spans="1:11" x14ac:dyDescent="0.25">
      <c r="A36" s="1" t="s">
        <v>78</v>
      </c>
      <c r="B36" s="1">
        <v>0.9</v>
      </c>
      <c r="C36" s="1">
        <v>0</v>
      </c>
      <c r="D36" s="1">
        <v>0</v>
      </c>
      <c r="E36" s="1">
        <v>0</v>
      </c>
      <c r="F36" s="1">
        <v>0</v>
      </c>
      <c r="G36" s="1">
        <v>1.6</v>
      </c>
      <c r="H36" s="1">
        <v>0</v>
      </c>
      <c r="I36" s="1">
        <v>0</v>
      </c>
      <c r="J36" s="1">
        <v>1</v>
      </c>
      <c r="K36" s="1">
        <v>0</v>
      </c>
    </row>
    <row r="37" spans="1:11" x14ac:dyDescent="0.25">
      <c r="A37" s="1" t="s">
        <v>79</v>
      </c>
      <c r="B37" s="1">
        <v>0.9</v>
      </c>
      <c r="C37" s="1">
        <v>0</v>
      </c>
      <c r="D37" s="1">
        <v>0</v>
      </c>
      <c r="E37" s="1">
        <v>0</v>
      </c>
      <c r="F37" s="1">
        <v>0</v>
      </c>
      <c r="G37" s="1">
        <v>1.6</v>
      </c>
      <c r="H37" s="1">
        <v>0</v>
      </c>
      <c r="I37" s="1">
        <v>0</v>
      </c>
      <c r="J37" s="1">
        <v>0</v>
      </c>
      <c r="K37" s="1">
        <v>1</v>
      </c>
    </row>
    <row r="38" spans="1:11" x14ac:dyDescent="0.25">
      <c r="A38" s="1" t="s">
        <v>80</v>
      </c>
      <c r="B38" s="1">
        <v>1</v>
      </c>
      <c r="C38" s="1">
        <v>0</v>
      </c>
      <c r="D38" s="1">
        <v>0</v>
      </c>
      <c r="E38" s="1">
        <v>0</v>
      </c>
      <c r="F38" s="1">
        <v>0</v>
      </c>
      <c r="G38" s="1">
        <v>0</v>
      </c>
      <c r="H38" s="1">
        <v>0</v>
      </c>
      <c r="I38" s="1">
        <v>0</v>
      </c>
      <c r="J38" s="1">
        <v>0</v>
      </c>
      <c r="K38" s="1">
        <v>0</v>
      </c>
    </row>
    <row r="39" spans="1:11" x14ac:dyDescent="0.25">
      <c r="A39" s="1" t="s">
        <v>81</v>
      </c>
      <c r="B39" s="1">
        <v>1</v>
      </c>
      <c r="C39" s="1">
        <v>1</v>
      </c>
      <c r="D39" s="1">
        <v>0</v>
      </c>
      <c r="E39" s="1">
        <v>0</v>
      </c>
      <c r="F39" s="1">
        <v>0</v>
      </c>
      <c r="G39" s="1">
        <v>1</v>
      </c>
      <c r="H39" s="1">
        <v>0</v>
      </c>
      <c r="I39" s="1">
        <v>0</v>
      </c>
      <c r="J39" s="1">
        <v>0</v>
      </c>
      <c r="K39" s="1">
        <v>0</v>
      </c>
    </row>
    <row r="40" spans="1:11" x14ac:dyDescent="0.25">
      <c r="A40" s="1" t="s">
        <v>82</v>
      </c>
      <c r="B40" s="1">
        <v>1</v>
      </c>
      <c r="C40" s="1">
        <v>0</v>
      </c>
      <c r="D40" s="1">
        <v>1</v>
      </c>
      <c r="E40" s="1">
        <v>0</v>
      </c>
      <c r="F40" s="1">
        <v>0</v>
      </c>
      <c r="G40" s="1">
        <v>1</v>
      </c>
      <c r="H40" s="1">
        <v>0</v>
      </c>
      <c r="I40" s="1">
        <v>0</v>
      </c>
      <c r="J40" s="1">
        <v>0</v>
      </c>
      <c r="K40" s="1">
        <v>0</v>
      </c>
    </row>
    <row r="41" spans="1:11" x14ac:dyDescent="0.25">
      <c r="A41" s="1" t="s">
        <v>83</v>
      </c>
      <c r="B41" s="1">
        <v>1</v>
      </c>
      <c r="C41" s="1">
        <v>0</v>
      </c>
      <c r="D41" s="1">
        <v>0</v>
      </c>
      <c r="E41" s="1">
        <v>0</v>
      </c>
      <c r="F41" s="1">
        <v>1</v>
      </c>
      <c r="G41" s="1">
        <v>1</v>
      </c>
      <c r="H41" s="1">
        <v>0</v>
      </c>
      <c r="I41" s="1">
        <v>0</v>
      </c>
      <c r="J41" s="1">
        <v>0</v>
      </c>
      <c r="K41" s="1">
        <v>0</v>
      </c>
    </row>
    <row r="42" spans="1:11" x14ac:dyDescent="0.25">
      <c r="A42" s="1" t="s">
        <v>84</v>
      </c>
      <c r="B42" s="1">
        <v>1</v>
      </c>
      <c r="C42" s="1">
        <v>0</v>
      </c>
      <c r="D42" s="1">
        <v>0</v>
      </c>
      <c r="E42" s="1">
        <v>1</v>
      </c>
      <c r="F42" s="1">
        <v>0</v>
      </c>
      <c r="G42" s="1">
        <v>1</v>
      </c>
      <c r="H42" s="1">
        <v>0</v>
      </c>
      <c r="I42" s="1">
        <v>0</v>
      </c>
      <c r="J42" s="1">
        <v>0</v>
      </c>
      <c r="K42" s="1">
        <v>0</v>
      </c>
    </row>
    <row r="43" spans="1:11" x14ac:dyDescent="0.25">
      <c r="A43" s="1" t="s">
        <v>85</v>
      </c>
      <c r="B43" s="1">
        <v>1</v>
      </c>
      <c r="C43" s="1">
        <v>0.75</v>
      </c>
      <c r="D43" s="1">
        <v>0.75</v>
      </c>
      <c r="E43" s="1">
        <v>0</v>
      </c>
      <c r="F43" s="1">
        <v>0</v>
      </c>
      <c r="G43" s="1">
        <v>1</v>
      </c>
      <c r="H43" s="1">
        <v>0</v>
      </c>
      <c r="I43" s="1">
        <v>0</v>
      </c>
      <c r="J43" s="1">
        <v>0</v>
      </c>
      <c r="K43" s="1">
        <v>0</v>
      </c>
    </row>
    <row r="44" spans="1:11" x14ac:dyDescent="0.25">
      <c r="A44" s="1" t="s">
        <v>86</v>
      </c>
      <c r="B44" s="1">
        <v>1</v>
      </c>
      <c r="C44" s="1">
        <v>0.75</v>
      </c>
      <c r="D44" s="1">
        <v>0</v>
      </c>
      <c r="E44" s="1">
        <v>0</v>
      </c>
      <c r="F44" s="1">
        <v>0.75</v>
      </c>
      <c r="G44" s="1">
        <v>1</v>
      </c>
      <c r="H44" s="1">
        <v>0</v>
      </c>
      <c r="I44" s="1">
        <v>0</v>
      </c>
      <c r="J44" s="1">
        <v>0</v>
      </c>
      <c r="K44" s="1">
        <v>0</v>
      </c>
    </row>
    <row r="45" spans="1:11" x14ac:dyDescent="0.25">
      <c r="A45" s="1" t="s">
        <v>87</v>
      </c>
      <c r="B45" s="1">
        <v>1</v>
      </c>
      <c r="C45" s="1">
        <v>0.75</v>
      </c>
      <c r="D45" s="1">
        <v>0</v>
      </c>
      <c r="E45" s="1">
        <v>0.75</v>
      </c>
      <c r="F45" s="1">
        <v>0</v>
      </c>
      <c r="G45" s="1">
        <v>1</v>
      </c>
      <c r="H45" s="1">
        <v>0</v>
      </c>
      <c r="I45" s="1">
        <v>0</v>
      </c>
      <c r="J45" s="1">
        <v>0</v>
      </c>
      <c r="K45" s="1">
        <v>0</v>
      </c>
    </row>
    <row r="46" spans="1:11" x14ac:dyDescent="0.25">
      <c r="A46" s="1" t="s">
        <v>88</v>
      </c>
      <c r="B46" s="1">
        <v>1</v>
      </c>
      <c r="C46" s="1">
        <v>0</v>
      </c>
      <c r="D46" s="1">
        <v>0</v>
      </c>
      <c r="E46" s="1">
        <v>0</v>
      </c>
      <c r="F46" s="1">
        <v>0</v>
      </c>
      <c r="G46" s="1">
        <v>1</v>
      </c>
      <c r="H46" s="1">
        <v>0.6</v>
      </c>
      <c r="I46" s="1">
        <v>0</v>
      </c>
      <c r="J46" s="1">
        <v>0</v>
      </c>
      <c r="K46" s="1">
        <v>0</v>
      </c>
    </row>
    <row r="47" spans="1:11" x14ac:dyDescent="0.25">
      <c r="A47" s="1" t="s">
        <v>89</v>
      </c>
      <c r="B47" s="1">
        <v>1</v>
      </c>
      <c r="C47" s="1">
        <v>0</v>
      </c>
      <c r="D47" s="1">
        <v>0</v>
      </c>
      <c r="E47" s="1">
        <v>0</v>
      </c>
      <c r="F47" s="1">
        <v>0</v>
      </c>
      <c r="G47" s="1">
        <v>1</v>
      </c>
      <c r="H47" s="1">
        <v>0</v>
      </c>
      <c r="I47" s="1">
        <v>0.6</v>
      </c>
      <c r="J47" s="1">
        <v>0</v>
      </c>
      <c r="K47" s="1">
        <v>0</v>
      </c>
    </row>
    <row r="48" spans="1:11" x14ac:dyDescent="0.25">
      <c r="A48" s="1" t="s">
        <v>90</v>
      </c>
      <c r="B48" s="1">
        <v>1</v>
      </c>
      <c r="C48" s="1">
        <v>0</v>
      </c>
      <c r="D48" s="1">
        <v>0</v>
      </c>
      <c r="E48" s="1">
        <v>0</v>
      </c>
      <c r="F48" s="1">
        <v>0</v>
      </c>
      <c r="G48" s="1">
        <v>1</v>
      </c>
      <c r="H48" s="1">
        <v>0</v>
      </c>
      <c r="I48" s="1">
        <v>0</v>
      </c>
      <c r="J48" s="1">
        <v>0.7</v>
      </c>
      <c r="K48" s="1">
        <v>0</v>
      </c>
    </row>
    <row r="49" spans="1:11" x14ac:dyDescent="0.25">
      <c r="A49" s="1" t="s">
        <v>91</v>
      </c>
      <c r="B49" s="1">
        <v>1</v>
      </c>
      <c r="C49" s="1">
        <v>0</v>
      </c>
      <c r="D49" s="1">
        <v>0</v>
      </c>
      <c r="E49" s="1">
        <v>0</v>
      </c>
      <c r="F49" s="1">
        <v>0</v>
      </c>
      <c r="G49" s="1">
        <v>1</v>
      </c>
      <c r="H49" s="1">
        <v>0</v>
      </c>
      <c r="I49" s="1">
        <v>0</v>
      </c>
      <c r="J49" s="1">
        <v>0</v>
      </c>
      <c r="K49" s="1">
        <v>0.7</v>
      </c>
    </row>
    <row r="50" spans="1:11" x14ac:dyDescent="0.25">
      <c r="A50" s="1" t="s">
        <v>92</v>
      </c>
      <c r="B50" s="1">
        <v>1</v>
      </c>
      <c r="C50" s="1">
        <v>0.75</v>
      </c>
      <c r="D50" s="1">
        <v>0.75</v>
      </c>
      <c r="E50" s="1">
        <v>0</v>
      </c>
      <c r="F50" s="1">
        <v>0</v>
      </c>
      <c r="G50" s="1">
        <v>1</v>
      </c>
      <c r="H50" s="1">
        <v>0.44999999999999996</v>
      </c>
      <c r="I50" s="1">
        <v>0</v>
      </c>
      <c r="J50" s="1">
        <v>0</v>
      </c>
      <c r="K50" s="1">
        <v>0</v>
      </c>
    </row>
    <row r="51" spans="1:11" x14ac:dyDescent="0.25">
      <c r="A51" s="1" t="s">
        <v>93</v>
      </c>
      <c r="B51" s="1">
        <v>1</v>
      </c>
      <c r="C51" s="1">
        <v>0.75</v>
      </c>
      <c r="D51" s="1">
        <v>0</v>
      </c>
      <c r="E51" s="1">
        <v>0</v>
      </c>
      <c r="F51" s="1">
        <v>0.75</v>
      </c>
      <c r="G51" s="1">
        <v>1</v>
      </c>
      <c r="H51" s="1">
        <v>0.44999999999999996</v>
      </c>
      <c r="I51" s="1">
        <v>0</v>
      </c>
      <c r="J51" s="1">
        <v>0</v>
      </c>
      <c r="K51" s="1">
        <v>0</v>
      </c>
    </row>
    <row r="52" spans="1:11" x14ac:dyDescent="0.25">
      <c r="A52" s="1" t="s">
        <v>94</v>
      </c>
      <c r="B52" s="1">
        <v>1</v>
      </c>
      <c r="C52" s="1">
        <v>0.75</v>
      </c>
      <c r="D52" s="1">
        <v>0</v>
      </c>
      <c r="E52" s="1">
        <v>0.75</v>
      </c>
      <c r="F52" s="1">
        <v>0</v>
      </c>
      <c r="G52" s="1">
        <v>1</v>
      </c>
      <c r="H52" s="1">
        <v>0.44999999999999996</v>
      </c>
      <c r="I52" s="1">
        <v>0</v>
      </c>
      <c r="J52" s="1">
        <v>0</v>
      </c>
      <c r="K52" s="1">
        <v>0</v>
      </c>
    </row>
    <row r="53" spans="1:11" x14ac:dyDescent="0.25">
      <c r="A53" s="1" t="s">
        <v>95</v>
      </c>
      <c r="B53" s="1">
        <v>1</v>
      </c>
      <c r="C53" s="1">
        <v>0.75</v>
      </c>
      <c r="D53" s="1">
        <v>0.75</v>
      </c>
      <c r="E53" s="1">
        <v>0</v>
      </c>
      <c r="F53" s="1">
        <v>0</v>
      </c>
      <c r="G53" s="1">
        <v>1</v>
      </c>
      <c r="H53" s="1">
        <v>0</v>
      </c>
      <c r="I53" s="1">
        <v>0.44999999999999996</v>
      </c>
      <c r="J53" s="1">
        <v>0</v>
      </c>
      <c r="K53" s="1">
        <v>0</v>
      </c>
    </row>
    <row r="54" spans="1:11" x14ac:dyDescent="0.25">
      <c r="A54" s="1" t="s">
        <v>96</v>
      </c>
      <c r="B54" s="1">
        <v>1</v>
      </c>
      <c r="C54" s="1">
        <v>0.75</v>
      </c>
      <c r="D54" s="1">
        <v>0</v>
      </c>
      <c r="E54" s="1">
        <v>0</v>
      </c>
      <c r="F54" s="1">
        <v>0.75</v>
      </c>
      <c r="G54" s="1">
        <v>1</v>
      </c>
      <c r="H54" s="1">
        <v>0</v>
      </c>
      <c r="I54" s="1">
        <v>0.44999999999999996</v>
      </c>
      <c r="J54" s="1">
        <v>0</v>
      </c>
      <c r="K54" s="1">
        <v>0</v>
      </c>
    </row>
    <row r="55" spans="1:11" x14ac:dyDescent="0.25">
      <c r="A55" s="1" t="s">
        <v>97</v>
      </c>
      <c r="B55" s="1">
        <v>1</v>
      </c>
      <c r="C55" s="1">
        <v>0.75</v>
      </c>
      <c r="D55" s="1">
        <v>0</v>
      </c>
      <c r="E55" s="1">
        <v>0.75</v>
      </c>
      <c r="F55" s="1">
        <v>0</v>
      </c>
      <c r="G55" s="1">
        <v>1</v>
      </c>
      <c r="H55" s="1">
        <v>0</v>
      </c>
      <c r="I55" s="1">
        <v>0.44999999999999996</v>
      </c>
      <c r="J55" s="1">
        <v>0</v>
      </c>
      <c r="K55" s="1">
        <v>0</v>
      </c>
    </row>
    <row r="56" spans="1:11" x14ac:dyDescent="0.25">
      <c r="A56" s="1" t="s">
        <v>98</v>
      </c>
      <c r="B56" s="1">
        <v>1</v>
      </c>
      <c r="C56" s="1">
        <v>0.75</v>
      </c>
      <c r="D56" s="1">
        <v>0</v>
      </c>
      <c r="E56" s="1">
        <v>0</v>
      </c>
      <c r="F56" s="1">
        <v>0.75</v>
      </c>
      <c r="G56" s="1">
        <v>1</v>
      </c>
      <c r="H56" s="1">
        <v>0</v>
      </c>
      <c r="I56" s="1">
        <v>0</v>
      </c>
      <c r="J56" s="1">
        <v>0.52499999999999991</v>
      </c>
      <c r="K56" s="1">
        <v>0</v>
      </c>
    </row>
    <row r="57" spans="1:11" x14ac:dyDescent="0.25">
      <c r="A57" s="1" t="s">
        <v>99</v>
      </c>
      <c r="B57" s="1">
        <v>1</v>
      </c>
      <c r="C57" s="1">
        <v>0.75</v>
      </c>
      <c r="D57" s="1">
        <v>0</v>
      </c>
      <c r="E57" s="1">
        <v>0</v>
      </c>
      <c r="F57" s="1">
        <v>0.75</v>
      </c>
      <c r="G57" s="1">
        <v>1</v>
      </c>
      <c r="H57" s="1">
        <v>0</v>
      </c>
      <c r="I57" s="1">
        <v>0</v>
      </c>
      <c r="J57" s="1">
        <v>0</v>
      </c>
      <c r="K57" s="1">
        <v>0.52499999999999991</v>
      </c>
    </row>
    <row r="58" spans="1:11" x14ac:dyDescent="0.25">
      <c r="A58" s="1" t="s">
        <v>100</v>
      </c>
      <c r="B58" s="1">
        <v>0.6</v>
      </c>
      <c r="C58" s="1">
        <v>0</v>
      </c>
      <c r="D58" s="1">
        <v>0</v>
      </c>
      <c r="E58" s="1">
        <v>0</v>
      </c>
      <c r="F58" s="1">
        <v>0</v>
      </c>
      <c r="G58" s="1">
        <v>1</v>
      </c>
      <c r="H58" s="1">
        <v>0.6</v>
      </c>
      <c r="I58" s="1">
        <v>0</v>
      </c>
      <c r="J58" s="1">
        <v>0</v>
      </c>
      <c r="K58" s="1">
        <v>0</v>
      </c>
    </row>
    <row r="59" spans="1:11" x14ac:dyDescent="0.25">
      <c r="A59" s="1" t="s">
        <v>101</v>
      </c>
      <c r="B59" s="1">
        <v>0.6</v>
      </c>
      <c r="C59" s="1">
        <v>0</v>
      </c>
      <c r="D59" s="1">
        <v>0</v>
      </c>
      <c r="E59" s="1">
        <v>0</v>
      </c>
      <c r="F59" s="1">
        <v>0</v>
      </c>
      <c r="G59" s="1">
        <v>1</v>
      </c>
      <c r="H59" s="1">
        <v>0</v>
      </c>
      <c r="I59" s="1">
        <v>0.6</v>
      </c>
      <c r="J59" s="1">
        <v>0</v>
      </c>
      <c r="K59" s="1">
        <v>0</v>
      </c>
    </row>
    <row r="60" spans="1:11" x14ac:dyDescent="0.25">
      <c r="A60" s="1" t="s">
        <v>102</v>
      </c>
      <c r="B60" s="1">
        <v>0.6</v>
      </c>
      <c r="C60" s="1">
        <v>0</v>
      </c>
      <c r="D60" s="1">
        <v>0</v>
      </c>
      <c r="E60" s="1">
        <v>0</v>
      </c>
      <c r="F60" s="1">
        <v>0</v>
      </c>
      <c r="G60" s="1">
        <v>1</v>
      </c>
      <c r="H60" s="1">
        <v>0</v>
      </c>
      <c r="I60" s="1">
        <v>0</v>
      </c>
      <c r="J60" s="1">
        <v>0.7</v>
      </c>
      <c r="K60" s="1">
        <v>0</v>
      </c>
    </row>
    <row r="61" spans="1:11" x14ac:dyDescent="0.25">
      <c r="A61" s="1" t="s">
        <v>103</v>
      </c>
      <c r="B61" s="1">
        <v>0.6</v>
      </c>
      <c r="C61" s="1">
        <v>0</v>
      </c>
      <c r="D61" s="1">
        <v>0</v>
      </c>
      <c r="E61" s="1">
        <v>0</v>
      </c>
      <c r="F61" s="1">
        <v>0</v>
      </c>
      <c r="G61" s="1">
        <v>1</v>
      </c>
      <c r="H61" s="1">
        <v>0</v>
      </c>
      <c r="I61" s="1">
        <v>0</v>
      </c>
      <c r="J61" s="1">
        <v>0</v>
      </c>
      <c r="K61" s="1">
        <v>0.7</v>
      </c>
    </row>
    <row r="62" spans="1:11" x14ac:dyDescent="0.25">
      <c r="A62" s="1" t="s">
        <v>56</v>
      </c>
      <c r="B62" s="1">
        <f>Beam_Analysis!G6</f>
        <v>1</v>
      </c>
      <c r="C62" s="1">
        <f>Beam_Analysis!H6</f>
        <v>1</v>
      </c>
      <c r="D62" s="1">
        <f>Beam_Analysis!I6</f>
        <v>0</v>
      </c>
      <c r="E62" s="1">
        <f>Beam_Analysis!J6</f>
        <v>0</v>
      </c>
      <c r="F62" s="1">
        <f>Beam_Analysis!K6</f>
        <v>0</v>
      </c>
      <c r="G62" s="1">
        <f>Beam_Analysis!L6</f>
        <v>0</v>
      </c>
      <c r="H62" s="1">
        <f>Beam_Analysis!M6</f>
        <v>0</v>
      </c>
      <c r="I62" s="1">
        <f>Beam_Analysis!N6</f>
        <v>0</v>
      </c>
      <c r="J62" s="1">
        <f>Beam_Analysis!O6</f>
        <v>0</v>
      </c>
      <c r="K62" s="1">
        <f>Beam_Analysis!P6</f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Beam_Analysis</vt:lpstr>
      <vt:lpstr>Data</vt:lpstr>
      <vt:lpstr>Load_Combos</vt:lpstr>
      <vt:lpstr>FF_5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Don Bockoven</dc:creator>
  <cp:lastModifiedBy>Donald Bockoven III</cp:lastModifiedBy>
  <dcterms:created xsi:type="dcterms:W3CDTF">2020-12-08T18:46:25Z</dcterms:created>
  <dcterms:modified xsi:type="dcterms:W3CDTF">2021-01-29T15:00:43Z</dcterms:modified>
</cp:coreProperties>
</file>