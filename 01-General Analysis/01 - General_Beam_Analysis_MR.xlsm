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5125" documentId="8_{37E8B246-AF35-42CA-A034-DDDD52D0D400}" xr6:coauthVersionLast="46" xr6:coauthVersionMax="46" xr10:uidLastSave="{804E7A6A-F94D-4551-88EE-D322BF20B827}"/>
  <bookViews>
    <workbookView xWindow="-120" yWindow="-120" windowWidth="27930" windowHeight="18240" xr2:uid="{6506FA8A-1F3F-4C50-BBFD-B318EB7939C6}"/>
  </bookViews>
  <sheets>
    <sheet name="Beam_Analysis" sheetId="1" r:id="rId1"/>
    <sheet name="Data" sheetId="2" r:id="rId2"/>
    <sheet name="Load_Combos" sheetId="3" r:id="rId3"/>
  </sheets>
  <functionGroups builtInGroupCount="19"/>
  <definedNames>
    <definedName name="FF_5">Data!$V$26:$V$32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" i="1" l="1"/>
  <c r="O2" i="2"/>
  <c r="A53" i="2" l="1"/>
  <c r="B60" i="2" s="1"/>
  <c r="I2" i="1"/>
  <c r="L72" i="1"/>
  <c r="L70" i="1"/>
  <c r="L68" i="1"/>
  <c r="L66" i="1"/>
  <c r="L64" i="1"/>
  <c r="L62" i="1"/>
  <c r="L60" i="1"/>
  <c r="L58" i="1"/>
  <c r="L56" i="1"/>
  <c r="L54" i="1"/>
  <c r="N28" i="1"/>
  <c r="N27" i="1"/>
  <c r="D53" i="1"/>
  <c r="L79" i="1"/>
  <c r="L74" i="1"/>
  <c r="L75" i="1"/>
  <c r="L76" i="1"/>
  <c r="L77" i="1"/>
  <c r="L73" i="1"/>
  <c r="B66" i="2" l="1"/>
  <c r="B75" i="2"/>
  <c r="B67" i="2"/>
  <c r="B59" i="2"/>
  <c r="B65" i="2"/>
  <c r="B57" i="2"/>
  <c r="B80" i="2"/>
  <c r="B72" i="2"/>
  <c r="B64" i="2"/>
  <c r="B56" i="2"/>
  <c r="B74" i="2"/>
  <c r="B73" i="2"/>
  <c r="B79" i="2"/>
  <c r="B71" i="2"/>
  <c r="B63" i="2"/>
  <c r="B55" i="2"/>
  <c r="B54" i="2"/>
  <c r="B78" i="2"/>
  <c r="B70" i="2"/>
  <c r="B62" i="2"/>
  <c r="B58" i="2"/>
  <c r="B77" i="2"/>
  <c r="B69" i="2"/>
  <c r="B61" i="2"/>
  <c r="B76" i="2"/>
  <c r="B68" i="2"/>
  <c r="BA15" i="2"/>
  <c r="BA16" i="2"/>
  <c r="AY16" i="2"/>
  <c r="N29" i="1"/>
  <c r="M28" i="1" s="1"/>
  <c r="O11" i="2"/>
  <c r="O16" i="2"/>
  <c r="O12" i="2"/>
  <c r="O13" i="2"/>
  <c r="O14" i="2"/>
  <c r="O10" i="2"/>
  <c r="Y13" i="2" a="1"/>
  <c r="W11" i="2" a="1"/>
  <c r="V10" i="2" a="1"/>
  <c r="V11" i="2" a="1"/>
  <c r="W10" i="2" a="1"/>
  <c r="Z14" i="2" a="1"/>
  <c r="X12" i="2" a="1"/>
  <c r="Z14" i="2" l="1"/>
  <c r="Y13" i="2"/>
  <c r="X12" i="2"/>
  <c r="W11" i="2"/>
  <c r="V10" i="2"/>
  <c r="W10" i="2"/>
  <c r="V11" i="2"/>
  <c r="O9" i="2"/>
  <c r="U16" i="2"/>
  <c r="U15" i="2"/>
  <c r="M27" i="1"/>
  <c r="O3" i="2"/>
  <c r="Q105" i="2" s="1"/>
  <c r="Q347" i="2" s="1"/>
  <c r="C62" i="3"/>
  <c r="D62" i="3"/>
  <c r="I5" i="1" s="1"/>
  <c r="E62" i="3"/>
  <c r="J5" i="1" s="1"/>
  <c r="F62" i="3"/>
  <c r="K5" i="1" s="1"/>
  <c r="G62" i="3"/>
  <c r="L5" i="1" s="1"/>
  <c r="H62" i="3"/>
  <c r="M5" i="1" s="1"/>
  <c r="I62" i="3"/>
  <c r="N5" i="1" s="1"/>
  <c r="J62" i="3"/>
  <c r="O5" i="1" s="1"/>
  <c r="K62" i="3"/>
  <c r="P5" i="1" s="1"/>
  <c r="B62" i="3"/>
  <c r="G5" i="1" s="1"/>
  <c r="F33" i="3"/>
  <c r="F32" i="3"/>
  <c r="C33" i="3"/>
  <c r="C32" i="3"/>
  <c r="C31" i="3"/>
  <c r="C30" i="3"/>
  <c r="C29" i="3"/>
  <c r="C28" i="3"/>
  <c r="C27" i="3"/>
  <c r="C26" i="3"/>
  <c r="C19" i="3"/>
  <c r="C18" i="3"/>
  <c r="C17" i="3"/>
  <c r="I1" i="1"/>
  <c r="H5" i="1" l="1"/>
  <c r="Q228" i="2"/>
  <c r="Q236" i="2"/>
  <c r="Q244" i="2"/>
  <c r="Q252" i="2"/>
  <c r="Q260" i="2"/>
  <c r="Q268" i="2"/>
  <c r="Q276" i="2"/>
  <c r="Q284" i="2"/>
  <c r="Q292" i="2"/>
  <c r="Q300" i="2"/>
  <c r="Q308" i="2"/>
  <c r="Q316" i="2"/>
  <c r="Q324" i="2"/>
  <c r="Q332" i="2"/>
  <c r="Q340" i="2"/>
  <c r="Q341" i="2"/>
  <c r="Q238" i="2"/>
  <c r="Q254" i="2"/>
  <c r="Q270" i="2"/>
  <c r="Q294" i="2"/>
  <c r="Q318" i="2"/>
  <c r="Q231" i="2"/>
  <c r="Q255" i="2"/>
  <c r="Q263" i="2"/>
  <c r="Q271" i="2"/>
  <c r="Q295" i="2"/>
  <c r="Q319" i="2"/>
  <c r="Q232" i="2"/>
  <c r="Q264" i="2"/>
  <c r="Q280" i="2"/>
  <c r="Q304" i="2"/>
  <c r="Q336" i="2"/>
  <c r="Q233" i="2"/>
  <c r="Q265" i="2"/>
  <c r="Q273" i="2"/>
  <c r="Q297" i="2"/>
  <c r="Q329" i="2"/>
  <c r="Q250" i="2"/>
  <c r="Q266" i="2"/>
  <c r="Q290" i="2"/>
  <c r="Q322" i="2"/>
  <c r="Q229" i="2"/>
  <c r="Q237" i="2"/>
  <c r="Q245" i="2"/>
  <c r="Q253" i="2"/>
  <c r="Q261" i="2"/>
  <c r="Q269" i="2"/>
  <c r="Q277" i="2"/>
  <c r="Q285" i="2"/>
  <c r="Q293" i="2"/>
  <c r="Q301" i="2"/>
  <c r="Q309" i="2"/>
  <c r="Q317" i="2"/>
  <c r="Q325" i="2"/>
  <c r="Q333" i="2"/>
  <c r="Q230" i="2"/>
  <c r="Q262" i="2"/>
  <c r="Q278" i="2"/>
  <c r="Q302" i="2"/>
  <c r="Q310" i="2"/>
  <c r="Q334" i="2"/>
  <c r="Q239" i="2"/>
  <c r="Q287" i="2"/>
  <c r="Q303" i="2"/>
  <c r="Q327" i="2"/>
  <c r="Q343" i="2"/>
  <c r="Q256" i="2"/>
  <c r="Q288" i="2"/>
  <c r="Q328" i="2"/>
  <c r="Q241" i="2"/>
  <c r="Q281" i="2"/>
  <c r="Q313" i="2"/>
  <c r="Q234" i="2"/>
  <c r="Q274" i="2"/>
  <c r="Q306" i="2"/>
  <c r="Q338" i="2"/>
  <c r="Q246" i="2"/>
  <c r="Q240" i="2"/>
  <c r="Q312" i="2"/>
  <c r="Q344" i="2"/>
  <c r="Q257" i="2"/>
  <c r="Q305" i="2"/>
  <c r="Q337" i="2"/>
  <c r="Q258" i="2"/>
  <c r="Q298" i="2"/>
  <c r="Q330" i="2"/>
  <c r="Q235" i="2"/>
  <c r="Q243" i="2"/>
  <c r="Q251" i="2"/>
  <c r="Q259" i="2"/>
  <c r="Q267" i="2"/>
  <c r="Q275" i="2"/>
  <c r="Q283" i="2"/>
  <c r="Q291" i="2"/>
  <c r="Q299" i="2"/>
  <c r="Q307" i="2"/>
  <c r="Q315" i="2"/>
  <c r="Q323" i="2"/>
  <c r="Q331" i="2"/>
  <c r="Q339" i="2"/>
  <c r="Q286" i="2"/>
  <c r="Q326" i="2"/>
  <c r="Q342" i="2"/>
  <c r="Q247" i="2"/>
  <c r="Q279" i="2"/>
  <c r="Q311" i="2"/>
  <c r="Q335" i="2"/>
  <c r="Q248" i="2"/>
  <c r="Q272" i="2"/>
  <c r="Q296" i="2"/>
  <c r="Q320" i="2"/>
  <c r="Q249" i="2"/>
  <c r="Q289" i="2"/>
  <c r="Q321" i="2"/>
  <c r="Q345" i="2"/>
  <c r="Q242" i="2"/>
  <c r="Q282" i="2"/>
  <c r="Q314" i="2"/>
  <c r="Q346" i="2"/>
  <c r="U17" i="2"/>
  <c r="Q119" i="2"/>
  <c r="Q128" i="2"/>
  <c r="Q120" i="2"/>
  <c r="Q112" i="2"/>
  <c r="Q111" i="2"/>
  <c r="Q107" i="2"/>
  <c r="Q126" i="2"/>
  <c r="Q110" i="2"/>
  <c r="Q133" i="2"/>
  <c r="Q125" i="2"/>
  <c r="Q117" i="2"/>
  <c r="Q109" i="2"/>
  <c r="Q118" i="2"/>
  <c r="Q132" i="2"/>
  <c r="Q124" i="2"/>
  <c r="Q116" i="2"/>
  <c r="Q108" i="2"/>
  <c r="Q127" i="2"/>
  <c r="Q131" i="2"/>
  <c r="Q123" i="2"/>
  <c r="Q115" i="2"/>
  <c r="Q130" i="2"/>
  <c r="Q122" i="2"/>
  <c r="Q114" i="2"/>
  <c r="Q129" i="2"/>
  <c r="Q121" i="2"/>
  <c r="K2" i="3"/>
  <c r="J2" i="3"/>
  <c r="I2" i="3"/>
  <c r="H2" i="3"/>
  <c r="G2" i="3"/>
  <c r="F2" i="3"/>
  <c r="E2" i="3"/>
  <c r="D2" i="3"/>
  <c r="C2" i="3"/>
  <c r="B2" i="3"/>
  <c r="Q134" i="2" l="1"/>
  <c r="Q142" i="2"/>
  <c r="Q150" i="2"/>
  <c r="Q158" i="2"/>
  <c r="Q166" i="2"/>
  <c r="Q174" i="2"/>
  <c r="Q182" i="2"/>
  <c r="Q190" i="2"/>
  <c r="Q198" i="2"/>
  <c r="Q206" i="2"/>
  <c r="Q214" i="2"/>
  <c r="Q222" i="2"/>
  <c r="Q209" i="2"/>
  <c r="Q212" i="2"/>
  <c r="Q181" i="2"/>
  <c r="Q221" i="2"/>
  <c r="Q135" i="2"/>
  <c r="Q143" i="2"/>
  <c r="Q151" i="2"/>
  <c r="Q159" i="2"/>
  <c r="Q167" i="2"/>
  <c r="Q175" i="2"/>
  <c r="Q183" i="2"/>
  <c r="Q191" i="2"/>
  <c r="Q199" i="2"/>
  <c r="Q207" i="2"/>
  <c r="Q215" i="2"/>
  <c r="Q223" i="2"/>
  <c r="Q219" i="2"/>
  <c r="Q149" i="2"/>
  <c r="Q136" i="2"/>
  <c r="Q144" i="2"/>
  <c r="Q152" i="2"/>
  <c r="Q160" i="2"/>
  <c r="Q168" i="2"/>
  <c r="Q176" i="2"/>
  <c r="Q184" i="2"/>
  <c r="Q192" i="2"/>
  <c r="Q200" i="2"/>
  <c r="Q208" i="2"/>
  <c r="Q216" i="2"/>
  <c r="Q224" i="2"/>
  <c r="Q225" i="2"/>
  <c r="Q213" i="2"/>
  <c r="Q137" i="2"/>
  <c r="Q145" i="2"/>
  <c r="Q153" i="2"/>
  <c r="Q161" i="2"/>
  <c r="Q169" i="2"/>
  <c r="Q177" i="2"/>
  <c r="Q185" i="2"/>
  <c r="Q193" i="2"/>
  <c r="Q201" i="2"/>
  <c r="Q217" i="2"/>
  <c r="Q173" i="2"/>
  <c r="Q138" i="2"/>
  <c r="Q146" i="2"/>
  <c r="Q154" i="2"/>
  <c r="Q162" i="2"/>
  <c r="Q170" i="2"/>
  <c r="Q178" i="2"/>
  <c r="Q186" i="2"/>
  <c r="Q194" i="2"/>
  <c r="Q202" i="2"/>
  <c r="Q210" i="2"/>
  <c r="Q218" i="2"/>
  <c r="Q226" i="2"/>
  <c r="Q203" i="2"/>
  <c r="Q227" i="2"/>
  <c r="Q165" i="2"/>
  <c r="Q139" i="2"/>
  <c r="Q147" i="2"/>
  <c r="Q155" i="2"/>
  <c r="Q163" i="2"/>
  <c r="Q171" i="2"/>
  <c r="Q179" i="2"/>
  <c r="Q187" i="2"/>
  <c r="Q195" i="2"/>
  <c r="Q211" i="2"/>
  <c r="Q204" i="2"/>
  <c r="Q189" i="2"/>
  <c r="Q140" i="2"/>
  <c r="Q148" i="2"/>
  <c r="Q156" i="2"/>
  <c r="Q164" i="2"/>
  <c r="Q172" i="2"/>
  <c r="Q180" i="2"/>
  <c r="Q188" i="2"/>
  <c r="Q196" i="2"/>
  <c r="Q220" i="2"/>
  <c r="Q205" i="2"/>
  <c r="Q141" i="2"/>
  <c r="Q157" i="2"/>
  <c r="Q197" i="2"/>
  <c r="Q113" i="2"/>
  <c r="G12" i="2"/>
  <c r="F8" i="2"/>
  <c r="F12" i="2" l="1"/>
  <c r="O177" i="2" s="1"/>
  <c r="A24" i="2"/>
  <c r="D3" i="1"/>
  <c r="D2" i="1"/>
  <c r="A12" i="2"/>
  <c r="C6" i="2"/>
  <c r="AA10" i="2" a="1"/>
  <c r="AA11" i="2" a="1"/>
  <c r="AA14" i="2" a="1"/>
  <c r="AA16" i="2" a="1"/>
  <c r="AA13" i="2" a="1"/>
  <c r="AA12" i="2" a="1"/>
  <c r="J58" i="1" a="1"/>
  <c r="X14" i="2" a="1"/>
  <c r="Y12" i="2" a="1"/>
  <c r="Z10" i="2" a="1"/>
  <c r="W14" i="2" a="1"/>
  <c r="W16" i="2" a="1"/>
  <c r="X10" i="2" a="1"/>
  <c r="Y16" i="2" a="1"/>
  <c r="Z11" i="2" a="1"/>
  <c r="J64" i="1" a="1"/>
  <c r="J54" i="1" a="1"/>
  <c r="V14" i="2" a="1"/>
  <c r="AB14" i="2" a="1"/>
  <c r="V13" i="2" a="1"/>
  <c r="X16" i="2" a="1"/>
  <c r="X11" i="2" a="1"/>
  <c r="W12" i="2" a="1"/>
  <c r="AB10" i="2" a="1"/>
  <c r="J68" i="1" a="1"/>
  <c r="AB13" i="2" a="1"/>
  <c r="Y11" i="2" a="1"/>
  <c r="Z12" i="2" a="1"/>
  <c r="Z16" i="2" a="1"/>
  <c r="Z13" i="2" a="1"/>
  <c r="Y14" i="2" a="1"/>
  <c r="J66" i="1" a="1"/>
  <c r="J70" i="1" a="1"/>
  <c r="X13" i="2" a="1"/>
  <c r="J56" i="1" a="1"/>
  <c r="J60" i="1" a="1"/>
  <c r="J62" i="1" a="1"/>
  <c r="J72" i="1" a="1"/>
  <c r="W13" i="2" a="1"/>
  <c r="AB16" i="2" a="1"/>
  <c r="Y10" i="2" a="1"/>
  <c r="V12" i="2" a="1"/>
  <c r="AB12" i="2" a="1"/>
  <c r="V16" i="2" a="1"/>
  <c r="AB11" i="2" a="1"/>
  <c r="J63" i="1" a="1"/>
  <c r="J71" i="1" a="1"/>
  <c r="J69" i="1" a="1"/>
  <c r="W15" i="2" a="1"/>
  <c r="J53" i="1" a="1"/>
  <c r="Y15" i="2" a="1"/>
  <c r="J67" i="1" a="1"/>
  <c r="J59" i="1" a="1"/>
  <c r="AB15" i="2" a="1"/>
  <c r="J65" i="1" a="1"/>
  <c r="AA15" i="2" a="1"/>
  <c r="X15" i="2" a="1"/>
  <c r="J61" i="1" a="1"/>
  <c r="V15" i="2" a="1"/>
  <c r="Z15" i="2" a="1"/>
  <c r="J57" i="1" a="1"/>
  <c r="J55" i="1" a="1"/>
  <c r="O129" i="2" l="1"/>
  <c r="O119" i="2"/>
  <c r="O152" i="2"/>
  <c r="AA16" i="2"/>
  <c r="AA10" i="2"/>
  <c r="W92" i="2" s="1"/>
  <c r="AE92" i="2" s="1"/>
  <c r="AA13" i="2"/>
  <c r="AI13" i="2" s="1"/>
  <c r="AA11" i="2"/>
  <c r="Z36" i="2" s="1"/>
  <c r="AH36" i="2" s="1"/>
  <c r="AB10" i="2"/>
  <c r="X92" i="2" s="1"/>
  <c r="AL92" i="2" s="1"/>
  <c r="AB15" i="2"/>
  <c r="R19" i="2" s="1"/>
  <c r="AB13" i="2"/>
  <c r="AP13" i="2" s="1"/>
  <c r="AA12" i="2"/>
  <c r="Y59" i="2" s="1"/>
  <c r="AG59" i="2" s="1"/>
  <c r="AB14" i="2"/>
  <c r="AP14" i="2" s="1"/>
  <c r="AA14" i="2"/>
  <c r="AI14" i="2" s="1"/>
  <c r="AB11" i="2"/>
  <c r="Z58" i="2" s="1"/>
  <c r="AN58" i="2" s="1"/>
  <c r="AB12" i="2"/>
  <c r="Z59" i="2" s="1"/>
  <c r="AN59" i="2" s="1"/>
  <c r="O150" i="2"/>
  <c r="O161" i="2"/>
  <c r="O138" i="2"/>
  <c r="O123" i="2"/>
  <c r="O154" i="2"/>
  <c r="X107" i="2"/>
  <c r="X108" i="2" s="1"/>
  <c r="O151" i="2"/>
  <c r="Z107" i="2"/>
  <c r="Z108" i="2" s="1"/>
  <c r="O108" i="2"/>
  <c r="O114" i="2"/>
  <c r="O133" i="2"/>
  <c r="O182" i="2"/>
  <c r="O147" i="2"/>
  <c r="O215" i="2"/>
  <c r="O118" i="2"/>
  <c r="O128" i="2"/>
  <c r="O111" i="2"/>
  <c r="O117" i="2"/>
  <c r="O181" i="2"/>
  <c r="O199" i="2"/>
  <c r="O168" i="2"/>
  <c r="O122" i="2"/>
  <c r="O183" i="2"/>
  <c r="O169" i="2"/>
  <c r="O159" i="2"/>
  <c r="O125" i="2"/>
  <c r="O131" i="2"/>
  <c r="O109" i="2"/>
  <c r="O127" i="2"/>
  <c r="O132" i="2"/>
  <c r="O126" i="2"/>
  <c r="O113" i="2"/>
  <c r="O189" i="2"/>
  <c r="O211" i="2"/>
  <c r="O146" i="2"/>
  <c r="O213" i="2"/>
  <c r="F13" i="2"/>
  <c r="F17" i="2" s="1"/>
  <c r="F18" i="2" s="1"/>
  <c r="O120" i="2"/>
  <c r="O124" i="2"/>
  <c r="O201" i="2"/>
  <c r="O180" i="2"/>
  <c r="O143" i="2"/>
  <c r="O170" i="2"/>
  <c r="O116" i="2"/>
  <c r="O130" i="2"/>
  <c r="O112" i="2"/>
  <c r="O121" i="2"/>
  <c r="O115" i="2"/>
  <c r="O107" i="2"/>
  <c r="O110" i="2"/>
  <c r="O197" i="2"/>
  <c r="O207" i="2"/>
  <c r="O186" i="2"/>
  <c r="O228" i="2"/>
  <c r="O236" i="2"/>
  <c r="O244" i="2"/>
  <c r="O252" i="2"/>
  <c r="O260" i="2"/>
  <c r="O268" i="2"/>
  <c r="O276" i="2"/>
  <c r="O284" i="2"/>
  <c r="O292" i="2"/>
  <c r="O300" i="2"/>
  <c r="O308" i="2"/>
  <c r="O316" i="2"/>
  <c r="O324" i="2"/>
  <c r="O332" i="2"/>
  <c r="O340" i="2"/>
  <c r="O262" i="2"/>
  <c r="O310" i="2"/>
  <c r="O334" i="2"/>
  <c r="O231" i="2"/>
  <c r="O263" i="2"/>
  <c r="O287" i="2"/>
  <c r="O311" i="2"/>
  <c r="O343" i="2"/>
  <c r="O248" i="2"/>
  <c r="O256" i="2"/>
  <c r="O280" i="2"/>
  <c r="O288" i="2"/>
  <c r="O312" i="2"/>
  <c r="O328" i="2"/>
  <c r="O229" i="2"/>
  <c r="O237" i="2"/>
  <c r="O245" i="2"/>
  <c r="O253" i="2"/>
  <c r="O261" i="2"/>
  <c r="O269" i="2"/>
  <c r="O277" i="2"/>
  <c r="O285" i="2"/>
  <c r="O293" i="2"/>
  <c r="O301" i="2"/>
  <c r="O309" i="2"/>
  <c r="O317" i="2"/>
  <c r="O325" i="2"/>
  <c r="O333" i="2"/>
  <c r="O341" i="2"/>
  <c r="O254" i="2"/>
  <c r="O302" i="2"/>
  <c r="O326" i="2"/>
  <c r="O239" i="2"/>
  <c r="O255" i="2"/>
  <c r="O271" i="2"/>
  <c r="O295" i="2"/>
  <c r="O327" i="2"/>
  <c r="O240" i="2"/>
  <c r="O272" i="2"/>
  <c r="O304" i="2"/>
  <c r="O336" i="2"/>
  <c r="O230" i="2"/>
  <c r="O238" i="2"/>
  <c r="O246" i="2"/>
  <c r="O270" i="2"/>
  <c r="O278" i="2"/>
  <c r="O286" i="2"/>
  <c r="O294" i="2"/>
  <c r="O318" i="2"/>
  <c r="O342" i="2"/>
  <c r="O247" i="2"/>
  <c r="O279" i="2"/>
  <c r="O303" i="2"/>
  <c r="O319" i="2"/>
  <c r="O335" i="2"/>
  <c r="O232" i="2"/>
  <c r="O264" i="2"/>
  <c r="O296" i="2"/>
  <c r="O320" i="2"/>
  <c r="O233" i="2"/>
  <c r="O241" i="2"/>
  <c r="O249" i="2"/>
  <c r="O257" i="2"/>
  <c r="O265" i="2"/>
  <c r="O273" i="2"/>
  <c r="O281" i="2"/>
  <c r="O289" i="2"/>
  <c r="O297" i="2"/>
  <c r="O305" i="2"/>
  <c r="O313" i="2"/>
  <c r="O321" i="2"/>
  <c r="O329" i="2"/>
  <c r="O337" i="2"/>
  <c r="O345" i="2"/>
  <c r="O234" i="2"/>
  <c r="O242" i="2"/>
  <c r="O250" i="2"/>
  <c r="O258" i="2"/>
  <c r="O266" i="2"/>
  <c r="O274" i="2"/>
  <c r="O282" i="2"/>
  <c r="O290" i="2"/>
  <c r="O298" i="2"/>
  <c r="O306" i="2"/>
  <c r="O314" i="2"/>
  <c r="O322" i="2"/>
  <c r="O330" i="2"/>
  <c r="O338" i="2"/>
  <c r="O346" i="2"/>
  <c r="O235" i="2"/>
  <c r="O243" i="2"/>
  <c r="O251" i="2"/>
  <c r="O259" i="2"/>
  <c r="O267" i="2"/>
  <c r="O275" i="2"/>
  <c r="O283" i="2"/>
  <c r="O291" i="2"/>
  <c r="O299" i="2"/>
  <c r="O307" i="2"/>
  <c r="O315" i="2"/>
  <c r="O323" i="2"/>
  <c r="O331" i="2"/>
  <c r="O339" i="2"/>
  <c r="O347" i="2"/>
  <c r="O344" i="2"/>
  <c r="J70" i="1"/>
  <c r="J72" i="1"/>
  <c r="J62" i="1"/>
  <c r="J64" i="1"/>
  <c r="J58" i="1"/>
  <c r="J66" i="1"/>
  <c r="J54" i="1"/>
  <c r="J56" i="1"/>
  <c r="J60" i="1"/>
  <c r="J68" i="1"/>
  <c r="J63" i="1"/>
  <c r="J61" i="1"/>
  <c r="J65" i="1"/>
  <c r="J53" i="1"/>
  <c r="J59" i="1"/>
  <c r="J67" i="1"/>
  <c r="J57" i="1"/>
  <c r="J71" i="1"/>
  <c r="J55" i="1"/>
  <c r="J69" i="1"/>
  <c r="Z13" i="2"/>
  <c r="X14" i="2"/>
  <c r="V14" i="2"/>
  <c r="W13" i="2"/>
  <c r="X10" i="2"/>
  <c r="Y12" i="2"/>
  <c r="Z10" i="2"/>
  <c r="X11" i="2"/>
  <c r="Y10" i="2"/>
  <c r="V12" i="2"/>
  <c r="Y14" i="2"/>
  <c r="W12" i="2"/>
  <c r="Y11" i="2"/>
  <c r="W14" i="2"/>
  <c r="Z11" i="2"/>
  <c r="Z12" i="2"/>
  <c r="V13" i="2"/>
  <c r="X13" i="2"/>
  <c r="Z16" i="2"/>
  <c r="AO15" i="2" s="1"/>
  <c r="V15" i="2"/>
  <c r="AA15" i="2"/>
  <c r="X16" i="2"/>
  <c r="Y15" i="2"/>
  <c r="V16" i="2"/>
  <c r="W15" i="2"/>
  <c r="W16" i="2"/>
  <c r="Z15" i="2"/>
  <c r="AH15" i="2" s="1"/>
  <c r="AB16" i="2"/>
  <c r="X15" i="2"/>
  <c r="Y16" i="2"/>
  <c r="O166" i="2"/>
  <c r="O178" i="2"/>
  <c r="O203" i="2"/>
  <c r="O204" i="2"/>
  <c r="O196" i="2"/>
  <c r="O218" i="2"/>
  <c r="O225" i="2"/>
  <c r="O141" i="2"/>
  <c r="O164" i="2"/>
  <c r="O200" i="2"/>
  <c r="O216" i="2"/>
  <c r="O210" i="2"/>
  <c r="O222" i="2"/>
  <c r="O163" i="2"/>
  <c r="O185" i="2"/>
  <c r="O202" i="2"/>
  <c r="O209" i="2"/>
  <c r="O176" i="2"/>
  <c r="O153" i="2"/>
  <c r="O191" i="2"/>
  <c r="O136" i="2"/>
  <c r="O223" i="2"/>
  <c r="O140" i="2"/>
  <c r="O148" i="2"/>
  <c r="O167" i="2"/>
  <c r="O149" i="2"/>
  <c r="O173" i="2"/>
  <c r="O194" i="2"/>
  <c r="O144" i="2"/>
  <c r="O205" i="2"/>
  <c r="O142" i="2"/>
  <c r="O220" i="2"/>
  <c r="O135" i="2"/>
  <c r="O227" i="2"/>
  <c r="O192" i="2"/>
  <c r="O193" i="2"/>
  <c r="O139" i="2"/>
  <c r="O208" i="2"/>
  <c r="O198" i="2"/>
  <c r="O206" i="2"/>
  <c r="O214" i="2"/>
  <c r="O158" i="2"/>
  <c r="O145" i="2"/>
  <c r="O217" i="2"/>
  <c r="B50" i="2"/>
  <c r="B31" i="2"/>
  <c r="B39" i="2"/>
  <c r="B45" i="2"/>
  <c r="B32" i="2"/>
  <c r="B40" i="2"/>
  <c r="B37" i="2"/>
  <c r="B25" i="2"/>
  <c r="B51" i="2"/>
  <c r="B33" i="2"/>
  <c r="B41" i="2"/>
  <c r="B44" i="2"/>
  <c r="B38" i="2"/>
  <c r="B34" i="2"/>
  <c r="B42" i="2"/>
  <c r="B30" i="2"/>
  <c r="B27" i="2"/>
  <c r="B35" i="2"/>
  <c r="B43" i="2"/>
  <c r="B28" i="2"/>
  <c r="B36" i="2"/>
  <c r="B29" i="2"/>
  <c r="B46" i="2"/>
  <c r="B47" i="2"/>
  <c r="B49" i="2"/>
  <c r="B26" i="2"/>
  <c r="B48" i="2"/>
  <c r="O184" i="2"/>
  <c r="O212" i="2"/>
  <c r="O134" i="2"/>
  <c r="O137" i="2"/>
  <c r="O187" i="2"/>
  <c r="O165" i="2"/>
  <c r="O160" i="2"/>
  <c r="O221" i="2"/>
  <c r="O162" i="2"/>
  <c r="O179" i="2"/>
  <c r="O219" i="2"/>
  <c r="O174" i="2"/>
  <c r="O195" i="2"/>
  <c r="O190" i="2"/>
  <c r="O188" i="2"/>
  <c r="O155" i="2"/>
  <c r="O224" i="2"/>
  <c r="O171" i="2"/>
  <c r="O226" i="2"/>
  <c r="O156" i="2"/>
  <c r="O157" i="2"/>
  <c r="O175" i="2"/>
  <c r="O172" i="2"/>
  <c r="P16" i="2" a="1"/>
  <c r="P13" i="2" a="1"/>
  <c r="P15" i="2" a="1"/>
  <c r="P14" i="2" a="1"/>
  <c r="P10" i="2" a="1"/>
  <c r="P11" i="2" a="1"/>
  <c r="P12" i="2" a="1"/>
  <c r="AA36" i="2" l="1"/>
  <c r="AO36" i="2" s="1"/>
  <c r="AP11" i="2"/>
  <c r="Y77" i="2"/>
  <c r="AM77" i="2" s="1"/>
  <c r="X77" i="2"/>
  <c r="AF77" i="2" s="1"/>
  <c r="Y57" i="2"/>
  <c r="AG57" i="2" s="1"/>
  <c r="AI11" i="2"/>
  <c r="Y58" i="2"/>
  <c r="AG58" i="2" s="1"/>
  <c r="I78" i="2"/>
  <c r="Z35" i="2"/>
  <c r="AH35" i="2" s="1"/>
  <c r="AI10" i="2"/>
  <c r="X76" i="2"/>
  <c r="AF76" i="2" s="1"/>
  <c r="Z57" i="2"/>
  <c r="AN57" i="2" s="1"/>
  <c r="Z38" i="2"/>
  <c r="AH38" i="2" s="1"/>
  <c r="AA39" i="2"/>
  <c r="AP10" i="2"/>
  <c r="AA37" i="2"/>
  <c r="AO37" i="2" s="1"/>
  <c r="AI12" i="2"/>
  <c r="AA35" i="2"/>
  <c r="AO35" i="2" s="1"/>
  <c r="AP12" i="2"/>
  <c r="Y76" i="2"/>
  <c r="AM76" i="2" s="1"/>
  <c r="Z60" i="2"/>
  <c r="X93" i="2"/>
  <c r="Y78" i="2"/>
  <c r="Z37" i="2"/>
  <c r="AH37" i="2" s="1"/>
  <c r="AA38" i="2"/>
  <c r="AO38" i="2" s="1"/>
  <c r="Q20" i="2"/>
  <c r="X79" i="2"/>
  <c r="W94" i="2"/>
  <c r="Y61" i="2"/>
  <c r="Z40" i="2"/>
  <c r="I67" i="2"/>
  <c r="I76" i="2"/>
  <c r="I54" i="2"/>
  <c r="I75" i="2"/>
  <c r="I71" i="2"/>
  <c r="I58" i="2"/>
  <c r="I72" i="2"/>
  <c r="I64" i="2"/>
  <c r="I69" i="2"/>
  <c r="I61" i="2"/>
  <c r="I68" i="2"/>
  <c r="I66" i="2"/>
  <c r="I62" i="2"/>
  <c r="I80" i="2"/>
  <c r="I79" i="2"/>
  <c r="I73" i="2"/>
  <c r="I57" i="2"/>
  <c r="I55" i="2"/>
  <c r="I59" i="2"/>
  <c r="I65" i="2"/>
  <c r="I77" i="2"/>
  <c r="I74" i="2"/>
  <c r="I60" i="2"/>
  <c r="I70" i="2"/>
  <c r="I56" i="2"/>
  <c r="I63" i="2"/>
  <c r="V18" i="2" a="1"/>
  <c r="X24" i="2" s="1"/>
  <c r="P16" i="2"/>
  <c r="P15" i="2"/>
  <c r="X60" i="2"/>
  <c r="AF60" i="2" s="1"/>
  <c r="AF15" i="2"/>
  <c r="X39" i="2"/>
  <c r="AF39" i="2" s="1"/>
  <c r="Q19" i="2"/>
  <c r="Z39" i="2"/>
  <c r="AH39" i="2" s="1"/>
  <c r="Y60" i="2"/>
  <c r="AG60" i="2" s="1"/>
  <c r="AI15" i="2"/>
  <c r="W93" i="2"/>
  <c r="AE93" i="2" s="1"/>
  <c r="X78" i="2"/>
  <c r="AF78" i="2" s="1"/>
  <c r="AV11" i="2"/>
  <c r="AH11" i="2"/>
  <c r="AO11" i="2"/>
  <c r="AU10" i="2"/>
  <c r="AN10" i="2"/>
  <c r="Y35" i="2"/>
  <c r="AG10" i="2"/>
  <c r="AR14" i="2"/>
  <c r="AK14" i="2"/>
  <c r="AD14" i="2"/>
  <c r="X94" i="2"/>
  <c r="AL93" i="2" s="1"/>
  <c r="R20" i="2"/>
  <c r="Z61" i="2"/>
  <c r="AN60" i="2" s="1"/>
  <c r="Y79" i="2"/>
  <c r="AM78" i="2" s="1"/>
  <c r="AP15" i="2"/>
  <c r="AA40" i="2"/>
  <c r="AO39" i="2" s="1"/>
  <c r="V93" i="2"/>
  <c r="AD93" i="2" s="1"/>
  <c r="V39" i="2"/>
  <c r="AD39" i="2" s="1"/>
  <c r="V60" i="2"/>
  <c r="AD60" i="2" s="1"/>
  <c r="V78" i="2"/>
  <c r="AD78" i="2" s="1"/>
  <c r="AD15" i="2"/>
  <c r="AD11" i="2"/>
  <c r="V77" i="2"/>
  <c r="V58" i="2"/>
  <c r="AR11" i="2"/>
  <c r="V36" i="2"/>
  <c r="AK11" i="2"/>
  <c r="X58" i="2"/>
  <c r="X36" i="2"/>
  <c r="AM11" i="2"/>
  <c r="AF11" i="2"/>
  <c r="AT11" i="2"/>
  <c r="V76" i="2"/>
  <c r="AR10" i="2"/>
  <c r="V92" i="2"/>
  <c r="AD10" i="2"/>
  <c r="V35" i="2"/>
  <c r="V57" i="2"/>
  <c r="AK10" i="2"/>
  <c r="AS14" i="2"/>
  <c r="AE14" i="2"/>
  <c r="AL14" i="2"/>
  <c r="W58" i="2"/>
  <c r="AL11" i="2"/>
  <c r="AE11" i="2"/>
  <c r="AS11" i="2"/>
  <c r="W36" i="2"/>
  <c r="W77" i="2"/>
  <c r="AT14" i="2"/>
  <c r="AF14" i="2"/>
  <c r="AM14" i="2"/>
  <c r="W40" i="2"/>
  <c r="AL39" i="2" s="1"/>
  <c r="AL15" i="2"/>
  <c r="W61" i="2"/>
  <c r="AL60" i="2" s="1"/>
  <c r="W79" i="2"/>
  <c r="AL78" i="2" s="1"/>
  <c r="AF13" i="2"/>
  <c r="AM13" i="2"/>
  <c r="X38" i="2"/>
  <c r="AT13" i="2"/>
  <c r="AV14" i="2"/>
  <c r="AO14" i="2"/>
  <c r="AH14" i="2"/>
  <c r="AV10" i="2"/>
  <c r="AH10" i="2"/>
  <c r="AO10" i="2"/>
  <c r="AV13" i="2"/>
  <c r="AO13" i="2"/>
  <c r="AH13" i="2"/>
  <c r="W60" i="2"/>
  <c r="AE60" i="2" s="1"/>
  <c r="W78" i="2"/>
  <c r="AE78" i="2" s="1"/>
  <c r="W39" i="2"/>
  <c r="AE39" i="2" s="1"/>
  <c r="AE15" i="2"/>
  <c r="AU13" i="2"/>
  <c r="Y38" i="2"/>
  <c r="AN13" i="2"/>
  <c r="AG13" i="2"/>
  <c r="AU11" i="2"/>
  <c r="AG11" i="2"/>
  <c r="Y36" i="2"/>
  <c r="AN11" i="2"/>
  <c r="X59" i="2"/>
  <c r="AT12" i="2"/>
  <c r="AM12" i="2"/>
  <c r="X37" i="2"/>
  <c r="AF12" i="2"/>
  <c r="V94" i="2"/>
  <c r="AK93" i="2" s="1"/>
  <c r="AK15" i="2"/>
  <c r="V61" i="2"/>
  <c r="AK60" i="2" s="1"/>
  <c r="V40" i="2"/>
  <c r="AK39" i="2" s="1"/>
  <c r="V79" i="2"/>
  <c r="AK78" i="2" s="1"/>
  <c r="AR13" i="2"/>
  <c r="AD13" i="2"/>
  <c r="V38" i="2"/>
  <c r="AK13" i="2"/>
  <c r="W59" i="2"/>
  <c r="AS12" i="2"/>
  <c r="AE12" i="2"/>
  <c r="AL12" i="2"/>
  <c r="W37" i="2"/>
  <c r="AU12" i="2"/>
  <c r="Y37" i="2"/>
  <c r="AN12" i="2"/>
  <c r="AG12" i="2"/>
  <c r="AG15" i="2"/>
  <c r="Y39" i="2"/>
  <c r="AG39" i="2" s="1"/>
  <c r="AV12" i="2"/>
  <c r="AO12" i="2"/>
  <c r="AH12" i="2"/>
  <c r="AU14" i="2"/>
  <c r="AN14" i="2"/>
  <c r="AG14" i="2"/>
  <c r="X57" i="2"/>
  <c r="AT10" i="2"/>
  <c r="AM10" i="2"/>
  <c r="X35" i="2"/>
  <c r="AF10" i="2"/>
  <c r="Y40" i="2"/>
  <c r="AN39" i="2" s="1"/>
  <c r="AN15" i="2"/>
  <c r="X61" i="2"/>
  <c r="AM60" i="2" s="1"/>
  <c r="AM15" i="2"/>
  <c r="X40" i="2"/>
  <c r="AM39" i="2" s="1"/>
  <c r="W57" i="2"/>
  <c r="W76" i="2"/>
  <c r="AS10" i="2"/>
  <c r="AL10" i="2"/>
  <c r="AE10" i="2"/>
  <c r="W35" i="2"/>
  <c r="V59" i="2"/>
  <c r="AK12" i="2"/>
  <c r="AD12" i="2"/>
  <c r="AR12" i="2"/>
  <c r="V37" i="2"/>
  <c r="AS13" i="2"/>
  <c r="AL13" i="2"/>
  <c r="W38" i="2"/>
  <c r="AE13" i="2"/>
  <c r="P10" i="2"/>
  <c r="P11" i="2"/>
  <c r="P12" i="2"/>
  <c r="P13" i="2"/>
  <c r="P14" i="2"/>
  <c r="T10" i="2"/>
  <c r="T11" i="2"/>
  <c r="T12" i="2"/>
  <c r="U71" i="2" s="1"/>
  <c r="AJ71" i="2" s="1"/>
  <c r="T14" i="2"/>
  <c r="T13" i="2"/>
  <c r="T15" i="2"/>
  <c r="Q28" i="2" s="1"/>
  <c r="T16" i="2"/>
  <c r="Q30" i="2" s="1"/>
  <c r="V96" i="2" l="1" a="1"/>
  <c r="X96" i="2" s="1"/>
  <c r="X19" i="2"/>
  <c r="AA24" i="2"/>
  <c r="Z19" i="2"/>
  <c r="AB19" i="2"/>
  <c r="X18" i="2"/>
  <c r="X22" i="2"/>
  <c r="V19" i="2"/>
  <c r="AB22" i="2"/>
  <c r="Y19" i="2"/>
  <c r="Y22" i="2"/>
  <c r="X23" i="2"/>
  <c r="Y23" i="2"/>
  <c r="AB23" i="2"/>
  <c r="Z20" i="2"/>
  <c r="AD18" i="2" a="1"/>
  <c r="AD18" i="2" s="1"/>
  <c r="AB21" i="2"/>
  <c r="Z21" i="2"/>
  <c r="Z22" i="2"/>
  <c r="Z23" i="2"/>
  <c r="Y21" i="2"/>
  <c r="X20" i="2"/>
  <c r="Y18" i="2"/>
  <c r="Y24" i="2"/>
  <c r="AB24" i="2"/>
  <c r="W22" i="2"/>
  <c r="W21" i="2"/>
  <c r="X21" i="2"/>
  <c r="W19" i="2"/>
  <c r="AA20" i="2"/>
  <c r="AA22" i="2"/>
  <c r="V20" i="2"/>
  <c r="V21" i="2"/>
  <c r="Y20" i="2"/>
  <c r="V24" i="2"/>
  <c r="AA18" i="2"/>
  <c r="AA19" i="2"/>
  <c r="W20" i="2"/>
  <c r="V23" i="2"/>
  <c r="V22" i="2"/>
  <c r="AB18" i="2"/>
  <c r="W23" i="2"/>
  <c r="Z18" i="2"/>
  <c r="AB20" i="2"/>
  <c r="AA21" i="2"/>
  <c r="W24" i="2"/>
  <c r="V18" i="2"/>
  <c r="AA23" i="2"/>
  <c r="W18" i="2"/>
  <c r="Z24" i="2"/>
  <c r="V63" i="2" a="1"/>
  <c r="Z65" i="2" s="1"/>
  <c r="AK18" i="2" a="1"/>
  <c r="AM21" i="2" s="1"/>
  <c r="AK37" i="2"/>
  <c r="AR37" i="2"/>
  <c r="AD37" i="2"/>
  <c r="AF37" i="2"/>
  <c r="AT37" i="2"/>
  <c r="AM37" i="2"/>
  <c r="AT58" i="2"/>
  <c r="AM58" i="2"/>
  <c r="AF58" i="2"/>
  <c r="AL76" i="2"/>
  <c r="AE76" i="2"/>
  <c r="AS76" i="2"/>
  <c r="AM35" i="2"/>
  <c r="AF35" i="2"/>
  <c r="AT35" i="2"/>
  <c r="AS37" i="2"/>
  <c r="AL37" i="2"/>
  <c r="AE37" i="2"/>
  <c r="AL58" i="2"/>
  <c r="AS58" i="2"/>
  <c r="AE58" i="2"/>
  <c r="AK92" i="2"/>
  <c r="AK96" i="2" s="1" a="1"/>
  <c r="AD92" i="2"/>
  <c r="AD96" i="2" s="1" a="1"/>
  <c r="AT38" i="2"/>
  <c r="AM38" i="2"/>
  <c r="AF38" i="2"/>
  <c r="AR18" i="2" a="1"/>
  <c r="AK36" i="2"/>
  <c r="AD36" i="2"/>
  <c r="AR36" i="2"/>
  <c r="Q22" i="2" a="1"/>
  <c r="AS57" i="2"/>
  <c r="AE57" i="2"/>
  <c r="AL57" i="2"/>
  <c r="V81" i="2" a="1"/>
  <c r="Y82" i="2" s="1"/>
  <c r="AF59" i="2"/>
  <c r="AT59" i="2"/>
  <c r="AM59" i="2"/>
  <c r="AR76" i="2"/>
  <c r="AK76" i="2"/>
  <c r="AD76" i="2"/>
  <c r="V42" i="2" a="1"/>
  <c r="AA42" i="2" s="1"/>
  <c r="AR59" i="2"/>
  <c r="AD59" i="2"/>
  <c r="AK59" i="2"/>
  <c r="AF57" i="2"/>
  <c r="AM57" i="2"/>
  <c r="AT57" i="2"/>
  <c r="AS77" i="2"/>
  <c r="AE77" i="2"/>
  <c r="AL77" i="2"/>
  <c r="AK58" i="2"/>
  <c r="AR58" i="2"/>
  <c r="AD58" i="2"/>
  <c r="AU38" i="2"/>
  <c r="AN38" i="2"/>
  <c r="AG38" i="2"/>
  <c r="AE38" i="2"/>
  <c r="AL38" i="2"/>
  <c r="AS38" i="2"/>
  <c r="AE35" i="2"/>
  <c r="AL35" i="2"/>
  <c r="AS35" i="2"/>
  <c r="AE59" i="2"/>
  <c r="AS59" i="2"/>
  <c r="AL59" i="2"/>
  <c r="AG36" i="2"/>
  <c r="AN36" i="2"/>
  <c r="AU36" i="2"/>
  <c r="AL36" i="2"/>
  <c r="AS36" i="2"/>
  <c r="AE36" i="2"/>
  <c r="AR77" i="2"/>
  <c r="AD77" i="2"/>
  <c r="AK77" i="2"/>
  <c r="AR57" i="2"/>
  <c r="AK57" i="2"/>
  <c r="AD57" i="2"/>
  <c r="AU37" i="2"/>
  <c r="AG37" i="2"/>
  <c r="AN37" i="2"/>
  <c r="AD38" i="2"/>
  <c r="AK38" i="2"/>
  <c r="AR38" i="2"/>
  <c r="AR35" i="2"/>
  <c r="AK35" i="2"/>
  <c r="AD35" i="2"/>
  <c r="AT36" i="2"/>
  <c r="AM36" i="2"/>
  <c r="AF36" i="2"/>
  <c r="AN35" i="2"/>
  <c r="AU35" i="2"/>
  <c r="AG35" i="2"/>
  <c r="U89" i="2"/>
  <c r="AJ88" i="2" s="1"/>
  <c r="U102" i="2"/>
  <c r="AJ101" i="2" s="1"/>
  <c r="U88" i="2"/>
  <c r="U101" i="2"/>
  <c r="U86" i="2"/>
  <c r="AJ86" i="2" s="1"/>
  <c r="U100" i="2"/>
  <c r="U70" i="2"/>
  <c r="AJ70" i="2" s="1"/>
  <c r="U87" i="2"/>
  <c r="AJ87" i="2" s="1"/>
  <c r="U54" i="2"/>
  <c r="AJ53" i="2" s="1"/>
  <c r="U73" i="2"/>
  <c r="AJ72" i="2" s="1"/>
  <c r="U53" i="2"/>
  <c r="U72" i="2"/>
  <c r="U49" i="2"/>
  <c r="U69" i="2"/>
  <c r="AJ30" i="2"/>
  <c r="AJ28" i="2"/>
  <c r="U51" i="2"/>
  <c r="AJ51" i="2" s="1"/>
  <c r="AJ29" i="2"/>
  <c r="U52" i="2"/>
  <c r="AJ52" i="2" s="1"/>
  <c r="AJ31" i="2"/>
  <c r="AJ27" i="2"/>
  <c r="U50" i="2"/>
  <c r="AJ26" i="2"/>
  <c r="V26" i="2" l="1" a="1"/>
  <c r="V32" i="2" s="1"/>
  <c r="AX16" i="2" s="1"/>
  <c r="AR100" i="2"/>
  <c r="BQ10" i="2" s="1"/>
  <c r="V98" i="2"/>
  <c r="X98" i="2"/>
  <c r="V96" i="2"/>
  <c r="W97" i="2"/>
  <c r="W96" i="2"/>
  <c r="AK22" i="2"/>
  <c r="AO22" i="2"/>
  <c r="AL20" i="2"/>
  <c r="AL22" i="2"/>
  <c r="AO20" i="2"/>
  <c r="AN19" i="2"/>
  <c r="AN23" i="2"/>
  <c r="V97" i="2"/>
  <c r="W98" i="2"/>
  <c r="X97" i="2"/>
  <c r="AN22" i="2"/>
  <c r="AL21" i="2"/>
  <c r="AN20" i="2"/>
  <c r="AO21" i="2"/>
  <c r="AM19" i="2"/>
  <c r="AP20" i="2"/>
  <c r="AK20" i="2"/>
  <c r="AM22" i="2"/>
  <c r="AL19" i="2"/>
  <c r="AO18" i="2"/>
  <c r="X66" i="2"/>
  <c r="Y67" i="2"/>
  <c r="AF18" i="2"/>
  <c r="AD20" i="2"/>
  <c r="X67" i="2"/>
  <c r="V67" i="2"/>
  <c r="AF19" i="2"/>
  <c r="AF23" i="2"/>
  <c r="AI19" i="2"/>
  <c r="W63" i="2"/>
  <c r="AI20" i="2"/>
  <c r="AH21" i="2"/>
  <c r="Z66" i="2"/>
  <c r="W67" i="2"/>
  <c r="AH20" i="2"/>
  <c r="X64" i="2"/>
  <c r="X65" i="2"/>
  <c r="AI18" i="2"/>
  <c r="AH18" i="2"/>
  <c r="Y65" i="2"/>
  <c r="AE20" i="2"/>
  <c r="AG23" i="2"/>
  <c r="W64" i="2"/>
  <c r="W66" i="2"/>
  <c r="AH22" i="2"/>
  <c r="AE23" i="2"/>
  <c r="AE19" i="2"/>
  <c r="V66" i="2"/>
  <c r="AF20" i="2"/>
  <c r="Z67" i="2"/>
  <c r="Y63" i="2"/>
  <c r="Y66" i="2"/>
  <c r="AE22" i="2"/>
  <c r="AF21" i="2"/>
  <c r="AD21" i="2"/>
  <c r="Z63" i="2"/>
  <c r="V64" i="2"/>
  <c r="AE18" i="2"/>
  <c r="AH23" i="2"/>
  <c r="AG18" i="2"/>
  <c r="W43" i="2"/>
  <c r="AO19" i="2"/>
  <c r="AN21" i="2"/>
  <c r="AD22" i="2"/>
  <c r="AI22" i="2"/>
  <c r="AE21" i="2"/>
  <c r="Z44" i="2"/>
  <c r="Y44" i="2"/>
  <c r="AG19" i="2"/>
  <c r="AG21" i="2"/>
  <c r="AI21" i="2"/>
  <c r="W84" i="2"/>
  <c r="AG20" i="2"/>
  <c r="AD81" i="2" a="1"/>
  <c r="AD83" i="2" s="1"/>
  <c r="AI23" i="2"/>
  <c r="AP21" i="2"/>
  <c r="AN18" i="2"/>
  <c r="AP19" i="2"/>
  <c r="AF22" i="2"/>
  <c r="AD19" i="2"/>
  <c r="AH19" i="2"/>
  <c r="AD23" i="2"/>
  <c r="W82" i="2"/>
  <c r="AK81" i="2" a="1"/>
  <c r="AK83" i="2" s="1"/>
  <c r="X83" i="2"/>
  <c r="X44" i="2"/>
  <c r="W83" i="2"/>
  <c r="AG22" i="2"/>
  <c r="AA44" i="2"/>
  <c r="AR42" i="2" a="1"/>
  <c r="AU43" i="2" s="1"/>
  <c r="AK63" i="2" a="1"/>
  <c r="AK63" i="2" s="1"/>
  <c r="Z45" i="2"/>
  <c r="X45" i="2"/>
  <c r="AM23" i="2"/>
  <c r="AK19" i="2"/>
  <c r="AK21" i="2"/>
  <c r="AM20" i="2"/>
  <c r="V65" i="2"/>
  <c r="Z64" i="2"/>
  <c r="V63" i="2"/>
  <c r="X81" i="2"/>
  <c r="AA43" i="2"/>
  <c r="AA47" i="2"/>
  <c r="AO23" i="2"/>
  <c r="AP18" i="2"/>
  <c r="AP23" i="2"/>
  <c r="AP22" i="2"/>
  <c r="AL18" i="2"/>
  <c r="Z47" i="2"/>
  <c r="AK23" i="2"/>
  <c r="AL23" i="2"/>
  <c r="AK18" i="2"/>
  <c r="AM18" i="2"/>
  <c r="W65" i="2"/>
  <c r="X63" i="2"/>
  <c r="Y64" i="2"/>
  <c r="V83" i="2"/>
  <c r="AK42" i="2" a="1"/>
  <c r="AM43" i="2" s="1"/>
  <c r="AD63" i="2" a="1"/>
  <c r="AE64" i="2" s="1"/>
  <c r="Y46" i="2"/>
  <c r="X42" i="2"/>
  <c r="W44" i="2"/>
  <c r="Z42" i="2"/>
  <c r="R23" i="2"/>
  <c r="R22" i="2"/>
  <c r="Q23" i="2"/>
  <c r="Q22" i="2"/>
  <c r="AE97" i="2"/>
  <c r="AD96" i="2"/>
  <c r="AE96" i="2"/>
  <c r="AD97" i="2"/>
  <c r="AA46" i="2"/>
  <c r="AK96" i="2"/>
  <c r="AL97" i="2"/>
  <c r="AK97" i="2"/>
  <c r="AL96" i="2"/>
  <c r="Y47" i="2"/>
  <c r="Z46" i="2"/>
  <c r="V46" i="2"/>
  <c r="V45" i="2"/>
  <c r="V44" i="2"/>
  <c r="W47" i="2"/>
  <c r="Y43" i="2"/>
  <c r="Y84" i="2"/>
  <c r="W81" i="2"/>
  <c r="AD42" i="2" a="1"/>
  <c r="AU21" i="2"/>
  <c r="AR19" i="2"/>
  <c r="AV18" i="2"/>
  <c r="AV19" i="2"/>
  <c r="AV20" i="2"/>
  <c r="AT19" i="2"/>
  <c r="AS19" i="2"/>
  <c r="AS20" i="2"/>
  <c r="AT22" i="2"/>
  <c r="AU19" i="2"/>
  <c r="AR22" i="2"/>
  <c r="AS21" i="2"/>
  <c r="AT21" i="2"/>
  <c r="AR18" i="2"/>
  <c r="AT20" i="2"/>
  <c r="AR20" i="2"/>
  <c r="AV22" i="2"/>
  <c r="AS18" i="2"/>
  <c r="AU22" i="2"/>
  <c r="AU18" i="2"/>
  <c r="AU20" i="2"/>
  <c r="AS22" i="2"/>
  <c r="AV21" i="2"/>
  <c r="AR21" i="2"/>
  <c r="AT18" i="2"/>
  <c r="W46" i="2"/>
  <c r="W45" i="2"/>
  <c r="X47" i="2"/>
  <c r="W42" i="2"/>
  <c r="AA45" i="2"/>
  <c r="V82" i="2"/>
  <c r="X84" i="2"/>
  <c r="AR63" i="2" a="1"/>
  <c r="X82" i="2"/>
  <c r="Y83" i="2"/>
  <c r="AR81" i="2" a="1"/>
  <c r="Z43" i="2"/>
  <c r="X46" i="2"/>
  <c r="X43" i="2"/>
  <c r="V47" i="2"/>
  <c r="V42" i="2"/>
  <c r="Y42" i="2"/>
  <c r="Y45" i="2"/>
  <c r="V43" i="2"/>
  <c r="V81" i="2"/>
  <c r="Y81" i="2"/>
  <c r="V84" i="2"/>
  <c r="AJ49" i="2"/>
  <c r="AJ100" i="2"/>
  <c r="AJ69" i="2"/>
  <c r="AJ50" i="2"/>
  <c r="V30" i="2" l="1"/>
  <c r="AX14" i="2" s="1"/>
  <c r="V29" i="2"/>
  <c r="AX13" i="2" s="1"/>
  <c r="V28" i="2"/>
  <c r="AX12" i="2" s="1"/>
  <c r="V26" i="2"/>
  <c r="AX10" i="2" s="1"/>
  <c r="V31" i="2"/>
  <c r="AX15" i="2" s="1"/>
  <c r="V27" i="2"/>
  <c r="AX11" i="2" s="1"/>
  <c r="V100" i="2" a="1"/>
  <c r="V100" i="2" s="1"/>
  <c r="BN10" i="2" s="1"/>
  <c r="AS44" i="2"/>
  <c r="V69" i="2" a="1"/>
  <c r="V69" i="2" s="1"/>
  <c r="BF10" i="2" s="1"/>
  <c r="V49" i="2" a="1"/>
  <c r="V52" i="2" s="1"/>
  <c r="BB13" i="2" s="1"/>
  <c r="V86" i="2" a="1"/>
  <c r="V86" i="2" s="1"/>
  <c r="BJ10" i="2" s="1"/>
  <c r="AK26" i="2" a="1"/>
  <c r="AK28" i="2" s="1"/>
  <c r="AZ12" i="2" s="1"/>
  <c r="Q25" i="2" a="1"/>
  <c r="Q25" i="2" s="1"/>
  <c r="AD26" i="2" a="1"/>
  <c r="AD28" i="2" s="1"/>
  <c r="AY12" i="2" s="1"/>
  <c r="AD100" i="2" a="1"/>
  <c r="AD100" i="2" s="1"/>
  <c r="BO10" i="2" s="1"/>
  <c r="AR26" i="2" a="1"/>
  <c r="AR29" i="2" s="1"/>
  <c r="BA13" i="2" s="1"/>
  <c r="AS45" i="2"/>
  <c r="AM82" i="2"/>
  <c r="AL83" i="2"/>
  <c r="AK81" i="2"/>
  <c r="AK43" i="2"/>
  <c r="AL44" i="2"/>
  <c r="AO44" i="2"/>
  <c r="AK45" i="2"/>
  <c r="AE81" i="2"/>
  <c r="AL66" i="2"/>
  <c r="AM65" i="2"/>
  <c r="AT45" i="2"/>
  <c r="AT42" i="2"/>
  <c r="AK64" i="2"/>
  <c r="AN66" i="2"/>
  <c r="AN63" i="2"/>
  <c r="AD81" i="2"/>
  <c r="AF81" i="2"/>
  <c r="AE83" i="2"/>
  <c r="AL65" i="2"/>
  <c r="AL64" i="2"/>
  <c r="AU42" i="2"/>
  <c r="AD82" i="2"/>
  <c r="AL81" i="2"/>
  <c r="AK66" i="2"/>
  <c r="AM63" i="2"/>
  <c r="AR45" i="2"/>
  <c r="AF82" i="2"/>
  <c r="AE82" i="2"/>
  <c r="AL82" i="2"/>
  <c r="AM81" i="2"/>
  <c r="AM64" i="2"/>
  <c r="AT44" i="2"/>
  <c r="AN65" i="2"/>
  <c r="AK82" i="2"/>
  <c r="AN46" i="2"/>
  <c r="AU45" i="2"/>
  <c r="AM66" i="2"/>
  <c r="AM83" i="2"/>
  <c r="AF83" i="2"/>
  <c r="AT43" i="2"/>
  <c r="AR42" i="2"/>
  <c r="AN43" i="2"/>
  <c r="AO46" i="2"/>
  <c r="AE63" i="2"/>
  <c r="AK65" i="2"/>
  <c r="AD66" i="2"/>
  <c r="AN42" i="2"/>
  <c r="AM44" i="2"/>
  <c r="AO45" i="2"/>
  <c r="AF66" i="2"/>
  <c r="AF65" i="2"/>
  <c r="AE66" i="2"/>
  <c r="AD63" i="2"/>
  <c r="AS43" i="2"/>
  <c r="AR44" i="2"/>
  <c r="AO42" i="2"/>
  <c r="AF63" i="2"/>
  <c r="AN64" i="2"/>
  <c r="AD64" i="2"/>
  <c r="AG63" i="2"/>
  <c r="AO43" i="2"/>
  <c r="AR43" i="2"/>
  <c r="AU44" i="2"/>
  <c r="AG64" i="2"/>
  <c r="AD65" i="2"/>
  <c r="AF64" i="2"/>
  <c r="AG65" i="2"/>
  <c r="AK44" i="2"/>
  <c r="AL45" i="2"/>
  <c r="AM46" i="2"/>
  <c r="AK46" i="2"/>
  <c r="AE65" i="2"/>
  <c r="AL42" i="2"/>
  <c r="AM45" i="2"/>
  <c r="AK42" i="2"/>
  <c r="AL63" i="2"/>
  <c r="AN44" i="2"/>
  <c r="AL43" i="2"/>
  <c r="AS42" i="2"/>
  <c r="AG66" i="2"/>
  <c r="AM42" i="2"/>
  <c r="AN45" i="2"/>
  <c r="AL46" i="2"/>
  <c r="AR81" i="2"/>
  <c r="AS82" i="2"/>
  <c r="AR82" i="2"/>
  <c r="AS81" i="2"/>
  <c r="AS63" i="2"/>
  <c r="AR64" i="2"/>
  <c r="AS64" i="2"/>
  <c r="AR65" i="2"/>
  <c r="AT64" i="2"/>
  <c r="AT65" i="2"/>
  <c r="AR63" i="2"/>
  <c r="AT63" i="2"/>
  <c r="AS65" i="2"/>
  <c r="AD42" i="2"/>
  <c r="AE43" i="2"/>
  <c r="AE44" i="2"/>
  <c r="AG43" i="2"/>
  <c r="AD45" i="2"/>
  <c r="AF46" i="2"/>
  <c r="AH45" i="2"/>
  <c r="AE42" i="2"/>
  <c r="AG45" i="2"/>
  <c r="AG42" i="2"/>
  <c r="AE46" i="2"/>
  <c r="AF42" i="2"/>
  <c r="AG44" i="2"/>
  <c r="AH46" i="2"/>
  <c r="AF43" i="2"/>
  <c r="AF44" i="2"/>
  <c r="AE45" i="2"/>
  <c r="AG46" i="2"/>
  <c r="AD44" i="2"/>
  <c r="AF45" i="2"/>
  <c r="AD46" i="2"/>
  <c r="AH44" i="2"/>
  <c r="AH42" i="2"/>
  <c r="AH43" i="2"/>
  <c r="AD43" i="2"/>
  <c r="AK100" i="2" a="1"/>
  <c r="AK101" i="2" s="1"/>
  <c r="BP16" i="2" s="1"/>
  <c r="V101" i="2" l="1"/>
  <c r="BN15" i="2" s="1"/>
  <c r="V102" i="2"/>
  <c r="BN16" i="2" s="1"/>
  <c r="V89" i="2"/>
  <c r="BJ16" i="2" s="1"/>
  <c r="V88" i="2"/>
  <c r="BJ15" i="2" s="1"/>
  <c r="V50" i="2"/>
  <c r="BB11" i="2" s="1"/>
  <c r="V54" i="2"/>
  <c r="BB16" i="2" s="1"/>
  <c r="V51" i="2"/>
  <c r="BB12" i="2" s="1"/>
  <c r="V87" i="2"/>
  <c r="BJ11" i="2" s="1"/>
  <c r="AD29" i="2"/>
  <c r="AY13" i="2" s="1"/>
  <c r="AK27" i="2"/>
  <c r="AZ11" i="2" s="1"/>
  <c r="V71" i="2"/>
  <c r="BF12" i="2" s="1"/>
  <c r="AK26" i="2"/>
  <c r="AZ10" i="2" s="1"/>
  <c r="V73" i="2"/>
  <c r="BF16" i="2" s="1"/>
  <c r="V70" i="2"/>
  <c r="BF11" i="2" s="1"/>
  <c r="V53" i="2"/>
  <c r="BB15" i="2" s="1"/>
  <c r="V72" i="2"/>
  <c r="BF15" i="2" s="1"/>
  <c r="AK31" i="2"/>
  <c r="AZ16" i="2" s="1"/>
  <c r="AK69" i="2" a="1"/>
  <c r="AK69" i="2" s="1"/>
  <c r="BH10" i="2" s="1"/>
  <c r="AK29" i="2"/>
  <c r="AZ13" i="2" s="1"/>
  <c r="AK49" i="2" a="1"/>
  <c r="AK49" i="2" s="1"/>
  <c r="BD10" i="2" s="1"/>
  <c r="AD31" i="2"/>
  <c r="AY15" i="2" s="1"/>
  <c r="AD27" i="2"/>
  <c r="AY11" i="2" s="1"/>
  <c r="Q26" i="2"/>
  <c r="AK86" i="2" a="1"/>
  <c r="AK87" i="2" s="1"/>
  <c r="BL11" i="2" s="1"/>
  <c r="V49" i="2"/>
  <c r="BB10" i="2" s="1"/>
  <c r="AK30" i="2"/>
  <c r="AZ14" i="2" s="1"/>
  <c r="AD101" i="2"/>
  <c r="BO15" i="2" s="1"/>
  <c r="AD30" i="2"/>
  <c r="AY14" i="2" s="1"/>
  <c r="AD26" i="2"/>
  <c r="AY10" i="2" s="1"/>
  <c r="AD86" i="2" a="1"/>
  <c r="AD87" i="2" s="1"/>
  <c r="BK11" i="2" s="1"/>
  <c r="AD49" i="2" a="1"/>
  <c r="AD49" i="2" s="1"/>
  <c r="BC10" i="2" s="1"/>
  <c r="AD69" i="2" a="1"/>
  <c r="AD72" i="2" s="1"/>
  <c r="BG15" i="2" s="1"/>
  <c r="AR26" i="2"/>
  <c r="BA10" i="2" s="1"/>
  <c r="AR27" i="2"/>
  <c r="BA11" i="2" s="1"/>
  <c r="AR30" i="2"/>
  <c r="BA14" i="2" s="1"/>
  <c r="AR28" i="2"/>
  <c r="BA12" i="2" s="1"/>
  <c r="AR49" i="2" a="1"/>
  <c r="AR49" i="2" s="1"/>
  <c r="BE10" i="2" s="1"/>
  <c r="AK100" i="2"/>
  <c r="BP10" i="2" s="1"/>
  <c r="AR69" i="2" a="1"/>
  <c r="AR86" i="2" a="1"/>
  <c r="N15" i="2" l="1"/>
  <c r="O27" i="1" s="1"/>
  <c r="J78" i="1" s="1"/>
  <c r="AK50" i="2"/>
  <c r="BD11" i="2" s="1"/>
  <c r="AK51" i="2"/>
  <c r="BD12" i="2" s="1"/>
  <c r="AK53" i="2"/>
  <c r="BD16" i="2" s="1"/>
  <c r="AK72" i="2"/>
  <c r="BH16" i="2" s="1"/>
  <c r="N16" i="2" s="1"/>
  <c r="O28" i="1" s="1"/>
  <c r="J79" i="1" s="1"/>
  <c r="AK71" i="2"/>
  <c r="BH12" i="2" s="1"/>
  <c r="AK70" i="2"/>
  <c r="BH11" i="2" s="1"/>
  <c r="AK88" i="2"/>
  <c r="BL16" i="2" s="1"/>
  <c r="AD88" i="2"/>
  <c r="BK15" i="2" s="1"/>
  <c r="AK52" i="2"/>
  <c r="BD13" i="2" s="1"/>
  <c r="AK86" i="2"/>
  <c r="BL10" i="2" s="1"/>
  <c r="AD52" i="2"/>
  <c r="BC13" i="2" s="1"/>
  <c r="N14" i="2"/>
  <c r="D26" i="1" s="1"/>
  <c r="J77" i="1" s="1"/>
  <c r="AD69" i="2"/>
  <c r="BG10" i="2" s="1"/>
  <c r="AD51" i="2"/>
  <c r="BC12" i="2" s="1"/>
  <c r="AD71" i="2"/>
  <c r="BG12" i="2" s="1"/>
  <c r="AD86" i="2"/>
  <c r="BK10" i="2" s="1"/>
  <c r="AD70" i="2"/>
  <c r="BG11" i="2" s="1"/>
  <c r="AD53" i="2"/>
  <c r="BC15" i="2" s="1"/>
  <c r="AD50" i="2"/>
  <c r="BC11" i="2" s="1"/>
  <c r="AR50" i="2"/>
  <c r="BE11" i="2" s="1"/>
  <c r="AR51" i="2"/>
  <c r="BE12" i="2" s="1"/>
  <c r="AR52" i="2"/>
  <c r="BE13" i="2" s="1"/>
  <c r="N13" i="2" s="1"/>
  <c r="D25" i="1" s="1"/>
  <c r="J76" i="1" s="1"/>
  <c r="AR86" i="2"/>
  <c r="BM10" i="2" s="1"/>
  <c r="AR87" i="2"/>
  <c r="BM11" i="2" s="1"/>
  <c r="AR71" i="2"/>
  <c r="BI12" i="2" s="1"/>
  <c r="AR69" i="2"/>
  <c r="BI10" i="2" s="1"/>
  <c r="AR70" i="2"/>
  <c r="BI11" i="2" s="1"/>
  <c r="N10" i="2" l="1"/>
  <c r="D22" i="1" s="1"/>
  <c r="J73" i="1" s="1"/>
  <c r="N11" i="2"/>
  <c r="D23" i="1" s="1"/>
  <c r="J74" i="1" s="1"/>
  <c r="N12" i="2"/>
  <c r="D24" i="1" s="1"/>
  <c r="J75" i="1" s="1"/>
  <c r="R132" i="2" a="1"/>
  <c r="R328" i="2" a="1"/>
  <c r="R225" i="2" a="1"/>
  <c r="R204" i="2" a="1"/>
  <c r="R321" i="2" a="1"/>
  <c r="R177" i="2" a="1"/>
  <c r="R147" i="2" a="1"/>
  <c r="R326" i="2" a="1"/>
  <c r="R109" i="2" a="1"/>
  <c r="R297" i="2" a="1"/>
  <c r="R223" i="2" a="1"/>
  <c r="R202" i="2" a="1"/>
  <c r="R336" i="2" a="1"/>
  <c r="R310" i="2" a="1"/>
  <c r="R265" i="2" a="1"/>
  <c r="R142" i="2" a="1"/>
  <c r="R221" i="2" a="1"/>
  <c r="R280" i="2" a="1"/>
  <c r="R171" i="2" a="1"/>
  <c r="B11" i="1" a="1"/>
  <c r="R119" i="2" a="1"/>
  <c r="R135" i="2" a="1"/>
  <c r="R314" i="2" a="1"/>
  <c r="R110" i="2" a="1"/>
  <c r="R317" i="2" a="1"/>
  <c r="R141" i="2" a="1"/>
  <c r="R178" i="2" a="1"/>
  <c r="R107" i="2" a="1"/>
  <c r="R199" i="2" a="1"/>
  <c r="R228" i="2" a="1"/>
  <c r="R216" i="2" a="1"/>
  <c r="R272" i="2" a="1"/>
  <c r="R133" i="2" a="1"/>
  <c r="R248" i="2" a="1"/>
  <c r="B14" i="1" a="1"/>
  <c r="R181" i="2" a="1"/>
  <c r="R331" i="2" a="1"/>
  <c r="R123" i="2" a="1"/>
  <c r="R342" i="2" a="1"/>
  <c r="R275" i="2" a="1"/>
  <c r="R155" i="2" a="1"/>
  <c r="R284" i="2" a="1"/>
  <c r="R138" i="2" a="1"/>
  <c r="R139" i="2" a="1"/>
  <c r="R330" i="2" a="1"/>
  <c r="R198" i="2" a="1"/>
  <c r="R229" i="2" a="1"/>
  <c r="R276" i="2" a="1"/>
  <c r="R299" i="2" a="1"/>
  <c r="R188" i="2" a="1"/>
  <c r="R281" i="2" a="1"/>
  <c r="R168" i="2" a="1"/>
  <c r="R187" i="2" a="1"/>
  <c r="R323" i="2" a="1"/>
  <c r="R124" i="2" a="1"/>
  <c r="R140" i="2" a="1"/>
  <c r="R327" i="2" a="1"/>
  <c r="R200" i="2" a="1"/>
  <c r="R129" i="2" a="1"/>
  <c r="A19" i="1" a="1"/>
  <c r="R153" i="2" a="1"/>
  <c r="R262" i="2" a="1"/>
  <c r="R253" i="2" a="1"/>
  <c r="R295" i="2" a="1"/>
  <c r="R292" i="2" a="1"/>
  <c r="R210" i="2" a="1"/>
  <c r="R305" i="2" a="1"/>
  <c r="R152" i="2" a="1"/>
  <c r="R207" i="2" a="1"/>
  <c r="R130" i="2" a="1"/>
  <c r="R263" i="2" a="1"/>
  <c r="R339" i="2" a="1"/>
  <c r="R166" i="2" a="1"/>
  <c r="R340" i="2" a="1"/>
  <c r="R303" i="2" a="1"/>
  <c r="R146" i="2" a="1"/>
  <c r="R288" i="2" a="1"/>
  <c r="R315" i="2" a="1"/>
  <c r="R145" i="2" a="1"/>
  <c r="R131" i="2" a="1"/>
  <c r="R211" i="2" a="1"/>
  <c r="R271" i="2" a="1"/>
  <c r="R217" i="2" a="1"/>
  <c r="R151" i="2" a="1"/>
  <c r="R172" i="2" a="1"/>
  <c r="R222" i="2" a="1"/>
  <c r="R264" i="2" a="1"/>
  <c r="R156" i="2" a="1"/>
  <c r="R186" i="2" a="1"/>
  <c r="R160" i="2" a="1"/>
  <c r="R157" i="2" a="1"/>
  <c r="R312" i="2" a="1"/>
  <c r="R127" i="2" a="1"/>
  <c r="R226" i="2" a="1"/>
  <c r="R231" i="2" a="1"/>
  <c r="R128" i="2" a="1"/>
  <c r="R213" i="2" a="1"/>
  <c r="R120" i="2" a="1"/>
  <c r="R252" i="2" a="1"/>
  <c r="R136" i="2" a="1"/>
  <c r="R255" i="2" a="1"/>
  <c r="R306" i="2" a="1"/>
  <c r="R150" i="2" a="1"/>
  <c r="R325" i="2" a="1"/>
  <c r="R192" i="2" a="1"/>
  <c r="R304" i="2" a="1"/>
  <c r="R233" i="2" a="1"/>
  <c r="R278" i="2" a="1"/>
  <c r="R260" i="2" a="1"/>
  <c r="R258" i="2" a="1"/>
  <c r="R162" i="2" a="1"/>
  <c r="R134" i="2" a="1"/>
  <c r="R158" i="2" a="1"/>
  <c r="R270" i="2" a="1"/>
  <c r="R193" i="2" a="1"/>
  <c r="R332" i="2" a="1"/>
  <c r="R300" i="2" a="1"/>
  <c r="R205" i="2" a="1"/>
  <c r="R125" i="2" a="1"/>
  <c r="B53" i="1" a="1"/>
  <c r="R227" i="2" a="1"/>
  <c r="R108" i="2" a="1"/>
  <c r="R274" i="2" a="1"/>
  <c r="R261" i="2" a="1"/>
  <c r="R190" i="2" a="1"/>
  <c r="R197" i="2" a="1"/>
  <c r="R257" i="2" a="1"/>
  <c r="R296" i="2" a="1"/>
  <c r="R164" i="2" a="1"/>
  <c r="B18" i="1" a="1"/>
  <c r="R144" i="2" a="1"/>
  <c r="R338" i="2" a="1"/>
  <c r="R112" i="2" a="1"/>
  <c r="R117" i="2" a="1"/>
  <c r="R308" i="2" a="1"/>
  <c r="R185" i="2" a="1"/>
  <c r="R249" i="2" a="1"/>
  <c r="R174" i="2" a="1"/>
  <c r="R180" i="2" a="1"/>
  <c r="R301" i="2" a="1"/>
  <c r="R232" i="2" a="1"/>
  <c r="B20" i="1" a="1"/>
  <c r="R234" i="2" a="1"/>
  <c r="R318" i="2" a="1"/>
  <c r="R176" i="2" a="1"/>
  <c r="R254" i="2" a="1"/>
  <c r="R279" i="2" a="1"/>
  <c r="R173" i="2" a="1"/>
  <c r="B10" i="1" a="1"/>
  <c r="R251" i="2" a="1"/>
  <c r="R201" i="2" a="1"/>
  <c r="R259" i="2" a="1"/>
  <c r="R137" i="2" a="1"/>
  <c r="R143" i="2" a="1"/>
  <c r="R294" i="2" a="1"/>
  <c r="R116" i="2" a="1"/>
  <c r="R242" i="2" a="1"/>
  <c r="R219" i="2" a="1"/>
  <c r="R230" i="2" a="1"/>
  <c r="R273" i="2" a="1"/>
  <c r="R239" i="2" a="1"/>
  <c r="R322" i="2" a="1"/>
  <c r="R195" i="2" a="1"/>
  <c r="R286" i="2" a="1"/>
  <c r="R282" i="2" a="1"/>
  <c r="R191" i="2" a="1"/>
  <c r="R319" i="2" a="1"/>
  <c r="R293" i="2" a="1"/>
  <c r="R277" i="2" a="1"/>
  <c r="S53" i="1" a="1"/>
  <c r="R184" i="2" a="1"/>
  <c r="R287" i="2" a="1"/>
  <c r="R169" i="2" a="1"/>
  <c r="R283" i="2" a="1"/>
  <c r="R220" i="2" a="1"/>
  <c r="R218" i="2" a="1"/>
  <c r="R345" i="2" a="1"/>
  <c r="R335" i="2" a="1"/>
  <c r="R247" i="2" a="1"/>
  <c r="R329" i="2" a="1"/>
  <c r="R203" i="2" a="1"/>
  <c r="A15" i="1" a="1"/>
  <c r="R302" i="2" a="1"/>
  <c r="R118" i="2" a="1"/>
  <c r="R244" i="2" a="1"/>
  <c r="R266" i="2" a="1"/>
  <c r="R161" i="2" a="1"/>
  <c r="R344" i="2" a="1"/>
  <c r="R238" i="2" a="1"/>
  <c r="R159" i="2" a="1"/>
  <c r="R148" i="2" a="1"/>
  <c r="R209" i="2" a="1"/>
  <c r="R341" i="2" a="1"/>
  <c r="R337" i="2" a="1"/>
  <c r="R307" i="2" a="1"/>
  <c r="R115" i="2" a="1"/>
  <c r="R179" i="2" a="1"/>
  <c r="R316" i="2" a="1"/>
  <c r="R114" i="2" a="1"/>
  <c r="R343" i="2" a="1"/>
  <c r="R121" i="2" a="1"/>
  <c r="R289" i="2" a="1"/>
  <c r="R175" i="2" a="1"/>
  <c r="R126" i="2" a="1"/>
  <c r="R309" i="2" a="1"/>
  <c r="R170" i="2" a="1"/>
  <c r="R165" i="2" a="1"/>
  <c r="R240" i="2" a="1"/>
  <c r="R291" i="2" a="1"/>
  <c r="R215" i="2" a="1"/>
  <c r="R285" i="2" a="1"/>
  <c r="R113" i="2" a="1"/>
  <c r="R347" i="2" a="1"/>
  <c r="R149" i="2" a="1"/>
  <c r="R245" i="2" a="1"/>
  <c r="R333" i="2" a="1"/>
  <c r="R183" i="2" a="1"/>
  <c r="R214" i="2" a="1"/>
  <c r="R256" i="2" a="1"/>
  <c r="R189" i="2" a="1"/>
  <c r="R111" i="2" a="1"/>
  <c r="R320" i="2" a="1"/>
  <c r="R206" i="2" a="1"/>
  <c r="R154" i="2" a="1"/>
  <c r="R334" i="2" a="1"/>
  <c r="R167" i="2" a="1"/>
  <c r="R290" i="2" a="1"/>
  <c r="R236" i="2" a="1"/>
  <c r="R313" i="2" a="1"/>
  <c r="R182" i="2" a="1"/>
  <c r="R311" i="2" a="1"/>
  <c r="R243" i="2" a="1"/>
  <c r="R122" i="2" a="1"/>
  <c r="R196" i="2" a="1"/>
  <c r="R324" i="2" a="1"/>
  <c r="R237" i="2" a="1"/>
  <c r="R298" i="2" a="1"/>
  <c r="R224" i="2" a="1"/>
  <c r="R268" i="2" a="1"/>
  <c r="R246" i="2" a="1"/>
  <c r="R267" i="2" a="1"/>
  <c r="R163" i="2" a="1"/>
  <c r="R194" i="2" a="1"/>
  <c r="R346" i="2" a="1"/>
  <c r="R269" i="2" a="1"/>
  <c r="R250" i="2" a="1"/>
  <c r="R208" i="2" a="1"/>
  <c r="B16" i="1" a="1"/>
  <c r="R241" i="2" a="1"/>
  <c r="R212" i="2" a="1"/>
  <c r="R235" i="2" a="1"/>
  <c r="V111" i="2" l="1"/>
  <c r="V127" i="2"/>
  <c r="V291" i="2"/>
  <c r="V239" i="2"/>
  <c r="V278" i="2"/>
  <c r="V341" i="2"/>
  <c r="V298" i="2"/>
  <c r="V181" i="2"/>
  <c r="V293" i="2"/>
  <c r="V194" i="2"/>
  <c r="V237" i="2"/>
  <c r="V301" i="2"/>
  <c r="V261" i="2"/>
  <c r="V264" i="2"/>
  <c r="V115" i="2"/>
  <c r="V145" i="2"/>
  <c r="V149" i="2"/>
  <c r="V147" i="2"/>
  <c r="V236" i="2"/>
  <c r="V254" i="2"/>
  <c r="V302" i="2"/>
  <c r="V313" i="2"/>
  <c r="V198" i="2"/>
  <c r="V246" i="2"/>
  <c r="V256" i="2"/>
  <c r="V320" i="2"/>
  <c r="V120" i="2"/>
  <c r="V223" i="2"/>
  <c r="V251" i="2"/>
  <c r="V205" i="2"/>
  <c r="V134" i="2"/>
  <c r="V272" i="2"/>
  <c r="V271" i="2"/>
  <c r="V172" i="2"/>
  <c r="V289" i="2"/>
  <c r="V285" i="2"/>
  <c r="V248" i="2"/>
  <c r="V245" i="2"/>
  <c r="V226" i="2"/>
  <c r="V318" i="2"/>
  <c r="V277" i="2"/>
  <c r="V288" i="2"/>
  <c r="V163" i="2"/>
  <c r="V186" i="2"/>
  <c r="V304" i="2"/>
  <c r="V240" i="2"/>
  <c r="V211" i="2"/>
  <c r="V183" i="2"/>
  <c r="V255" i="2"/>
  <c r="V200" i="2"/>
  <c r="V136" i="2"/>
  <c r="V228" i="2"/>
  <c r="V109" i="2"/>
  <c r="V229" i="2"/>
  <c r="V206" i="2"/>
  <c r="V311" i="2"/>
  <c r="V324" i="2"/>
  <c r="V141" i="2"/>
  <c r="V335" i="2"/>
  <c r="V230" i="2"/>
  <c r="V227" i="2"/>
  <c r="V126" i="2"/>
  <c r="V215" i="2"/>
  <c r="V262" i="2"/>
  <c r="V121" i="2"/>
  <c r="V135" i="2"/>
  <c r="V274" i="2"/>
  <c r="V131" i="2"/>
  <c r="V202" i="2"/>
  <c r="V334" i="2"/>
  <c r="V139" i="2"/>
  <c r="V273" i="2"/>
  <c r="V292" i="2"/>
  <c r="V235" i="2"/>
  <c r="V328" i="2"/>
  <c r="V166" i="2"/>
  <c r="V197" i="2"/>
  <c r="V283" i="2"/>
  <c r="V140" i="2"/>
  <c r="V148" i="2"/>
  <c r="V312" i="2"/>
  <c r="V287" i="2"/>
  <c r="V201" i="2"/>
  <c r="V117" i="2"/>
  <c r="V209" i="2"/>
  <c r="V269" i="2"/>
  <c r="V187" i="2"/>
  <c r="V162" i="2"/>
  <c r="V112" i="2"/>
  <c r="V300" i="2"/>
  <c r="V343" i="2"/>
  <c r="V132" i="2"/>
  <c r="V133" i="2"/>
  <c r="V159" i="2"/>
  <c r="V173" i="2"/>
  <c r="V332" i="2"/>
  <c r="V330" i="2"/>
  <c r="V282" i="2"/>
  <c r="V297" i="2"/>
  <c r="V286" i="2"/>
  <c r="V158" i="2"/>
  <c r="V250" i="2"/>
  <c r="V188" i="2"/>
  <c r="V303" i="2"/>
  <c r="V154" i="2"/>
  <c r="V333" i="2"/>
  <c r="V252" i="2"/>
  <c r="V216" i="2"/>
  <c r="V326" i="2"/>
  <c r="V249" i="2"/>
  <c r="V164" i="2"/>
  <c r="V233" i="2"/>
  <c r="V214" i="2"/>
  <c r="V169" i="2"/>
  <c r="V331" i="2"/>
  <c r="V234" i="2"/>
  <c r="V144" i="2"/>
  <c r="V284" i="2"/>
  <c r="V174" i="2"/>
  <c r="V323" i="2"/>
  <c r="V108" i="2"/>
  <c r="V182" i="2"/>
  <c r="V123" i="2"/>
  <c r="V218" i="2"/>
  <c r="V276" i="2"/>
  <c r="V322" i="2"/>
  <c r="V217" i="2"/>
  <c r="V143" i="2"/>
  <c r="V124" i="2"/>
  <c r="V268" i="2"/>
  <c r="V129" i="2"/>
  <c r="V212" i="2"/>
  <c r="V155" i="2"/>
  <c r="V345" i="2"/>
  <c r="V309" i="2"/>
  <c r="V165" i="2"/>
  <c r="V296" i="2"/>
  <c r="V347" i="2"/>
  <c r="V299" i="2"/>
  <c r="V244" i="2"/>
  <c r="V192" i="2"/>
  <c r="V190" i="2"/>
  <c r="V275" i="2"/>
  <c r="V260" i="2"/>
  <c r="V114" i="2"/>
  <c r="V210" i="2"/>
  <c r="V113" i="2"/>
  <c r="V118" i="2"/>
  <c r="V167" i="2"/>
  <c r="V116" i="2"/>
  <c r="V119" i="2"/>
  <c r="V310" i="2"/>
  <c r="V315" i="2"/>
  <c r="V327" i="2"/>
  <c r="V176" i="2"/>
  <c r="V156" i="2"/>
  <c r="V258" i="2"/>
  <c r="V225" i="2"/>
  <c r="V125" i="2"/>
  <c r="V170" i="2"/>
  <c r="V242" i="2"/>
  <c r="V208" i="2"/>
  <c r="V168" i="2"/>
  <c r="V306" i="2"/>
  <c r="V279" i="2"/>
  <c r="V243" i="2"/>
  <c r="V193" i="2"/>
  <c r="V204" i="2"/>
  <c r="V221" i="2"/>
  <c r="V317" i="2"/>
  <c r="V180" i="2"/>
  <c r="V346" i="2"/>
  <c r="V130" i="2"/>
  <c r="V241" i="2"/>
  <c r="V342" i="2"/>
  <c r="V344" i="2"/>
  <c r="V314" i="2"/>
  <c r="V231" i="2"/>
  <c r="V232" i="2"/>
  <c r="V146" i="2"/>
  <c r="V222" i="2"/>
  <c r="V152" i="2"/>
  <c r="V219" i="2"/>
  <c r="V259" i="2"/>
  <c r="V128" i="2"/>
  <c r="V270" i="2"/>
  <c r="V325" i="2"/>
  <c r="V150" i="2"/>
  <c r="V224" i="2"/>
  <c r="V178" i="2"/>
  <c r="V294" i="2"/>
  <c r="V266" i="2"/>
  <c r="V153" i="2"/>
  <c r="V290" i="2"/>
  <c r="V337" i="2"/>
  <c r="V220" i="2"/>
  <c r="V281" i="2"/>
  <c r="V185" i="2"/>
  <c r="V336" i="2"/>
  <c r="V280" i="2"/>
  <c r="V157" i="2"/>
  <c r="V340" i="2"/>
  <c r="V195" i="2"/>
  <c r="V321" i="2"/>
  <c r="V213" i="2"/>
  <c r="V191" i="2"/>
  <c r="V207" i="2"/>
  <c r="V196" i="2"/>
  <c r="V316" i="2"/>
  <c r="V199" i="2"/>
  <c r="V338" i="2"/>
  <c r="V137" i="2"/>
  <c r="V263" i="2"/>
  <c r="V339" i="2"/>
  <c r="V319" i="2"/>
  <c r="V122" i="2"/>
  <c r="V189" i="2"/>
  <c r="V161" i="2"/>
  <c r="V267" i="2"/>
  <c r="V184" i="2"/>
  <c r="V257" i="2"/>
  <c r="V110" i="2"/>
  <c r="V138" i="2"/>
  <c r="V151" i="2"/>
  <c r="V203" i="2"/>
  <c r="V265" i="2"/>
  <c r="V175" i="2"/>
  <c r="V329" i="2"/>
  <c r="V295" i="2"/>
  <c r="V179" i="2"/>
  <c r="V177" i="2"/>
  <c r="V253" i="2"/>
  <c r="V160" i="2"/>
  <c r="V308" i="2"/>
  <c r="V171" i="2"/>
  <c r="V305" i="2"/>
  <c r="V247" i="2"/>
  <c r="V238" i="2"/>
  <c r="V142" i="2"/>
  <c r="V307" i="2"/>
  <c r="V107" i="2"/>
  <c r="R335" i="2"/>
  <c r="P335" i="2" s="1"/>
  <c r="R343" i="2"/>
  <c r="P343" i="2" s="1"/>
  <c r="R291" i="2"/>
  <c r="P291" i="2" s="1"/>
  <c r="R346" i="2"/>
  <c r="R314" i="2"/>
  <c r="P314" i="2" s="1"/>
  <c r="R282" i="2"/>
  <c r="P282" i="2" s="1"/>
  <c r="R250" i="2"/>
  <c r="P250" i="2" s="1"/>
  <c r="R263" i="2"/>
  <c r="R329" i="2"/>
  <c r="R297" i="2"/>
  <c r="P297" i="2" s="1"/>
  <c r="R265" i="2"/>
  <c r="P265" i="2" s="1"/>
  <c r="R233" i="2"/>
  <c r="R320" i="2"/>
  <c r="P320" i="2" s="1"/>
  <c r="R288" i="2"/>
  <c r="P288" i="2" s="1"/>
  <c r="R256" i="2"/>
  <c r="P256" i="2" s="1"/>
  <c r="R135" i="2"/>
  <c r="R125" i="2"/>
  <c r="B20" i="1"/>
  <c r="R119" i="2"/>
  <c r="R197" i="2"/>
  <c r="P197" i="2" s="1"/>
  <c r="R200" i="2"/>
  <c r="P200" i="2" s="1"/>
  <c r="R185" i="2"/>
  <c r="P185" i="2" s="1"/>
  <c r="R199" i="2"/>
  <c r="P199" i="2" s="1"/>
  <c r="R118" i="2"/>
  <c r="R163" i="2"/>
  <c r="P163" i="2" s="1"/>
  <c r="R156" i="2"/>
  <c r="R221" i="2"/>
  <c r="P221" i="2" s="1"/>
  <c r="R117" i="2"/>
  <c r="R141" i="2"/>
  <c r="P141" i="2" s="1"/>
  <c r="R188" i="2"/>
  <c r="P188" i="2" s="1"/>
  <c r="R183" i="2"/>
  <c r="P183" i="2" s="1"/>
  <c r="R184" i="2"/>
  <c r="R169" i="2"/>
  <c r="P169" i="2" s="1"/>
  <c r="R139" i="2"/>
  <c r="R216" i="2"/>
  <c r="P216" i="2" s="1"/>
  <c r="R146" i="2"/>
  <c r="R122" i="2"/>
  <c r="R159" i="2"/>
  <c r="P159" i="2" s="1"/>
  <c r="R295" i="2"/>
  <c r="P295" i="2" s="1"/>
  <c r="R259" i="2"/>
  <c r="R334" i="2"/>
  <c r="R270" i="2"/>
  <c r="R235" i="2"/>
  <c r="P235" i="2" s="1"/>
  <c r="R317" i="2"/>
  <c r="P317" i="2" s="1"/>
  <c r="R253" i="2"/>
  <c r="R340" i="2"/>
  <c r="P340" i="2" s="1"/>
  <c r="R276" i="2"/>
  <c r="P276" i="2" s="1"/>
  <c r="R244" i="2"/>
  <c r="R214" i="2"/>
  <c r="P214" i="2" s="1"/>
  <c r="R192" i="2"/>
  <c r="R202" i="2"/>
  <c r="R203" i="2"/>
  <c r="P203" i="2" s="1"/>
  <c r="A19" i="1"/>
  <c r="Z110" i="2" s="1"/>
  <c r="Z111" i="2" s="1"/>
  <c r="R162" i="2"/>
  <c r="R153" i="2"/>
  <c r="P153" i="2" s="1"/>
  <c r="R170" i="2"/>
  <c r="R251" i="2"/>
  <c r="R330" i="2"/>
  <c r="P330" i="2" s="1"/>
  <c r="R298" i="2"/>
  <c r="R345" i="2"/>
  <c r="R281" i="2"/>
  <c r="R304" i="2"/>
  <c r="P304" i="2" s="1"/>
  <c r="R166" i="2"/>
  <c r="P166" i="2" s="1"/>
  <c r="B53" i="1"/>
  <c r="R112" i="2"/>
  <c r="P112" i="2" s="1"/>
  <c r="R182" i="2"/>
  <c r="R215" i="2"/>
  <c r="R144" i="2"/>
  <c r="P144" i="2" s="1"/>
  <c r="R148" i="2"/>
  <c r="R315" i="2"/>
  <c r="P315" i="2" s="1"/>
  <c r="R243" i="2"/>
  <c r="P243" i="2" s="1"/>
  <c r="R326" i="2"/>
  <c r="R262" i="2"/>
  <c r="R341" i="2"/>
  <c r="R245" i="2"/>
  <c r="R283" i="2"/>
  <c r="R318" i="2"/>
  <c r="R254" i="2"/>
  <c r="P254" i="2" s="1"/>
  <c r="R301" i="2"/>
  <c r="P301" i="2" s="1"/>
  <c r="R237" i="2"/>
  <c r="P237" i="2" s="1"/>
  <c r="R260" i="2"/>
  <c r="R226" i="2"/>
  <c r="R129" i="2"/>
  <c r="P129" i="2" s="1"/>
  <c r="R120" i="2"/>
  <c r="P120" i="2" s="1"/>
  <c r="R165" i="2"/>
  <c r="R164" i="2"/>
  <c r="P164" i="2" s="1"/>
  <c r="R147" i="2"/>
  <c r="P147" i="2" s="1"/>
  <c r="R191" i="2"/>
  <c r="R319" i="2"/>
  <c r="R327" i="2"/>
  <c r="R275" i="2"/>
  <c r="R342" i="2"/>
  <c r="R310" i="2"/>
  <c r="R278" i="2"/>
  <c r="P278" i="2" s="1"/>
  <c r="R246" i="2"/>
  <c r="P246" i="2" s="1"/>
  <c r="R255" i="2"/>
  <c r="P255" i="2" s="1"/>
  <c r="R325" i="2"/>
  <c r="P325" i="2" s="1"/>
  <c r="R293" i="2"/>
  <c r="P293" i="2" s="1"/>
  <c r="R261" i="2"/>
  <c r="R229" i="2"/>
  <c r="R316" i="2"/>
  <c r="P316" i="2" s="1"/>
  <c r="R284" i="2"/>
  <c r="P284" i="2" s="1"/>
  <c r="R252" i="2"/>
  <c r="P252" i="2" s="1"/>
  <c r="R128" i="2"/>
  <c r="P128" i="2" s="1"/>
  <c r="R208" i="2"/>
  <c r="P208" i="2" s="1"/>
  <c r="R194" i="2"/>
  <c r="B18" i="1"/>
  <c r="R225" i="2"/>
  <c r="R134" i="2"/>
  <c r="R123" i="2"/>
  <c r="P123" i="2" s="1"/>
  <c r="R168" i="2"/>
  <c r="P168" i="2" s="1"/>
  <c r="R189" i="2"/>
  <c r="P189" i="2" s="1"/>
  <c r="R124" i="2"/>
  <c r="P124" i="2" s="1"/>
  <c r="R108" i="2"/>
  <c r="P108" i="2" s="1"/>
  <c r="R180" i="2"/>
  <c r="P180" i="2" s="1"/>
  <c r="R347" i="2"/>
  <c r="P347" i="2" s="1"/>
  <c r="R302" i="2"/>
  <c r="R238" i="2"/>
  <c r="P238" i="2" s="1"/>
  <c r="R285" i="2"/>
  <c r="P285" i="2" s="1"/>
  <c r="R308" i="2"/>
  <c r="R178" i="2"/>
  <c r="R211" i="2"/>
  <c r="R130" i="2"/>
  <c r="R107" i="2"/>
  <c r="P107" i="2" s="1"/>
  <c r="R152" i="2"/>
  <c r="P152" i="2" s="1"/>
  <c r="R287" i="2"/>
  <c r="P287" i="2" s="1"/>
  <c r="R234" i="2"/>
  <c r="P234" i="2" s="1"/>
  <c r="R249" i="2"/>
  <c r="R240" i="2"/>
  <c r="R218" i="2"/>
  <c r="R172" i="2"/>
  <c r="P172" i="2" s="1"/>
  <c r="B16" i="1"/>
  <c r="R339" i="2"/>
  <c r="P339" i="2" s="1"/>
  <c r="R309" i="2"/>
  <c r="P309" i="2" s="1"/>
  <c r="R300" i="2"/>
  <c r="P300" i="2" s="1"/>
  <c r="R126" i="2"/>
  <c r="R131" i="2"/>
  <c r="R174" i="2"/>
  <c r="R138" i="2"/>
  <c r="R142" i="2"/>
  <c r="R273" i="2"/>
  <c r="R232" i="2"/>
  <c r="P232" i="2" s="1"/>
  <c r="B14" i="1"/>
  <c r="R195" i="2"/>
  <c r="P195" i="2" s="1"/>
  <c r="R227" i="2"/>
  <c r="R190" i="2"/>
  <c r="R157" i="2"/>
  <c r="P157" i="2" s="1"/>
  <c r="R307" i="2"/>
  <c r="R271" i="2"/>
  <c r="P271" i="2" s="1"/>
  <c r="R324" i="2"/>
  <c r="P324" i="2" s="1"/>
  <c r="R161" i="2"/>
  <c r="P161" i="2" s="1"/>
  <c r="R154" i="2"/>
  <c r="P154" i="2" s="1"/>
  <c r="R181" i="2"/>
  <c r="R303" i="2"/>
  <c r="R311" i="2"/>
  <c r="R267" i="2"/>
  <c r="P267" i="2" s="1"/>
  <c r="R338" i="2"/>
  <c r="P338" i="2" s="1"/>
  <c r="R306" i="2"/>
  <c r="P306" i="2" s="1"/>
  <c r="R274" i="2"/>
  <c r="P274" i="2" s="1"/>
  <c r="R242" i="2"/>
  <c r="P242" i="2" s="1"/>
  <c r="R247" i="2"/>
  <c r="R321" i="2"/>
  <c r="R289" i="2"/>
  <c r="P289" i="2" s="1"/>
  <c r="R257" i="2"/>
  <c r="P257" i="2" s="1"/>
  <c r="R344" i="2"/>
  <c r="R312" i="2"/>
  <c r="P312" i="2" s="1"/>
  <c r="R280" i="2"/>
  <c r="P280" i="2" s="1"/>
  <c r="R248" i="2"/>
  <c r="R217" i="2"/>
  <c r="R116" i="2"/>
  <c r="R110" i="2"/>
  <c r="R220" i="2"/>
  <c r="R210" i="2"/>
  <c r="P210" i="2" s="1"/>
  <c r="R143" i="2"/>
  <c r="R193" i="2"/>
  <c r="R173" i="2"/>
  <c r="R209" i="2"/>
  <c r="R133" i="2"/>
  <c r="R223" i="2"/>
  <c r="P223" i="2" s="1"/>
  <c r="R207" i="2"/>
  <c r="R222" i="2"/>
  <c r="R212" i="2"/>
  <c r="P212" i="2" s="1"/>
  <c r="R204" i="2"/>
  <c r="P204" i="2" s="1"/>
  <c r="R127" i="2"/>
  <c r="B10" i="1"/>
  <c r="Y108" i="2" s="1"/>
  <c r="R114" i="2"/>
  <c r="P114" i="2" s="1"/>
  <c r="R206" i="2"/>
  <c r="R331" i="2"/>
  <c r="P331" i="2" s="1"/>
  <c r="R266" i="2"/>
  <c r="R313" i="2"/>
  <c r="P313" i="2" s="1"/>
  <c r="R336" i="2"/>
  <c r="R272" i="2"/>
  <c r="R150" i="2"/>
  <c r="R140" i="2"/>
  <c r="R158" i="2"/>
  <c r="R109" i="2"/>
  <c r="P109" i="2" s="1"/>
  <c r="R132" i="2"/>
  <c r="P132" i="2" s="1"/>
  <c r="R113" i="2"/>
  <c r="P113" i="2" s="1"/>
  <c r="R294" i="2"/>
  <c r="R230" i="2"/>
  <c r="R277" i="2"/>
  <c r="P277" i="2" s="1"/>
  <c r="R332" i="2"/>
  <c r="R268" i="2"/>
  <c r="P268" i="2" s="1"/>
  <c r="R236" i="2"/>
  <c r="P236" i="2" s="1"/>
  <c r="R121" i="2"/>
  <c r="P121" i="2" s="1"/>
  <c r="R213" i="2"/>
  <c r="P213" i="2" s="1"/>
  <c r="R224" i="2"/>
  <c r="P224" i="2" s="1"/>
  <c r="R136" i="2"/>
  <c r="P136" i="2" s="1"/>
  <c r="R201" i="2"/>
  <c r="P201" i="2" s="1"/>
  <c r="R151" i="2"/>
  <c r="B11" i="1"/>
  <c r="AA108" i="2" s="1"/>
  <c r="R175" i="2"/>
  <c r="P175" i="2" s="1"/>
  <c r="R167" i="2"/>
  <c r="R176" i="2"/>
  <c r="P176" i="2" s="1"/>
  <c r="R219" i="2"/>
  <c r="R299" i="2"/>
  <c r="P299" i="2" s="1"/>
  <c r="R323" i="2"/>
  <c r="R239" i="2"/>
  <c r="R322" i="2"/>
  <c r="R290" i="2"/>
  <c r="P290" i="2" s="1"/>
  <c r="R258" i="2"/>
  <c r="R279" i="2"/>
  <c r="P279" i="2" s="1"/>
  <c r="R337" i="2"/>
  <c r="P337" i="2" s="1"/>
  <c r="R305" i="2"/>
  <c r="R241" i="2"/>
  <c r="R328" i="2"/>
  <c r="P328" i="2" s="1"/>
  <c r="R296" i="2"/>
  <c r="P296" i="2" s="1"/>
  <c r="R264" i="2"/>
  <c r="R111" i="2"/>
  <c r="P111" i="2" s="1"/>
  <c r="R198" i="2"/>
  <c r="P198" i="2" s="1"/>
  <c r="R160" i="2"/>
  <c r="P160" i="2" s="1"/>
  <c r="R186" i="2"/>
  <c r="R177" i="2"/>
  <c r="R115" i="2"/>
  <c r="R196" i="2"/>
  <c r="R187" i="2"/>
  <c r="A15" i="1"/>
  <c r="R149" i="2"/>
  <c r="P149" i="2" s="1"/>
  <c r="R171" i="2"/>
  <c r="P171" i="2" s="1"/>
  <c r="R231" i="2"/>
  <c r="R286" i="2"/>
  <c r="R333" i="2"/>
  <c r="R269" i="2"/>
  <c r="R292" i="2"/>
  <c r="P292" i="2" s="1"/>
  <c r="R228" i="2"/>
  <c r="P228" i="2" s="1"/>
  <c r="R155" i="2"/>
  <c r="P155" i="2" s="1"/>
  <c r="R137" i="2"/>
  <c r="P137" i="2" s="1"/>
  <c r="R205" i="2"/>
  <c r="R145" i="2"/>
  <c r="R179" i="2"/>
  <c r="S53" i="1"/>
  <c r="D32" i="2" a="1"/>
  <c r="D79" i="2" a="1"/>
  <c r="D58" i="2" a="1"/>
  <c r="D62" i="2" a="1"/>
  <c r="D72" i="2" a="1"/>
  <c r="D48" i="2" a="1"/>
  <c r="D35" i="2" a="1"/>
  <c r="D69" i="2" a="1"/>
  <c r="D25" i="2" a="1"/>
  <c r="D27" i="2" a="1"/>
  <c r="D59" i="2" a="1"/>
  <c r="D39" i="2" a="1"/>
  <c r="D47" i="2" a="1"/>
  <c r="D49" i="2" a="1"/>
  <c r="D44" i="2" a="1"/>
  <c r="D65" i="2" a="1"/>
  <c r="D77" i="2" a="1"/>
  <c r="D28" i="2" a="1"/>
  <c r="D67" i="2" a="1"/>
  <c r="D41" i="2" a="1"/>
  <c r="D45" i="2" a="1"/>
  <c r="D74" i="2" a="1"/>
  <c r="B19" i="1" a="1"/>
  <c r="D40" i="2" a="1"/>
  <c r="D34" i="2" a="1"/>
  <c r="D80" i="2" a="1"/>
  <c r="D46" i="2" a="1"/>
  <c r="D36" i="2" a="1"/>
  <c r="D29" i="2" a="1"/>
  <c r="D42" i="2" a="1"/>
  <c r="D43" i="2" a="1"/>
  <c r="D37" i="2" a="1"/>
  <c r="D54" i="2" a="1"/>
  <c r="D64" i="2" a="1"/>
  <c r="D75" i="2" a="1"/>
  <c r="D33" i="2" a="1"/>
  <c r="D50" i="2" a="1"/>
  <c r="D63" i="2" a="1"/>
  <c r="D66" i="2" a="1"/>
  <c r="D76" i="2" a="1"/>
  <c r="D57" i="2" a="1"/>
  <c r="D55" i="2" a="1"/>
  <c r="D60" i="2" a="1"/>
  <c r="D30" i="2" a="1"/>
  <c r="D26" i="2" a="1"/>
  <c r="B15" i="1" a="1"/>
  <c r="D68" i="2" a="1"/>
  <c r="D56" i="2" a="1"/>
  <c r="D73" i="2" a="1"/>
  <c r="D61" i="2" a="1"/>
  <c r="D71" i="2" a="1"/>
  <c r="D78" i="2" a="1"/>
  <c r="D38" i="2" a="1"/>
  <c r="D70" i="2" a="1"/>
  <c r="D31" i="2" a="1"/>
  <c r="D51" i="2" a="1"/>
  <c r="P110" i="2" l="1"/>
  <c r="P245" i="2"/>
  <c r="P322" i="2"/>
  <c r="P269" i="2"/>
  <c r="P258" i="2"/>
  <c r="P167" i="2"/>
  <c r="P222" i="2"/>
  <c r="P302" i="2"/>
  <c r="P281" i="2"/>
  <c r="P158" i="2"/>
  <c r="P130" i="2"/>
  <c r="P261" i="2"/>
  <c r="P202" i="2"/>
  <c r="P333" i="2"/>
  <c r="P133" i="2"/>
  <c r="P194" i="2"/>
  <c r="P327" i="2"/>
  <c r="P182" i="2"/>
  <c r="P192" i="2"/>
  <c r="P270" i="2"/>
  <c r="P209" i="2"/>
  <c r="P247" i="2"/>
  <c r="P227" i="2"/>
  <c r="P251" i="2"/>
  <c r="P231" i="2"/>
  <c r="P127" i="2"/>
  <c r="P248" i="2"/>
  <c r="P308" i="2"/>
  <c r="P326" i="2"/>
  <c r="P135" i="2"/>
  <c r="P263" i="2"/>
  <c r="P264" i="2"/>
  <c r="P220" i="2"/>
  <c r="P225" i="2"/>
  <c r="P229" i="2"/>
  <c r="P283" i="2"/>
  <c r="P345" i="2"/>
  <c r="P146" i="2"/>
  <c r="P117" i="2"/>
  <c r="P346" i="2"/>
  <c r="P179" i="2"/>
  <c r="P239" i="2"/>
  <c r="P116" i="2"/>
  <c r="P321" i="2"/>
  <c r="P190" i="2"/>
  <c r="P218" i="2"/>
  <c r="P341" i="2"/>
  <c r="P156" i="2"/>
  <c r="P286" i="2"/>
  <c r="P150" i="2"/>
  <c r="P131" i="2"/>
  <c r="P240" i="2"/>
  <c r="P178" i="2"/>
  <c r="P334" i="2"/>
  <c r="P329" i="2"/>
  <c r="P241" i="2"/>
  <c r="P205" i="2"/>
  <c r="P186" i="2"/>
  <c r="P305" i="2"/>
  <c r="P230" i="2"/>
  <c r="P126" i="2"/>
  <c r="P249" i="2"/>
  <c r="P191" i="2"/>
  <c r="P244" i="2"/>
  <c r="P184" i="2"/>
  <c r="P118" i="2"/>
  <c r="P219" i="2"/>
  <c r="P294" i="2"/>
  <c r="P336" i="2"/>
  <c r="P193" i="2"/>
  <c r="P134" i="2"/>
  <c r="P187" i="2"/>
  <c r="P207" i="2"/>
  <c r="P142" i="2"/>
  <c r="P342" i="2"/>
  <c r="P206" i="2"/>
  <c r="P138" i="2"/>
  <c r="P275" i="2"/>
  <c r="P215" i="2"/>
  <c r="P298" i="2"/>
  <c r="P119" i="2"/>
  <c r="P115" i="2"/>
  <c r="P140" i="2"/>
  <c r="P174" i="2"/>
  <c r="P211" i="2"/>
  <c r="P226" i="2"/>
  <c r="P139" i="2"/>
  <c r="P217" i="2"/>
  <c r="P319" i="2"/>
  <c r="P125" i="2"/>
  <c r="P177" i="2"/>
  <c r="P173" i="2"/>
  <c r="P143" i="2"/>
  <c r="P162" i="2"/>
  <c r="P266" i="2"/>
  <c r="P344" i="2"/>
  <c r="P273" i="2"/>
  <c r="P310" i="2"/>
  <c r="P165" i="2"/>
  <c r="P318" i="2"/>
  <c r="P148" i="2"/>
  <c r="P253" i="2"/>
  <c r="P122" i="2"/>
  <c r="P307" i="2"/>
  <c r="P233" i="2"/>
  <c r="P196" i="2"/>
  <c r="P311" i="2"/>
  <c r="P151" i="2"/>
  <c r="P332" i="2"/>
  <c r="P303" i="2"/>
  <c r="P145" i="2"/>
  <c r="P323" i="2"/>
  <c r="P181" i="2"/>
  <c r="P260" i="2"/>
  <c r="P262" i="2"/>
  <c r="P272" i="2"/>
  <c r="P170" i="2"/>
  <c r="P259" i="2"/>
  <c r="H74" i="2"/>
  <c r="H70" i="2"/>
  <c r="H67" i="2"/>
  <c r="H56" i="2"/>
  <c r="H76" i="2"/>
  <c r="H68" i="2"/>
  <c r="H57" i="2"/>
  <c r="H69" i="2"/>
  <c r="H71" i="2"/>
  <c r="H79" i="2"/>
  <c r="H55" i="2"/>
  <c r="H66" i="2"/>
  <c r="H77" i="2"/>
  <c r="H65" i="2"/>
  <c r="H61" i="2"/>
  <c r="H72" i="2"/>
  <c r="H75" i="2"/>
  <c r="H73" i="2"/>
  <c r="H60" i="2"/>
  <c r="H62" i="2"/>
  <c r="H59" i="2"/>
  <c r="H80" i="2"/>
  <c r="H63" i="2"/>
  <c r="H64" i="2"/>
  <c r="H58" i="2"/>
  <c r="H78" i="2"/>
  <c r="H54" i="2"/>
  <c r="H40" i="2"/>
  <c r="H42" i="2"/>
  <c r="H34" i="2"/>
  <c r="H47" i="2"/>
  <c r="H36" i="2"/>
  <c r="H30" i="2"/>
  <c r="H49" i="2"/>
  <c r="H37" i="2"/>
  <c r="H31" i="2"/>
  <c r="H29" i="2"/>
  <c r="H46" i="2"/>
  <c r="H26" i="2"/>
  <c r="H39" i="2"/>
  <c r="H41" i="2"/>
  <c r="H38" i="2"/>
  <c r="H32" i="2"/>
  <c r="H35" i="2"/>
  <c r="H27" i="2"/>
  <c r="H50" i="2"/>
  <c r="H44" i="2"/>
  <c r="H33" i="2"/>
  <c r="H45" i="2"/>
  <c r="H43" i="2"/>
  <c r="H48" i="2"/>
  <c r="H51" i="2"/>
  <c r="H28" i="2"/>
  <c r="H25" i="2"/>
  <c r="AA111" i="2"/>
  <c r="B15" i="1"/>
  <c r="Y111" i="2"/>
  <c r="D56" i="2"/>
  <c r="D61" i="2"/>
  <c r="D66" i="2"/>
  <c r="C66" i="2" s="1"/>
  <c r="D63" i="2"/>
  <c r="D74" i="2"/>
  <c r="V29" i="1"/>
  <c r="W28" i="1"/>
  <c r="V28" i="1"/>
  <c r="D54" i="2"/>
  <c r="W30" i="1"/>
  <c r="V30" i="1"/>
  <c r="W29" i="1"/>
  <c r="D58" i="2"/>
  <c r="D57" i="2"/>
  <c r="C57" i="2" s="1"/>
  <c r="D73" i="2"/>
  <c r="D60" i="2"/>
  <c r="C60" i="2" s="1"/>
  <c r="D79" i="2"/>
  <c r="C79" i="2" s="1"/>
  <c r="D62" i="2"/>
  <c r="D70" i="2"/>
  <c r="D69" i="2"/>
  <c r="D76" i="2"/>
  <c r="D55" i="2"/>
  <c r="D77" i="2"/>
  <c r="D71" i="2"/>
  <c r="C71" i="2" s="1"/>
  <c r="D80" i="2"/>
  <c r="D78" i="2"/>
  <c r="D59" i="2"/>
  <c r="D67" i="2"/>
  <c r="C67" i="2" s="1"/>
  <c r="D75" i="2"/>
  <c r="D65" i="2"/>
  <c r="D72" i="2"/>
  <c r="C72" i="2" s="1"/>
  <c r="D68" i="2"/>
  <c r="D64" i="2"/>
  <c r="D51" i="2"/>
  <c r="D50" i="2"/>
  <c r="D26" i="2"/>
  <c r="D36" i="2"/>
  <c r="D33" i="2"/>
  <c r="D31" i="2"/>
  <c r="D39" i="2"/>
  <c r="D37" i="2"/>
  <c r="D42" i="2"/>
  <c r="D35" i="2"/>
  <c r="C35" i="2" s="1"/>
  <c r="D28" i="2"/>
  <c r="C28" i="2" s="1"/>
  <c r="D40" i="2"/>
  <c r="D49" i="2"/>
  <c r="D34" i="2"/>
  <c r="D48" i="2"/>
  <c r="C48" i="2" s="1"/>
  <c r="D45" i="2"/>
  <c r="D38" i="2"/>
  <c r="D44" i="2"/>
  <c r="D30" i="2"/>
  <c r="D47" i="2"/>
  <c r="D29" i="2"/>
  <c r="D46" i="2"/>
  <c r="D41" i="2"/>
  <c r="C41" i="2" s="1"/>
  <c r="D43" i="2"/>
  <c r="C43" i="2" s="1"/>
  <c r="D32" i="2"/>
  <c r="C32" i="2" s="1"/>
  <c r="D27" i="2"/>
  <c r="F31" i="1"/>
  <c r="E31" i="1"/>
  <c r="D25" i="2"/>
  <c r="E29" i="1"/>
  <c r="F30" i="1"/>
  <c r="E30" i="1"/>
  <c r="F29" i="1"/>
  <c r="B19" i="1"/>
  <c r="X110" i="2"/>
  <c r="X111" i="2" s="1"/>
  <c r="L31" i="1" a="1"/>
  <c r="L31" i="1" l="1"/>
  <c r="C40" i="2"/>
  <c r="C55" i="2"/>
  <c r="C70" i="2"/>
  <c r="C51" i="2"/>
  <c r="C78" i="2"/>
  <c r="C62" i="2"/>
  <c r="C80" i="2"/>
  <c r="C68" i="2"/>
  <c r="C50" i="2"/>
  <c r="C46" i="2"/>
  <c r="C34" i="2"/>
  <c r="C31" i="2"/>
  <c r="C77" i="2"/>
  <c r="C73" i="2"/>
  <c r="C25" i="2"/>
  <c r="C29" i="2"/>
  <c r="C65" i="2"/>
  <c r="C75" i="2"/>
  <c r="C76" i="2"/>
  <c r="C58" i="2"/>
  <c r="C74" i="2"/>
  <c r="C59" i="2"/>
  <c r="C42" i="2"/>
  <c r="C30" i="2"/>
  <c r="C27" i="2"/>
  <c r="C45" i="2"/>
  <c r="C37" i="2"/>
  <c r="C56" i="2"/>
  <c r="C47" i="2"/>
  <c r="C26" i="2"/>
  <c r="C44" i="2"/>
  <c r="C63" i="2"/>
  <c r="C33" i="2"/>
  <c r="C36" i="2"/>
  <c r="C69" i="2"/>
  <c r="C64" i="2"/>
  <c r="C39" i="2"/>
  <c r="C61" i="2"/>
  <c r="C49" i="2"/>
  <c r="C38" i="2"/>
  <c r="W27" i="1"/>
  <c r="V27" i="1"/>
  <c r="F28" i="1"/>
  <c r="E28" i="1"/>
  <c r="C54" i="2"/>
  <c r="L30" i="1" a="1"/>
  <c r="L3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<sst xmlns="http://schemas.openxmlformats.org/spreadsheetml/2006/main" count="396" uniqueCount="130">
  <si>
    <t>Beam Properties:</t>
  </si>
  <si>
    <t xml:space="preserve">Ix = </t>
  </si>
  <si>
    <t xml:space="preserve">E = </t>
  </si>
  <si>
    <t>in4</t>
  </si>
  <si>
    <t>ksi</t>
  </si>
  <si>
    <t>Left Cantilever</t>
  </si>
  <si>
    <t>Span:</t>
  </si>
  <si>
    <t>ft</t>
  </si>
  <si>
    <t>Loads</t>
  </si>
  <si>
    <t>P,M,W1 (kips, ft-kips, klf)</t>
  </si>
  <si>
    <t>W2 (klf)</t>
  </si>
  <si>
    <t>a (ft)</t>
  </si>
  <si>
    <t>b (ft)</t>
  </si>
  <si>
    <t>Type</t>
  </si>
  <si>
    <t>Kind</t>
  </si>
  <si>
    <t>Center Span</t>
  </si>
  <si>
    <t>Right Cantilever</t>
  </si>
  <si>
    <t>S</t>
  </si>
  <si>
    <t>D</t>
  </si>
  <si>
    <t>V (kips)</t>
  </si>
  <si>
    <t>M (ft-kips)</t>
  </si>
  <si>
    <t>S (rad)</t>
  </si>
  <si>
    <t>L</t>
  </si>
  <si>
    <t>Lr</t>
  </si>
  <si>
    <t>R</t>
  </si>
  <si>
    <t>H</t>
  </si>
  <si>
    <t>WX</t>
  </si>
  <si>
    <t>WY</t>
  </si>
  <si>
    <t>EX</t>
  </si>
  <si>
    <t>EY</t>
  </si>
  <si>
    <t>Load Types</t>
  </si>
  <si>
    <t>Loading Types</t>
  </si>
  <si>
    <t>POINT</t>
  </si>
  <si>
    <t>MOMENT</t>
  </si>
  <si>
    <t>UDL</t>
  </si>
  <si>
    <t>TRAP</t>
  </si>
  <si>
    <t>--</t>
  </si>
  <si>
    <t>ft4</t>
  </si>
  <si>
    <t>ksf</t>
  </si>
  <si>
    <t>D (in)</t>
  </si>
  <si>
    <t>Chart:</t>
  </si>
  <si>
    <t>Result</t>
  </si>
  <si>
    <t>Charting</t>
  </si>
  <si>
    <t>Beam</t>
  </si>
  <si>
    <t>Cantilever</t>
  </si>
  <si>
    <t>x</t>
  </si>
  <si>
    <t>y</t>
  </si>
  <si>
    <t xml:space="preserve">Res </t>
  </si>
  <si>
    <t>x(ft)</t>
  </si>
  <si>
    <t>Fixed Left:</t>
  </si>
  <si>
    <t>Fixed Right:</t>
  </si>
  <si>
    <t>Find point of 0 slope between: ( Location of Peak Delta)</t>
  </si>
  <si>
    <t>Find point of 0 shear between: (Location of Peak Moment)</t>
  </si>
  <si>
    <t>f1</t>
  </si>
  <si>
    <t>f2</t>
  </si>
  <si>
    <t>Combo</t>
  </si>
  <si>
    <t>Custom</t>
  </si>
  <si>
    <t>Load Factors</t>
  </si>
  <si>
    <t>Interior Supports:</t>
  </si>
  <si>
    <t>Flexibility Method for Internal Reactions</t>
  </si>
  <si>
    <t>Delta</t>
  </si>
  <si>
    <t>kips</t>
  </si>
  <si>
    <t>ft-kips</t>
  </si>
  <si>
    <t>COMBO</t>
  </si>
  <si>
    <t>#</t>
  </si>
  <si>
    <t>SLOPE</t>
  </si>
  <si>
    <t>LRFD_16-1: 1.4D</t>
  </si>
  <si>
    <t>LRFD_16-2Lr: 1.2D+1.6L+0.5Lr+1.6H</t>
  </si>
  <si>
    <t>LRFD_16-2S: 1.2D+1.6L+0.5S+1.6H</t>
  </si>
  <si>
    <t>LRFD_16-2R: 1.2D+1.6L+0.5R+1.6H</t>
  </si>
  <si>
    <t>LRFD_16-3Lr_W1: 1.2D+1.6Lr+1.6H+0.5WX</t>
  </si>
  <si>
    <t>LRFD_16-3S_W1: 1.2D+1.6S+1.6H+0.5WX</t>
  </si>
  <si>
    <t>LRFD_16-3R_W1: 1.2D+1.6R+1.6H+0.5WX</t>
  </si>
  <si>
    <t>LRFD_16-3Lr_W2: 1.2D+1.6Lr+1.6H+0.5WY</t>
  </si>
  <si>
    <t>LRFD_16-3S_W2: 1.2D+1.6S+1.6H+0.5WY</t>
  </si>
  <si>
    <t>LRFD_16-3R_W2: 1.2D+1.6R+1.6H+0.5WY</t>
  </si>
  <si>
    <t>LRFD_16-6W1: 0.9D+1.6H+1WX</t>
  </si>
  <si>
    <t>LRFD_16-6W2: 0.9D+1.6H+1WY</t>
  </si>
  <si>
    <t>LRFD_16-7E1: 0.9D+1.6H+1EX</t>
  </si>
  <si>
    <t>LRFD_16-7E2: 0.9D+1.6H+1EY</t>
  </si>
  <si>
    <t>ASD_16-8: 1D</t>
  </si>
  <si>
    <t>ASD_16-9: 1D+1L+1H</t>
  </si>
  <si>
    <t>ASD_16-10Lr: 1D+1Lr+1H</t>
  </si>
  <si>
    <t>ASD_16-10S: 1D+1S+1H</t>
  </si>
  <si>
    <t>ASD_16-10R: 1D+1R+1H</t>
  </si>
  <si>
    <t>ASD_16-11Lr: 1D+0.75L+0.75Lr+1H</t>
  </si>
  <si>
    <t>ASD_16-11S: 1D+0.75L+0.75S+1H</t>
  </si>
  <si>
    <t>ASD_16-11R: 1D+0.75L+0.75R+1H</t>
  </si>
  <si>
    <t>ASD_16-12W1: 1D+1H+0.6WX</t>
  </si>
  <si>
    <t>ASD_16-12W2: 1D+1H+0.6WY</t>
  </si>
  <si>
    <t>ASD_16-12E1: 1D+1H+0.7EX</t>
  </si>
  <si>
    <t>ASD_16-12E2: 1D+1H+0.7EY</t>
  </si>
  <si>
    <t>ASD_16-13W1_Lr: 1D+0.75L+0.75Lr+1H+0.45WX</t>
  </si>
  <si>
    <t>ASD_16-13W1_S: 1D+0.75L+0.75S+1H+0.45WX</t>
  </si>
  <si>
    <t>ASD_16-13W1_R: 1D+0.75L+0.75R+1H+0.45WX</t>
  </si>
  <si>
    <t>ASD_16-13W2_Lr: 1D+0.75L+0.75Lr+1H+0.45WY</t>
  </si>
  <si>
    <t>ASD_16-13W2_S: 1D+0.75L+0.75S+1H+0.45WY</t>
  </si>
  <si>
    <t>ASD_16-13W2_R: 1D+0.75L+0.75R+1H+0.45WY</t>
  </si>
  <si>
    <t>ASD_16-14E1: 1D+0.75L+0.75S+1H+0.525EX</t>
  </si>
  <si>
    <t>ASD_16-14E2: 1D+0.75L+0.75S+1H+0.525EY</t>
  </si>
  <si>
    <t>ASD_16-15W1: 0.6D+1H+0.6WX</t>
  </si>
  <si>
    <t>ASD_16-15W2: 0.6D+1H+0.6WY</t>
  </si>
  <si>
    <t>ASD_16-16E1: 0.6D+1H+0.7EX</t>
  </si>
  <si>
    <t>ASD_16-16E2: 0.6D+1H+0.7EY</t>
  </si>
  <si>
    <t>LRFD_16-3Lr_L: 1.2D+f1 L+1.6Lr+1.6H</t>
  </si>
  <si>
    <t>LRFD_16-3S_L: 1.2D+f1 L+1.6S+1.6H</t>
  </si>
  <si>
    <t>LRFD_16-3R_L: 1.2D+f1 L+1.6R+1.6H</t>
  </si>
  <si>
    <t>LRFD_16-4W1_Lr: 1.2D+f1 L+0.5Lr+1.6H+1WX</t>
  </si>
  <si>
    <t>LRFD_16-4W1_S: 1.2D+f1 L+0.5S+1.6H+1WX</t>
  </si>
  <si>
    <t>LRFD_16-4W1_R: 1.2D+f1 L+0.5R+1.6H+1WX</t>
  </si>
  <si>
    <t>LRFD_16-4W2_Lr: 1.2D+f1 L+0.5Lr+1.6H+1WY</t>
  </si>
  <si>
    <t>LRFD_16-4W2_S: 1.2D+f1 L+0.5S+1.6H+1WY</t>
  </si>
  <si>
    <t>LRFD_16-4W2_R: 1.2D+f1 L+0.5R+1.6H+1WY</t>
  </si>
  <si>
    <t>LRFD_16-5E1: 1.2D+f1 L+f2 S+1.6H+1EX</t>
  </si>
  <si>
    <t>LRFD_16-5E2: 1.2D+f1 L+f2 S+1.6H+1EY</t>
  </si>
  <si>
    <t>Center</t>
  </si>
  <si>
    <t>V:</t>
  </si>
  <si>
    <t>M:</t>
  </si>
  <si>
    <t>D:</t>
  </si>
  <si>
    <t>S:</t>
  </si>
  <si>
    <t>rad</t>
  </si>
  <si>
    <t>in</t>
  </si>
  <si>
    <t>Below are for Center Span Details:</t>
  </si>
  <si>
    <t>**Need to Choose Custom Here to Use Custom Factors**</t>
  </si>
  <si>
    <t>RL</t>
  </si>
  <si>
    <t>RR</t>
  </si>
  <si>
    <t>Max</t>
  </si>
  <si>
    <t>Min</t>
  </si>
  <si>
    <t>C (1/in)</t>
  </si>
  <si>
    <t>k (kip/in)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</si>
</sst>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E+00"/>
    <numFmt numFmtId="167" formatCode="0.0000000"/>
  </numFmts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0" borderId="0" xfId="0" applyNumberFormat="1"/>
    <xf numFmtId="0" fontId="0" fillId="0" borderId="0" xfId="0" applyFill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Fill="1" applyAlignment="1">
      <alignment horizontal="left"/>
    </xf>
    <xf numFmtId="0" fontId="0" fillId="2" borderId="1" xfId="0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6" xfId="0" applyFill="1" applyBorder="1"/>
    <xf numFmtId="0" fontId="0" fillId="6" borderId="0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0" borderId="2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9" xfId="0" applyBorder="1"/>
    <xf numFmtId="164" fontId="0" fillId="2" borderId="11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164" fontId="0" fillId="2" borderId="14" xfId="0" applyNumberFormat="1" applyFill="1" applyBorder="1" applyAlignment="1">
      <alignment horizontal="center"/>
    </xf>
    <xf numFmtId="164" fontId="0" fillId="2" borderId="15" xfId="0" applyNumberForma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164" fontId="0" fillId="2" borderId="17" xfId="0" applyNumberFormat="1" applyFill="1" applyBorder="1" applyAlignment="1">
      <alignment horizontal="center"/>
    </xf>
    <xf numFmtId="164" fontId="0" fillId="2" borderId="18" xfId="0" applyNumberForma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1" fontId="0" fillId="5" borderId="0" xfId="0" applyNumberFormat="1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2" fillId="0" borderId="2" xfId="0" applyFont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164" fontId="0" fillId="2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6" borderId="0" xfId="0" applyNumberFormat="1" applyFill="1" applyBorder="1" applyAlignment="1">
      <alignment horizontal="center"/>
    </xf>
    <xf numFmtId="164" fontId="0" fillId="6" borderId="0" xfId="0" applyNumberFormat="1" applyFill="1" applyBorder="1"/>
    <xf numFmtId="0" fontId="0" fillId="6" borderId="6" xfId="0" applyFill="1" applyBorder="1" applyAlignment="1">
      <alignment horizontal="center"/>
    </xf>
    <xf numFmtId="0" fontId="0" fillId="0" borderId="7" xfId="0" applyBorder="1"/>
    <xf numFmtId="0" fontId="0" fillId="0" borderId="8" xfId="0" applyFill="1" applyBorder="1"/>
    <xf numFmtId="164" fontId="0" fillId="0" borderId="8" xfId="0" applyNumberFormat="1" applyFill="1" applyBorder="1" applyAlignment="1">
      <alignment horizontal="center"/>
    </xf>
    <xf numFmtId="164" fontId="0" fillId="0" borderId="8" xfId="0" applyNumberFormat="1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/>
    <xf numFmtId="0" fontId="0" fillId="0" borderId="10" xfId="0" applyBorder="1"/>
    <xf numFmtId="0" fontId="0" fillId="0" borderId="3" xfId="0" applyBorder="1" applyAlignment="1">
      <alignment horizontal="right"/>
    </xf>
    <xf numFmtId="0" fontId="0" fillId="3" borderId="3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3" borderId="0" xfId="0" applyFill="1" applyBorder="1" applyAlignment="1">
      <alignment horizontal="center"/>
    </xf>
    <xf numFmtId="165" fontId="2" fillId="5" borderId="0" xfId="0" applyNumberFormat="1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0" fontId="0" fillId="0" borderId="8" xfId="0" applyBorder="1"/>
    <xf numFmtId="0" fontId="0" fillId="0" borderId="7" xfId="0" applyFill="1" applyBorder="1"/>
    <xf numFmtId="0" fontId="0" fillId="0" borderId="9" xfId="0" applyFill="1" applyBorder="1" applyAlignment="1">
      <alignment horizontal="center"/>
    </xf>
    <xf numFmtId="0" fontId="0" fillId="0" borderId="2" xfId="0" applyBorder="1"/>
    <xf numFmtId="0" fontId="0" fillId="2" borderId="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14" xfId="0" applyBorder="1" applyAlignment="1">
      <alignment horizontal="center"/>
    </xf>
    <xf numFmtId="11" fontId="0" fillId="0" borderId="15" xfId="0" applyNumberFormat="1" applyBorder="1" applyAlignment="1">
      <alignment horizontal="center"/>
    </xf>
    <xf numFmtId="0" fontId="0" fillId="2" borderId="17" xfId="0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5" borderId="15" xfId="0" applyNumberFormat="1" applyFill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2" fillId="0" borderId="0" xfId="0" applyFont="1" applyAlignment="1">
      <alignment horizontal="left"/>
    </xf>
    <xf numFmtId="164" fontId="0" fillId="5" borderId="16" xfId="0" applyNumberFormat="1" applyFill="1" applyBorder="1" applyAlignment="1">
      <alignment horizontal="center"/>
    </xf>
    <xf numFmtId="11" fontId="0" fillId="0" borderId="12" xfId="0" applyNumberFormat="1" applyBorder="1" applyAlignment="1">
      <alignment horizontal="center"/>
    </xf>
    <xf numFmtId="11" fontId="0" fillId="0" borderId="18" xfId="0" applyNumberFormat="1" applyBorder="1" applyAlignment="1">
      <alignment horizontal="center"/>
    </xf>
    <xf numFmtId="164" fontId="2" fillId="5" borderId="3" xfId="0" applyNumberFormat="1" applyFont="1" applyFill="1" applyBorder="1" applyAlignment="1">
      <alignment horizontal="center"/>
    </xf>
    <xf numFmtId="164" fontId="2" fillId="5" borderId="0" xfId="0" applyNumberFormat="1" applyFont="1" applyFill="1" applyBorder="1" applyAlignment="1">
      <alignment horizontal="center"/>
    </xf>
    <xf numFmtId="164" fontId="2" fillId="5" borderId="8" xfId="0" applyNumberFormat="1" applyFont="1" applyFill="1" applyBorder="1" applyAlignment="1">
      <alignment horizontal="center"/>
    </xf>
    <xf numFmtId="166" fontId="0" fillId="0" borderId="0" xfId="0" applyNumberForma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3" fillId="0" borderId="0" xfId="0" applyFont="1" applyFill="1" applyAlignment="1"/>
    <xf numFmtId="167" fontId="0" fillId="0" borderId="0" xfId="0" applyNumberFormat="1"/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Beam_Analysis!$V$1</c:f>
          <c:strCache>
            <c:ptCount val="1"/>
            <c:pt idx="0">
              <c:v>Deflection (in)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LEFT_CANTILEVER</c:v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Data!$F$7:$F$8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Data!$G$7:$G$8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BE-4BD8-860F-1E1F00291667}"/>
            </c:ext>
          </c:extLst>
        </c:ser>
        <c:ser>
          <c:idx val="1"/>
          <c:order val="1"/>
          <c:tx>
            <c:v>CENTER_SPAN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Data!$F$12:$F$13</c:f>
              <c:numCache>
                <c:formatCode>General</c:formatCode>
                <c:ptCount val="2"/>
                <c:pt idx="0">
                  <c:v>5</c:v>
                </c:pt>
                <c:pt idx="1">
                  <c:v>35</c:v>
                </c:pt>
              </c:numCache>
            </c:numRef>
          </c:xVal>
          <c:yVal>
            <c:numRef>
              <c:f>Data!$G$12:$G$13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BE-4BD8-860F-1E1F00291667}"/>
            </c:ext>
          </c:extLst>
        </c:ser>
        <c:ser>
          <c:idx val="2"/>
          <c:order val="2"/>
          <c:tx>
            <c:v>RIGHT_CANTILEVER</c:v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Data!$F$17:$F$18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xVal>
          <c:yVal>
            <c:numRef>
              <c:f>Data!$G$17:$G$18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BE-4BD8-860F-1E1F00291667}"/>
            </c:ext>
          </c:extLst>
        </c:ser>
        <c:ser>
          <c:idx val="3"/>
          <c:order val="3"/>
          <c:tx>
            <c:v>CENTER_RESULTS</c:v>
          </c:tx>
          <c:spPr>
            <a:ln w="22225" cap="rnd">
              <a:noFill/>
              <a:round/>
            </a:ln>
            <a:effectLst/>
          </c:spPr>
          <c:marker>
            <c:symbol val="plus"/>
            <c:size val="2"/>
            <c:spPr>
              <a:noFill/>
              <a:ln w="12700">
                <a:solidFill>
                  <a:srgbClr val="C00000"/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rgbClr val="FF0000">
                    <a:alpha val="20000"/>
                  </a:srgbClr>
                </a:solidFill>
                <a:prstDash val="solid"/>
                <a:round/>
              </a:ln>
              <a:effectLst/>
            </c:spPr>
          </c:errBars>
          <c:xVal>
            <c:numRef>
              <c:f>Data!$O$107:$O$347</c:f>
              <c:numCache>
                <c:formatCode>0.00</c:formatCode>
                <c:ptCount val="241"/>
                <c:pt idx="0">
                  <c:v>5</c:v>
                </c:pt>
                <c:pt idx="1">
                  <c:v>5.125</c:v>
                </c:pt>
                <c:pt idx="2">
                  <c:v>5.25</c:v>
                </c:pt>
                <c:pt idx="3">
                  <c:v>5.375</c:v>
                </c:pt>
                <c:pt idx="4">
                  <c:v>5.5</c:v>
                </c:pt>
                <c:pt idx="5">
                  <c:v>5.625</c:v>
                </c:pt>
                <c:pt idx="6">
                  <c:v>5.75</c:v>
                </c:pt>
                <c:pt idx="7">
                  <c:v>5.875</c:v>
                </c:pt>
                <c:pt idx="8">
                  <c:v>6</c:v>
                </c:pt>
                <c:pt idx="9">
                  <c:v>6.125</c:v>
                </c:pt>
                <c:pt idx="10">
                  <c:v>6.25</c:v>
                </c:pt>
                <c:pt idx="11">
                  <c:v>6.375</c:v>
                </c:pt>
                <c:pt idx="12">
                  <c:v>6.5</c:v>
                </c:pt>
                <c:pt idx="13">
                  <c:v>6.625</c:v>
                </c:pt>
                <c:pt idx="14">
                  <c:v>6.75</c:v>
                </c:pt>
                <c:pt idx="15">
                  <c:v>6.875</c:v>
                </c:pt>
                <c:pt idx="16">
                  <c:v>7</c:v>
                </c:pt>
                <c:pt idx="17">
                  <c:v>7.125</c:v>
                </c:pt>
                <c:pt idx="18">
                  <c:v>7.25</c:v>
                </c:pt>
                <c:pt idx="19">
                  <c:v>7.375</c:v>
                </c:pt>
                <c:pt idx="20">
                  <c:v>7.5</c:v>
                </c:pt>
                <c:pt idx="21">
                  <c:v>7.625</c:v>
                </c:pt>
                <c:pt idx="22">
                  <c:v>7.75</c:v>
                </c:pt>
                <c:pt idx="23">
                  <c:v>7.875</c:v>
                </c:pt>
                <c:pt idx="24">
                  <c:v>8</c:v>
                </c:pt>
                <c:pt idx="25">
                  <c:v>8.125</c:v>
                </c:pt>
                <c:pt idx="26">
                  <c:v>8.25</c:v>
                </c:pt>
                <c:pt idx="27">
                  <c:v>8.375</c:v>
                </c:pt>
                <c:pt idx="28">
                  <c:v>8.5</c:v>
                </c:pt>
                <c:pt idx="29">
                  <c:v>8.625</c:v>
                </c:pt>
                <c:pt idx="30">
                  <c:v>8.75</c:v>
                </c:pt>
                <c:pt idx="31">
                  <c:v>8.875</c:v>
                </c:pt>
                <c:pt idx="32">
                  <c:v>9</c:v>
                </c:pt>
                <c:pt idx="33">
                  <c:v>9.125</c:v>
                </c:pt>
                <c:pt idx="34">
                  <c:v>9.25</c:v>
                </c:pt>
                <c:pt idx="35">
                  <c:v>9.375</c:v>
                </c:pt>
                <c:pt idx="36">
                  <c:v>9.5</c:v>
                </c:pt>
                <c:pt idx="37">
                  <c:v>9.625</c:v>
                </c:pt>
                <c:pt idx="38">
                  <c:v>9.75</c:v>
                </c:pt>
                <c:pt idx="39">
                  <c:v>9.875</c:v>
                </c:pt>
                <c:pt idx="40">
                  <c:v>10</c:v>
                </c:pt>
                <c:pt idx="41">
                  <c:v>10.125</c:v>
                </c:pt>
                <c:pt idx="42">
                  <c:v>10.25</c:v>
                </c:pt>
                <c:pt idx="43">
                  <c:v>10.375</c:v>
                </c:pt>
                <c:pt idx="44">
                  <c:v>10.5</c:v>
                </c:pt>
                <c:pt idx="45">
                  <c:v>10.625</c:v>
                </c:pt>
                <c:pt idx="46">
                  <c:v>10.75</c:v>
                </c:pt>
                <c:pt idx="47">
                  <c:v>10.875</c:v>
                </c:pt>
                <c:pt idx="48">
                  <c:v>11</c:v>
                </c:pt>
                <c:pt idx="49">
                  <c:v>11.125</c:v>
                </c:pt>
                <c:pt idx="50">
                  <c:v>11.25</c:v>
                </c:pt>
                <c:pt idx="51">
                  <c:v>11.375</c:v>
                </c:pt>
                <c:pt idx="52">
                  <c:v>11.5</c:v>
                </c:pt>
                <c:pt idx="53">
                  <c:v>11.625</c:v>
                </c:pt>
                <c:pt idx="54">
                  <c:v>11.75</c:v>
                </c:pt>
                <c:pt idx="55">
                  <c:v>11.875</c:v>
                </c:pt>
                <c:pt idx="56">
                  <c:v>12</c:v>
                </c:pt>
                <c:pt idx="57">
                  <c:v>12.125</c:v>
                </c:pt>
                <c:pt idx="58">
                  <c:v>12.25</c:v>
                </c:pt>
                <c:pt idx="59">
                  <c:v>12.375</c:v>
                </c:pt>
                <c:pt idx="60">
                  <c:v>12.5</c:v>
                </c:pt>
                <c:pt idx="61">
                  <c:v>12.625</c:v>
                </c:pt>
                <c:pt idx="62">
                  <c:v>12.75</c:v>
                </c:pt>
                <c:pt idx="63">
                  <c:v>12.875</c:v>
                </c:pt>
                <c:pt idx="64">
                  <c:v>13</c:v>
                </c:pt>
                <c:pt idx="65">
                  <c:v>13.125</c:v>
                </c:pt>
                <c:pt idx="66">
                  <c:v>13.25</c:v>
                </c:pt>
                <c:pt idx="67">
                  <c:v>13.375</c:v>
                </c:pt>
                <c:pt idx="68">
                  <c:v>13.5</c:v>
                </c:pt>
                <c:pt idx="69">
                  <c:v>13.625</c:v>
                </c:pt>
                <c:pt idx="70">
                  <c:v>13.75</c:v>
                </c:pt>
                <c:pt idx="71">
                  <c:v>13.875</c:v>
                </c:pt>
                <c:pt idx="72">
                  <c:v>14</c:v>
                </c:pt>
                <c:pt idx="73">
                  <c:v>14.125</c:v>
                </c:pt>
                <c:pt idx="74">
                  <c:v>14.25</c:v>
                </c:pt>
                <c:pt idx="75">
                  <c:v>14.375</c:v>
                </c:pt>
                <c:pt idx="76">
                  <c:v>14.5</c:v>
                </c:pt>
                <c:pt idx="77">
                  <c:v>14.625</c:v>
                </c:pt>
                <c:pt idx="78">
                  <c:v>14.75</c:v>
                </c:pt>
                <c:pt idx="79">
                  <c:v>14.875</c:v>
                </c:pt>
                <c:pt idx="80">
                  <c:v>15</c:v>
                </c:pt>
                <c:pt idx="81">
                  <c:v>15.125</c:v>
                </c:pt>
                <c:pt idx="82">
                  <c:v>15.25</c:v>
                </c:pt>
                <c:pt idx="83">
                  <c:v>15.375</c:v>
                </c:pt>
                <c:pt idx="84">
                  <c:v>15.5</c:v>
                </c:pt>
                <c:pt idx="85">
                  <c:v>15.625</c:v>
                </c:pt>
                <c:pt idx="86">
                  <c:v>15.75</c:v>
                </c:pt>
                <c:pt idx="87">
                  <c:v>15.875</c:v>
                </c:pt>
                <c:pt idx="88">
                  <c:v>16</c:v>
                </c:pt>
                <c:pt idx="89">
                  <c:v>16.125</c:v>
                </c:pt>
                <c:pt idx="90">
                  <c:v>16.25</c:v>
                </c:pt>
                <c:pt idx="91">
                  <c:v>16.375</c:v>
                </c:pt>
                <c:pt idx="92">
                  <c:v>16.5</c:v>
                </c:pt>
                <c:pt idx="93">
                  <c:v>16.625</c:v>
                </c:pt>
                <c:pt idx="94">
                  <c:v>16.75</c:v>
                </c:pt>
                <c:pt idx="95">
                  <c:v>16.875</c:v>
                </c:pt>
                <c:pt idx="96">
                  <c:v>17</c:v>
                </c:pt>
                <c:pt idx="97">
                  <c:v>17.125</c:v>
                </c:pt>
                <c:pt idx="98">
                  <c:v>17.25</c:v>
                </c:pt>
                <c:pt idx="99">
                  <c:v>17.375</c:v>
                </c:pt>
                <c:pt idx="100">
                  <c:v>17.5</c:v>
                </c:pt>
                <c:pt idx="101">
                  <c:v>17.625</c:v>
                </c:pt>
                <c:pt idx="102">
                  <c:v>17.75</c:v>
                </c:pt>
                <c:pt idx="103">
                  <c:v>17.875</c:v>
                </c:pt>
                <c:pt idx="104">
                  <c:v>18</c:v>
                </c:pt>
                <c:pt idx="105">
                  <c:v>18.125</c:v>
                </c:pt>
                <c:pt idx="106">
                  <c:v>18.25</c:v>
                </c:pt>
                <c:pt idx="107">
                  <c:v>18.375</c:v>
                </c:pt>
                <c:pt idx="108">
                  <c:v>18.5</c:v>
                </c:pt>
                <c:pt idx="109">
                  <c:v>18.625</c:v>
                </c:pt>
                <c:pt idx="110">
                  <c:v>18.75</c:v>
                </c:pt>
                <c:pt idx="111">
                  <c:v>18.875</c:v>
                </c:pt>
                <c:pt idx="112">
                  <c:v>19</c:v>
                </c:pt>
                <c:pt idx="113">
                  <c:v>19.125</c:v>
                </c:pt>
                <c:pt idx="114">
                  <c:v>19.25</c:v>
                </c:pt>
                <c:pt idx="115">
                  <c:v>19.375</c:v>
                </c:pt>
                <c:pt idx="116">
                  <c:v>19.5</c:v>
                </c:pt>
                <c:pt idx="117">
                  <c:v>19.625</c:v>
                </c:pt>
                <c:pt idx="118">
                  <c:v>19.75</c:v>
                </c:pt>
                <c:pt idx="119">
                  <c:v>19.875</c:v>
                </c:pt>
                <c:pt idx="120">
                  <c:v>20</c:v>
                </c:pt>
                <c:pt idx="121">
                  <c:v>20.125</c:v>
                </c:pt>
                <c:pt idx="122">
                  <c:v>20.25</c:v>
                </c:pt>
                <c:pt idx="123">
                  <c:v>20.375</c:v>
                </c:pt>
                <c:pt idx="124">
                  <c:v>20.5</c:v>
                </c:pt>
                <c:pt idx="125">
                  <c:v>20.625</c:v>
                </c:pt>
                <c:pt idx="126">
                  <c:v>20.75</c:v>
                </c:pt>
                <c:pt idx="127">
                  <c:v>20.875</c:v>
                </c:pt>
                <c:pt idx="128">
                  <c:v>21</c:v>
                </c:pt>
                <c:pt idx="129">
                  <c:v>21.125</c:v>
                </c:pt>
                <c:pt idx="130">
                  <c:v>21.25</c:v>
                </c:pt>
                <c:pt idx="131">
                  <c:v>21.375</c:v>
                </c:pt>
                <c:pt idx="132">
                  <c:v>21.5</c:v>
                </c:pt>
                <c:pt idx="133">
                  <c:v>21.625</c:v>
                </c:pt>
                <c:pt idx="134">
                  <c:v>21.75</c:v>
                </c:pt>
                <c:pt idx="135">
                  <c:v>21.875</c:v>
                </c:pt>
                <c:pt idx="136">
                  <c:v>22</c:v>
                </c:pt>
                <c:pt idx="137">
                  <c:v>22.125</c:v>
                </c:pt>
                <c:pt idx="138">
                  <c:v>22.25</c:v>
                </c:pt>
                <c:pt idx="139">
                  <c:v>22.375</c:v>
                </c:pt>
                <c:pt idx="140">
                  <c:v>22.5</c:v>
                </c:pt>
                <c:pt idx="141">
                  <c:v>22.625</c:v>
                </c:pt>
                <c:pt idx="142">
                  <c:v>22.75</c:v>
                </c:pt>
                <c:pt idx="143">
                  <c:v>22.875</c:v>
                </c:pt>
                <c:pt idx="144">
                  <c:v>23</c:v>
                </c:pt>
                <c:pt idx="145">
                  <c:v>23.125</c:v>
                </c:pt>
                <c:pt idx="146">
                  <c:v>23.25</c:v>
                </c:pt>
                <c:pt idx="147">
                  <c:v>23.375</c:v>
                </c:pt>
                <c:pt idx="148">
                  <c:v>23.5</c:v>
                </c:pt>
                <c:pt idx="149">
                  <c:v>23.625</c:v>
                </c:pt>
                <c:pt idx="150">
                  <c:v>23.75</c:v>
                </c:pt>
                <c:pt idx="151">
                  <c:v>23.875</c:v>
                </c:pt>
                <c:pt idx="152">
                  <c:v>24</c:v>
                </c:pt>
                <c:pt idx="153">
                  <c:v>24.125</c:v>
                </c:pt>
                <c:pt idx="154">
                  <c:v>24.25</c:v>
                </c:pt>
                <c:pt idx="155">
                  <c:v>24.375</c:v>
                </c:pt>
                <c:pt idx="156">
                  <c:v>24.5</c:v>
                </c:pt>
                <c:pt idx="157">
                  <c:v>24.625</c:v>
                </c:pt>
                <c:pt idx="158">
                  <c:v>24.75</c:v>
                </c:pt>
                <c:pt idx="159">
                  <c:v>24.875</c:v>
                </c:pt>
                <c:pt idx="160">
                  <c:v>25</c:v>
                </c:pt>
                <c:pt idx="161">
                  <c:v>25.125</c:v>
                </c:pt>
                <c:pt idx="162">
                  <c:v>25.25</c:v>
                </c:pt>
                <c:pt idx="163">
                  <c:v>25.375</c:v>
                </c:pt>
                <c:pt idx="164">
                  <c:v>25.5</c:v>
                </c:pt>
                <c:pt idx="165">
                  <c:v>25.625</c:v>
                </c:pt>
                <c:pt idx="166">
                  <c:v>25.75</c:v>
                </c:pt>
                <c:pt idx="167">
                  <c:v>25.875</c:v>
                </c:pt>
                <c:pt idx="168">
                  <c:v>26</c:v>
                </c:pt>
                <c:pt idx="169">
                  <c:v>26.125</c:v>
                </c:pt>
                <c:pt idx="170">
                  <c:v>26.25</c:v>
                </c:pt>
                <c:pt idx="171">
                  <c:v>26.375</c:v>
                </c:pt>
                <c:pt idx="172">
                  <c:v>26.5</c:v>
                </c:pt>
                <c:pt idx="173">
                  <c:v>26.625</c:v>
                </c:pt>
                <c:pt idx="174">
                  <c:v>26.75</c:v>
                </c:pt>
                <c:pt idx="175">
                  <c:v>26.875</c:v>
                </c:pt>
                <c:pt idx="176">
                  <c:v>27</c:v>
                </c:pt>
                <c:pt idx="177">
                  <c:v>27.125</c:v>
                </c:pt>
                <c:pt idx="178">
                  <c:v>27.25</c:v>
                </c:pt>
                <c:pt idx="179">
                  <c:v>27.375</c:v>
                </c:pt>
                <c:pt idx="180">
                  <c:v>27.5</c:v>
                </c:pt>
                <c:pt idx="181">
                  <c:v>27.625</c:v>
                </c:pt>
                <c:pt idx="182">
                  <c:v>27.75</c:v>
                </c:pt>
                <c:pt idx="183">
                  <c:v>27.875</c:v>
                </c:pt>
                <c:pt idx="184">
                  <c:v>28</c:v>
                </c:pt>
                <c:pt idx="185">
                  <c:v>28.125</c:v>
                </c:pt>
                <c:pt idx="186">
                  <c:v>28.25</c:v>
                </c:pt>
                <c:pt idx="187">
                  <c:v>28.375</c:v>
                </c:pt>
                <c:pt idx="188">
                  <c:v>28.5</c:v>
                </c:pt>
                <c:pt idx="189">
                  <c:v>28.625</c:v>
                </c:pt>
                <c:pt idx="190">
                  <c:v>28.75</c:v>
                </c:pt>
                <c:pt idx="191">
                  <c:v>28.875</c:v>
                </c:pt>
                <c:pt idx="192">
                  <c:v>29</c:v>
                </c:pt>
                <c:pt idx="193">
                  <c:v>29.125</c:v>
                </c:pt>
                <c:pt idx="194">
                  <c:v>29.25</c:v>
                </c:pt>
                <c:pt idx="195">
                  <c:v>29.375</c:v>
                </c:pt>
                <c:pt idx="196">
                  <c:v>29.5</c:v>
                </c:pt>
                <c:pt idx="197">
                  <c:v>29.625</c:v>
                </c:pt>
                <c:pt idx="198">
                  <c:v>29.75</c:v>
                </c:pt>
                <c:pt idx="199">
                  <c:v>29.875</c:v>
                </c:pt>
                <c:pt idx="200">
                  <c:v>30</c:v>
                </c:pt>
                <c:pt idx="201">
                  <c:v>30.125</c:v>
                </c:pt>
                <c:pt idx="202">
                  <c:v>30.25</c:v>
                </c:pt>
                <c:pt idx="203">
                  <c:v>30.375</c:v>
                </c:pt>
                <c:pt idx="204">
                  <c:v>30.5</c:v>
                </c:pt>
                <c:pt idx="205">
                  <c:v>30.625</c:v>
                </c:pt>
                <c:pt idx="206">
                  <c:v>30.75</c:v>
                </c:pt>
                <c:pt idx="207">
                  <c:v>30.875</c:v>
                </c:pt>
                <c:pt idx="208">
                  <c:v>31</c:v>
                </c:pt>
                <c:pt idx="209">
                  <c:v>31.125</c:v>
                </c:pt>
                <c:pt idx="210">
                  <c:v>31.25</c:v>
                </c:pt>
                <c:pt idx="211">
                  <c:v>31.375</c:v>
                </c:pt>
                <c:pt idx="212">
                  <c:v>31.5</c:v>
                </c:pt>
                <c:pt idx="213">
                  <c:v>31.625</c:v>
                </c:pt>
                <c:pt idx="214">
                  <c:v>31.75</c:v>
                </c:pt>
                <c:pt idx="215">
                  <c:v>31.875</c:v>
                </c:pt>
                <c:pt idx="216">
                  <c:v>32</c:v>
                </c:pt>
                <c:pt idx="217">
                  <c:v>32.125</c:v>
                </c:pt>
                <c:pt idx="218">
                  <c:v>32.25</c:v>
                </c:pt>
                <c:pt idx="219">
                  <c:v>32.375</c:v>
                </c:pt>
                <c:pt idx="220">
                  <c:v>32.5</c:v>
                </c:pt>
                <c:pt idx="221">
                  <c:v>32.625</c:v>
                </c:pt>
                <c:pt idx="222">
                  <c:v>32.75</c:v>
                </c:pt>
                <c:pt idx="223">
                  <c:v>32.875</c:v>
                </c:pt>
                <c:pt idx="224">
                  <c:v>33</c:v>
                </c:pt>
                <c:pt idx="225">
                  <c:v>33.125</c:v>
                </c:pt>
                <c:pt idx="226">
                  <c:v>33.25</c:v>
                </c:pt>
                <c:pt idx="227">
                  <c:v>33.375</c:v>
                </c:pt>
                <c:pt idx="228">
                  <c:v>33.5</c:v>
                </c:pt>
                <c:pt idx="229">
                  <c:v>33.625</c:v>
                </c:pt>
                <c:pt idx="230">
                  <c:v>33.75</c:v>
                </c:pt>
                <c:pt idx="231">
                  <c:v>33.875</c:v>
                </c:pt>
                <c:pt idx="232">
                  <c:v>34</c:v>
                </c:pt>
                <c:pt idx="233">
                  <c:v>34.125</c:v>
                </c:pt>
                <c:pt idx="234">
                  <c:v>34.25</c:v>
                </c:pt>
                <c:pt idx="235">
                  <c:v>34.375</c:v>
                </c:pt>
                <c:pt idx="236">
                  <c:v>34.5</c:v>
                </c:pt>
                <c:pt idx="237">
                  <c:v>34.625</c:v>
                </c:pt>
                <c:pt idx="238">
                  <c:v>34.75</c:v>
                </c:pt>
                <c:pt idx="239">
                  <c:v>34.875</c:v>
                </c:pt>
                <c:pt idx="240">
                  <c:v>35</c:v>
                </c:pt>
              </c:numCache>
            </c:numRef>
          </c:xVal>
          <c:yVal>
            <c:numRef>
              <c:f>Data!$P$107:$P$347</c:f>
              <c:numCache>
                <c:formatCode>General</c:formatCode>
                <c:ptCount val="241"/>
                <c:pt idx="0">
                  <c:v>0</c:v>
                </c:pt>
                <c:pt idx="1">
                  <c:v>3.0112775563287809E-3</c:v>
                </c:pt>
                <c:pt idx="2">
                  <c:v>5.6645813870033731E-3</c:v>
                </c:pt>
                <c:pt idx="3">
                  <c:v>7.9793597113424972E-3</c:v>
                </c:pt>
                <c:pt idx="4">
                  <c:v>9.9745884300353437E-3</c:v>
                </c:pt>
                <c:pt idx="5">
                  <c:v>1.1668771125141569E-2</c:v>
                </c:pt>
                <c:pt idx="6">
                  <c:v>1.3079939060090848E-2</c:v>
                </c:pt>
                <c:pt idx="7">
                  <c:v>1.4225651179683487E-2</c:v>
                </c:pt>
                <c:pt idx="8">
                  <c:v>1.5122994110089993E-2</c:v>
                </c:pt>
                <c:pt idx="9">
                  <c:v>1.5788582158851674E-2</c:v>
                </c:pt>
                <c:pt idx="10">
                  <c:v>1.6238557314879536E-2</c:v>
                </c:pt>
                <c:pt idx="11">
                  <c:v>1.6488589248455084E-2</c:v>
                </c:pt>
                <c:pt idx="12">
                  <c:v>1.6553875311230978E-2</c:v>
                </c:pt>
                <c:pt idx="13">
                  <c:v>1.6449140536229045E-2</c:v>
                </c:pt>
                <c:pt idx="14">
                  <c:v>1.6188637637841521E-2</c:v>
                </c:pt>
                <c:pt idx="15">
                  <c:v>1.5786147011832487E-2</c:v>
                </c:pt>
                <c:pt idx="16">
                  <c:v>1.5254976735334762E-2</c:v>
                </c:pt>
                <c:pt idx="17">
                  <c:v>1.4607962566853074E-2</c:v>
                </c:pt>
                <c:pt idx="18">
                  <c:v>1.3857467946259965E-2</c:v>
                </c:pt>
                <c:pt idx="19">
                  <c:v>1.301538399480133E-2</c:v>
                </c:pt>
                <c:pt idx="20">
                  <c:v>1.2093129515091901E-2</c:v>
                </c:pt>
                <c:pt idx="21">
                  <c:v>1.1101650991114972E-2</c:v>
                </c:pt>
                <c:pt idx="22">
                  <c:v>1.0051422588228838E-2</c:v>
                </c:pt>
                <c:pt idx="23">
                  <c:v>8.9524461531568789E-3</c:v>
                </c:pt>
                <c:pt idx="24">
                  <c:v>7.8142512139982648E-3</c:v>
                </c:pt>
                <c:pt idx="25">
                  <c:v>6.6458949802173373E-3</c:v>
                </c:pt>
                <c:pt idx="26">
                  <c:v>5.4559623426515824E-3</c:v>
                </c:pt>
                <c:pt idx="27">
                  <c:v>4.25256587350753E-3</c:v>
                </c:pt>
                <c:pt idx="28">
                  <c:v>3.0433458263652707E-3</c:v>
                </c:pt>
                <c:pt idx="29">
                  <c:v>1.8354701361702336E-3</c:v>
                </c:pt>
                <c:pt idx="30">
                  <c:v>6.3563441924209541E-4</c:v>
                </c:pt>
                <c:pt idx="31">
                  <c:v>-5.4993802673017345E-4</c:v>
                </c:pt>
                <c:pt idx="32">
                  <c:v>-1.715496222687643E-3</c:v>
                </c:pt>
                <c:pt idx="33">
                  <c:v>-2.8557615082032972E-3</c:v>
                </c:pt>
                <c:pt idx="34">
                  <c:v>-3.9659275414740403E-3</c:v>
                </c:pt>
                <c:pt idx="35">
                  <c:v>-5.0416602993298976E-3</c:v>
                </c:pt>
                <c:pt idx="36">
                  <c:v>-6.0790980772326003E-3</c:v>
                </c:pt>
                <c:pt idx="37">
                  <c:v>-7.0748514892698816E-3</c:v>
                </c:pt>
                <c:pt idx="38">
                  <c:v>-8.0260034681605141E-3</c:v>
                </c:pt>
                <c:pt idx="39">
                  <c:v>-8.9301092652531028E-3</c:v>
                </c:pt>
                <c:pt idx="40">
                  <c:v>-9.7851964505256267E-3</c:v>
                </c:pt>
                <c:pt idx="41">
                  <c:v>-1.0589148681841215E-2</c:v>
                </c:pt>
                <c:pt idx="42">
                  <c:v>-1.1337857012722011E-2</c:v>
                </c:pt>
                <c:pt idx="43">
                  <c:v>-1.2027068584567605E-2</c:v>
                </c:pt>
                <c:pt idx="44">
                  <c:v>-1.2653002857415413E-2</c:v>
                </c:pt>
                <c:pt idx="45">
                  <c:v>-1.3212351609924816E-2</c:v>
                </c:pt>
                <c:pt idx="46">
                  <c:v>-1.3702278939393103E-2</c:v>
                </c:pt>
                <c:pt idx="47">
                  <c:v>-1.4120421261741567E-2</c:v>
                </c:pt>
                <c:pt idx="48">
                  <c:v>-1.4464887311524247E-2</c:v>
                </c:pt>
                <c:pt idx="49">
                  <c:v>-1.4734258141920975E-2</c:v>
                </c:pt>
                <c:pt idx="50">
                  <c:v>-1.4927587124742916E-2</c:v>
                </c:pt>
                <c:pt idx="51">
                  <c:v>-1.5044399950436438E-2</c:v>
                </c:pt>
                <c:pt idx="52">
                  <c:v>-1.5084694628068912E-2</c:v>
                </c:pt>
                <c:pt idx="53">
                  <c:v>-1.5048941485341791E-2</c:v>
                </c:pt>
                <c:pt idx="54">
                  <c:v>-1.4938083168587066E-2</c:v>
                </c:pt>
                <c:pt idx="55">
                  <c:v>-1.4753534642759858E-2</c:v>
                </c:pt>
                <c:pt idx="56">
                  <c:v>-1.4497183191456445E-2</c:v>
                </c:pt>
                <c:pt idx="57">
                  <c:v>-1.4171388416893027E-2</c:v>
                </c:pt>
                <c:pt idx="58">
                  <c:v>-1.3778982239915055E-2</c:v>
                </c:pt>
                <c:pt idx="59">
                  <c:v>-1.3323268900005222E-2</c:v>
                </c:pt>
                <c:pt idx="60">
                  <c:v>-1.2808024955271433E-2</c:v>
                </c:pt>
                <c:pt idx="61">
                  <c:v>-1.2237499282456502E-2</c:v>
                </c:pt>
                <c:pt idx="62">
                  <c:v>-1.1616413076915466E-2</c:v>
                </c:pt>
                <c:pt idx="63">
                  <c:v>-1.0949959852658425E-2</c:v>
                </c:pt>
                <c:pt idx="64">
                  <c:v>-1.024380544230416E-2</c:v>
                </c:pt>
                <c:pt idx="65">
                  <c:v>-9.5040879971111936E-3</c:v>
                </c:pt>
                <c:pt idx="66">
                  <c:v>-8.7374179869704194E-3</c:v>
                </c:pt>
                <c:pt idx="67">
                  <c:v>-7.9508782003909484E-3</c:v>
                </c:pt>
                <c:pt idx="68">
                  <c:v>-7.1520237445242552E-3</c:v>
                </c:pt>
                <c:pt idx="69">
                  <c:v>-6.3488820451370331E-3</c:v>
                </c:pt>
                <c:pt idx="70">
                  <c:v>-5.5499528466440018E-3</c:v>
                </c:pt>
                <c:pt idx="71">
                  <c:v>-4.7642082120706863E-3</c:v>
                </c:pt>
                <c:pt idx="72">
                  <c:v>-4.0010925230877237E-3</c:v>
                </c:pt>
                <c:pt idx="73">
                  <c:v>-3.2705224799843002E-3</c:v>
                </c:pt>
                <c:pt idx="74">
                  <c:v>-2.5828871016888855E-3</c:v>
                </c:pt>
                <c:pt idx="75">
                  <c:v>-1.949047725746833E-3</c:v>
                </c:pt>
                <c:pt idx="76">
                  <c:v>-1.3803380083526884E-3</c:v>
                </c:pt>
                <c:pt idx="77">
                  <c:v>-8.8856392430422537E-4</c:v>
                </c:pt>
                <c:pt idx="78">
                  <c:v>-4.8600376705482118E-4</c:v>
                </c:pt>
                <c:pt idx="79">
                  <c:v>-1.8540814866815913E-4</c:v>
                </c:pt>
                <c:pt idx="80">
                  <c:v>1.5021317523178368E-13</c:v>
                </c:pt>
                <c:pt idx="81">
                  <c:v>6.0952091359145477E-5</c:v>
                </c:pt>
                <c:pt idx="82">
                  <c:v>5.4138634774381078E-6</c:v>
                </c:pt>
                <c:pt idx="83">
                  <c:v>-1.5469460232545029E-4</c:v>
                </c:pt>
                <c:pt idx="84">
                  <c:v>-4.0792554351043453E-4</c:v>
                </c:pt>
                <c:pt idx="85">
                  <c:v>-7.4330351615747858E-4</c:v>
                </c:pt>
                <c:pt idx="86">
                  <c:v>-1.1503253949856629E-3</c:v>
                </c:pt>
                <c:pt idx="87">
                  <c:v>-1.618960373340278E-3</c:v>
                </c:pt>
                <c:pt idx="88">
                  <c:v>-2.1396499631946564E-3</c:v>
                </c:pt>
                <c:pt idx="89">
                  <c:v>-2.7033079951524208E-3</c:v>
                </c:pt>
                <c:pt idx="90">
                  <c:v>-3.3013206184547284E-3</c:v>
                </c:pt>
                <c:pt idx="91">
                  <c:v>-3.9255463009560398E-3</c:v>
                </c:pt>
                <c:pt idx="92">
                  <c:v>-4.5683158291566772E-3</c:v>
                </c:pt>
                <c:pt idx="93">
                  <c:v>-5.2224323081735968E-3</c:v>
                </c:pt>
                <c:pt idx="94">
                  <c:v>-5.8811711617628715E-3</c:v>
                </c:pt>
                <c:pt idx="95">
                  <c:v>-6.5382801323111139E-3</c:v>
                </c:pt>
                <c:pt idx="96">
                  <c:v>-7.1879792808248189E-3</c:v>
                </c:pt>
                <c:pt idx="97">
                  <c:v>-7.824960986948265E-3</c:v>
                </c:pt>
                <c:pt idx="98">
                  <c:v>-8.4443899489520247E-3</c:v>
                </c:pt>
                <c:pt idx="99">
                  <c:v>-9.0419031837372099E-3</c:v>
                </c:pt>
                <c:pt idx="100">
                  <c:v>-9.6136100268380542E-3</c:v>
                </c:pt>
                <c:pt idx="101">
                  <c:v>-1.0156092132407091E-2</c:v>
                </c:pt>
                <c:pt idx="102">
                  <c:v>-1.0666403473239966E-2</c:v>
                </c:pt>
                <c:pt idx="103">
                  <c:v>-1.1142070340757704E-2</c:v>
                </c:pt>
                <c:pt idx="104">
                  <c:v>-1.1581091345003125E-2</c:v>
                </c:pt>
                <c:pt idx="105">
                  <c:v>-1.1981937414665661E-2</c:v>
                </c:pt>
                <c:pt idx="106">
                  <c:v>-1.2343551797040386E-2</c:v>
                </c:pt>
                <c:pt idx="107">
                  <c:v>-1.266535005807598E-2</c:v>
                </c:pt>
                <c:pt idx="108">
                  <c:v>-1.2947220082334593E-2</c:v>
                </c:pt>
                <c:pt idx="109">
                  <c:v>-1.3189522073019905E-2</c:v>
                </c:pt>
                <c:pt idx="110">
                  <c:v>-1.3393088551951815E-2</c:v>
                </c:pt>
                <c:pt idx="111">
                  <c:v>-1.3559224359591837E-2</c:v>
                </c:pt>
                <c:pt idx="112">
                  <c:v>-1.3689706655025613E-2</c:v>
                </c:pt>
                <c:pt idx="113">
                  <c:v>-1.3786784915968242E-2</c:v>
                </c:pt>
                <c:pt idx="114">
                  <c:v>-1.3853180938767279E-2</c:v>
                </c:pt>
                <c:pt idx="115">
                  <c:v>-1.3892088838394406E-2</c:v>
                </c:pt>
                <c:pt idx="116">
                  <c:v>-1.390717504845726E-2</c:v>
                </c:pt>
                <c:pt idx="117">
                  <c:v>-1.3902578321193182E-2</c:v>
                </c:pt>
                <c:pt idx="118">
                  <c:v>-1.3882909727462395E-2</c:v>
                </c:pt>
                <c:pt idx="119">
                  <c:v>-1.3853252656758991E-2</c:v>
                </c:pt>
                <c:pt idx="120">
                  <c:v>-1.3819162817209935E-2</c:v>
                </c:pt>
                <c:pt idx="121">
                  <c:v>-1.3784623093847009E-2</c:v>
                </c:pt>
                <c:pt idx="122">
                  <c:v>-1.3745908123448558E-2</c:v>
                </c:pt>
                <c:pt idx="123">
                  <c:v>-1.3697719719697493E-2</c:v>
                </c:pt>
                <c:pt idx="124">
                  <c:v>-1.3635232014921922E-2</c:v>
                </c:pt>
                <c:pt idx="125">
                  <c:v>-1.3554091460060008E-2</c:v>
                </c:pt>
                <c:pt idx="126">
                  <c:v>-1.3450416824698858E-2</c:v>
                </c:pt>
                <c:pt idx="127">
                  <c:v>-1.3320799197038213E-2</c:v>
                </c:pt>
                <c:pt idx="128">
                  <c:v>-1.3162301983923014E-2</c:v>
                </c:pt>
                <c:pt idx="129">
                  <c:v>-1.2972460910805422E-2</c:v>
                </c:pt>
                <c:pt idx="130">
                  <c:v>-1.2749284021789625E-2</c:v>
                </c:pt>
                <c:pt idx="131">
                  <c:v>-1.2491251679608018E-2</c:v>
                </c:pt>
                <c:pt idx="132">
                  <c:v>-1.2197316565606631E-2</c:v>
                </c:pt>
                <c:pt idx="133">
                  <c:v>-1.1866903679774193E-2</c:v>
                </c:pt>
                <c:pt idx="134">
                  <c:v>-1.1499910340719732E-2</c:v>
                </c:pt>
                <c:pt idx="135">
                  <c:v>-1.1096706185694055E-2</c:v>
                </c:pt>
                <c:pt idx="136">
                  <c:v>-1.0658133170572931E-2</c:v>
                </c:pt>
                <c:pt idx="137">
                  <c:v>-1.018550556984768E-2</c:v>
                </c:pt>
                <c:pt idx="138">
                  <c:v>-9.6806099766626463E-3</c:v>
                </c:pt>
                <c:pt idx="139">
                  <c:v>-9.1457053027773072E-3</c:v>
                </c:pt>
                <c:pt idx="140">
                  <c:v>-8.5835227785832635E-3</c:v>
                </c:pt>
                <c:pt idx="141">
                  <c:v>-7.9972659531029888E-3</c:v>
                </c:pt>
                <c:pt idx="142">
                  <c:v>-7.3906106939939098E-3</c:v>
                </c:pt>
                <c:pt idx="143">
                  <c:v>-6.7677051875255911E-3</c:v>
                </c:pt>
                <c:pt idx="144">
                  <c:v>-6.1331699386143745E-3</c:v>
                </c:pt>
                <c:pt idx="145">
                  <c:v>-5.4920977708078078E-3</c:v>
                </c:pt>
                <c:pt idx="146">
                  <c:v>-4.8500538262637449E-3</c:v>
                </c:pt>
                <c:pt idx="147">
                  <c:v>-4.2130755657968921E-3</c:v>
                </c:pt>
                <c:pt idx="148">
                  <c:v>-3.5876727688244348E-3</c:v>
                </c:pt>
                <c:pt idx="149">
                  <c:v>-2.9808275334064216E-3</c:v>
                </c:pt>
                <c:pt idx="150">
                  <c:v>-2.3999942762407689E-3</c:v>
                </c:pt>
                <c:pt idx="151">
                  <c:v>-1.8530997326357823E-3</c:v>
                </c:pt>
                <c:pt idx="152">
                  <c:v>-1.3485429565445461E-3</c:v>
                </c:pt>
                <c:pt idx="153">
                  <c:v>-8.9519532054768702E-4</c:v>
                </c:pt>
                <c:pt idx="154">
                  <c:v>-5.0240051584787837E-4</c:v>
                </c:pt>
                <c:pt idx="155">
                  <c:v>-1.7997455228133119E-4</c:v>
                </c:pt>
                <c:pt idx="156">
                  <c:v>6.1794241677209927E-5</c:v>
                </c:pt>
                <c:pt idx="157">
                  <c:v>2.1214521894194482E-4</c:v>
                </c:pt>
                <c:pt idx="158">
                  <c:v>2.5984541377729875E-4</c:v>
                </c:pt>
                <c:pt idx="159">
                  <c:v>1.9318954183730752E-4</c:v>
                </c:pt>
                <c:pt idx="160">
                  <c:v>1.2614909117303341E-13</c:v>
                </c:pt>
                <c:pt idx="161">
                  <c:v>-3.2794844724248762E-4</c:v>
                </c:pt>
                <c:pt idx="162">
                  <c:v>-7.8165461191159746E-4</c:v>
                </c:pt>
                <c:pt idx="163">
                  <c:v>-1.3481649384398942E-3</c:v>
                </c:pt>
                <c:pt idx="164">
                  <c:v>-2.014998190004641E-3</c:v>
                </c:pt>
                <c:pt idx="165">
                  <c:v>-2.7701454484129751E-3</c:v>
                </c:pt>
                <c:pt idx="166">
                  <c:v>-3.6020701141148137E-3</c:v>
                </c:pt>
                <c:pt idx="167">
                  <c:v>-4.4997079061674661E-3</c:v>
                </c:pt>
                <c:pt idx="168">
                  <c:v>-5.4524668622838446E-3</c:v>
                </c:pt>
                <c:pt idx="169">
                  <c:v>-6.4502273387835041E-3</c:v>
                </c:pt>
                <c:pt idx="170">
                  <c:v>-7.4833420106312776E-3</c:v>
                </c:pt>
                <c:pt idx="171">
                  <c:v>-8.5426358714105477E-3</c:v>
                </c:pt>
                <c:pt idx="172">
                  <c:v>-9.6194062333470609E-3</c:v>
                </c:pt>
                <c:pt idx="173">
                  <c:v>-1.0705422727283115E-2</c:v>
                </c:pt>
                <c:pt idx="174">
                  <c:v>-1.1792927302698625E-2</c:v>
                </c:pt>
                <c:pt idx="175">
                  <c:v>-1.2874634227700632E-2</c:v>
                </c:pt>
                <c:pt idx="176">
                  <c:v>-1.3943730089029049E-2</c:v>
                </c:pt>
                <c:pt idx="177">
                  <c:v>-1.4993873792047169E-2</c:v>
                </c:pt>
                <c:pt idx="178">
                  <c:v>-1.6019196560749155E-2</c:v>
                </c:pt>
                <c:pt idx="179">
                  <c:v>-1.7014301937770454E-2</c:v>
                </c:pt>
                <c:pt idx="180">
                  <c:v>-1.7974265784356153E-2</c:v>
                </c:pt>
                <c:pt idx="181">
                  <c:v>-1.8894636280398697E-2</c:v>
                </c:pt>
                <c:pt idx="182">
                  <c:v>-1.9771433924406168E-2</c:v>
                </c:pt>
                <c:pt idx="183">
                  <c:v>-2.0601151533527512E-2</c:v>
                </c:pt>
                <c:pt idx="184">
                  <c:v>-2.1380754243538719E-2</c:v>
                </c:pt>
                <c:pt idx="185">
                  <c:v>-2.210767950883899E-2</c:v>
                </c:pt>
                <c:pt idx="186">
                  <c:v>-2.2779837102464146E-2</c:v>
                </c:pt>
                <c:pt idx="187">
                  <c:v>-2.3395609116079713E-2</c:v>
                </c:pt>
                <c:pt idx="188">
                  <c:v>-2.3953849959975848E-2</c:v>
                </c:pt>
                <c:pt idx="189">
                  <c:v>-2.4453886363075494E-2</c:v>
                </c:pt>
                <c:pt idx="190">
                  <c:v>-2.4895517372928472E-2</c:v>
                </c:pt>
                <c:pt idx="191">
                  <c:v>-2.5279014355721635E-2</c:v>
                </c:pt>
                <c:pt idx="192">
                  <c:v>-2.5605120996260972E-2</c:v>
                </c:pt>
                <c:pt idx="193">
                  <c:v>-2.5875053297993167E-2</c:v>
                </c:pt>
                <c:pt idx="194">
                  <c:v>-2.6090499582980375E-2</c:v>
                </c:pt>
                <c:pt idx="195">
                  <c:v>-2.6253620491933444E-2</c:v>
                </c:pt>
                <c:pt idx="196">
                  <c:v>-2.6367048984174524E-2</c:v>
                </c:pt>
                <c:pt idx="197">
                  <c:v>-2.6433890337666799E-2</c:v>
                </c:pt>
                <c:pt idx="198">
                  <c:v>-2.6457722148998331E-2</c:v>
                </c:pt>
                <c:pt idx="199">
                  <c:v>-2.6442594333387054E-2</c:v>
                </c:pt>
                <c:pt idx="200">
                  <c:v>-2.6393029124685025E-2</c:v>
                </c:pt>
                <c:pt idx="201">
                  <c:v>-2.631235895278744E-2</c:v>
                </c:pt>
                <c:pt idx="202">
                  <c:v>-2.6197740075904918E-2</c:v>
                </c:pt>
                <c:pt idx="203">
                  <c:v>-2.6045138948292509E-2</c:v>
                </c:pt>
                <c:pt idx="204">
                  <c:v>-2.5850994342845296E-2</c:v>
                </c:pt>
                <c:pt idx="205">
                  <c:v>-2.5612217351076286E-2</c:v>
                </c:pt>
                <c:pt idx="206">
                  <c:v>-2.5326191383134272E-2</c:v>
                </c:pt>
                <c:pt idx="207">
                  <c:v>-2.4990772167798214E-2</c:v>
                </c:pt>
                <c:pt idx="208">
                  <c:v>-2.4604287752471699E-2</c:v>
                </c:pt>
                <c:pt idx="209">
                  <c:v>-2.4165538503195347E-2</c:v>
                </c:pt>
                <c:pt idx="210">
                  <c:v>-2.3673797104632285E-2</c:v>
                </c:pt>
                <c:pt idx="211">
                  <c:v>-2.3128808560081135E-2</c:v>
                </c:pt>
                <c:pt idx="212">
                  <c:v>-2.253079019146452E-2</c:v>
                </c:pt>
                <c:pt idx="213">
                  <c:v>-2.1880431639339309E-2</c:v>
                </c:pt>
                <c:pt idx="214">
                  <c:v>-2.1178894862891498E-2</c:v>
                </c:pt>
                <c:pt idx="215">
                  <c:v>-2.0427814139934164E-2</c:v>
                </c:pt>
                <c:pt idx="216">
                  <c:v>-1.9629296066911509E-2</c:v>
                </c:pt>
                <c:pt idx="217">
                  <c:v>-1.878591955889819E-2</c:v>
                </c:pt>
                <c:pt idx="218">
                  <c:v>-1.7900735849596242E-2</c:v>
                </c:pt>
                <c:pt idx="219">
                  <c:v>-1.6977268491339736E-2</c:v>
                </c:pt>
                <c:pt idx="220">
                  <c:v>-1.6019513355092663E-2</c:v>
                </c:pt>
                <c:pt idx="221">
                  <c:v>-1.5031938630444761E-2</c:v>
                </c:pt>
                <c:pt idx="222">
                  <c:v>-1.4019484825619391E-2</c:v>
                </c:pt>
                <c:pt idx="223">
                  <c:v>-1.2987564767468415E-2</c:v>
                </c:pt>
                <c:pt idx="224">
                  <c:v>-1.1942063601474026E-2</c:v>
                </c:pt>
                <c:pt idx="225">
                  <c:v>-1.0889338791744668E-2</c:v>
                </c:pt>
                <c:pt idx="226">
                  <c:v>-9.8362201210235936E-3</c:v>
                </c:pt>
                <c:pt idx="227">
                  <c:v>-8.7900096906795983E-3</c:v>
                </c:pt>
                <c:pt idx="228">
                  <c:v>-7.7584819207122679E-3</c:v>
                </c:pt>
                <c:pt idx="229">
                  <c:v>-6.7498835497532272E-3</c:v>
                </c:pt>
                <c:pt idx="230">
                  <c:v>-5.7729336350599361E-3</c:v>
                </c:pt>
                <c:pt idx="231">
                  <c:v>-4.8368235525217892E-3</c:v>
                </c:pt>
                <c:pt idx="232">
                  <c:v>-3.95121699665716E-3</c:v>
                </c:pt>
                <c:pt idx="233">
                  <c:v>-3.1262499806141604E-3</c:v>
                </c:pt>
                <c:pt idx="234">
                  <c:v>-2.3725308361701204E-3</c:v>
                </c:pt>
                <c:pt idx="235">
                  <c:v>-1.7011402137340551E-3</c:v>
                </c:pt>
                <c:pt idx="236">
                  <c:v>-1.123631082341793E-3</c:v>
                </c:pt>
                <c:pt idx="237">
                  <c:v>-6.5202872966025477E-4</c:v>
                </c:pt>
                <c:pt idx="238">
                  <c:v>-2.9883076198597945E-4</c:v>
                </c:pt>
                <c:pt idx="239">
                  <c:v>-7.7007104244987239E-5</c:v>
                </c:pt>
                <c:pt idx="240">
                  <c:v>7.1405487881695294E-15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BE-4BD8-860F-1E1F00291667}"/>
            </c:ext>
          </c:extLst>
        </c:ser>
        <c:ser>
          <c:idx val="4"/>
          <c:order val="4"/>
          <c:tx>
            <c:v>CENTER_SPAN_USER_LOC</c:v>
          </c:tx>
          <c:spPr>
            <a:ln w="15875" cap="rnd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Data!$X$107:$X$108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Data!$Y$107:$Y$108</c:f>
              <c:numCache>
                <c:formatCode>General</c:formatCode>
                <c:ptCount val="2"/>
                <c:pt idx="0">
                  <c:v>0</c:v>
                </c:pt>
                <c:pt idx="1">
                  <c:v>-1.3819162817209935E-2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5-48B1-A016-60C54D5F6758}"/>
            </c:ext>
          </c:extLst>
        </c:ser>
        <c:ser>
          <c:idx val="5"/>
          <c:order val="5"/>
          <c:tx>
            <c:v>CENTER_SPAN_USER_LOC_2</c:v>
          </c:tx>
          <c:spPr>
            <a:ln w="15875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Data!$Z$107:$Z$108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Data!$AA$107:$AA$108</c:f>
              <c:numCache>
                <c:formatCode>General</c:formatCode>
                <c:ptCount val="2"/>
                <c:pt idx="0">
                  <c:v>0</c:v>
                </c:pt>
                <c:pt idx="1">
                  <c:v>1.5021317523178368E-13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75-48B1-A016-60C54D5F6758}"/>
            </c:ext>
          </c:extLst>
        </c:ser>
        <c:ser>
          <c:idx val="6"/>
          <c:order val="6"/>
          <c:tx>
            <c:v>CENTER_SPAN_SHEAR_ROOT</c:v>
          </c:tx>
          <c:spPr>
            <a:ln w="15875" cap="rnd">
              <a:solidFill>
                <a:srgbClr val="00B0F0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Data!$X$110:$X$111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Data!$Y$110:$Y$111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75-48B1-A016-60C54D5F6758}"/>
            </c:ext>
          </c:extLst>
        </c:ser>
        <c:ser>
          <c:idx val="7"/>
          <c:order val="7"/>
          <c:tx>
            <c:v>CENTER_SPAN_SLOPE_ROOT</c:v>
          </c:tx>
          <c:spPr>
            <a:ln w="1905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Data!$Z$110:$Z$111</c:f>
              <c:numCache>
                <c:formatCode>General</c:formatCode>
                <c:ptCount val="2"/>
                <c:pt idx="0">
                  <c:v>6.4838089942932129</c:v>
                </c:pt>
                <c:pt idx="1">
                  <c:v>6.4838089942932129</c:v>
                </c:pt>
              </c:numCache>
            </c:numRef>
          </c:xVal>
          <c:yVal>
            <c:numRef>
              <c:f>Data!$AA$110:$AA$111</c:f>
              <c:numCache>
                <c:formatCode>General</c:formatCode>
                <c:ptCount val="2"/>
                <c:pt idx="0">
                  <c:v>0</c:v>
                </c:pt>
                <c:pt idx="1">
                  <c:v>1.6555311767771464E-2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75-48B1-A016-60C54D5F6758}"/>
            </c:ext>
          </c:extLst>
        </c:ser>
        <c:ser>
          <c:idx val="8"/>
          <c:order val="8"/>
          <c:tx>
            <c:v>LEFT_CANTILEVER_RESULTS</c:v>
          </c:tx>
          <c:spPr>
            <a:ln w="15875" cap="rnd">
              <a:noFill/>
              <a:round/>
            </a:ln>
            <a:effectLst/>
          </c:spPr>
          <c:marker>
            <c:symbol val="plus"/>
            <c:size val="2"/>
            <c:spPr>
              <a:noFill/>
              <a:ln w="25400">
                <a:solidFill>
                  <a:srgbClr val="002060"/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rgbClr val="002060">
                    <a:alpha val="20000"/>
                  </a:srgbClr>
                </a:solidFill>
                <a:round/>
              </a:ln>
              <a:effectLst/>
            </c:spPr>
          </c:errBars>
          <c:xVal>
            <c:numRef>
              <c:f>Data!$B$25:$B$51</c:f>
              <c:numCache>
                <c:formatCode>General</c:formatCode>
                <c:ptCount val="27"/>
                <c:pt idx="0">
                  <c:v>0</c:v>
                </c:pt>
                <c:pt idx="1">
                  <c:v>0.19230769230769232</c:v>
                </c:pt>
                <c:pt idx="2">
                  <c:v>0.38461538461538464</c:v>
                </c:pt>
                <c:pt idx="3">
                  <c:v>0.57692307692307698</c:v>
                </c:pt>
                <c:pt idx="4">
                  <c:v>0.76923076923076927</c:v>
                </c:pt>
                <c:pt idx="5">
                  <c:v>0.96153846153846156</c:v>
                </c:pt>
                <c:pt idx="6">
                  <c:v>1.153846153846154</c:v>
                </c:pt>
                <c:pt idx="7">
                  <c:v>1.3461538461538463</c:v>
                </c:pt>
                <c:pt idx="8">
                  <c:v>1.5384615384615385</c:v>
                </c:pt>
                <c:pt idx="9">
                  <c:v>1.7307692307692308</c:v>
                </c:pt>
                <c:pt idx="10">
                  <c:v>1.9230769230769231</c:v>
                </c:pt>
                <c:pt idx="11">
                  <c:v>2.1153846153846154</c:v>
                </c:pt>
                <c:pt idx="12">
                  <c:v>2.3076923076923079</c:v>
                </c:pt>
                <c:pt idx="13">
                  <c:v>2.5</c:v>
                </c:pt>
                <c:pt idx="14">
                  <c:v>2.6923076923076925</c:v>
                </c:pt>
                <c:pt idx="15">
                  <c:v>2.8846153846153846</c:v>
                </c:pt>
                <c:pt idx="16">
                  <c:v>3.0769230769230771</c:v>
                </c:pt>
                <c:pt idx="17">
                  <c:v>3.2692307692307696</c:v>
                </c:pt>
                <c:pt idx="18">
                  <c:v>3.4615384615384617</c:v>
                </c:pt>
                <c:pt idx="19">
                  <c:v>3.6538461538461542</c:v>
                </c:pt>
                <c:pt idx="20">
                  <c:v>3.8461538461538463</c:v>
                </c:pt>
                <c:pt idx="21">
                  <c:v>4.0384615384615383</c:v>
                </c:pt>
                <c:pt idx="22">
                  <c:v>4.2307692307692308</c:v>
                </c:pt>
                <c:pt idx="23">
                  <c:v>4.4230769230769234</c:v>
                </c:pt>
                <c:pt idx="24">
                  <c:v>4.6153846153846159</c:v>
                </c:pt>
                <c:pt idx="25">
                  <c:v>4.8076923076923084</c:v>
                </c:pt>
                <c:pt idx="26">
                  <c:v>5</c:v>
                </c:pt>
              </c:numCache>
            </c:numRef>
          </c:xVal>
          <c:yVal>
            <c:numRef>
              <c:f>Data!$C$25:$C$51</c:f>
              <c:numCache>
                <c:formatCode>General</c:formatCode>
                <c:ptCount val="27"/>
                <c:pt idx="0">
                  <c:v>-0.27901657103024596</c:v>
                </c:pt>
                <c:pt idx="1">
                  <c:v>-0.26634755724512149</c:v>
                </c:pt>
                <c:pt idx="2">
                  <c:v>-0.25368008693088739</c:v>
                </c:pt>
                <c:pt idx="3">
                  <c:v>-0.2410181290126904</c:v>
                </c:pt>
                <c:pt idx="4">
                  <c:v>-0.22836829836577502</c:v>
                </c:pt>
                <c:pt idx="5">
                  <c:v>-0.21573985581548355</c:v>
                </c:pt>
                <c:pt idx="6">
                  <c:v>-0.2031447081372561</c:v>
                </c:pt>
                <c:pt idx="7">
                  <c:v>-0.19059740805663064</c:v>
                </c:pt>
                <c:pt idx="8">
                  <c:v>-0.17811515424924285</c:v>
                </c:pt>
                <c:pt idx="9">
                  <c:v>-0.16571779134082631</c:v>
                </c:pt>
                <c:pt idx="10">
                  <c:v>-0.15342780990721233</c:v>
                </c:pt>
                <c:pt idx="11">
                  <c:v>-0.14127034647433007</c:v>
                </c:pt>
                <c:pt idx="12">
                  <c:v>-0.12927318351820644</c:v>
                </c:pt>
                <c:pt idx="13">
                  <c:v>-0.11746674946496626</c:v>
                </c:pt>
                <c:pt idx="14">
                  <c:v>-0.105884118690832</c:v>
                </c:pt>
                <c:pt idx="15">
                  <c:v>-9.4561011522124094E-2</c:v>
                </c:pt>
                <c:pt idx="16">
                  <c:v>-8.3535794235260655E-2</c:v>
                </c:pt>
                <c:pt idx="17">
                  <c:v>-7.2849479056757691E-2</c:v>
                </c:pt>
                <c:pt idx="18">
                  <c:v>-6.2545724163228983E-2</c:v>
                </c:pt>
                <c:pt idx="19">
                  <c:v>-5.2670833681386045E-2</c:v>
                </c:pt>
                <c:pt idx="20">
                  <c:v>-4.3273757688038345E-2</c:v>
                </c:pt>
                <c:pt idx="21">
                  <c:v>-3.4406092210093012E-2</c:v>
                </c:pt>
                <c:pt idx="22">
                  <c:v>-2.6122079224555055E-2</c:v>
                </c:pt>
                <c:pt idx="23">
                  <c:v>-1.8478606658527269E-2</c:v>
                </c:pt>
                <c:pt idx="24">
                  <c:v>-1.1535208389210259E-2</c:v>
                </c:pt>
                <c:pt idx="25">
                  <c:v>-5.3540642439024316E-3</c:v>
                </c:pt>
                <c:pt idx="26">
                  <c:v>-2.1872524690077976E-17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2E-4401-B23A-65EDA3038A58}"/>
            </c:ext>
          </c:extLst>
        </c:ser>
        <c:ser>
          <c:idx val="9"/>
          <c:order val="9"/>
          <c:tx>
            <c:v>RIGHT_CANTILEVER_RES</c:v>
          </c:tx>
          <c:spPr>
            <a:ln w="15875" cap="rnd">
              <a:noFill/>
              <a:round/>
            </a:ln>
            <a:effectLst/>
          </c:spPr>
          <c:marker>
            <c:symbol val="plus"/>
            <c:size val="3"/>
            <c:spPr>
              <a:noFill/>
              <a:ln w="1905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6">
                    <a:lumMod val="50000"/>
                    <a:alpha val="20000"/>
                  </a:schemeClr>
                </a:solidFill>
                <a:prstDash val="solid"/>
                <a:round/>
              </a:ln>
              <a:effectLst/>
            </c:spPr>
          </c:errBars>
          <c:xVal>
            <c:numRef>
              <c:f>Data!$I$54:$I$80</c:f>
              <c:numCache>
                <c:formatCode>General</c:formatCode>
                <c:ptCount val="27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35</c:v>
                </c:pt>
                <c:pt idx="18">
                  <c:v>35</c:v>
                </c:pt>
                <c:pt idx="19">
                  <c:v>35</c:v>
                </c:pt>
                <c:pt idx="20">
                  <c:v>35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</c:numCache>
            </c:numRef>
          </c:xVal>
          <c:yVal>
            <c:numRef>
              <c:f>Data!$C$54:$C$80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2E-4401-B23A-65EDA3038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25536"/>
        <c:axId val="238675088"/>
      </c:scatterChart>
      <c:valAx>
        <c:axId val="82482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675088"/>
        <c:crosses val="autoZero"/>
        <c:crossBetween val="midCat"/>
      </c:valAx>
      <c:valAx>
        <c:axId val="23867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82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6</xdr:row>
      <xdr:rowOff>52386</xdr:rowOff>
    </xdr:from>
    <xdr:to>
      <xdr:col>19</xdr:col>
      <xdr:colOff>104775</xdr:colOff>
      <xdr:row>25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132A21-3E14-4F25-BCF6-4602491E8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4FBAA-8B2D-4102-98BB-454CB7702AEF}">
  <sheetPr codeName="Sheet1"/>
  <dimension ref="A1:BR80"/>
  <sheetViews>
    <sheetView tabSelected="1" topLeftCell="A4" workbookViewId="0">
      <selection activeCell="F12" sqref="F12"/>
    </sheetView>
  </sheetViews>
  <sheetFormatPr defaultRowHeight="15" x14ac:dyDescent="0.25"/>
  <cols>
    <col min="1" max="1" width="16.85546875" customWidth="1"/>
    <col min="2" max="2" width="23.85546875" bestFit="1" customWidth="1"/>
    <col min="3" max="3" width="11.7109375" customWidth="1"/>
    <col min="4" max="4" width="11.7109375" bestFit="1" customWidth="1"/>
    <col min="5" max="5" width="12.140625" bestFit="1" customWidth="1"/>
    <col min="6" max="6" width="10.28515625" bestFit="1" customWidth="1"/>
    <col min="10" max="11" width="23.7109375" bestFit="1" customWidth="1"/>
    <col min="12" max="12" width="9.5703125" bestFit="1" customWidth="1"/>
    <col min="18" max="18" width="23.7109375" bestFit="1" customWidth="1"/>
    <col min="29" max="29" width="14.140625" bestFit="1" customWidth="1"/>
    <col min="32" max="32" width="12" bestFit="1" customWidth="1"/>
    <col min="36" max="36" width="12" bestFit="1" customWidth="1"/>
  </cols>
  <sheetData>
    <row r="1" spans="1:70" x14ac:dyDescent="0.25">
      <c r="A1" s="11" t="s">
        <v>0</v>
      </c>
      <c r="G1" s="6" t="s">
        <v>53</v>
      </c>
      <c r="H1" s="2">
        <v>0.5</v>
      </c>
      <c r="I1" t="str">
        <f>IF(H1=1,"places of public assembly with live loads &gt; 100 psf and parking garages","other live loads")</f>
        <v>other live loads</v>
      </c>
      <c r="V1" t="str">
        <f>IF(B7="V","Shear (Kips)",IF(B7="M","Moment (ft-Kips)",IF(B7="S","Slope/Rotation (rad)",IF(B7="D","Deflection (in)","Curvature (1/in) = M/EI"))))</f>
        <v>Deflection (in)</v>
      </c>
    </row>
    <row r="2" spans="1:70" x14ac:dyDescent="0.25">
      <c r="A2" s="1" t="s">
        <v>1</v>
      </c>
      <c r="B2" s="3">
        <v>30.8</v>
      </c>
      <c r="C2" t="s">
        <v>3</v>
      </c>
      <c r="D2" s="4">
        <f>B2/POWER(12,4)</f>
        <v>1.4853395061728396E-3</v>
      </c>
      <c r="E2" t="s">
        <v>37</v>
      </c>
      <c r="G2" s="6" t="s">
        <v>54</v>
      </c>
      <c r="H2" s="2">
        <v>0.7</v>
      </c>
      <c r="I2" t="str">
        <f>IF(H2=0.7,"roof configurations that do not shed snow off of the structure","other roof configurations")</f>
        <v>roof configurations that do not shed snow off of the structure</v>
      </c>
    </row>
    <row r="3" spans="1:70" x14ac:dyDescent="0.25">
      <c r="A3" s="1" t="s">
        <v>2</v>
      </c>
      <c r="B3" s="3">
        <v>29000</v>
      </c>
      <c r="C3" t="s">
        <v>4</v>
      </c>
      <c r="D3" s="4">
        <f>B3*144</f>
        <v>4176000</v>
      </c>
      <c r="E3" t="s">
        <v>38</v>
      </c>
    </row>
    <row r="4" spans="1:70" x14ac:dyDescent="0.25">
      <c r="G4" s="10" t="s">
        <v>18</v>
      </c>
      <c r="H4" s="10" t="s">
        <v>22</v>
      </c>
      <c r="I4" s="10" t="s">
        <v>23</v>
      </c>
      <c r="J4" s="10" t="s">
        <v>24</v>
      </c>
      <c r="K4" s="10" t="s">
        <v>17</v>
      </c>
      <c r="L4" s="10" t="s">
        <v>25</v>
      </c>
      <c r="M4" s="10" t="s">
        <v>26</v>
      </c>
      <c r="N4" s="10" t="s">
        <v>27</v>
      </c>
      <c r="O4" s="10" t="s">
        <v>28</v>
      </c>
      <c r="P4" s="10" t="s">
        <v>29</v>
      </c>
      <c r="AE4" s="1"/>
    </row>
    <row r="5" spans="1:70" x14ac:dyDescent="0.25">
      <c r="A5" s="11" t="s">
        <v>40</v>
      </c>
      <c r="B5" t="s">
        <v>123</v>
      </c>
      <c r="F5" s="6" t="s">
        <v>57</v>
      </c>
      <c r="G5" s="10">
        <f ca="1">OFFSET(Load_Combos!A2,MATCH(Beam_Analysis!B6,Load_Combos!A3:A62,0),1)</f>
        <v>1</v>
      </c>
      <c r="H5" s="10">
        <f ca="1">OFFSET(Load_Combos!$A$2,MATCH(Beam_Analysis!B6,Load_Combos!$A$3:$A$62,0),2)</f>
        <v>0</v>
      </c>
      <c r="I5" s="10">
        <f ca="1">OFFSET(Load_Combos!$A$2,MATCH(Beam_Analysis!B6,Load_Combos!$A$3:$A$62,0),3)</f>
        <v>0</v>
      </c>
      <c r="J5" s="10">
        <f ca="1">OFFSET(Load_Combos!$A$2,MATCH(Beam_Analysis!B6,Load_Combos!$A$3:$A$62,0),4)</f>
        <v>0</v>
      </c>
      <c r="K5" s="10">
        <f ca="1">OFFSET(Load_Combos!$A$2,MATCH(Beam_Analysis!B6,Load_Combos!$A$3:$A$62,0),5)</f>
        <v>0</v>
      </c>
      <c r="L5" s="10">
        <f ca="1">OFFSET(Load_Combos!$A$2,MATCH(Beam_Analysis!B6,Load_Combos!$A$3:$A$62,0),6)</f>
        <v>0</v>
      </c>
      <c r="M5" s="10">
        <f ca="1">OFFSET(Load_Combos!$A$2,MATCH(Beam_Analysis!B6,Load_Combos!$A$3:$A$62,0),7)</f>
        <v>0</v>
      </c>
      <c r="N5" s="10">
        <f ca="1">OFFSET(Load_Combos!$A$2,MATCH(Beam_Analysis!B6,Load_Combos!$A$3:$A$62,0),8)</f>
        <v>0</v>
      </c>
      <c r="O5" s="10">
        <f ca="1">OFFSET(Load_Combos!$A$2,MATCH(Beam_Analysis!B6,Load_Combos!$A$3:$A$62,0),9)</f>
        <v>0</v>
      </c>
      <c r="P5" s="10">
        <f ca="1">OFFSET(Load_Combos!$A$2,MATCH(Beam_Analysis!B6,Load_Combos!$A$3:$A$62,0),10)</f>
        <v>0</v>
      </c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</row>
    <row r="6" spans="1:70" x14ac:dyDescent="0.25">
      <c r="A6" s="1" t="s">
        <v>55</v>
      </c>
      <c r="B6" s="100" t="s">
        <v>56</v>
      </c>
      <c r="C6" s="101"/>
      <c r="D6" s="101"/>
      <c r="F6" s="6" t="s">
        <v>56</v>
      </c>
      <c r="G6" s="9">
        <v>1</v>
      </c>
      <c r="H6" s="9">
        <v>0</v>
      </c>
      <c r="I6" s="9">
        <v>0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0</v>
      </c>
      <c r="P6" s="9">
        <v>0</v>
      </c>
    </row>
    <row r="7" spans="1:70" x14ac:dyDescent="0.25">
      <c r="A7" s="1" t="s">
        <v>41</v>
      </c>
      <c r="B7" s="99" t="s">
        <v>18</v>
      </c>
    </row>
    <row r="8" spans="1:70" x14ac:dyDescent="0.25">
      <c r="A8" s="91" t="s">
        <v>122</v>
      </c>
    </row>
    <row r="9" spans="1:70" ht="15.75" thickBot="1" x14ac:dyDescent="0.3">
      <c r="A9" s="1" t="s">
        <v>48</v>
      </c>
      <c r="B9" s="1" t="s">
        <v>19</v>
      </c>
      <c r="C9" s="1" t="s">
        <v>20</v>
      </c>
      <c r="D9" s="1" t="s">
        <v>21</v>
      </c>
      <c r="E9" s="1" t="s">
        <v>39</v>
      </c>
    </row>
    <row r="10" spans="1:70" x14ac:dyDescent="0.25">
      <c r="A10" s="80">
        <v>15</v>
      </c>
      <c r="B10" s="84" cm="1">
        <f t="array" aca="1" ref="B10:E10" ca="1">center_span($J$29,A10,$D$3,$D$2,$J$33:$O$79,$G$5:$P$5,0)</f>
        <v>-1.6578284432682122</v>
      </c>
      <c r="C10" s="84">
        <f ca="1"/>
        <v>-5.147141152789203E-2</v>
      </c>
      <c r="D10" s="93">
        <f ca="1"/>
        <v>2.2890827738996722E-5</v>
      </c>
      <c r="E10" s="85">
        <f ca="1"/>
        <v>-1.3819162817209935E-2</v>
      </c>
    </row>
    <row r="11" spans="1:70" ht="15.75" thickBot="1" x14ac:dyDescent="0.3">
      <c r="A11" s="83">
        <v>10</v>
      </c>
      <c r="B11" s="89" cm="1">
        <f t="array" aca="1" ref="B11:E11" ca="1">center_span($J$29,A11,$D$3,$D$2,$J$33:$O$79,$G$5:$P$5,0)</f>
        <v>-3.6869730969866517</v>
      </c>
      <c r="C11" s="89">
        <f ca="1"/>
        <v>-4.2623291951868296</v>
      </c>
      <c r="D11" s="94">
        <f ca="1"/>
        <v>8.2192460539375761E-5</v>
      </c>
      <c r="E11" s="90">
        <f ca="1"/>
        <v>1.5021317523178368E-13</v>
      </c>
    </row>
    <row r="12" spans="1:70" x14ac:dyDescent="0.25">
      <c r="A12" s="8" t="s">
        <v>52</v>
      </c>
      <c r="B12" s="5"/>
      <c r="C12" s="5"/>
      <c r="D12" s="5"/>
      <c r="E12" s="5"/>
    </row>
    <row r="13" spans="1:70" ht="15.75" thickBot="1" x14ac:dyDescent="0.3">
      <c r="A13" s="1" t="s">
        <v>48</v>
      </c>
      <c r="B13" s="1" t="s">
        <v>19</v>
      </c>
      <c r="C13" s="1" t="s">
        <v>20</v>
      </c>
      <c r="D13" s="1" t="s">
        <v>21</v>
      </c>
      <c r="E13" s="1" t="s">
        <v>39</v>
      </c>
    </row>
    <row r="14" spans="1:70" x14ac:dyDescent="0.25">
      <c r="A14" s="80">
        <v>1</v>
      </c>
      <c r="B14" s="84" cm="1">
        <f t="array" aca="1" ref="B14:E14" ca="1">center_span($J$29,A14,$D$3,$D$2,$J$33:$O$79,G5:P5,0)</f>
        <v>4.3345072579492863</v>
      </c>
      <c r="C14" s="84">
        <f ca="1"/>
        <v>-7.6654927420507137</v>
      </c>
      <c r="D14" s="93">
        <f ca="1"/>
        <v>5.1915719880873436E-4</v>
      </c>
      <c r="E14" s="85">
        <f ca="1"/>
        <v>1.5122994110089993E-2</v>
      </c>
    </row>
    <row r="15" spans="1:70" x14ac:dyDescent="0.25">
      <c r="A15" s="81" cm="1">
        <f t="array" aca="1" ref="A15" ca="1">center_span_root(J29,D3,D2,J33:O79,G5:P5,0,A14,A16)</f>
        <v>4.9999999999417923</v>
      </c>
      <c r="B15" s="82" cm="1">
        <f t="array" aca="1" ref="B15:E15" ca="1">center_span($J$29,A15,$D$3,$D$2,$J$33:$O$79,G5:P5,0)</f>
        <v>0.33450725800749348</v>
      </c>
      <c r="C15" s="86">
        <f ca="1"/>
        <v>1.6725362897269531</v>
      </c>
      <c r="D15" s="82">
        <f ca="1"/>
        <v>-5.5335898824644464E-4</v>
      </c>
      <c r="E15" s="88">
        <f ca="1"/>
        <v>-9.7851964501386446E-3</v>
      </c>
    </row>
    <row r="16" spans="1:70" ht="15.75" thickBot="1" x14ac:dyDescent="0.3">
      <c r="A16" s="83">
        <v>5</v>
      </c>
      <c r="B16" s="89" cm="1">
        <f t="array" aca="1" ref="B16:E16" ca="1">center_span($J$29,A16,$D$3,$D$2,$J$33:$O$79,G5:P5,0)</f>
        <v>0.33450725794928582</v>
      </c>
      <c r="C16" s="89">
        <f ca="1"/>
        <v>1.6725362897464304</v>
      </c>
      <c r="D16" s="94">
        <f ca="1"/>
        <v>-5.5335898823071807E-4</v>
      </c>
      <c r="E16" s="90">
        <f ca="1"/>
        <v>-9.7851964505256267E-3</v>
      </c>
    </row>
    <row r="17" spans="1:24" ht="15.75" thickBot="1" x14ac:dyDescent="0.3">
      <c r="A17" s="7" t="s">
        <v>51</v>
      </c>
    </row>
    <row r="18" spans="1:24" x14ac:dyDescent="0.25">
      <c r="A18" s="80">
        <v>1</v>
      </c>
      <c r="B18" s="84" cm="1">
        <f t="array" aca="1" ref="B18:E18" ca="1">center_span($J$29,A18,$D$3,$D$2,$J$33:$O$79,G5:P5,0)</f>
        <v>4.3345072579492863</v>
      </c>
      <c r="C18" s="84">
        <f ca="1"/>
        <v>-7.6654927420507137</v>
      </c>
      <c r="D18" s="93">
        <f ca="1"/>
        <v>5.1915719880873436E-4</v>
      </c>
      <c r="E18" s="85">
        <f ca="1"/>
        <v>1.5122994110089993E-2</v>
      </c>
    </row>
    <row r="19" spans="1:24" x14ac:dyDescent="0.25">
      <c r="A19" s="81" cm="1">
        <f t="array" aca="1" ref="A19" ca="1">center_span_root(J29,D3,D2,J33:O79,G5:P5,2,A18,A20)</f>
        <v>1.4838089942932129</v>
      </c>
      <c r="B19" s="87" cm="1">
        <f t="array" aca="1" ref="B19:E19" ca="1">center_span($J$29,A19,$D$3,$D$2,$J$33:$O$79,G5:P5,0)</f>
        <v>3.8506982636560729</v>
      </c>
      <c r="C19" s="87">
        <f ca="1"/>
        <v>-5.6854547163051432</v>
      </c>
      <c r="D19" s="82">
        <f ca="1"/>
        <v>-5.6702214104586979E-11</v>
      </c>
      <c r="E19" s="92">
        <f ca="1"/>
        <v>1.6555311767771464E-2</v>
      </c>
    </row>
    <row r="20" spans="1:24" ht="15.75" thickBot="1" x14ac:dyDescent="0.3">
      <c r="A20" s="83">
        <v>5</v>
      </c>
      <c r="B20" s="89" cm="1">
        <f t="array" aca="1" ref="B20:E20" ca="1">center_span($J$29,A20,$D$3,$D$2,$J$33:$O$79,G5:P5,0)</f>
        <v>0.33450725794928582</v>
      </c>
      <c r="C20" s="89">
        <f ca="1"/>
        <v>1.6725362897464304</v>
      </c>
      <c r="D20" s="94">
        <f ca="1"/>
        <v>-5.5335898823071807E-4</v>
      </c>
      <c r="E20" s="90">
        <f ca="1"/>
        <v>-9.7851964505256267E-3</v>
      </c>
    </row>
    <row r="21" spans="1:24" ht="15.75" thickBot="1" x14ac:dyDescent="0.3">
      <c r="F21" t="s">
        <v>129</v>
      </c>
    </row>
    <row r="22" spans="1:24" x14ac:dyDescent="0.25">
      <c r="A22" s="76" t="s">
        <v>58</v>
      </c>
      <c r="B22" s="77">
        <v>5</v>
      </c>
      <c r="C22" s="49" t="s">
        <v>7</v>
      </c>
      <c r="D22" s="95">
        <f ca="1">Data!N10</f>
        <v>-0.9785196450640623</v>
      </c>
      <c r="E22" s="27" t="s">
        <v>61</v>
      </c>
      <c r="F22" s="103">
        <v>100</v>
      </c>
    </row>
    <row r="23" spans="1:24" x14ac:dyDescent="0.25">
      <c r="A23" s="51"/>
      <c r="B23" s="78">
        <v>10</v>
      </c>
      <c r="C23" s="52" t="s">
        <v>7</v>
      </c>
      <c r="D23" s="96">
        <f ca="1">Data!N11</f>
        <v>-7.0291446537184399</v>
      </c>
      <c r="E23" s="29" t="s">
        <v>61</v>
      </c>
      <c r="F23" s="104">
        <v>0</v>
      </c>
    </row>
    <row r="24" spans="1:24" x14ac:dyDescent="0.25">
      <c r="A24" s="51"/>
      <c r="B24" s="78">
        <v>15</v>
      </c>
      <c r="C24" s="52" t="s">
        <v>7</v>
      </c>
      <c r="D24" s="96">
        <f ca="1">Data!N12</f>
        <v>-3.2475032620810032</v>
      </c>
      <c r="E24" s="29" t="s">
        <v>61</v>
      </c>
      <c r="F24" s="104">
        <v>235</v>
      </c>
    </row>
    <row r="25" spans="1:24" x14ac:dyDescent="0.25">
      <c r="A25" s="51"/>
      <c r="B25" s="78">
        <v>20</v>
      </c>
      <c r="C25" s="52" t="s">
        <v>7</v>
      </c>
      <c r="D25" s="96">
        <f ca="1">Data!N13</f>
        <v>-7.0260076186586904</v>
      </c>
      <c r="E25" s="29" t="s">
        <v>61</v>
      </c>
      <c r="F25" s="104">
        <v>0</v>
      </c>
    </row>
    <row r="26" spans="1:24" ht="15.75" thickBot="1" x14ac:dyDescent="0.3">
      <c r="A26" s="59"/>
      <c r="B26" s="79">
        <v>25</v>
      </c>
      <c r="C26" s="73" t="s">
        <v>7</v>
      </c>
      <c r="D26" s="97">
        <f ca="1">Data!N14</f>
        <v>-2.6393029124738803</v>
      </c>
      <c r="E26" s="31" t="s">
        <v>61</v>
      </c>
      <c r="F26" s="105">
        <v>100</v>
      </c>
      <c r="V26" s="1" t="s">
        <v>126</v>
      </c>
      <c r="W26" s="1" t="s">
        <v>127</v>
      </c>
    </row>
    <row r="27" spans="1:24" ht="15.75" thickBot="1" x14ac:dyDescent="0.3">
      <c r="A27" s="48" t="s">
        <v>5</v>
      </c>
      <c r="B27" s="49"/>
      <c r="C27" s="49"/>
      <c r="D27" s="49"/>
      <c r="E27" s="50" t="s">
        <v>126</v>
      </c>
      <c r="F27" s="50" t="s">
        <v>127</v>
      </c>
      <c r="G27" s="27"/>
      <c r="I27" s="48" t="s">
        <v>15</v>
      </c>
      <c r="J27" s="49"/>
      <c r="K27" s="66" t="s">
        <v>49</v>
      </c>
      <c r="L27" s="67" t="s">
        <v>46</v>
      </c>
      <c r="M27" s="49">
        <f>IF(AND(B29=0,L27="y",N29=0),1,0)</f>
        <v>0</v>
      </c>
      <c r="N27" s="49">
        <f>IF(AND(L27="y", B29=0),1,0)</f>
        <v>0</v>
      </c>
      <c r="O27" s="95">
        <f ca="1">Data!N15</f>
        <v>0</v>
      </c>
      <c r="P27" s="27" t="s">
        <v>62</v>
      </c>
      <c r="R27" s="48" t="s">
        <v>16</v>
      </c>
      <c r="S27" s="49"/>
      <c r="T27" s="49"/>
      <c r="U27" s="26" t="s">
        <v>116</v>
      </c>
      <c r="V27" s="44">
        <f ca="1">MAX(Data!D54:D80)</f>
        <v>0</v>
      </c>
      <c r="W27" s="44">
        <f ca="1">MIN(Data!D54:D80)</f>
        <v>0</v>
      </c>
      <c r="X27" s="27" t="s">
        <v>61</v>
      </c>
    </row>
    <row r="28" spans="1:24" x14ac:dyDescent="0.25">
      <c r="A28" s="51"/>
      <c r="B28" s="52"/>
      <c r="C28" s="52"/>
      <c r="D28" s="26" t="s">
        <v>116</v>
      </c>
      <c r="E28" s="44">
        <f ca="1">MAX(Data!D25:D51)</f>
        <v>0</v>
      </c>
      <c r="F28" s="44">
        <f ca="1">MIN(Data!D25:D51)</f>
        <v>-5</v>
      </c>
      <c r="G28" s="27" t="s">
        <v>61</v>
      </c>
      <c r="I28" s="51"/>
      <c r="J28" s="52"/>
      <c r="K28" s="68" t="s">
        <v>50</v>
      </c>
      <c r="L28" s="69" t="s">
        <v>46</v>
      </c>
      <c r="M28" s="52">
        <f>IF(AND(S29=0,L28="y",N29=0),1,0)</f>
        <v>0</v>
      </c>
      <c r="N28" s="52">
        <f>IF(AND(S29=0,L28="y"),1,0)</f>
        <v>1</v>
      </c>
      <c r="O28" s="96">
        <f ca="1">Data!N16*-1</f>
        <v>-5.249758380379717</v>
      </c>
      <c r="P28" s="29" t="s">
        <v>62</v>
      </c>
      <c r="R28" s="51"/>
      <c r="S28" s="54"/>
      <c r="T28" s="52"/>
      <c r="U28" s="28" t="s">
        <v>117</v>
      </c>
      <c r="V28" s="45">
        <f ca="1">MAX(Data!E54:E80)</f>
        <v>0</v>
      </c>
      <c r="W28" s="45">
        <f ca="1">MIN(Data!E54:E80)</f>
        <v>0</v>
      </c>
      <c r="X28" s="29" t="s">
        <v>62</v>
      </c>
    </row>
    <row r="29" spans="1:24" x14ac:dyDescent="0.25">
      <c r="A29" s="51" t="s">
        <v>6</v>
      </c>
      <c r="B29" s="53">
        <v>5</v>
      </c>
      <c r="C29" s="52" t="s">
        <v>7</v>
      </c>
      <c r="D29" s="28" t="s">
        <v>117</v>
      </c>
      <c r="E29" s="45">
        <f ca="1">MAX(Data!E25:E51)</f>
        <v>0</v>
      </c>
      <c r="F29" s="45">
        <f ca="1">MIN(Data!E25:E51)</f>
        <v>-12.5</v>
      </c>
      <c r="G29" s="29" t="s">
        <v>62</v>
      </c>
      <c r="I29" s="51" t="s">
        <v>6</v>
      </c>
      <c r="J29" s="53">
        <v>30</v>
      </c>
      <c r="K29" s="52" t="s">
        <v>7</v>
      </c>
      <c r="L29" s="52"/>
      <c r="M29" s="52"/>
      <c r="N29" s="52">
        <f>COUNTIF(B22:B26,"&lt;&gt;0")</f>
        <v>5</v>
      </c>
      <c r="O29" s="52"/>
      <c r="P29" s="29"/>
      <c r="R29" s="51" t="s">
        <v>6</v>
      </c>
      <c r="S29" s="53">
        <v>0</v>
      </c>
      <c r="T29" s="52" t="s">
        <v>7</v>
      </c>
      <c r="U29" s="28" t="s">
        <v>119</v>
      </c>
      <c r="V29" s="46">
        <f ca="1">MAX(Data!F54:F80)</f>
        <v>0</v>
      </c>
      <c r="W29" s="46">
        <f ca="1">MIN(Data!F54:F80)</f>
        <v>0</v>
      </c>
      <c r="X29" s="29" t="s">
        <v>120</v>
      </c>
    </row>
    <row r="30" spans="1:24" ht="15.75" thickBot="1" x14ac:dyDescent="0.3">
      <c r="A30" s="51"/>
      <c r="B30" s="52"/>
      <c r="C30" s="52"/>
      <c r="D30" s="28" t="s">
        <v>119</v>
      </c>
      <c r="E30" s="46">
        <f ca="1">MAX(Data!F25:F51)</f>
        <v>5.4899537476529271E-3</v>
      </c>
      <c r="F30" s="46">
        <f ca="1">MIN(Data!F25:F51)</f>
        <v>2.131243492390948E-3</v>
      </c>
      <c r="G30" s="29" t="s">
        <v>120</v>
      </c>
      <c r="I30" s="51"/>
      <c r="J30" s="52"/>
      <c r="K30" s="68" t="s">
        <v>124</v>
      </c>
      <c r="L30" s="70" cm="1">
        <f t="array" aca="1" ref="L30" ca="1">center_span(Beam_Analysis!$J$29,0,Beam_Analysis!$D$3,Beam_Analysis!$D$2,Beam_Analysis!$J$33:$O$79,Beam_Analysis!$G$5:$P$5,5)+(-1*Data!D51)</f>
        <v>10.334507257949287</v>
      </c>
      <c r="M30" s="52" t="s">
        <v>61</v>
      </c>
      <c r="N30" s="52"/>
      <c r="O30" s="52"/>
      <c r="P30" s="29"/>
      <c r="R30" s="51"/>
      <c r="S30" s="52"/>
      <c r="T30" s="52"/>
      <c r="U30" s="30" t="s">
        <v>118</v>
      </c>
      <c r="V30" s="47">
        <f ca="1">MAX(Data!G54:G80)</f>
        <v>0</v>
      </c>
      <c r="W30" s="47">
        <f ca="1">MIN(Data!G54:G80)</f>
        <v>0</v>
      </c>
      <c r="X30" s="31" t="s">
        <v>121</v>
      </c>
    </row>
    <row r="31" spans="1:24" ht="15.75" thickBot="1" x14ac:dyDescent="0.3">
      <c r="A31" s="51" t="s">
        <v>8</v>
      </c>
      <c r="B31" s="52"/>
      <c r="C31" s="52"/>
      <c r="D31" s="30" t="s">
        <v>118</v>
      </c>
      <c r="E31" s="47">
        <f ca="1">MAX(Data!G25:G51)</f>
        <v>-2.1872524690077976E-17</v>
      </c>
      <c r="F31" s="47">
        <f ca="1">MIN(Data!G25:G51)</f>
        <v>-0.27901657103024596</v>
      </c>
      <c r="G31" s="31" t="s">
        <v>121</v>
      </c>
      <c r="I31" s="51" t="s">
        <v>8</v>
      </c>
      <c r="J31" s="52"/>
      <c r="K31" s="68" t="s">
        <v>125</v>
      </c>
      <c r="L31" s="70" cm="1">
        <f t="array" aca="1" ref="L31" ca="1">center_span(Beam_Analysis!$J$29,0,Beam_Analysis!$D$3,Beam_Analysis!$D$2,Beam_Analysis!$J$33:$O$79,Beam_Analysis!$G$5:$P$5,6)+Data!D54</f>
        <v>3.7450146500546397</v>
      </c>
      <c r="M31" s="52" t="s">
        <v>61</v>
      </c>
      <c r="N31" s="52"/>
      <c r="O31" s="52"/>
      <c r="P31" s="29"/>
      <c r="R31" s="51" t="s">
        <v>8</v>
      </c>
      <c r="S31" s="52"/>
      <c r="T31" s="52"/>
      <c r="U31" s="52"/>
      <c r="V31" s="52"/>
      <c r="W31" s="52"/>
      <c r="X31" s="29"/>
    </row>
    <row r="32" spans="1:24" ht="15.75" thickBot="1" x14ac:dyDescent="0.3">
      <c r="A32" s="51"/>
      <c r="B32" s="54" t="s">
        <v>9</v>
      </c>
      <c r="C32" s="54" t="s">
        <v>10</v>
      </c>
      <c r="D32" s="54" t="s">
        <v>11</v>
      </c>
      <c r="E32" s="54" t="s">
        <v>12</v>
      </c>
      <c r="F32" s="54" t="s">
        <v>13</v>
      </c>
      <c r="G32" s="55" t="s">
        <v>14</v>
      </c>
      <c r="I32" s="51"/>
      <c r="J32" s="54" t="s">
        <v>9</v>
      </c>
      <c r="K32" s="54" t="s">
        <v>10</v>
      </c>
      <c r="L32" s="54" t="s">
        <v>11</v>
      </c>
      <c r="M32" s="54" t="s">
        <v>12</v>
      </c>
      <c r="N32" s="54" t="s">
        <v>13</v>
      </c>
      <c r="O32" s="54" t="s">
        <v>14</v>
      </c>
      <c r="P32" s="29"/>
      <c r="R32" s="51"/>
      <c r="S32" s="54" t="s">
        <v>9</v>
      </c>
      <c r="T32" s="54" t="s">
        <v>10</v>
      </c>
      <c r="U32" s="54" t="s">
        <v>11</v>
      </c>
      <c r="V32" s="54" t="s">
        <v>12</v>
      </c>
      <c r="W32" s="54" t="s">
        <v>13</v>
      </c>
      <c r="X32" s="55" t="s">
        <v>14</v>
      </c>
    </row>
    <row r="33" spans="1:70" x14ac:dyDescent="0.25">
      <c r="A33" s="51">
        <v>1</v>
      </c>
      <c r="B33" s="32">
        <v>1</v>
      </c>
      <c r="C33" s="33">
        <v>0</v>
      </c>
      <c r="D33" s="33">
        <v>0</v>
      </c>
      <c r="E33" s="33">
        <v>5</v>
      </c>
      <c r="F33" s="34" t="s">
        <v>34</v>
      </c>
      <c r="G33" s="35" t="s">
        <v>18</v>
      </c>
      <c r="I33" s="51">
        <v>1</v>
      </c>
      <c r="J33" s="32">
        <v>1</v>
      </c>
      <c r="K33" s="33">
        <v>0</v>
      </c>
      <c r="L33" s="33">
        <v>0</v>
      </c>
      <c r="M33" s="33">
        <v>30</v>
      </c>
      <c r="N33" s="34" t="s">
        <v>34</v>
      </c>
      <c r="O33" s="35" t="s">
        <v>18</v>
      </c>
      <c r="P33" s="29"/>
      <c r="R33" s="51">
        <v>1</v>
      </c>
      <c r="S33" s="32">
        <v>0</v>
      </c>
      <c r="T33" s="33">
        <v>0</v>
      </c>
      <c r="U33" s="33">
        <v>0</v>
      </c>
      <c r="V33" s="33">
        <v>0</v>
      </c>
      <c r="W33" s="34" t="s">
        <v>36</v>
      </c>
      <c r="X33" s="35" t="s">
        <v>36</v>
      </c>
    </row>
    <row r="34" spans="1:70" x14ac:dyDescent="0.25">
      <c r="A34" s="51">
        <v>2</v>
      </c>
      <c r="B34" s="36">
        <v>0</v>
      </c>
      <c r="C34" s="37">
        <v>0</v>
      </c>
      <c r="D34" s="37">
        <v>0</v>
      </c>
      <c r="E34" s="37">
        <v>0</v>
      </c>
      <c r="F34" s="38" t="s">
        <v>36</v>
      </c>
      <c r="G34" s="39" t="s">
        <v>36</v>
      </c>
      <c r="I34" s="51">
        <v>2</v>
      </c>
      <c r="J34" s="36">
        <v>0</v>
      </c>
      <c r="K34" s="37">
        <v>0</v>
      </c>
      <c r="L34" s="37">
        <v>0</v>
      </c>
      <c r="M34" s="37">
        <v>0</v>
      </c>
      <c r="N34" s="38" t="s">
        <v>36</v>
      </c>
      <c r="O34" s="39" t="s">
        <v>36</v>
      </c>
      <c r="P34" s="29"/>
      <c r="R34" s="51">
        <v>2</v>
      </c>
      <c r="S34" s="36">
        <v>0</v>
      </c>
      <c r="T34" s="37">
        <v>0</v>
      </c>
      <c r="U34" s="37">
        <v>0</v>
      </c>
      <c r="V34" s="37">
        <v>0</v>
      </c>
      <c r="W34" s="38" t="s">
        <v>36</v>
      </c>
      <c r="X34" s="39" t="s">
        <v>36</v>
      </c>
    </row>
    <row r="35" spans="1:70" x14ac:dyDescent="0.25">
      <c r="A35" s="51">
        <v>3</v>
      </c>
      <c r="B35" s="36">
        <v>0</v>
      </c>
      <c r="C35" s="37">
        <v>0</v>
      </c>
      <c r="D35" s="37">
        <v>0</v>
      </c>
      <c r="E35" s="37">
        <v>0</v>
      </c>
      <c r="F35" s="38" t="s">
        <v>36</v>
      </c>
      <c r="G35" s="39" t="s">
        <v>36</v>
      </c>
      <c r="I35" s="51">
        <v>3</v>
      </c>
      <c r="J35" s="36">
        <v>0</v>
      </c>
      <c r="K35" s="37">
        <v>0</v>
      </c>
      <c r="L35" s="37">
        <v>0</v>
      </c>
      <c r="M35" s="37">
        <v>0</v>
      </c>
      <c r="N35" s="38" t="s">
        <v>36</v>
      </c>
      <c r="O35" s="39" t="s">
        <v>36</v>
      </c>
      <c r="P35" s="29"/>
      <c r="R35" s="51">
        <v>3</v>
      </c>
      <c r="S35" s="36">
        <v>0</v>
      </c>
      <c r="T35" s="37">
        <v>0</v>
      </c>
      <c r="U35" s="37">
        <v>0</v>
      </c>
      <c r="V35" s="37">
        <v>0</v>
      </c>
      <c r="W35" s="38" t="s">
        <v>36</v>
      </c>
      <c r="X35" s="39" t="s">
        <v>36</v>
      </c>
    </row>
    <row r="36" spans="1:70" x14ac:dyDescent="0.25">
      <c r="A36" s="51">
        <v>4</v>
      </c>
      <c r="B36" s="36">
        <v>0</v>
      </c>
      <c r="C36" s="37">
        <v>0</v>
      </c>
      <c r="D36" s="37">
        <v>0</v>
      </c>
      <c r="E36" s="37">
        <v>0</v>
      </c>
      <c r="F36" s="38" t="s">
        <v>36</v>
      </c>
      <c r="G36" s="39" t="s">
        <v>36</v>
      </c>
      <c r="I36" s="51">
        <v>4</v>
      </c>
      <c r="J36" s="36">
        <v>0</v>
      </c>
      <c r="K36" s="37">
        <v>0</v>
      </c>
      <c r="L36" s="37">
        <v>0</v>
      </c>
      <c r="M36" s="37">
        <v>0</v>
      </c>
      <c r="N36" s="38" t="s">
        <v>36</v>
      </c>
      <c r="O36" s="39" t="s">
        <v>36</v>
      </c>
      <c r="P36" s="29"/>
      <c r="R36" s="51">
        <v>4</v>
      </c>
      <c r="S36" s="36">
        <v>0</v>
      </c>
      <c r="T36" s="37">
        <v>0</v>
      </c>
      <c r="U36" s="37">
        <v>0</v>
      </c>
      <c r="V36" s="37">
        <v>0</v>
      </c>
      <c r="W36" s="38" t="s">
        <v>36</v>
      </c>
      <c r="X36" s="39" t="s">
        <v>36</v>
      </c>
      <c r="AE36" s="1"/>
    </row>
    <row r="37" spans="1:70" x14ac:dyDescent="0.25">
      <c r="A37" s="51">
        <v>5</v>
      </c>
      <c r="B37" s="36">
        <v>0</v>
      </c>
      <c r="C37" s="37">
        <v>0</v>
      </c>
      <c r="D37" s="37">
        <v>0</v>
      </c>
      <c r="E37" s="37">
        <v>0</v>
      </c>
      <c r="F37" s="38" t="s">
        <v>36</v>
      </c>
      <c r="G37" s="39" t="s">
        <v>36</v>
      </c>
      <c r="I37" s="51">
        <v>5</v>
      </c>
      <c r="J37" s="36">
        <v>0</v>
      </c>
      <c r="K37" s="37">
        <v>0</v>
      </c>
      <c r="L37" s="37">
        <v>0</v>
      </c>
      <c r="M37" s="37">
        <v>0</v>
      </c>
      <c r="N37" s="38" t="s">
        <v>36</v>
      </c>
      <c r="O37" s="39" t="s">
        <v>36</v>
      </c>
      <c r="P37" s="29"/>
      <c r="R37" s="51">
        <v>5</v>
      </c>
      <c r="S37" s="36">
        <v>0</v>
      </c>
      <c r="T37" s="37">
        <v>0</v>
      </c>
      <c r="U37" s="37">
        <v>0</v>
      </c>
      <c r="V37" s="37">
        <v>0</v>
      </c>
      <c r="W37" s="38" t="s">
        <v>36</v>
      </c>
      <c r="X37" s="39" t="s">
        <v>36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</row>
    <row r="38" spans="1:70" x14ac:dyDescent="0.25">
      <c r="A38" s="51">
        <v>6</v>
      </c>
      <c r="B38" s="36">
        <v>0</v>
      </c>
      <c r="C38" s="37">
        <v>0</v>
      </c>
      <c r="D38" s="37">
        <v>0</v>
      </c>
      <c r="E38" s="37">
        <v>0</v>
      </c>
      <c r="F38" s="38" t="s">
        <v>36</v>
      </c>
      <c r="G38" s="39" t="s">
        <v>36</v>
      </c>
      <c r="I38" s="51">
        <v>6</v>
      </c>
      <c r="J38" s="36">
        <v>0</v>
      </c>
      <c r="K38" s="37">
        <v>0</v>
      </c>
      <c r="L38" s="37">
        <v>0</v>
      </c>
      <c r="M38" s="37">
        <v>0</v>
      </c>
      <c r="N38" s="38" t="s">
        <v>36</v>
      </c>
      <c r="O38" s="39" t="s">
        <v>36</v>
      </c>
      <c r="P38" s="29"/>
      <c r="R38" s="51">
        <v>6</v>
      </c>
      <c r="S38" s="36">
        <v>0</v>
      </c>
      <c r="T38" s="37">
        <v>0</v>
      </c>
      <c r="U38" s="37">
        <v>0</v>
      </c>
      <c r="V38" s="37">
        <v>0</v>
      </c>
      <c r="W38" s="38" t="s">
        <v>36</v>
      </c>
      <c r="X38" s="39" t="s">
        <v>36</v>
      </c>
    </row>
    <row r="39" spans="1:70" x14ac:dyDescent="0.25">
      <c r="A39" s="51">
        <v>7</v>
      </c>
      <c r="B39" s="36">
        <v>0</v>
      </c>
      <c r="C39" s="37">
        <v>0</v>
      </c>
      <c r="D39" s="37">
        <v>0</v>
      </c>
      <c r="E39" s="37">
        <v>0</v>
      </c>
      <c r="F39" s="38" t="s">
        <v>36</v>
      </c>
      <c r="G39" s="39" t="s">
        <v>36</v>
      </c>
      <c r="I39" s="51">
        <v>7</v>
      </c>
      <c r="J39" s="36">
        <v>0</v>
      </c>
      <c r="K39" s="37">
        <v>0</v>
      </c>
      <c r="L39" s="37">
        <v>0</v>
      </c>
      <c r="M39" s="37">
        <v>0</v>
      </c>
      <c r="N39" s="38" t="s">
        <v>36</v>
      </c>
      <c r="O39" s="39" t="s">
        <v>36</v>
      </c>
      <c r="P39" s="29"/>
      <c r="R39" s="51">
        <v>7</v>
      </c>
      <c r="S39" s="36">
        <v>0</v>
      </c>
      <c r="T39" s="37">
        <v>0</v>
      </c>
      <c r="U39" s="37">
        <v>0</v>
      </c>
      <c r="V39" s="37">
        <v>0</v>
      </c>
      <c r="W39" s="38" t="s">
        <v>36</v>
      </c>
      <c r="X39" s="39" t="s">
        <v>36</v>
      </c>
    </row>
    <row r="40" spans="1:70" x14ac:dyDescent="0.25">
      <c r="A40" s="51">
        <v>8</v>
      </c>
      <c r="B40" s="36">
        <v>0</v>
      </c>
      <c r="C40" s="37">
        <v>0</v>
      </c>
      <c r="D40" s="37">
        <v>0</v>
      </c>
      <c r="E40" s="37">
        <v>0</v>
      </c>
      <c r="F40" s="38" t="s">
        <v>36</v>
      </c>
      <c r="G40" s="39" t="s">
        <v>36</v>
      </c>
      <c r="I40" s="51">
        <v>8</v>
      </c>
      <c r="J40" s="36">
        <v>0</v>
      </c>
      <c r="K40" s="37">
        <v>0</v>
      </c>
      <c r="L40" s="37">
        <v>0</v>
      </c>
      <c r="M40" s="37">
        <v>0</v>
      </c>
      <c r="N40" s="38" t="s">
        <v>36</v>
      </c>
      <c r="O40" s="39" t="s">
        <v>36</v>
      </c>
      <c r="P40" s="29"/>
      <c r="R40" s="51">
        <v>8</v>
      </c>
      <c r="S40" s="36">
        <v>0</v>
      </c>
      <c r="T40" s="37">
        <v>0</v>
      </c>
      <c r="U40" s="37">
        <v>0</v>
      </c>
      <c r="V40" s="37">
        <v>0</v>
      </c>
      <c r="W40" s="38" t="s">
        <v>36</v>
      </c>
      <c r="X40" s="39" t="s">
        <v>36</v>
      </c>
    </row>
    <row r="41" spans="1:70" x14ac:dyDescent="0.25">
      <c r="A41" s="51">
        <v>9</v>
      </c>
      <c r="B41" s="36">
        <v>0</v>
      </c>
      <c r="C41" s="37">
        <v>0</v>
      </c>
      <c r="D41" s="37">
        <v>0</v>
      </c>
      <c r="E41" s="37">
        <v>0</v>
      </c>
      <c r="F41" s="38" t="s">
        <v>36</v>
      </c>
      <c r="G41" s="39" t="s">
        <v>36</v>
      </c>
      <c r="I41" s="51">
        <v>9</v>
      </c>
      <c r="J41" s="36">
        <v>0</v>
      </c>
      <c r="K41" s="37">
        <v>0</v>
      </c>
      <c r="L41" s="37">
        <v>0</v>
      </c>
      <c r="M41" s="37">
        <v>0</v>
      </c>
      <c r="N41" s="38" t="s">
        <v>36</v>
      </c>
      <c r="O41" s="39" t="s">
        <v>36</v>
      </c>
      <c r="P41" s="29"/>
      <c r="R41" s="51">
        <v>9</v>
      </c>
      <c r="S41" s="36">
        <v>0</v>
      </c>
      <c r="T41" s="37">
        <v>0</v>
      </c>
      <c r="U41" s="37">
        <v>0</v>
      </c>
      <c r="V41" s="37">
        <v>0</v>
      </c>
      <c r="W41" s="38" t="s">
        <v>36</v>
      </c>
      <c r="X41" s="39" t="s">
        <v>36</v>
      </c>
    </row>
    <row r="42" spans="1:70" ht="15.75" thickBot="1" x14ac:dyDescent="0.3">
      <c r="A42" s="51">
        <v>10</v>
      </c>
      <c r="B42" s="36">
        <v>0</v>
      </c>
      <c r="C42" s="37">
        <v>0</v>
      </c>
      <c r="D42" s="37">
        <v>0</v>
      </c>
      <c r="E42" s="37">
        <v>0</v>
      </c>
      <c r="F42" s="38" t="s">
        <v>36</v>
      </c>
      <c r="G42" s="39" t="s">
        <v>36</v>
      </c>
      <c r="I42" s="51">
        <v>10</v>
      </c>
      <c r="J42" s="36">
        <v>0</v>
      </c>
      <c r="K42" s="37">
        <v>0</v>
      </c>
      <c r="L42" s="37">
        <v>0</v>
      </c>
      <c r="M42" s="37">
        <v>0</v>
      </c>
      <c r="N42" s="38" t="s">
        <v>36</v>
      </c>
      <c r="O42" s="39" t="s">
        <v>36</v>
      </c>
      <c r="P42" s="29"/>
      <c r="R42" s="51">
        <v>10</v>
      </c>
      <c r="S42" s="36">
        <v>0</v>
      </c>
      <c r="T42" s="37">
        <v>0</v>
      </c>
      <c r="U42" s="37">
        <v>0</v>
      </c>
      <c r="V42" s="37">
        <v>0</v>
      </c>
      <c r="W42" s="38" t="s">
        <v>36</v>
      </c>
      <c r="X42" s="39" t="s">
        <v>36</v>
      </c>
    </row>
    <row r="43" spans="1:70" ht="15.75" thickBot="1" x14ac:dyDescent="0.3">
      <c r="A43" s="51">
        <v>11</v>
      </c>
      <c r="B43" s="36">
        <v>0</v>
      </c>
      <c r="C43" s="37">
        <v>0</v>
      </c>
      <c r="D43" s="37">
        <v>0</v>
      </c>
      <c r="E43" s="37">
        <v>0</v>
      </c>
      <c r="F43" s="38" t="s">
        <v>36</v>
      </c>
      <c r="G43" s="39" t="s">
        <v>36</v>
      </c>
      <c r="H43" s="65"/>
      <c r="I43" s="51">
        <v>11</v>
      </c>
      <c r="J43" s="36">
        <v>0</v>
      </c>
      <c r="K43" s="37">
        <v>0</v>
      </c>
      <c r="L43" s="37">
        <v>0</v>
      </c>
      <c r="M43" s="37">
        <v>0</v>
      </c>
      <c r="N43" s="38" t="s">
        <v>36</v>
      </c>
      <c r="O43" s="39" t="s">
        <v>36</v>
      </c>
      <c r="P43" s="29"/>
      <c r="R43" s="51">
        <v>11</v>
      </c>
      <c r="S43" s="36">
        <v>0</v>
      </c>
      <c r="T43" s="37">
        <v>0</v>
      </c>
      <c r="U43" s="37">
        <v>0</v>
      </c>
      <c r="V43" s="37">
        <v>0</v>
      </c>
      <c r="W43" s="38" t="s">
        <v>36</v>
      </c>
      <c r="X43" s="39" t="s">
        <v>36</v>
      </c>
    </row>
    <row r="44" spans="1:70" x14ac:dyDescent="0.25">
      <c r="A44" s="51">
        <v>12</v>
      </c>
      <c r="B44" s="36">
        <v>0</v>
      </c>
      <c r="C44" s="37">
        <v>0</v>
      </c>
      <c r="D44" s="37">
        <v>0</v>
      </c>
      <c r="E44" s="37">
        <v>0</v>
      </c>
      <c r="F44" s="38" t="s">
        <v>36</v>
      </c>
      <c r="G44" s="39" t="s">
        <v>36</v>
      </c>
      <c r="I44" s="51">
        <v>12</v>
      </c>
      <c r="J44" s="36">
        <v>0</v>
      </c>
      <c r="K44" s="37">
        <v>0</v>
      </c>
      <c r="L44" s="37">
        <v>0</v>
      </c>
      <c r="M44" s="37">
        <v>0</v>
      </c>
      <c r="N44" s="38" t="s">
        <v>36</v>
      </c>
      <c r="O44" s="39" t="s">
        <v>36</v>
      </c>
      <c r="P44" s="29"/>
      <c r="R44" s="51">
        <v>12</v>
      </c>
      <c r="S44" s="36">
        <v>0</v>
      </c>
      <c r="T44" s="37">
        <v>0</v>
      </c>
      <c r="U44" s="37">
        <v>0</v>
      </c>
      <c r="V44" s="37">
        <v>0</v>
      </c>
      <c r="W44" s="38" t="s">
        <v>36</v>
      </c>
      <c r="X44" s="39" t="s">
        <v>36</v>
      </c>
    </row>
    <row r="45" spans="1:70" x14ac:dyDescent="0.25">
      <c r="A45" s="51">
        <v>13</v>
      </c>
      <c r="B45" s="36">
        <v>0</v>
      </c>
      <c r="C45" s="37">
        <v>0</v>
      </c>
      <c r="D45" s="37">
        <v>0</v>
      </c>
      <c r="E45" s="37">
        <v>0</v>
      </c>
      <c r="F45" s="38" t="s">
        <v>36</v>
      </c>
      <c r="G45" s="39" t="s">
        <v>36</v>
      </c>
      <c r="I45" s="51">
        <v>13</v>
      </c>
      <c r="J45" s="36">
        <v>0</v>
      </c>
      <c r="K45" s="37">
        <v>0</v>
      </c>
      <c r="L45" s="37">
        <v>0</v>
      </c>
      <c r="M45" s="37">
        <v>0</v>
      </c>
      <c r="N45" s="38" t="s">
        <v>36</v>
      </c>
      <c r="O45" s="39" t="s">
        <v>36</v>
      </c>
      <c r="P45" s="29"/>
      <c r="R45" s="51">
        <v>13</v>
      </c>
      <c r="S45" s="36">
        <v>0</v>
      </c>
      <c r="T45" s="37">
        <v>0</v>
      </c>
      <c r="U45" s="37">
        <v>0</v>
      </c>
      <c r="V45" s="37">
        <v>0</v>
      </c>
      <c r="W45" s="38" t="s">
        <v>36</v>
      </c>
      <c r="X45" s="39" t="s">
        <v>36</v>
      </c>
    </row>
    <row r="46" spans="1:70" x14ac:dyDescent="0.25">
      <c r="A46" s="51">
        <v>14</v>
      </c>
      <c r="B46" s="36">
        <v>0</v>
      </c>
      <c r="C46" s="37">
        <v>0</v>
      </c>
      <c r="D46" s="37">
        <v>0</v>
      </c>
      <c r="E46" s="37">
        <v>0</v>
      </c>
      <c r="F46" s="38" t="s">
        <v>36</v>
      </c>
      <c r="G46" s="39" t="s">
        <v>36</v>
      </c>
      <c r="I46" s="51">
        <v>14</v>
      </c>
      <c r="J46" s="36">
        <v>0</v>
      </c>
      <c r="K46" s="37">
        <v>0</v>
      </c>
      <c r="L46" s="37">
        <v>0</v>
      </c>
      <c r="M46" s="37">
        <v>0</v>
      </c>
      <c r="N46" s="38" t="s">
        <v>36</v>
      </c>
      <c r="O46" s="39" t="s">
        <v>36</v>
      </c>
      <c r="P46" s="29"/>
      <c r="R46" s="51">
        <v>14</v>
      </c>
      <c r="S46" s="36">
        <v>0</v>
      </c>
      <c r="T46" s="37">
        <v>0</v>
      </c>
      <c r="U46" s="37">
        <v>0</v>
      </c>
      <c r="V46" s="37">
        <v>0</v>
      </c>
      <c r="W46" s="38" t="s">
        <v>36</v>
      </c>
      <c r="X46" s="39" t="s">
        <v>36</v>
      </c>
    </row>
    <row r="47" spans="1:70" x14ac:dyDescent="0.25">
      <c r="A47" s="51">
        <v>15</v>
      </c>
      <c r="B47" s="36">
        <v>0</v>
      </c>
      <c r="C47" s="37">
        <v>0</v>
      </c>
      <c r="D47" s="37">
        <v>0</v>
      </c>
      <c r="E47" s="37">
        <v>0</v>
      </c>
      <c r="F47" s="38" t="s">
        <v>36</v>
      </c>
      <c r="G47" s="39" t="s">
        <v>36</v>
      </c>
      <c r="I47" s="51">
        <v>15</v>
      </c>
      <c r="J47" s="36">
        <v>0</v>
      </c>
      <c r="K47" s="37">
        <v>0</v>
      </c>
      <c r="L47" s="37">
        <v>0</v>
      </c>
      <c r="M47" s="37">
        <v>0</v>
      </c>
      <c r="N47" s="38" t="s">
        <v>36</v>
      </c>
      <c r="O47" s="39" t="s">
        <v>36</v>
      </c>
      <c r="P47" s="29"/>
      <c r="R47" s="51">
        <v>15</v>
      </c>
      <c r="S47" s="36">
        <v>0</v>
      </c>
      <c r="T47" s="37">
        <v>0</v>
      </c>
      <c r="U47" s="37">
        <v>0</v>
      </c>
      <c r="V47" s="37">
        <v>0</v>
      </c>
      <c r="W47" s="38" t="s">
        <v>36</v>
      </c>
      <c r="X47" s="39" t="s">
        <v>36</v>
      </c>
    </row>
    <row r="48" spans="1:70" x14ac:dyDescent="0.25">
      <c r="A48" s="51">
        <v>16</v>
      </c>
      <c r="B48" s="36">
        <v>0</v>
      </c>
      <c r="C48" s="37">
        <v>0</v>
      </c>
      <c r="D48" s="37">
        <v>0</v>
      </c>
      <c r="E48" s="37">
        <v>0</v>
      </c>
      <c r="F48" s="38" t="s">
        <v>36</v>
      </c>
      <c r="G48" s="39" t="s">
        <v>36</v>
      </c>
      <c r="I48" s="51">
        <v>16</v>
      </c>
      <c r="J48" s="36">
        <v>0</v>
      </c>
      <c r="K48" s="37">
        <v>0</v>
      </c>
      <c r="L48" s="37">
        <v>0</v>
      </c>
      <c r="M48" s="37">
        <v>0</v>
      </c>
      <c r="N48" s="38" t="s">
        <v>36</v>
      </c>
      <c r="O48" s="39" t="s">
        <v>36</v>
      </c>
      <c r="P48" s="29"/>
      <c r="R48" s="51">
        <v>16</v>
      </c>
      <c r="S48" s="36">
        <v>0</v>
      </c>
      <c r="T48" s="37">
        <v>0</v>
      </c>
      <c r="U48" s="37">
        <v>0</v>
      </c>
      <c r="V48" s="37">
        <v>0</v>
      </c>
      <c r="W48" s="38" t="s">
        <v>36</v>
      </c>
      <c r="X48" s="39" t="s">
        <v>36</v>
      </c>
    </row>
    <row r="49" spans="1:24" x14ac:dyDescent="0.25">
      <c r="A49" s="51">
        <v>17</v>
      </c>
      <c r="B49" s="36">
        <v>0</v>
      </c>
      <c r="C49" s="37">
        <v>0</v>
      </c>
      <c r="D49" s="37">
        <v>0</v>
      </c>
      <c r="E49" s="37">
        <v>0</v>
      </c>
      <c r="F49" s="38" t="s">
        <v>36</v>
      </c>
      <c r="G49" s="39" t="s">
        <v>36</v>
      </c>
      <c r="I49" s="51">
        <v>17</v>
      </c>
      <c r="J49" s="36">
        <v>0</v>
      </c>
      <c r="K49" s="37">
        <v>0</v>
      </c>
      <c r="L49" s="37">
        <v>0</v>
      </c>
      <c r="M49" s="37">
        <v>0</v>
      </c>
      <c r="N49" s="38" t="s">
        <v>36</v>
      </c>
      <c r="O49" s="39" t="s">
        <v>36</v>
      </c>
      <c r="P49" s="29"/>
      <c r="R49" s="51">
        <v>17</v>
      </c>
      <c r="S49" s="36">
        <v>0</v>
      </c>
      <c r="T49" s="37">
        <v>0</v>
      </c>
      <c r="U49" s="37">
        <v>0</v>
      </c>
      <c r="V49" s="37">
        <v>0</v>
      </c>
      <c r="W49" s="38" t="s">
        <v>36</v>
      </c>
      <c r="X49" s="39" t="s">
        <v>36</v>
      </c>
    </row>
    <row r="50" spans="1:24" x14ac:dyDescent="0.25">
      <c r="A50" s="51">
        <v>18</v>
      </c>
      <c r="B50" s="36">
        <v>0</v>
      </c>
      <c r="C50" s="37">
        <v>0</v>
      </c>
      <c r="D50" s="37">
        <v>0</v>
      </c>
      <c r="E50" s="37">
        <v>0</v>
      </c>
      <c r="F50" s="38" t="s">
        <v>36</v>
      </c>
      <c r="G50" s="39" t="s">
        <v>36</v>
      </c>
      <c r="I50" s="51">
        <v>18</v>
      </c>
      <c r="J50" s="36">
        <v>0</v>
      </c>
      <c r="K50" s="37">
        <v>0</v>
      </c>
      <c r="L50" s="37">
        <v>0</v>
      </c>
      <c r="M50" s="37">
        <v>0</v>
      </c>
      <c r="N50" s="38" t="s">
        <v>36</v>
      </c>
      <c r="O50" s="39" t="s">
        <v>36</v>
      </c>
      <c r="P50" s="29"/>
      <c r="R50" s="51">
        <v>18</v>
      </c>
      <c r="S50" s="36">
        <v>0</v>
      </c>
      <c r="T50" s="37">
        <v>0</v>
      </c>
      <c r="U50" s="37">
        <v>0</v>
      </c>
      <c r="V50" s="37">
        <v>0</v>
      </c>
      <c r="W50" s="38" t="s">
        <v>36</v>
      </c>
      <c r="X50" s="39" t="s">
        <v>36</v>
      </c>
    </row>
    <row r="51" spans="1:24" x14ac:dyDescent="0.25">
      <c r="A51" s="51">
        <v>19</v>
      </c>
      <c r="B51" s="36">
        <v>0</v>
      </c>
      <c r="C51" s="37">
        <v>0</v>
      </c>
      <c r="D51" s="37">
        <v>0</v>
      </c>
      <c r="E51" s="37">
        <v>0</v>
      </c>
      <c r="F51" s="38" t="s">
        <v>36</v>
      </c>
      <c r="G51" s="39" t="s">
        <v>36</v>
      </c>
      <c r="I51" s="51">
        <v>19</v>
      </c>
      <c r="J51" s="36">
        <v>0</v>
      </c>
      <c r="K51" s="37">
        <v>0</v>
      </c>
      <c r="L51" s="37">
        <v>0</v>
      </c>
      <c r="M51" s="37">
        <v>0</v>
      </c>
      <c r="N51" s="38" t="s">
        <v>36</v>
      </c>
      <c r="O51" s="39" t="s">
        <v>36</v>
      </c>
      <c r="P51" s="29"/>
      <c r="R51" s="51">
        <v>19</v>
      </c>
      <c r="S51" s="36">
        <v>0</v>
      </c>
      <c r="T51" s="37">
        <v>0</v>
      </c>
      <c r="U51" s="37">
        <v>0</v>
      </c>
      <c r="V51" s="37">
        <v>0</v>
      </c>
      <c r="W51" s="38" t="s">
        <v>36</v>
      </c>
      <c r="X51" s="39" t="s">
        <v>36</v>
      </c>
    </row>
    <row r="52" spans="1:24" ht="15.75" thickBot="1" x14ac:dyDescent="0.3">
      <c r="A52" s="51">
        <v>20</v>
      </c>
      <c r="B52" s="40">
        <v>0</v>
      </c>
      <c r="C52" s="41">
        <v>0</v>
      </c>
      <c r="D52" s="41">
        <v>0</v>
      </c>
      <c r="E52" s="41">
        <v>0</v>
      </c>
      <c r="F52" s="42" t="s">
        <v>36</v>
      </c>
      <c r="G52" s="43" t="s">
        <v>36</v>
      </c>
      <c r="I52" s="51">
        <v>20</v>
      </c>
      <c r="J52" s="40">
        <v>0</v>
      </c>
      <c r="K52" s="41">
        <v>0</v>
      </c>
      <c r="L52" s="41">
        <v>0</v>
      </c>
      <c r="M52" s="41">
        <v>0</v>
      </c>
      <c r="N52" s="42" t="s">
        <v>36</v>
      </c>
      <c r="O52" s="43" t="s">
        <v>36</v>
      </c>
      <c r="P52" s="29"/>
      <c r="R52" s="51">
        <v>20</v>
      </c>
      <c r="S52" s="40">
        <v>0</v>
      </c>
      <c r="T52" s="41">
        <v>0</v>
      </c>
      <c r="U52" s="41">
        <v>0</v>
      </c>
      <c r="V52" s="41">
        <v>0</v>
      </c>
      <c r="W52" s="42" t="s">
        <v>36</v>
      </c>
      <c r="X52" s="43" t="s">
        <v>36</v>
      </c>
    </row>
    <row r="53" spans="1:24" x14ac:dyDescent="0.25">
      <c r="A53" s="51">
        <v>21</v>
      </c>
      <c r="B53" s="22" cm="1">
        <f t="array" aca="1" ref="B53" ca="1">center_span(J29,0,D3,D2,J33:O79,G5:P5,3)</f>
        <v>2.131243492390948E-3</v>
      </c>
      <c r="C53" s="56">
        <v>0</v>
      </c>
      <c r="D53" s="57">
        <f>$B$29</f>
        <v>5</v>
      </c>
      <c r="E53" s="56">
        <v>0</v>
      </c>
      <c r="F53" s="22" t="s">
        <v>65</v>
      </c>
      <c r="G53" s="58" t="s">
        <v>63</v>
      </c>
      <c r="I53" s="51">
        <v>21</v>
      </c>
      <c r="J53" s="71" cm="1">
        <f t="array" ref="J53">left_cantilever_analysis(B29,B29,D3,D2,B33:G52,Load_Combos!B3:K3,2)</f>
        <v>-12.5</v>
      </c>
      <c r="K53" s="71">
        <v>0</v>
      </c>
      <c r="L53" s="71">
        <v>0</v>
      </c>
      <c r="M53" s="71">
        <v>0</v>
      </c>
      <c r="N53" s="71" t="s">
        <v>33</v>
      </c>
      <c r="O53" s="71" t="s">
        <v>18</v>
      </c>
      <c r="P53" s="29"/>
      <c r="R53" s="51">
        <v>21</v>
      </c>
      <c r="S53" s="22" cm="1">
        <f t="array" aca="1" ref="S53" ca="1">center_span(J29,J29,D3,D2,J33:O79,G5:P5,3)</f>
        <v>-1.1119577481011333E-15</v>
      </c>
      <c r="T53" s="56">
        <v>0</v>
      </c>
      <c r="U53" s="56">
        <v>0</v>
      </c>
      <c r="V53" s="56">
        <v>0</v>
      </c>
      <c r="W53" s="22" t="s">
        <v>65</v>
      </c>
      <c r="X53" s="58" t="s">
        <v>63</v>
      </c>
    </row>
    <row r="54" spans="1:24" ht="15.75" thickBot="1" x14ac:dyDescent="0.3">
      <c r="A54" s="59"/>
      <c r="B54" s="60"/>
      <c r="C54" s="61"/>
      <c r="D54" s="62"/>
      <c r="E54" s="61"/>
      <c r="F54" s="63"/>
      <c r="G54" s="64"/>
      <c r="I54" s="51">
        <v>22</v>
      </c>
      <c r="J54" s="71" cm="1">
        <f t="array" ref="J54">right_cantilever_analysis(S29,0,D3,D2,S33:X52,Load_Combos!B3:K3,2)*-1</f>
        <v>0</v>
      </c>
      <c r="K54" s="71">
        <v>0</v>
      </c>
      <c r="L54" s="72">
        <f>$J$29</f>
        <v>30</v>
      </c>
      <c r="M54" s="71">
        <v>0</v>
      </c>
      <c r="N54" s="71" t="s">
        <v>33</v>
      </c>
      <c r="O54" s="71" t="s">
        <v>18</v>
      </c>
      <c r="P54" s="29"/>
      <c r="R54" s="74"/>
      <c r="S54" s="63"/>
      <c r="T54" s="61"/>
      <c r="U54" s="61"/>
      <c r="V54" s="61"/>
      <c r="W54" s="63"/>
      <c r="X54" s="75"/>
    </row>
    <row r="55" spans="1:24" x14ac:dyDescent="0.25">
      <c r="B55" s="13"/>
      <c r="C55" s="14"/>
      <c r="D55" s="15"/>
      <c r="E55" s="14"/>
      <c r="F55" s="5"/>
      <c r="G55" s="13"/>
      <c r="I55" s="51">
        <v>23</v>
      </c>
      <c r="J55" s="71" cm="1">
        <f t="array" ref="J55">left_cantilever_analysis(B29,B29,D3,D2,B33:G52,Load_Combos!B4:K4,2)</f>
        <v>0</v>
      </c>
      <c r="K55" s="71">
        <v>0</v>
      </c>
      <c r="L55" s="71">
        <v>0</v>
      </c>
      <c r="M55" s="71">
        <v>0</v>
      </c>
      <c r="N55" s="71" t="s">
        <v>33</v>
      </c>
      <c r="O55" s="71" t="s">
        <v>22</v>
      </c>
      <c r="P55" s="29"/>
      <c r="Q55" s="13"/>
      <c r="R55" s="5"/>
      <c r="S55" s="14"/>
      <c r="T55" s="14"/>
      <c r="U55" s="14"/>
      <c r="V55" s="5"/>
      <c r="W55" s="5"/>
    </row>
    <row r="56" spans="1:24" x14ac:dyDescent="0.25">
      <c r="B56" s="13"/>
      <c r="C56" s="14"/>
      <c r="D56" s="15"/>
      <c r="E56" s="14"/>
      <c r="F56" s="5"/>
      <c r="G56" s="13"/>
      <c r="I56" s="51">
        <v>24</v>
      </c>
      <c r="J56" s="71" cm="1">
        <f t="array" ref="J56">right_cantilever_analysis(S29,0,D3,D2,S33:X52,Load_Combos!B4:K4,2)*-1</f>
        <v>0</v>
      </c>
      <c r="K56" s="71">
        <v>0</v>
      </c>
      <c r="L56" s="72">
        <f>$J$29</f>
        <v>30</v>
      </c>
      <c r="M56" s="71">
        <v>0</v>
      </c>
      <c r="N56" s="71" t="s">
        <v>33</v>
      </c>
      <c r="O56" s="71" t="s">
        <v>22</v>
      </c>
      <c r="P56" s="29"/>
      <c r="Q56" s="13"/>
      <c r="R56" s="5"/>
      <c r="S56" s="14"/>
      <c r="T56" s="14"/>
      <c r="U56" s="14"/>
      <c r="V56" s="5"/>
      <c r="W56" s="5"/>
    </row>
    <row r="57" spans="1:24" x14ac:dyDescent="0.25">
      <c r="B57" s="13"/>
      <c r="C57" s="14"/>
      <c r="D57" s="15"/>
      <c r="E57" s="14"/>
      <c r="F57" s="5"/>
      <c r="G57" s="13"/>
      <c r="I57" s="51">
        <v>25</v>
      </c>
      <c r="J57" s="71" cm="1">
        <f t="array" ref="J57">left_cantilever_analysis(B29,B29,D3,D2,B33:G52,Load_Combos!B5:K5,2)</f>
        <v>0</v>
      </c>
      <c r="K57" s="71">
        <v>0</v>
      </c>
      <c r="L57" s="71">
        <v>0</v>
      </c>
      <c r="M57" s="71">
        <v>0</v>
      </c>
      <c r="N57" s="71" t="s">
        <v>33</v>
      </c>
      <c r="O57" s="71" t="s">
        <v>23</v>
      </c>
      <c r="P57" s="29"/>
      <c r="Q57" s="13"/>
      <c r="R57" s="5"/>
      <c r="S57" s="14"/>
      <c r="T57" s="14"/>
      <c r="U57" s="14"/>
      <c r="V57" s="5"/>
      <c r="W57" s="5"/>
    </row>
    <row r="58" spans="1:24" x14ac:dyDescent="0.25">
      <c r="B58" s="13"/>
      <c r="C58" s="14"/>
      <c r="D58" s="15"/>
      <c r="E58" s="14"/>
      <c r="F58" s="5"/>
      <c r="G58" s="13"/>
      <c r="I58" s="51">
        <v>26</v>
      </c>
      <c r="J58" s="71" cm="1">
        <f t="array" ref="J58">right_cantilever_analysis(S29,0,D3,D2,S33:X52,Load_Combos!B5:K5,2)*-1</f>
        <v>0</v>
      </c>
      <c r="K58" s="71">
        <v>0</v>
      </c>
      <c r="L58" s="72">
        <f>$J$29</f>
        <v>30</v>
      </c>
      <c r="M58" s="71">
        <v>0</v>
      </c>
      <c r="N58" s="71" t="s">
        <v>33</v>
      </c>
      <c r="O58" s="71" t="s">
        <v>23</v>
      </c>
      <c r="P58" s="29"/>
      <c r="Q58" s="13"/>
      <c r="R58" s="5"/>
      <c r="S58" s="14"/>
      <c r="T58" s="14"/>
      <c r="U58" s="14"/>
      <c r="V58" s="5"/>
      <c r="W58" s="5"/>
    </row>
    <row r="59" spans="1:24" x14ac:dyDescent="0.25">
      <c r="B59" s="13"/>
      <c r="C59" s="14"/>
      <c r="D59" s="15"/>
      <c r="E59" s="14"/>
      <c r="F59" s="5"/>
      <c r="G59" s="13"/>
      <c r="I59" s="51">
        <v>27</v>
      </c>
      <c r="J59" s="71" cm="1">
        <f t="array" ref="J59">left_cantilever_analysis(B29,B29,D3,D2,B33:G52,Load_Combos!B6:K6,2)</f>
        <v>0</v>
      </c>
      <c r="K59" s="71">
        <v>0</v>
      </c>
      <c r="L59" s="71">
        <v>0</v>
      </c>
      <c r="M59" s="71">
        <v>0</v>
      </c>
      <c r="N59" s="71" t="s">
        <v>33</v>
      </c>
      <c r="O59" s="71" t="s">
        <v>24</v>
      </c>
      <c r="P59" s="29"/>
      <c r="Q59" s="13"/>
      <c r="R59" s="5"/>
      <c r="S59" s="14"/>
      <c r="T59" s="14"/>
      <c r="U59" s="14"/>
      <c r="V59" s="5"/>
      <c r="W59" s="5"/>
    </row>
    <row r="60" spans="1:24" x14ac:dyDescent="0.25">
      <c r="B60" s="13"/>
      <c r="C60" s="14"/>
      <c r="D60" s="15"/>
      <c r="E60" s="14"/>
      <c r="F60" s="5"/>
      <c r="G60" s="13"/>
      <c r="I60" s="51">
        <v>28</v>
      </c>
      <c r="J60" s="71" cm="1">
        <f t="array" ref="J60">right_cantilever_analysis(S29,0,D3,D2,S33:X52,Load_Combos!B6:K6,2)*-1</f>
        <v>0</v>
      </c>
      <c r="K60" s="71">
        <v>0</v>
      </c>
      <c r="L60" s="72">
        <f>$J$29</f>
        <v>30</v>
      </c>
      <c r="M60" s="71">
        <v>0</v>
      </c>
      <c r="N60" s="71" t="s">
        <v>33</v>
      </c>
      <c r="O60" s="71" t="s">
        <v>24</v>
      </c>
      <c r="P60" s="29"/>
      <c r="Q60" s="13"/>
      <c r="R60" s="5"/>
      <c r="S60" s="14"/>
      <c r="T60" s="14"/>
      <c r="U60" s="14"/>
      <c r="V60" s="5"/>
      <c r="W60" s="5"/>
    </row>
    <row r="61" spans="1:24" x14ac:dyDescent="0.25">
      <c r="B61" s="13"/>
      <c r="C61" s="14"/>
      <c r="D61" s="15"/>
      <c r="E61" s="14"/>
      <c r="F61" s="5"/>
      <c r="G61" s="13"/>
      <c r="I61" s="51">
        <v>29</v>
      </c>
      <c r="J61" s="71" cm="1">
        <f t="array" ref="J61">left_cantilever_analysis(B29,B29,D3,D2,B33:G52,Load_Combos!B7:K7,2)</f>
        <v>0</v>
      </c>
      <c r="K61" s="71">
        <v>0</v>
      </c>
      <c r="L61" s="71">
        <v>0</v>
      </c>
      <c r="M61" s="71">
        <v>0</v>
      </c>
      <c r="N61" s="71" t="s">
        <v>33</v>
      </c>
      <c r="O61" s="71" t="s">
        <v>17</v>
      </c>
      <c r="P61" s="29"/>
      <c r="Q61" s="13"/>
      <c r="R61" s="5"/>
      <c r="S61" s="14"/>
      <c r="T61" s="14"/>
      <c r="U61" s="14"/>
      <c r="V61" s="5"/>
      <c r="W61" s="5"/>
    </row>
    <row r="62" spans="1:24" x14ac:dyDescent="0.25">
      <c r="B62" s="13"/>
      <c r="C62" s="14"/>
      <c r="D62" s="15"/>
      <c r="E62" s="14"/>
      <c r="F62" s="5"/>
      <c r="G62" s="13"/>
      <c r="I62" s="51">
        <v>30</v>
      </c>
      <c r="J62" s="71" cm="1">
        <f t="array" ref="J62">right_cantilever_analysis(S29,0,D3,D2,S33:X52,Load_Combos!B7:K7,2)*-1</f>
        <v>0</v>
      </c>
      <c r="K62" s="71">
        <v>0</v>
      </c>
      <c r="L62" s="72">
        <f>$J$29</f>
        <v>30</v>
      </c>
      <c r="M62" s="71">
        <v>0</v>
      </c>
      <c r="N62" s="71" t="s">
        <v>33</v>
      </c>
      <c r="O62" s="71" t="s">
        <v>17</v>
      </c>
      <c r="P62" s="29"/>
      <c r="Q62" s="13"/>
      <c r="R62" s="5"/>
      <c r="S62" s="14"/>
      <c r="T62" s="14"/>
      <c r="U62" s="14"/>
      <c r="V62" s="5"/>
      <c r="W62" s="5"/>
    </row>
    <row r="63" spans="1:24" x14ac:dyDescent="0.25">
      <c r="I63" s="51">
        <v>31</v>
      </c>
      <c r="J63" s="71" cm="1">
        <f t="array" ref="J63">left_cantilever_analysis(B29,B29,D3,D2,B33:G52,Load_Combos!B8:K8,2)</f>
        <v>0</v>
      </c>
      <c r="K63" s="71">
        <v>0</v>
      </c>
      <c r="L63" s="71">
        <v>0</v>
      </c>
      <c r="M63" s="71">
        <v>0</v>
      </c>
      <c r="N63" s="71" t="s">
        <v>33</v>
      </c>
      <c r="O63" s="71" t="s">
        <v>25</v>
      </c>
      <c r="P63" s="29"/>
    </row>
    <row r="64" spans="1:24" x14ac:dyDescent="0.25">
      <c r="I64" s="51">
        <v>32</v>
      </c>
      <c r="J64" s="71" cm="1">
        <f t="array" ref="J64">right_cantilever_analysis(S29,0,D3,D2,S33:X52,Load_Combos!B8:K8,2)*-1</f>
        <v>0</v>
      </c>
      <c r="K64" s="71">
        <v>0</v>
      </c>
      <c r="L64" s="72">
        <f>$J$29</f>
        <v>30</v>
      </c>
      <c r="M64" s="71">
        <v>0</v>
      </c>
      <c r="N64" s="71" t="s">
        <v>33</v>
      </c>
      <c r="O64" s="71" t="s">
        <v>25</v>
      </c>
      <c r="P64" s="29"/>
    </row>
    <row r="65" spans="9:70" x14ac:dyDescent="0.25">
      <c r="I65" s="51">
        <v>33</v>
      </c>
      <c r="J65" s="71" cm="1">
        <f t="array" ref="J65">left_cantilever_analysis(B29,B29,D3,D2,B33:G52,Load_Combos!B9:K9,2)</f>
        <v>0</v>
      </c>
      <c r="K65" s="71">
        <v>0</v>
      </c>
      <c r="L65" s="71">
        <v>0</v>
      </c>
      <c r="M65" s="71">
        <v>0</v>
      </c>
      <c r="N65" s="71" t="s">
        <v>33</v>
      </c>
      <c r="O65" s="71" t="s">
        <v>26</v>
      </c>
      <c r="P65" s="29"/>
    </row>
    <row r="66" spans="9:70" x14ac:dyDescent="0.25">
      <c r="I66" s="51">
        <v>34</v>
      </c>
      <c r="J66" s="71" cm="1">
        <f t="array" ref="J66">right_cantilever_analysis(S29,0,D3,D2,S33:X52,Load_Combos!B9:K9,2)*-1</f>
        <v>0</v>
      </c>
      <c r="K66" s="71">
        <v>0</v>
      </c>
      <c r="L66" s="72">
        <f>$J$29</f>
        <v>30</v>
      </c>
      <c r="M66" s="71">
        <v>0</v>
      </c>
      <c r="N66" s="71" t="s">
        <v>33</v>
      </c>
      <c r="O66" s="71" t="s">
        <v>26</v>
      </c>
      <c r="P66" s="29"/>
    </row>
    <row r="67" spans="9:70" x14ac:dyDescent="0.25">
      <c r="I67" s="51">
        <v>35</v>
      </c>
      <c r="J67" s="71" cm="1">
        <f t="array" ref="J67">left_cantilever_analysis(B29,B29,D3,D2,B33:G52,Load_Combos!B10:K10,2)</f>
        <v>0</v>
      </c>
      <c r="K67" s="71">
        <v>0</v>
      </c>
      <c r="L67" s="71">
        <v>0</v>
      </c>
      <c r="M67" s="71">
        <v>0</v>
      </c>
      <c r="N67" s="71" t="s">
        <v>33</v>
      </c>
      <c r="O67" s="71" t="s">
        <v>27</v>
      </c>
      <c r="P67" s="29"/>
    </row>
    <row r="68" spans="9:70" x14ac:dyDescent="0.25">
      <c r="I68" s="51">
        <v>36</v>
      </c>
      <c r="J68" s="71" cm="1">
        <f t="array" ref="J68">right_cantilever_analysis(S29,0,D3,D2,S33:X52,Load_Combos!B10:K10,2)*-1</f>
        <v>0</v>
      </c>
      <c r="K68" s="71">
        <v>0</v>
      </c>
      <c r="L68" s="72">
        <f>$J$29</f>
        <v>30</v>
      </c>
      <c r="M68" s="71">
        <v>0</v>
      </c>
      <c r="N68" s="71" t="s">
        <v>33</v>
      </c>
      <c r="O68" s="71" t="s">
        <v>27</v>
      </c>
      <c r="P68" s="29"/>
      <c r="AE68" s="1"/>
    </row>
    <row r="69" spans="9:70" x14ac:dyDescent="0.25">
      <c r="I69" s="51">
        <v>37</v>
      </c>
      <c r="J69" s="71" cm="1">
        <f t="array" ref="J69">left_cantilever_analysis(B29,B29,D3,D2,B33:G52,Load_Combos!B11:K11,2)</f>
        <v>0</v>
      </c>
      <c r="K69" s="71">
        <v>0</v>
      </c>
      <c r="L69" s="71">
        <v>0</v>
      </c>
      <c r="M69" s="71">
        <v>0</v>
      </c>
      <c r="N69" s="71" t="s">
        <v>33</v>
      </c>
      <c r="O69" s="71" t="s">
        <v>28</v>
      </c>
      <c r="P69" s="29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</row>
    <row r="70" spans="9:70" x14ac:dyDescent="0.25">
      <c r="I70" s="51">
        <v>38</v>
      </c>
      <c r="J70" s="71" cm="1">
        <f t="array" ref="J70">right_cantilever_analysis(S29,0,D3,D2,S33:X52,Load_Combos!B11:K11,2)*-1</f>
        <v>0</v>
      </c>
      <c r="K70" s="71">
        <v>0</v>
      </c>
      <c r="L70" s="72">
        <f>$J$29</f>
        <v>30</v>
      </c>
      <c r="M70" s="71">
        <v>0</v>
      </c>
      <c r="N70" s="71" t="s">
        <v>33</v>
      </c>
      <c r="O70" s="71" t="s">
        <v>28</v>
      </c>
      <c r="P70" s="29"/>
    </row>
    <row r="71" spans="9:70" x14ac:dyDescent="0.25">
      <c r="I71" s="51">
        <v>39</v>
      </c>
      <c r="J71" s="71" cm="1">
        <f t="array" ref="J71">left_cantilever_analysis(B29,B29,D3,D2,B33:G52,Load_Combos!B12:K12,2)</f>
        <v>0</v>
      </c>
      <c r="K71" s="71">
        <v>0</v>
      </c>
      <c r="L71" s="71">
        <v>0</v>
      </c>
      <c r="M71" s="71">
        <v>0</v>
      </c>
      <c r="N71" s="71" t="s">
        <v>33</v>
      </c>
      <c r="O71" s="71" t="s">
        <v>29</v>
      </c>
      <c r="P71" s="29"/>
    </row>
    <row r="72" spans="9:70" x14ac:dyDescent="0.25">
      <c r="I72" s="51">
        <v>40</v>
      </c>
      <c r="J72" s="71" cm="1">
        <f t="array" ref="J72">right_cantilever_analysis(S29,0,D3,D2,S33:X52,Load_Combos!B12:K12,2)*-1</f>
        <v>0</v>
      </c>
      <c r="K72" s="71">
        <v>0</v>
      </c>
      <c r="L72" s="72">
        <f>$J$29</f>
        <v>30</v>
      </c>
      <c r="M72" s="71">
        <v>0</v>
      </c>
      <c r="N72" s="71" t="s">
        <v>33</v>
      </c>
      <c r="O72" s="71" t="s">
        <v>29</v>
      </c>
      <c r="P72" s="29"/>
    </row>
    <row r="73" spans="9:70" x14ac:dyDescent="0.25">
      <c r="I73" s="51">
        <v>41</v>
      </c>
      <c r="J73" s="56">
        <f ca="1">D22</f>
        <v>-0.9785196450640623</v>
      </c>
      <c r="K73" s="22">
        <v>0</v>
      </c>
      <c r="L73" s="22">
        <f>B22</f>
        <v>5</v>
      </c>
      <c r="M73" s="22">
        <v>0</v>
      </c>
      <c r="N73" s="22" t="s">
        <v>32</v>
      </c>
      <c r="O73" s="22" t="s">
        <v>63</v>
      </c>
      <c r="P73" s="29"/>
    </row>
    <row r="74" spans="9:70" x14ac:dyDescent="0.25">
      <c r="I74" s="51">
        <v>42</v>
      </c>
      <c r="J74" s="56">
        <f ca="1">D23</f>
        <v>-7.0291446537184399</v>
      </c>
      <c r="K74" s="22">
        <v>0</v>
      </c>
      <c r="L74" s="22">
        <f t="shared" ref="L74:L77" si="0">B23</f>
        <v>10</v>
      </c>
      <c r="M74" s="22">
        <v>0</v>
      </c>
      <c r="N74" s="22" t="s">
        <v>32</v>
      </c>
      <c r="O74" s="22" t="s">
        <v>63</v>
      </c>
      <c r="P74" s="29"/>
    </row>
    <row r="75" spans="9:70" x14ac:dyDescent="0.25">
      <c r="I75" s="51">
        <v>43</v>
      </c>
      <c r="J75" s="56">
        <f ca="1">D24</f>
        <v>-3.2475032620810032</v>
      </c>
      <c r="K75" s="22">
        <v>0</v>
      </c>
      <c r="L75" s="22">
        <f t="shared" si="0"/>
        <v>15</v>
      </c>
      <c r="M75" s="22">
        <v>0</v>
      </c>
      <c r="N75" s="22" t="s">
        <v>32</v>
      </c>
      <c r="O75" s="22" t="s">
        <v>63</v>
      </c>
      <c r="P75" s="29"/>
    </row>
    <row r="76" spans="9:70" x14ac:dyDescent="0.25">
      <c r="I76" s="51">
        <v>44</v>
      </c>
      <c r="J76" s="56">
        <f ca="1">D25</f>
        <v>-7.0260076186586904</v>
      </c>
      <c r="K76" s="22">
        <v>0</v>
      </c>
      <c r="L76" s="22">
        <f t="shared" si="0"/>
        <v>20</v>
      </c>
      <c r="M76" s="22">
        <v>0</v>
      </c>
      <c r="N76" s="22" t="s">
        <v>32</v>
      </c>
      <c r="O76" s="22" t="s">
        <v>63</v>
      </c>
      <c r="P76" s="29"/>
    </row>
    <row r="77" spans="9:70" x14ac:dyDescent="0.25">
      <c r="I77" s="51">
        <v>45</v>
      </c>
      <c r="J77" s="56">
        <f ca="1">D26</f>
        <v>-2.6393029124738803</v>
      </c>
      <c r="K77" s="22">
        <v>0</v>
      </c>
      <c r="L77" s="22">
        <f t="shared" si="0"/>
        <v>25</v>
      </c>
      <c r="M77" s="22">
        <v>0</v>
      </c>
      <c r="N77" s="22" t="s">
        <v>32</v>
      </c>
      <c r="O77" s="22" t="s">
        <v>63</v>
      </c>
      <c r="P77" s="29"/>
    </row>
    <row r="78" spans="9:70" x14ac:dyDescent="0.25">
      <c r="I78" s="51">
        <v>46</v>
      </c>
      <c r="J78" s="56">
        <f ca="1">O27</f>
        <v>0</v>
      </c>
      <c r="K78" s="22">
        <v>0</v>
      </c>
      <c r="L78" s="22">
        <v>0</v>
      </c>
      <c r="M78" s="22">
        <v>0</v>
      </c>
      <c r="N78" s="22" t="s">
        <v>33</v>
      </c>
      <c r="O78" s="22" t="s">
        <v>63</v>
      </c>
      <c r="P78" s="29"/>
    </row>
    <row r="79" spans="9:70" x14ac:dyDescent="0.25">
      <c r="I79" s="51">
        <v>47</v>
      </c>
      <c r="J79" s="56">
        <f ca="1">O28*-1</f>
        <v>5.249758380379717</v>
      </c>
      <c r="K79" s="22">
        <v>0</v>
      </c>
      <c r="L79" s="56">
        <f>J29</f>
        <v>30</v>
      </c>
      <c r="M79" s="22">
        <v>0</v>
      </c>
      <c r="N79" s="22" t="s">
        <v>33</v>
      </c>
      <c r="O79" s="22" t="s">
        <v>63</v>
      </c>
      <c r="P79" s="29"/>
    </row>
    <row r="80" spans="9:70" ht="15.75" thickBot="1" x14ac:dyDescent="0.3">
      <c r="I80" s="59"/>
      <c r="J80" s="73"/>
      <c r="K80" s="73"/>
      <c r="L80" s="73"/>
      <c r="M80" s="73"/>
      <c r="N80" s="73"/>
      <c r="O80" s="73"/>
      <c r="P80" s="31"/>
    </row>
  </sheetData>
  <dataValidations count="4">
    <dataValidation type="list" allowBlank="1" showInputMessage="1" showErrorMessage="1" sqref="B7" xr:uid="{AE9CA0B7-8AFE-459E-B1E3-9B698CDF7357}">
      <formula1>"V,M,S,D,C"</formula1>
    </dataValidation>
    <dataValidation type="list" allowBlank="1" showInputMessage="1" showErrorMessage="1" sqref="L27:L28" xr:uid="{0EF28C8B-E72F-4607-BC7C-931B02B8CB99}">
      <formula1>"y,n"</formula1>
    </dataValidation>
    <dataValidation type="list" allowBlank="1" showInputMessage="1" showErrorMessage="1" sqref="H2" xr:uid="{097ADCBB-0B80-4D2E-A053-23C594BF7DF8}">
      <formula1>"0.7,0.2"</formula1>
    </dataValidation>
    <dataValidation type="list" allowBlank="1" showInputMessage="1" showErrorMessage="1" sqref="H1" xr:uid="{B0271822-907D-4161-B1B5-6D252FF33B77}">
      <formula1>"1,0.5"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746E6F2-BF32-4F5B-9D13-3CB2D580546E}">
          <x14:formula1>
            <xm:f>Data!$C$2:$C$6</xm:f>
          </x14:formula1>
          <xm:sqref>W33:W52 F33:F52 N33:N52</xm:sqref>
        </x14:dataValidation>
        <x14:dataValidation type="list" allowBlank="1" showInputMessage="1" showErrorMessage="1" xr:uid="{2DF0EE76-D99F-47E6-8342-7917AB41E6E5}">
          <x14:formula1>
            <xm:f>Data!$A$2:$A$12</xm:f>
          </x14:formula1>
          <xm:sqref>G33:G52 X33:X52 O33:O52</xm:sqref>
        </x14:dataValidation>
        <x14:dataValidation type="list" allowBlank="1" showInputMessage="1" showErrorMessage="1" xr:uid="{A7E879C5-982F-4864-80CC-7BA01C32BC4E}">
          <x14:formula1>
            <xm:f>Load_Combos!$A$3:$A$62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8A304-FE81-43BD-A422-48246CA7BFF5}">
  <sheetPr codeName="Sheet2"/>
  <dimension ref="A1:BQ659"/>
  <sheetViews>
    <sheetView topLeftCell="E3" workbookViewId="0">
      <selection activeCell="Z15" sqref="Z15"/>
    </sheetView>
  </sheetViews>
  <sheetFormatPr defaultRowHeight="15" x14ac:dyDescent="0.25"/>
  <cols>
    <col min="17" max="17" width="10.5703125" bestFit="1" customWidth="1"/>
    <col min="18" max="18" width="12" bestFit="1" customWidth="1"/>
    <col min="22" max="22" width="12.28515625" bestFit="1" customWidth="1"/>
    <col min="34" max="34" width="12.7109375" bestFit="1" customWidth="1"/>
  </cols>
  <sheetData>
    <row r="1" spans="1:69" x14ac:dyDescent="0.25">
      <c r="A1" t="s">
        <v>30</v>
      </c>
      <c r="C1" t="s">
        <v>31</v>
      </c>
      <c r="F1" t="s">
        <v>42</v>
      </c>
      <c r="J1" t="s">
        <v>47</v>
      </c>
    </row>
    <row r="2" spans="1:69" x14ac:dyDescent="0.25">
      <c r="A2" t="s">
        <v>18</v>
      </c>
      <c r="C2" t="s">
        <v>32</v>
      </c>
      <c r="O2">
        <f>IF(Beam_Analysis!B7="V",0,IF(Beam_Analysis!B7="M",1,IF(Beam_Analysis!B7="S",2,IF(Beam_Analysis!B7="D",3,4))))</f>
        <v>3</v>
      </c>
    </row>
    <row r="3" spans="1:69" x14ac:dyDescent="0.25">
      <c r="A3" t="s">
        <v>22</v>
      </c>
      <c r="C3" t="s">
        <v>33</v>
      </c>
      <c r="F3" t="s">
        <v>43</v>
      </c>
      <c r="N3" t="s">
        <v>115</v>
      </c>
      <c r="O3">
        <f>Beam_Analysis!J29</f>
        <v>30</v>
      </c>
    </row>
    <row r="4" spans="1:69" ht="15.75" thickBot="1" x14ac:dyDescent="0.3">
      <c r="A4" t="s">
        <v>23</v>
      </c>
      <c r="C4" t="s">
        <v>34</v>
      </c>
      <c r="AA4" s="1"/>
      <c r="AB4" s="1"/>
      <c r="AC4" s="1"/>
      <c r="AD4" s="1"/>
      <c r="AE4" s="1"/>
    </row>
    <row r="5" spans="1:69" x14ac:dyDescent="0.25">
      <c r="A5" t="s">
        <v>24</v>
      </c>
      <c r="C5" t="s">
        <v>35</v>
      </c>
      <c r="F5" t="s">
        <v>44</v>
      </c>
      <c r="N5" s="16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8"/>
    </row>
    <row r="6" spans="1:69" x14ac:dyDescent="0.25">
      <c r="A6" t="s">
        <v>17</v>
      </c>
      <c r="C6" t="str">
        <f>"--"</f>
        <v>--</v>
      </c>
      <c r="F6" s="1" t="s">
        <v>45</v>
      </c>
      <c r="G6" s="1" t="s">
        <v>46</v>
      </c>
      <c r="N6" s="19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1"/>
    </row>
    <row r="7" spans="1:69" x14ac:dyDescent="0.25">
      <c r="A7" t="s">
        <v>25</v>
      </c>
      <c r="F7" s="1">
        <v>0</v>
      </c>
      <c r="G7" s="1">
        <v>0</v>
      </c>
      <c r="N7" s="19"/>
      <c r="O7" s="20" t="s">
        <v>59</v>
      </c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1"/>
    </row>
    <row r="8" spans="1:69" x14ac:dyDescent="0.25">
      <c r="A8" t="s">
        <v>26</v>
      </c>
      <c r="F8" s="1">
        <f>F7+Beam_Analysis!B29</f>
        <v>5</v>
      </c>
      <c r="G8" s="1">
        <v>0</v>
      </c>
      <c r="N8" s="19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1"/>
    </row>
    <row r="9" spans="1:69" ht="15.75" thickBot="1" x14ac:dyDescent="0.3">
      <c r="A9" t="s">
        <v>27</v>
      </c>
      <c r="N9" s="19"/>
      <c r="O9" s="20">
        <f>Beam_Analysis!N29</f>
        <v>5</v>
      </c>
      <c r="P9" s="20"/>
      <c r="Q9" s="20"/>
      <c r="R9" s="20"/>
      <c r="S9" s="22" t="s">
        <v>60</v>
      </c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1"/>
    </row>
    <row r="10" spans="1:69" x14ac:dyDescent="0.25">
      <c r="A10" t="s">
        <v>28</v>
      </c>
      <c r="F10" t="s">
        <v>15</v>
      </c>
      <c r="N10" s="19">
        <f ca="1">OFFSET(AX10,0,(15-(3*$O$9))+$U$17+(5-$O$9))</f>
        <v>-0.9785196450640623</v>
      </c>
      <c r="O10" s="20">
        <f>Beam_Analysis!B22</f>
        <v>5</v>
      </c>
      <c r="P10" s="20" cm="1">
        <f t="array" aca="1" ref="P10:S10" ca="1">center_span(Beam_Analysis!$J$29,O10,Beam_Analysis!$D$3,Beam_Analysis!$D$2,Beam_Analysis!$J$33:$O$72,Beam_Analysis!$G$5:$P$5,0)</f>
        <v>10.416666666666666</v>
      </c>
      <c r="Q10" s="20">
        <f ca="1"/>
        <v>52.083333333333336</v>
      </c>
      <c r="R10" s="20">
        <f ca="1"/>
        <v>-0.14358486341244961</v>
      </c>
      <c r="S10" s="20">
        <f ca="1"/>
        <v>-9.4043887147335425</v>
      </c>
      <c r="T10" s="20">
        <f ca="1">S10*(-1/12)</f>
        <v>0.78369905956112851</v>
      </c>
      <c r="U10" s="20"/>
      <c r="V10" s="20" cm="1">
        <f t="array" ref="V10">point_load(1,O10,Beam_Analysis!$J$29,Beam_Analysis!$D$3,Beam_Analysis!$D$2,$O$10,5)-IF(Beam_Analysis!F22=0,0,(1/(Beam_Analysis!F22*12)))</f>
        <v>-2.8822585460516491E-2</v>
      </c>
      <c r="W10" s="20" cm="1">
        <f t="array" ref="W10">point_load(1,O10,Beam_Analysis!$J$29,Beam_Analysis!$D$3,Beam_Analysis!$D$2,$O$11,5)</f>
        <v>-4.2543663233318402E-2</v>
      </c>
      <c r="X10" s="20" cm="1">
        <f t="array" ref="X10">point_load(1,O10,Beam_Analysis!$J$29,Beam_Analysis!$D$3,Beam_Analysis!$D$2,$O$12,5)</f>
        <v>-4.3663233318405735E-2</v>
      </c>
      <c r="Y10" s="20" cm="1">
        <f t="array" ref="Y10">point_load(1,O10,Beam_Analysis!$J$29,Beam_Analysis!$D$3,Beam_Analysis!$D$2,$O$13,5)</f>
        <v>-3.4706672637707124E-2</v>
      </c>
      <c r="Z10" s="20" cm="1">
        <f t="array" ref="Z10">point_load(1,O10,Beam_Analysis!$J$29,Beam_Analysis!$D$3,Beam_Analysis!$D$2,$O$14,5)</f>
        <v>-1.9032691446484555E-2</v>
      </c>
      <c r="AA10" s="20" cm="1">
        <f t="array" ref="AA10">IF($U$15=0,0,point_load(1,O10,Beam_Analysis!$J$29,Beam_Analysis!$D$3,Beam_Analysis!$D$2,$O$15,4))</f>
        <v>0</v>
      </c>
      <c r="AB10" s="20" cm="1">
        <f t="array" ref="AB10">IF($U$16=0,0,point_load(1,O10,Beam_Analysis!$J$29,Beam_Analysis!$D$3,Beam_Analysis!$D$2,$O$16,4))</f>
        <v>3.9184952978056423E-3</v>
      </c>
      <c r="AC10" s="20"/>
      <c r="AD10" s="20">
        <f>V10</f>
        <v>-2.8822585460516491E-2</v>
      </c>
      <c r="AE10" s="20">
        <f t="shared" ref="AE10:AH10" si="0">W10</f>
        <v>-4.2543663233318402E-2</v>
      </c>
      <c r="AF10" s="20">
        <f t="shared" si="0"/>
        <v>-4.3663233318405735E-2</v>
      </c>
      <c r="AG10" s="20">
        <f t="shared" si="0"/>
        <v>-3.4706672637707124E-2</v>
      </c>
      <c r="AH10" s="20">
        <f t="shared" si="0"/>
        <v>-1.9032691446484555E-2</v>
      </c>
      <c r="AI10" s="20">
        <f>AA10</f>
        <v>0</v>
      </c>
      <c r="AJ10" s="20"/>
      <c r="AK10" s="20">
        <f>V10</f>
        <v>-2.8822585460516491E-2</v>
      </c>
      <c r="AL10" s="20">
        <f t="shared" ref="AL10:AO14" si="1">W10</f>
        <v>-4.2543663233318402E-2</v>
      </c>
      <c r="AM10" s="20">
        <f t="shared" si="1"/>
        <v>-4.3663233318405735E-2</v>
      </c>
      <c r="AN10" s="20">
        <f t="shared" si="1"/>
        <v>-3.4706672637707124E-2</v>
      </c>
      <c r="AO10" s="20">
        <f t="shared" si="1"/>
        <v>-1.9032691446484555E-2</v>
      </c>
      <c r="AP10" s="20">
        <f>AB10</f>
        <v>3.9184952978056423E-3</v>
      </c>
      <c r="AQ10" s="20"/>
      <c r="AR10" s="20">
        <f>V10</f>
        <v>-2.8822585460516491E-2</v>
      </c>
      <c r="AS10" s="20">
        <f t="shared" ref="AS10:AV14" si="2">W10</f>
        <v>-4.2543663233318402E-2</v>
      </c>
      <c r="AT10" s="20">
        <f t="shared" si="2"/>
        <v>-4.3663233318405735E-2</v>
      </c>
      <c r="AU10" s="20">
        <f t="shared" si="2"/>
        <v>-3.4706672637707124E-2</v>
      </c>
      <c r="AV10" s="20">
        <f t="shared" si="2"/>
        <v>-1.9032691446484555E-2</v>
      </c>
      <c r="AW10" s="20"/>
      <c r="AX10" s="16" t="e">
        <f>V26</f>
        <v>#NUM!</v>
      </c>
      <c r="AY10" s="17" t="e">
        <f>AD26</f>
        <v>#NUM!</v>
      </c>
      <c r="AZ10" s="17">
        <f ca="1">AK26</f>
        <v>-0.9785196450640623</v>
      </c>
      <c r="BA10" s="18">
        <f ca="1">AR26</f>
        <v>-0.97801476816847233</v>
      </c>
      <c r="BB10" s="16" t="e">
        <f>V49</f>
        <v>#NUM!</v>
      </c>
      <c r="BC10" s="17" t="e">
        <f>AD49</f>
        <v>#NUM!</v>
      </c>
      <c r="BD10" s="17">
        <f ca="1">AK49</f>
        <v>-0.97447484496842773</v>
      </c>
      <c r="BE10" s="18">
        <f ca="1">AR49</f>
        <v>-0.96821483880622949</v>
      </c>
      <c r="BF10" s="16" t="e">
        <f>V69</f>
        <v>#NUM!</v>
      </c>
      <c r="BG10" s="17" t="e">
        <f>AD69</f>
        <v>#NUM!</v>
      </c>
      <c r="BH10" s="17">
        <f ca="1">AK69</f>
        <v>-1.4312389357930435</v>
      </c>
      <c r="BI10" s="18">
        <f ca="1">AR69</f>
        <v>-1.7816361105988108</v>
      </c>
      <c r="BJ10" s="16" t="e">
        <f>V86</f>
        <v>#NUM!</v>
      </c>
      <c r="BK10" s="17" t="e">
        <f>AD86</f>
        <v>#NUM!</v>
      </c>
      <c r="BL10" s="17">
        <f ca="1">AK86</f>
        <v>4.1539965247610375</v>
      </c>
      <c r="BM10" s="18">
        <f ca="1">AR86</f>
        <v>7.660677806296178</v>
      </c>
      <c r="BN10" s="17" t="e">
        <f>V100</f>
        <v>#NUM!</v>
      </c>
      <c r="BO10" s="17" t="e">
        <f>AD100</f>
        <v>#NUM!</v>
      </c>
      <c r="BP10" s="17">
        <f ca="1">AK100</f>
        <v>-19.035655696757374</v>
      </c>
      <c r="BQ10" s="18">
        <f ca="1">AR100</f>
        <v>-27.190449678246349</v>
      </c>
    </row>
    <row r="11" spans="1:69" x14ac:dyDescent="0.25">
      <c r="A11" t="s">
        <v>29</v>
      </c>
      <c r="N11" s="19">
        <f ca="1">OFFSET(AX11,0,(15-(3*$O$9))+$U$17+(5-$O$9))</f>
        <v>-7.0291446537184399</v>
      </c>
      <c r="O11" s="20">
        <f>Beam_Analysis!B23</f>
        <v>10</v>
      </c>
      <c r="P11" s="20" cm="1">
        <f t="array" aca="1" ref="P11:S11" ca="1">center_span(Beam_Analysis!$J$29,O11,Beam_Analysis!$D$3,Beam_Analysis!$D$2,Beam_Analysis!$J$33:$O$72,Beam_Analysis!$G$5:$P$5,0)</f>
        <v>5.416666666666667</v>
      </c>
      <c r="Q11" s="20">
        <f ca="1"/>
        <v>91.666666666666671</v>
      </c>
      <c r="R11" s="20">
        <f ca="1"/>
        <v>-8.3967756381549477E-2</v>
      </c>
      <c r="S11" s="20">
        <f ca="1"/>
        <v>-16.390506045678457</v>
      </c>
      <c r="T11" s="20">
        <f t="shared" ref="T11:T14" ca="1" si="3">S11*(-1/12)</f>
        <v>1.365875503806538</v>
      </c>
      <c r="U11" s="20"/>
      <c r="V11" s="20" cm="1">
        <f t="array" ref="V11">point_load(1,O11,Beam_Analysis!$J$29,Beam_Analysis!$D$3,Beam_Analysis!$D$2,$O$10,5)</f>
        <v>-4.2543663233318395E-2</v>
      </c>
      <c r="W11" s="20" cm="1">
        <f t="array" ref="W11">point_load(1,O11,Beam_Analysis!$J$29,Beam_Analysis!$D$3,Beam_Analysis!$D$2,$O$11,5)-IF(Beam_Analysis!F23=0,0,(1/(Beam_Analysis!F23*12)))</f>
        <v>-7.1652485445588873E-2</v>
      </c>
      <c r="X11" s="20" cm="1">
        <f t="array" ref="X11">point_load(1,O11,Beam_Analysis!$J$29,Beam_Analysis!$D$3,Beam_Analysis!$D$2,$O$12,5)</f>
        <v>-7.7250335871025505E-2</v>
      </c>
      <c r="Y11" s="20" cm="1">
        <f t="array" ref="Y11">point_load(1,O11,Beam_Analysis!$J$29,Beam_Analysis!$D$3,Beam_Analysis!$D$2,$O$13,5)</f>
        <v>-6.2695924764890248E-2</v>
      </c>
      <c r="Z11" s="20" cm="1">
        <f t="array" ref="Z11">point_load(1,O11,Beam_Analysis!$J$29,Beam_Analysis!$D$3,Beam_Analysis!$D$2,$O$14,5)</f>
        <v>-3.4706672637707089E-2</v>
      </c>
      <c r="AA11" s="20" cm="1">
        <f t="array" ref="AA11">IF($U$15=0,0,point_load(1,O11,Beam_Analysis!$J$29,Beam_Analysis!$D$3,Beam_Analysis!$D$2,$O$15,4))</f>
        <v>0</v>
      </c>
      <c r="AB11" s="20" cm="1">
        <f t="array" ref="AB11">IF($U$16=0,0,point_load(1,O11,Beam_Analysis!$J$29,Beam_Analysis!$D$3,Beam_Analysis!$D$2,$O$16,4))</f>
        <v>7.1652485445588901E-3</v>
      </c>
      <c r="AC11" s="20"/>
      <c r="AD11" s="20">
        <f t="shared" ref="AD11:AD15" si="4">V11</f>
        <v>-4.2543663233318395E-2</v>
      </c>
      <c r="AE11" s="20">
        <f t="shared" ref="AE11:AE15" si="5">W11</f>
        <v>-7.1652485445588873E-2</v>
      </c>
      <c r="AF11" s="20">
        <f t="shared" ref="AF11:AF15" si="6">X11</f>
        <v>-7.7250335871025505E-2</v>
      </c>
      <c r="AG11" s="20">
        <f t="shared" ref="AG11:AG15" si="7">Y11</f>
        <v>-6.2695924764890248E-2</v>
      </c>
      <c r="AH11" s="20">
        <f t="shared" ref="AH11:AH15" si="8">Z11</f>
        <v>-3.4706672637707089E-2</v>
      </c>
      <c r="AI11" s="20">
        <f t="shared" ref="AI11:AI15" si="9">AA11</f>
        <v>0</v>
      </c>
      <c r="AJ11" s="20"/>
      <c r="AK11" s="20">
        <f t="shared" ref="AK11:AK14" si="10">V11</f>
        <v>-4.2543663233318395E-2</v>
      </c>
      <c r="AL11" s="20">
        <f t="shared" si="1"/>
        <v>-7.1652485445588873E-2</v>
      </c>
      <c r="AM11" s="20">
        <f t="shared" si="1"/>
        <v>-7.7250335871025505E-2</v>
      </c>
      <c r="AN11" s="20">
        <f t="shared" si="1"/>
        <v>-6.2695924764890248E-2</v>
      </c>
      <c r="AO11" s="20">
        <f t="shared" si="1"/>
        <v>-3.4706672637707089E-2</v>
      </c>
      <c r="AP11" s="20">
        <f t="shared" ref="AP11:AP14" si="11">AB11</f>
        <v>7.1652485445588901E-3</v>
      </c>
      <c r="AQ11" s="20"/>
      <c r="AR11" s="20">
        <f t="shared" ref="AR11:AR14" si="12">V11</f>
        <v>-4.2543663233318395E-2</v>
      </c>
      <c r="AS11" s="20">
        <f t="shared" si="2"/>
        <v>-7.1652485445588873E-2</v>
      </c>
      <c r="AT11" s="20">
        <f t="shared" si="2"/>
        <v>-7.7250335871025505E-2</v>
      </c>
      <c r="AU11" s="20">
        <f t="shared" si="2"/>
        <v>-6.2695924764890248E-2</v>
      </c>
      <c r="AV11" s="20">
        <f t="shared" si="2"/>
        <v>-3.4706672637707089E-2</v>
      </c>
      <c r="AW11" s="20"/>
      <c r="AX11" s="19" t="e">
        <f>V27</f>
        <v>#NUM!</v>
      </c>
      <c r="AY11" s="20" t="e">
        <f>AD27</f>
        <v>#NUM!</v>
      </c>
      <c r="AZ11" s="20">
        <f ca="1">AK27</f>
        <v>-7.0291446537184399</v>
      </c>
      <c r="BA11" s="21">
        <f ca="1">AR27</f>
        <v>-7.0389798025611707</v>
      </c>
      <c r="BB11" s="19" t="e">
        <f>V50</f>
        <v>#NUM!</v>
      </c>
      <c r="BC11" s="20" t="e">
        <f>AD50</f>
        <v>#NUM!</v>
      </c>
      <c r="BD11" s="20">
        <f ca="1">AK50</f>
        <v>-7.107938536594621</v>
      </c>
      <c r="BE11" s="21">
        <f ca="1">AR50</f>
        <v>-7.2298852782942333</v>
      </c>
      <c r="BF11" s="19" t="e">
        <f>V70</f>
        <v>#NUM!</v>
      </c>
      <c r="BG11" s="20" t="e">
        <f>AD70</f>
        <v>#NUM!</v>
      </c>
      <c r="BH11" s="20">
        <f ca="1">AK70</f>
        <v>-3.8077835823622053</v>
      </c>
      <c r="BI11" s="21">
        <f ca="1">AR70</f>
        <v>-1.5520585406363807</v>
      </c>
      <c r="BJ11" s="19" t="e">
        <f>V87</f>
        <v>#NUM!</v>
      </c>
      <c r="BK11" s="20" t="e">
        <f>AD87</f>
        <v>#NUM!</v>
      </c>
      <c r="BL11" s="20">
        <f ca="1">AK87</f>
        <v>-17.809710306255418</v>
      </c>
      <c r="BM11" s="21">
        <f ca="1">AR87</f>
        <v>-23.61102744748834</v>
      </c>
      <c r="BN11" s="20">
        <v>0</v>
      </c>
      <c r="BO11" s="20">
        <v>0</v>
      </c>
      <c r="BP11" s="20">
        <v>0</v>
      </c>
      <c r="BQ11" s="21">
        <v>0</v>
      </c>
    </row>
    <row r="12" spans="1:69" x14ac:dyDescent="0.25">
      <c r="A12" t="str">
        <f>"--"</f>
        <v>--</v>
      </c>
      <c r="F12">
        <f>F8</f>
        <v>5</v>
      </c>
      <c r="G12">
        <f>G8</f>
        <v>0</v>
      </c>
      <c r="N12" s="19">
        <f ca="1">OFFSET(AX12,0,(15-(3*$O$9))+$U$17+(5-$O$9))</f>
        <v>-3.2475032620810032</v>
      </c>
      <c r="O12" s="20">
        <f>Beam_Analysis!B24</f>
        <v>15</v>
      </c>
      <c r="P12" s="20" cm="1">
        <f t="array" aca="1" ref="P12:S12" ca="1">center_span(Beam_Analysis!$J$29,O12,Beam_Analysis!$D$3,Beam_Analysis!$D$2,Beam_Analysis!$J$33:$O$72,Beam_Analysis!$G$5:$P$5,0)</f>
        <v>0.41666666666666669</v>
      </c>
      <c r="Q12" s="20">
        <f ca="1"/>
        <v>106.25</v>
      </c>
      <c r="R12" s="20">
        <f ca="1"/>
        <v>-2.5190326914464843E-3</v>
      </c>
      <c r="S12" s="20">
        <f ca="1"/>
        <v>-19.043887147335422</v>
      </c>
      <c r="T12" s="20">
        <f t="shared" ca="1" si="3"/>
        <v>1.5869905956112851</v>
      </c>
      <c r="U12" s="20"/>
      <c r="V12" s="20" cm="1">
        <f t="array" ref="V12">point_load(1,O12,Beam_Analysis!$J$29,Beam_Analysis!$D$3,Beam_Analysis!$D$2,$O$10,5)</f>
        <v>-4.3663233318405728E-2</v>
      </c>
      <c r="W12" s="20" cm="1">
        <f t="array" ref="W12">point_load(1,O12,Beam_Analysis!$J$29,Beam_Analysis!$D$3,Beam_Analysis!$D$2,$O$11,5)</f>
        <v>-7.7250335871025519E-2</v>
      </c>
      <c r="X12" s="20" cm="1">
        <f t="array" ref="X12">point_load(1,O12,Beam_Analysis!$J$29,Beam_Analysis!$D$3,Beam_Analysis!$D$2,$O$12,5)-IF(Beam_Analysis!F24=0,0,(1/(Beam_Analysis!F24*12)))</f>
        <v>-9.103978682115145E-2</v>
      </c>
      <c r="Y12" s="20" cm="1">
        <f t="array" ref="Y12">point_load(1,O12,Beam_Analysis!$J$29,Beam_Analysis!$D$3,Beam_Analysis!$D$2,$O$13,5)</f>
        <v>-7.7250335871025519E-2</v>
      </c>
      <c r="Z12" s="20" cm="1">
        <f t="array" ref="Z12">point_load(1,O12,Beam_Analysis!$J$29,Beam_Analysis!$D$3,Beam_Analysis!$D$2,$O$14,5)</f>
        <v>-4.3663233318405728E-2</v>
      </c>
      <c r="AA12" s="20" cm="1">
        <f t="array" ref="AA12">IF($U$15=0,0,point_load(1,O12,Beam_Analysis!$J$29,Beam_Analysis!$D$3,Beam_Analysis!$D$2,$O$15,4))</f>
        <v>0</v>
      </c>
      <c r="AB12" s="20" cm="1">
        <f t="array" ref="AB12">IF($U$16=0,0,point_load(1,O12,Beam_Analysis!$J$29,Beam_Analysis!$D$3,Beam_Analysis!$D$2,$O$16,4))</f>
        <v>9.0685176892073439E-3</v>
      </c>
      <c r="AC12" s="20"/>
      <c r="AD12" s="20">
        <f t="shared" si="4"/>
        <v>-4.3663233318405728E-2</v>
      </c>
      <c r="AE12" s="20">
        <f t="shared" si="5"/>
        <v>-7.7250335871025519E-2</v>
      </c>
      <c r="AF12" s="20">
        <f t="shared" si="6"/>
        <v>-9.103978682115145E-2</v>
      </c>
      <c r="AG12" s="20">
        <f t="shared" si="7"/>
        <v>-7.7250335871025519E-2</v>
      </c>
      <c r="AH12" s="20">
        <f t="shared" si="8"/>
        <v>-4.3663233318405728E-2</v>
      </c>
      <c r="AI12" s="20">
        <f t="shared" si="9"/>
        <v>0</v>
      </c>
      <c r="AJ12" s="20"/>
      <c r="AK12" s="20">
        <f t="shared" si="10"/>
        <v>-4.3663233318405728E-2</v>
      </c>
      <c r="AL12" s="20">
        <f t="shared" si="1"/>
        <v>-7.7250335871025519E-2</v>
      </c>
      <c r="AM12" s="20">
        <f t="shared" si="1"/>
        <v>-9.103978682115145E-2</v>
      </c>
      <c r="AN12" s="20">
        <f t="shared" si="1"/>
        <v>-7.7250335871025519E-2</v>
      </c>
      <c r="AO12" s="20">
        <f t="shared" si="1"/>
        <v>-4.3663233318405728E-2</v>
      </c>
      <c r="AP12" s="20">
        <f t="shared" si="11"/>
        <v>9.0685176892073439E-3</v>
      </c>
      <c r="AQ12" s="20"/>
      <c r="AR12" s="20">
        <f t="shared" si="12"/>
        <v>-4.3663233318405728E-2</v>
      </c>
      <c r="AS12" s="20">
        <f t="shared" si="2"/>
        <v>-7.7250335871025519E-2</v>
      </c>
      <c r="AT12" s="20">
        <f t="shared" si="2"/>
        <v>-9.103978682115145E-2</v>
      </c>
      <c r="AU12" s="20">
        <f t="shared" si="2"/>
        <v>-7.7250335871025519E-2</v>
      </c>
      <c r="AV12" s="20">
        <f t="shared" si="2"/>
        <v>-4.3663233318405728E-2</v>
      </c>
      <c r="AW12" s="20"/>
      <c r="AX12" s="19" t="e">
        <f>V28</f>
        <v>#NUM!</v>
      </c>
      <c r="AY12" s="20" t="e">
        <f t="shared" ref="AY12:AY16" si="13">AD28</f>
        <v>#NUM!</v>
      </c>
      <c r="AZ12" s="20">
        <f t="shared" ref="AZ12:AZ14" ca="1" si="14">AK28</f>
        <v>-3.2475032620810032</v>
      </c>
      <c r="BA12" s="21">
        <f t="shared" ref="BA12:BA16" ca="1" si="15">AR28</f>
        <v>-3.1794092276427506</v>
      </c>
      <c r="BB12" s="19" t="e">
        <f t="shared" ref="BB12:BB13" si="16">V51</f>
        <v>#NUM!</v>
      </c>
      <c r="BC12" s="20" t="e">
        <f t="shared" ref="BC12:BC13" si="17">AD51</f>
        <v>#NUM!</v>
      </c>
      <c r="BD12" s="20">
        <f t="shared" ref="BD12:BD13" ca="1" si="18">AK51</f>
        <v>-2.7019707582165609</v>
      </c>
      <c r="BE12" s="21">
        <f t="shared" ref="BE12:BE13" ca="1" si="19">AR51</f>
        <v>-1.8576677627326603</v>
      </c>
      <c r="BF12" s="19" t="e">
        <f>V71</f>
        <v>#NUM!</v>
      </c>
      <c r="BG12" s="20" t="e">
        <f>AD71</f>
        <v>#NUM!</v>
      </c>
      <c r="BH12" s="20">
        <f ca="1">AK71</f>
        <v>-11.287538682201614</v>
      </c>
      <c r="BI12" s="21">
        <f ca="1">AR71</f>
        <v>-15.260377988355117</v>
      </c>
      <c r="BJ12" s="19">
        <v>0</v>
      </c>
      <c r="BK12" s="20">
        <v>0</v>
      </c>
      <c r="BL12" s="20">
        <v>0</v>
      </c>
      <c r="BM12" s="21">
        <v>0</v>
      </c>
      <c r="BN12" s="20">
        <v>0</v>
      </c>
      <c r="BO12" s="20">
        <v>0</v>
      </c>
      <c r="BP12" s="20">
        <v>0</v>
      </c>
      <c r="BQ12" s="21">
        <v>0</v>
      </c>
    </row>
    <row r="13" spans="1:69" x14ac:dyDescent="0.25">
      <c r="F13">
        <f>F12+Beam_Analysis!J29</f>
        <v>35</v>
      </c>
      <c r="G13">
        <v>0</v>
      </c>
      <c r="N13" s="19">
        <f ca="1">OFFSET(AX13,0,(15-(3*$O$9))+$U$17+(5-$O$9))</f>
        <v>-7.0260076186586904</v>
      </c>
      <c r="O13" s="20">
        <f>Beam_Analysis!B25</f>
        <v>20</v>
      </c>
      <c r="P13" s="20" cm="1">
        <f t="array" aca="1" ref="P13:S13" ca="1">center_span(Beam_Analysis!$J$29,O13,Beam_Analysis!$D$3,Beam_Analysis!$D$2,Beam_Analysis!$J$33:$O$72,Beam_Analysis!$G$5:$P$5,0)</f>
        <v>-4.583333333333333</v>
      </c>
      <c r="Q13" s="20">
        <f ca="1"/>
        <v>95.833333333333329</v>
      </c>
      <c r="R13" s="20">
        <f ca="1"/>
        <v>8.0609046126287498E-2</v>
      </c>
      <c r="S13" s="20">
        <f ca="1"/>
        <v>-16.659202866099417</v>
      </c>
      <c r="T13" s="20">
        <f t="shared" ca="1" si="3"/>
        <v>1.3882669055082846</v>
      </c>
      <c r="U13" s="20"/>
      <c r="V13" s="20" cm="1">
        <f t="array" ref="V13">point_load(1,O13,Beam_Analysis!$J$29,Beam_Analysis!$D$3,Beam_Analysis!$D$2,$O$10,5)</f>
        <v>-3.4706672637707117E-2</v>
      </c>
      <c r="W13" s="20" cm="1">
        <f t="array" ref="W13">point_load(1,O13,Beam_Analysis!$J$29,Beam_Analysis!$D$3,Beam_Analysis!$D$2,$O$11,5)</f>
        <v>-6.2695924764890276E-2</v>
      </c>
      <c r="X13" s="20" cm="1">
        <f t="array" ref="X13">point_load(1,O13,Beam_Analysis!$J$29,Beam_Analysis!$D$3,Beam_Analysis!$D$2,$O$12,5)</f>
        <v>-7.7250335871025519E-2</v>
      </c>
      <c r="Y13" s="20" cm="1">
        <f t="array" ref="Y13">point_load(1,O13,Beam_Analysis!$J$29,Beam_Analysis!$D$3,Beam_Analysis!$D$2,$O$13,5)-IF(Beam_Analysis!F25=0,0,(1/(Beam_Analysis!F25*12)))</f>
        <v>-7.1652485445588887E-2</v>
      </c>
      <c r="Z13" s="20" cm="1">
        <f t="array" ref="Z13">point_load(1,O13,Beam_Analysis!$J$29,Beam_Analysis!$D$3,Beam_Analysis!$D$2,$O$14,5)</f>
        <v>-4.2543663233318395E-2</v>
      </c>
      <c r="AA13" s="20" cm="1">
        <f t="array" ref="AA13">IF($U$15=0,0,point_load(1,O13,Beam_Analysis!$J$29,Beam_Analysis!$D$3,Beam_Analysis!$D$2,$O$15,4))</f>
        <v>0</v>
      </c>
      <c r="AB13" s="20" cm="1">
        <f t="array" ref="AB13">IF($U$16=0,0,point_load(1,O13,Beam_Analysis!$J$29,Beam_Analysis!$D$3,Beam_Analysis!$D$2,$O$16,4))</f>
        <v>8.9565606806986109E-3</v>
      </c>
      <c r="AC13" s="20"/>
      <c r="AD13" s="20">
        <f t="shared" si="4"/>
        <v>-3.4706672637707117E-2</v>
      </c>
      <c r="AE13" s="20">
        <f t="shared" si="5"/>
        <v>-6.2695924764890276E-2</v>
      </c>
      <c r="AF13" s="20">
        <f t="shared" si="6"/>
        <v>-7.7250335871025519E-2</v>
      </c>
      <c r="AG13" s="20">
        <f t="shared" si="7"/>
        <v>-7.1652485445588887E-2</v>
      </c>
      <c r="AH13" s="20">
        <f t="shared" si="8"/>
        <v>-4.2543663233318395E-2</v>
      </c>
      <c r="AI13" s="20">
        <f t="shared" si="9"/>
        <v>0</v>
      </c>
      <c r="AJ13" s="20"/>
      <c r="AK13" s="20">
        <f t="shared" si="10"/>
        <v>-3.4706672637707117E-2</v>
      </c>
      <c r="AL13" s="20">
        <f t="shared" si="1"/>
        <v>-6.2695924764890276E-2</v>
      </c>
      <c r="AM13" s="20">
        <f t="shared" si="1"/>
        <v>-7.7250335871025519E-2</v>
      </c>
      <c r="AN13" s="20">
        <f t="shared" si="1"/>
        <v>-7.1652485445588887E-2</v>
      </c>
      <c r="AO13" s="20">
        <f t="shared" si="1"/>
        <v>-4.2543663233318395E-2</v>
      </c>
      <c r="AP13" s="20">
        <f t="shared" si="11"/>
        <v>8.9565606806986109E-3</v>
      </c>
      <c r="AQ13" s="20"/>
      <c r="AR13" s="20">
        <f t="shared" si="12"/>
        <v>-3.4706672637707117E-2</v>
      </c>
      <c r="AS13" s="20">
        <f t="shared" si="2"/>
        <v>-6.2695924764890276E-2</v>
      </c>
      <c r="AT13" s="20">
        <f t="shared" si="2"/>
        <v>-7.7250335871025519E-2</v>
      </c>
      <c r="AU13" s="20">
        <f t="shared" si="2"/>
        <v>-7.1652485445588887E-2</v>
      </c>
      <c r="AV13" s="20">
        <f t="shared" si="2"/>
        <v>-4.2543663233318395E-2</v>
      </c>
      <c r="AW13" s="20"/>
      <c r="AX13" s="19" t="e">
        <f t="shared" ref="AX13:AX16" si="20">V29</f>
        <v>#NUM!</v>
      </c>
      <c r="AY13" s="20" t="e">
        <f t="shared" si="13"/>
        <v>#NUM!</v>
      </c>
      <c r="AZ13" s="20">
        <f t="shared" ca="1" si="14"/>
        <v>-7.0260076186586904</v>
      </c>
      <c r="BA13" s="21">
        <f t="shared" ca="1" si="15"/>
        <v>-7.0335713016711452</v>
      </c>
      <c r="BB13" s="19" t="e">
        <f t="shared" si="16"/>
        <v>#NUM!</v>
      </c>
      <c r="BC13" s="20" t="e">
        <f t="shared" si="17"/>
        <v>#NUM!</v>
      </c>
      <c r="BD13" s="20">
        <f t="shared" ca="1" si="18"/>
        <v>-8.6202741000858651</v>
      </c>
      <c r="BE13" s="21">
        <f t="shared" ca="1" si="19"/>
        <v>-10.577073262249655</v>
      </c>
      <c r="BF13" s="19">
        <v>0</v>
      </c>
      <c r="BG13" s="20">
        <v>0</v>
      </c>
      <c r="BH13" s="20">
        <v>0</v>
      </c>
      <c r="BI13" s="21">
        <v>0</v>
      </c>
      <c r="BJ13" s="19">
        <v>0</v>
      </c>
      <c r="BK13" s="20">
        <v>0</v>
      </c>
      <c r="BL13" s="20">
        <v>0</v>
      </c>
      <c r="BM13" s="21">
        <v>0</v>
      </c>
      <c r="BN13" s="20">
        <v>0</v>
      </c>
      <c r="BO13" s="20">
        <v>0</v>
      </c>
      <c r="BP13" s="20">
        <v>0</v>
      </c>
      <c r="BQ13" s="21">
        <v>0</v>
      </c>
    </row>
    <row r="14" spans="1:69" x14ac:dyDescent="0.25">
      <c r="N14" s="19">
        <f ca="1">OFFSET(AX14,0,(15-(3*$O$9))+$U$17+(5-$O$9))</f>
        <v>-2.6393029124738803</v>
      </c>
      <c r="O14" s="20">
        <f>Beam_Analysis!B26</f>
        <v>25</v>
      </c>
      <c r="P14" s="20" cm="1">
        <f t="array" aca="1" ref="P14:S14" ca="1">center_span(Beam_Analysis!$J$29,O14,Beam_Analysis!$D$3,Beam_Analysis!$D$2,Beam_Analysis!$J$33:$O$72,Beam_Analysis!$G$5:$P$5,0)</f>
        <v>-9.5833333333333339</v>
      </c>
      <c r="Q14" s="20">
        <f ca="1"/>
        <v>60.416666666666664</v>
      </c>
      <c r="R14" s="20">
        <f ca="1"/>
        <v>0.14526421854008059</v>
      </c>
      <c r="S14" s="20">
        <f ca="1"/>
        <v>-9.7402597402597397</v>
      </c>
      <c r="T14" s="20">
        <f t="shared" ca="1" si="3"/>
        <v>0.81168831168831157</v>
      </c>
      <c r="U14" s="20"/>
      <c r="V14" s="20" cm="1">
        <f t="array" ref="V14">point_load(1,O14,Beam_Analysis!$J$29,Beam_Analysis!$D$3,Beam_Analysis!$D$2,$O$10,5)</f>
        <v>-1.9032691446484569E-2</v>
      </c>
      <c r="W14" s="20" cm="1">
        <f t="array" ref="W14">point_load(1,O14,Beam_Analysis!$J$29,Beam_Analysis!$D$3,Beam_Analysis!$D$2,$O$11,5)</f>
        <v>-3.4706672637707159E-2</v>
      </c>
      <c r="X14" s="20" cm="1">
        <f t="array" ref="X14">point_load(1,O14,Beam_Analysis!$J$29,Beam_Analysis!$D$3,Beam_Analysis!$D$2,$O$12,5)</f>
        <v>-4.3663233318405797E-2</v>
      </c>
      <c r="Y14" s="20" cm="1">
        <f t="array" ref="Y14">point_load(1,O14,Beam_Analysis!$J$29,Beam_Analysis!$D$3,Beam_Analysis!$D$2,$O$13,5)</f>
        <v>-4.2543663233318492E-2</v>
      </c>
      <c r="Z14" s="20" cm="1">
        <f t="array" ref="Z14">point_load(1,O14,Beam_Analysis!$J$29,Beam_Analysis!$D$3,Beam_Analysis!$D$2,$O$14,5)-IF(Beam_Analysis!F26=0,0,(1/(Beam_Analysis!F26*12)))</f>
        <v>-2.8822585460516602E-2</v>
      </c>
      <c r="AA14" s="20" cm="1">
        <f t="array" ref="AA14">IF($U$15=0,0,point_load(1,O14,Beam_Analysis!$J$29,Beam_Analysis!$D$3,Beam_Analysis!$D$2,$O$15,4))</f>
        <v>0</v>
      </c>
      <c r="AB14" s="20" cm="1">
        <f t="array" ref="AB14">IF($U$16=0,0,point_load(1,O14,Beam_Analysis!$J$29,Beam_Analysis!$D$3,Beam_Analysis!$D$2,$O$16,4))</f>
        <v>6.1576354679802906E-3</v>
      </c>
      <c r="AC14" s="20"/>
      <c r="AD14" s="20">
        <f t="shared" si="4"/>
        <v>-1.9032691446484569E-2</v>
      </c>
      <c r="AE14" s="20">
        <f t="shared" si="5"/>
        <v>-3.4706672637707159E-2</v>
      </c>
      <c r="AF14" s="20">
        <f t="shared" si="6"/>
        <v>-4.3663233318405797E-2</v>
      </c>
      <c r="AG14" s="20">
        <f t="shared" si="7"/>
        <v>-4.2543663233318492E-2</v>
      </c>
      <c r="AH14" s="20">
        <f t="shared" si="8"/>
        <v>-2.8822585460516602E-2</v>
      </c>
      <c r="AI14" s="20">
        <f t="shared" si="9"/>
        <v>0</v>
      </c>
      <c r="AJ14" s="20"/>
      <c r="AK14" s="20">
        <f t="shared" si="10"/>
        <v>-1.9032691446484569E-2</v>
      </c>
      <c r="AL14" s="20">
        <f t="shared" si="1"/>
        <v>-3.4706672637707159E-2</v>
      </c>
      <c r="AM14" s="20">
        <f t="shared" si="1"/>
        <v>-4.3663233318405797E-2</v>
      </c>
      <c r="AN14" s="20">
        <f t="shared" si="1"/>
        <v>-4.2543663233318492E-2</v>
      </c>
      <c r="AO14" s="20">
        <f t="shared" si="1"/>
        <v>-2.8822585460516602E-2</v>
      </c>
      <c r="AP14" s="20">
        <f t="shared" si="11"/>
        <v>6.1576354679802906E-3</v>
      </c>
      <c r="AQ14" s="20"/>
      <c r="AR14" s="20">
        <f t="shared" si="12"/>
        <v>-1.9032691446484569E-2</v>
      </c>
      <c r="AS14" s="20">
        <f t="shared" si="2"/>
        <v>-3.4706672637707159E-2</v>
      </c>
      <c r="AT14" s="20">
        <f t="shared" si="2"/>
        <v>-4.3663233318405797E-2</v>
      </c>
      <c r="AU14" s="20">
        <f t="shared" si="2"/>
        <v>-4.2543663233318492E-2</v>
      </c>
      <c r="AV14" s="20">
        <f t="shared" si="2"/>
        <v>-2.8822585460516602E-2</v>
      </c>
      <c r="AW14" s="20"/>
      <c r="AX14" s="19" t="e">
        <f t="shared" si="20"/>
        <v>#NUM!</v>
      </c>
      <c r="AY14" s="20" t="e">
        <f t="shared" si="13"/>
        <v>#NUM!</v>
      </c>
      <c r="AZ14" s="20">
        <f t="shared" ca="1" si="14"/>
        <v>-2.6393029124738803</v>
      </c>
      <c r="BA14" s="21">
        <f t="shared" ca="1" si="15"/>
        <v>-3.8413387691854268</v>
      </c>
      <c r="BB14" s="19">
        <v>0</v>
      </c>
      <c r="BC14" s="20">
        <v>0</v>
      </c>
      <c r="BD14" s="20">
        <v>0</v>
      </c>
      <c r="BE14" s="21">
        <v>0</v>
      </c>
      <c r="BF14" s="19">
        <v>0</v>
      </c>
      <c r="BG14" s="20">
        <v>0</v>
      </c>
      <c r="BH14" s="20">
        <v>0</v>
      </c>
      <c r="BI14" s="21">
        <v>0</v>
      </c>
      <c r="BJ14" s="19">
        <v>0</v>
      </c>
      <c r="BK14" s="20">
        <v>0</v>
      </c>
      <c r="BL14" s="20">
        <v>0</v>
      </c>
      <c r="BM14" s="21">
        <v>0</v>
      </c>
      <c r="BN14" s="20">
        <v>0</v>
      </c>
      <c r="BO14" s="20">
        <v>0</v>
      </c>
      <c r="BP14" s="20">
        <v>0</v>
      </c>
      <c r="BQ14" s="21">
        <v>0</v>
      </c>
    </row>
    <row r="15" spans="1:69" x14ac:dyDescent="0.25">
      <c r="F15" t="s">
        <v>44</v>
      </c>
      <c r="N15" s="19">
        <f ca="1">IF(AND(O9=0,U15=1,U16=1),Q25,IF(AND(O9=0,U15=1,U16=0),Q28,IF(AND(O9=0,U15=0),0,OFFSET(AX15,0,(15-(3*$O$9))+$U$17+(5-$O$9)))))</f>
        <v>0</v>
      </c>
      <c r="O15" s="20">
        <v>0</v>
      </c>
      <c r="P15" s="20" cm="1">
        <f t="array" aca="1" ref="P15:S15" ca="1">center_span(Beam_Analysis!$J$29,O15,Beam_Analysis!$D$3,Beam_Analysis!$D$2,Beam_Analysis!$J$33:$O$72,Beam_Analysis!$G$5:$P$5,0)</f>
        <v>15.416666666666666</v>
      </c>
      <c r="Q15" s="20">
        <f ca="1"/>
        <v>-12.5</v>
      </c>
      <c r="R15" s="20">
        <f ca="1"/>
        <v>-0.161218092252575</v>
      </c>
      <c r="S15" s="20">
        <f ca="1"/>
        <v>0</v>
      </c>
      <c r="T15" s="20">
        <f ca="1">-1*R15</f>
        <v>0.161218092252575</v>
      </c>
      <c r="U15" s="20">
        <f>Beam_Analysis!N27</f>
        <v>0</v>
      </c>
      <c r="V15" s="20" cm="1">
        <f t="array" ref="V15">point_moment(U15,O15,Beam_Analysis!$J$29,Beam_Analysis!$D$3,Beam_Analysis!$D$2,$O$10,5)</f>
        <v>0</v>
      </c>
      <c r="W15" s="20" cm="1">
        <f t="array" ref="W15">point_moment(U15,O15,Beam_Analysis!$J$29,Beam_Analysis!$D$3,Beam_Analysis!$D$2,$O$11,5)</f>
        <v>0</v>
      </c>
      <c r="X15" s="20" cm="1">
        <f t="array" ref="X15">point_moment(U15,O15,Beam_Analysis!$J$29,Beam_Analysis!$D$3,Beam_Analysis!$D$2,$O$12,5)</f>
        <v>0</v>
      </c>
      <c r="Y15" s="20" cm="1">
        <f t="array" ref="Y15">point_moment(U15,O15,Beam_Analysis!$J$29,Beam_Analysis!$D$3,Beam_Analysis!$D$2,$O$13,5)</f>
        <v>0</v>
      </c>
      <c r="Z15" s="20" cm="1">
        <f t="array" ref="Z15">point_moment(U15,O15,Beam_Analysis!$J$29,Beam_Analysis!$D$3,Beam_Analysis!$D$2,$O$14,5)</f>
        <v>0</v>
      </c>
      <c r="AA15" s="20" cm="1">
        <f t="array" ref="AA15">point_moment(U15,O15,Beam_Analysis!$J$29,Beam_Analysis!$D$3,Beam_Analysis!$D$2,$O$15,4)</f>
        <v>0</v>
      </c>
      <c r="AB15" s="20" cm="1">
        <f t="array" ref="AB15">IF(U16=0,0,point_moment(U15,O15,Beam_Analysis!$J$29,Beam_Analysis!$D$3,Beam_Analysis!$D$2,$O$16,4))</f>
        <v>0</v>
      </c>
      <c r="AC15" s="20"/>
      <c r="AD15" s="20">
        <f t="shared" si="4"/>
        <v>0</v>
      </c>
      <c r="AE15" s="20">
        <f t="shared" si="5"/>
        <v>0</v>
      </c>
      <c r="AF15" s="20">
        <f t="shared" si="6"/>
        <v>0</v>
      </c>
      <c r="AG15" s="20">
        <f t="shared" si="7"/>
        <v>0</v>
      </c>
      <c r="AH15" s="20">
        <f t="shared" si="8"/>
        <v>0</v>
      </c>
      <c r="AI15" s="20">
        <f t="shared" si="9"/>
        <v>0</v>
      </c>
      <c r="AJ15" s="20"/>
      <c r="AK15" s="20">
        <f>V16</f>
        <v>3.9184952978056423E-3</v>
      </c>
      <c r="AL15" s="20">
        <f t="shared" ref="AL15:AO15" si="21">W16</f>
        <v>7.1652485445588892E-3</v>
      </c>
      <c r="AM15" s="20">
        <f t="shared" si="21"/>
        <v>9.0685176892073439E-3</v>
      </c>
      <c r="AN15" s="20">
        <f t="shared" si="21"/>
        <v>8.9565606806986109E-3</v>
      </c>
      <c r="AO15" s="20">
        <f t="shared" si="21"/>
        <v>6.1576354679802959E-3</v>
      </c>
      <c r="AP15" s="20">
        <f>AB16</f>
        <v>-1.61218092252575E-3</v>
      </c>
      <c r="AQ15" s="20"/>
      <c r="AR15" s="20"/>
      <c r="AS15" s="20"/>
      <c r="AT15" s="20"/>
      <c r="AU15" s="20"/>
      <c r="AV15" s="20"/>
      <c r="AW15" s="20"/>
      <c r="AX15" s="19" t="e">
        <f t="shared" si="20"/>
        <v>#NUM!</v>
      </c>
      <c r="AY15" s="20" t="e">
        <f t="shared" si="13"/>
        <v>#NUM!</v>
      </c>
      <c r="AZ15" s="20">
        <v>0</v>
      </c>
      <c r="BA15" s="21">
        <f t="shared" si="15"/>
        <v>0</v>
      </c>
      <c r="BB15" s="19" t="e">
        <f>V53</f>
        <v>#NUM!</v>
      </c>
      <c r="BC15" s="20" t="e">
        <f>AD53</f>
        <v>#NUM!</v>
      </c>
      <c r="BD15" s="20">
        <v>0</v>
      </c>
      <c r="BE15" s="21">
        <v>0</v>
      </c>
      <c r="BF15" s="19" t="e">
        <f>V72</f>
        <v>#NUM!</v>
      </c>
      <c r="BG15" s="20" t="e">
        <f>AD72</f>
        <v>#NUM!</v>
      </c>
      <c r="BH15" s="20">
        <v>0</v>
      </c>
      <c r="BI15" s="21">
        <v>0</v>
      </c>
      <c r="BJ15" s="19" t="e">
        <f>V88</f>
        <v>#NUM!</v>
      </c>
      <c r="BK15" s="20" t="e">
        <f>AD88</f>
        <v>#NUM!</v>
      </c>
      <c r="BL15" s="20">
        <v>0</v>
      </c>
      <c r="BM15" s="21">
        <v>0</v>
      </c>
      <c r="BN15" s="20" t="e">
        <f>V101</f>
        <v>#NUM!</v>
      </c>
      <c r="BO15" s="20" t="e">
        <f>AD101</f>
        <v>#NUM!</v>
      </c>
      <c r="BP15" s="20">
        <v>0</v>
      </c>
      <c r="BQ15" s="21">
        <v>0</v>
      </c>
    </row>
    <row r="16" spans="1:69" ht="15.75" thickBot="1" x14ac:dyDescent="0.3">
      <c r="N16" s="19">
        <f ca="1">IF(AND(O9=0,U15=1,U16=1),Q26,IF(AND(O9=0,U15=0,U16=1),Q30,IF(AND(O9=0,U16=0),0,OFFSET(AX16,0,(15-(3*$O$9))+$U$17+(5-$O$9)))))</f>
        <v>5.249758380379717</v>
      </c>
      <c r="O16" s="20">
        <f>Beam_Analysis!J29</f>
        <v>30</v>
      </c>
      <c r="P16" s="20" cm="1">
        <f t="array" aca="1" ref="P16:S16" ca="1">center_span(Beam_Analysis!$J$29,O16,Beam_Analysis!$D$3,Beam_Analysis!$D$2,Beam_Analysis!$J$33:$O$72,Beam_Analysis!$G$5:$P$5,0)</f>
        <v>-14.583333333333334</v>
      </c>
      <c r="Q16" s="20">
        <f ca="1"/>
        <v>5.5511151231257827E-16</v>
      </c>
      <c r="R16" s="20">
        <f ca="1"/>
        <v>0.17129422301836095</v>
      </c>
      <c r="S16" s="20">
        <f ca="1"/>
        <v>4.2957129121188325E-19</v>
      </c>
      <c r="T16" s="20">
        <f ca="1">-1*R16</f>
        <v>-0.17129422301836095</v>
      </c>
      <c r="U16" s="20">
        <f>Beam_Analysis!N28</f>
        <v>1</v>
      </c>
      <c r="V16" s="20" cm="1">
        <f t="array" ref="V16">point_moment(U16,O16,Beam_Analysis!$J$29,Beam_Analysis!$D$3,Beam_Analysis!$D$2,$O$10,5)</f>
        <v>3.9184952978056423E-3</v>
      </c>
      <c r="W16" s="20" cm="1">
        <f t="array" ref="W16">point_moment(U16,O16,Beam_Analysis!$J$29,Beam_Analysis!$D$3,Beam_Analysis!$D$2,$O$11,5)</f>
        <v>7.1652485445588892E-3</v>
      </c>
      <c r="X16" s="20" cm="1">
        <f t="array" ref="X16">point_moment(U16,O16,Beam_Analysis!$J$29,Beam_Analysis!$D$3,Beam_Analysis!$D$2,$O$12,5)</f>
        <v>9.0685176892073439E-3</v>
      </c>
      <c r="Y16" s="20" cm="1">
        <f t="array" ref="Y16">point_moment(U16,O16,Beam_Analysis!$J$29,Beam_Analysis!$D$3,Beam_Analysis!$D$2,$O$13,5)</f>
        <v>8.9565606806986109E-3</v>
      </c>
      <c r="Z16" s="20" cm="1">
        <f t="array" ref="Z16">point_moment(U16,O16,Beam_Analysis!$J$29,Beam_Analysis!$D$3,Beam_Analysis!$D$2,$O$14,5)</f>
        <v>6.1576354679802959E-3</v>
      </c>
      <c r="AA16" s="20" cm="1">
        <f t="array" ref="AA16">IF(U15=0,0,point_moment(U16,O16,Beam_Analysis!$J$29,Beam_Analysis!$D$3,Beam_Analysis!$D$2,$O$15,4))</f>
        <v>0</v>
      </c>
      <c r="AB16" s="20" cm="1">
        <f t="array" ref="AB16">point_moment(U16,O16,Beam_Analysis!$J$29,Beam_Analysis!$D$3,Beam_Analysis!$D$2,$O$16,4)</f>
        <v>-1.61218092252575E-3</v>
      </c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3" t="e">
        <f t="shared" si="20"/>
        <v>#NUM!</v>
      </c>
      <c r="AY16" s="24">
        <f t="shared" si="13"/>
        <v>0</v>
      </c>
      <c r="AZ16" s="24">
        <f ca="1">AK31</f>
        <v>5.249758380379717</v>
      </c>
      <c r="BA16" s="25">
        <f t="shared" si="15"/>
        <v>0</v>
      </c>
      <c r="BB16" s="23" t="e">
        <f>V54</f>
        <v>#NUM!</v>
      </c>
      <c r="BC16" s="24">
        <v>0</v>
      </c>
      <c r="BD16" s="24">
        <f ca="1">AK53</f>
        <v>9.2016496292810075</v>
      </c>
      <c r="BE16" s="25">
        <v>0</v>
      </c>
      <c r="BF16" s="23" t="e">
        <f>V73</f>
        <v>#NUM!</v>
      </c>
      <c r="BG16" s="24">
        <v>0</v>
      </c>
      <c r="BH16" s="24">
        <f ca="1">AK72</f>
        <v>22.355406577619988</v>
      </c>
      <c r="BI16" s="25">
        <v>0</v>
      </c>
      <c r="BJ16" s="23" t="e">
        <f>V89</f>
        <v>#NUM!</v>
      </c>
      <c r="BK16" s="24">
        <v>0</v>
      </c>
      <c r="BL16" s="24">
        <f ca="1">AK88</f>
        <v>37.19225130321459</v>
      </c>
      <c r="BM16" s="25">
        <v>0</v>
      </c>
      <c r="BN16" s="24" t="e">
        <f>V102</f>
        <v>#NUM!</v>
      </c>
      <c r="BO16" s="24">
        <v>0</v>
      </c>
      <c r="BP16" s="24">
        <f ca="1">AK101</f>
        <v>59.982781292603605</v>
      </c>
      <c r="BQ16" s="25">
        <v>0</v>
      </c>
    </row>
    <row r="17" spans="1:69" x14ac:dyDescent="0.25">
      <c r="F17">
        <f>F13</f>
        <v>35</v>
      </c>
      <c r="G17">
        <v>0</v>
      </c>
      <c r="N17" s="19"/>
      <c r="O17" s="20"/>
      <c r="P17" s="20"/>
      <c r="Q17" s="20"/>
      <c r="R17" s="20"/>
      <c r="S17" s="20"/>
      <c r="T17" s="20"/>
      <c r="U17" s="20">
        <f>IF(AND(U15=1,U16=1),0,IF(AND(U15=1,U16=0),1,IF(AND(U15=0,U16=1),2,3)))</f>
        <v>2</v>
      </c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1"/>
    </row>
    <row r="18" spans="1:69" x14ac:dyDescent="0.25">
      <c r="F18">
        <f>F17+Beam_Analysis!S29</f>
        <v>35</v>
      </c>
      <c r="G18">
        <v>0</v>
      </c>
      <c r="N18" s="19"/>
      <c r="O18" s="20"/>
      <c r="P18" s="20"/>
      <c r="Q18" s="20"/>
      <c r="R18" s="20"/>
      <c r="S18" s="20"/>
      <c r="T18" s="20"/>
      <c r="U18" s="20"/>
      <c r="V18" s="20" t="e">
        <f t="array" ref="V18:AB24">MINVERSE(V10:AB16)</f>
        <v>#NUM!</v>
      </c>
      <c r="W18" s="20" t="e">
        <v>#NUM!</v>
      </c>
      <c r="X18" s="20" t="e">
        <v>#NUM!</v>
      </c>
      <c r="Y18" s="20" t="e">
        <v>#NUM!</v>
      </c>
      <c r="Z18" s="20" t="e">
        <v>#NUM!</v>
      </c>
      <c r="AA18" s="20" t="e">
        <v>#NUM!</v>
      </c>
      <c r="AB18" s="20" t="e">
        <v>#NUM!</v>
      </c>
      <c r="AC18" s="20"/>
      <c r="AD18" s="20" t="e">
        <f t="array" ref="AD18:AI23">MINVERSE(AD10:AI15)</f>
        <v>#NUM!</v>
      </c>
      <c r="AE18" s="20" t="e">
        <v>#NUM!</v>
      </c>
      <c r="AF18" s="20" t="e">
        <v>#NUM!</v>
      </c>
      <c r="AG18" s="20" t="e">
        <v>#NUM!</v>
      </c>
      <c r="AH18" s="20" t="e">
        <v>#NUM!</v>
      </c>
      <c r="AI18" s="20" t="e">
        <v>#NUM!</v>
      </c>
      <c r="AJ18" s="20"/>
      <c r="AK18" s="20">
        <f t="array" ref="AK18:AP23">MINVERSE(AK10:AP15)</f>
        <v>-341.87501424025334</v>
      </c>
      <c r="AL18" s="20">
        <v>315.36844289592489</v>
      </c>
      <c r="AM18" s="20">
        <v>-117.63780010801207</v>
      </c>
      <c r="AN18" s="20">
        <v>16.990851600691784</v>
      </c>
      <c r="AO18" s="20">
        <v>-0.79726970529829544</v>
      </c>
      <c r="AP18" s="20">
        <v>0.32717586425892126</v>
      </c>
      <c r="AQ18" s="20"/>
      <c r="AR18" s="20">
        <f t="array" ref="AR18:AV22">MINVERSE(AR10:AV14)</f>
        <v>-341.8749827752747</v>
      </c>
      <c r="AS18" s="20">
        <v>315.36782994898738</v>
      </c>
      <c r="AT18" s="20">
        <v>-117.63355634611816</v>
      </c>
      <c r="AU18" s="20">
        <v>16.990380216230523</v>
      </c>
      <c r="AV18" s="20">
        <v>-0.87218308069473016</v>
      </c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1"/>
    </row>
    <row r="19" spans="1:69" x14ac:dyDescent="0.25">
      <c r="N19" s="19"/>
      <c r="O19" s="20"/>
      <c r="P19" s="20"/>
      <c r="Q19" s="20">
        <f>AA15</f>
        <v>0</v>
      </c>
      <c r="R19" s="20">
        <f>AB15</f>
        <v>0</v>
      </c>
      <c r="S19" s="20"/>
      <c r="T19" s="20"/>
      <c r="U19" s="20"/>
      <c r="V19" s="20" t="e">
        <v>#NUM!</v>
      </c>
      <c r="W19" s="20" t="e">
        <v>#NUM!</v>
      </c>
      <c r="X19" s="20" t="e">
        <v>#NUM!</v>
      </c>
      <c r="Y19" s="20" t="e">
        <v>#NUM!</v>
      </c>
      <c r="Z19" s="20" t="e">
        <v>#NUM!</v>
      </c>
      <c r="AA19" s="20" t="e">
        <v>#NUM!</v>
      </c>
      <c r="AB19" s="20" t="e">
        <v>#NUM!</v>
      </c>
      <c r="AC19" s="20"/>
      <c r="AD19" s="20" t="e">
        <v>#NUM!</v>
      </c>
      <c r="AE19" s="20" t="e">
        <v>#NUM!</v>
      </c>
      <c r="AF19" s="20" t="e">
        <v>#NUM!</v>
      </c>
      <c r="AG19" s="20" t="e">
        <v>#NUM!</v>
      </c>
      <c r="AH19" s="20" t="e">
        <v>#NUM!</v>
      </c>
      <c r="AI19" s="20" t="e">
        <v>#NUM!</v>
      </c>
      <c r="AJ19" s="20"/>
      <c r="AK19" s="20">
        <v>315.36844289592523</v>
      </c>
      <c r="AL19" s="20">
        <v>-501.39519081610007</v>
      </c>
      <c r="AM19" s="20">
        <v>375.28869421078269</v>
      </c>
      <c r="AN19" s="20">
        <v>-128.66216462170527</v>
      </c>
      <c r="AO19" s="20">
        <v>15.531045863838337</v>
      </c>
      <c r="AP19" s="20">
        <v>-6.3734810434003357</v>
      </c>
      <c r="AQ19" s="20"/>
      <c r="AR19" s="20">
        <v>315.36782994898749</v>
      </c>
      <c r="AS19" s="20">
        <v>-501.38325043138786</v>
      </c>
      <c r="AT19" s="20">
        <v>375.20602449415691</v>
      </c>
      <c r="AU19" s="20">
        <v>-128.65298191522507</v>
      </c>
      <c r="AV19" s="20">
        <v>16.990380216228871</v>
      </c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1"/>
    </row>
    <row r="20" spans="1:69" x14ac:dyDescent="0.25">
      <c r="N20" s="19"/>
      <c r="O20" s="20"/>
      <c r="P20" s="20"/>
      <c r="Q20" s="20">
        <f>AA16</f>
        <v>0</v>
      </c>
      <c r="R20" s="20">
        <f>AB16</f>
        <v>-1.61218092252575E-3</v>
      </c>
      <c r="S20" s="20"/>
      <c r="T20" s="20"/>
      <c r="U20" s="20"/>
      <c r="V20" s="20" t="e">
        <v>#NUM!</v>
      </c>
      <c r="W20" s="20" t="e">
        <v>#NUM!</v>
      </c>
      <c r="X20" s="20" t="e">
        <v>#NUM!</v>
      </c>
      <c r="Y20" s="20" t="e">
        <v>#NUM!</v>
      </c>
      <c r="Z20" s="20" t="e">
        <v>#NUM!</v>
      </c>
      <c r="AA20" s="20" t="e">
        <v>#NUM!</v>
      </c>
      <c r="AB20" s="20" t="e">
        <v>#NUM!</v>
      </c>
      <c r="AC20" s="20"/>
      <c r="AD20" s="20" t="e">
        <v>#NUM!</v>
      </c>
      <c r="AE20" s="20" t="e">
        <v>#NUM!</v>
      </c>
      <c r="AF20" s="20" t="e">
        <v>#NUM!</v>
      </c>
      <c r="AG20" s="20" t="e">
        <v>#NUM!</v>
      </c>
      <c r="AH20" s="20" t="e">
        <v>#NUM!</v>
      </c>
      <c r="AI20" s="20" t="e">
        <v>#NUM!</v>
      </c>
      <c r="AJ20" s="20"/>
      <c r="AK20" s="20">
        <v>-117.637800108012</v>
      </c>
      <c r="AL20" s="20">
        <v>375.28869421078264</v>
      </c>
      <c r="AM20" s="20">
        <v>-535.47102715460539</v>
      </c>
      <c r="AN20" s="20">
        <v>375.26960131859312</v>
      </c>
      <c r="AO20" s="20">
        <v>-107.52979836161506</v>
      </c>
      <c r="AP20" s="20">
        <v>44.127043179532421</v>
      </c>
      <c r="AQ20" s="20"/>
      <c r="AR20" s="20">
        <v>-117.63355634611796</v>
      </c>
      <c r="AS20" s="20">
        <v>375.20602449415691</v>
      </c>
      <c r="AT20" s="20">
        <v>-534.89866016545932</v>
      </c>
      <c r="AU20" s="20">
        <v>375.20602449415492</v>
      </c>
      <c r="AV20" s="20">
        <v>-117.6335563461142</v>
      </c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1"/>
    </row>
    <row r="21" spans="1:69" x14ac:dyDescent="0.25">
      <c r="N21" s="19"/>
      <c r="O21" s="20"/>
      <c r="P21" s="20"/>
      <c r="Q21" s="20"/>
      <c r="R21" s="20"/>
      <c r="S21" s="20"/>
      <c r="T21" s="20"/>
      <c r="U21" s="20"/>
      <c r="V21" s="20" t="e">
        <v>#NUM!</v>
      </c>
      <c r="W21" s="20" t="e">
        <v>#NUM!</v>
      </c>
      <c r="X21" s="20" t="e">
        <v>#NUM!</v>
      </c>
      <c r="Y21" s="20" t="e">
        <v>#NUM!</v>
      </c>
      <c r="Z21" s="20" t="e">
        <v>#NUM!</v>
      </c>
      <c r="AA21" s="20" t="e">
        <v>#NUM!</v>
      </c>
      <c r="AB21" s="20" t="e">
        <v>#NUM!</v>
      </c>
      <c r="AC21" s="20"/>
      <c r="AD21" s="20" t="e">
        <v>#NUM!</v>
      </c>
      <c r="AE21" s="20" t="e">
        <v>#NUM!</v>
      </c>
      <c r="AF21" s="20" t="e">
        <v>#NUM!</v>
      </c>
      <c r="AG21" s="20" t="e">
        <v>#NUM!</v>
      </c>
      <c r="AH21" s="20" t="e">
        <v>#NUM!</v>
      </c>
      <c r="AI21" s="20" t="e">
        <v>#NUM!</v>
      </c>
      <c r="AJ21" s="20"/>
      <c r="AK21" s="20">
        <v>16.990851600692817</v>
      </c>
      <c r="AL21" s="20">
        <v>-128.66216462170715</v>
      </c>
      <c r="AM21" s="20">
        <v>375.2696013185959</v>
      </c>
      <c r="AN21" s="20">
        <v>-501.39031235613334</v>
      </c>
      <c r="AO21" s="20">
        <v>314.24553453409669</v>
      </c>
      <c r="AP21" s="20">
        <v>-4.9015008384789569</v>
      </c>
      <c r="AQ21" s="20"/>
      <c r="AR21" s="20">
        <v>16.990380216231426</v>
      </c>
      <c r="AS21" s="20">
        <v>-128.65298191522692</v>
      </c>
      <c r="AT21" s="20">
        <v>375.20602449415742</v>
      </c>
      <c r="AU21" s="20">
        <v>-501.38325043138519</v>
      </c>
      <c r="AV21" s="20">
        <v>315.36782994898152</v>
      </c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1"/>
    </row>
    <row r="22" spans="1:69" x14ac:dyDescent="0.25">
      <c r="N22" s="19"/>
      <c r="O22" s="20"/>
      <c r="P22" s="20"/>
      <c r="Q22" s="20" t="e">
        <f t="array" ref="Q22:R23">MINVERSE(Q19:R20)</f>
        <v>#NUM!</v>
      </c>
      <c r="R22" s="20" t="e">
        <v>#NUM!</v>
      </c>
      <c r="S22" s="20"/>
      <c r="T22" s="20"/>
      <c r="U22" s="20"/>
      <c r="V22" s="20" t="e">
        <v>#NUM!</v>
      </c>
      <c r="W22" s="20" t="e">
        <v>#NUM!</v>
      </c>
      <c r="X22" s="20" t="e">
        <v>#NUM!</v>
      </c>
      <c r="Y22" s="20" t="e">
        <v>#NUM!</v>
      </c>
      <c r="Z22" s="20" t="e">
        <v>#NUM!</v>
      </c>
      <c r="AA22" s="20" t="e">
        <v>#NUM!</v>
      </c>
      <c r="AB22" s="20" t="e">
        <v>#NUM!</v>
      </c>
      <c r="AC22" s="20"/>
      <c r="AD22" s="20" t="e">
        <v>#NUM!</v>
      </c>
      <c r="AE22" s="20" t="e">
        <v>#NUM!</v>
      </c>
      <c r="AF22" s="20" t="e">
        <v>#NUM!</v>
      </c>
      <c r="AG22" s="20" t="e">
        <v>#NUM!</v>
      </c>
      <c r="AH22" s="20" t="e">
        <v>#NUM!</v>
      </c>
      <c r="AI22" s="20" t="e">
        <v>#NUM!</v>
      </c>
      <c r="AJ22" s="20"/>
      <c r="AK22" s="20">
        <v>-0.79726970530207464</v>
      </c>
      <c r="AL22" s="20">
        <v>15.531045863845076</v>
      </c>
      <c r="AM22" s="20">
        <v>-107.52979836162513</v>
      </c>
      <c r="AN22" s="20">
        <v>314.24553453410743</v>
      </c>
      <c r="AO22" s="20">
        <v>-520.23244808190236</v>
      </c>
      <c r="AP22" s="20">
        <v>-778.95646204632931</v>
      </c>
      <c r="AQ22" s="20"/>
      <c r="AR22" s="20">
        <v>-0.87218308069624439</v>
      </c>
      <c r="AS22" s="20">
        <v>16.990380216231777</v>
      </c>
      <c r="AT22" s="20">
        <v>-117.63355634611845</v>
      </c>
      <c r="AU22" s="20">
        <v>315.36782994898476</v>
      </c>
      <c r="AV22" s="20">
        <v>-341.8749827752689</v>
      </c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1"/>
    </row>
    <row r="23" spans="1:69" x14ac:dyDescent="0.25">
      <c r="B23" t="s">
        <v>44</v>
      </c>
      <c r="N23" s="19"/>
      <c r="O23" s="20"/>
      <c r="P23" s="20"/>
      <c r="Q23" s="20" t="e">
        <v>#NUM!</v>
      </c>
      <c r="R23" s="20" t="e">
        <v>#NUM!</v>
      </c>
      <c r="S23" s="20"/>
      <c r="T23" s="20"/>
      <c r="U23" s="20"/>
      <c r="V23" s="20" t="e">
        <v>#NUM!</v>
      </c>
      <c r="W23" s="20" t="e">
        <v>#NUM!</v>
      </c>
      <c r="X23" s="20" t="e">
        <v>#NUM!</v>
      </c>
      <c r="Y23" s="20" t="e">
        <v>#NUM!</v>
      </c>
      <c r="Z23" s="20" t="e">
        <v>#NUM!</v>
      </c>
      <c r="AA23" s="20" t="e">
        <v>#NUM!</v>
      </c>
      <c r="AB23" s="20" t="e">
        <v>#NUM!</v>
      </c>
      <c r="AC23" s="20"/>
      <c r="AD23" s="20" t="e">
        <v>#NUM!</v>
      </c>
      <c r="AE23" s="20" t="e">
        <v>#NUM!</v>
      </c>
      <c r="AF23" s="20" t="e">
        <v>#NUM!</v>
      </c>
      <c r="AG23" s="20" t="e">
        <v>#NUM!</v>
      </c>
      <c r="AH23" s="20" t="e">
        <v>#NUM!</v>
      </c>
      <c r="AI23" s="20" t="e">
        <v>#NUM!</v>
      </c>
      <c r="AJ23" s="20"/>
      <c r="AK23" s="20">
        <v>0.32717586424919076</v>
      </c>
      <c r="AL23" s="20">
        <v>-6.3734810433840314</v>
      </c>
      <c r="AM23" s="20">
        <v>44.127043179508647</v>
      </c>
      <c r="AN23" s="20">
        <v>-4.9015008384467444</v>
      </c>
      <c r="AO23" s="20">
        <v>-778.95646204635466</v>
      </c>
      <c r="AP23" s="20">
        <v>-3402.0060148342272</v>
      </c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1"/>
    </row>
    <row r="24" spans="1:69" x14ac:dyDescent="0.25">
      <c r="A24">
        <f>F8/26</f>
        <v>0.19230769230769232</v>
      </c>
      <c r="B24" t="s">
        <v>45</v>
      </c>
      <c r="C24" t="s">
        <v>46</v>
      </c>
      <c r="H24" s="1" t="s">
        <v>128</v>
      </c>
      <c r="N24" s="19"/>
      <c r="O24" s="20"/>
      <c r="P24" s="20"/>
      <c r="Q24" s="20"/>
      <c r="R24" s="20"/>
      <c r="S24" s="20"/>
      <c r="T24" s="20"/>
      <c r="U24" s="20"/>
      <c r="V24" s="20" t="e">
        <v>#NUM!</v>
      </c>
      <c r="W24" s="20" t="e">
        <v>#NUM!</v>
      </c>
      <c r="X24" s="20" t="e">
        <v>#NUM!</v>
      </c>
      <c r="Y24" s="20" t="e">
        <v>#NUM!</v>
      </c>
      <c r="Z24" s="20" t="e">
        <v>#NUM!</v>
      </c>
      <c r="AA24" s="20" t="e">
        <v>#NUM!</v>
      </c>
      <c r="AB24" s="20" t="e">
        <v>#NUM!</v>
      </c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1"/>
    </row>
    <row r="25" spans="1:69" x14ac:dyDescent="0.25">
      <c r="A25">
        <v>1</v>
      </c>
      <c r="B25">
        <f>(A25-1)*$A$24</f>
        <v>0</v>
      </c>
      <c r="C25">
        <f ca="1">OFFSET(D25,0,$O$2)</f>
        <v>-0.27901657103024596</v>
      </c>
      <c r="D25" cm="1">
        <f t="array" aca="1" ref="D25:G25" ca="1">left_cantilever_analysis(Beam_Analysis!$B$29,B25,Beam_Analysis!$D$3,Beam_Analysis!$D$2,Beam_Analysis!$B$33:$G$53,Beam_Analysis!$G$5:$P$5,0)</f>
        <v>0</v>
      </c>
      <c r="E25">
        <f ca="1"/>
        <v>0</v>
      </c>
      <c r="F25">
        <f ca="1"/>
        <v>5.4899537476529271E-3</v>
      </c>
      <c r="G25">
        <f ca="1"/>
        <v>-0.27901657103024596</v>
      </c>
      <c r="H25">
        <f ca="1">(E25*12)/(Beam_Analysis!$B$2*Beam_Analysis!$B$3)</f>
        <v>0</v>
      </c>
      <c r="N25" s="19"/>
      <c r="O25" s="20"/>
      <c r="P25" s="20"/>
      <c r="Q25" s="20" t="e">
        <f t="array" ref="Q25:Q26">MMULT(Q22:R23,T15:T16)</f>
        <v>#NUM!</v>
      </c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1"/>
    </row>
    <row r="26" spans="1:69" x14ac:dyDescent="0.25">
      <c r="A26">
        <v>2</v>
      </c>
      <c r="B26">
        <f t="shared" ref="B26:B51" si="22">(A26-1)*$A$24</f>
        <v>0.19230769230769232</v>
      </c>
      <c r="C26">
        <f t="shared" ref="C26:C51" ca="1" si="23">OFFSET(D26,0,$O$2)</f>
        <v>-0.26634755724512149</v>
      </c>
      <c r="D26" cm="1">
        <f t="array" aca="1" ref="D26:G26" ca="1">left_cantilever_analysis(Beam_Analysis!$B$29,B26,Beam_Analysis!$D$3,Beam_Analysis!$D$2,Beam_Analysis!$B$33:$G$53,Beam_Analysis!$G$5:$P$5,0)</f>
        <v>-0.19230769230769232</v>
      </c>
      <c r="E26">
        <f ca="1"/>
        <v>-1.849112426035503E-2</v>
      </c>
      <c r="F26">
        <f ca="1"/>
        <v>5.4897626512569742E-3</v>
      </c>
      <c r="G26">
        <f ca="1"/>
        <v>-0.26634755724512149</v>
      </c>
      <c r="H26">
        <f ca="1">(E26*12)/(Beam_Analysis!$B$2*Beam_Analysis!$B$3)</f>
        <v>-2.4842531473831209E-7</v>
      </c>
      <c r="N26" s="19"/>
      <c r="O26" s="20"/>
      <c r="P26" s="20"/>
      <c r="Q26" s="20" t="e">
        <v>#NUM!</v>
      </c>
      <c r="R26" s="20"/>
      <c r="S26" s="20"/>
      <c r="T26" s="20"/>
      <c r="U26" s="20"/>
      <c r="V26" s="20" t="e">
        <f t="array" ref="V26:V32">MMULT(V18:AB24,T10:T16)</f>
        <v>#NUM!</v>
      </c>
      <c r="W26" s="20"/>
      <c r="X26" s="20"/>
      <c r="Y26" s="20"/>
      <c r="Z26" s="20"/>
      <c r="AA26" s="20"/>
      <c r="AB26" s="20"/>
      <c r="AC26" s="20"/>
      <c r="AD26" s="20" t="e">
        <f t="array" ref="AD26:AD31">MMULT(AD18:AI23,T10:T15)</f>
        <v>#NUM!</v>
      </c>
      <c r="AE26" s="20"/>
      <c r="AF26" s="20"/>
      <c r="AG26" s="20"/>
      <c r="AH26" s="20"/>
      <c r="AI26" s="20"/>
      <c r="AJ26" s="20">
        <f ca="1">T10</f>
        <v>0.78369905956112851</v>
      </c>
      <c r="AK26" s="20">
        <f t="array" aca="1" ref="AK26:AK31" ca="1">MMULT(AK18:AP23,AJ26:AJ31)</f>
        <v>-0.9785196450640623</v>
      </c>
      <c r="AL26" s="20"/>
      <c r="AM26" s="20"/>
      <c r="AN26" s="20"/>
      <c r="AO26" s="20"/>
      <c r="AP26" s="20"/>
      <c r="AQ26" s="20"/>
      <c r="AR26" s="20">
        <f t="array" aca="1" ref="AR26:AR30" ca="1">MMULT(AR18:AV22,T10:T14)</f>
        <v>-0.97801476816847233</v>
      </c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1"/>
    </row>
    <row r="27" spans="1:69" x14ac:dyDescent="0.25">
      <c r="A27">
        <v>3</v>
      </c>
      <c r="B27">
        <f t="shared" si="22"/>
        <v>0.38461538461538464</v>
      </c>
      <c r="C27">
        <f t="shared" ca="1" si="23"/>
        <v>-0.25368008693088739</v>
      </c>
      <c r="D27" cm="1">
        <f t="array" aca="1" ref="D27:G27" ca="1">left_cantilever_analysis(Beam_Analysis!$B$29,B27,Beam_Analysis!$D$3,Beam_Analysis!$D$2,Beam_Analysis!$B$33:$G$53,Beam_Analysis!$G$5:$P$5,0)</f>
        <v>-0.38461538461538464</v>
      </c>
      <c r="E27">
        <f ca="1"/>
        <v>-7.3964497041420121E-2</v>
      </c>
      <c r="F27">
        <f ca="1"/>
        <v>5.4884249764853062E-3</v>
      </c>
      <c r="G27">
        <f ca="1"/>
        <v>-0.25368008693088739</v>
      </c>
      <c r="H27">
        <f ca="1">(E27*12)/(Beam_Analysis!$B$2*Beam_Analysis!$B$3)</f>
        <v>-9.9370125895324836E-7</v>
      </c>
      <c r="N27" s="19"/>
      <c r="O27" s="20"/>
      <c r="P27" s="20"/>
      <c r="Q27" s="20"/>
      <c r="R27" s="20"/>
      <c r="S27" s="20"/>
      <c r="T27" s="20"/>
      <c r="U27" s="20"/>
      <c r="V27" s="20" t="e">
        <v>#NUM!</v>
      </c>
      <c r="W27" s="20"/>
      <c r="X27" s="20"/>
      <c r="Y27" s="20"/>
      <c r="Z27" s="20"/>
      <c r="AA27" s="20"/>
      <c r="AB27" s="20"/>
      <c r="AC27" s="20"/>
      <c r="AD27" s="20" t="e">
        <v>#NUM!</v>
      </c>
      <c r="AE27" s="20"/>
      <c r="AF27" s="20"/>
      <c r="AG27" s="20"/>
      <c r="AH27" s="20"/>
      <c r="AI27" s="20"/>
      <c r="AJ27" s="20">
        <f t="shared" ref="AJ27:AJ30" ca="1" si="24">T11</f>
        <v>1.365875503806538</v>
      </c>
      <c r="AK27" s="20">
        <f ca="1"/>
        <v>-7.0291446537184399</v>
      </c>
      <c r="AL27" s="20"/>
      <c r="AM27" s="20"/>
      <c r="AN27" s="20"/>
      <c r="AO27" s="20"/>
      <c r="AP27" s="20"/>
      <c r="AQ27" s="20"/>
      <c r="AR27" s="20">
        <f ca="1"/>
        <v>-7.0389798025611707</v>
      </c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1"/>
    </row>
    <row r="28" spans="1:69" x14ac:dyDescent="0.25">
      <c r="A28">
        <v>4</v>
      </c>
      <c r="B28">
        <f t="shared" si="22"/>
        <v>0.57692307692307698</v>
      </c>
      <c r="C28">
        <f t="shared" ca="1" si="23"/>
        <v>-0.2410181290126904</v>
      </c>
      <c r="D28" cm="1">
        <f t="array" aca="1" ref="D28:G28" ca="1">left_cantilever_analysis(Beam_Analysis!$B$29,B28,Beam_Analysis!$D$3,Beam_Analysis!$D$2,Beam_Analysis!$B$33:$G$53,Beam_Analysis!$G$5:$P$5,0)</f>
        <v>-0.57692307692307698</v>
      </c>
      <c r="E28">
        <f ca="1"/>
        <v>-0.16642011834319531</v>
      </c>
      <c r="F28">
        <f ca="1"/>
        <v>5.4847941449622083E-3</v>
      </c>
      <c r="G28">
        <f ca="1"/>
        <v>-0.2410181290126904</v>
      </c>
      <c r="H28">
        <f ca="1">(E28*12)/(Beam_Analysis!$B$2*Beam_Analysis!$B$3)</f>
        <v>-2.2358278326448093E-6</v>
      </c>
      <c r="N28" s="19"/>
      <c r="O28" s="20"/>
      <c r="P28" s="20"/>
      <c r="Q28" s="20" t="e">
        <f ca="1">T15/AA15</f>
        <v>#DIV/0!</v>
      </c>
      <c r="R28" s="20"/>
      <c r="S28" s="20"/>
      <c r="T28" s="20"/>
      <c r="U28" s="20"/>
      <c r="V28" s="20" t="e">
        <v>#NUM!</v>
      </c>
      <c r="W28" s="20"/>
      <c r="X28" s="20"/>
      <c r="Y28" s="20"/>
      <c r="Z28" s="20"/>
      <c r="AA28" s="20"/>
      <c r="AB28" s="20"/>
      <c r="AC28" s="20"/>
      <c r="AD28" s="20" t="e">
        <v>#NUM!</v>
      </c>
      <c r="AE28" s="20"/>
      <c r="AF28" s="20"/>
      <c r="AG28" s="20"/>
      <c r="AH28" s="20"/>
      <c r="AI28" s="20"/>
      <c r="AJ28" s="20">
        <f t="shared" ca="1" si="24"/>
        <v>1.5869905956112851</v>
      </c>
      <c r="AK28" s="20">
        <f ca="1"/>
        <v>-3.2475032620810032</v>
      </c>
      <c r="AL28" s="20"/>
      <c r="AM28" s="20"/>
      <c r="AN28" s="20"/>
      <c r="AO28" s="20"/>
      <c r="AP28" s="20"/>
      <c r="AQ28" s="20"/>
      <c r="AR28" s="20">
        <f ca="1"/>
        <v>-3.1794092276427506</v>
      </c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1"/>
    </row>
    <row r="29" spans="1:69" x14ac:dyDescent="0.25">
      <c r="A29">
        <v>5</v>
      </c>
      <c r="B29">
        <f t="shared" si="22"/>
        <v>0.76923076923076927</v>
      </c>
      <c r="C29">
        <f t="shared" ca="1" si="23"/>
        <v>-0.22836829836577502</v>
      </c>
      <c r="D29" cm="1">
        <f t="array" aca="1" ref="D29:G29" ca="1">left_cantilever_analysis(Beam_Analysis!$B$29,B29,Beam_Analysis!$D$3,Beam_Analysis!$D$2,Beam_Analysis!$B$33:$G$53,Beam_Analysis!$G$5:$P$5,0)</f>
        <v>-0.76923076923076927</v>
      </c>
      <c r="E29">
        <f ca="1"/>
        <v>-0.29585798816568049</v>
      </c>
      <c r="F29">
        <f ca="1"/>
        <v>5.4777235783119646E-3</v>
      </c>
      <c r="G29">
        <f ca="1"/>
        <v>-0.22836829836577502</v>
      </c>
      <c r="H29">
        <f ca="1">(E29*12)/(Beam_Analysis!$B$2*Beam_Analysis!$B$3)</f>
        <v>-3.9748050358129934E-6</v>
      </c>
      <c r="N29" s="19"/>
      <c r="O29" s="20"/>
      <c r="P29" s="20"/>
      <c r="Q29" s="20"/>
      <c r="R29" s="20"/>
      <c r="S29" s="20"/>
      <c r="T29" s="20"/>
      <c r="U29" s="20"/>
      <c r="V29" s="20" t="e">
        <v>#NUM!</v>
      </c>
      <c r="W29" s="20"/>
      <c r="X29" s="20"/>
      <c r="Y29" s="20"/>
      <c r="Z29" s="20"/>
      <c r="AA29" s="20"/>
      <c r="AB29" s="20"/>
      <c r="AC29" s="20"/>
      <c r="AD29" s="20" t="e">
        <v>#NUM!</v>
      </c>
      <c r="AE29" s="20"/>
      <c r="AF29" s="20"/>
      <c r="AG29" s="20"/>
      <c r="AH29" s="20"/>
      <c r="AI29" s="20"/>
      <c r="AJ29" s="20">
        <f t="shared" ca="1" si="24"/>
        <v>1.3882669055082846</v>
      </c>
      <c r="AK29" s="20">
        <f ca="1"/>
        <v>-7.0260076186586904</v>
      </c>
      <c r="AL29" s="20"/>
      <c r="AM29" s="20"/>
      <c r="AN29" s="20"/>
      <c r="AO29" s="20"/>
      <c r="AP29" s="20"/>
      <c r="AQ29" s="20"/>
      <c r="AR29" s="20">
        <f ca="1"/>
        <v>-7.0335713016711452</v>
      </c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1"/>
    </row>
    <row r="30" spans="1:69" x14ac:dyDescent="0.25">
      <c r="A30">
        <v>6</v>
      </c>
      <c r="B30">
        <f t="shared" si="22"/>
        <v>0.96153846153846156</v>
      </c>
      <c r="C30">
        <f t="shared" ca="1" si="23"/>
        <v>-0.21573985581548355</v>
      </c>
      <c r="D30" cm="1">
        <f t="array" aca="1" ref="D30:G30" ca="1">left_cantilever_analysis(Beam_Analysis!$B$29,B30,Beam_Analysis!$D$3,Beam_Analysis!$D$2,Beam_Analysis!$B$33:$G$53,Beam_Analysis!$G$5:$P$5,0)</f>
        <v>-0.96153846153846156</v>
      </c>
      <c r="E30">
        <f ca="1"/>
        <v>-0.46227810650887574</v>
      </c>
      <c r="F30">
        <f ca="1"/>
        <v>5.4660666981588592E-3</v>
      </c>
      <c r="G30">
        <f ca="1"/>
        <v>-0.21573985581548355</v>
      </c>
      <c r="H30">
        <f ca="1">(E30*12)/(Beam_Analysis!$B$2*Beam_Analysis!$B$3)</f>
        <v>-6.2106328684578024E-6</v>
      </c>
      <c r="N30" s="19"/>
      <c r="O30" s="20"/>
      <c r="P30" s="20"/>
      <c r="Q30" s="22">
        <f ca="1">T16/AB16</f>
        <v>106.25000000000001</v>
      </c>
      <c r="R30" s="20"/>
      <c r="S30" s="20"/>
      <c r="T30" s="20"/>
      <c r="U30" s="20"/>
      <c r="V30" s="20" t="e">
        <v>#NUM!</v>
      </c>
      <c r="W30" s="20"/>
      <c r="X30" s="20"/>
      <c r="Y30" s="20"/>
      <c r="Z30" s="20"/>
      <c r="AA30" s="20"/>
      <c r="AB30" s="20"/>
      <c r="AC30" s="20"/>
      <c r="AD30" s="20" t="e">
        <v>#NUM!</v>
      </c>
      <c r="AE30" s="20"/>
      <c r="AF30" s="20"/>
      <c r="AG30" s="20"/>
      <c r="AH30" s="20"/>
      <c r="AI30" s="20"/>
      <c r="AJ30" s="20">
        <f t="shared" ca="1" si="24"/>
        <v>0.81168831168831157</v>
      </c>
      <c r="AK30" s="20">
        <f ca="1"/>
        <v>-2.6393029124738803</v>
      </c>
      <c r="AL30" s="20"/>
      <c r="AM30" s="20"/>
      <c r="AN30" s="20"/>
      <c r="AO30" s="20"/>
      <c r="AP30" s="20"/>
      <c r="AQ30" s="20"/>
      <c r="AR30" s="20">
        <f ca="1"/>
        <v>-3.8413387691854268</v>
      </c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1"/>
    </row>
    <row r="31" spans="1:69" x14ac:dyDescent="0.25">
      <c r="A31">
        <v>7</v>
      </c>
      <c r="B31">
        <f t="shared" si="22"/>
        <v>1.153846153846154</v>
      </c>
      <c r="C31">
        <f t="shared" ca="1" si="23"/>
        <v>-0.2031447081372561</v>
      </c>
      <c r="D31" cm="1">
        <f t="array" aca="1" ref="D31:G31" ca="1">left_cantilever_analysis(Beam_Analysis!$B$29,B31,Beam_Analysis!$D$3,Beam_Analysis!$D$2,Beam_Analysis!$B$33:$G$53,Beam_Analysis!$G$5:$P$5,0)</f>
        <v>-1.153846153846154</v>
      </c>
      <c r="E31">
        <f ca="1"/>
        <v>-0.66568047337278125</v>
      </c>
      <c r="F31">
        <f ca="1"/>
        <v>5.4486769261271762E-3</v>
      </c>
      <c r="G31">
        <f ca="1"/>
        <v>-0.2031447081372561</v>
      </c>
      <c r="H31">
        <f ca="1">(E31*12)/(Beam_Analysis!$B$2*Beam_Analysis!$B$3)</f>
        <v>-8.9433113305792374E-6</v>
      </c>
      <c r="N31" s="19"/>
      <c r="O31" s="20"/>
      <c r="P31" s="20"/>
      <c r="Q31" s="20"/>
      <c r="R31" s="20"/>
      <c r="S31" s="20"/>
      <c r="T31" s="20"/>
      <c r="U31" s="20"/>
      <c r="V31" s="20" t="e">
        <v>#NUM!</v>
      </c>
      <c r="W31" s="20"/>
      <c r="X31" s="20"/>
      <c r="Y31" s="20"/>
      <c r="Z31" s="20"/>
      <c r="AA31" s="20"/>
      <c r="AB31" s="20"/>
      <c r="AC31" s="20"/>
      <c r="AD31" s="20" t="e">
        <v>#NUM!</v>
      </c>
      <c r="AE31" s="20"/>
      <c r="AF31" s="20"/>
      <c r="AG31" s="20"/>
      <c r="AH31" s="20"/>
      <c r="AI31" s="20"/>
      <c r="AJ31" s="20">
        <f ca="1">T16</f>
        <v>-0.17129422301836095</v>
      </c>
      <c r="AK31" s="20">
        <f ca="1"/>
        <v>5.249758380379717</v>
      </c>
      <c r="AL31" s="20"/>
      <c r="AM31" s="20"/>
      <c r="AN31" s="20"/>
      <c r="AO31" s="20"/>
      <c r="AP31" s="20"/>
      <c r="AQ31" s="20"/>
      <c r="AR31" s="22">
        <v>0</v>
      </c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1"/>
    </row>
    <row r="32" spans="1:69" x14ac:dyDescent="0.25">
      <c r="A32">
        <v>8</v>
      </c>
      <c r="B32">
        <f t="shared" si="22"/>
        <v>1.3461538461538463</v>
      </c>
      <c r="C32">
        <f t="shared" ca="1" si="23"/>
        <v>-0.19059740805663064</v>
      </c>
      <c r="D32" cm="1">
        <f t="array" aca="1" ref="D32:G32" ca="1">left_cantilever_analysis(Beam_Analysis!$B$29,B32,Beam_Analysis!$D$3,Beam_Analysis!$D$2,Beam_Analysis!$B$33:$G$53,Beam_Analysis!$G$5:$P$5,0)</f>
        <v>-1.3461538461538463</v>
      </c>
      <c r="E32">
        <f ca="1"/>
        <v>-0.90606508875739655</v>
      </c>
      <c r="F32">
        <f ca="1"/>
        <v>5.4244076838412033E-3</v>
      </c>
      <c r="G32">
        <f ca="1"/>
        <v>-0.19059740805663064</v>
      </c>
      <c r="H32">
        <f ca="1">(E32*12)/(Beam_Analysis!$B$2*Beam_Analysis!$B$3)</f>
        <v>-1.2172840422177293E-5</v>
      </c>
      <c r="N32" s="19"/>
      <c r="O32" s="20"/>
      <c r="P32" s="20"/>
      <c r="Q32" s="20"/>
      <c r="R32" s="20"/>
      <c r="S32" s="20"/>
      <c r="T32" s="20"/>
      <c r="U32" s="20"/>
      <c r="V32" s="20" t="e">
        <v>#NUM!</v>
      </c>
      <c r="W32" s="20"/>
      <c r="X32" s="20"/>
      <c r="Y32" s="20"/>
      <c r="Z32" s="20"/>
      <c r="AA32" s="20"/>
      <c r="AB32" s="20"/>
      <c r="AC32" s="20"/>
      <c r="AD32" s="22">
        <v>0</v>
      </c>
      <c r="AE32" s="20"/>
      <c r="AF32" s="20"/>
      <c r="AG32" s="20"/>
      <c r="AH32" s="20"/>
      <c r="AI32" s="20"/>
      <c r="AJ32" s="20"/>
      <c r="AK32" s="22">
        <v>0</v>
      </c>
      <c r="AL32" s="20"/>
      <c r="AM32" s="20"/>
      <c r="AN32" s="20"/>
      <c r="AO32" s="20"/>
      <c r="AP32" s="20"/>
      <c r="AQ32" s="20"/>
      <c r="AR32" s="22">
        <v>0</v>
      </c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1"/>
    </row>
    <row r="33" spans="1:69" x14ac:dyDescent="0.25">
      <c r="A33">
        <v>9</v>
      </c>
      <c r="B33">
        <f t="shared" si="22"/>
        <v>1.5384615384615385</v>
      </c>
      <c r="C33">
        <f t="shared" ca="1" si="23"/>
        <v>-0.17811515424924285</v>
      </c>
      <c r="D33" cm="1">
        <f t="array" aca="1" ref="D33:G33" ca="1">left_cantilever_analysis(Beam_Analysis!$B$29,B33,Beam_Analysis!$D$3,Beam_Analysis!$D$2,Beam_Analysis!$B$33:$G$53,Beam_Analysis!$G$5:$P$5,0)</f>
        <v>-1.5384615384615385</v>
      </c>
      <c r="E33">
        <f ca="1"/>
        <v>-1.1834319526627219</v>
      </c>
      <c r="F33">
        <f ca="1"/>
        <v>5.3921123929252229E-3</v>
      </c>
      <c r="G33">
        <f ca="1"/>
        <v>-0.17811515424924285</v>
      </c>
      <c r="H33">
        <f ca="1">(E33*12)/(Beam_Analysis!$B$2*Beam_Analysis!$B$3)</f>
        <v>-1.5899220143251974E-5</v>
      </c>
      <c r="N33" s="19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1"/>
    </row>
    <row r="34" spans="1:69" x14ac:dyDescent="0.25">
      <c r="A34">
        <v>10</v>
      </c>
      <c r="B34">
        <f t="shared" si="22"/>
        <v>1.7307692307692308</v>
      </c>
      <c r="C34">
        <f t="shared" ca="1" si="23"/>
        <v>-0.16571779134082631</v>
      </c>
      <c r="D34" cm="1">
        <f t="array" aca="1" ref="D34:G34" ca="1">left_cantilever_analysis(Beam_Analysis!$B$29,B34,Beam_Analysis!$D$3,Beam_Analysis!$D$2,Beam_Analysis!$B$33:$G$53,Beam_Analysis!$G$5:$P$5,0)</f>
        <v>-1.7307692307692308</v>
      </c>
      <c r="E34">
        <f ca="1"/>
        <v>-1.4977810650887575</v>
      </c>
      <c r="F34">
        <f ca="1"/>
        <v>5.3506444750035199E-3</v>
      </c>
      <c r="G34">
        <f ca="1"/>
        <v>-0.16571779134082631</v>
      </c>
      <c r="H34">
        <f ca="1">(E34*12)/(Beam_Analysis!$B$2*Beam_Analysis!$B$3)</f>
        <v>-2.012245049380328E-5</v>
      </c>
      <c r="N34" s="19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1"/>
    </row>
    <row r="35" spans="1:69" x14ac:dyDescent="0.25">
      <c r="A35">
        <v>11</v>
      </c>
      <c r="B35">
        <f t="shared" si="22"/>
        <v>1.9230769230769231</v>
      </c>
      <c r="C35">
        <f t="shared" ca="1" si="23"/>
        <v>-0.15342780990721233</v>
      </c>
      <c r="D35" cm="1">
        <f t="array" aca="1" ref="D35:G35" ca="1">left_cantilever_analysis(Beam_Analysis!$B$29,B35,Beam_Analysis!$D$3,Beam_Analysis!$D$2,Beam_Analysis!$B$33:$G$53,Beam_Analysis!$G$5:$P$5,0)</f>
        <v>-1.9230769230769231</v>
      </c>
      <c r="E35">
        <f ca="1"/>
        <v>-1.849112426035503</v>
      </c>
      <c r="F35">
        <f ca="1"/>
        <v>5.2988573517003795E-3</v>
      </c>
      <c r="G35">
        <f ca="1"/>
        <v>-0.15342780990721233</v>
      </c>
      <c r="H35">
        <f ca="1">(E35*12)/(Beam_Analysis!$B$2*Beam_Analysis!$B$3)</f>
        <v>-2.4842531473831209E-5</v>
      </c>
      <c r="N35" s="19"/>
      <c r="O35" s="20"/>
      <c r="P35" s="20"/>
      <c r="Q35" s="20"/>
      <c r="R35" s="20"/>
      <c r="S35" s="20"/>
      <c r="T35" s="20"/>
      <c r="U35" s="20"/>
      <c r="V35" s="20">
        <f>V10</f>
        <v>-2.8822585460516491E-2</v>
      </c>
      <c r="W35" s="20">
        <f t="shared" ref="W35:Y35" si="25">W10</f>
        <v>-4.2543663233318402E-2</v>
      </c>
      <c r="X35" s="20">
        <f t="shared" si="25"/>
        <v>-4.3663233318405735E-2</v>
      </c>
      <c r="Y35" s="20">
        <f t="shared" si="25"/>
        <v>-3.4706672637707124E-2</v>
      </c>
      <c r="Z35" s="20">
        <f>AA10</f>
        <v>0</v>
      </c>
      <c r="AA35" s="20">
        <f>AB10</f>
        <v>3.9184952978056423E-3</v>
      </c>
      <c r="AB35" s="20"/>
      <c r="AC35" s="20"/>
      <c r="AD35" s="20">
        <f>V35</f>
        <v>-2.8822585460516491E-2</v>
      </c>
      <c r="AE35" s="20">
        <f t="shared" ref="AE35:AH39" si="26">W35</f>
        <v>-4.2543663233318402E-2</v>
      </c>
      <c r="AF35" s="20">
        <f t="shared" si="26"/>
        <v>-4.3663233318405735E-2</v>
      </c>
      <c r="AG35" s="20">
        <f t="shared" si="26"/>
        <v>-3.4706672637707124E-2</v>
      </c>
      <c r="AH35" s="20">
        <f t="shared" si="26"/>
        <v>0</v>
      </c>
      <c r="AI35" s="20"/>
      <c r="AJ35" s="20"/>
      <c r="AK35" s="20">
        <f>V35</f>
        <v>-2.8822585460516491E-2</v>
      </c>
      <c r="AL35" s="20">
        <f t="shared" ref="AL35:AN35" si="27">W35</f>
        <v>-4.2543663233318402E-2</v>
      </c>
      <c r="AM35" s="20">
        <f t="shared" si="27"/>
        <v>-4.3663233318405735E-2</v>
      </c>
      <c r="AN35" s="20">
        <f t="shared" si="27"/>
        <v>-3.4706672637707124E-2</v>
      </c>
      <c r="AO35" s="20">
        <f>AA35</f>
        <v>3.9184952978056423E-3</v>
      </c>
      <c r="AP35" s="20"/>
      <c r="AQ35" s="20"/>
      <c r="AR35" s="20">
        <f>V35</f>
        <v>-2.8822585460516491E-2</v>
      </c>
      <c r="AS35" s="20">
        <f t="shared" ref="AS35:AU38" si="28">W35</f>
        <v>-4.2543663233318402E-2</v>
      </c>
      <c r="AT35" s="20">
        <f t="shared" si="28"/>
        <v>-4.3663233318405735E-2</v>
      </c>
      <c r="AU35" s="20">
        <f t="shared" si="28"/>
        <v>-3.4706672637707124E-2</v>
      </c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1"/>
    </row>
    <row r="36" spans="1:69" x14ac:dyDescent="0.25">
      <c r="A36">
        <v>12</v>
      </c>
      <c r="B36">
        <f t="shared" si="22"/>
        <v>2.1153846153846154</v>
      </c>
      <c r="C36">
        <f t="shared" ca="1" si="23"/>
        <v>-0.14127034647433007</v>
      </c>
      <c r="D36" cm="1">
        <f t="array" aca="1" ref="D36:G36" ca="1">left_cantilever_analysis(Beam_Analysis!$B$29,B36,Beam_Analysis!$D$3,Beam_Analysis!$D$2,Beam_Analysis!$B$33:$G$53,Beam_Analysis!$G$5:$P$5,0)</f>
        <v>-2.1153846153846154</v>
      </c>
      <c r="E36">
        <f ca="1"/>
        <v>-2.2374260355029585</v>
      </c>
      <c r="F36">
        <f ca="1"/>
        <v>5.2356044446400865E-3</v>
      </c>
      <c r="G36">
        <f ca="1"/>
        <v>-0.14127034647433007</v>
      </c>
      <c r="H36">
        <f ca="1">(E36*12)/(Beam_Analysis!$B$2*Beam_Analysis!$B$3)</f>
        <v>-3.0059463083335765E-5</v>
      </c>
      <c r="N36" s="19"/>
      <c r="O36" s="20"/>
      <c r="P36" s="20"/>
      <c r="Q36" s="20"/>
      <c r="R36" s="20"/>
      <c r="S36" s="20"/>
      <c r="T36" s="20"/>
      <c r="U36" s="20"/>
      <c r="V36" s="20">
        <f t="shared" ref="V36:Y36" si="29">V11</f>
        <v>-4.2543663233318395E-2</v>
      </c>
      <c r="W36" s="20">
        <f t="shared" si="29"/>
        <v>-7.1652485445588873E-2</v>
      </c>
      <c r="X36" s="20">
        <f t="shared" si="29"/>
        <v>-7.7250335871025505E-2</v>
      </c>
      <c r="Y36" s="20">
        <f t="shared" si="29"/>
        <v>-6.2695924764890248E-2</v>
      </c>
      <c r="Z36" s="20">
        <f t="shared" ref="Z36:AA36" si="30">AA11</f>
        <v>0</v>
      </c>
      <c r="AA36" s="20">
        <f t="shared" si="30"/>
        <v>7.1652485445588901E-3</v>
      </c>
      <c r="AB36" s="20"/>
      <c r="AC36" s="20"/>
      <c r="AD36" s="20">
        <f>V36</f>
        <v>-4.2543663233318395E-2</v>
      </c>
      <c r="AE36" s="20">
        <f t="shared" si="26"/>
        <v>-7.1652485445588873E-2</v>
      </c>
      <c r="AF36" s="20">
        <f t="shared" si="26"/>
        <v>-7.7250335871025505E-2</v>
      </c>
      <c r="AG36" s="20">
        <f t="shared" si="26"/>
        <v>-6.2695924764890248E-2</v>
      </c>
      <c r="AH36" s="20">
        <f t="shared" si="26"/>
        <v>0</v>
      </c>
      <c r="AI36" s="20"/>
      <c r="AJ36" s="20"/>
      <c r="AK36" s="20">
        <f t="shared" ref="AK36:AK38" si="31">V36</f>
        <v>-4.2543663233318395E-2</v>
      </c>
      <c r="AL36" s="20">
        <f t="shared" ref="AL36:AL38" si="32">W36</f>
        <v>-7.1652485445588873E-2</v>
      </c>
      <c r="AM36" s="20">
        <f t="shared" ref="AM36:AM38" si="33">X36</f>
        <v>-7.7250335871025505E-2</v>
      </c>
      <c r="AN36" s="20">
        <f t="shared" ref="AN36:AN38" si="34">Y36</f>
        <v>-6.2695924764890248E-2</v>
      </c>
      <c r="AO36" s="20">
        <f t="shared" ref="AO36:AO38" si="35">AA36</f>
        <v>7.1652485445588901E-3</v>
      </c>
      <c r="AP36" s="20"/>
      <c r="AQ36" s="20"/>
      <c r="AR36" s="20">
        <f t="shared" ref="AR36:AR38" si="36">V36</f>
        <v>-4.2543663233318395E-2</v>
      </c>
      <c r="AS36" s="20">
        <f t="shared" si="28"/>
        <v>-7.1652485445588873E-2</v>
      </c>
      <c r="AT36" s="20">
        <f t="shared" si="28"/>
        <v>-7.7250335871025505E-2</v>
      </c>
      <c r="AU36" s="20">
        <f t="shared" si="28"/>
        <v>-6.2695924764890248E-2</v>
      </c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1"/>
    </row>
    <row r="37" spans="1:69" x14ac:dyDescent="0.25">
      <c r="A37">
        <v>13</v>
      </c>
      <c r="B37">
        <f t="shared" si="22"/>
        <v>2.3076923076923079</v>
      </c>
      <c r="C37">
        <f t="shared" ca="1" si="23"/>
        <v>-0.12927318351820644</v>
      </c>
      <c r="D37" cm="1">
        <f t="array" aca="1" ref="D37:G37" ca="1">left_cantilever_analysis(Beam_Analysis!$B$29,B37,Beam_Analysis!$D$3,Beam_Analysis!$D$2,Beam_Analysis!$B$33:$G$53,Beam_Analysis!$G$5:$P$5,0)</f>
        <v>-2.3076923076923079</v>
      </c>
      <c r="E37">
        <f ca="1"/>
        <v>-2.662721893491125</v>
      </c>
      <c r="F37">
        <f ca="1"/>
        <v>5.1597391754469243E-3</v>
      </c>
      <c r="G37">
        <f ca="1"/>
        <v>-0.12927318351820644</v>
      </c>
      <c r="H37">
        <f ca="1">(E37*12)/(Beam_Analysis!$B$2*Beam_Analysis!$B$3)</f>
        <v>-3.5773245322316949E-5</v>
      </c>
      <c r="N37" s="19"/>
      <c r="O37" s="20"/>
      <c r="P37" s="20"/>
      <c r="Q37" s="20"/>
      <c r="R37" s="20"/>
      <c r="S37" s="20"/>
      <c r="T37" s="20"/>
      <c r="U37" s="20"/>
      <c r="V37" s="20">
        <f t="shared" ref="V37:Y37" si="37">V12</f>
        <v>-4.3663233318405728E-2</v>
      </c>
      <c r="W37" s="20">
        <f t="shared" si="37"/>
        <v>-7.7250335871025519E-2</v>
      </c>
      <c r="X37" s="20">
        <f t="shared" si="37"/>
        <v>-9.103978682115145E-2</v>
      </c>
      <c r="Y37" s="20">
        <f t="shared" si="37"/>
        <v>-7.7250335871025519E-2</v>
      </c>
      <c r="Z37" s="20">
        <f t="shared" ref="Z37:AA37" si="38">AA12</f>
        <v>0</v>
      </c>
      <c r="AA37" s="20">
        <f t="shared" si="38"/>
        <v>9.0685176892073439E-3</v>
      </c>
      <c r="AB37" s="20"/>
      <c r="AC37" s="20"/>
      <c r="AD37" s="20">
        <f>V37</f>
        <v>-4.3663233318405728E-2</v>
      </c>
      <c r="AE37" s="20">
        <f t="shared" si="26"/>
        <v>-7.7250335871025519E-2</v>
      </c>
      <c r="AF37" s="20">
        <f t="shared" si="26"/>
        <v>-9.103978682115145E-2</v>
      </c>
      <c r="AG37" s="20">
        <f t="shared" si="26"/>
        <v>-7.7250335871025519E-2</v>
      </c>
      <c r="AH37" s="20">
        <f t="shared" si="26"/>
        <v>0</v>
      </c>
      <c r="AI37" s="20"/>
      <c r="AJ37" s="20"/>
      <c r="AK37" s="20">
        <f t="shared" si="31"/>
        <v>-4.3663233318405728E-2</v>
      </c>
      <c r="AL37" s="20">
        <f t="shared" si="32"/>
        <v>-7.7250335871025519E-2</v>
      </c>
      <c r="AM37" s="20">
        <f t="shared" si="33"/>
        <v>-9.103978682115145E-2</v>
      </c>
      <c r="AN37" s="20">
        <f t="shared" si="34"/>
        <v>-7.7250335871025519E-2</v>
      </c>
      <c r="AO37" s="20">
        <f t="shared" si="35"/>
        <v>9.0685176892073439E-3</v>
      </c>
      <c r="AP37" s="20"/>
      <c r="AQ37" s="20"/>
      <c r="AR37" s="20">
        <f t="shared" si="36"/>
        <v>-4.3663233318405728E-2</v>
      </c>
      <c r="AS37" s="20">
        <f t="shared" si="28"/>
        <v>-7.7250335871025519E-2</v>
      </c>
      <c r="AT37" s="20">
        <f t="shared" si="28"/>
        <v>-9.103978682115145E-2</v>
      </c>
      <c r="AU37" s="20">
        <f t="shared" si="28"/>
        <v>-7.7250335871025519E-2</v>
      </c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1"/>
    </row>
    <row r="38" spans="1:69" x14ac:dyDescent="0.25">
      <c r="A38">
        <v>14</v>
      </c>
      <c r="B38">
        <f t="shared" si="22"/>
        <v>2.5</v>
      </c>
      <c r="C38">
        <f t="shared" ca="1" si="23"/>
        <v>-0.11746674946496626</v>
      </c>
      <c r="D38" cm="1">
        <f t="array" aca="1" ref="D38:G38" ca="1">left_cantilever_analysis(Beam_Analysis!$B$29,B38,Beam_Analysis!$D$3,Beam_Analysis!$D$2,Beam_Analysis!$B$33:$G$53,Beam_Analysis!$G$5:$P$5,0)</f>
        <v>-2.5</v>
      </c>
      <c r="E38">
        <f ca="1"/>
        <v>-3.125</v>
      </c>
      <c r="F38">
        <f ca="1"/>
        <v>5.0701149657451797E-3</v>
      </c>
      <c r="G38">
        <f ca="1"/>
        <v>-0.11746674946496626</v>
      </c>
      <c r="H38">
        <f ca="1">(E38*12)/(Beam_Analysis!$B$2*Beam_Analysis!$B$3)</f>
        <v>-4.198387819077474E-5</v>
      </c>
      <c r="N38" s="19"/>
      <c r="O38" s="20"/>
      <c r="P38" s="20"/>
      <c r="Q38" s="20"/>
      <c r="R38" s="20"/>
      <c r="S38" s="20"/>
      <c r="T38" s="20"/>
      <c r="U38" s="20"/>
      <c r="V38" s="20">
        <f t="shared" ref="V38:Y38" si="39">V13</f>
        <v>-3.4706672637707117E-2</v>
      </c>
      <c r="W38" s="20">
        <f t="shared" si="39"/>
        <v>-6.2695924764890276E-2</v>
      </c>
      <c r="X38" s="20">
        <f t="shared" si="39"/>
        <v>-7.7250335871025519E-2</v>
      </c>
      <c r="Y38" s="20">
        <f t="shared" si="39"/>
        <v>-7.1652485445588887E-2</v>
      </c>
      <c r="Z38" s="20">
        <f t="shared" ref="Z38:AA38" si="40">AA13</f>
        <v>0</v>
      </c>
      <c r="AA38" s="20">
        <f t="shared" si="40"/>
        <v>8.9565606806986109E-3</v>
      </c>
      <c r="AB38" s="20"/>
      <c r="AC38" s="20"/>
      <c r="AD38" s="20">
        <f>V38</f>
        <v>-3.4706672637707117E-2</v>
      </c>
      <c r="AE38" s="20">
        <f t="shared" si="26"/>
        <v>-6.2695924764890276E-2</v>
      </c>
      <c r="AF38" s="20">
        <f t="shared" si="26"/>
        <v>-7.7250335871025519E-2</v>
      </c>
      <c r="AG38" s="20">
        <f t="shared" si="26"/>
        <v>-7.1652485445588887E-2</v>
      </c>
      <c r="AH38" s="20">
        <f t="shared" si="26"/>
        <v>0</v>
      </c>
      <c r="AI38" s="20"/>
      <c r="AJ38" s="20"/>
      <c r="AK38" s="20">
        <f t="shared" si="31"/>
        <v>-3.4706672637707117E-2</v>
      </c>
      <c r="AL38" s="20">
        <f t="shared" si="32"/>
        <v>-6.2695924764890276E-2</v>
      </c>
      <c r="AM38" s="20">
        <f t="shared" si="33"/>
        <v>-7.7250335871025519E-2</v>
      </c>
      <c r="AN38" s="20">
        <f t="shared" si="34"/>
        <v>-7.1652485445588887E-2</v>
      </c>
      <c r="AO38" s="20">
        <f t="shared" si="35"/>
        <v>8.9565606806986109E-3</v>
      </c>
      <c r="AP38" s="20"/>
      <c r="AQ38" s="20"/>
      <c r="AR38" s="20">
        <f t="shared" si="36"/>
        <v>-3.4706672637707117E-2</v>
      </c>
      <c r="AS38" s="20">
        <f t="shared" si="28"/>
        <v>-6.2695924764890276E-2</v>
      </c>
      <c r="AT38" s="20">
        <f t="shared" si="28"/>
        <v>-7.7250335871025519E-2</v>
      </c>
      <c r="AU38" s="20">
        <f t="shared" si="28"/>
        <v>-7.1652485445588887E-2</v>
      </c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1"/>
    </row>
    <row r="39" spans="1:69" x14ac:dyDescent="0.25">
      <c r="A39">
        <v>15</v>
      </c>
      <c r="B39">
        <f t="shared" si="22"/>
        <v>2.6923076923076925</v>
      </c>
      <c r="C39">
        <f t="shared" ca="1" si="23"/>
        <v>-0.105884118690832</v>
      </c>
      <c r="D39" cm="1">
        <f t="array" aca="1" ref="D39:G39" ca="1">left_cantilever_analysis(Beam_Analysis!$B$29,B39,Beam_Analysis!$D$3,Beam_Analysis!$D$2,Beam_Analysis!$B$33:$G$53,Beam_Analysis!$G$5:$P$5,0)</f>
        <v>-2.6923076923076925</v>
      </c>
      <c r="E39">
        <f ca="1"/>
        <v>-3.6242603550295862</v>
      </c>
      <c r="F39">
        <f ca="1"/>
        <v>4.9655852371591359E-3</v>
      </c>
      <c r="G39">
        <f ca="1"/>
        <v>-0.105884118690832</v>
      </c>
      <c r="H39">
        <f ca="1">(E39*12)/(Beam_Analysis!$B$2*Beam_Analysis!$B$3)</f>
        <v>-4.8691361688709173E-5</v>
      </c>
      <c r="N39" s="19"/>
      <c r="O39" s="20"/>
      <c r="P39" s="20"/>
      <c r="Q39" s="20"/>
      <c r="R39" s="20"/>
      <c r="S39" s="20"/>
      <c r="T39" s="20"/>
      <c r="U39" s="20"/>
      <c r="V39" s="20">
        <f>V15</f>
        <v>0</v>
      </c>
      <c r="W39" s="20">
        <f t="shared" ref="W39:Y40" si="41">W15</f>
        <v>0</v>
      </c>
      <c r="X39" s="20">
        <f t="shared" si="41"/>
        <v>0</v>
      </c>
      <c r="Y39" s="20">
        <f t="shared" si="41"/>
        <v>0</v>
      </c>
      <c r="Z39" s="20">
        <f>AA15</f>
        <v>0</v>
      </c>
      <c r="AA39" s="20">
        <f>AB15</f>
        <v>0</v>
      </c>
      <c r="AB39" s="20"/>
      <c r="AC39" s="20"/>
      <c r="AD39" s="20">
        <f>V39</f>
        <v>0</v>
      </c>
      <c r="AE39" s="20">
        <f t="shared" si="26"/>
        <v>0</v>
      </c>
      <c r="AF39" s="20">
        <f t="shared" si="26"/>
        <v>0</v>
      </c>
      <c r="AG39" s="20">
        <f t="shared" si="26"/>
        <v>0</v>
      </c>
      <c r="AH39" s="20">
        <f t="shared" si="26"/>
        <v>0</v>
      </c>
      <c r="AI39" s="20"/>
      <c r="AJ39" s="20"/>
      <c r="AK39" s="20">
        <f>V40</f>
        <v>3.9184952978056423E-3</v>
      </c>
      <c r="AL39" s="20">
        <f t="shared" ref="AL39:AN39" si="42">W40</f>
        <v>7.1652485445588892E-3</v>
      </c>
      <c r="AM39" s="20">
        <f t="shared" si="42"/>
        <v>9.0685176892073439E-3</v>
      </c>
      <c r="AN39" s="20">
        <f t="shared" si="42"/>
        <v>8.9565606806986109E-3</v>
      </c>
      <c r="AO39" s="20">
        <f>AA40</f>
        <v>-1.61218092252575E-3</v>
      </c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1"/>
    </row>
    <row r="40" spans="1:69" x14ac:dyDescent="0.25">
      <c r="A40">
        <v>16</v>
      </c>
      <c r="B40">
        <f t="shared" si="22"/>
        <v>2.8846153846153846</v>
      </c>
      <c r="C40">
        <f t="shared" ca="1" si="23"/>
        <v>-9.4561011522124094E-2</v>
      </c>
      <c r="D40" cm="1">
        <f t="array" aca="1" ref="D40:G40" ca="1">left_cantilever_analysis(Beam_Analysis!$B$29,B40,Beam_Analysis!$D$3,Beam_Analysis!$D$2,Beam_Analysis!$B$33:$G$53,Beam_Analysis!$G$5:$P$5,0)</f>
        <v>-2.8846153846153846</v>
      </c>
      <c r="E40">
        <f ca="1"/>
        <v>-4.1605029585798814</v>
      </c>
      <c r="F40">
        <f ca="1"/>
        <v>4.8450034113130779E-3</v>
      </c>
      <c r="G40">
        <f ca="1"/>
        <v>-9.4561011522124094E-2</v>
      </c>
      <c r="H40">
        <f ca="1">(E40*12)/(Beam_Analysis!$B$2*Beam_Analysis!$B$3)</f>
        <v>-5.5895695816120216E-5</v>
      </c>
      <c r="N40" s="19"/>
      <c r="O40" s="20"/>
      <c r="P40" s="20"/>
      <c r="Q40" s="20"/>
      <c r="R40" s="20"/>
      <c r="S40" s="20"/>
      <c r="T40" s="20"/>
      <c r="U40" s="20"/>
      <c r="V40" s="20">
        <f>V16</f>
        <v>3.9184952978056423E-3</v>
      </c>
      <c r="W40" s="20">
        <f t="shared" si="41"/>
        <v>7.1652485445588892E-3</v>
      </c>
      <c r="X40" s="20">
        <f t="shared" si="41"/>
        <v>9.0685176892073439E-3</v>
      </c>
      <c r="Y40" s="20">
        <f t="shared" si="41"/>
        <v>8.9565606806986109E-3</v>
      </c>
      <c r="Z40" s="20">
        <f>AA16</f>
        <v>0</v>
      </c>
      <c r="AA40" s="20">
        <f>AB16</f>
        <v>-1.61218092252575E-3</v>
      </c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1"/>
    </row>
    <row r="41" spans="1:69" x14ac:dyDescent="0.25">
      <c r="A41">
        <v>17</v>
      </c>
      <c r="B41">
        <f t="shared" si="22"/>
        <v>3.0769230769230771</v>
      </c>
      <c r="C41">
        <f t="shared" ca="1" si="23"/>
        <v>-8.3535794235260655E-2</v>
      </c>
      <c r="D41" cm="1">
        <f t="array" aca="1" ref="D41:G41" ca="1">left_cantilever_analysis(Beam_Analysis!$B$29,B41,Beam_Analysis!$D$3,Beam_Analysis!$D$2,Beam_Analysis!$B$33:$G$53,Beam_Analysis!$G$5:$P$5,0)</f>
        <v>-3.0769230769230771</v>
      </c>
      <c r="E41">
        <f ca="1"/>
        <v>-4.7337278106508878</v>
      </c>
      <c r="F41">
        <f ca="1"/>
        <v>4.7072229098312915E-3</v>
      </c>
      <c r="G41">
        <f ca="1"/>
        <v>-8.3535794235260655E-2</v>
      </c>
      <c r="H41">
        <f ca="1">(E41*12)/(Beam_Analysis!$B$2*Beam_Analysis!$B$3)</f>
        <v>-6.3596880573007895E-5</v>
      </c>
      <c r="N41" s="19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1"/>
    </row>
    <row r="42" spans="1:69" x14ac:dyDescent="0.25">
      <c r="A42">
        <v>18</v>
      </c>
      <c r="B42">
        <f t="shared" si="22"/>
        <v>3.2692307692307696</v>
      </c>
      <c r="C42">
        <f t="shared" ca="1" si="23"/>
        <v>-7.2849479056757691E-2</v>
      </c>
      <c r="D42" cm="1">
        <f t="array" aca="1" ref="D42:G42" ca="1">left_cantilever_analysis(Beam_Analysis!$B$29,B42,Beam_Analysis!$D$3,Beam_Analysis!$D$2,Beam_Analysis!$B$33:$G$53,Beam_Analysis!$G$5:$P$5,0)</f>
        <v>-3.2692307692307696</v>
      </c>
      <c r="E42">
        <f ca="1"/>
        <v>-5.3439349112426049</v>
      </c>
      <c r="F42">
        <f ca="1"/>
        <v>4.5510971543380602E-3</v>
      </c>
      <c r="G42">
        <f ca="1"/>
        <v>-7.2849479056757691E-2</v>
      </c>
      <c r="H42">
        <f ca="1">(E42*12)/(Beam_Analysis!$B$2*Beam_Analysis!$B$3)</f>
        <v>-7.1794915959372203E-5</v>
      </c>
      <c r="N42" s="19"/>
      <c r="O42" s="20"/>
      <c r="P42" s="20"/>
      <c r="Q42" s="20"/>
      <c r="R42" s="20"/>
      <c r="S42" s="20"/>
      <c r="T42" s="20"/>
      <c r="U42" s="20"/>
      <c r="V42" s="20" t="e">
        <f t="array" ref="V42:AA47">MINVERSE(V35:AA40)</f>
        <v>#NUM!</v>
      </c>
      <c r="W42" s="20" t="e">
        <v>#NUM!</v>
      </c>
      <c r="X42" s="20" t="e">
        <v>#NUM!</v>
      </c>
      <c r="Y42" s="20" t="e">
        <v>#NUM!</v>
      </c>
      <c r="Z42" s="20" t="e">
        <v>#NUM!</v>
      </c>
      <c r="AA42" s="20" t="e">
        <v>#NUM!</v>
      </c>
      <c r="AB42" s="20"/>
      <c r="AC42" s="20"/>
      <c r="AD42" s="20" t="e">
        <f t="array" ref="AD42:AH46">MINVERSE(AD35:AH39)</f>
        <v>#NUM!</v>
      </c>
      <c r="AE42" s="20" t="e">
        <v>#NUM!</v>
      </c>
      <c r="AF42" s="20" t="e">
        <v>#NUM!</v>
      </c>
      <c r="AG42" s="20" t="e">
        <v>#NUM!</v>
      </c>
      <c r="AH42" s="20" t="e">
        <v>#NUM!</v>
      </c>
      <c r="AI42" s="20"/>
      <c r="AJ42" s="20"/>
      <c r="AK42" s="20">
        <f t="array" ref="AK42:AO46">MINVERSE(AK35:AO39)</f>
        <v>-341.87379240377351</v>
      </c>
      <c r="AL42" s="20">
        <v>315.34464116574759</v>
      </c>
      <c r="AM42" s="20">
        <v>-117.47300790605179</v>
      </c>
      <c r="AN42" s="20">
        <v>16.509262177285233</v>
      </c>
      <c r="AO42" s="20">
        <v>1.5209468241936392</v>
      </c>
      <c r="AP42" s="20"/>
      <c r="AQ42" s="20"/>
      <c r="AR42" s="20">
        <f t="array" ref="AR42:AU45">MINVERSE(AR35:AU38)</f>
        <v>-341.8727576831663</v>
      </c>
      <c r="AS42" s="20">
        <v>315.3244845072154</v>
      </c>
      <c r="AT42" s="20">
        <v>-117.33345249899183</v>
      </c>
      <c r="AU42" s="20">
        <v>16.185821534445868</v>
      </c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1"/>
    </row>
    <row r="43" spans="1:69" x14ac:dyDescent="0.25">
      <c r="A43">
        <v>19</v>
      </c>
      <c r="B43">
        <f t="shared" si="22"/>
        <v>3.4615384615384617</v>
      </c>
      <c r="C43">
        <f t="shared" ca="1" si="23"/>
        <v>-6.2545724163228983E-2</v>
      </c>
      <c r="D43" cm="1">
        <f t="array" aca="1" ref="D43:G43" ca="1">left_cantilever_analysis(Beam_Analysis!$B$29,B43,Beam_Analysis!$D$3,Beam_Analysis!$D$2,Beam_Analysis!$B$33:$G$53,Beam_Analysis!$G$5:$P$5,0)</f>
        <v>-3.4615384615384617</v>
      </c>
      <c r="E43">
        <f ca="1"/>
        <v>-5.9911242603550301</v>
      </c>
      <c r="F43">
        <f ca="1"/>
        <v>4.3754795664576688E-3</v>
      </c>
      <c r="G43">
        <f ca="1"/>
        <v>-6.2545724163228983E-2</v>
      </c>
      <c r="H43">
        <f ca="1">(E43*12)/(Beam_Analysis!$B$2*Beam_Analysis!$B$3)</f>
        <v>-8.0489801975213121E-5</v>
      </c>
      <c r="N43" s="19"/>
      <c r="O43" s="20"/>
      <c r="P43" s="20"/>
      <c r="Q43" s="20"/>
      <c r="R43" s="20"/>
      <c r="S43" s="20"/>
      <c r="T43" s="20"/>
      <c r="U43" s="20"/>
      <c r="V43" s="20" t="e">
        <v>#NUM!</v>
      </c>
      <c r="W43" s="20" t="e">
        <v>#NUM!</v>
      </c>
      <c r="X43" s="20" t="e">
        <v>#NUM!</v>
      </c>
      <c r="Y43" s="20" t="e">
        <v>#NUM!</v>
      </c>
      <c r="Z43" s="20" t="e">
        <v>#NUM!</v>
      </c>
      <c r="AA43" s="20" t="e">
        <v>#NUM!</v>
      </c>
      <c r="AB43" s="20"/>
      <c r="AC43" s="20"/>
      <c r="AD43" s="20" t="e">
        <v>#NUM!</v>
      </c>
      <c r="AE43" s="20" t="e">
        <v>#NUM!</v>
      </c>
      <c r="AF43" s="20" t="e">
        <v>#NUM!</v>
      </c>
      <c r="AG43" s="20" t="e">
        <v>#NUM!</v>
      </c>
      <c r="AH43" s="20" t="e">
        <v>#NUM!</v>
      </c>
      <c r="AI43" s="20"/>
      <c r="AJ43" s="20"/>
      <c r="AK43" s="20">
        <v>315.34464116574753</v>
      </c>
      <c r="AL43" s="20">
        <v>-500.93152618596395</v>
      </c>
      <c r="AM43" s="20">
        <v>372.07849416224423</v>
      </c>
      <c r="AN43" s="20">
        <v>-119.2806625117346</v>
      </c>
      <c r="AO43" s="20">
        <v>-29.62848672899376</v>
      </c>
      <c r="AP43" s="20"/>
      <c r="AQ43" s="20"/>
      <c r="AR43" s="20">
        <v>315.32448450721552</v>
      </c>
      <c r="AS43" s="20">
        <v>-500.5388686121957</v>
      </c>
      <c r="AT43" s="20">
        <v>369.35991422225788</v>
      </c>
      <c r="AU43" s="20">
        <v>-112.97994466838317</v>
      </c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1"/>
    </row>
    <row r="44" spans="1:69" x14ac:dyDescent="0.25">
      <c r="A44">
        <v>20</v>
      </c>
      <c r="B44">
        <f t="shared" si="22"/>
        <v>3.6538461538461542</v>
      </c>
      <c r="C44">
        <f t="shared" ca="1" si="23"/>
        <v>-5.2670833681386045E-2</v>
      </c>
      <c r="D44" cm="1">
        <f t="array" aca="1" ref="D44:G44" ca="1">left_cantilever_analysis(Beam_Analysis!$B$29,B44,Beam_Analysis!$D$3,Beam_Analysis!$D$2,Beam_Analysis!$B$33:$G$53,Beam_Analysis!$G$5:$P$5,0)</f>
        <v>-3.6538461538461542</v>
      </c>
      <c r="E44">
        <f ca="1"/>
        <v>-6.6752958579881669</v>
      </c>
      <c r="F44">
        <f ca="1"/>
        <v>4.1792235678144015E-3</v>
      </c>
      <c r="G44">
        <f ca="1"/>
        <v>-5.2670833681386045E-2</v>
      </c>
      <c r="H44">
        <f ca="1">(E44*12)/(Beam_Analysis!$B$2*Beam_Analysis!$B$3)</f>
        <v>-8.9681538620530675E-5</v>
      </c>
      <c r="N44" s="19"/>
      <c r="O44" s="20"/>
      <c r="P44" s="20"/>
      <c r="Q44" s="20"/>
      <c r="R44" s="20"/>
      <c r="S44" s="20"/>
      <c r="T44" s="20"/>
      <c r="U44" s="20"/>
      <c r="V44" s="20" t="e">
        <v>#NUM!</v>
      </c>
      <c r="W44" s="20" t="e">
        <v>#NUM!</v>
      </c>
      <c r="X44" s="20" t="e">
        <v>#NUM!</v>
      </c>
      <c r="Y44" s="20" t="e">
        <v>#NUM!</v>
      </c>
      <c r="Z44" s="20" t="e">
        <v>#NUM!</v>
      </c>
      <c r="AA44" s="20" t="e">
        <v>#NUM!</v>
      </c>
      <c r="AB44" s="20"/>
      <c r="AC44" s="20"/>
      <c r="AD44" s="20" t="e">
        <v>#NUM!</v>
      </c>
      <c r="AE44" s="20" t="e">
        <v>#NUM!</v>
      </c>
      <c r="AF44" s="20" t="e">
        <v>#NUM!</v>
      </c>
      <c r="AG44" s="20" t="e">
        <v>#NUM!</v>
      </c>
      <c r="AH44" s="20" t="e">
        <v>#NUM!</v>
      </c>
      <c r="AI44" s="20"/>
      <c r="AJ44" s="20"/>
      <c r="AK44" s="20">
        <v>-117.47300790605102</v>
      </c>
      <c r="AL44" s="20">
        <v>372.07849416224326</v>
      </c>
      <c r="AM44" s="20">
        <v>-513.24508262092183</v>
      </c>
      <c r="AN44" s="20">
        <v>310.31640762781683</v>
      </c>
      <c r="AO44" s="20">
        <v>205.13397691683753</v>
      </c>
      <c r="AP44" s="20"/>
      <c r="AQ44" s="20"/>
      <c r="AR44" s="20">
        <v>-117.33345249899131</v>
      </c>
      <c r="AS44" s="20">
        <v>369.35991422225732</v>
      </c>
      <c r="AT44" s="20">
        <v>-494.42288897476328</v>
      </c>
      <c r="AU44" s="20">
        <v>266.69314328564053</v>
      </c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1"/>
    </row>
    <row r="45" spans="1:69" x14ac:dyDescent="0.25">
      <c r="A45">
        <v>21</v>
      </c>
      <c r="B45">
        <f t="shared" si="22"/>
        <v>3.8461538461538463</v>
      </c>
      <c r="C45">
        <f t="shared" ca="1" si="23"/>
        <v>-4.3273757688038345E-2</v>
      </c>
      <c r="D45" cm="1">
        <f t="array" aca="1" ref="D45:G45" ca="1">left_cantilever_analysis(Beam_Analysis!$B$29,B45,Beam_Analysis!$D$3,Beam_Analysis!$D$2,Beam_Analysis!$B$33:$G$53,Beam_Analysis!$G$5:$P$5,0)</f>
        <v>-3.8461538461538463</v>
      </c>
      <c r="E45">
        <f ca="1"/>
        <v>-7.3964497041420119</v>
      </c>
      <c r="F45">
        <f ca="1"/>
        <v>3.9611825800325452E-3</v>
      </c>
      <c r="G45">
        <f ca="1"/>
        <v>-4.3273757688038345E-2</v>
      </c>
      <c r="H45">
        <f ca="1">(E45*12)/(Beam_Analysis!$B$2*Beam_Analysis!$B$3)</f>
        <v>-9.9370125895324838E-5</v>
      </c>
      <c r="N45" s="19"/>
      <c r="O45" s="20"/>
      <c r="P45" s="20"/>
      <c r="Q45" s="20"/>
      <c r="R45" s="20"/>
      <c r="S45" s="20"/>
      <c r="T45" s="20"/>
      <c r="U45" s="20"/>
      <c r="V45" s="20" t="e">
        <v>#NUM!</v>
      </c>
      <c r="W45" s="20" t="e">
        <v>#NUM!</v>
      </c>
      <c r="X45" s="20" t="e">
        <v>#NUM!</v>
      </c>
      <c r="Y45" s="20" t="e">
        <v>#NUM!</v>
      </c>
      <c r="Z45" s="20" t="e">
        <v>#NUM!</v>
      </c>
      <c r="AA45" s="20" t="e">
        <v>#NUM!</v>
      </c>
      <c r="AB45" s="20"/>
      <c r="AC45" s="20"/>
      <c r="AD45" s="20" t="e">
        <v>#NUM!</v>
      </c>
      <c r="AE45" s="20" t="e">
        <v>#NUM!</v>
      </c>
      <c r="AF45" s="20" t="e">
        <v>#NUM!</v>
      </c>
      <c r="AG45" s="20" t="e">
        <v>#NUM!</v>
      </c>
      <c r="AH45" s="20" t="e">
        <v>#NUM!</v>
      </c>
      <c r="AI45" s="20"/>
      <c r="AJ45" s="20"/>
      <c r="AK45" s="20">
        <v>16.50926217728367</v>
      </c>
      <c r="AL45" s="20">
        <v>-119.28066251173263</v>
      </c>
      <c r="AM45" s="20">
        <v>310.31640762781575</v>
      </c>
      <c r="AN45" s="20">
        <v>-311.57082620390304</v>
      </c>
      <c r="AO45" s="20">
        <v>-475.42884048646698</v>
      </c>
      <c r="AP45" s="20"/>
      <c r="AQ45" s="20"/>
      <c r="AR45" s="20">
        <v>16.185821534445104</v>
      </c>
      <c r="AS45" s="20">
        <v>-112.97994466838239</v>
      </c>
      <c r="AT45" s="20">
        <v>266.69314328564019</v>
      </c>
      <c r="AU45" s="20">
        <v>-210.46735082574313</v>
      </c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1"/>
    </row>
    <row r="46" spans="1:69" x14ac:dyDescent="0.25">
      <c r="A46">
        <v>22</v>
      </c>
      <c r="B46">
        <f t="shared" si="22"/>
        <v>4.0384615384615383</v>
      </c>
      <c r="C46">
        <f t="shared" ca="1" si="23"/>
        <v>-3.4406092210093012E-2</v>
      </c>
      <c r="D46" cm="1">
        <f t="array" aca="1" ref="D46:G46" ca="1">left_cantilever_analysis(Beam_Analysis!$B$29,B46,Beam_Analysis!$D$3,Beam_Analysis!$D$2,Beam_Analysis!$B$33:$G$53,Beam_Analysis!$G$5:$P$5,0)</f>
        <v>-4.0384615384615383</v>
      </c>
      <c r="E46">
        <f ca="1"/>
        <v>-8.1545857988165675</v>
      </c>
      <c r="F46">
        <f ca="1"/>
        <v>3.7202100247363825E-3</v>
      </c>
      <c r="G46">
        <f ca="1"/>
        <v>-3.4406092210093012E-2</v>
      </c>
      <c r="H46">
        <f ca="1">(E46*12)/(Beam_Analysis!$B$2*Beam_Analysis!$B$3)</f>
        <v>-1.0955556379959561E-4</v>
      </c>
      <c r="N46" s="19"/>
      <c r="O46" s="20"/>
      <c r="P46" s="20"/>
      <c r="Q46" s="20"/>
      <c r="R46" s="20"/>
      <c r="S46" s="20"/>
      <c r="T46" s="20"/>
      <c r="U46" s="20"/>
      <c r="V46" s="20" t="e">
        <v>#NUM!</v>
      </c>
      <c r="W46" s="20" t="e">
        <v>#NUM!</v>
      </c>
      <c r="X46" s="20" t="e">
        <v>#NUM!</v>
      </c>
      <c r="Y46" s="20" t="e">
        <v>#NUM!</v>
      </c>
      <c r="Z46" s="20" t="e">
        <v>#NUM!</v>
      </c>
      <c r="AA46" s="20" t="e">
        <v>#NUM!</v>
      </c>
      <c r="AB46" s="20"/>
      <c r="AC46" s="20"/>
      <c r="AD46" s="20" t="e">
        <v>#NUM!</v>
      </c>
      <c r="AE46" s="20" t="e">
        <v>#NUM!</v>
      </c>
      <c r="AF46" s="20" t="e">
        <v>#NUM!</v>
      </c>
      <c r="AG46" s="20" t="e">
        <v>#NUM!</v>
      </c>
      <c r="AH46" s="20" t="e">
        <v>#NUM!</v>
      </c>
      <c r="AI46" s="20"/>
      <c r="AJ46" s="20"/>
      <c r="AK46" s="20">
        <v>1.520946824189527</v>
      </c>
      <c r="AL46" s="20">
        <v>-29.628486728988225</v>
      </c>
      <c r="AM46" s="20">
        <v>205.13397691683397</v>
      </c>
      <c r="AN46" s="20">
        <v>-475.42884048646602</v>
      </c>
      <c r="AO46" s="20">
        <v>-2235.6559111432184</v>
      </c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1"/>
    </row>
    <row r="47" spans="1:69" x14ac:dyDescent="0.25">
      <c r="A47">
        <v>23</v>
      </c>
      <c r="B47">
        <f t="shared" si="22"/>
        <v>4.2307692307692308</v>
      </c>
      <c r="C47">
        <f t="shared" ca="1" si="23"/>
        <v>-2.6122079224555055E-2</v>
      </c>
      <c r="D47" cm="1">
        <f t="array" aca="1" ref="D47:G47" ca="1">left_cantilever_analysis(Beam_Analysis!$B$29,B47,Beam_Analysis!$D$3,Beam_Analysis!$D$2,Beam_Analysis!$B$33:$G$53,Beam_Analysis!$G$5:$P$5,0)</f>
        <v>-4.2307692307692308</v>
      </c>
      <c r="E47">
        <f ca="1"/>
        <v>-8.949704142011834</v>
      </c>
      <c r="F47">
        <f ca="1"/>
        <v>3.4551593235501985E-3</v>
      </c>
      <c r="G47">
        <f ca="1"/>
        <v>-2.6122079224555055E-2</v>
      </c>
      <c r="H47">
        <f ca="1">(E47*12)/(Beam_Analysis!$B$2*Beam_Analysis!$B$3)</f>
        <v>-1.2023785233334306E-4</v>
      </c>
      <c r="N47" s="19"/>
      <c r="O47" s="20"/>
      <c r="P47" s="20"/>
      <c r="Q47" s="20"/>
      <c r="R47" s="20"/>
      <c r="S47" s="20"/>
      <c r="T47" s="20"/>
      <c r="U47" s="20"/>
      <c r="V47" s="20" t="e">
        <v>#NUM!</v>
      </c>
      <c r="W47" s="20" t="e">
        <v>#NUM!</v>
      </c>
      <c r="X47" s="20" t="e">
        <v>#NUM!</v>
      </c>
      <c r="Y47" s="20" t="e">
        <v>#NUM!</v>
      </c>
      <c r="Z47" s="20" t="e">
        <v>#NUM!</v>
      </c>
      <c r="AA47" s="20" t="e">
        <v>#NUM!</v>
      </c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1"/>
    </row>
    <row r="48" spans="1:69" x14ac:dyDescent="0.25">
      <c r="A48">
        <v>24</v>
      </c>
      <c r="B48">
        <f t="shared" si="22"/>
        <v>4.4230769230769234</v>
      </c>
      <c r="C48">
        <f t="shared" ca="1" si="23"/>
        <v>-1.8478606658527269E-2</v>
      </c>
      <c r="D48" cm="1">
        <f t="array" aca="1" ref="D48:G48" ca="1">left_cantilever_analysis(Beam_Analysis!$B$29,B48,Beam_Analysis!$D$3,Beam_Analysis!$D$2,Beam_Analysis!$B$33:$G$53,Beam_Analysis!$G$5:$P$5,0)</f>
        <v>-4.4230769230769234</v>
      </c>
      <c r="E48">
        <f ca="1"/>
        <v>-9.781804733727812</v>
      </c>
      <c r="F48">
        <f ca="1"/>
        <v>3.1648838980982783E-3</v>
      </c>
      <c r="G48">
        <f ca="1"/>
        <v>-1.8478606658527269E-2</v>
      </c>
      <c r="H48">
        <f ca="1">(E48*12)/(Beam_Analysis!$B$2*Beam_Analysis!$B$3)</f>
        <v>-1.3141699149656712E-4</v>
      </c>
      <c r="N48" s="19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1"/>
    </row>
    <row r="49" spans="1:69" x14ac:dyDescent="0.25">
      <c r="A49">
        <v>25</v>
      </c>
      <c r="B49">
        <f t="shared" si="22"/>
        <v>4.6153846153846159</v>
      </c>
      <c r="C49">
        <f t="shared" ca="1" si="23"/>
        <v>-1.1535208389210259E-2</v>
      </c>
      <c r="D49" cm="1">
        <f t="array" aca="1" ref="D49:G49" ca="1">left_cantilever_analysis(Beam_Analysis!$B$29,B49,Beam_Analysis!$D$3,Beam_Analysis!$D$2,Beam_Analysis!$B$33:$G$53,Beam_Analysis!$G$5:$P$5,0)</f>
        <v>-4.6153846153846159</v>
      </c>
      <c r="E49">
        <f ca="1"/>
        <v>-10.6508875739645</v>
      </c>
      <c r="F49">
        <f ca="1"/>
        <v>2.848237170004906E-3</v>
      </c>
      <c r="G49">
        <f ca="1"/>
        <v>-1.1535208389210259E-2</v>
      </c>
      <c r="H49">
        <f ca="1">(E49*12)/(Beam_Analysis!$B$2*Beam_Analysis!$B$3)</f>
        <v>-1.430929812892678E-4</v>
      </c>
      <c r="N49" s="19"/>
      <c r="O49" s="20"/>
      <c r="P49" s="20"/>
      <c r="Q49" s="20"/>
      <c r="R49" s="20"/>
      <c r="S49" s="20"/>
      <c r="T49" s="20"/>
      <c r="U49" s="20">
        <f ca="1">T10</f>
        <v>0.78369905956112851</v>
      </c>
      <c r="V49" s="20" t="e">
        <f t="array" ref="V49:V54">MMULT(V42:AA47,U49:U54)</f>
        <v>#NUM!</v>
      </c>
      <c r="W49" s="20"/>
      <c r="X49" s="20"/>
      <c r="Y49" s="20"/>
      <c r="Z49" s="20"/>
      <c r="AA49" s="20"/>
      <c r="AB49" s="20"/>
      <c r="AC49" s="20"/>
      <c r="AD49" s="20" t="e">
        <f t="array" ref="AD49:AD53">MMULT(AD42:AH46,U49:U53)</f>
        <v>#NUM!</v>
      </c>
      <c r="AE49" s="20"/>
      <c r="AF49" s="20"/>
      <c r="AG49" s="20"/>
      <c r="AH49" s="20"/>
      <c r="AI49" s="20"/>
      <c r="AJ49" s="20">
        <f ca="1">U49</f>
        <v>0.78369905956112851</v>
      </c>
      <c r="AK49" s="20">
        <f t="array" aca="1" ref="AK49:AK53" ca="1">MMULT(AK42:AO46,AJ49:AJ53)</f>
        <v>-0.97447484496842773</v>
      </c>
      <c r="AL49" s="20"/>
      <c r="AM49" s="20"/>
      <c r="AN49" s="20"/>
      <c r="AO49" s="20"/>
      <c r="AP49" s="20"/>
      <c r="AQ49" s="20"/>
      <c r="AR49" s="20">
        <f t="array" aca="1" ref="AR49:AR52" ca="1">MMULT(AR42:AU45,U49:U52)</f>
        <v>-0.96821483880622949</v>
      </c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1"/>
    </row>
    <row r="50" spans="1:69" x14ac:dyDescent="0.25">
      <c r="A50">
        <v>26</v>
      </c>
      <c r="B50">
        <f t="shared" si="22"/>
        <v>4.8076923076923084</v>
      </c>
      <c r="C50">
        <f t="shared" ca="1" si="23"/>
        <v>-5.3540642439024316E-3</v>
      </c>
      <c r="D50" cm="1">
        <f t="array" aca="1" ref="D50:G50" ca="1">left_cantilever_analysis(Beam_Analysis!$B$29,B50,Beam_Analysis!$D$3,Beam_Analysis!$D$2,Beam_Analysis!$B$33:$G$53,Beam_Analysis!$G$5:$P$5,0)</f>
        <v>-4.8076923076923084</v>
      </c>
      <c r="E50">
        <f ca="1"/>
        <v>-11.556952662721896</v>
      </c>
      <c r="F50">
        <f ca="1"/>
        <v>2.5040725608943674E-3</v>
      </c>
      <c r="G50">
        <f ca="1"/>
        <v>-5.3540642439024316E-3</v>
      </c>
      <c r="H50">
        <f ca="1">(E50*12)/(Beam_Analysis!$B$2*Beam_Analysis!$B$3)</f>
        <v>-1.5526582171144509E-4</v>
      </c>
      <c r="N50" s="19"/>
      <c r="O50" s="20"/>
      <c r="P50" s="20"/>
      <c r="Q50" s="20"/>
      <c r="R50" s="20"/>
      <c r="S50" s="20"/>
      <c r="T50" s="20"/>
      <c r="U50" s="20">
        <f t="shared" ref="U50:U52" ca="1" si="43">T11</f>
        <v>1.365875503806538</v>
      </c>
      <c r="V50" s="20" t="e">
        <v>#NUM!</v>
      </c>
      <c r="W50" s="20"/>
      <c r="X50" s="20"/>
      <c r="Y50" s="20"/>
      <c r="Z50" s="20"/>
      <c r="AA50" s="20"/>
      <c r="AB50" s="20"/>
      <c r="AC50" s="20"/>
      <c r="AD50" s="20" t="e">
        <v>#NUM!</v>
      </c>
      <c r="AE50" s="20"/>
      <c r="AF50" s="20"/>
      <c r="AG50" s="20"/>
      <c r="AH50" s="20"/>
      <c r="AI50" s="20"/>
      <c r="AJ50" s="20">
        <f t="shared" ref="AJ50:AJ52" ca="1" si="44">U50</f>
        <v>1.365875503806538</v>
      </c>
      <c r="AK50" s="20">
        <f ca="1"/>
        <v>-7.107938536594621</v>
      </c>
      <c r="AL50" s="20"/>
      <c r="AM50" s="20"/>
      <c r="AN50" s="20"/>
      <c r="AO50" s="20"/>
      <c r="AP50" s="20"/>
      <c r="AQ50" s="20"/>
      <c r="AR50" s="20">
        <f ca="1"/>
        <v>-7.2298852782942333</v>
      </c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1"/>
    </row>
    <row r="51" spans="1:69" x14ac:dyDescent="0.25">
      <c r="A51">
        <v>27</v>
      </c>
      <c r="B51">
        <f t="shared" si="22"/>
        <v>5</v>
      </c>
      <c r="C51">
        <f t="shared" ca="1" si="23"/>
        <v>-2.1872524690077976E-17</v>
      </c>
      <c r="D51" cm="1">
        <f t="array" aca="1" ref="D51:G51" ca="1">left_cantilever_analysis(Beam_Analysis!$B$29,B51,Beam_Analysis!$D$3,Beam_Analysis!$D$2,Beam_Analysis!$B$33:$G$53,Beam_Analysis!$G$5:$P$5,0)</f>
        <v>-5</v>
      </c>
      <c r="E51">
        <f ca="1"/>
        <v>-12.5</v>
      </c>
      <c r="F51">
        <f ca="1"/>
        <v>2.131243492390948E-3</v>
      </c>
      <c r="G51">
        <f ca="1"/>
        <v>-2.1872524690077976E-17</v>
      </c>
      <c r="H51">
        <f ca="1">(E51*12)/(Beam_Analysis!$B$2*Beam_Analysis!$B$3)</f>
        <v>-1.6793551276309896E-4</v>
      </c>
      <c r="N51" s="19"/>
      <c r="O51" s="20"/>
      <c r="P51" s="20"/>
      <c r="Q51" s="20"/>
      <c r="R51" s="20"/>
      <c r="S51" s="20"/>
      <c r="T51" s="20"/>
      <c r="U51" s="20">
        <f t="shared" ca="1" si="43"/>
        <v>1.5869905956112851</v>
      </c>
      <c r="V51" s="20" t="e">
        <v>#NUM!</v>
      </c>
      <c r="W51" s="20"/>
      <c r="X51" s="20"/>
      <c r="Y51" s="20"/>
      <c r="Z51" s="20"/>
      <c r="AA51" s="20"/>
      <c r="AB51" s="20"/>
      <c r="AC51" s="20"/>
      <c r="AD51" s="20" t="e">
        <v>#NUM!</v>
      </c>
      <c r="AE51" s="20"/>
      <c r="AF51" s="20"/>
      <c r="AG51" s="20"/>
      <c r="AH51" s="20"/>
      <c r="AI51" s="20"/>
      <c r="AJ51" s="20">
        <f t="shared" ca="1" si="44"/>
        <v>1.5869905956112851</v>
      </c>
      <c r="AK51" s="20">
        <f ca="1"/>
        <v>-2.7019707582165609</v>
      </c>
      <c r="AL51" s="20"/>
      <c r="AM51" s="20"/>
      <c r="AN51" s="20"/>
      <c r="AO51" s="20"/>
      <c r="AP51" s="20"/>
      <c r="AQ51" s="20"/>
      <c r="AR51" s="20">
        <f ca="1"/>
        <v>-1.8576677627326603</v>
      </c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1"/>
    </row>
    <row r="52" spans="1:69" x14ac:dyDescent="0.25">
      <c r="N52" s="19"/>
      <c r="O52" s="20"/>
      <c r="P52" s="20"/>
      <c r="Q52" s="20"/>
      <c r="R52" s="20"/>
      <c r="S52" s="20"/>
      <c r="T52" s="20"/>
      <c r="U52" s="20">
        <f t="shared" ca="1" si="43"/>
        <v>1.3882669055082846</v>
      </c>
      <c r="V52" s="20" t="e">
        <v>#NUM!</v>
      </c>
      <c r="W52" s="20"/>
      <c r="X52" s="20"/>
      <c r="Y52" s="20"/>
      <c r="Z52" s="20"/>
      <c r="AA52" s="20"/>
      <c r="AB52" s="20"/>
      <c r="AC52" s="20"/>
      <c r="AD52" s="20" t="e">
        <v>#NUM!</v>
      </c>
      <c r="AE52" s="20"/>
      <c r="AF52" s="20"/>
      <c r="AG52" s="20"/>
      <c r="AH52" s="20"/>
      <c r="AI52" s="20"/>
      <c r="AJ52" s="20">
        <f t="shared" ca="1" si="44"/>
        <v>1.3882669055082846</v>
      </c>
      <c r="AK52" s="20">
        <f ca="1"/>
        <v>-8.6202741000858651</v>
      </c>
      <c r="AL52" s="20"/>
      <c r="AM52" s="20"/>
      <c r="AN52" s="20"/>
      <c r="AO52" s="20"/>
      <c r="AP52" s="20"/>
      <c r="AQ52" s="20"/>
      <c r="AR52" s="20">
        <f ca="1"/>
        <v>-10.577073262249655</v>
      </c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1"/>
    </row>
    <row r="53" spans="1:69" x14ac:dyDescent="0.25">
      <c r="A53">
        <f>Beam_Analysis!S29/26</f>
        <v>0</v>
      </c>
      <c r="B53" t="s">
        <v>45</v>
      </c>
      <c r="C53" t="s">
        <v>46</v>
      </c>
      <c r="H53" s="1" t="s">
        <v>128</v>
      </c>
      <c r="N53" s="19"/>
      <c r="O53" s="20"/>
      <c r="P53" s="20"/>
      <c r="Q53" s="20"/>
      <c r="R53" s="20"/>
      <c r="S53" s="20"/>
      <c r="T53" s="20"/>
      <c r="U53" s="20">
        <f ca="1">T15</f>
        <v>0.161218092252575</v>
      </c>
      <c r="V53" s="20" t="e">
        <v>#NUM!</v>
      </c>
      <c r="W53" s="20"/>
      <c r="X53" s="20"/>
      <c r="Y53" s="20"/>
      <c r="Z53" s="20"/>
      <c r="AA53" s="20"/>
      <c r="AB53" s="20"/>
      <c r="AC53" s="20"/>
      <c r="AD53" s="20" t="e">
        <v>#NUM!</v>
      </c>
      <c r="AE53" s="20"/>
      <c r="AF53" s="20"/>
      <c r="AG53" s="20"/>
      <c r="AH53" s="20"/>
      <c r="AI53" s="20"/>
      <c r="AJ53" s="20">
        <f ca="1">U54</f>
        <v>-0.17129422301836095</v>
      </c>
      <c r="AK53" s="20">
        <f ca="1"/>
        <v>9.2016496292810075</v>
      </c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1"/>
    </row>
    <row r="54" spans="1:69" x14ac:dyDescent="0.25">
      <c r="A54">
        <v>1</v>
      </c>
      <c r="B54">
        <f>(A54-1)*$A$53</f>
        <v>0</v>
      </c>
      <c r="C54">
        <f ca="1">OFFSET(D54,0,$O$2)</f>
        <v>0</v>
      </c>
      <c r="D54" cm="1">
        <f t="array" aca="1" ref="D54:G54" ca="1">right_cantilever_analysis(Beam_Analysis!$S$29,B54,Beam_Analysis!$D$3,Beam_Analysis!$D$2,Beam_Analysis!$S$33:$X$53,Beam_Analysis!$G$5:$P$5,0)</f>
        <v>0</v>
      </c>
      <c r="E54">
        <f ca="1"/>
        <v>0</v>
      </c>
      <c r="F54">
        <f ca="1"/>
        <v>0</v>
      </c>
      <c r="G54">
        <f ca="1"/>
        <v>0</v>
      </c>
      <c r="H54">
        <f ca="1">(E54*12)/(Beam_Analysis!$B$2*Beam_Analysis!$B$3)</f>
        <v>0</v>
      </c>
      <c r="I54">
        <f t="shared" ref="I54:I80" si="45">B54+$F$17</f>
        <v>35</v>
      </c>
      <c r="N54" s="19"/>
      <c r="O54" s="20"/>
      <c r="P54" s="20"/>
      <c r="Q54" s="20"/>
      <c r="R54" s="20"/>
      <c r="S54" s="20"/>
      <c r="T54" s="20"/>
      <c r="U54" s="20">
        <f ca="1">T16</f>
        <v>-0.17129422301836095</v>
      </c>
      <c r="V54" s="20" t="e">
        <v>#NUM!</v>
      </c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1"/>
    </row>
    <row r="55" spans="1:69" x14ac:dyDescent="0.25">
      <c r="A55">
        <v>2</v>
      </c>
      <c r="B55">
        <f t="shared" ref="B55:B80" si="46">(A55-1)*$A$53</f>
        <v>0</v>
      </c>
      <c r="C55">
        <f t="shared" ref="C55:C80" ca="1" si="47">OFFSET(D55,0,$O$2)</f>
        <v>0</v>
      </c>
      <c r="D55" cm="1">
        <f t="array" aca="1" ref="D55:G55" ca="1">right_cantilever_analysis(Beam_Analysis!$S$29,B55,Beam_Analysis!$D$3,Beam_Analysis!$D$2,Beam_Analysis!$S$33:$X$53,Beam_Analysis!$G$5:$P$5,0)</f>
        <v>0</v>
      </c>
      <c r="E55">
        <f ca="1"/>
        <v>0</v>
      </c>
      <c r="F55">
        <f ca="1"/>
        <v>0</v>
      </c>
      <c r="G55">
        <f ca="1"/>
        <v>0</v>
      </c>
      <c r="H55">
        <f ca="1">(E55*12)/(Beam_Analysis!$B$2*Beam_Analysis!$B$3)</f>
        <v>0</v>
      </c>
      <c r="I55">
        <f t="shared" si="45"/>
        <v>35</v>
      </c>
      <c r="N55" s="19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1"/>
    </row>
    <row r="56" spans="1:69" x14ac:dyDescent="0.25">
      <c r="A56">
        <v>3</v>
      </c>
      <c r="B56">
        <f t="shared" si="46"/>
        <v>0</v>
      </c>
      <c r="C56">
        <f t="shared" ca="1" si="47"/>
        <v>0</v>
      </c>
      <c r="D56" cm="1">
        <f t="array" aca="1" ref="D56:G56" ca="1">right_cantilever_analysis(Beam_Analysis!$S$29,B56,Beam_Analysis!$D$3,Beam_Analysis!$D$2,Beam_Analysis!$S$33:$X$53,Beam_Analysis!$G$5:$P$5,0)</f>
        <v>0</v>
      </c>
      <c r="E56">
        <f ca="1"/>
        <v>0</v>
      </c>
      <c r="F56">
        <f ca="1"/>
        <v>0</v>
      </c>
      <c r="G56">
        <f ca="1"/>
        <v>0</v>
      </c>
      <c r="H56">
        <f ca="1">(E56*12)/(Beam_Analysis!$B$2*Beam_Analysis!$B$3)</f>
        <v>0</v>
      </c>
      <c r="I56">
        <f t="shared" si="45"/>
        <v>35</v>
      </c>
      <c r="N56" s="19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1"/>
    </row>
    <row r="57" spans="1:69" x14ac:dyDescent="0.25">
      <c r="A57">
        <v>4</v>
      </c>
      <c r="B57">
        <f t="shared" si="46"/>
        <v>0</v>
      </c>
      <c r="C57">
        <f t="shared" ca="1" si="47"/>
        <v>0</v>
      </c>
      <c r="D57" cm="1">
        <f t="array" aca="1" ref="D57:G57" ca="1">right_cantilever_analysis(Beam_Analysis!$S$29,B57,Beam_Analysis!$D$3,Beam_Analysis!$D$2,Beam_Analysis!$S$33:$X$53,Beam_Analysis!$G$5:$P$5,0)</f>
        <v>0</v>
      </c>
      <c r="E57">
        <f ca="1"/>
        <v>0</v>
      </c>
      <c r="F57">
        <f ca="1"/>
        <v>0</v>
      </c>
      <c r="G57">
        <f ca="1"/>
        <v>0</v>
      </c>
      <c r="H57">
        <f ca="1">(E57*12)/(Beam_Analysis!$B$2*Beam_Analysis!$B$3)</f>
        <v>0</v>
      </c>
      <c r="I57">
        <f t="shared" si="45"/>
        <v>35</v>
      </c>
      <c r="N57" s="19"/>
      <c r="O57" s="20"/>
      <c r="P57" s="20"/>
      <c r="Q57" s="20"/>
      <c r="R57" s="20"/>
      <c r="S57" s="20"/>
      <c r="T57" s="20"/>
      <c r="U57" s="20"/>
      <c r="V57" s="20">
        <f>V10</f>
        <v>-2.8822585460516491E-2</v>
      </c>
      <c r="W57" s="20">
        <f t="shared" ref="W57:X57" si="48">W10</f>
        <v>-4.2543663233318402E-2</v>
      </c>
      <c r="X57" s="20">
        <f t="shared" si="48"/>
        <v>-4.3663233318405735E-2</v>
      </c>
      <c r="Y57" s="20">
        <f>AA10</f>
        <v>0</v>
      </c>
      <c r="Z57" s="20">
        <f>AB10</f>
        <v>3.9184952978056423E-3</v>
      </c>
      <c r="AA57" s="20"/>
      <c r="AB57" s="20"/>
      <c r="AC57" s="20"/>
      <c r="AD57" s="20">
        <f>V57</f>
        <v>-2.8822585460516491E-2</v>
      </c>
      <c r="AE57" s="20">
        <f t="shared" ref="AE57:AG60" si="49">W57</f>
        <v>-4.2543663233318402E-2</v>
      </c>
      <c r="AF57" s="20">
        <f t="shared" si="49"/>
        <v>-4.3663233318405735E-2</v>
      </c>
      <c r="AG57" s="20">
        <f t="shared" si="49"/>
        <v>0</v>
      </c>
      <c r="AH57" s="20"/>
      <c r="AI57" s="20"/>
      <c r="AJ57" s="20"/>
      <c r="AK57" s="20">
        <f>V57</f>
        <v>-2.8822585460516491E-2</v>
      </c>
      <c r="AL57" s="20">
        <f t="shared" ref="AL57:AM59" si="50">W57</f>
        <v>-4.2543663233318402E-2</v>
      </c>
      <c r="AM57" s="20">
        <f t="shared" si="50"/>
        <v>-4.3663233318405735E-2</v>
      </c>
      <c r="AN57" s="20">
        <f>Z57</f>
        <v>3.9184952978056423E-3</v>
      </c>
      <c r="AO57" s="20"/>
      <c r="AP57" s="20"/>
      <c r="AQ57" s="20"/>
      <c r="AR57" s="20">
        <f>V57</f>
        <v>-2.8822585460516491E-2</v>
      </c>
      <c r="AS57" s="20">
        <f t="shared" ref="AS57:AT59" si="51">W57</f>
        <v>-4.2543663233318402E-2</v>
      </c>
      <c r="AT57" s="20">
        <f t="shared" si="51"/>
        <v>-4.3663233318405735E-2</v>
      </c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1"/>
    </row>
    <row r="58" spans="1:69" x14ac:dyDescent="0.25">
      <c r="A58">
        <v>5</v>
      </c>
      <c r="B58">
        <f t="shared" si="46"/>
        <v>0</v>
      </c>
      <c r="C58">
        <f t="shared" ca="1" si="47"/>
        <v>0</v>
      </c>
      <c r="D58" cm="1">
        <f t="array" aca="1" ref="D58:G58" ca="1">right_cantilever_analysis(Beam_Analysis!$S$29,B58,Beam_Analysis!$D$3,Beam_Analysis!$D$2,Beam_Analysis!$S$33:$X$53,Beam_Analysis!$G$5:$P$5,0)</f>
        <v>0</v>
      </c>
      <c r="E58">
        <f ca="1"/>
        <v>0</v>
      </c>
      <c r="F58">
        <f ca="1"/>
        <v>0</v>
      </c>
      <c r="G58">
        <f ca="1"/>
        <v>0</v>
      </c>
      <c r="H58">
        <f ca="1">(E58*12)/(Beam_Analysis!$B$2*Beam_Analysis!$B$3)</f>
        <v>0</v>
      </c>
      <c r="I58">
        <f t="shared" si="45"/>
        <v>35</v>
      </c>
      <c r="N58" s="19"/>
      <c r="O58" s="20"/>
      <c r="P58" s="20"/>
      <c r="Q58" s="20"/>
      <c r="R58" s="20"/>
      <c r="S58" s="20"/>
      <c r="T58" s="20"/>
      <c r="U58" s="20"/>
      <c r="V58" s="20">
        <f t="shared" ref="V58:X59" si="52">V11</f>
        <v>-4.2543663233318395E-2</v>
      </c>
      <c r="W58" s="20">
        <f t="shared" si="52"/>
        <v>-7.1652485445588873E-2</v>
      </c>
      <c r="X58" s="20">
        <f t="shared" si="52"/>
        <v>-7.7250335871025505E-2</v>
      </c>
      <c r="Y58" s="20">
        <f t="shared" ref="Y58:Z58" si="53">AA11</f>
        <v>0</v>
      </c>
      <c r="Z58" s="20">
        <f t="shared" si="53"/>
        <v>7.1652485445588901E-3</v>
      </c>
      <c r="AA58" s="20"/>
      <c r="AB58" s="20"/>
      <c r="AC58" s="20"/>
      <c r="AD58" s="20">
        <f t="shared" ref="AD58:AD60" si="54">V58</f>
        <v>-4.2543663233318395E-2</v>
      </c>
      <c r="AE58" s="20">
        <f t="shared" si="49"/>
        <v>-7.1652485445588873E-2</v>
      </c>
      <c r="AF58" s="20">
        <f t="shared" si="49"/>
        <v>-7.7250335871025505E-2</v>
      </c>
      <c r="AG58" s="20">
        <f t="shared" si="49"/>
        <v>0</v>
      </c>
      <c r="AH58" s="20"/>
      <c r="AI58" s="20"/>
      <c r="AJ58" s="20"/>
      <c r="AK58" s="20">
        <f t="shared" ref="AK58:AK59" si="55">V58</f>
        <v>-4.2543663233318395E-2</v>
      </c>
      <c r="AL58" s="20">
        <f t="shared" si="50"/>
        <v>-7.1652485445588873E-2</v>
      </c>
      <c r="AM58" s="20">
        <f t="shared" si="50"/>
        <v>-7.7250335871025505E-2</v>
      </c>
      <c r="AN58" s="20">
        <f t="shared" ref="AN58:AN59" si="56">Z58</f>
        <v>7.1652485445588901E-3</v>
      </c>
      <c r="AO58" s="20"/>
      <c r="AP58" s="20"/>
      <c r="AQ58" s="20"/>
      <c r="AR58" s="20">
        <f t="shared" ref="AR58:AR59" si="57">V58</f>
        <v>-4.2543663233318395E-2</v>
      </c>
      <c r="AS58" s="20">
        <f t="shared" si="51"/>
        <v>-7.1652485445588873E-2</v>
      </c>
      <c r="AT58" s="20">
        <f t="shared" si="51"/>
        <v>-7.7250335871025505E-2</v>
      </c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1"/>
    </row>
    <row r="59" spans="1:69" x14ac:dyDescent="0.25">
      <c r="A59">
        <v>6</v>
      </c>
      <c r="B59">
        <f t="shared" si="46"/>
        <v>0</v>
      </c>
      <c r="C59">
        <f t="shared" ca="1" si="47"/>
        <v>0</v>
      </c>
      <c r="D59" cm="1">
        <f t="array" aca="1" ref="D59:G59" ca="1">right_cantilever_analysis(Beam_Analysis!$S$29,B59,Beam_Analysis!$D$3,Beam_Analysis!$D$2,Beam_Analysis!$S$33:$X$53,Beam_Analysis!$G$5:$P$5,0)</f>
        <v>0</v>
      </c>
      <c r="E59">
        <f ca="1"/>
        <v>0</v>
      </c>
      <c r="F59">
        <f ca="1"/>
        <v>0</v>
      </c>
      <c r="G59">
        <f ca="1"/>
        <v>0</v>
      </c>
      <c r="H59">
        <f ca="1">(E59*12)/(Beam_Analysis!$B$2*Beam_Analysis!$B$3)</f>
        <v>0</v>
      </c>
      <c r="I59">
        <f t="shared" si="45"/>
        <v>35</v>
      </c>
      <c r="N59" s="19"/>
      <c r="O59" s="20"/>
      <c r="P59" s="20"/>
      <c r="Q59" s="20"/>
      <c r="R59" s="20"/>
      <c r="S59" s="20"/>
      <c r="T59" s="20"/>
      <c r="U59" s="20"/>
      <c r="V59" s="20">
        <f t="shared" si="52"/>
        <v>-4.3663233318405728E-2</v>
      </c>
      <c r="W59" s="20">
        <f t="shared" si="52"/>
        <v>-7.7250335871025519E-2</v>
      </c>
      <c r="X59" s="20">
        <f t="shared" si="52"/>
        <v>-9.103978682115145E-2</v>
      </c>
      <c r="Y59" s="20">
        <f t="shared" ref="Y59:Z59" si="58">AA12</f>
        <v>0</v>
      </c>
      <c r="Z59" s="20">
        <f t="shared" si="58"/>
        <v>9.0685176892073439E-3</v>
      </c>
      <c r="AA59" s="20"/>
      <c r="AB59" s="20"/>
      <c r="AC59" s="20"/>
      <c r="AD59" s="20">
        <f t="shared" si="54"/>
        <v>-4.3663233318405728E-2</v>
      </c>
      <c r="AE59" s="20">
        <f t="shared" si="49"/>
        <v>-7.7250335871025519E-2</v>
      </c>
      <c r="AF59" s="20">
        <f t="shared" si="49"/>
        <v>-9.103978682115145E-2</v>
      </c>
      <c r="AG59" s="20">
        <f t="shared" si="49"/>
        <v>0</v>
      </c>
      <c r="AH59" s="20"/>
      <c r="AI59" s="20"/>
      <c r="AJ59" s="20"/>
      <c r="AK59" s="20">
        <f t="shared" si="55"/>
        <v>-4.3663233318405728E-2</v>
      </c>
      <c r="AL59" s="20">
        <f t="shared" si="50"/>
        <v>-7.7250335871025519E-2</v>
      </c>
      <c r="AM59" s="20">
        <f t="shared" si="50"/>
        <v>-9.103978682115145E-2</v>
      </c>
      <c r="AN59" s="20">
        <f t="shared" si="56"/>
        <v>9.0685176892073439E-3</v>
      </c>
      <c r="AO59" s="20"/>
      <c r="AP59" s="20"/>
      <c r="AQ59" s="20"/>
      <c r="AR59" s="20">
        <f t="shared" si="57"/>
        <v>-4.3663233318405728E-2</v>
      </c>
      <c r="AS59" s="20">
        <f t="shared" si="51"/>
        <v>-7.7250335871025519E-2</v>
      </c>
      <c r="AT59" s="20">
        <f t="shared" si="51"/>
        <v>-9.103978682115145E-2</v>
      </c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1"/>
    </row>
    <row r="60" spans="1:69" x14ac:dyDescent="0.25">
      <c r="A60">
        <v>7</v>
      </c>
      <c r="B60">
        <f t="shared" si="46"/>
        <v>0</v>
      </c>
      <c r="C60">
        <f t="shared" ca="1" si="47"/>
        <v>0</v>
      </c>
      <c r="D60" cm="1">
        <f t="array" aca="1" ref="D60:G60" ca="1">right_cantilever_analysis(Beam_Analysis!$S$29,B60,Beam_Analysis!$D$3,Beam_Analysis!$D$2,Beam_Analysis!$S$33:$X$53,Beam_Analysis!$G$5:$P$5,0)</f>
        <v>0</v>
      </c>
      <c r="E60">
        <f ca="1"/>
        <v>0</v>
      </c>
      <c r="F60">
        <f ca="1"/>
        <v>0</v>
      </c>
      <c r="G60">
        <f ca="1"/>
        <v>0</v>
      </c>
      <c r="H60">
        <f ca="1">(E60*12)/(Beam_Analysis!$B$2*Beam_Analysis!$B$3)</f>
        <v>0</v>
      </c>
      <c r="I60">
        <f t="shared" si="45"/>
        <v>35</v>
      </c>
      <c r="N60" s="19"/>
      <c r="O60" s="20"/>
      <c r="P60" s="20"/>
      <c r="Q60" s="20"/>
      <c r="R60" s="20"/>
      <c r="S60" s="20"/>
      <c r="T60" s="20"/>
      <c r="U60" s="20"/>
      <c r="V60" s="20">
        <f>V15</f>
        <v>0</v>
      </c>
      <c r="W60" s="20">
        <f t="shared" ref="W60:X60" si="59">W15</f>
        <v>0</v>
      </c>
      <c r="X60" s="20">
        <f t="shared" si="59"/>
        <v>0</v>
      </c>
      <c r="Y60" s="20">
        <f>AA15</f>
        <v>0</v>
      </c>
      <c r="Z60" s="20">
        <f>AB15</f>
        <v>0</v>
      </c>
      <c r="AA60" s="20"/>
      <c r="AB60" s="20"/>
      <c r="AC60" s="20"/>
      <c r="AD60" s="20">
        <f t="shared" si="54"/>
        <v>0</v>
      </c>
      <c r="AE60" s="20">
        <f t="shared" si="49"/>
        <v>0</v>
      </c>
      <c r="AF60" s="20">
        <f t="shared" si="49"/>
        <v>0</v>
      </c>
      <c r="AG60" s="20">
        <f t="shared" si="49"/>
        <v>0</v>
      </c>
      <c r="AH60" s="20"/>
      <c r="AI60" s="20"/>
      <c r="AJ60" s="20"/>
      <c r="AK60" s="20">
        <f>V61</f>
        <v>3.9184952978056423E-3</v>
      </c>
      <c r="AL60" s="20">
        <f t="shared" ref="AL60:AM60" si="60">W61</f>
        <v>7.1652485445588892E-3</v>
      </c>
      <c r="AM60" s="20">
        <f t="shared" si="60"/>
        <v>9.0685176892073439E-3</v>
      </c>
      <c r="AN60" s="20">
        <f>Z61</f>
        <v>-1.61218092252575E-3</v>
      </c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1"/>
    </row>
    <row r="61" spans="1:69" x14ac:dyDescent="0.25">
      <c r="A61">
        <v>8</v>
      </c>
      <c r="B61">
        <f t="shared" si="46"/>
        <v>0</v>
      </c>
      <c r="C61">
        <f t="shared" ca="1" si="47"/>
        <v>0</v>
      </c>
      <c r="D61" cm="1">
        <f t="array" aca="1" ref="D61:G61" ca="1">right_cantilever_analysis(Beam_Analysis!$S$29,B61,Beam_Analysis!$D$3,Beam_Analysis!$D$2,Beam_Analysis!$S$33:$X$53,Beam_Analysis!$G$5:$P$5,0)</f>
        <v>0</v>
      </c>
      <c r="E61">
        <f ca="1"/>
        <v>0</v>
      </c>
      <c r="F61">
        <f ca="1"/>
        <v>0</v>
      </c>
      <c r="G61">
        <f ca="1"/>
        <v>0</v>
      </c>
      <c r="H61">
        <f ca="1">(E61*12)/(Beam_Analysis!$B$2*Beam_Analysis!$B$3)</f>
        <v>0</v>
      </c>
      <c r="I61">
        <f t="shared" si="45"/>
        <v>35</v>
      </c>
      <c r="N61" s="19"/>
      <c r="O61" s="20"/>
      <c r="P61" s="20"/>
      <c r="Q61" s="20"/>
      <c r="R61" s="20"/>
      <c r="S61" s="20"/>
      <c r="T61" s="20"/>
      <c r="U61" s="20"/>
      <c r="V61" s="20">
        <f>V16</f>
        <v>3.9184952978056423E-3</v>
      </c>
      <c r="W61" s="20">
        <f t="shared" ref="W61:X61" si="61">W16</f>
        <v>7.1652485445588892E-3</v>
      </c>
      <c r="X61" s="20">
        <f t="shared" si="61"/>
        <v>9.0685176892073439E-3</v>
      </c>
      <c r="Y61" s="20">
        <f>AA16</f>
        <v>0</v>
      </c>
      <c r="Z61" s="20">
        <f>AB16</f>
        <v>-1.61218092252575E-3</v>
      </c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1"/>
    </row>
    <row r="62" spans="1:69" x14ac:dyDescent="0.25">
      <c r="A62">
        <v>9</v>
      </c>
      <c r="B62">
        <f t="shared" si="46"/>
        <v>0</v>
      </c>
      <c r="C62">
        <f t="shared" ca="1" si="47"/>
        <v>0</v>
      </c>
      <c r="D62" cm="1">
        <f t="array" aca="1" ref="D62:G62" ca="1">right_cantilever_analysis(Beam_Analysis!$S$29,B62,Beam_Analysis!$D$3,Beam_Analysis!$D$2,Beam_Analysis!$S$33:$X$53,Beam_Analysis!$G$5:$P$5,0)</f>
        <v>0</v>
      </c>
      <c r="E62">
        <f ca="1"/>
        <v>0</v>
      </c>
      <c r="F62">
        <f ca="1"/>
        <v>0</v>
      </c>
      <c r="G62">
        <f ca="1"/>
        <v>0</v>
      </c>
      <c r="H62">
        <f ca="1">(E62*12)/(Beam_Analysis!$B$2*Beam_Analysis!$B$3)</f>
        <v>0</v>
      </c>
      <c r="I62">
        <f t="shared" si="45"/>
        <v>35</v>
      </c>
      <c r="N62" s="19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1"/>
    </row>
    <row r="63" spans="1:69" x14ac:dyDescent="0.25">
      <c r="A63">
        <v>10</v>
      </c>
      <c r="B63">
        <f t="shared" si="46"/>
        <v>0</v>
      </c>
      <c r="C63">
        <f t="shared" ca="1" si="47"/>
        <v>0</v>
      </c>
      <c r="D63" cm="1">
        <f t="array" aca="1" ref="D63:G63" ca="1">right_cantilever_analysis(Beam_Analysis!$S$29,B63,Beam_Analysis!$D$3,Beam_Analysis!$D$2,Beam_Analysis!$S$33:$X$53,Beam_Analysis!$G$5:$P$5,0)</f>
        <v>0</v>
      </c>
      <c r="E63">
        <f ca="1"/>
        <v>0</v>
      </c>
      <c r="F63">
        <f ca="1"/>
        <v>0</v>
      </c>
      <c r="G63">
        <f ca="1"/>
        <v>0</v>
      </c>
      <c r="H63">
        <f ca="1">(E63*12)/(Beam_Analysis!$B$2*Beam_Analysis!$B$3)</f>
        <v>0</v>
      </c>
      <c r="I63">
        <f t="shared" si="45"/>
        <v>35</v>
      </c>
      <c r="N63" s="19"/>
      <c r="O63" s="20"/>
      <c r="P63" s="20"/>
      <c r="Q63" s="20"/>
      <c r="R63" s="20"/>
      <c r="S63" s="20"/>
      <c r="T63" s="20"/>
      <c r="U63" s="20"/>
      <c r="V63" s="20" t="e">
        <f t="array" ref="V63:Z67">MINVERSE(V57:Z61)</f>
        <v>#NUM!</v>
      </c>
      <c r="W63" s="20" t="e">
        <v>#NUM!</v>
      </c>
      <c r="X63" s="20" t="e">
        <v>#NUM!</v>
      </c>
      <c r="Y63" s="20" t="e">
        <v>#NUM!</v>
      </c>
      <c r="Z63" s="20" t="e">
        <v>#NUM!</v>
      </c>
      <c r="AA63" s="20"/>
      <c r="AB63" s="20"/>
      <c r="AC63" s="20"/>
      <c r="AD63" s="20" t="e">
        <f t="array" ref="AD63:AG66">MINVERSE(AD57:AG60)</f>
        <v>#NUM!</v>
      </c>
      <c r="AE63" s="20" t="e">
        <v>#NUM!</v>
      </c>
      <c r="AF63" s="20" t="e">
        <v>#NUM!</v>
      </c>
      <c r="AG63" s="20" t="e">
        <v>#NUM!</v>
      </c>
      <c r="AH63" s="20"/>
      <c r="AI63" s="20"/>
      <c r="AJ63" s="20"/>
      <c r="AK63" s="20">
        <f t="array" ref="AK63:AN66">MINVERSE(AK57:AN60)</f>
        <v>-340.99901301265066</v>
      </c>
      <c r="AL63" s="20">
        <v>309.02429418692691</v>
      </c>
      <c r="AM63" s="20">
        <v>-101.03021384263026</v>
      </c>
      <c r="AN63" s="20">
        <v>-23.670690884200607</v>
      </c>
      <c r="AO63" s="20"/>
      <c r="AP63" s="20"/>
      <c r="AQ63" s="20"/>
      <c r="AR63" s="20">
        <f t="array" ref="AR63:AT65">MINVERSE(AR57:AT59)</f>
        <v>-340.62800015798689</v>
      </c>
      <c r="AS63" s="20">
        <v>306.63585316273668</v>
      </c>
      <c r="AT63" s="20">
        <v>-96.82363183205274</v>
      </c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1"/>
    </row>
    <row r="64" spans="1:69" x14ac:dyDescent="0.25">
      <c r="A64">
        <v>11</v>
      </c>
      <c r="B64">
        <f t="shared" si="46"/>
        <v>0</v>
      </c>
      <c r="C64">
        <f t="shared" ca="1" si="47"/>
        <v>0</v>
      </c>
      <c r="D64" cm="1">
        <f t="array" aca="1" ref="D64:G64" ca="1">right_cantilever_analysis(Beam_Analysis!$S$29,B64,Beam_Analysis!$D$3,Beam_Analysis!$D$2,Beam_Analysis!$S$33:$X$53,Beam_Analysis!$G$5:$P$5,0)</f>
        <v>0</v>
      </c>
      <c r="E64">
        <f ca="1"/>
        <v>0</v>
      </c>
      <c r="F64">
        <f ca="1"/>
        <v>0</v>
      </c>
      <c r="G64">
        <f ca="1"/>
        <v>0</v>
      </c>
      <c r="H64">
        <f ca="1">(E64*12)/(Beam_Analysis!$B$2*Beam_Analysis!$B$3)</f>
        <v>0</v>
      </c>
      <c r="I64">
        <f t="shared" si="45"/>
        <v>35</v>
      </c>
      <c r="N64" s="19"/>
      <c r="O64" s="20"/>
      <c r="P64" s="20"/>
      <c r="Q64" s="20"/>
      <c r="R64" s="20"/>
      <c r="S64" s="20"/>
      <c r="T64" s="20"/>
      <c r="U64" s="20"/>
      <c r="V64" s="20" t="e">
        <v>#NUM!</v>
      </c>
      <c r="W64" s="20" t="e">
        <v>#NUM!</v>
      </c>
      <c r="X64" s="20" t="e">
        <v>#NUM!</v>
      </c>
      <c r="Y64" s="20" t="e">
        <v>#NUM!</v>
      </c>
      <c r="Z64" s="20" t="e">
        <v>#NUM!</v>
      </c>
      <c r="AA64" s="20"/>
      <c r="AB64" s="20"/>
      <c r="AC64" s="20"/>
      <c r="AD64" s="20" t="e">
        <v>#NUM!</v>
      </c>
      <c r="AE64" s="20" t="e">
        <v>#NUM!</v>
      </c>
      <c r="AF64" s="20" t="e">
        <v>#NUM!</v>
      </c>
      <c r="AG64" s="20" t="e">
        <v>#NUM!</v>
      </c>
      <c r="AH64" s="20"/>
      <c r="AI64" s="20"/>
      <c r="AJ64" s="20"/>
      <c r="AK64" s="20">
        <v>309.02429418692748</v>
      </c>
      <c r="AL64" s="20">
        <v>-455.26654329078463</v>
      </c>
      <c r="AM64" s="20">
        <v>253.27806877875997</v>
      </c>
      <c r="AN64" s="20">
        <v>152.38299284804106</v>
      </c>
      <c r="AO64" s="20"/>
      <c r="AP64" s="20"/>
      <c r="AQ64" s="20"/>
      <c r="AR64" s="20">
        <v>306.63585316273691</v>
      </c>
      <c r="AS64" s="20">
        <v>-439.89065953277799</v>
      </c>
      <c r="AT64" s="20">
        <v>226.19767811469259</v>
      </c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1"/>
    </row>
    <row r="65" spans="1:69" x14ac:dyDescent="0.25">
      <c r="A65">
        <v>12</v>
      </c>
      <c r="B65">
        <f t="shared" si="46"/>
        <v>0</v>
      </c>
      <c r="C65">
        <f t="shared" ca="1" si="47"/>
        <v>0</v>
      </c>
      <c r="D65" cm="1">
        <f t="array" aca="1" ref="D65:G65" ca="1">right_cantilever_analysis(Beam_Analysis!$S$29,B65,Beam_Analysis!$D$3,Beam_Analysis!$D$2,Beam_Analysis!$S$33:$X$53,Beam_Analysis!$G$5:$P$5,0)</f>
        <v>0</v>
      </c>
      <c r="E65">
        <f ca="1"/>
        <v>0</v>
      </c>
      <c r="F65">
        <f ca="1"/>
        <v>0</v>
      </c>
      <c r="G65">
        <f ca="1"/>
        <v>0</v>
      </c>
      <c r="H65">
        <f ca="1">(E65*12)/(Beam_Analysis!$B$2*Beam_Analysis!$B$3)</f>
        <v>0</v>
      </c>
      <c r="I65">
        <f t="shared" si="45"/>
        <v>35</v>
      </c>
      <c r="N65" s="19"/>
      <c r="O65" s="20"/>
      <c r="P65" s="20"/>
      <c r="Q65" s="20"/>
      <c r="R65" s="20"/>
      <c r="S65" s="20"/>
      <c r="T65" s="20"/>
      <c r="U65" s="20"/>
      <c r="V65" s="20" t="e">
        <v>#NUM!</v>
      </c>
      <c r="W65" s="20" t="e">
        <v>#NUM!</v>
      </c>
      <c r="X65" s="20" t="e">
        <v>#NUM!</v>
      </c>
      <c r="Y65" s="20" t="e">
        <v>#NUM!</v>
      </c>
      <c r="Z65" s="20" t="e">
        <v>#NUM!</v>
      </c>
      <c r="AA65" s="20"/>
      <c r="AB65" s="20"/>
      <c r="AC65" s="20"/>
      <c r="AD65" s="20" t="e">
        <v>#NUM!</v>
      </c>
      <c r="AE65" s="20" t="e">
        <v>#NUM!</v>
      </c>
      <c r="AF65" s="20" t="e">
        <v>#NUM!</v>
      </c>
      <c r="AG65" s="20" t="e">
        <v>#NUM!</v>
      </c>
      <c r="AH65" s="20"/>
      <c r="AI65" s="20"/>
      <c r="AJ65" s="20"/>
      <c r="AK65" s="20">
        <v>-101.03021384263084</v>
      </c>
      <c r="AL65" s="20">
        <v>253.27806877876048</v>
      </c>
      <c r="AM65" s="20">
        <v>-204.17804314138687</v>
      </c>
      <c r="AN65" s="20">
        <v>-268.38073452109313</v>
      </c>
      <c r="AO65" s="20"/>
      <c r="AP65" s="20"/>
      <c r="AQ65" s="20"/>
      <c r="AR65" s="20">
        <v>-96.823631832053053</v>
      </c>
      <c r="AS65" s="20">
        <v>226.19767811469279</v>
      </c>
      <c r="AT65" s="20">
        <v>-156.48338245974381</v>
      </c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1"/>
    </row>
    <row r="66" spans="1:69" x14ac:dyDescent="0.25">
      <c r="A66">
        <v>13</v>
      </c>
      <c r="B66">
        <f t="shared" si="46"/>
        <v>0</v>
      </c>
      <c r="C66">
        <f t="shared" ca="1" si="47"/>
        <v>0</v>
      </c>
      <c r="D66" cm="1">
        <f t="array" aca="1" ref="D66:G66" ca="1">right_cantilever_analysis(Beam_Analysis!$S$29,B66,Beam_Analysis!$D$3,Beam_Analysis!$D$2,Beam_Analysis!$S$33:$X$53,Beam_Analysis!$G$5:$P$5,0)</f>
        <v>0</v>
      </c>
      <c r="E66">
        <f ca="1"/>
        <v>0</v>
      </c>
      <c r="F66">
        <f ca="1"/>
        <v>0</v>
      </c>
      <c r="G66">
        <f ca="1"/>
        <v>0</v>
      </c>
      <c r="H66">
        <f ca="1">(E66*12)/(Beam_Analysis!$B$2*Beam_Analysis!$B$3)</f>
        <v>0</v>
      </c>
      <c r="I66">
        <f t="shared" si="45"/>
        <v>35</v>
      </c>
      <c r="N66" s="19"/>
      <c r="O66" s="20"/>
      <c r="P66" s="20"/>
      <c r="Q66" s="20"/>
      <c r="R66" s="20"/>
      <c r="S66" s="20"/>
      <c r="T66" s="20"/>
      <c r="U66" s="20"/>
      <c r="V66" s="20" t="e">
        <v>#NUM!</v>
      </c>
      <c r="W66" s="20" t="e">
        <v>#NUM!</v>
      </c>
      <c r="X66" s="20" t="e">
        <v>#NUM!</v>
      </c>
      <c r="Y66" s="20" t="e">
        <v>#NUM!</v>
      </c>
      <c r="Z66" s="20" t="e">
        <v>#NUM!</v>
      </c>
      <c r="AA66" s="20"/>
      <c r="AB66" s="20"/>
      <c r="AC66" s="20"/>
      <c r="AD66" s="20" t="e">
        <v>#NUM!</v>
      </c>
      <c r="AE66" s="20" t="e">
        <v>#NUM!</v>
      </c>
      <c r="AF66" s="20" t="e">
        <v>#NUM!</v>
      </c>
      <c r="AG66" s="20" t="e">
        <v>#NUM!</v>
      </c>
      <c r="AH66" s="20"/>
      <c r="AI66" s="20"/>
      <c r="AJ66" s="20"/>
      <c r="AK66" s="20">
        <v>-23.670690884202315</v>
      </c>
      <c r="AL66" s="20">
        <v>152.38299284804327</v>
      </c>
      <c r="AM66" s="20">
        <v>-268.38073452109415</v>
      </c>
      <c r="AN66" s="20">
        <v>-1510.1945927000652</v>
      </c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1"/>
    </row>
    <row r="67" spans="1:69" x14ac:dyDescent="0.25">
      <c r="A67">
        <v>14</v>
      </c>
      <c r="B67">
        <f t="shared" si="46"/>
        <v>0</v>
      </c>
      <c r="C67">
        <f t="shared" ca="1" si="47"/>
        <v>0</v>
      </c>
      <c r="D67" cm="1">
        <f t="array" aca="1" ref="D67:G67" ca="1">right_cantilever_analysis(Beam_Analysis!$S$29,B67,Beam_Analysis!$D$3,Beam_Analysis!$D$2,Beam_Analysis!$S$33:$X$53,Beam_Analysis!$G$5:$P$5,0)</f>
        <v>0</v>
      </c>
      <c r="E67">
        <f ca="1"/>
        <v>0</v>
      </c>
      <c r="F67">
        <f ca="1"/>
        <v>0</v>
      </c>
      <c r="G67">
        <f ca="1"/>
        <v>0</v>
      </c>
      <c r="H67">
        <f ca="1">(E67*12)/(Beam_Analysis!$B$2*Beam_Analysis!$B$3)</f>
        <v>0</v>
      </c>
      <c r="I67">
        <f t="shared" si="45"/>
        <v>35</v>
      </c>
      <c r="N67" s="19"/>
      <c r="O67" s="20"/>
      <c r="P67" s="20"/>
      <c r="Q67" s="20"/>
      <c r="R67" s="20"/>
      <c r="S67" s="20"/>
      <c r="T67" s="20"/>
      <c r="U67" s="20"/>
      <c r="V67" s="20" t="e">
        <v>#NUM!</v>
      </c>
      <c r="W67" s="20" t="e">
        <v>#NUM!</v>
      </c>
      <c r="X67" s="20" t="e">
        <v>#NUM!</v>
      </c>
      <c r="Y67" s="20" t="e">
        <v>#NUM!</v>
      </c>
      <c r="Z67" s="20" t="e">
        <v>#NUM!</v>
      </c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1"/>
    </row>
    <row r="68" spans="1:69" x14ac:dyDescent="0.25">
      <c r="A68">
        <v>15</v>
      </c>
      <c r="B68">
        <f t="shared" si="46"/>
        <v>0</v>
      </c>
      <c r="C68">
        <f t="shared" ca="1" si="47"/>
        <v>0</v>
      </c>
      <c r="D68" cm="1">
        <f t="array" aca="1" ref="D68:G68" ca="1">right_cantilever_analysis(Beam_Analysis!$S$29,B68,Beam_Analysis!$D$3,Beam_Analysis!$D$2,Beam_Analysis!$S$33:$X$53,Beam_Analysis!$G$5:$P$5,0)</f>
        <v>0</v>
      </c>
      <c r="E68">
        <f ca="1"/>
        <v>0</v>
      </c>
      <c r="F68">
        <f ca="1"/>
        <v>0</v>
      </c>
      <c r="G68">
        <f ca="1"/>
        <v>0</v>
      </c>
      <c r="H68">
        <f ca="1">(E68*12)/(Beam_Analysis!$B$2*Beam_Analysis!$B$3)</f>
        <v>0</v>
      </c>
      <c r="I68">
        <f t="shared" si="45"/>
        <v>35</v>
      </c>
      <c r="N68" s="19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1"/>
    </row>
    <row r="69" spans="1:69" x14ac:dyDescent="0.25">
      <c r="A69">
        <v>16</v>
      </c>
      <c r="B69">
        <f t="shared" si="46"/>
        <v>0</v>
      </c>
      <c r="C69">
        <f t="shared" ca="1" si="47"/>
        <v>0</v>
      </c>
      <c r="D69" cm="1">
        <f t="array" aca="1" ref="D69:G69" ca="1">right_cantilever_analysis(Beam_Analysis!$S$29,B69,Beam_Analysis!$D$3,Beam_Analysis!$D$2,Beam_Analysis!$S$33:$X$53,Beam_Analysis!$G$5:$P$5,0)</f>
        <v>0</v>
      </c>
      <c r="E69">
        <f ca="1"/>
        <v>0</v>
      </c>
      <c r="F69">
        <f ca="1"/>
        <v>0</v>
      </c>
      <c r="G69">
        <f ca="1"/>
        <v>0</v>
      </c>
      <c r="H69">
        <f ca="1">(E69*12)/(Beam_Analysis!$B$2*Beam_Analysis!$B$3)</f>
        <v>0</v>
      </c>
      <c r="I69">
        <f t="shared" si="45"/>
        <v>35</v>
      </c>
      <c r="N69" s="19"/>
      <c r="O69" s="20"/>
      <c r="P69" s="20"/>
      <c r="Q69" s="20"/>
      <c r="R69" s="20"/>
      <c r="S69" s="20"/>
      <c r="T69" s="20"/>
      <c r="U69" s="20">
        <f ca="1">T10</f>
        <v>0.78369905956112851</v>
      </c>
      <c r="V69" s="20" t="e">
        <f t="array" ref="V69:V73">MMULT(V63:Z67,U69:U73)</f>
        <v>#NUM!</v>
      </c>
      <c r="W69" s="20"/>
      <c r="X69" s="20"/>
      <c r="Y69" s="20"/>
      <c r="Z69" s="20"/>
      <c r="AA69" s="20"/>
      <c r="AB69" s="20"/>
      <c r="AC69" s="20"/>
      <c r="AD69" s="20" t="e">
        <f t="array" ref="AD69:AD72">MMULT(AD63:AG66,U69:U72)</f>
        <v>#NUM!</v>
      </c>
      <c r="AE69" s="20"/>
      <c r="AF69" s="20"/>
      <c r="AG69" s="20"/>
      <c r="AH69" s="20"/>
      <c r="AI69" s="20"/>
      <c r="AJ69" s="20">
        <f ca="1">U69</f>
        <v>0.78369905956112851</v>
      </c>
      <c r="AK69" s="20">
        <f t="array" aca="1" ref="AK69:AK72" ca="1">MMULT(AK63:AN66,AJ69:AJ72)</f>
        <v>-1.4312389357930435</v>
      </c>
      <c r="AL69" s="20"/>
      <c r="AM69" s="20"/>
      <c r="AN69" s="20"/>
      <c r="AO69" s="20"/>
      <c r="AP69" s="20"/>
      <c r="AQ69" s="20"/>
      <c r="AR69" s="20">
        <f t="array" aca="1" ref="AR69:AR71" ca="1">MMULT(AR63:AT65,U69:U71)</f>
        <v>-1.7816361105988108</v>
      </c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1"/>
    </row>
    <row r="70" spans="1:69" x14ac:dyDescent="0.25">
      <c r="A70">
        <v>17</v>
      </c>
      <c r="B70">
        <f t="shared" si="46"/>
        <v>0</v>
      </c>
      <c r="C70">
        <f t="shared" ca="1" si="47"/>
        <v>0</v>
      </c>
      <c r="D70" cm="1">
        <f t="array" aca="1" ref="D70:G70" ca="1">right_cantilever_analysis(Beam_Analysis!$S$29,B70,Beam_Analysis!$D$3,Beam_Analysis!$D$2,Beam_Analysis!$S$33:$X$53,Beam_Analysis!$G$5:$P$5,0)</f>
        <v>0</v>
      </c>
      <c r="E70">
        <f ca="1"/>
        <v>0</v>
      </c>
      <c r="F70">
        <f ca="1"/>
        <v>0</v>
      </c>
      <c r="G70">
        <f ca="1"/>
        <v>0</v>
      </c>
      <c r="H70">
        <f ca="1">(E70*12)/(Beam_Analysis!$B$2*Beam_Analysis!$B$3)</f>
        <v>0</v>
      </c>
      <c r="I70">
        <f t="shared" si="45"/>
        <v>35</v>
      </c>
      <c r="N70" s="19"/>
      <c r="O70" s="20"/>
      <c r="P70" s="20"/>
      <c r="Q70" s="20"/>
      <c r="R70" s="20"/>
      <c r="S70" s="20"/>
      <c r="T70" s="20"/>
      <c r="U70" s="20">
        <f ca="1">T11</f>
        <v>1.365875503806538</v>
      </c>
      <c r="V70" s="20" t="e">
        <v>#NUM!</v>
      </c>
      <c r="W70" s="20"/>
      <c r="X70" s="20"/>
      <c r="Y70" s="20"/>
      <c r="Z70" s="20"/>
      <c r="AA70" s="20"/>
      <c r="AB70" s="20"/>
      <c r="AC70" s="20"/>
      <c r="AD70" s="20" t="e">
        <v>#NUM!</v>
      </c>
      <c r="AE70" s="20"/>
      <c r="AF70" s="20"/>
      <c r="AG70" s="20"/>
      <c r="AH70" s="20"/>
      <c r="AI70" s="20"/>
      <c r="AJ70" s="20">
        <f t="shared" ref="AJ70:AJ71" ca="1" si="62">U70</f>
        <v>1.365875503806538</v>
      </c>
      <c r="AK70" s="20">
        <f ca="1"/>
        <v>-3.8077835823622053</v>
      </c>
      <c r="AL70" s="20"/>
      <c r="AM70" s="20"/>
      <c r="AN70" s="20"/>
      <c r="AO70" s="20"/>
      <c r="AP70" s="20"/>
      <c r="AQ70" s="20"/>
      <c r="AR70" s="20">
        <f ca="1"/>
        <v>-1.5520585406363807</v>
      </c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1"/>
    </row>
    <row r="71" spans="1:69" x14ac:dyDescent="0.25">
      <c r="A71">
        <v>18</v>
      </c>
      <c r="B71">
        <f t="shared" si="46"/>
        <v>0</v>
      </c>
      <c r="C71">
        <f t="shared" ca="1" si="47"/>
        <v>0</v>
      </c>
      <c r="D71" cm="1">
        <f t="array" aca="1" ref="D71:G71" ca="1">right_cantilever_analysis(Beam_Analysis!$S$29,B71,Beam_Analysis!$D$3,Beam_Analysis!$D$2,Beam_Analysis!$S$33:$X$53,Beam_Analysis!$G$5:$P$5,0)</f>
        <v>0</v>
      </c>
      <c r="E71">
        <f ca="1"/>
        <v>0</v>
      </c>
      <c r="F71">
        <f ca="1"/>
        <v>0</v>
      </c>
      <c r="G71">
        <f ca="1"/>
        <v>0</v>
      </c>
      <c r="H71">
        <f ca="1">(E71*12)/(Beam_Analysis!$B$2*Beam_Analysis!$B$3)</f>
        <v>0</v>
      </c>
      <c r="I71">
        <f t="shared" si="45"/>
        <v>35</v>
      </c>
      <c r="N71" s="19"/>
      <c r="O71" s="20"/>
      <c r="P71" s="20"/>
      <c r="Q71" s="20"/>
      <c r="R71" s="20"/>
      <c r="S71" s="20"/>
      <c r="T71" s="20"/>
      <c r="U71" s="20">
        <f ca="1">T12</f>
        <v>1.5869905956112851</v>
      </c>
      <c r="V71" s="20" t="e">
        <v>#NUM!</v>
      </c>
      <c r="W71" s="20"/>
      <c r="X71" s="20"/>
      <c r="Y71" s="20"/>
      <c r="Z71" s="20"/>
      <c r="AA71" s="20"/>
      <c r="AB71" s="20"/>
      <c r="AC71" s="20"/>
      <c r="AD71" s="20" t="e">
        <v>#NUM!</v>
      </c>
      <c r="AE71" s="20"/>
      <c r="AF71" s="20"/>
      <c r="AG71" s="20"/>
      <c r="AH71" s="20"/>
      <c r="AI71" s="20"/>
      <c r="AJ71" s="20">
        <f t="shared" ca="1" si="62"/>
        <v>1.5869905956112851</v>
      </c>
      <c r="AK71" s="20">
        <f ca="1"/>
        <v>-11.287538682201614</v>
      </c>
      <c r="AL71" s="20"/>
      <c r="AM71" s="20"/>
      <c r="AN71" s="20"/>
      <c r="AO71" s="20"/>
      <c r="AP71" s="20"/>
      <c r="AQ71" s="20"/>
      <c r="AR71" s="20">
        <f ca="1"/>
        <v>-15.260377988355117</v>
      </c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1"/>
    </row>
    <row r="72" spans="1:69" x14ac:dyDescent="0.25">
      <c r="A72">
        <v>19</v>
      </c>
      <c r="B72">
        <f t="shared" si="46"/>
        <v>0</v>
      </c>
      <c r="C72">
        <f t="shared" ca="1" si="47"/>
        <v>0</v>
      </c>
      <c r="D72" cm="1">
        <f t="array" aca="1" ref="D72:G72" ca="1">right_cantilever_analysis(Beam_Analysis!$S$29,B72,Beam_Analysis!$D$3,Beam_Analysis!$D$2,Beam_Analysis!$S$33:$X$53,Beam_Analysis!$G$5:$P$5,0)</f>
        <v>0</v>
      </c>
      <c r="E72">
        <f ca="1"/>
        <v>0</v>
      </c>
      <c r="F72">
        <f ca="1"/>
        <v>0</v>
      </c>
      <c r="G72">
        <f ca="1"/>
        <v>0</v>
      </c>
      <c r="H72">
        <f ca="1">(E72*12)/(Beam_Analysis!$B$2*Beam_Analysis!$B$3)</f>
        <v>0</v>
      </c>
      <c r="I72">
        <f t="shared" si="45"/>
        <v>35</v>
      </c>
      <c r="N72" s="19"/>
      <c r="O72" s="20"/>
      <c r="P72" s="20"/>
      <c r="Q72" s="20"/>
      <c r="R72" s="20"/>
      <c r="S72" s="20"/>
      <c r="T72" s="20"/>
      <c r="U72" s="20">
        <f ca="1">T15</f>
        <v>0.161218092252575</v>
      </c>
      <c r="V72" s="20" t="e">
        <v>#NUM!</v>
      </c>
      <c r="W72" s="20"/>
      <c r="X72" s="20"/>
      <c r="Y72" s="20"/>
      <c r="Z72" s="20"/>
      <c r="AA72" s="20"/>
      <c r="AB72" s="20"/>
      <c r="AC72" s="20"/>
      <c r="AD72" s="20" t="e">
        <v>#NUM!</v>
      </c>
      <c r="AE72" s="20"/>
      <c r="AF72" s="20"/>
      <c r="AG72" s="20"/>
      <c r="AH72" s="20"/>
      <c r="AI72" s="20"/>
      <c r="AJ72" s="20">
        <f ca="1">U73</f>
        <v>-0.17129422301836095</v>
      </c>
      <c r="AK72" s="20">
        <f ca="1"/>
        <v>22.355406577619988</v>
      </c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1"/>
    </row>
    <row r="73" spans="1:69" x14ac:dyDescent="0.25">
      <c r="A73">
        <v>20</v>
      </c>
      <c r="B73">
        <f t="shared" si="46"/>
        <v>0</v>
      </c>
      <c r="C73">
        <f t="shared" ca="1" si="47"/>
        <v>0</v>
      </c>
      <c r="D73" cm="1">
        <f t="array" aca="1" ref="D73:G73" ca="1">right_cantilever_analysis(Beam_Analysis!$S$29,B73,Beam_Analysis!$D$3,Beam_Analysis!$D$2,Beam_Analysis!$S$33:$X$53,Beam_Analysis!$G$5:$P$5,0)</f>
        <v>0</v>
      </c>
      <c r="E73">
        <f ca="1"/>
        <v>0</v>
      </c>
      <c r="F73">
        <f ca="1"/>
        <v>0</v>
      </c>
      <c r="G73">
        <f ca="1"/>
        <v>0</v>
      </c>
      <c r="H73">
        <f ca="1">(E73*12)/(Beam_Analysis!$B$2*Beam_Analysis!$B$3)</f>
        <v>0</v>
      </c>
      <c r="I73">
        <f t="shared" si="45"/>
        <v>35</v>
      </c>
      <c r="N73" s="19"/>
      <c r="O73" s="20"/>
      <c r="P73" s="20"/>
      <c r="Q73" s="20"/>
      <c r="R73" s="20"/>
      <c r="S73" s="20"/>
      <c r="T73" s="20"/>
      <c r="U73" s="20">
        <f ca="1">T16</f>
        <v>-0.17129422301836095</v>
      </c>
      <c r="V73" s="20" t="e">
        <v>#NUM!</v>
      </c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1"/>
    </row>
    <row r="74" spans="1:69" x14ac:dyDescent="0.25">
      <c r="A74">
        <v>21</v>
      </c>
      <c r="B74">
        <f t="shared" si="46"/>
        <v>0</v>
      </c>
      <c r="C74">
        <f t="shared" ca="1" si="47"/>
        <v>0</v>
      </c>
      <c r="D74" cm="1">
        <f t="array" aca="1" ref="D74:G74" ca="1">right_cantilever_analysis(Beam_Analysis!$S$29,B74,Beam_Analysis!$D$3,Beam_Analysis!$D$2,Beam_Analysis!$S$33:$X$53,Beam_Analysis!$G$5:$P$5,0)</f>
        <v>0</v>
      </c>
      <c r="E74">
        <f ca="1"/>
        <v>0</v>
      </c>
      <c r="F74">
        <f ca="1"/>
        <v>0</v>
      </c>
      <c r="G74">
        <f ca="1"/>
        <v>0</v>
      </c>
      <c r="H74">
        <f ca="1">(E74*12)/(Beam_Analysis!$B$2*Beam_Analysis!$B$3)</f>
        <v>0</v>
      </c>
      <c r="I74">
        <f t="shared" si="45"/>
        <v>35</v>
      </c>
      <c r="N74" s="19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1"/>
    </row>
    <row r="75" spans="1:69" x14ac:dyDescent="0.25">
      <c r="A75">
        <v>22</v>
      </c>
      <c r="B75">
        <f t="shared" si="46"/>
        <v>0</v>
      </c>
      <c r="C75">
        <f t="shared" ca="1" si="47"/>
        <v>0</v>
      </c>
      <c r="D75" cm="1">
        <f t="array" aca="1" ref="D75:G75" ca="1">right_cantilever_analysis(Beam_Analysis!$S$29,B75,Beam_Analysis!$D$3,Beam_Analysis!$D$2,Beam_Analysis!$S$33:$X$53,Beam_Analysis!$G$5:$P$5,0)</f>
        <v>0</v>
      </c>
      <c r="E75">
        <f ca="1"/>
        <v>0</v>
      </c>
      <c r="F75">
        <f ca="1"/>
        <v>0</v>
      </c>
      <c r="G75">
        <f ca="1"/>
        <v>0</v>
      </c>
      <c r="H75">
        <f ca="1">(E75*12)/(Beam_Analysis!$B$2*Beam_Analysis!$B$3)</f>
        <v>0</v>
      </c>
      <c r="I75">
        <f t="shared" si="45"/>
        <v>35</v>
      </c>
      <c r="N75" s="19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1"/>
    </row>
    <row r="76" spans="1:69" x14ac:dyDescent="0.25">
      <c r="A76">
        <v>23</v>
      </c>
      <c r="B76">
        <f t="shared" si="46"/>
        <v>0</v>
      </c>
      <c r="C76">
        <f t="shared" ca="1" si="47"/>
        <v>0</v>
      </c>
      <c r="D76" cm="1">
        <f t="array" aca="1" ref="D76:G76" ca="1">right_cantilever_analysis(Beam_Analysis!$S$29,B76,Beam_Analysis!$D$3,Beam_Analysis!$D$2,Beam_Analysis!$S$33:$X$53,Beam_Analysis!$G$5:$P$5,0)</f>
        <v>0</v>
      </c>
      <c r="E76">
        <f ca="1"/>
        <v>0</v>
      </c>
      <c r="F76">
        <f ca="1"/>
        <v>0</v>
      </c>
      <c r="G76">
        <f ca="1"/>
        <v>0</v>
      </c>
      <c r="H76">
        <f ca="1">(E76*12)/(Beam_Analysis!$B$2*Beam_Analysis!$B$3)</f>
        <v>0</v>
      </c>
      <c r="I76">
        <f t="shared" si="45"/>
        <v>35</v>
      </c>
      <c r="N76" s="19"/>
      <c r="O76" s="20"/>
      <c r="P76" s="20"/>
      <c r="Q76" s="20"/>
      <c r="R76" s="20"/>
      <c r="S76" s="20"/>
      <c r="T76" s="20"/>
      <c r="U76" s="20"/>
      <c r="V76" s="20">
        <f>V10</f>
        <v>-2.8822585460516491E-2</v>
      </c>
      <c r="W76" s="20">
        <f>W10</f>
        <v>-4.2543663233318402E-2</v>
      </c>
      <c r="X76" s="20">
        <f>AA10</f>
        <v>0</v>
      </c>
      <c r="Y76" s="20">
        <f>AB10</f>
        <v>3.9184952978056423E-3</v>
      </c>
      <c r="Z76" s="20"/>
      <c r="AA76" s="20"/>
      <c r="AB76" s="20"/>
      <c r="AC76" s="20"/>
      <c r="AD76" s="20">
        <f>V76</f>
        <v>-2.8822585460516491E-2</v>
      </c>
      <c r="AE76" s="20">
        <f t="shared" ref="AE76:AF78" si="63">W76</f>
        <v>-4.2543663233318402E-2</v>
      </c>
      <c r="AF76" s="20">
        <f t="shared" si="63"/>
        <v>0</v>
      </c>
      <c r="AG76" s="20"/>
      <c r="AH76" s="20"/>
      <c r="AI76" s="20"/>
      <c r="AJ76" s="20"/>
      <c r="AK76" s="20">
        <f>V76</f>
        <v>-2.8822585460516491E-2</v>
      </c>
      <c r="AL76" s="20">
        <f>W76</f>
        <v>-4.2543663233318402E-2</v>
      </c>
      <c r="AM76" s="20">
        <f>Y76</f>
        <v>3.9184952978056423E-3</v>
      </c>
      <c r="AN76" s="20"/>
      <c r="AO76" s="20"/>
      <c r="AP76" s="20"/>
      <c r="AQ76" s="20"/>
      <c r="AR76" s="20">
        <f>V76</f>
        <v>-2.8822585460516491E-2</v>
      </c>
      <c r="AS76" s="20">
        <f>W76</f>
        <v>-4.2543663233318402E-2</v>
      </c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1"/>
    </row>
    <row r="77" spans="1:69" x14ac:dyDescent="0.25">
      <c r="A77">
        <v>24</v>
      </c>
      <c r="B77">
        <f t="shared" si="46"/>
        <v>0</v>
      </c>
      <c r="C77">
        <f t="shared" ca="1" si="47"/>
        <v>0</v>
      </c>
      <c r="D77" cm="1">
        <f t="array" aca="1" ref="D77:G77" ca="1">right_cantilever_analysis(Beam_Analysis!$S$29,B77,Beam_Analysis!$D$3,Beam_Analysis!$D$2,Beam_Analysis!$S$33:$X$53,Beam_Analysis!$G$5:$P$5,0)</f>
        <v>0</v>
      </c>
      <c r="E77">
        <f ca="1"/>
        <v>0</v>
      </c>
      <c r="F77">
        <f ca="1"/>
        <v>0</v>
      </c>
      <c r="G77">
        <f ca="1"/>
        <v>0</v>
      </c>
      <c r="H77">
        <f ca="1">(E77*12)/(Beam_Analysis!$B$2*Beam_Analysis!$B$3)</f>
        <v>0</v>
      </c>
      <c r="I77">
        <f t="shared" si="45"/>
        <v>35</v>
      </c>
      <c r="N77" s="19"/>
      <c r="O77" s="20"/>
      <c r="P77" s="20"/>
      <c r="Q77" s="20"/>
      <c r="R77" s="20"/>
      <c r="S77" s="20"/>
      <c r="T77" s="20"/>
      <c r="U77" s="20"/>
      <c r="V77" s="20">
        <f>V11</f>
        <v>-4.2543663233318395E-2</v>
      </c>
      <c r="W77" s="20">
        <f>W11</f>
        <v>-7.1652485445588873E-2</v>
      </c>
      <c r="X77" s="20">
        <f>AA11</f>
        <v>0</v>
      </c>
      <c r="Y77" s="20">
        <f>AB11</f>
        <v>7.1652485445588901E-3</v>
      </c>
      <c r="Z77" s="20"/>
      <c r="AA77" s="20"/>
      <c r="AB77" s="20"/>
      <c r="AC77" s="20"/>
      <c r="AD77" s="20">
        <f t="shared" ref="AD77:AD78" si="64">V77</f>
        <v>-4.2543663233318395E-2</v>
      </c>
      <c r="AE77" s="20">
        <f t="shared" si="63"/>
        <v>-7.1652485445588873E-2</v>
      </c>
      <c r="AF77" s="20">
        <f t="shared" si="63"/>
        <v>0</v>
      </c>
      <c r="AG77" s="20"/>
      <c r="AH77" s="20"/>
      <c r="AI77" s="20"/>
      <c r="AJ77" s="20"/>
      <c r="AK77" s="20">
        <f>V77</f>
        <v>-4.2543663233318395E-2</v>
      </c>
      <c r="AL77" s="20">
        <f>W77</f>
        <v>-7.1652485445588873E-2</v>
      </c>
      <c r="AM77" s="20">
        <f>Y77</f>
        <v>7.1652485445588901E-3</v>
      </c>
      <c r="AN77" s="20"/>
      <c r="AO77" s="20"/>
      <c r="AP77" s="20"/>
      <c r="AQ77" s="20"/>
      <c r="AR77" s="20">
        <f>V77</f>
        <v>-4.2543663233318395E-2</v>
      </c>
      <c r="AS77" s="20">
        <f>W77</f>
        <v>-7.1652485445588873E-2</v>
      </c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1"/>
    </row>
    <row r="78" spans="1:69" x14ac:dyDescent="0.25">
      <c r="A78">
        <v>25</v>
      </c>
      <c r="B78">
        <f t="shared" si="46"/>
        <v>0</v>
      </c>
      <c r="C78">
        <f t="shared" ca="1" si="47"/>
        <v>0</v>
      </c>
      <c r="D78" cm="1">
        <f t="array" aca="1" ref="D78:G78" ca="1">right_cantilever_analysis(Beam_Analysis!$S$29,B78,Beam_Analysis!$D$3,Beam_Analysis!$D$2,Beam_Analysis!$S$33:$X$53,Beam_Analysis!$G$5:$P$5,0)</f>
        <v>0</v>
      </c>
      <c r="E78">
        <f ca="1"/>
        <v>0</v>
      </c>
      <c r="F78">
        <f ca="1"/>
        <v>0</v>
      </c>
      <c r="G78">
        <f ca="1"/>
        <v>0</v>
      </c>
      <c r="H78">
        <f ca="1">(E78*12)/(Beam_Analysis!$B$2*Beam_Analysis!$B$3)</f>
        <v>0</v>
      </c>
      <c r="I78">
        <f t="shared" si="45"/>
        <v>35</v>
      </c>
      <c r="N78" s="19"/>
      <c r="O78" s="20"/>
      <c r="P78" s="20"/>
      <c r="Q78" s="20"/>
      <c r="R78" s="20"/>
      <c r="S78" s="20"/>
      <c r="T78" s="20"/>
      <c r="U78" s="20"/>
      <c r="V78" s="20">
        <f>V15</f>
        <v>0</v>
      </c>
      <c r="W78" s="20">
        <f>W15</f>
        <v>0</v>
      </c>
      <c r="X78" s="20">
        <f>AA15</f>
        <v>0</v>
      </c>
      <c r="Y78" s="20">
        <f>AB15</f>
        <v>0</v>
      </c>
      <c r="Z78" s="20"/>
      <c r="AA78" s="20"/>
      <c r="AB78" s="20"/>
      <c r="AC78" s="20"/>
      <c r="AD78" s="20">
        <f t="shared" si="64"/>
        <v>0</v>
      </c>
      <c r="AE78" s="20">
        <f t="shared" si="63"/>
        <v>0</v>
      </c>
      <c r="AF78" s="20">
        <f t="shared" si="63"/>
        <v>0</v>
      </c>
      <c r="AG78" s="20"/>
      <c r="AH78" s="20"/>
      <c r="AI78" s="20"/>
      <c r="AJ78" s="20"/>
      <c r="AK78" s="20">
        <f>V79</f>
        <v>3.9184952978056423E-3</v>
      </c>
      <c r="AL78" s="20">
        <f>W79</f>
        <v>7.1652485445588892E-3</v>
      </c>
      <c r="AM78" s="20">
        <f>Y79</f>
        <v>-1.61218092252575E-3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1"/>
    </row>
    <row r="79" spans="1:69" x14ac:dyDescent="0.25">
      <c r="A79">
        <v>26</v>
      </c>
      <c r="B79">
        <f t="shared" si="46"/>
        <v>0</v>
      </c>
      <c r="C79">
        <f t="shared" ca="1" si="47"/>
        <v>0</v>
      </c>
      <c r="D79" cm="1">
        <f t="array" aca="1" ref="D79:G79" ca="1">right_cantilever_analysis(Beam_Analysis!$S$29,B79,Beam_Analysis!$D$3,Beam_Analysis!$D$2,Beam_Analysis!$S$33:$X$53,Beam_Analysis!$G$5:$P$5,0)</f>
        <v>0</v>
      </c>
      <c r="E79">
        <f ca="1"/>
        <v>0</v>
      </c>
      <c r="F79">
        <f ca="1"/>
        <v>0</v>
      </c>
      <c r="G79">
        <f ca="1"/>
        <v>0</v>
      </c>
      <c r="H79">
        <f ca="1">(E79*12)/(Beam_Analysis!$B$2*Beam_Analysis!$B$3)</f>
        <v>0</v>
      </c>
      <c r="I79">
        <f t="shared" si="45"/>
        <v>35</v>
      </c>
      <c r="N79" s="19"/>
      <c r="O79" s="20"/>
      <c r="P79" s="20"/>
      <c r="Q79" s="20"/>
      <c r="R79" s="20"/>
      <c r="S79" s="20"/>
      <c r="T79" s="20"/>
      <c r="U79" s="20"/>
      <c r="V79" s="20">
        <f>V16</f>
        <v>3.9184952978056423E-3</v>
      </c>
      <c r="W79" s="20">
        <f>W16</f>
        <v>7.1652485445588892E-3</v>
      </c>
      <c r="X79" s="20">
        <f>AA16</f>
        <v>0</v>
      </c>
      <c r="Y79" s="20">
        <f>AB16</f>
        <v>-1.61218092252575E-3</v>
      </c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1"/>
    </row>
    <row r="80" spans="1:69" x14ac:dyDescent="0.25">
      <c r="A80">
        <v>27</v>
      </c>
      <c r="B80">
        <f t="shared" si="46"/>
        <v>0</v>
      </c>
      <c r="C80">
        <f t="shared" ca="1" si="47"/>
        <v>0</v>
      </c>
      <c r="D80" cm="1">
        <f t="array" aca="1" ref="D80:G80" ca="1">right_cantilever_analysis(Beam_Analysis!$S$29,B80,Beam_Analysis!$D$3,Beam_Analysis!$D$2,Beam_Analysis!$S$33:$X$53,Beam_Analysis!$G$5:$P$5,0)</f>
        <v>0</v>
      </c>
      <c r="E80">
        <f ca="1"/>
        <v>0</v>
      </c>
      <c r="F80">
        <f ca="1"/>
        <v>0</v>
      </c>
      <c r="G80">
        <f ca="1"/>
        <v>0</v>
      </c>
      <c r="H80">
        <f ca="1">(E80*12)/(Beam_Analysis!$B$2*Beam_Analysis!$B$3)</f>
        <v>0</v>
      </c>
      <c r="I80">
        <f t="shared" si="45"/>
        <v>35</v>
      </c>
      <c r="N80" s="19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1"/>
    </row>
    <row r="81" spans="14:69" x14ac:dyDescent="0.25">
      <c r="N81" s="19"/>
      <c r="O81" s="20"/>
      <c r="P81" s="20"/>
      <c r="Q81" s="20"/>
      <c r="R81" s="20"/>
      <c r="S81" s="20"/>
      <c r="T81" s="20"/>
      <c r="U81" s="20"/>
      <c r="V81" s="20" t="e">
        <f t="array" ref="V81:Y84">MINVERSE(V76:Y79)</f>
        <v>#NUM!</v>
      </c>
      <c r="W81" s="20" t="e">
        <v>#NUM!</v>
      </c>
      <c r="X81" s="20" t="e">
        <v>#NUM!</v>
      </c>
      <c r="Y81" s="20" t="e">
        <v>#NUM!</v>
      </c>
      <c r="Z81" s="20"/>
      <c r="AA81" s="20"/>
      <c r="AB81" s="20"/>
      <c r="AC81" s="20"/>
      <c r="AD81" s="20" t="e">
        <f t="array" ref="AD81:AF83">MINVERSE(AD76:AF78)</f>
        <v>#NUM!</v>
      </c>
      <c r="AE81" s="20" t="e">
        <v>#NUM!</v>
      </c>
      <c r="AF81" s="20" t="e">
        <v>#NUM!</v>
      </c>
      <c r="AG81" s="20"/>
      <c r="AH81" s="20"/>
      <c r="AI81" s="20"/>
      <c r="AJ81" s="20"/>
      <c r="AK81" s="20">
        <f t="array" ref="AK81:AM83">MINVERSE(AK76:AM78)</f>
        <v>-291.00781928757618</v>
      </c>
      <c r="AL81" s="20">
        <v>183.69868592528255</v>
      </c>
      <c r="AM81" s="20">
        <v>109.12793223284169</v>
      </c>
      <c r="AN81" s="20"/>
      <c r="AO81" s="20"/>
      <c r="AP81" s="20"/>
      <c r="AQ81" s="20"/>
      <c r="AR81" s="20">
        <f t="array" ref="AR81:AS82">MINVERSE(AR76:AS77)</f>
        <v>-280.7186632444608</v>
      </c>
      <c r="AS81" s="20">
        <v>166.67670630139864</v>
      </c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1"/>
    </row>
    <row r="82" spans="14:69" x14ac:dyDescent="0.25">
      <c r="N82" s="19"/>
      <c r="O82" s="20"/>
      <c r="P82" s="20"/>
      <c r="Q82" s="20"/>
      <c r="R82" s="20"/>
      <c r="S82" s="20"/>
      <c r="T82" s="20"/>
      <c r="U82" s="20"/>
      <c r="V82" s="20" t="e">
        <v>#NUM!</v>
      </c>
      <c r="W82" s="20" t="e">
        <v>#NUM!</v>
      </c>
      <c r="X82" s="20" t="e">
        <v>#NUM!</v>
      </c>
      <c r="Y82" s="20" t="e">
        <v>#NUM!</v>
      </c>
      <c r="Z82" s="20"/>
      <c r="AA82" s="20"/>
      <c r="AB82" s="20"/>
      <c r="AC82" s="20"/>
      <c r="AD82" s="20" t="e">
        <v>#NUM!</v>
      </c>
      <c r="AE82" s="20" t="e">
        <v>#NUM!</v>
      </c>
      <c r="AF82" s="20" t="e">
        <v>#NUM!</v>
      </c>
      <c r="AG82" s="20"/>
      <c r="AH82" s="20"/>
      <c r="AI82" s="20"/>
      <c r="AJ82" s="20"/>
      <c r="AK82" s="20">
        <v>183.69868592528249</v>
      </c>
      <c r="AL82" s="20">
        <v>-141.08104549033465</v>
      </c>
      <c r="AM82" s="20">
        <v>-180.53700722198138</v>
      </c>
      <c r="AN82" s="20"/>
      <c r="AO82" s="20"/>
      <c r="AP82" s="20"/>
      <c r="AQ82" s="20"/>
      <c r="AR82" s="20">
        <v>166.67670630139861</v>
      </c>
      <c r="AS82" s="20">
        <v>-112.92054436645545</v>
      </c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1"/>
    </row>
    <row r="83" spans="14:69" x14ac:dyDescent="0.25">
      <c r="N83" s="19"/>
      <c r="O83" s="20"/>
      <c r="P83" s="20"/>
      <c r="Q83" s="20"/>
      <c r="R83" s="20"/>
      <c r="S83" s="20"/>
      <c r="T83" s="20"/>
      <c r="U83" s="20"/>
      <c r="V83" s="20" t="e">
        <v>#NUM!</v>
      </c>
      <c r="W83" s="20" t="e">
        <v>#NUM!</v>
      </c>
      <c r="X83" s="20" t="e">
        <v>#NUM!</v>
      </c>
      <c r="Y83" s="20" t="e">
        <v>#NUM!</v>
      </c>
      <c r="Z83" s="20"/>
      <c r="AA83" s="20"/>
      <c r="AB83" s="20"/>
      <c r="AC83" s="20"/>
      <c r="AD83" s="20" t="e">
        <v>#NUM!</v>
      </c>
      <c r="AE83" s="20" t="e">
        <v>#NUM!</v>
      </c>
      <c r="AF83" s="20" t="e">
        <v>#NUM!</v>
      </c>
      <c r="AG83" s="20"/>
      <c r="AH83" s="20"/>
      <c r="AI83" s="20"/>
      <c r="AJ83" s="20"/>
      <c r="AK83" s="20">
        <v>109.1279322328413</v>
      </c>
      <c r="AL83" s="20">
        <v>-180.53700722198118</v>
      </c>
      <c r="AM83" s="20">
        <v>-1157.422974587316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1"/>
    </row>
    <row r="84" spans="14:69" x14ac:dyDescent="0.25">
      <c r="N84" s="19"/>
      <c r="O84" s="20"/>
      <c r="P84" s="20"/>
      <c r="Q84" s="20"/>
      <c r="R84" s="20"/>
      <c r="S84" s="20"/>
      <c r="T84" s="20"/>
      <c r="U84" s="20"/>
      <c r="V84" s="20" t="e">
        <v>#NUM!</v>
      </c>
      <c r="W84" s="20" t="e">
        <v>#NUM!</v>
      </c>
      <c r="X84" s="20" t="e">
        <v>#NUM!</v>
      </c>
      <c r="Y84" s="20" t="e">
        <v>#NUM!</v>
      </c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1"/>
    </row>
    <row r="85" spans="14:69" x14ac:dyDescent="0.25">
      <c r="N85" s="19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1"/>
    </row>
    <row r="86" spans="14:69" x14ac:dyDescent="0.25">
      <c r="N86" s="19"/>
      <c r="O86" s="20"/>
      <c r="P86" s="20"/>
      <c r="Q86" s="20"/>
      <c r="R86" s="20"/>
      <c r="S86" s="20"/>
      <c r="T86" s="20"/>
      <c r="U86" s="20">
        <f ca="1">T10</f>
        <v>0.78369905956112851</v>
      </c>
      <c r="V86" s="20" t="e">
        <f t="array" ref="V86:V89">MMULT(V81:Y84,U86:U89)</f>
        <v>#NUM!</v>
      </c>
      <c r="W86" s="20"/>
      <c r="X86" s="20"/>
      <c r="Y86" s="20"/>
      <c r="Z86" s="20"/>
      <c r="AA86" s="20"/>
      <c r="AB86" s="20"/>
      <c r="AC86" s="20"/>
      <c r="AD86" s="20" t="e">
        <f t="array" ref="AD86:AD88">MMULT(AD81:AF83,U86:U88)</f>
        <v>#NUM!</v>
      </c>
      <c r="AE86" s="20"/>
      <c r="AF86" s="20"/>
      <c r="AG86" s="20"/>
      <c r="AH86" s="20"/>
      <c r="AI86" s="20"/>
      <c r="AJ86" s="20">
        <f ca="1">U86</f>
        <v>0.78369905956112851</v>
      </c>
      <c r="AK86" s="20">
        <f t="array" aca="1" ref="AK86:AK88" ca="1">MMULT(AK81:AM83,AJ86:AJ88)</f>
        <v>4.1539965247610375</v>
      </c>
      <c r="AL86" s="20"/>
      <c r="AM86" s="20"/>
      <c r="AN86" s="20"/>
      <c r="AO86" s="20"/>
      <c r="AP86" s="20"/>
      <c r="AQ86" s="20"/>
      <c r="AR86" s="20">
        <f t="array" aca="1" ref="AR86:AR87" ca="1">MMULT(AR81:AS82,U86:U87)</f>
        <v>7.660677806296178</v>
      </c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1"/>
    </row>
    <row r="87" spans="14:69" x14ac:dyDescent="0.25">
      <c r="N87" s="19"/>
      <c r="O87" s="20"/>
      <c r="P87" s="20"/>
      <c r="Q87" s="20"/>
      <c r="R87" s="20"/>
      <c r="S87" s="20"/>
      <c r="T87" s="20"/>
      <c r="U87" s="20">
        <f ca="1">T11</f>
        <v>1.365875503806538</v>
      </c>
      <c r="V87" s="20" t="e">
        <v>#NUM!</v>
      </c>
      <c r="W87" s="20"/>
      <c r="X87" s="20"/>
      <c r="Y87" s="20"/>
      <c r="Z87" s="20"/>
      <c r="AA87" s="20"/>
      <c r="AB87" s="20"/>
      <c r="AC87" s="20"/>
      <c r="AD87" s="20" t="e">
        <v>#NUM!</v>
      </c>
      <c r="AE87" s="20"/>
      <c r="AF87" s="20"/>
      <c r="AG87" s="20"/>
      <c r="AH87" s="20"/>
      <c r="AI87" s="20"/>
      <c r="AJ87" s="20">
        <f t="shared" ref="AJ87" ca="1" si="65">U87</f>
        <v>1.365875503806538</v>
      </c>
      <c r="AK87" s="20">
        <f ca="1"/>
        <v>-17.809710306255418</v>
      </c>
      <c r="AL87" s="20"/>
      <c r="AM87" s="20"/>
      <c r="AN87" s="20"/>
      <c r="AO87" s="20"/>
      <c r="AP87" s="20"/>
      <c r="AQ87" s="20"/>
      <c r="AR87" s="20">
        <f ca="1"/>
        <v>-23.61102744748834</v>
      </c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1"/>
    </row>
    <row r="88" spans="14:69" x14ac:dyDescent="0.25">
      <c r="N88" s="19"/>
      <c r="O88" s="20"/>
      <c r="P88" s="20"/>
      <c r="Q88" s="20"/>
      <c r="R88" s="20"/>
      <c r="S88" s="20"/>
      <c r="T88" s="20"/>
      <c r="U88" s="20">
        <f ca="1">T15</f>
        <v>0.161218092252575</v>
      </c>
      <c r="V88" s="20" t="e">
        <v>#NUM!</v>
      </c>
      <c r="W88" s="20"/>
      <c r="X88" s="20"/>
      <c r="Y88" s="20"/>
      <c r="Z88" s="20"/>
      <c r="AA88" s="20"/>
      <c r="AB88" s="20"/>
      <c r="AC88" s="20"/>
      <c r="AD88" s="20" t="e">
        <v>#NUM!</v>
      </c>
      <c r="AE88" s="20"/>
      <c r="AF88" s="20"/>
      <c r="AG88" s="20"/>
      <c r="AH88" s="20"/>
      <c r="AI88" s="20"/>
      <c r="AJ88" s="20">
        <f ca="1">U89</f>
        <v>-0.17129422301836095</v>
      </c>
      <c r="AK88" s="20">
        <f ca="1"/>
        <v>37.19225130321459</v>
      </c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1"/>
    </row>
    <row r="89" spans="14:69" x14ac:dyDescent="0.25">
      <c r="N89" s="19"/>
      <c r="O89" s="20"/>
      <c r="P89" s="20"/>
      <c r="Q89" s="20"/>
      <c r="R89" s="20"/>
      <c r="S89" s="20"/>
      <c r="T89" s="20"/>
      <c r="U89" s="20">
        <f ca="1">T16</f>
        <v>-0.17129422301836095</v>
      </c>
      <c r="V89" s="20" t="e">
        <v>#NUM!</v>
      </c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1"/>
    </row>
    <row r="90" spans="14:69" x14ac:dyDescent="0.25">
      <c r="N90" s="19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1"/>
    </row>
    <row r="91" spans="14:69" x14ac:dyDescent="0.25">
      <c r="N91" s="19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1"/>
    </row>
    <row r="92" spans="14:69" x14ac:dyDescent="0.25">
      <c r="N92" s="19"/>
      <c r="O92" s="20"/>
      <c r="P92" s="20"/>
      <c r="Q92" s="20"/>
      <c r="R92" s="20"/>
      <c r="S92" s="20"/>
      <c r="T92" s="20"/>
      <c r="U92" s="20"/>
      <c r="V92" s="20">
        <f>V10</f>
        <v>-2.8822585460516491E-2</v>
      </c>
      <c r="W92" s="20">
        <f>AA10</f>
        <v>0</v>
      </c>
      <c r="X92" s="20">
        <f>AB10</f>
        <v>3.9184952978056423E-3</v>
      </c>
      <c r="Y92" s="20"/>
      <c r="Z92" s="20"/>
      <c r="AA92" s="20"/>
      <c r="AB92" s="20"/>
      <c r="AC92" s="20"/>
      <c r="AD92" s="20">
        <f>V92</f>
        <v>-2.8822585460516491E-2</v>
      </c>
      <c r="AE92" s="20">
        <f>W92</f>
        <v>0</v>
      </c>
      <c r="AF92" s="20"/>
      <c r="AG92" s="20"/>
      <c r="AH92" s="20"/>
      <c r="AI92" s="20"/>
      <c r="AJ92" s="20"/>
      <c r="AK92" s="20">
        <f>V92</f>
        <v>-2.8822585460516491E-2</v>
      </c>
      <c r="AL92" s="20">
        <f>X92</f>
        <v>3.9184952978056423E-3</v>
      </c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1"/>
    </row>
    <row r="93" spans="14:69" x14ac:dyDescent="0.25">
      <c r="N93" s="19"/>
      <c r="O93" s="20"/>
      <c r="P93" s="20"/>
      <c r="Q93" s="20"/>
      <c r="R93" s="20"/>
      <c r="S93" s="20"/>
      <c r="T93" s="20"/>
      <c r="U93" s="20"/>
      <c r="V93" s="20">
        <f>V15</f>
        <v>0</v>
      </c>
      <c r="W93" s="20">
        <f>AA15</f>
        <v>0</v>
      </c>
      <c r="X93" s="20">
        <f>AB15</f>
        <v>0</v>
      </c>
      <c r="Y93" s="20"/>
      <c r="Z93" s="20"/>
      <c r="AA93" s="20"/>
      <c r="AB93" s="20"/>
      <c r="AC93" s="20"/>
      <c r="AD93" s="20">
        <f>V93</f>
        <v>0</v>
      </c>
      <c r="AE93" s="20">
        <f>W93</f>
        <v>0</v>
      </c>
      <c r="AF93" s="20"/>
      <c r="AG93" s="20"/>
      <c r="AH93" s="20"/>
      <c r="AI93" s="20"/>
      <c r="AJ93" s="20"/>
      <c r="AK93" s="20">
        <f>V94</f>
        <v>3.9184952978056423E-3</v>
      </c>
      <c r="AL93" s="20">
        <f>X94</f>
        <v>-1.61218092252575E-3</v>
      </c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1"/>
    </row>
    <row r="94" spans="14:69" x14ac:dyDescent="0.25">
      <c r="N94" s="19"/>
      <c r="O94" s="20"/>
      <c r="P94" s="20"/>
      <c r="Q94" s="20"/>
      <c r="R94" s="20"/>
      <c r="S94" s="20"/>
      <c r="T94" s="20"/>
      <c r="U94" s="20"/>
      <c r="V94" s="20">
        <f>V16</f>
        <v>3.9184952978056423E-3</v>
      </c>
      <c r="W94" s="20">
        <f>AA16</f>
        <v>0</v>
      </c>
      <c r="X94" s="20">
        <f>AB16</f>
        <v>-1.61218092252575E-3</v>
      </c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1"/>
    </row>
    <row r="95" spans="14:69" x14ac:dyDescent="0.25">
      <c r="N95" s="19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1"/>
    </row>
    <row r="96" spans="14:69" x14ac:dyDescent="0.25">
      <c r="N96" s="19"/>
      <c r="O96" s="20"/>
      <c r="P96" s="20"/>
      <c r="Q96" s="20"/>
      <c r="R96" s="20"/>
      <c r="S96" s="20"/>
      <c r="T96" s="20"/>
      <c r="U96" s="20"/>
      <c r="V96" s="20" t="e">
        <f t="array" ref="V96:X98">MINVERSE(V92:X94)</f>
        <v>#NUM!</v>
      </c>
      <c r="W96" s="20" t="e">
        <v>#NUM!</v>
      </c>
      <c r="X96" s="20" t="e">
        <v>#NUM!</v>
      </c>
      <c r="Y96" s="20"/>
      <c r="Z96" s="20"/>
      <c r="AA96" s="20"/>
      <c r="AB96" s="20"/>
      <c r="AC96" s="20"/>
      <c r="AD96" s="20" t="e">
        <f t="array" ref="AD96:AE97">MINVERSE(AD92:AE93)</f>
        <v>#NUM!</v>
      </c>
      <c r="AE96" s="20" t="e">
        <v>#NUM!</v>
      </c>
      <c r="AF96" s="20"/>
      <c r="AG96" s="20"/>
      <c r="AH96" s="20"/>
      <c r="AI96" s="20"/>
      <c r="AJ96" s="20"/>
      <c r="AK96" s="20">
        <f t="array" ref="AK96:AL97">MINVERSE(AK92:AL93)</f>
        <v>-51.817592893999809</v>
      </c>
      <c r="AL96" s="20">
        <v>-125.94553828402732</v>
      </c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1"/>
    </row>
    <row r="97" spans="14:69" x14ac:dyDescent="0.25">
      <c r="N97" s="19"/>
      <c r="O97" s="20"/>
      <c r="P97" s="20"/>
      <c r="Q97" s="20"/>
      <c r="R97" s="20"/>
      <c r="S97" s="20"/>
      <c r="T97" s="20"/>
      <c r="U97" s="20"/>
      <c r="V97" s="20" t="e">
        <v>#NUM!</v>
      </c>
      <c r="W97" s="20" t="e">
        <v>#NUM!</v>
      </c>
      <c r="X97" s="20" t="e">
        <v>#NUM!</v>
      </c>
      <c r="Y97" s="20"/>
      <c r="Z97" s="20"/>
      <c r="AA97" s="20"/>
      <c r="AB97" s="20"/>
      <c r="AC97" s="20"/>
      <c r="AD97" s="20" t="e">
        <v>#NUM!</v>
      </c>
      <c r="AE97" s="20" t="e">
        <v>#NUM!</v>
      </c>
      <c r="AF97" s="20"/>
      <c r="AG97" s="20"/>
      <c r="AH97" s="20"/>
      <c r="AI97" s="20"/>
      <c r="AJ97" s="20"/>
      <c r="AK97" s="20">
        <v>-125.94553828402732</v>
      </c>
      <c r="AL97" s="20">
        <v>-926.39540555145538</v>
      </c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1"/>
    </row>
    <row r="98" spans="14:69" x14ac:dyDescent="0.25">
      <c r="N98" s="19"/>
      <c r="O98" s="20"/>
      <c r="P98" s="20"/>
      <c r="Q98" s="20"/>
      <c r="R98" s="20"/>
      <c r="S98" s="20"/>
      <c r="T98" s="20"/>
      <c r="U98" s="20"/>
      <c r="V98" s="20" t="e">
        <v>#NUM!</v>
      </c>
      <c r="W98" s="20" t="e">
        <v>#NUM!</v>
      </c>
      <c r="X98" s="20" t="e">
        <v>#NUM!</v>
      </c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1"/>
    </row>
    <row r="99" spans="14:69" x14ac:dyDescent="0.25">
      <c r="N99" s="19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1"/>
    </row>
    <row r="100" spans="14:69" x14ac:dyDescent="0.25">
      <c r="N100" s="19"/>
      <c r="O100" s="20"/>
      <c r="P100" s="20"/>
      <c r="Q100" s="20"/>
      <c r="R100" s="20"/>
      <c r="S100" s="20"/>
      <c r="T100" s="20"/>
      <c r="U100" s="20">
        <f ca="1">T10</f>
        <v>0.78369905956112851</v>
      </c>
      <c r="V100" s="20" t="e">
        <f t="array" ref="V100:V102">MMULT(V96:X98,U100:U102)</f>
        <v>#NUM!</v>
      </c>
      <c r="W100" s="20"/>
      <c r="X100" s="20"/>
      <c r="Y100" s="20"/>
      <c r="Z100" s="20"/>
      <c r="AA100" s="20"/>
      <c r="AB100" s="20"/>
      <c r="AC100" s="20"/>
      <c r="AD100" s="20" t="e">
        <f t="array" ref="AD100:AD101">MMULT(AD96:AE97,U100:U101)</f>
        <v>#NUM!</v>
      </c>
      <c r="AE100" s="20"/>
      <c r="AF100" s="20"/>
      <c r="AG100" s="20"/>
      <c r="AH100" s="20"/>
      <c r="AI100" s="20"/>
      <c r="AJ100" s="20">
        <f ca="1">U100</f>
        <v>0.78369905956112851</v>
      </c>
      <c r="AK100" s="20">
        <f t="array" aca="1" ref="AK100:AK101" ca="1">MMULT(AK96:AL97,AJ100:AJ101)</f>
        <v>-19.035655696757374</v>
      </c>
      <c r="AL100" s="20"/>
      <c r="AM100" s="20"/>
      <c r="AN100" s="20"/>
      <c r="AO100" s="20"/>
      <c r="AP100" s="20"/>
      <c r="AQ100" s="20"/>
      <c r="AR100" s="20">
        <f ca="1">U100/V92</f>
        <v>-27.190449678246349</v>
      </c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1"/>
    </row>
    <row r="101" spans="14:69" x14ac:dyDescent="0.25">
      <c r="N101" s="19"/>
      <c r="O101" s="20"/>
      <c r="P101" s="20"/>
      <c r="Q101" s="20"/>
      <c r="R101" s="20"/>
      <c r="S101" s="20"/>
      <c r="T101" s="20"/>
      <c r="U101" s="20">
        <f ca="1">T15</f>
        <v>0.161218092252575</v>
      </c>
      <c r="V101" s="20" t="e">
        <v>#NUM!</v>
      </c>
      <c r="W101" s="20"/>
      <c r="X101" s="20"/>
      <c r="Y101" s="20"/>
      <c r="Z101" s="20"/>
      <c r="AA101" s="20"/>
      <c r="AB101" s="20"/>
      <c r="AC101" s="20"/>
      <c r="AD101" s="20" t="e">
        <v>#NUM!</v>
      </c>
      <c r="AE101" s="20"/>
      <c r="AF101" s="20"/>
      <c r="AG101" s="20"/>
      <c r="AH101" s="20"/>
      <c r="AI101" s="20"/>
      <c r="AJ101" s="20">
        <f ca="1">U102</f>
        <v>-0.17129422301836095</v>
      </c>
      <c r="AK101" s="20">
        <f ca="1"/>
        <v>59.982781292603605</v>
      </c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1"/>
    </row>
    <row r="102" spans="14:69" x14ac:dyDescent="0.25">
      <c r="N102" s="19"/>
      <c r="O102" s="20"/>
      <c r="P102" s="20"/>
      <c r="Q102" s="20"/>
      <c r="R102" s="20"/>
      <c r="S102" s="20"/>
      <c r="T102" s="20"/>
      <c r="U102" s="20">
        <f ca="1">T16</f>
        <v>-0.17129422301836095</v>
      </c>
      <c r="V102" s="20" t="e">
        <v>#NUM!</v>
      </c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1"/>
    </row>
    <row r="103" spans="14:69" ht="15.75" thickBot="1" x14ac:dyDescent="0.3">
      <c r="N103" s="23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5"/>
    </row>
    <row r="105" spans="14:69" x14ac:dyDescent="0.25">
      <c r="Q105">
        <f>O3/240</f>
        <v>0.125</v>
      </c>
    </row>
    <row r="106" spans="14:69" x14ac:dyDescent="0.25">
      <c r="N106" s="1" t="s">
        <v>64</v>
      </c>
      <c r="O106" s="1" t="s">
        <v>45</v>
      </c>
      <c r="P106" s="1" t="s">
        <v>46</v>
      </c>
      <c r="R106" s="1" t="s">
        <v>19</v>
      </c>
      <c r="S106" s="1" t="s">
        <v>20</v>
      </c>
      <c r="T106" s="1" t="s">
        <v>21</v>
      </c>
      <c r="U106" s="1" t="s">
        <v>39</v>
      </c>
      <c r="V106" s="1" t="s">
        <v>128</v>
      </c>
      <c r="X106" s="1" t="s">
        <v>45</v>
      </c>
      <c r="Y106" s="1" t="s">
        <v>46</v>
      </c>
      <c r="Z106" s="1" t="s">
        <v>45</v>
      </c>
      <c r="AA106" s="1" t="s">
        <v>46</v>
      </c>
    </row>
    <row r="107" spans="14:69" x14ac:dyDescent="0.25">
      <c r="N107">
        <v>1</v>
      </c>
      <c r="O107" s="12">
        <f t="shared" ref="O107:O138" si="66">Q107+$F$12</f>
        <v>5</v>
      </c>
      <c r="P107">
        <f t="shared" ref="P107:P138" ca="1" si="67">OFFSET(R107,0,$O$2)</f>
        <v>0</v>
      </c>
      <c r="Q107">
        <f t="shared" ref="Q107:Q133" si="68">(N107-1)*$Q$105</f>
        <v>0</v>
      </c>
      <c r="R107" cm="1">
        <f t="array" aca="1" ref="R107:U107" ca="1">center_span(Beam_Analysis!$J$29,Q107,Beam_Analysis!$D$3,Beam_Analysis!$D$2,Beam_Analysis!$J$33:$O$79,Beam_Analysis!$G$5:$P$5,0)</f>
        <v>5.3345072579492863</v>
      </c>
      <c r="S107">
        <f ca="1"/>
        <v>-12.5</v>
      </c>
      <c r="T107">
        <f ca="1"/>
        <v>2.131243492390948E-3</v>
      </c>
      <c r="U107">
        <f ca="1"/>
        <v>0</v>
      </c>
      <c r="V107">
        <f ca="1">(S107*12)/(Beam_Analysis!$B$2*Beam_Analysis!$B$3)</f>
        <v>-1.6793551276309896E-4</v>
      </c>
      <c r="X107">
        <f>Beam_Analysis!A10+Data!F12</f>
        <v>20</v>
      </c>
      <c r="Y107">
        <v>0</v>
      </c>
      <c r="Z107">
        <f>F12+Beam_Analysis!A11</f>
        <v>15</v>
      </c>
      <c r="AA107">
        <v>0</v>
      </c>
    </row>
    <row r="108" spans="14:69" x14ac:dyDescent="0.25">
      <c r="N108">
        <v>2</v>
      </c>
      <c r="O108" s="12">
        <f t="shared" si="66"/>
        <v>5.125</v>
      </c>
      <c r="P108">
        <f t="shared" ca="1" si="67"/>
        <v>3.0112775563287809E-3</v>
      </c>
      <c r="Q108">
        <f t="shared" si="68"/>
        <v>0.125</v>
      </c>
      <c r="R108" cm="1">
        <f t="array" aca="1" ref="R108:U108" ca="1">center_span(Beam_Analysis!$J$29,Q108,Beam_Analysis!$D$3,Beam_Analysis!$D$2,Beam_Analysis!$J$33:$O$79,Beam_Analysis!$G$5:$P$5,0)</f>
        <v>5.2095072579492863</v>
      </c>
      <c r="S108">
        <f ca="1"/>
        <v>-11.840999092756338</v>
      </c>
      <c r="T108">
        <f ca="1"/>
        <v>1.8860066424863488E-3</v>
      </c>
      <c r="U108">
        <f ca="1"/>
        <v>3.0112775563287809E-3</v>
      </c>
      <c r="V108">
        <f ca="1">(S108*12)/(Beam_Analysis!$B$2*Beam_Analysis!$B$3)</f>
        <v>-1.5908194034155404E-4</v>
      </c>
      <c r="X108">
        <f>X107</f>
        <v>20</v>
      </c>
      <c r="Y108">
        <f ca="1">OFFSET(Beam_Analysis!A10,0,Data!O2+1)</f>
        <v>-1.3819162817209935E-2</v>
      </c>
      <c r="Z108">
        <f>Z107</f>
        <v>15</v>
      </c>
      <c r="AA108">
        <f ca="1">OFFSET(Beam_Analysis!A11,0,Data!O2+1)</f>
        <v>1.5021317523178368E-13</v>
      </c>
    </row>
    <row r="109" spans="14:69" x14ac:dyDescent="0.25">
      <c r="N109">
        <v>3</v>
      </c>
      <c r="O109" s="12">
        <f t="shared" si="66"/>
        <v>5.25</v>
      </c>
      <c r="P109">
        <f t="shared" ca="1" si="67"/>
        <v>5.6645813870033731E-3</v>
      </c>
      <c r="Q109">
        <f t="shared" si="68"/>
        <v>0.25</v>
      </c>
      <c r="R109" cm="1">
        <f t="array" aca="1" ref="R109:U109" ca="1">center_span(Beam_Analysis!$J$29,Q109,Beam_Analysis!$D$3,Beam_Analysis!$D$2,Beam_Analysis!$J$33:$O$79,Beam_Analysis!$G$5:$P$5,0)</f>
        <v>5.0845072579492863</v>
      </c>
      <c r="S109">
        <f ca="1"/>
        <v>-11.197623185512679</v>
      </c>
      <c r="T109">
        <f ca="1"/>
        <v>1.6538927116708088E-3</v>
      </c>
      <c r="U109">
        <f ca="1"/>
        <v>5.6645813870033731E-3</v>
      </c>
      <c r="V109">
        <f ca="1">(S109*12)/(Beam_Analysis!$B$2*Beam_Analysis!$B$3)</f>
        <v>-1.5043828731096297E-4</v>
      </c>
    </row>
    <row r="110" spans="14:69" x14ac:dyDescent="0.25">
      <c r="N110">
        <v>4</v>
      </c>
      <c r="O110" s="12">
        <f t="shared" si="66"/>
        <v>5.375</v>
      </c>
      <c r="P110">
        <f t="shared" ca="1" si="67"/>
        <v>7.9793597113424972E-3</v>
      </c>
      <c r="Q110">
        <f t="shared" si="68"/>
        <v>0.375</v>
      </c>
      <c r="R110" cm="1">
        <f t="array" aca="1" ref="R110:U110" ca="1">center_span(Beam_Analysis!$J$29,Q110,Beam_Analysis!$D$3,Beam_Analysis!$D$2,Beam_Analysis!$J$33:$O$79,Beam_Analysis!$G$5:$P$5,0)</f>
        <v>4.9595072579492863</v>
      </c>
      <c r="S110">
        <f ca="1"/>
        <v>-10.569872278269019</v>
      </c>
      <c r="T110">
        <f ca="1"/>
        <v>1.4345868208579544E-3</v>
      </c>
      <c r="U110">
        <f ca="1"/>
        <v>7.9793597113424972E-3</v>
      </c>
      <c r="V110">
        <f ca="1">(S110*12)/(Beam_Analysis!$B$2*Beam_Analysis!$B$3)</f>
        <v>-1.4200455367132582E-4</v>
      </c>
      <c r="X110" t="e">
        <f>IF(O2=1,F12+Beam_Analysis!A15,NA())</f>
        <v>#N/A</v>
      </c>
      <c r="Y110">
        <v>0</v>
      </c>
      <c r="Z110">
        <f ca="1">IF(O2=3,F12+Beam_Analysis!A19,NA())</f>
        <v>6.4838089942932129</v>
      </c>
      <c r="AA110">
        <v>0</v>
      </c>
    </row>
    <row r="111" spans="14:69" x14ac:dyDescent="0.25">
      <c r="N111">
        <v>5</v>
      </c>
      <c r="O111" s="12">
        <f t="shared" si="66"/>
        <v>5.5</v>
      </c>
      <c r="P111">
        <f t="shared" ca="1" si="67"/>
        <v>9.9745884300353437E-3</v>
      </c>
      <c r="Q111">
        <f t="shared" si="68"/>
        <v>0.5</v>
      </c>
      <c r="R111" cm="1">
        <f t="array" aca="1" ref="R111:U111" ca="1">center_span(Beam_Analysis!$J$29,Q111,Beam_Analysis!$D$3,Beam_Analysis!$D$2,Beam_Analysis!$J$33:$O$79,Beam_Analysis!$G$5:$P$5,0)</f>
        <v>4.8345072579492863</v>
      </c>
      <c r="S111">
        <f ca="1"/>
        <v>-9.9577463710253564</v>
      </c>
      <c r="T111">
        <f ca="1"/>
        <v>1.2277740909613713E-3</v>
      </c>
      <c r="U111">
        <f ca="1"/>
        <v>9.9745884300353437E-3</v>
      </c>
      <c r="V111">
        <f ca="1">(S111*12)/(Beam_Analysis!$B$2*Beam_Analysis!$B$3)</f>
        <v>-1.3378073942264248E-4</v>
      </c>
      <c r="X111" t="e">
        <f>X110</f>
        <v>#N/A</v>
      </c>
      <c r="Y111" t="e">
        <f ca="1">IF(O2=1,OFFSET(Beam_Analysis!A15,0,Data!O2+1),NA())</f>
        <v>#N/A</v>
      </c>
      <c r="Z111">
        <f ca="1">Z110</f>
        <v>6.4838089942932129</v>
      </c>
      <c r="AA111">
        <f ca="1">IF(O2=3,OFFSET(Beam_Analysis!A19,0,Data!O2+1),NA())</f>
        <v>1.6555311767771464E-2</v>
      </c>
    </row>
    <row r="112" spans="14:69" x14ac:dyDescent="0.25">
      <c r="N112">
        <v>6</v>
      </c>
      <c r="O112" s="12">
        <f t="shared" si="66"/>
        <v>5.625</v>
      </c>
      <c r="P112">
        <f t="shared" ca="1" si="67"/>
        <v>1.1668771125141569E-2</v>
      </c>
      <c r="Q112">
        <f t="shared" si="68"/>
        <v>0.625</v>
      </c>
      <c r="R112" cm="1">
        <f t="array" aca="1" ref="R112:U112" ca="1">center_span(Beam_Analysis!$J$29,Q112,Beam_Analysis!$D$3,Beam_Analysis!$D$2,Beam_Analysis!$J$33:$O$79,Beam_Analysis!$G$5:$P$5,0)</f>
        <v>4.7095072579492863</v>
      </c>
      <c r="S112">
        <f ca="1"/>
        <v>-9.3612454637816978</v>
      </c>
      <c r="T112">
        <f ca="1"/>
        <v>1.0331396428945802E-3</v>
      </c>
      <c r="U112">
        <f ca="1"/>
        <v>1.1668771125141569E-2</v>
      </c>
      <c r="V112">
        <f ca="1">(S112*12)/(Beam_Analysis!$B$2*Beam_Analysis!$B$3)</f>
        <v>-1.2576684456491307E-4</v>
      </c>
    </row>
    <row r="113" spans="14:22" x14ac:dyDescent="0.25">
      <c r="N113">
        <v>7</v>
      </c>
      <c r="O113" s="12">
        <f t="shared" si="66"/>
        <v>5.75</v>
      </c>
      <c r="P113">
        <f t="shared" ca="1" si="67"/>
        <v>1.3079939060090848E-2</v>
      </c>
      <c r="Q113">
        <f t="shared" si="68"/>
        <v>0.75</v>
      </c>
      <c r="R113" cm="1">
        <f t="array" aca="1" ref="R113:U113" ca="1">center_span(Beam_Analysis!$J$29,Q113,Beam_Analysis!$D$3,Beam_Analysis!$D$2,Beam_Analysis!$J$33:$O$79,Beam_Analysis!$G$5:$P$5,0)</f>
        <v>4.5845072579492863</v>
      </c>
      <c r="S113">
        <f ca="1"/>
        <v>-8.7803695565380355</v>
      </c>
      <c r="T113">
        <f ca="1"/>
        <v>8.5036859757114426E-4</v>
      </c>
      <c r="U113">
        <f ca="1"/>
        <v>1.3079939060090848E-2</v>
      </c>
      <c r="V113">
        <f ca="1">(S113*12)/(Beam_Analysis!$B$2*Beam_Analysis!$B$3)</f>
        <v>-1.1796286909813753E-4</v>
      </c>
    </row>
    <row r="114" spans="14:22" x14ac:dyDescent="0.25">
      <c r="N114">
        <v>8</v>
      </c>
      <c r="O114" s="12">
        <f t="shared" si="66"/>
        <v>5.875</v>
      </c>
      <c r="P114">
        <f t="shared" ca="1" si="67"/>
        <v>1.4225651179683487E-2</v>
      </c>
      <c r="Q114">
        <f t="shared" si="68"/>
        <v>0.875</v>
      </c>
      <c r="R114" cm="1">
        <f t="array" aca="1" ref="R114:U114" ca="1">center_span(Beam_Analysis!$J$29,Q114,Beam_Analysis!$D$3,Beam_Analysis!$D$2,Beam_Analysis!$J$33:$O$79,Beam_Analysis!$G$5:$P$5,0)</f>
        <v>4.4595072579492863</v>
      </c>
      <c r="S114">
        <f ca="1"/>
        <v>-8.2151186492943733</v>
      </c>
      <c r="T114">
        <f ca="1"/>
        <v>6.7914607590465956E-4</v>
      </c>
      <c r="U114">
        <f ca="1"/>
        <v>1.4225651179683487E-2</v>
      </c>
      <c r="V114">
        <f ca="1">(S114*12)/(Beam_Analysis!$B$2*Beam_Analysis!$B$3)</f>
        <v>-1.103688130223158E-4</v>
      </c>
    </row>
    <row r="115" spans="14:22" x14ac:dyDescent="0.25">
      <c r="N115">
        <v>9</v>
      </c>
      <c r="O115" s="12">
        <f t="shared" si="66"/>
        <v>6</v>
      </c>
      <c r="P115">
        <f t="shared" ca="1" si="67"/>
        <v>1.5122994110089993E-2</v>
      </c>
      <c r="Q115">
        <f t="shared" si="68"/>
        <v>1</v>
      </c>
      <c r="R115" cm="1">
        <f t="array" aca="1" ref="R115:U115" ca="1">center_span(Beam_Analysis!$J$29,Q115,Beam_Analysis!$D$3,Beam_Analysis!$D$2,Beam_Analysis!$J$33:$O$79,Beam_Analysis!$G$5:$P$5,0)</f>
        <v>4.3345072579492863</v>
      </c>
      <c r="S115">
        <f ca="1"/>
        <v>-7.6654927420507137</v>
      </c>
      <c r="T115">
        <f ca="1"/>
        <v>5.1915719880873436E-4</v>
      </c>
      <c r="U115">
        <f ca="1"/>
        <v>1.5122994110089993E-2</v>
      </c>
      <c r="V115">
        <f ca="1">(S115*12)/(Beam_Analysis!$B$2*Beam_Analysis!$B$3)</f>
        <v>-1.0298467633744802E-4</v>
      </c>
    </row>
    <row r="116" spans="14:22" x14ac:dyDescent="0.25">
      <c r="N116">
        <v>10</v>
      </c>
      <c r="O116" s="12">
        <f t="shared" si="66"/>
        <v>6.125</v>
      </c>
      <c r="P116">
        <f t="shared" ca="1" si="67"/>
        <v>1.5788582158851674E-2</v>
      </c>
      <c r="Q116">
        <f t="shared" si="68"/>
        <v>1.125</v>
      </c>
      <c r="R116" cm="1">
        <f t="array" aca="1" ref="R116:U116" ca="1">center_span(Beam_Analysis!$J$29,Q116,Beam_Analysis!$D$3,Beam_Analysis!$D$2,Beam_Analysis!$J$33:$O$79,Beam_Analysis!$G$5:$P$5,0)</f>
        <v>4.2095072579492863</v>
      </c>
      <c r="S116">
        <f ca="1"/>
        <v>-7.1314918348070533</v>
      </c>
      <c r="T116">
        <f ca="1"/>
        <v>3.7008708719687197E-4</v>
      </c>
      <c r="U116">
        <f ca="1"/>
        <v>1.5788582158851674E-2</v>
      </c>
      <c r="V116">
        <f ca="1">(S116*12)/(Beam_Analysis!$B$2*Beam_Analysis!$B$3)</f>
        <v>-9.581045904353408E-5</v>
      </c>
    </row>
    <row r="117" spans="14:22" x14ac:dyDescent="0.25">
      <c r="N117">
        <v>11</v>
      </c>
      <c r="O117" s="12">
        <f t="shared" si="66"/>
        <v>6.25</v>
      </c>
      <c r="P117">
        <f t="shared" ca="1" si="67"/>
        <v>1.6238557314879536E-2</v>
      </c>
      <c r="Q117">
        <f t="shared" si="68"/>
        <v>1.25</v>
      </c>
      <c r="R117" cm="1">
        <f t="array" aca="1" ref="R117:U117" ca="1">center_span(Beam_Analysis!$J$29,Q117,Beam_Analysis!$D$3,Beam_Analysis!$D$2,Beam_Analysis!$J$33:$O$79,Beam_Analysis!$G$5:$P$5,0)</f>
        <v>4.0845072579492863</v>
      </c>
      <c r="S117">
        <f ca="1"/>
        <v>-6.6131159275633919</v>
      </c>
      <c r="T117">
        <f ca="1"/>
        <v>2.31620861982639E-4</v>
      </c>
      <c r="U117">
        <f ca="1"/>
        <v>1.6238557314879536E-2</v>
      </c>
      <c r="V117">
        <f ca="1">(S117*12)/(Beam_Analysis!$B$2*Beam_Analysis!$B$3)</f>
        <v>-8.8846161140574011E-5</v>
      </c>
    </row>
    <row r="118" spans="14:22" x14ac:dyDescent="0.25">
      <c r="N118">
        <v>12</v>
      </c>
      <c r="O118" s="12">
        <f t="shared" si="66"/>
        <v>6.375</v>
      </c>
      <c r="P118">
        <f t="shared" ca="1" si="67"/>
        <v>1.6488589248455084E-2</v>
      </c>
      <c r="Q118">
        <f t="shared" si="68"/>
        <v>1.375</v>
      </c>
      <c r="R118" cm="1">
        <f t="array" aca="1" ref="R118:U118" ca="1">center_span(Beam_Analysis!$J$29,Q118,Beam_Analysis!$D$3,Beam_Analysis!$D$2,Beam_Analysis!$J$33:$O$79,Beam_Analysis!$G$5:$P$5,0)</f>
        <v>3.9595072579492858</v>
      </c>
      <c r="S118">
        <f ca="1"/>
        <v>-6.1103650203197324</v>
      </c>
      <c r="T118">
        <f ca="1"/>
        <v>1.0344364407964633E-4</v>
      </c>
      <c r="U118">
        <f ca="1"/>
        <v>1.6488589248455084E-2</v>
      </c>
      <c r="V118">
        <f ca="1">(S118*12)/(Beam_Analysis!$B$2*Beam_Analysis!$B$3)</f>
        <v>-8.2091782628567825E-5</v>
      </c>
    </row>
    <row r="119" spans="14:22" x14ac:dyDescent="0.25">
      <c r="N119">
        <v>13</v>
      </c>
      <c r="O119" s="12">
        <f t="shared" si="66"/>
        <v>6.5</v>
      </c>
      <c r="P119">
        <f t="shared" ca="1" si="67"/>
        <v>1.6553875311230978E-2</v>
      </c>
      <c r="Q119">
        <f t="shared" si="68"/>
        <v>1.5</v>
      </c>
      <c r="R119" cm="1">
        <f t="array" aca="1" ref="R119:U119" ca="1">center_span(Beam_Analysis!$J$29,Q119,Beam_Analysis!$D$3,Beam_Analysis!$D$2,Beam_Analysis!$J$33:$O$79,Beam_Analysis!$G$5:$P$5,0)</f>
        <v>3.8345072579492858</v>
      </c>
      <c r="S119">
        <f ca="1"/>
        <v>-5.623239113076071</v>
      </c>
      <c r="T119">
        <f ca="1"/>
        <v>-1.4759445598516024E-5</v>
      </c>
      <c r="U119">
        <f ca="1"/>
        <v>1.6553875311230978E-2</v>
      </c>
      <c r="V119">
        <f ca="1">(S119*12)/(Beam_Analysis!$B$2*Beam_Analysis!$B$3)</f>
        <v>-7.5547323507515508E-5</v>
      </c>
    </row>
    <row r="120" spans="14:22" x14ac:dyDescent="0.25">
      <c r="N120">
        <v>14</v>
      </c>
      <c r="O120" s="12">
        <f t="shared" si="66"/>
        <v>6.625</v>
      </c>
      <c r="P120">
        <f t="shared" ca="1" si="67"/>
        <v>1.6449140536229045E-2</v>
      </c>
      <c r="Q120">
        <f t="shared" si="68"/>
        <v>1.625</v>
      </c>
      <c r="R120" cm="1">
        <f t="array" aca="1" ref="R120:U120" ca="1">center_span(Beam_Analysis!$J$29,Q120,Beam_Analysis!$D$3,Beam_Analysis!$D$2,Beam_Analysis!$J$33:$O$79,Beam_Analysis!$G$5:$P$5,0)</f>
        <v>3.7095072579492854</v>
      </c>
      <c r="S120">
        <f ca="1"/>
        <v>-5.1517382058324088</v>
      </c>
      <c r="T120">
        <f ca="1"/>
        <v>-1.2330328613838117E-4</v>
      </c>
      <c r="U120">
        <f ca="1"/>
        <v>1.6449140536229045E-2</v>
      </c>
      <c r="V120">
        <f ca="1">(S120*12)/(Beam_Analysis!$B$2*Beam_Analysis!$B$3)</f>
        <v>-6.9212783777417047E-5</v>
      </c>
    </row>
    <row r="121" spans="14:22" x14ac:dyDescent="0.25">
      <c r="N121">
        <v>15</v>
      </c>
      <c r="O121" s="12">
        <f t="shared" si="66"/>
        <v>6.75</v>
      </c>
      <c r="P121">
        <f t="shared" ca="1" si="67"/>
        <v>1.6188637637841521E-2</v>
      </c>
      <c r="Q121">
        <f t="shared" si="68"/>
        <v>1.75</v>
      </c>
      <c r="R121" cm="1">
        <f t="array" aca="1" ref="R121:U121" ca="1">center_span(Beam_Analysis!$J$29,Q121,Beam_Analysis!$D$3,Beam_Analysis!$D$2,Beam_Analysis!$J$33:$O$79,Beam_Analysis!$G$5:$P$5,0)</f>
        <v>3.5845072579492854</v>
      </c>
      <c r="S121">
        <f ca="1"/>
        <v>-4.6958622985887484</v>
      </c>
      <c r="T121">
        <f ca="1"/>
        <v>-2.2250275662625413E-4</v>
      </c>
      <c r="U121">
        <f ca="1"/>
        <v>1.6188637637841521E-2</v>
      </c>
      <c r="V121">
        <f ca="1">(S121*12)/(Beam_Analysis!$B$2*Beam_Analysis!$B$3)</f>
        <v>-6.3088163438272481E-5</v>
      </c>
    </row>
    <row r="122" spans="14:22" x14ac:dyDescent="0.25">
      <c r="N122">
        <v>16</v>
      </c>
      <c r="O122" s="12">
        <f t="shared" si="66"/>
        <v>6.875</v>
      </c>
      <c r="P122">
        <f t="shared" ca="1" si="67"/>
        <v>1.5786147011832487E-2</v>
      </c>
      <c r="Q122">
        <f t="shared" si="68"/>
        <v>1.875</v>
      </c>
      <c r="R122" cm="1">
        <f t="array" aca="1" ref="R122:U122" ca="1">center_span(Beam_Analysis!$J$29,Q122,Beam_Analysis!$D$3,Beam_Analysis!$D$2,Beam_Analysis!$J$33:$O$79,Beam_Analysis!$G$5:$P$5,0)</f>
        <v>3.4595072579492854</v>
      </c>
      <c r="S122">
        <f ca="1"/>
        <v>-4.2556113913450897</v>
      </c>
      <c r="T122">
        <f ca="1"/>
        <v>-3.1267273614864199E-4</v>
      </c>
      <c r="U122">
        <f ca="1"/>
        <v>1.5786147011832487E-2</v>
      </c>
      <c r="V122">
        <f ca="1">(S122*12)/(Beam_Analysis!$B$2*Beam_Analysis!$B$3)</f>
        <v>-5.7173462490081811E-5</v>
      </c>
    </row>
    <row r="123" spans="14:22" x14ac:dyDescent="0.25">
      <c r="N123">
        <v>17</v>
      </c>
      <c r="O123" s="12">
        <f t="shared" si="66"/>
        <v>7</v>
      </c>
      <c r="P123">
        <f t="shared" ca="1" si="67"/>
        <v>1.5254976735334762E-2</v>
      </c>
      <c r="Q123">
        <f t="shared" si="68"/>
        <v>2</v>
      </c>
      <c r="R123" cm="1">
        <f t="array" aca="1" ref="R123:U123" ca="1">center_span(Beam_Analysis!$J$29,Q123,Beam_Analysis!$D$3,Beam_Analysis!$D$2,Beam_Analysis!$J$33:$O$79,Beam_Analysis!$G$5:$P$5,0)</f>
        <v>3.3345072579492858</v>
      </c>
      <c r="S123">
        <f ca="1"/>
        <v>-3.8309854841014248</v>
      </c>
      <c r="T123">
        <f ca="1"/>
        <v>-3.9412810379200764E-4</v>
      </c>
      <c r="U123">
        <f ca="1"/>
        <v>1.5254976735334762E-2</v>
      </c>
      <c r="V123">
        <f ca="1">(S123*12)/(Beam_Analysis!$B$2*Beam_Analysis!$B$3)</f>
        <v>-5.1468680932844936E-5</v>
      </c>
    </row>
    <row r="124" spans="14:22" x14ac:dyDescent="0.25">
      <c r="N124">
        <v>18</v>
      </c>
      <c r="O124" s="12">
        <f t="shared" si="66"/>
        <v>7.125</v>
      </c>
      <c r="P124">
        <f t="shared" ca="1" si="67"/>
        <v>1.4607962566853074E-2</v>
      </c>
      <c r="Q124">
        <f t="shared" si="68"/>
        <v>2.125</v>
      </c>
      <c r="R124" cm="1">
        <f t="array" aca="1" ref="R124:U124" ca="1">center_span(Beam_Analysis!$J$29,Q124,Beam_Analysis!$D$3,Beam_Analysis!$D$2,Beam_Analysis!$J$33:$O$79,Beam_Analysis!$G$5:$P$5,0)</f>
        <v>3.2095072579492858</v>
      </c>
      <c r="S124">
        <f ca="1"/>
        <v>-3.4219845768577688</v>
      </c>
      <c r="T124">
        <f ca="1"/>
        <v>-4.6718373864266648E-4</v>
      </c>
      <c r="U124">
        <f ca="1"/>
        <v>1.4607962566853074E-2</v>
      </c>
      <c r="V124">
        <f ca="1">(S124*12)/(Beam_Analysis!$B$2*Beam_Analysis!$B$3)</f>
        <v>-4.5973818766562052E-5</v>
      </c>
    </row>
    <row r="125" spans="14:22" x14ac:dyDescent="0.25">
      <c r="N125">
        <v>19</v>
      </c>
      <c r="O125" s="12">
        <f t="shared" si="66"/>
        <v>7.25</v>
      </c>
      <c r="P125">
        <f t="shared" ca="1" si="67"/>
        <v>1.3857467946259965E-2</v>
      </c>
      <c r="Q125">
        <f t="shared" si="68"/>
        <v>2.25</v>
      </c>
      <c r="R125" cm="1">
        <f t="array" aca="1" ref="R125:U125" ca="1">center_span(Beam_Analysis!$J$29,Q125,Beam_Analysis!$D$3,Beam_Analysis!$D$2,Beam_Analysis!$J$33:$O$79,Beam_Analysis!$G$5:$P$5,0)</f>
        <v>3.0845072579492858</v>
      </c>
      <c r="S125">
        <f ca="1"/>
        <v>-3.0286086696141079</v>
      </c>
      <c r="T125">
        <f ca="1"/>
        <v>-5.3215451978713343E-4</v>
      </c>
      <c r="U125">
        <f ca="1"/>
        <v>1.3857467946259965E-2</v>
      </c>
      <c r="V125">
        <f ca="1">(S125*12)/(Beam_Analysis!$B$2*Beam_Analysis!$B$3)</f>
        <v>-4.0688875991232976E-5</v>
      </c>
    </row>
    <row r="126" spans="14:22" x14ac:dyDescent="0.25">
      <c r="N126">
        <v>20</v>
      </c>
      <c r="O126" s="12">
        <f t="shared" si="66"/>
        <v>7.375</v>
      </c>
      <c r="P126">
        <f t="shared" ca="1" si="67"/>
        <v>1.301538399480133E-2</v>
      </c>
      <c r="Q126">
        <f t="shared" si="68"/>
        <v>2.375</v>
      </c>
      <c r="R126" cm="1">
        <f t="array" aca="1" ref="R126:U126" ca="1">center_span(Beam_Analysis!$J$29,Q126,Beam_Analysis!$D$3,Beam_Analysis!$D$2,Beam_Analysis!$J$33:$O$79,Beam_Analysis!$G$5:$P$5,0)</f>
        <v>2.9595072579492858</v>
      </c>
      <c r="S126">
        <f ca="1"/>
        <v>-2.6508577623704448</v>
      </c>
      <c r="T126">
        <f ca="1"/>
        <v>-5.8935532631184361E-4</v>
      </c>
      <c r="U126">
        <f ca="1"/>
        <v>1.301538399480133E-2</v>
      </c>
      <c r="V126">
        <f ca="1">(S126*12)/(Beam_Analysis!$B$2*Beam_Analysis!$B$3)</f>
        <v>-3.5613852606857748E-5</v>
      </c>
    </row>
    <row r="127" spans="14:22" x14ac:dyDescent="0.25">
      <c r="N127">
        <v>21</v>
      </c>
      <c r="O127" s="12">
        <f t="shared" si="66"/>
        <v>7.5</v>
      </c>
      <c r="P127">
        <f t="shared" ca="1" si="67"/>
        <v>1.2093129515091901E-2</v>
      </c>
      <c r="Q127">
        <f t="shared" si="68"/>
        <v>2.5</v>
      </c>
      <c r="R127" cm="1">
        <f t="array" aca="1" ref="R127:U127" ca="1">center_span(Beam_Analysis!$J$29,Q127,Beam_Analysis!$D$3,Beam_Analysis!$D$2,Beam_Analysis!$J$33:$O$79,Beam_Analysis!$G$5:$P$5,0)</f>
        <v>2.8345072579492858</v>
      </c>
      <c r="S127">
        <f ca="1"/>
        <v>-2.2887318551267857</v>
      </c>
      <c r="T127">
        <f ca="1"/>
        <v>-6.3910103730318094E-4</v>
      </c>
      <c r="U127">
        <f ca="1"/>
        <v>1.2093129515091901E-2</v>
      </c>
      <c r="V127">
        <f ca="1">(S127*12)/(Beam_Analysis!$B$2*Beam_Analysis!$B$3)</f>
        <v>-3.0748748613436443E-5</v>
      </c>
    </row>
    <row r="128" spans="14:22" x14ac:dyDescent="0.25">
      <c r="N128">
        <v>22</v>
      </c>
      <c r="O128" s="12">
        <f t="shared" si="66"/>
        <v>7.625</v>
      </c>
      <c r="P128">
        <f t="shared" ca="1" si="67"/>
        <v>1.1101650991114972E-2</v>
      </c>
      <c r="Q128">
        <f t="shared" si="68"/>
        <v>2.625</v>
      </c>
      <c r="R128" cm="1">
        <f t="array" aca="1" ref="R128:U128" ca="1">center_span(Beam_Analysis!$J$29,Q128,Beam_Analysis!$D$3,Beam_Analysis!$D$2,Beam_Analysis!$J$33:$O$79,Beam_Analysis!$G$5:$P$5,0)</f>
        <v>2.7095072579492858</v>
      </c>
      <c r="S128">
        <f ca="1"/>
        <v>-1.9422309478831237</v>
      </c>
      <c r="T128">
        <f ca="1"/>
        <v>-6.8170653184764125E-4</v>
      </c>
      <c r="U128">
        <f ca="1"/>
        <v>1.1101650991114972E-2</v>
      </c>
      <c r="V128">
        <f ca="1">(S128*12)/(Beam_Analysis!$B$2*Beam_Analysis!$B$3)</f>
        <v>-2.609356401096897E-5</v>
      </c>
    </row>
    <row r="129" spans="14:22" x14ac:dyDescent="0.25">
      <c r="N129">
        <v>23</v>
      </c>
      <c r="O129" s="12">
        <f t="shared" si="66"/>
        <v>7.75</v>
      </c>
      <c r="P129">
        <f t="shared" ca="1" si="67"/>
        <v>1.0051422588228838E-2</v>
      </c>
      <c r="Q129">
        <f t="shared" si="68"/>
        <v>2.75</v>
      </c>
      <c r="R129" cm="1">
        <f t="array" aca="1" ref="R129:U129" ca="1">center_span(Beam_Analysis!$J$29,Q129,Beam_Analysis!$D$3,Beam_Analysis!$D$2,Beam_Analysis!$J$33:$O$79,Beam_Analysis!$G$5:$P$5,0)</f>
        <v>2.5845072579492858</v>
      </c>
      <c r="S129">
        <f ca="1"/>
        <v>-1.6113550406394614</v>
      </c>
      <c r="T129">
        <f ca="1"/>
        <v>-7.1748668903158248E-4</v>
      </c>
      <c r="U129">
        <f ca="1"/>
        <v>1.0051422588228838E-2</v>
      </c>
      <c r="V129">
        <f ca="1">(S129*12)/(Beam_Analysis!$B$2*Beam_Analysis!$B$3)</f>
        <v>-2.1648298799455373E-5</v>
      </c>
    </row>
    <row r="130" spans="14:22" x14ac:dyDescent="0.25">
      <c r="N130">
        <v>24</v>
      </c>
      <c r="O130" s="12">
        <f t="shared" si="66"/>
        <v>7.875</v>
      </c>
      <c r="P130">
        <f t="shared" ca="1" si="67"/>
        <v>8.9524461531568789E-3</v>
      </c>
      <c r="Q130">
        <f t="shared" si="68"/>
        <v>2.875</v>
      </c>
      <c r="R130" cm="1">
        <f t="array" aca="1" ref="R130:U130" ca="1">center_span(Beam_Analysis!$J$29,Q130,Beam_Analysis!$D$3,Beam_Analysis!$D$2,Beam_Analysis!$J$33:$O$79,Beam_Analysis!$G$5:$P$5,0)</f>
        <v>2.4595072579492858</v>
      </c>
      <c r="S130">
        <f ca="1"/>
        <v>-1.2961041333958048</v>
      </c>
      <c r="T130">
        <f ca="1"/>
        <v>-7.4675638794147875E-4</v>
      </c>
      <c r="U130">
        <f ca="1"/>
        <v>8.9524461531568789E-3</v>
      </c>
      <c r="V130">
        <f ca="1">(S130*12)/(Beam_Analysis!$B$2*Beam_Analysis!$B$3)</f>
        <v>-1.7412952978895719E-5</v>
      </c>
    </row>
    <row r="131" spans="14:22" x14ac:dyDescent="0.25">
      <c r="N131">
        <v>25</v>
      </c>
      <c r="O131" s="12">
        <f t="shared" si="66"/>
        <v>8</v>
      </c>
      <c r="P131">
        <f t="shared" ca="1" si="67"/>
        <v>7.8142512139982648E-3</v>
      </c>
      <c r="Q131">
        <f t="shared" si="68"/>
        <v>3</v>
      </c>
      <c r="R131" cm="1">
        <f t="array" aca="1" ref="R131:U131" ca="1">center_span(Beam_Analysis!$J$29,Q131,Beam_Analysis!$D$3,Beam_Analysis!$D$2,Beam_Analysis!$J$33:$O$79,Beam_Analysis!$G$5:$P$5,0)</f>
        <v>2.3345072579492858</v>
      </c>
      <c r="S131">
        <f ca="1"/>
        <v>-0.99647822615214288</v>
      </c>
      <c r="T131">
        <f ca="1"/>
        <v>-7.6983050766377126E-4</v>
      </c>
      <c r="U131">
        <f ca="1"/>
        <v>7.8142512139982648E-3</v>
      </c>
      <c r="V131">
        <f ca="1">(S131*12)/(Beam_Analysis!$B$2*Beam_Analysis!$B$3)</f>
        <v>-1.3387526549289873E-5</v>
      </c>
    </row>
    <row r="132" spans="14:22" x14ac:dyDescent="0.25">
      <c r="N132">
        <v>26</v>
      </c>
      <c r="O132" s="12">
        <f t="shared" si="66"/>
        <v>8.125</v>
      </c>
      <c r="P132">
        <f t="shared" ca="1" si="67"/>
        <v>6.6458949802173373E-3</v>
      </c>
      <c r="Q132">
        <f t="shared" si="68"/>
        <v>3.125</v>
      </c>
      <c r="R132" cm="1">
        <f t="array" aca="1" ref="R132:U132" ca="1">center_span(Beam_Analysis!$J$29,Q132,Beam_Analysis!$D$3,Beam_Analysis!$D$2,Beam_Analysis!$J$33:$O$79,Beam_Analysis!$G$5:$P$5,0)</f>
        <v>2.2095072579492858</v>
      </c>
      <c r="S132">
        <f ca="1"/>
        <v>-0.71247731890848065</v>
      </c>
      <c r="T132">
        <f ca="1"/>
        <v>-7.8702392728482139E-4</v>
      </c>
      <c r="U132">
        <f ca="1"/>
        <v>6.6458949802173373E-3</v>
      </c>
      <c r="V132">
        <f ca="1">(S132*12)/(Beam_Analysis!$B$2*Beam_Analysis!$B$3)</f>
        <v>-9.5720195106378944E-6</v>
      </c>
    </row>
    <row r="133" spans="14:22" x14ac:dyDescent="0.25">
      <c r="N133">
        <v>27</v>
      </c>
      <c r="O133" s="12">
        <f t="shared" si="66"/>
        <v>8.25</v>
      </c>
      <c r="P133">
        <f t="shared" ca="1" si="67"/>
        <v>5.4559623426515824E-3</v>
      </c>
      <c r="Q133">
        <f t="shared" si="68"/>
        <v>3.25</v>
      </c>
      <c r="R133" cm="1">
        <f t="array" aca="1" ref="R133:U133" ca="1">center_span(Beam_Analysis!$J$29,Q133,Beam_Analysis!$D$3,Beam_Analysis!$D$2,Beam_Analysis!$J$33:$O$79,Beam_Analysis!$G$5:$P$5,0)</f>
        <v>2.0845072579492858</v>
      </c>
      <c r="S133">
        <f ca="1"/>
        <v>-0.44410141166481953</v>
      </c>
      <c r="T133">
        <f ca="1"/>
        <v>-7.9865152589115099E-4</v>
      </c>
      <c r="U133">
        <f ca="1"/>
        <v>5.4559623426515824E-3</v>
      </c>
      <c r="V133">
        <f ca="1">(S133*12)/(Beam_Analysis!$B$2*Beam_Analysis!$B$3)</f>
        <v>-5.9664318629398058E-6</v>
      </c>
    </row>
    <row r="134" spans="14:22" x14ac:dyDescent="0.25">
      <c r="N134">
        <v>28</v>
      </c>
      <c r="O134" s="12">
        <f t="shared" si="66"/>
        <v>8.375</v>
      </c>
      <c r="P134">
        <f t="shared" ca="1" si="67"/>
        <v>4.25256587350753E-3</v>
      </c>
      <c r="Q134">
        <f t="shared" ref="Q134:Q197" si="69">(N134-1)*$Q$105</f>
        <v>3.375</v>
      </c>
      <c r="R134" cm="1">
        <f t="array" aca="1" ref="R134:U134" ca="1">center_span(Beam_Analysis!$J$29,Q134,Beam_Analysis!$D$3,Beam_Analysis!$D$2,Beam_Analysis!$J$33:$O$79,Beam_Analysis!$G$5:$P$5,0)</f>
        <v>1.959507257949286</v>
      </c>
      <c r="S134">
        <f ca="1"/>
        <v>-0.19135050442115764</v>
      </c>
      <c r="T134">
        <f ca="1"/>
        <v>-8.0502818256913185E-4</v>
      </c>
      <c r="U134">
        <f ca="1"/>
        <v>4.25256587350753E-3</v>
      </c>
      <c r="V134">
        <f ca="1">(S134*12)/(Beam_Analysis!$B$2*Beam_Analysis!$B$3)</f>
        <v>-2.5707636061955794E-6</v>
      </c>
    </row>
    <row r="135" spans="14:22" x14ac:dyDescent="0.25">
      <c r="N135">
        <v>29</v>
      </c>
      <c r="O135" s="12">
        <f t="shared" si="66"/>
        <v>8.5</v>
      </c>
      <c r="P135">
        <f t="shared" ca="1" si="67"/>
        <v>3.0433458263652707E-3</v>
      </c>
      <c r="Q135">
        <f t="shared" si="69"/>
        <v>3.5</v>
      </c>
      <c r="R135" cm="1">
        <f t="array" aca="1" ref="R135:U135" ca="1">center_span(Beam_Analysis!$J$29,Q135,Beam_Analysis!$D$3,Beam_Analysis!$D$2,Beam_Analysis!$J$33:$O$79,Beam_Analysis!$G$5:$P$5,0)</f>
        <v>1.834507257949286</v>
      </c>
      <c r="S135">
        <f ca="1"/>
        <v>4.577540282250192E-2</v>
      </c>
      <c r="T135">
        <f ca="1"/>
        <v>-8.0646877640521038E-4</v>
      </c>
      <c r="U135">
        <f ca="1"/>
        <v>3.0433458263652707E-3</v>
      </c>
      <c r="V135">
        <f ca="1">(S135*12)/(Beam_Analysis!$B$2*Beam_Analysis!$B$3)</f>
        <v>6.1498525959474147E-7</v>
      </c>
    </row>
    <row r="136" spans="14:22" x14ac:dyDescent="0.25">
      <c r="N136">
        <v>30</v>
      </c>
      <c r="O136" s="12">
        <f t="shared" si="66"/>
        <v>8.625</v>
      </c>
      <c r="P136">
        <f t="shared" ca="1" si="67"/>
        <v>1.8354701361702336E-3</v>
      </c>
      <c r="Q136">
        <f t="shared" si="69"/>
        <v>3.625</v>
      </c>
      <c r="R136" cm="1">
        <f t="array" aca="1" ref="R136:U136" ca="1">center_span(Beam_Analysis!$J$29,Q136,Beam_Analysis!$D$3,Beam_Analysis!$D$2,Beam_Analysis!$J$33:$O$79,Beam_Analysis!$G$5:$P$5,0)</f>
        <v>1.7095072579492863</v>
      </c>
      <c r="S136">
        <f ca="1"/>
        <v>0.26727631006615771</v>
      </c>
      <c r="T136">
        <f ca="1"/>
        <v>-8.0328818648583468E-4</v>
      </c>
      <c r="U136">
        <f ca="1"/>
        <v>1.8354701361702336E-3</v>
      </c>
      <c r="V136">
        <f ca="1">(S136*12)/(Beam_Analysis!$B$2*Beam_Analysis!$B$3)</f>
        <v>3.5908147344311379E-6</v>
      </c>
    </row>
    <row r="137" spans="14:22" x14ac:dyDescent="0.25">
      <c r="N137">
        <v>31</v>
      </c>
      <c r="O137" s="12">
        <f t="shared" si="66"/>
        <v>8.75</v>
      </c>
      <c r="P137">
        <f t="shared" ca="1" si="67"/>
        <v>6.3563441924209541E-4</v>
      </c>
      <c r="Q137">
        <f t="shared" si="69"/>
        <v>3.75</v>
      </c>
      <c r="R137" cm="1">
        <f t="array" aca="1" ref="R137:U137" ca="1">center_span(Beam_Analysis!$J$29,Q137,Beam_Analysis!$D$3,Beam_Analysis!$D$2,Beam_Analysis!$J$33:$O$79,Beam_Analysis!$G$5:$P$5,0)</f>
        <v>1.5845072579492863</v>
      </c>
      <c r="S137">
        <f ca="1"/>
        <v>0.47315221730982238</v>
      </c>
      <c r="T137">
        <f ca="1"/>
        <v>-7.9580129189738003E-4</v>
      </c>
      <c r="U137">
        <f ca="1"/>
        <v>6.3563441924209541E-4</v>
      </c>
      <c r="V137">
        <f ca="1">(S137*12)/(Beam_Analysis!$B$2*Beam_Analysis!$B$3)</f>
        <v>6.3567248183137805E-6</v>
      </c>
    </row>
    <row r="138" spans="14:22" x14ac:dyDescent="0.25">
      <c r="N138">
        <v>32</v>
      </c>
      <c r="O138" s="12">
        <f t="shared" si="66"/>
        <v>8.875</v>
      </c>
      <c r="P138">
        <f t="shared" ca="1" si="67"/>
        <v>-5.4993802673017345E-4</v>
      </c>
      <c r="Q138">
        <f t="shared" si="69"/>
        <v>3.875</v>
      </c>
      <c r="R138" cm="1">
        <f t="array" aca="1" ref="R138:U138" ca="1">center_span(Beam_Analysis!$J$29,Q138,Beam_Analysis!$D$3,Beam_Analysis!$D$2,Beam_Analysis!$J$33:$O$79,Beam_Analysis!$G$5:$P$5,0)</f>
        <v>1.4595072579492863</v>
      </c>
      <c r="S138">
        <f ca="1"/>
        <v>0.66340312455348183</v>
      </c>
      <c r="T138">
        <f ca="1"/>
        <v>-7.8432297172634571E-4</v>
      </c>
      <c r="U138">
        <f ca="1"/>
        <v>-5.4993802673017345E-4</v>
      </c>
      <c r="V138">
        <f ca="1">(S138*12)/(Beam_Analysis!$B$2*Beam_Analysis!$B$3)</f>
        <v>8.9127155112424779E-6</v>
      </c>
    </row>
    <row r="139" spans="14:22" x14ac:dyDescent="0.25">
      <c r="N139">
        <v>33</v>
      </c>
      <c r="O139" s="12">
        <f t="shared" ref="O139:O170" si="70">Q139+$F$12</f>
        <v>9</v>
      </c>
      <c r="P139">
        <f t="shared" ref="P139:P170" ca="1" si="71">OFFSET(R139,0,$O$2)</f>
        <v>-1.715496222687643E-3</v>
      </c>
      <c r="Q139">
        <f t="shared" si="69"/>
        <v>4</v>
      </c>
      <c r="R139" cm="1">
        <f t="array" aca="1" ref="R139:U139" ca="1">center_span(Beam_Analysis!$J$29,Q139,Beam_Analysis!$D$3,Beam_Analysis!$D$2,Beam_Analysis!$J$33:$O$79,Beam_Analysis!$G$5:$P$5,0)</f>
        <v>1.3345072579492863</v>
      </c>
      <c r="S139">
        <f ca="1"/>
        <v>0.83802903179714294</v>
      </c>
      <c r="T139">
        <f ca="1"/>
        <v>-7.6916810505913476E-4</v>
      </c>
      <c r="U139">
        <f ca="1"/>
        <v>-1.715496222687643E-3</v>
      </c>
      <c r="V139">
        <f ca="1">(S139*12)/(Beam_Analysis!$B$2*Beam_Analysis!$B$3)</f>
        <v>1.1258786813217327E-5</v>
      </c>
    </row>
    <row r="140" spans="14:22" x14ac:dyDescent="0.25">
      <c r="N140">
        <v>34</v>
      </c>
      <c r="O140" s="12">
        <f t="shared" si="70"/>
        <v>9.125</v>
      </c>
      <c r="P140">
        <f t="shared" ca="1" si="71"/>
        <v>-2.8557615082032972E-3</v>
      </c>
      <c r="Q140">
        <f t="shared" si="69"/>
        <v>4.125</v>
      </c>
      <c r="R140" cm="1">
        <f t="array" aca="1" ref="R140:U140" ca="1">center_span(Beam_Analysis!$J$29,Q140,Beam_Analysis!$D$3,Beam_Analysis!$D$2,Beam_Analysis!$J$33:$O$79,Beam_Analysis!$G$5:$P$5,0)</f>
        <v>1.2095072579492863</v>
      </c>
      <c r="S140">
        <f ca="1"/>
        <v>0.99702993904080406</v>
      </c>
      <c r="T140">
        <f ca="1"/>
        <v>-7.506515709821554E-4</v>
      </c>
      <c r="U140">
        <f ca="1"/>
        <v>-2.8557615082032972E-3</v>
      </c>
      <c r="V140">
        <f ca="1">(S140*12)/(Beam_Analysis!$B$2*Beam_Analysis!$B$3)</f>
        <v>1.3394938724238298E-5</v>
      </c>
    </row>
    <row r="141" spans="14:22" x14ac:dyDescent="0.25">
      <c r="N141">
        <v>35</v>
      </c>
      <c r="O141" s="12">
        <f t="shared" si="70"/>
        <v>9.25</v>
      </c>
      <c r="P141">
        <f t="shared" ca="1" si="71"/>
        <v>-3.9659275414740403E-3</v>
      </c>
      <c r="Q141">
        <f t="shared" si="69"/>
        <v>4.25</v>
      </c>
      <c r="R141" cm="1">
        <f t="array" aca="1" ref="R141:U141" ca="1">center_span(Beam_Analysis!$J$29,Q141,Beam_Analysis!$D$3,Beam_Analysis!$D$2,Beam_Analysis!$J$33:$O$79,Beam_Analysis!$G$5:$P$5,0)</f>
        <v>1.0845072579492863</v>
      </c>
      <c r="S141">
        <f ca="1"/>
        <v>1.1404058462844706</v>
      </c>
      <c r="T141">
        <f ca="1"/>
        <v>-7.2908824858188698E-4</v>
      </c>
      <c r="U141">
        <f ca="1"/>
        <v>-3.9659275414740403E-3</v>
      </c>
      <c r="V141">
        <f ca="1">(S141*12)/(Beam_Analysis!$B$2*Beam_Analysis!$B$3)</f>
        <v>1.5321171244305473E-5</v>
      </c>
    </row>
    <row r="142" spans="14:22" x14ac:dyDescent="0.25">
      <c r="N142">
        <v>36</v>
      </c>
      <c r="O142" s="12">
        <f t="shared" si="70"/>
        <v>9.375</v>
      </c>
      <c r="P142">
        <f t="shared" ca="1" si="71"/>
        <v>-5.0416602993298976E-3</v>
      </c>
      <c r="Q142">
        <f t="shared" si="69"/>
        <v>4.375</v>
      </c>
      <c r="R142" cm="1">
        <f t="array" aca="1" ref="R142:U142" ca="1">center_span(Beam_Analysis!$J$29,Q142,Beam_Analysis!$D$3,Beam_Analysis!$D$2,Beam_Analysis!$J$33:$O$79,Beam_Analysis!$G$5:$P$5,0)</f>
        <v>0.95950725794928582</v>
      </c>
      <c r="S142">
        <f ca="1"/>
        <v>1.2681567535281284</v>
      </c>
      <c r="T142">
        <f ca="1"/>
        <v>-7.0479301694473771E-4</v>
      </c>
      <c r="U142">
        <f ca="1"/>
        <v>-5.0416602993298976E-3</v>
      </c>
      <c r="V142">
        <f ca="1">(S142*12)/(Beam_Analysis!$B$2*Beam_Analysis!$B$3)</f>
        <v>1.7037484373418653E-5</v>
      </c>
    </row>
    <row r="143" spans="14:22" x14ac:dyDescent="0.25">
      <c r="N143">
        <v>37</v>
      </c>
      <c r="O143" s="12">
        <f t="shared" si="70"/>
        <v>9.5</v>
      </c>
      <c r="P143">
        <f t="shared" ca="1" si="71"/>
        <v>-6.0790980772326003E-3</v>
      </c>
      <c r="Q143">
        <f t="shared" si="69"/>
        <v>4.5</v>
      </c>
      <c r="R143" cm="1">
        <f t="array" aca="1" ref="R143:U143" ca="1">center_span(Beam_Analysis!$J$29,Q143,Beam_Analysis!$D$3,Beam_Analysis!$D$2,Beam_Analysis!$J$33:$O$79,Beam_Analysis!$G$5:$P$5,0)</f>
        <v>0.83450725794928582</v>
      </c>
      <c r="S143">
        <f ca="1"/>
        <v>1.380282660771784</v>
      </c>
      <c r="T143">
        <f ca="1"/>
        <v>-6.7808075515713058E-4</v>
      </c>
      <c r="U143">
        <f ca="1"/>
        <v>-6.0790980772326003E-3</v>
      </c>
      <c r="V143">
        <f ca="1">(S143*12)/(Beam_Analysis!$B$2*Beam_Analysis!$B$3)</f>
        <v>1.8543878111577929E-5</v>
      </c>
    </row>
    <row r="144" spans="14:22" x14ac:dyDescent="0.25">
      <c r="N144">
        <v>38</v>
      </c>
      <c r="O144" s="12">
        <f t="shared" si="70"/>
        <v>9.625</v>
      </c>
      <c r="P144">
        <f t="shared" ca="1" si="71"/>
        <v>-7.0748514892698816E-3</v>
      </c>
      <c r="Q144">
        <f t="shared" si="69"/>
        <v>4.625</v>
      </c>
      <c r="R144" cm="1">
        <f t="array" aca="1" ref="R144:U144" ca="1">center_span(Beam_Analysis!$J$29,Q144,Beam_Analysis!$D$3,Beam_Analysis!$D$2,Beam_Analysis!$J$33:$O$79,Beam_Analysis!$G$5:$P$5,0)</f>
        <v>0.70950725794928582</v>
      </c>
      <c r="S144">
        <f ca="1"/>
        <v>1.4767835680154506</v>
      </c>
      <c r="T144">
        <f ca="1"/>
        <v>-6.4926634230547554E-4</v>
      </c>
      <c r="U144">
        <f ca="1"/>
        <v>-7.0748514892698816E-3</v>
      </c>
      <c r="V144">
        <f ca="1">(S144*12)/(Beam_Analysis!$B$2*Beam_Analysis!$B$3)</f>
        <v>1.9840352458783483E-5</v>
      </c>
    </row>
    <row r="145" spans="14:22" x14ac:dyDescent="0.25">
      <c r="N145">
        <v>39</v>
      </c>
      <c r="O145" s="12">
        <f t="shared" si="70"/>
        <v>9.75</v>
      </c>
      <c r="P145">
        <f t="shared" ca="1" si="71"/>
        <v>-8.0260034681605141E-3</v>
      </c>
      <c r="Q145">
        <f t="shared" si="69"/>
        <v>4.75</v>
      </c>
      <c r="R145" cm="1">
        <f t="array" aca="1" ref="R145:U145" ca="1">center_span(Beam_Analysis!$J$29,Q145,Beam_Analysis!$D$3,Beam_Analysis!$D$2,Beam_Analysis!$J$33:$O$79,Beam_Analysis!$G$5:$P$5,0)</f>
        <v>0.58450725794928582</v>
      </c>
      <c r="S145">
        <f ca="1"/>
        <v>1.5576594752591029</v>
      </c>
      <c r="T145">
        <f ca="1"/>
        <v>-6.1866465747624326E-4</v>
      </c>
      <c r="U145">
        <f ca="1"/>
        <v>-8.0260034681605141E-3</v>
      </c>
      <c r="V145">
        <f ca="1">(S145*12)/(Beam_Analysis!$B$2*Beam_Analysis!$B$3)</f>
        <v>2.092690741503497E-5</v>
      </c>
    </row>
    <row r="146" spans="14:22" x14ac:dyDescent="0.25">
      <c r="N146">
        <v>40</v>
      </c>
      <c r="O146" s="12">
        <f t="shared" si="70"/>
        <v>9.875</v>
      </c>
      <c r="P146">
        <f t="shared" ca="1" si="71"/>
        <v>-8.9301092652531028E-3</v>
      </c>
      <c r="Q146">
        <f t="shared" si="69"/>
        <v>4.875</v>
      </c>
      <c r="R146" cm="1">
        <f t="array" aca="1" ref="R146:U146" ca="1">center_span(Beam_Analysis!$J$29,Q146,Beam_Analysis!$D$3,Beam_Analysis!$D$2,Beam_Analysis!$J$33:$O$79,Beam_Analysis!$G$5:$P$5,0)</f>
        <v>0.45950725794928582</v>
      </c>
      <c r="S146">
        <f ca="1"/>
        <v>1.6229103825027709</v>
      </c>
      <c r="T146">
        <f ca="1"/>
        <v>-5.8659057975583677E-4</v>
      </c>
      <c r="U146">
        <f ca="1"/>
        <v>-8.9301092652531028E-3</v>
      </c>
      <c r="V146">
        <f ca="1">(S146*12)/(Beam_Analysis!$B$2*Beam_Analysis!$B$3)</f>
        <v>2.1803542980332793E-5</v>
      </c>
    </row>
    <row r="147" spans="14:22" x14ac:dyDescent="0.25">
      <c r="N147">
        <v>41</v>
      </c>
      <c r="O147" s="12">
        <f t="shared" si="70"/>
        <v>10</v>
      </c>
      <c r="P147">
        <f t="shared" ca="1" si="71"/>
        <v>-9.7851964505256267E-3</v>
      </c>
      <c r="Q147">
        <f t="shared" si="69"/>
        <v>5</v>
      </c>
      <c r="R147" cm="1">
        <f t="array" aca="1" ref="R147:U147" ca="1">center_span(Beam_Analysis!$J$29,Q147,Beam_Analysis!$D$3,Beam_Analysis!$D$2,Beam_Analysis!$J$33:$O$79,Beam_Analysis!$G$5:$P$5,0)</f>
        <v>0.33450725794928582</v>
      </c>
      <c r="S147">
        <f ca="1"/>
        <v>1.6725362897464304</v>
      </c>
      <c r="T147">
        <f ca="1"/>
        <v>-5.5335898823071807E-4</v>
      </c>
      <c r="U147">
        <f ca="1"/>
        <v>-9.7851964505256267E-3</v>
      </c>
      <c r="V147">
        <f ca="1">(S147*12)/(Beam_Analysis!$B$2*Beam_Analysis!$B$3)</f>
        <v>2.2470259154676631E-5</v>
      </c>
    </row>
    <row r="148" spans="14:22" x14ac:dyDescent="0.25">
      <c r="N148">
        <v>42</v>
      </c>
      <c r="O148" s="12">
        <f t="shared" si="70"/>
        <v>10.125</v>
      </c>
      <c r="P148">
        <f t="shared" ca="1" si="71"/>
        <v>-1.0589148681841215E-2</v>
      </c>
      <c r="Q148">
        <f t="shared" si="69"/>
        <v>5.125</v>
      </c>
      <c r="R148" cm="1">
        <f t="array" aca="1" ref="R148:U148" ca="1">center_span(Beam_Analysis!$J$29,Q148,Beam_Analysis!$D$3,Beam_Analysis!$D$2,Beam_Analysis!$J$33:$O$79,Beam_Analysis!$G$5:$P$5,0)</f>
        <v>1.1880269030133475</v>
      </c>
      <c r="S148">
        <f ca="1"/>
        <v>1.8288521526230985</v>
      </c>
      <c r="T148">
        <f ca="1"/>
        <v>-5.1805230049974072E-4</v>
      </c>
      <c r="U148">
        <f ca="1"/>
        <v>-1.0589148681841215E-2</v>
      </c>
      <c r="V148">
        <f ca="1">(S148*12)/(Beam_Analysis!$B$2*Beam_Analysis!$B$3)</f>
        <v>2.457033792149259E-5</v>
      </c>
    </row>
    <row r="149" spans="14:22" x14ac:dyDescent="0.25">
      <c r="N149">
        <v>43</v>
      </c>
      <c r="O149" s="12">
        <f t="shared" si="70"/>
        <v>10.25</v>
      </c>
      <c r="P149">
        <f t="shared" ca="1" si="71"/>
        <v>-1.1337857012722011E-2</v>
      </c>
      <c r="Q149">
        <f t="shared" si="69"/>
        <v>5.25</v>
      </c>
      <c r="R149" cm="1">
        <f t="array" aca="1" ref="R149:U149" ca="1">center_span(Beam_Analysis!$J$29,Q149,Beam_Analysis!$D$3,Beam_Analysis!$D$2,Beam_Analysis!$J$33:$O$79,Beam_Analysis!$G$5:$P$5,0)</f>
        <v>1.0630269030133475</v>
      </c>
      <c r="S149">
        <f ca="1"/>
        <v>1.9695430154997626</v>
      </c>
      <c r="T149">
        <f ca="1"/>
        <v>-4.7975293416173447E-4</v>
      </c>
      <c r="U149">
        <f ca="1"/>
        <v>-1.1337857012722011E-2</v>
      </c>
      <c r="V149">
        <f ca="1">(S149*12)/(Beam_Analysis!$B$2*Beam_Analysis!$B$3)</f>
        <v>2.6460497297354623E-5</v>
      </c>
    </row>
    <row r="150" spans="14:22" x14ac:dyDescent="0.25">
      <c r="N150">
        <v>44</v>
      </c>
      <c r="O150" s="12">
        <f t="shared" si="70"/>
        <v>10.375</v>
      </c>
      <c r="P150">
        <f t="shared" ca="1" si="71"/>
        <v>-1.2027068584567605E-2</v>
      </c>
      <c r="Q150">
        <f t="shared" si="69"/>
        <v>5.375</v>
      </c>
      <c r="R150" cm="1">
        <f t="array" aca="1" ref="R150:U150" ca="1">center_span(Beam_Analysis!$J$29,Q150,Beam_Analysis!$D$3,Beam_Analysis!$D$2,Beam_Analysis!$J$33:$O$79,Beam_Analysis!$G$5:$P$5,0)</f>
        <v>0.93802690301334701</v>
      </c>
      <c r="S150">
        <f ca="1"/>
        <v>2.0946088783764378</v>
      </c>
      <c r="T150">
        <f ca="1"/>
        <v>-4.3877576830312574E-4</v>
      </c>
      <c r="U150">
        <f ca="1"/>
        <v>-1.2027068584567605E-2</v>
      </c>
      <c r="V150">
        <f ca="1">(S150*12)/(Beam_Analysis!$B$2*Beam_Analysis!$B$3)</f>
        <v>2.8140737282262936E-5</v>
      </c>
    </row>
    <row r="151" spans="14:22" x14ac:dyDescent="0.25">
      <c r="N151">
        <v>45</v>
      </c>
      <c r="O151" s="12">
        <f t="shared" si="70"/>
        <v>10.5</v>
      </c>
      <c r="P151">
        <f t="shared" ca="1" si="71"/>
        <v>-1.2653002857415413E-2</v>
      </c>
      <c r="Q151">
        <f t="shared" si="69"/>
        <v>5.5</v>
      </c>
      <c r="R151" cm="1">
        <f t="array" aca="1" ref="R151:U151" ca="1">center_span(Beam_Analysis!$J$29,Q151,Beam_Analysis!$D$3,Beam_Analysis!$D$2,Beam_Analysis!$J$33:$O$79,Beam_Analysis!$G$5:$P$5,0)</f>
        <v>0.81302690301334701</v>
      </c>
      <c r="S151">
        <f ca="1"/>
        <v>2.2040497412530971</v>
      </c>
      <c r="T151">
        <f ca="1"/>
        <v>-3.954356820104264E-4</v>
      </c>
      <c r="U151">
        <f ca="1"/>
        <v>-1.2653002857415413E-2</v>
      </c>
      <c r="V151">
        <f ca="1">(S151*12)/(Beam_Analysis!$B$2*Beam_Analysis!$B$3)</f>
        <v>2.9611057876217157E-5</v>
      </c>
    </row>
    <row r="152" spans="14:22" x14ac:dyDescent="0.25">
      <c r="N152">
        <v>46</v>
      </c>
      <c r="O152" s="12">
        <f t="shared" si="70"/>
        <v>10.625</v>
      </c>
      <c r="P152">
        <f t="shared" ca="1" si="71"/>
        <v>-1.3212351609924816E-2</v>
      </c>
      <c r="Q152">
        <f t="shared" si="69"/>
        <v>5.625</v>
      </c>
      <c r="R152" cm="1">
        <f t="array" aca="1" ref="R152:U152" ca="1">center_span(Beam_Analysis!$J$29,Q152,Beam_Analysis!$D$3,Beam_Analysis!$D$2,Beam_Analysis!$J$33:$O$79,Beam_Analysis!$G$5:$P$5,0)</f>
        <v>0.68802690301334701</v>
      </c>
      <c r="S152">
        <f ca="1"/>
        <v>2.2978656041297754</v>
      </c>
      <c r="T152">
        <f ca="1"/>
        <v>-3.5004755436994972E-4</v>
      </c>
      <c r="U152">
        <f ca="1"/>
        <v>-1.3212351609924816E-2</v>
      </c>
      <c r="V152">
        <f ca="1">(S152*12)/(Beam_Analysis!$B$2*Beam_Analysis!$B$3)</f>
        <v>3.0871459079217759E-5</v>
      </c>
    </row>
    <row r="153" spans="14:22" x14ac:dyDescent="0.25">
      <c r="N153">
        <v>47</v>
      </c>
      <c r="O153" s="12">
        <f t="shared" si="70"/>
        <v>10.75</v>
      </c>
      <c r="P153">
        <f t="shared" ca="1" si="71"/>
        <v>-1.3702278939393103E-2</v>
      </c>
      <c r="Q153">
        <f t="shared" si="69"/>
        <v>5.75</v>
      </c>
      <c r="R153" cm="1">
        <f t="array" aca="1" ref="R153:U153" ca="1">center_span(Beam_Analysis!$J$29,Q153,Beam_Analysis!$D$3,Beam_Analysis!$D$2,Beam_Analysis!$J$33:$O$79,Beam_Analysis!$G$5:$P$5,0)</f>
        <v>0.56302690301334701</v>
      </c>
      <c r="S153">
        <f ca="1"/>
        <v>2.3760564670064435</v>
      </c>
      <c r="T153">
        <f ca="1"/>
        <v>-3.0292626446824875E-4</v>
      </c>
      <c r="U153">
        <f ca="1"/>
        <v>-1.3702278939393103E-2</v>
      </c>
      <c r="V153">
        <f ca="1">(S153*12)/(Beam_Analysis!$B$2*Beam_Analysis!$B$3)</f>
        <v>3.1921940891264357E-5</v>
      </c>
    </row>
    <row r="154" spans="14:22" x14ac:dyDescent="0.25">
      <c r="N154">
        <v>48</v>
      </c>
      <c r="O154" s="12">
        <f t="shared" si="70"/>
        <v>10.875</v>
      </c>
      <c r="P154">
        <f t="shared" ca="1" si="71"/>
        <v>-1.4120421261741567E-2</v>
      </c>
      <c r="Q154">
        <f t="shared" si="69"/>
        <v>5.875</v>
      </c>
      <c r="R154" cm="1">
        <f t="array" aca="1" ref="R154:U154" ca="1">center_span(Beam_Analysis!$J$29,Q154,Beam_Analysis!$D$3,Beam_Analysis!$D$2,Beam_Analysis!$J$33:$O$79,Beam_Analysis!$G$5:$P$5,0)</f>
        <v>0.43802690301334701</v>
      </c>
      <c r="S154">
        <f ca="1"/>
        <v>2.4386223298831116</v>
      </c>
      <c r="T154">
        <f ca="1"/>
        <v>-2.543866913916424E-4</v>
      </c>
      <c r="U154">
        <f ca="1"/>
        <v>-1.4120421261741567E-2</v>
      </c>
      <c r="V154">
        <f ca="1">(S154*12)/(Beam_Analysis!$B$2*Beam_Analysis!$B$3)</f>
        <v>3.2762503312357072E-5</v>
      </c>
    </row>
    <row r="155" spans="14:22" x14ac:dyDescent="0.25">
      <c r="N155">
        <v>49</v>
      </c>
      <c r="O155" s="12">
        <f t="shared" si="70"/>
        <v>11</v>
      </c>
      <c r="P155">
        <f t="shared" ca="1" si="71"/>
        <v>-1.4464887311524247E-2</v>
      </c>
      <c r="Q155">
        <f t="shared" si="69"/>
        <v>6</v>
      </c>
      <c r="R155" cm="1">
        <f t="array" aca="1" ref="R155:U155" ca="1">center_span(Beam_Analysis!$J$29,Q155,Beam_Analysis!$D$3,Beam_Analysis!$D$2,Beam_Analysis!$J$33:$O$79,Beam_Analysis!$G$5:$P$5,0)</f>
        <v>0.3130269030133469</v>
      </c>
      <c r="S155">
        <f ca="1"/>
        <v>2.4855631927597752</v>
      </c>
      <c r="T155">
        <f ca="1"/>
        <v>-2.0474371422663862E-4</v>
      </c>
      <c r="U155">
        <f ca="1"/>
        <v>-1.4464887311524247E-2</v>
      </c>
      <c r="V155">
        <f ca="1">(S155*12)/(Beam_Analysis!$B$2*Beam_Analysis!$B$3)</f>
        <v>3.3393146342495858E-5</v>
      </c>
    </row>
    <row r="156" spans="14:22" x14ac:dyDescent="0.25">
      <c r="N156">
        <v>50</v>
      </c>
      <c r="O156" s="12">
        <f t="shared" si="70"/>
        <v>11.125</v>
      </c>
      <c r="P156">
        <f t="shared" ca="1" si="71"/>
        <v>-1.4734258141920975E-2</v>
      </c>
      <c r="Q156">
        <f t="shared" si="69"/>
        <v>6.125</v>
      </c>
      <c r="R156" cm="1">
        <f t="array" aca="1" ref="R156:U156" ca="1">center_span(Beam_Analysis!$J$29,Q156,Beam_Analysis!$D$3,Beam_Analysis!$D$2,Beam_Analysis!$J$33:$O$79,Beam_Analysis!$G$5:$P$5,0)</f>
        <v>0.18802690301334693</v>
      </c>
      <c r="S156">
        <f ca="1"/>
        <v>2.5168790556364486</v>
      </c>
      <c r="T156">
        <f ca="1"/>
        <v>-1.5431221205963828E-4</v>
      </c>
      <c r="U156">
        <f ca="1"/>
        <v>-1.4734258141920975E-2</v>
      </c>
      <c r="V156">
        <f ca="1">(S156*12)/(Beam_Analysis!$B$2*Beam_Analysis!$B$3)</f>
        <v>3.3813869981680903E-5</v>
      </c>
    </row>
    <row r="157" spans="14:22" x14ac:dyDescent="0.25">
      <c r="N157">
        <v>51</v>
      </c>
      <c r="O157" s="12">
        <f t="shared" si="70"/>
        <v>11.25</v>
      </c>
      <c r="P157">
        <f t="shared" ca="1" si="71"/>
        <v>-1.4927587124742916E-2</v>
      </c>
      <c r="Q157">
        <f t="shared" si="69"/>
        <v>6.25</v>
      </c>
      <c r="R157" cm="1">
        <f t="array" aca="1" ref="R157:U157" ca="1">center_span(Beam_Analysis!$J$29,Q157,Beam_Analysis!$D$3,Beam_Analysis!$D$2,Beam_Analysis!$J$33:$O$79,Beam_Analysis!$G$5:$P$5,0)</f>
        <v>6.302690301334693E-2</v>
      </c>
      <c r="S157">
        <f ca="1"/>
        <v>2.5325699185131167</v>
      </c>
      <c r="T157">
        <f ca="1"/>
        <v>-1.034070639770639E-4</v>
      </c>
      <c r="U157">
        <f ca="1"/>
        <v>-1.4927587124742916E-2</v>
      </c>
      <c r="V157">
        <f ca="1">(S157*12)/(Beam_Analysis!$B$2*Beam_Analysis!$B$3)</f>
        <v>3.4024674229912005E-5</v>
      </c>
    </row>
    <row r="158" spans="14:22" x14ac:dyDescent="0.25">
      <c r="N158">
        <v>52</v>
      </c>
      <c r="O158" s="12">
        <f t="shared" si="70"/>
        <v>11.375</v>
      </c>
      <c r="P158">
        <f t="shared" ca="1" si="71"/>
        <v>-1.5044399950436438E-2</v>
      </c>
      <c r="Q158">
        <f t="shared" si="69"/>
        <v>6.375</v>
      </c>
      <c r="R158" cm="1">
        <f t="array" aca="1" ref="R158:U158" ca="1">center_span(Beam_Analysis!$J$29,Q158,Beam_Analysis!$D$3,Beam_Analysis!$D$2,Beam_Analysis!$J$33:$O$79,Beam_Analysis!$G$5:$P$5,0)</f>
        <v>-6.197309698665307E-2</v>
      </c>
      <c r="S158">
        <f ca="1"/>
        <v>2.5326357813897848</v>
      </c>
      <c r="T158">
        <f ca="1"/>
        <v>-5.2343149065388339E-5</v>
      </c>
      <c r="U158">
        <f ca="1"/>
        <v>-1.5044399950436438E-2</v>
      </c>
      <c r="V158">
        <f ca="1">(S158*12)/(Beam_Analysis!$B$2*Beam_Analysis!$B$3)</f>
        <v>3.4025559087189231E-5</v>
      </c>
    </row>
    <row r="159" spans="14:22" x14ac:dyDescent="0.25">
      <c r="N159">
        <v>53</v>
      </c>
      <c r="O159" s="12">
        <f t="shared" si="70"/>
        <v>11.5</v>
      </c>
      <c r="P159">
        <f t="shared" ca="1" si="71"/>
        <v>-1.5084694628068912E-2</v>
      </c>
      <c r="Q159">
        <f t="shared" si="69"/>
        <v>6.5</v>
      </c>
      <c r="R159" cm="1">
        <f t="array" aca="1" ref="R159:U159" ca="1">center_span(Beam_Analysis!$J$29,Q159,Beam_Analysis!$D$3,Beam_Analysis!$D$2,Beam_Analysis!$J$33:$O$79,Beam_Analysis!$G$5:$P$5,0)</f>
        <v>-0.18697309698665307</v>
      </c>
      <c r="S159">
        <f ca="1"/>
        <v>2.5170766442664494</v>
      </c>
      <c r="T159">
        <f ca="1"/>
        <v>-1.4353464109643013E-6</v>
      </c>
      <c r="U159">
        <f ca="1"/>
        <v>-1.5084694628068912E-2</v>
      </c>
      <c r="V159">
        <f ca="1">(S159*12)/(Beam_Analysis!$B$2*Beam_Analysis!$B$3)</f>
        <v>3.3816524553512534E-5</v>
      </c>
    </row>
    <row r="160" spans="14:22" x14ac:dyDescent="0.25">
      <c r="N160">
        <v>54</v>
      </c>
      <c r="O160" s="12">
        <f t="shared" si="70"/>
        <v>11.625</v>
      </c>
      <c r="P160">
        <f t="shared" ca="1" si="71"/>
        <v>-1.5048941485341791E-2</v>
      </c>
      <c r="Q160">
        <f t="shared" si="69"/>
        <v>6.625</v>
      </c>
      <c r="R160" cm="1">
        <f t="array" aca="1" ref="R160:U160" ca="1">center_span(Beam_Analysis!$J$29,Q160,Beam_Analysis!$D$3,Beam_Analysis!$D$2,Beam_Analysis!$J$33:$O$79,Beam_Analysis!$G$5:$P$5,0)</f>
        <v>-0.3119730969866531</v>
      </c>
      <c r="S160">
        <f ca="1"/>
        <v>2.4858925071431299</v>
      </c>
      <c r="T160">
        <f ca="1"/>
        <v>4.9001464899672484E-5</v>
      </c>
      <c r="U160">
        <f ca="1"/>
        <v>-1.5048941485341791E-2</v>
      </c>
      <c r="V160">
        <f ca="1">(S160*12)/(Beam_Analysis!$B$2*Beam_Analysis!$B$3)</f>
        <v>3.3397570628882178E-5</v>
      </c>
    </row>
    <row r="161" spans="14:22" x14ac:dyDescent="0.25">
      <c r="N161">
        <v>55</v>
      </c>
      <c r="O161" s="12">
        <f t="shared" si="70"/>
        <v>11.75</v>
      </c>
      <c r="P161">
        <f t="shared" ca="1" si="71"/>
        <v>-1.4938083168587066E-2</v>
      </c>
      <c r="Q161">
        <f t="shared" si="69"/>
        <v>6.75</v>
      </c>
      <c r="R161" cm="1">
        <f t="array" aca="1" ref="R161:U161" ca="1">center_span(Beam_Analysis!$J$29,Q161,Beam_Analysis!$D$3,Beam_Analysis!$D$2,Beam_Analysis!$J$33:$O$79,Beam_Analysis!$G$5:$P$5,0)</f>
        <v>-0.4369730969866531</v>
      </c>
      <c r="S161">
        <f ca="1"/>
        <v>2.43908337001979</v>
      </c>
      <c r="T161">
        <f ca="1"/>
        <v>9.8652405780198793E-5</v>
      </c>
      <c r="U161">
        <f ca="1"/>
        <v>-1.4938083168587066E-2</v>
      </c>
      <c r="V161">
        <f ca="1">(S161*12)/(Beam_Analysis!$B$2*Beam_Analysis!$B$3)</f>
        <v>3.2768697313297669E-5</v>
      </c>
    </row>
    <row r="162" spans="14:22" x14ac:dyDescent="0.25">
      <c r="N162">
        <v>56</v>
      </c>
      <c r="O162" s="12">
        <f t="shared" si="70"/>
        <v>11.875</v>
      </c>
      <c r="P162">
        <f t="shared" ca="1" si="71"/>
        <v>-1.4753534642759858E-2</v>
      </c>
      <c r="Q162">
        <f t="shared" si="69"/>
        <v>6.875</v>
      </c>
      <c r="R162" cm="1">
        <f t="array" aca="1" ref="R162:U162" ca="1">center_span(Beam_Analysis!$J$29,Q162,Beam_Analysis!$D$3,Beam_Analysis!$D$2,Beam_Analysis!$J$33:$O$79,Beam_Analysis!$G$5:$P$5,0)</f>
        <v>-0.5619730969866531</v>
      </c>
      <c r="S162">
        <f ca="1"/>
        <v>2.3766492328964421</v>
      </c>
      <c r="T162">
        <f ca="1"/>
        <v>1.472025971441214E-4</v>
      </c>
      <c r="U162">
        <f ca="1"/>
        <v>-1.4753534642759858E-2</v>
      </c>
      <c r="V162">
        <f ca="1">(S162*12)/(Beam_Analysis!$B$2*Beam_Analysis!$B$3)</f>
        <v>3.1929904606759189E-5</v>
      </c>
    </row>
    <row r="163" spans="14:22" x14ac:dyDescent="0.25">
      <c r="N163">
        <v>57</v>
      </c>
      <c r="O163" s="12">
        <f t="shared" si="70"/>
        <v>12</v>
      </c>
      <c r="P163">
        <f t="shared" ca="1" si="71"/>
        <v>-1.4497183191456445E-2</v>
      </c>
      <c r="Q163">
        <f t="shared" si="69"/>
        <v>7</v>
      </c>
      <c r="R163" cm="1">
        <f t="array" aca="1" ref="R163:U163" ca="1">center_span(Beam_Analysis!$J$29,Q163,Beam_Analysis!$D$3,Beam_Analysis!$D$2,Beam_Analysis!$J$33:$O$79,Beam_Analysis!$G$5:$P$5,0)</f>
        <v>-0.68697309698665299</v>
      </c>
      <c r="S163">
        <f ca="1"/>
        <v>2.2985900957731404</v>
      </c>
      <c r="T163">
        <f ca="1"/>
        <v>1.9433715990499522E-4</v>
      </c>
      <c r="U163">
        <f ca="1"/>
        <v>-1.4497183191456445E-2</v>
      </c>
      <c r="V163">
        <f ca="1">(S163*12)/(Beam_Analysis!$B$2*Beam_Analysis!$B$3)</f>
        <v>3.088119250926745E-5</v>
      </c>
    </row>
    <row r="164" spans="14:22" x14ac:dyDescent="0.25">
      <c r="N164">
        <v>58</v>
      </c>
      <c r="O164" s="12">
        <f t="shared" si="70"/>
        <v>12.125</v>
      </c>
      <c r="P164">
        <f t="shared" ca="1" si="71"/>
        <v>-1.4171388416893027E-2</v>
      </c>
      <c r="Q164">
        <f t="shared" si="69"/>
        <v>7.125</v>
      </c>
      <c r="R164" cm="1">
        <f t="array" aca="1" ref="R164:U164" ca="1">center_span(Beam_Analysis!$J$29,Q164,Beam_Analysis!$D$3,Beam_Analysis!$D$2,Beam_Analysis!$J$33:$O$79,Beam_Analysis!$G$5:$P$5,0)</f>
        <v>-0.81197309698665299</v>
      </c>
      <c r="S164">
        <f ca="1"/>
        <v>2.2049059586497957</v>
      </c>
      <c r="T164">
        <f ca="1"/>
        <v>2.3974121497641982E-4</v>
      </c>
      <c r="U164">
        <f ca="1"/>
        <v>-1.4171388416893027E-2</v>
      </c>
      <c r="V164">
        <f ca="1">(S164*12)/(Beam_Analysis!$B$2*Beam_Analysis!$B$3)</f>
        <v>2.9622561020821256E-5</v>
      </c>
    </row>
    <row r="165" spans="14:22" x14ac:dyDescent="0.25">
      <c r="N165">
        <v>59</v>
      </c>
      <c r="O165" s="12">
        <f t="shared" si="70"/>
        <v>12.25</v>
      </c>
      <c r="P165">
        <f t="shared" ca="1" si="71"/>
        <v>-1.3778982239915055E-2</v>
      </c>
      <c r="Q165">
        <f t="shared" si="69"/>
        <v>7.25</v>
      </c>
      <c r="R165" cm="1">
        <f t="array" aca="1" ref="R165:U165" ca="1">center_span(Beam_Analysis!$J$29,Q165,Beam_Analysis!$D$3,Beam_Analysis!$D$2,Beam_Analysis!$J$33:$O$79,Beam_Analysis!$G$5:$P$5,0)</f>
        <v>-0.93697309698665299</v>
      </c>
      <c r="S165">
        <f ca="1"/>
        <v>2.0955968215264549</v>
      </c>
      <c r="T165">
        <f ca="1"/>
        <v>2.8309988327198613E-4</v>
      </c>
      <c r="U165">
        <f ca="1"/>
        <v>-1.3778982239915055E-2</v>
      </c>
      <c r="V165">
        <f ca="1">(S165*12)/(Beam_Analysis!$B$2*Beam_Analysis!$B$3)</f>
        <v>2.815401014142125E-5</v>
      </c>
    </row>
    <row r="166" spans="14:22" x14ac:dyDescent="0.25">
      <c r="N166">
        <v>60</v>
      </c>
      <c r="O166" s="12">
        <f t="shared" si="70"/>
        <v>12.375</v>
      </c>
      <c r="P166">
        <f t="shared" ca="1" si="71"/>
        <v>-1.3323268900005222E-2</v>
      </c>
      <c r="Q166">
        <f t="shared" si="69"/>
        <v>7.375</v>
      </c>
      <c r="R166" cm="1">
        <f t="array" aca="1" ref="R166:U166" ca="1">center_span(Beam_Analysis!$J$29,Q166,Beam_Analysis!$D$3,Beam_Analysis!$D$2,Beam_Analysis!$J$33:$O$79,Beam_Analysis!$G$5:$P$5,0)</f>
        <v>-1.061973096986653</v>
      </c>
      <c r="S166">
        <f ca="1"/>
        <v>1.9706626844031354</v>
      </c>
      <c r="T166">
        <f ca="1"/>
        <v>3.2409828570520004E-4</v>
      </c>
      <c r="U166">
        <f ca="1"/>
        <v>-1.3323268900005222E-2</v>
      </c>
      <c r="V166">
        <f ca="1">(S166*12)/(Beam_Analysis!$B$2*Beam_Analysis!$B$3)</f>
        <v>2.6475539871067647E-5</v>
      </c>
    </row>
    <row r="167" spans="14:22" x14ac:dyDescent="0.25">
      <c r="N167">
        <v>61</v>
      </c>
      <c r="O167" s="12">
        <f t="shared" si="70"/>
        <v>12.5</v>
      </c>
      <c r="P167">
        <f t="shared" ca="1" si="71"/>
        <v>-1.2808024955271433E-2</v>
      </c>
      <c r="Q167">
        <f t="shared" si="69"/>
        <v>7.5</v>
      </c>
      <c r="R167" cm="1">
        <f t="array" aca="1" ref="R167:U167" ca="1">center_span(Beam_Analysis!$J$29,Q167,Beam_Analysis!$D$3,Beam_Analysis!$D$2,Beam_Analysis!$J$33:$O$79,Beam_Analysis!$G$5:$P$5,0)</f>
        <v>-1.1869730969866512</v>
      </c>
      <c r="S167">
        <f ca="1"/>
        <v>1.8301035472798013</v>
      </c>
      <c r="T167">
        <f ca="1"/>
        <v>3.6242154318970928E-4</v>
      </c>
      <c r="U167">
        <f ca="1"/>
        <v>-1.2808024955271433E-2</v>
      </c>
      <c r="V167">
        <f ca="1">(S167*12)/(Beam_Analysis!$B$2*Beam_Analysis!$B$3)</f>
        <v>2.4587150209759982E-5</v>
      </c>
    </row>
    <row r="168" spans="14:22" x14ac:dyDescent="0.25">
      <c r="N168">
        <v>62</v>
      </c>
      <c r="O168" s="12">
        <f t="shared" si="70"/>
        <v>12.625</v>
      </c>
      <c r="P168">
        <f t="shared" ca="1" si="71"/>
        <v>-1.2237499282456502E-2</v>
      </c>
      <c r="Q168">
        <f t="shared" si="69"/>
        <v>7.625</v>
      </c>
      <c r="R168" cm="1">
        <f t="array" aca="1" ref="R168:U168" ca="1">center_span(Beam_Analysis!$J$29,Q168,Beam_Analysis!$D$3,Beam_Analysis!$D$2,Beam_Analysis!$J$33:$O$79,Beam_Analysis!$G$5:$P$5,0)</f>
        <v>-1.3119730969866512</v>
      </c>
      <c r="S168">
        <f ca="1"/>
        <v>1.6739194101564709</v>
      </c>
      <c r="T168">
        <f ca="1"/>
        <v>3.9775477663900804E-4</v>
      </c>
      <c r="U168">
        <f ca="1"/>
        <v>-1.2237499282456502E-2</v>
      </c>
      <c r="V168">
        <f ca="1">(S168*12)/(Beam_Analysis!$B$2*Beam_Analysis!$B$3)</f>
        <v>2.2488841157498488E-5</v>
      </c>
    </row>
    <row r="169" spans="14:22" x14ac:dyDescent="0.25">
      <c r="N169">
        <v>63</v>
      </c>
      <c r="O169" s="12">
        <f t="shared" si="70"/>
        <v>12.75</v>
      </c>
      <c r="P169">
        <f t="shared" ca="1" si="71"/>
        <v>-1.1616413076915466E-2</v>
      </c>
      <c r="Q169">
        <f t="shared" si="69"/>
        <v>7.75</v>
      </c>
      <c r="R169" cm="1">
        <f t="array" aca="1" ref="R169:U169" ca="1">center_span(Beam_Analysis!$J$29,Q169,Beam_Analysis!$D$3,Beam_Analysis!$D$2,Beam_Analysis!$J$33:$O$79,Beam_Analysis!$G$5:$P$5,0)</f>
        <v>-1.4369730969866512</v>
      </c>
      <c r="S169">
        <f ca="1"/>
        <v>1.5021102730331373</v>
      </c>
      <c r="T169">
        <f ca="1"/>
        <v>4.2978310696672019E-4</v>
      </c>
      <c r="U169">
        <f ca="1"/>
        <v>-1.1616413076915466E-2</v>
      </c>
      <c r="V169">
        <f ca="1">(S169*12)/(Beam_Analysis!$B$2*Beam_Analysis!$B$3)</f>
        <v>2.0180612714283078E-5</v>
      </c>
    </row>
    <row r="170" spans="14:22" x14ac:dyDescent="0.25">
      <c r="N170">
        <v>64</v>
      </c>
      <c r="O170" s="12">
        <f t="shared" si="70"/>
        <v>12.875</v>
      </c>
      <c r="P170">
        <f t="shared" ca="1" si="71"/>
        <v>-1.0949959852658425E-2</v>
      </c>
      <c r="Q170">
        <f t="shared" si="69"/>
        <v>7.875</v>
      </c>
      <c r="R170" cm="1">
        <f t="array" aca="1" ref="R170:U170" ca="1">center_span(Beam_Analysis!$J$29,Q170,Beam_Analysis!$D$3,Beam_Analysis!$D$2,Beam_Analysis!$J$33:$O$79,Beam_Analysis!$G$5:$P$5,0)</f>
        <v>-1.5619730969866512</v>
      </c>
      <c r="S170">
        <f ca="1"/>
        <v>1.3146761359098067</v>
      </c>
      <c r="T170">
        <f ca="1"/>
        <v>4.5819165508638286E-4</v>
      </c>
      <c r="U170">
        <f ca="1"/>
        <v>-1.0949959852658425E-2</v>
      </c>
      <c r="V170">
        <f ca="1">(S170*12)/(Beam_Analysis!$B$2*Beam_Analysis!$B$3)</f>
        <v>1.766246488011384E-5</v>
      </c>
    </row>
    <row r="171" spans="14:22" x14ac:dyDescent="0.25">
      <c r="N171">
        <v>65</v>
      </c>
      <c r="O171" s="12">
        <f t="shared" ref="O171:O202" si="72">Q171+$F$12</f>
        <v>13</v>
      </c>
      <c r="P171">
        <f t="shared" ref="P171:P202" ca="1" si="73">OFFSET(R171,0,$O$2)</f>
        <v>-1.024380544230416E-2</v>
      </c>
      <c r="Q171">
        <f t="shared" si="69"/>
        <v>8</v>
      </c>
      <c r="R171" cm="1">
        <f t="array" aca="1" ref="R171:U171" ca="1">center_span(Beam_Analysis!$J$29,Q171,Beam_Analysis!$D$3,Beam_Analysis!$D$2,Beam_Analysis!$J$33:$O$79,Beam_Analysis!$G$5:$P$5,0)</f>
        <v>-1.6869730969866512</v>
      </c>
      <c r="S171">
        <f ca="1"/>
        <v>1.1116169987864766</v>
      </c>
      <c r="T171">
        <f ca="1"/>
        <v>4.8266554191158002E-4</v>
      </c>
      <c r="U171">
        <f ca="1"/>
        <v>-1.024380544230416E-2</v>
      </c>
      <c r="V171">
        <f ca="1">(S171*12)/(Beam_Analysis!$B$2*Beam_Analysis!$B$3)</f>
        <v>1.4934397654990729E-5</v>
      </c>
    </row>
    <row r="172" spans="14:22" x14ac:dyDescent="0.25">
      <c r="N172">
        <v>66</v>
      </c>
      <c r="O172" s="12">
        <f t="shared" si="72"/>
        <v>13.125</v>
      </c>
      <c r="P172">
        <f t="shared" ca="1" si="73"/>
        <v>-9.5040879971111936E-3</v>
      </c>
      <c r="Q172">
        <f t="shared" si="69"/>
        <v>8.125</v>
      </c>
      <c r="R172" cm="1">
        <f t="array" aca="1" ref="R172:U172" ca="1">center_span(Beam_Analysis!$J$29,Q172,Beam_Analysis!$D$3,Beam_Analysis!$D$2,Beam_Analysis!$J$33:$O$79,Beam_Analysis!$G$5:$P$5,0)</f>
        <v>-1.8119730969866512</v>
      </c>
      <c r="S172">
        <f ca="1"/>
        <v>0.89293286166314645</v>
      </c>
      <c r="T172">
        <f ca="1"/>
        <v>5.0288988835588697E-4</v>
      </c>
      <c r="U172">
        <f ca="1"/>
        <v>-9.5040879971111936E-3</v>
      </c>
      <c r="V172">
        <f ca="1">(S172*12)/(Beam_Analysis!$B$2*Beam_Analysis!$B$3)</f>
        <v>1.1996411038913747E-5</v>
      </c>
    </row>
    <row r="173" spans="14:22" x14ac:dyDescent="0.25">
      <c r="N173">
        <v>67</v>
      </c>
      <c r="O173" s="12">
        <f t="shared" si="72"/>
        <v>13.25</v>
      </c>
      <c r="P173">
        <f t="shared" ca="1" si="73"/>
        <v>-8.7374179869704194E-3</v>
      </c>
      <c r="Q173">
        <f t="shared" si="69"/>
        <v>8.25</v>
      </c>
      <c r="R173" cm="1">
        <f t="array" aca="1" ref="R173:U173" ca="1">center_span(Beam_Analysis!$J$29,Q173,Beam_Analysis!$D$3,Beam_Analysis!$D$2,Beam_Analysis!$J$33:$O$79,Beam_Analysis!$G$5:$P$5,0)</f>
        <v>-1.9369730969866512</v>
      </c>
      <c r="S173">
        <f ca="1"/>
        <v>0.65862372453981588</v>
      </c>
      <c r="T173">
        <f ca="1"/>
        <v>5.1854981533285254E-4</v>
      </c>
      <c r="U173">
        <f ca="1"/>
        <v>-8.7374179869704194E-3</v>
      </c>
      <c r="V173">
        <f ca="1">(S173*12)/(Beam_Analysis!$B$2*Beam_Analysis!$B$3)</f>
        <v>8.848505031882883E-6</v>
      </c>
    </row>
    <row r="174" spans="14:22" x14ac:dyDescent="0.25">
      <c r="N174">
        <v>68</v>
      </c>
      <c r="O174" s="12">
        <f t="shared" si="72"/>
        <v>13.375</v>
      </c>
      <c r="P174">
        <f t="shared" ca="1" si="73"/>
        <v>-7.9508782003909484E-3</v>
      </c>
      <c r="Q174">
        <f t="shared" si="69"/>
        <v>8.375</v>
      </c>
      <c r="R174" cm="1">
        <f t="array" aca="1" ref="R174:U174" ca="1">center_span(Beam_Analysis!$J$29,Q174,Beam_Analysis!$D$3,Beam_Analysis!$D$2,Beam_Analysis!$J$33:$O$79,Beam_Analysis!$G$5:$P$5,0)</f>
        <v>-2.0619730969866512</v>
      </c>
      <c r="S174">
        <f ca="1"/>
        <v>0.40868958741646799</v>
      </c>
      <c r="T174">
        <f ca="1"/>
        <v>5.2933044375605767E-4</v>
      </c>
      <c r="U174">
        <f ca="1"/>
        <v>-7.9508782003909484E-3</v>
      </c>
      <c r="V174">
        <f ca="1">(S174*12)/(Beam_Analysis!$B$2*Beam_Analysis!$B$3)</f>
        <v>5.4906796338979133E-6</v>
      </c>
    </row>
    <row r="175" spans="14:22" x14ac:dyDescent="0.25">
      <c r="N175">
        <v>69</v>
      </c>
      <c r="O175" s="12">
        <f t="shared" si="72"/>
        <v>13.5</v>
      </c>
      <c r="P175">
        <f t="shared" ca="1" si="73"/>
        <v>-7.1520237445242552E-3</v>
      </c>
      <c r="Q175">
        <f t="shared" si="69"/>
        <v>8.5</v>
      </c>
      <c r="R175" cm="1">
        <f t="array" aca="1" ref="R175:U175" ca="1">center_span(Beam_Analysis!$J$29,Q175,Beam_Analysis!$D$3,Beam_Analysis!$D$2,Beam_Analysis!$J$33:$O$79,Beam_Analysis!$G$5:$P$5,0)</f>
        <v>-2.1869730969866517</v>
      </c>
      <c r="S175">
        <f ca="1"/>
        <v>0.14313045029316607</v>
      </c>
      <c r="T175">
        <f ca="1"/>
        <v>5.3491689453907592E-4</v>
      </c>
      <c r="U175">
        <f ca="1"/>
        <v>-7.1520237445242552E-3</v>
      </c>
      <c r="V175">
        <f ca="1">(S175*12)/(Beam_Analysis!$B$2*Beam_Analysis!$B$3)</f>
        <v>1.9229348449596875E-6</v>
      </c>
    </row>
    <row r="176" spans="14:22" x14ac:dyDescent="0.25">
      <c r="N176">
        <v>70</v>
      </c>
      <c r="O176" s="12">
        <f t="shared" si="72"/>
        <v>13.625</v>
      </c>
      <c r="P176">
        <f t="shared" ca="1" si="73"/>
        <v>-6.3488820451370331E-3</v>
      </c>
      <c r="Q176">
        <f t="shared" si="69"/>
        <v>8.625</v>
      </c>
      <c r="R176" cm="1">
        <f t="array" aca="1" ref="R176:U176" ca="1">center_span(Beam_Analysis!$J$29,Q176,Beam_Analysis!$D$3,Beam_Analysis!$D$2,Beam_Analysis!$J$33:$O$79,Beam_Analysis!$G$5:$P$5,0)</f>
        <v>-2.3119730969866517</v>
      </c>
      <c r="S176">
        <f ca="1"/>
        <v>-0.13805368683018227</v>
      </c>
      <c r="T176">
        <f ca="1"/>
        <v>5.3499428859543662E-4</v>
      </c>
      <c r="U176">
        <f ca="1"/>
        <v>-6.3488820451370331E-3</v>
      </c>
      <c r="V176">
        <f ca="1">(S176*12)/(Beam_Analysis!$B$2*Beam_Analysis!$B$3)</f>
        <v>-1.8547293349330353E-6</v>
      </c>
    </row>
    <row r="177" spans="14:22" x14ac:dyDescent="0.25">
      <c r="N177">
        <v>71</v>
      </c>
      <c r="O177" s="12">
        <f t="shared" si="72"/>
        <v>13.75</v>
      </c>
      <c r="P177">
        <f t="shared" ca="1" si="73"/>
        <v>-5.5499528466440018E-3</v>
      </c>
      <c r="Q177">
        <f t="shared" si="69"/>
        <v>8.75</v>
      </c>
      <c r="R177" cm="1">
        <f t="array" aca="1" ref="R177:U177" ca="1">center_span(Beam_Analysis!$J$29,Q177,Beam_Analysis!$D$3,Beam_Analysis!$D$2,Beam_Analysis!$J$33:$O$79,Beam_Analysis!$G$5:$P$5,0)</f>
        <v>-2.4369730969866517</v>
      </c>
      <c r="S177">
        <f ca="1"/>
        <v>-0.43486282395351594</v>
      </c>
      <c r="T177">
        <f ca="1"/>
        <v>5.2924774683878661E-4</v>
      </c>
      <c r="U177">
        <f ca="1"/>
        <v>-5.5499528466440018E-3</v>
      </c>
      <c r="V177">
        <f ca="1">(S177*12)/(Beam_Analysis!$B$2*Beam_Analysis!$B$3)</f>
        <v>-5.8423129057794351E-6</v>
      </c>
    </row>
    <row r="178" spans="14:22" x14ac:dyDescent="0.25">
      <c r="N178">
        <v>72</v>
      </c>
      <c r="O178" s="12">
        <f t="shared" si="72"/>
        <v>13.875</v>
      </c>
      <c r="P178">
        <f t="shared" ca="1" si="73"/>
        <v>-4.7642082120706863E-3</v>
      </c>
      <c r="Q178">
        <f t="shared" si="69"/>
        <v>8.875</v>
      </c>
      <c r="R178" cm="1">
        <f t="array" aca="1" ref="R178:U178" ca="1">center_span(Beam_Analysis!$J$29,Q178,Beam_Analysis!$D$3,Beam_Analysis!$D$2,Beam_Analysis!$J$33:$O$79,Beam_Analysis!$G$5:$P$5,0)</f>
        <v>-2.5619730969866517</v>
      </c>
      <c r="S178">
        <f ca="1"/>
        <v>-0.74729696107684251</v>
      </c>
      <c r="T178">
        <f ca="1"/>
        <v>5.1736239018263354E-4</v>
      </c>
      <c r="U178">
        <f ca="1"/>
        <v>-4.7642082120706863E-3</v>
      </c>
      <c r="V178">
        <f ca="1">(S178*12)/(Beam_Analysis!$B$2*Beam_Analysis!$B$3)</f>
        <v>-1.0039815867579613E-5</v>
      </c>
    </row>
    <row r="179" spans="14:22" x14ac:dyDescent="0.25">
      <c r="N179">
        <v>73</v>
      </c>
      <c r="O179" s="12">
        <f t="shared" si="72"/>
        <v>14</v>
      </c>
      <c r="P179">
        <f t="shared" ca="1" si="73"/>
        <v>-4.0010925230877237E-3</v>
      </c>
      <c r="Q179">
        <f t="shared" si="69"/>
        <v>9</v>
      </c>
      <c r="R179" cm="1">
        <f t="array" aca="1" ref="R179:U179" ca="1">center_span(Beam_Analysis!$J$29,Q179,Beam_Analysis!$D$3,Beam_Analysis!$D$2,Beam_Analysis!$J$33:$O$79,Beam_Analysis!$G$5:$P$5,0)</f>
        <v>-2.6869730969866517</v>
      </c>
      <c r="S179">
        <f ca="1"/>
        <v>-1.0753560982001873</v>
      </c>
      <c r="T179">
        <f ca="1"/>
        <v>4.9902333954056745E-4</v>
      </c>
      <c r="U179">
        <f ca="1"/>
        <v>-4.0010925230877237E-3</v>
      </c>
      <c r="V179">
        <f ca="1">(S179*12)/(Beam_Analysis!$B$2*Beam_Analysis!$B$3)</f>
        <v>-1.4447238220333909E-5</v>
      </c>
    </row>
    <row r="180" spans="14:22" x14ac:dyDescent="0.25">
      <c r="N180">
        <v>74</v>
      </c>
      <c r="O180" s="12">
        <f t="shared" si="72"/>
        <v>14.125</v>
      </c>
      <c r="P180">
        <f t="shared" ca="1" si="73"/>
        <v>-3.2705224799843002E-3</v>
      </c>
      <c r="Q180">
        <f t="shared" si="69"/>
        <v>9.125</v>
      </c>
      <c r="R180" cm="1">
        <f t="array" aca="1" ref="R180:U180" ca="1">center_span(Beam_Analysis!$J$29,Q180,Beam_Analysis!$D$3,Beam_Analysis!$D$2,Beam_Analysis!$J$33:$O$79,Beam_Analysis!$G$5:$P$5,0)</f>
        <v>-2.8119730969866517</v>
      </c>
      <c r="S180">
        <f ca="1"/>
        <v>-1.4190402353235028</v>
      </c>
      <c r="T180">
        <f ca="1"/>
        <v>4.7391571582615973E-4</v>
      </c>
      <c r="U180">
        <f ca="1"/>
        <v>-3.2705224799843002E-3</v>
      </c>
      <c r="V180">
        <f ca="1">(S180*12)/(Beam_Analysis!$B$2*Beam_Analysis!$B$3)</f>
        <v>-1.9064579964041685E-5</v>
      </c>
    </row>
    <row r="181" spans="14:22" x14ac:dyDescent="0.25">
      <c r="N181">
        <v>75</v>
      </c>
      <c r="O181" s="12">
        <f t="shared" si="72"/>
        <v>14.25</v>
      </c>
      <c r="P181">
        <f t="shared" ca="1" si="73"/>
        <v>-2.5828871016888855E-3</v>
      </c>
      <c r="Q181">
        <f t="shared" si="69"/>
        <v>9.25</v>
      </c>
      <c r="R181" cm="1">
        <f t="array" aca="1" ref="R181:U181" ca="1">center_span(Beam_Analysis!$J$29,Q181,Beam_Analysis!$D$3,Beam_Analysis!$D$2,Beam_Analysis!$J$33:$O$79,Beam_Analysis!$G$5:$P$5,0)</f>
        <v>-2.9369730969866517</v>
      </c>
      <c r="S181">
        <f ca="1"/>
        <v>-1.7783493724468369</v>
      </c>
      <c r="T181">
        <f ca="1"/>
        <v>4.417246399529718E-4</v>
      </c>
      <c r="U181">
        <f ca="1"/>
        <v>-2.5828871016888855E-3</v>
      </c>
      <c r="V181">
        <f ca="1">(S181*12)/(Beam_Analysis!$B$2*Beam_Analysis!$B$3)</f>
        <v>-2.3891841098703587E-5</v>
      </c>
    </row>
    <row r="182" spans="14:22" x14ac:dyDescent="0.25">
      <c r="N182">
        <v>76</v>
      </c>
      <c r="O182" s="12">
        <f t="shared" si="72"/>
        <v>14.375</v>
      </c>
      <c r="P182">
        <f t="shared" ca="1" si="73"/>
        <v>-1.949047725746833E-3</v>
      </c>
      <c r="Q182">
        <f t="shared" si="69"/>
        <v>9.375</v>
      </c>
      <c r="R182" cm="1">
        <f t="array" aca="1" ref="R182:U182" ca="1">center_span(Beam_Analysis!$J$29,Q182,Beam_Analysis!$D$3,Beam_Analysis!$D$2,Beam_Analysis!$J$33:$O$79,Beam_Analysis!$G$5:$P$5,0)</f>
        <v>-3.0619730969866517</v>
      </c>
      <c r="S182">
        <f ca="1"/>
        <v>-2.153283509570171</v>
      </c>
      <c r="T182">
        <f ca="1"/>
        <v>4.0213523283456811E-4</v>
      </c>
      <c r="U182">
        <f ca="1"/>
        <v>-1.949047725746833E-3</v>
      </c>
      <c r="V182">
        <f ca="1">(S182*12)/(Beam_Analysis!$B$2*Beam_Analysis!$B$3)</f>
        <v>-2.892902162431936E-5</v>
      </c>
    </row>
    <row r="183" spans="14:22" x14ac:dyDescent="0.25">
      <c r="N183">
        <v>77</v>
      </c>
      <c r="O183" s="12">
        <f t="shared" si="72"/>
        <v>14.5</v>
      </c>
      <c r="P183">
        <f t="shared" ca="1" si="73"/>
        <v>-1.3803380083526884E-3</v>
      </c>
      <c r="Q183">
        <f t="shared" si="69"/>
        <v>9.5</v>
      </c>
      <c r="R183" cm="1">
        <f t="array" aca="1" ref="R183:U183" ca="1">center_span(Beam_Analysis!$J$29,Q183,Beam_Analysis!$D$3,Beam_Analysis!$D$2,Beam_Analysis!$J$33:$O$79,Beam_Analysis!$G$5:$P$5,0)</f>
        <v>-3.1869730969866517</v>
      </c>
      <c r="S183">
        <f ca="1"/>
        <v>-2.5438426466935153</v>
      </c>
      <c r="T183">
        <f ca="1"/>
        <v>3.5483261538452656E-4</v>
      </c>
      <c r="U183">
        <f ca="1"/>
        <v>-1.3803380083526884E-3</v>
      </c>
      <c r="V183">
        <f ca="1">(S183*12)/(Beam_Analysis!$B$2*Beam_Analysis!$B$3)</f>
        <v>-3.4176121540889142E-5</v>
      </c>
    </row>
    <row r="184" spans="14:22" x14ac:dyDescent="0.25">
      <c r="N184">
        <v>78</v>
      </c>
      <c r="O184" s="12">
        <f t="shared" si="72"/>
        <v>14.625</v>
      </c>
      <c r="P184">
        <f t="shared" ca="1" si="73"/>
        <v>-8.8856392430422537E-4</v>
      </c>
      <c r="Q184">
        <f t="shared" si="69"/>
        <v>9.625</v>
      </c>
      <c r="R184" cm="1">
        <f t="array" aca="1" ref="R184:U184" ca="1">center_span(Beam_Analysis!$J$29,Q184,Beam_Analysis!$D$3,Beam_Analysis!$D$2,Beam_Analysis!$J$33:$O$79,Beam_Analysis!$G$5:$P$5,0)</f>
        <v>-3.3119730969866517</v>
      </c>
      <c r="S184">
        <f ca="1"/>
        <v>-2.9500267838168277</v>
      </c>
      <c r="T184">
        <f ca="1"/>
        <v>2.9950190851642852E-4</v>
      </c>
      <c r="U184">
        <f ca="1"/>
        <v>-8.8856392430422537E-4</v>
      </c>
      <c r="V184">
        <f ca="1">(S184*12)/(Beam_Analysis!$B$2*Beam_Analysis!$B$3)</f>
        <v>-3.9633140848412372E-5</v>
      </c>
    </row>
    <row r="185" spans="14:22" x14ac:dyDescent="0.25">
      <c r="N185">
        <v>79</v>
      </c>
      <c r="O185" s="12">
        <f t="shared" si="72"/>
        <v>14.75</v>
      </c>
      <c r="P185">
        <f t="shared" ca="1" si="73"/>
        <v>-4.8600376705482118E-4</v>
      </c>
      <c r="Q185">
        <f t="shared" si="69"/>
        <v>9.75</v>
      </c>
      <c r="R185" cm="1">
        <f t="array" aca="1" ref="R185:U185" ca="1">center_span(Beam_Analysis!$J$29,Q185,Beam_Analysis!$D$3,Beam_Analysis!$D$2,Beam_Analysis!$J$33:$O$79,Beam_Analysis!$G$5:$P$5,0)</f>
        <v>-3.4369730969866517</v>
      </c>
      <c r="S185">
        <f ca="1"/>
        <v>-3.3718359209401658</v>
      </c>
      <c r="T185">
        <f ca="1"/>
        <v>2.3582823314381848E-4</v>
      </c>
      <c r="U185">
        <f ca="1"/>
        <v>-4.8600376705482118E-4</v>
      </c>
      <c r="V185">
        <f ca="1">(S185*12)/(Beam_Analysis!$B$2*Beam_Analysis!$B$3)</f>
        <v>-4.5300079546889824E-5</v>
      </c>
    </row>
    <row r="186" spans="14:22" x14ac:dyDescent="0.25">
      <c r="N186">
        <v>80</v>
      </c>
      <c r="O186" s="12">
        <f t="shared" si="72"/>
        <v>14.875</v>
      </c>
      <c r="P186">
        <f t="shared" ca="1" si="73"/>
        <v>-1.8540814866815913E-4</v>
      </c>
      <c r="Q186">
        <f t="shared" si="69"/>
        <v>9.875</v>
      </c>
      <c r="R186" cm="1">
        <f t="array" aca="1" ref="R186:U186" ca="1">center_span(Beam_Analysis!$J$29,Q186,Beam_Analysis!$D$3,Beam_Analysis!$D$2,Beam_Analysis!$J$33:$O$79,Beam_Analysis!$G$5:$P$5,0)</f>
        <v>-3.5619730969866517</v>
      </c>
      <c r="S186">
        <f ca="1"/>
        <v>-3.8092700580635057</v>
      </c>
      <c r="T186">
        <f ca="1"/>
        <v>1.6349671018029343E-4</v>
      </c>
      <c r="U186">
        <f ca="1"/>
        <v>-1.8540814866815913E-4</v>
      </c>
      <c r="V186">
        <f ca="1">(S186*12)/(Beam_Analysis!$B$2*Beam_Analysis!$B$3)</f>
        <v>-5.1176937636321171E-5</v>
      </c>
    </row>
    <row r="187" spans="14:22" x14ac:dyDescent="0.25">
      <c r="N187">
        <v>81</v>
      </c>
      <c r="O187" s="12">
        <f t="shared" si="72"/>
        <v>15</v>
      </c>
      <c r="P187">
        <f t="shared" ca="1" si="73"/>
        <v>1.5021317523178368E-13</v>
      </c>
      <c r="Q187">
        <f t="shared" si="69"/>
        <v>10</v>
      </c>
      <c r="R187" cm="1">
        <f t="array" aca="1" ref="R187:U187" ca="1">center_span(Beam_Analysis!$J$29,Q187,Beam_Analysis!$D$3,Beam_Analysis!$D$2,Beam_Analysis!$J$33:$O$79,Beam_Analysis!$G$5:$P$5,0)</f>
        <v>-3.6869730969866517</v>
      </c>
      <c r="S187">
        <f ca="1"/>
        <v>-4.2623291951868296</v>
      </c>
      <c r="T187">
        <f ca="1"/>
        <v>8.2192460539375761E-5</v>
      </c>
      <c r="U187">
        <f ca="1"/>
        <v>1.5021317523178368E-13</v>
      </c>
      <c r="V187">
        <f ca="1">(S187*12)/(Beam_Analysis!$B$2*Beam_Analysis!$B$3)</f>
        <v>-5.7263715116706178E-5</v>
      </c>
    </row>
    <row r="188" spans="14:22" x14ac:dyDescent="0.25">
      <c r="N188">
        <v>82</v>
      </c>
      <c r="O188" s="12">
        <f t="shared" si="72"/>
        <v>15.125</v>
      </c>
      <c r="P188">
        <f t="shared" ca="1" si="73"/>
        <v>6.0952091359145477E-5</v>
      </c>
      <c r="Q188">
        <f t="shared" si="69"/>
        <v>10.125</v>
      </c>
      <c r="R188" cm="1">
        <f t="array" aca="1" ref="R188:U188" ca="1">center_span(Beam_Analysis!$J$29,Q188,Beam_Analysis!$D$3,Beam_Analysis!$D$2,Beam_Analysis!$J$33:$O$79,Beam_Analysis!$G$5:$P$5,0)</f>
        <v>3.2171715567317869</v>
      </c>
      <c r="S188">
        <f ca="1"/>
        <v>-3.8523702505953503</v>
      </c>
      <c r="T188">
        <f ca="1"/>
        <v>4.5392772249222904E-7</v>
      </c>
      <c r="U188">
        <f ca="1"/>
        <v>6.0952091359145477E-5</v>
      </c>
      <c r="V188">
        <f ca="1">(S188*12)/(Beam_Analysis!$B$2*Beam_Analysis!$B$3)</f>
        <v>-5.1755981870963063E-5</v>
      </c>
    </row>
    <row r="189" spans="14:22" x14ac:dyDescent="0.25">
      <c r="N189">
        <v>83</v>
      </c>
      <c r="O189" s="12">
        <f t="shared" si="72"/>
        <v>15.25</v>
      </c>
      <c r="P189">
        <f t="shared" ca="1" si="73"/>
        <v>5.4138634774381078E-6</v>
      </c>
      <c r="Q189">
        <f t="shared" si="69"/>
        <v>10.25</v>
      </c>
      <c r="R189" cm="1">
        <f t="array" aca="1" ref="R189:U189" ca="1">center_span(Beam_Analysis!$J$29,Q189,Beam_Analysis!$D$3,Beam_Analysis!$D$2,Beam_Analysis!$J$33:$O$79,Beam_Analysis!$G$5:$P$5,0)</f>
        <v>3.0921715567317869</v>
      </c>
      <c r="S189">
        <f ca="1"/>
        <v>-3.4580363060038852</v>
      </c>
      <c r="T189">
        <f ca="1"/>
        <v>-7.3180444768991548E-5</v>
      </c>
      <c r="U189">
        <f ca="1"/>
        <v>5.4138634774381078E-6</v>
      </c>
      <c r="V189">
        <f ca="1">(S189*12)/(Beam_Analysis!$B$2*Beam_Analysis!$B$3)</f>
        <v>-4.6458168016174007E-5</v>
      </c>
    </row>
    <row r="190" spans="14:22" x14ac:dyDescent="0.25">
      <c r="N190">
        <v>84</v>
      </c>
      <c r="O190" s="12">
        <f t="shared" si="72"/>
        <v>15.375</v>
      </c>
      <c r="P190">
        <f t="shared" ca="1" si="73"/>
        <v>-1.5469460232545029E-4</v>
      </c>
      <c r="Q190">
        <f t="shared" si="69"/>
        <v>10.375</v>
      </c>
      <c r="R190" cm="1">
        <f t="array" aca="1" ref="R190:U190" ca="1">center_span(Beam_Analysis!$J$29,Q190,Beam_Analysis!$D$3,Beam_Analysis!$D$2,Beam_Analysis!$J$33:$O$79,Beam_Analysis!$G$5:$P$5,0)</f>
        <v>2.9671715567317869</v>
      </c>
      <c r="S190">
        <f ca="1"/>
        <v>-3.0793273614124028</v>
      </c>
      <c r="T190">
        <f ca="1"/>
        <v>-1.3902553602151329E-4</v>
      </c>
      <c r="U190">
        <f ca="1"/>
        <v>-1.5469460232545029E-4</v>
      </c>
      <c r="V190">
        <f ca="1">(S190*12)/(Beam_Analysis!$B$2*Beam_Analysis!$B$3)</f>
        <v>-4.1370273552338596E-5</v>
      </c>
    </row>
    <row r="191" spans="14:22" x14ac:dyDescent="0.25">
      <c r="N191">
        <v>85</v>
      </c>
      <c r="O191" s="12">
        <f t="shared" si="72"/>
        <v>15.5</v>
      </c>
      <c r="P191">
        <f t="shared" ca="1" si="73"/>
        <v>-4.0792554351043453E-4</v>
      </c>
      <c r="Q191">
        <f t="shared" si="69"/>
        <v>10.5</v>
      </c>
      <c r="R191" cm="1">
        <f t="array" aca="1" ref="R191:U191" ca="1">center_span(Beam_Analysis!$J$29,Q191,Beam_Analysis!$D$3,Beam_Analysis!$D$2,Beam_Analysis!$J$33:$O$79,Beam_Analysis!$G$5:$P$5,0)</f>
        <v>2.8421715567317869</v>
      </c>
      <c r="S191">
        <f ca="1"/>
        <v>-2.7162434168209382</v>
      </c>
      <c r="T191">
        <f ca="1"/>
        <v>-1.9739622512149032E-4</v>
      </c>
      <c r="U191">
        <f ca="1"/>
        <v>-4.0792554351043453E-4</v>
      </c>
      <c r="V191">
        <f ca="1">(S191*12)/(Beam_Analysis!$B$2*Beam_Analysis!$B$3)</f>
        <v>-3.6492298479457298E-5</v>
      </c>
    </row>
    <row r="192" spans="14:22" x14ac:dyDescent="0.25">
      <c r="N192">
        <v>86</v>
      </c>
      <c r="O192" s="12">
        <f t="shared" si="72"/>
        <v>15.625</v>
      </c>
      <c r="P192">
        <f t="shared" ca="1" si="73"/>
        <v>-7.4330351615747858E-4</v>
      </c>
      <c r="Q192">
        <f t="shared" si="69"/>
        <v>10.625</v>
      </c>
      <c r="R192" cm="1">
        <f t="array" aca="1" ref="R192:U192" ca="1">center_span(Beam_Analysis!$J$29,Q192,Beam_Analysis!$D$3,Beam_Analysis!$D$2,Beam_Analysis!$J$33:$O$79,Beam_Analysis!$G$5:$P$5,0)</f>
        <v>2.7171715567317869</v>
      </c>
      <c r="S192">
        <f ca="1"/>
        <v>-2.368784472229462</v>
      </c>
      <c r="T192">
        <f ca="1"/>
        <v>-2.4860739115536469E-4</v>
      </c>
      <c r="U192">
        <f ca="1"/>
        <v>-7.4330351615747858E-4</v>
      </c>
      <c r="V192">
        <f ca="1">(S192*12)/(Beam_Analysis!$B$2*Beam_Analysis!$B$3)</f>
        <v>-3.1824242797529714E-5</v>
      </c>
    </row>
    <row r="193" spans="14:22" x14ac:dyDescent="0.25">
      <c r="N193">
        <v>87</v>
      </c>
      <c r="O193" s="12">
        <f t="shared" si="72"/>
        <v>15.75</v>
      </c>
      <c r="P193">
        <f t="shared" ca="1" si="73"/>
        <v>-1.1503253949856629E-3</v>
      </c>
      <c r="Q193">
        <f t="shared" si="69"/>
        <v>10.75</v>
      </c>
      <c r="R193" cm="1">
        <f t="array" aca="1" ref="R193:U193" ca="1">center_span(Beam_Analysis!$J$29,Q193,Beam_Analysis!$D$3,Beam_Analysis!$D$2,Beam_Analysis!$J$33:$O$79,Beam_Analysis!$G$5:$P$5,0)</f>
        <v>2.5921715567317869</v>
      </c>
      <c r="S193">
        <f ca="1"/>
        <v>-2.0369505276379831</v>
      </c>
      <c r="T193">
        <f ca="1"/>
        <v>-2.9297391320954333E-4</v>
      </c>
      <c r="U193">
        <f ca="1"/>
        <v>-1.1503253949856629E-3</v>
      </c>
      <c r="V193">
        <f ca="1">(S193*12)/(Beam_Analysis!$B$2*Beam_Analysis!$B$3)</f>
        <v>-2.7366106506555977E-5</v>
      </c>
    </row>
    <row r="194" spans="14:22" x14ac:dyDescent="0.25">
      <c r="N194">
        <v>88</v>
      </c>
      <c r="O194" s="12">
        <f t="shared" si="72"/>
        <v>15.875</v>
      </c>
      <c r="P194">
        <f t="shared" ca="1" si="73"/>
        <v>-1.618960373340278E-3</v>
      </c>
      <c r="Q194">
        <f t="shared" si="69"/>
        <v>10.875</v>
      </c>
      <c r="R194" cm="1">
        <f t="array" aca="1" ref="R194:U194" ca="1">center_span(Beam_Analysis!$J$29,Q194,Beam_Analysis!$D$3,Beam_Analysis!$D$2,Beam_Analysis!$J$33:$O$79,Beam_Analysis!$G$5:$P$5,0)</f>
        <v>2.4671715567317869</v>
      </c>
      <c r="S194">
        <f ca="1"/>
        <v>-1.7207415830465149</v>
      </c>
      <c r="T194">
        <f ca="1"/>
        <v>-3.3081067037048651E-4</v>
      </c>
      <c r="U194">
        <f ca="1"/>
        <v>-1.618960373340278E-3</v>
      </c>
      <c r="V194">
        <f ca="1">(S194*12)/(Beam_Analysis!$B$2*Beam_Analysis!$B$3)</f>
        <v>-2.3117889606536252E-5</v>
      </c>
    </row>
    <row r="195" spans="14:22" x14ac:dyDescent="0.25">
      <c r="N195">
        <v>89</v>
      </c>
      <c r="O195" s="12">
        <f t="shared" si="72"/>
        <v>16</v>
      </c>
      <c r="P195">
        <f t="shared" ca="1" si="73"/>
        <v>-2.1396499631946564E-3</v>
      </c>
      <c r="Q195">
        <f t="shared" si="69"/>
        <v>11</v>
      </c>
      <c r="R195" cm="1">
        <f t="array" aca="1" ref="R195:U195" ca="1">center_span(Beam_Analysis!$J$29,Q195,Beam_Analysis!$D$3,Beam_Analysis!$D$2,Beam_Analysis!$J$33:$O$79,Beam_Analysis!$G$5:$P$5,0)</f>
        <v>2.3421715567317869</v>
      </c>
      <c r="S195">
        <f ca="1"/>
        <v>-1.4201576384550529</v>
      </c>
      <c r="T195">
        <f ca="1"/>
        <v>-3.6243254172463107E-4</v>
      </c>
      <c r="U195">
        <f ca="1"/>
        <v>-2.1396499631946564E-3</v>
      </c>
      <c r="V195">
        <f ca="1">(S195*12)/(Beam_Analysis!$B$2*Beam_Analysis!$B$3)</f>
        <v>-1.9079592097470484E-5</v>
      </c>
    </row>
    <row r="196" spans="14:22" x14ac:dyDescent="0.25">
      <c r="N196">
        <v>90</v>
      </c>
      <c r="O196" s="12">
        <f t="shared" si="72"/>
        <v>16.125</v>
      </c>
      <c r="P196">
        <f t="shared" ca="1" si="73"/>
        <v>-2.7033079951524208E-3</v>
      </c>
      <c r="Q196">
        <f t="shared" si="69"/>
        <v>11.125</v>
      </c>
      <c r="R196" cm="1">
        <f t="array" aca="1" ref="R196:U196" ca="1">center_span(Beam_Analysis!$J$29,Q196,Beam_Analysis!$D$3,Beam_Analysis!$D$2,Beam_Analysis!$J$33:$O$79,Beam_Analysis!$G$5:$P$5,0)</f>
        <v>2.2171715567317869</v>
      </c>
      <c r="S196">
        <f ca="1"/>
        <v>-1.1351986938635565</v>
      </c>
      <c r="T196">
        <f ca="1"/>
        <v>-3.8815440635838307E-4</v>
      </c>
      <c r="U196">
        <f ca="1"/>
        <v>-2.7033079951524208E-3</v>
      </c>
      <c r="V196">
        <f ca="1">(S196*12)/(Beam_Analysis!$B$2*Beam_Analysis!$B$3)</f>
        <v>-1.5251213979358126E-5</v>
      </c>
    </row>
    <row r="197" spans="14:22" x14ac:dyDescent="0.25">
      <c r="N197">
        <v>91</v>
      </c>
      <c r="O197" s="12">
        <f t="shared" si="72"/>
        <v>16.25</v>
      </c>
      <c r="P197">
        <f t="shared" ca="1" si="73"/>
        <v>-3.3013206184547284E-3</v>
      </c>
      <c r="Q197">
        <f t="shared" si="69"/>
        <v>11.25</v>
      </c>
      <c r="R197" cm="1">
        <f t="array" aca="1" ref="R197:U197" ca="1">center_span(Beam_Analysis!$J$29,Q197,Beam_Analysis!$D$3,Beam_Analysis!$D$2,Beam_Analysis!$J$33:$O$79,Beam_Analysis!$G$5:$P$5,0)</f>
        <v>2.0921715567317869</v>
      </c>
      <c r="S197">
        <f ca="1"/>
        <v>-0.86586474927209189</v>
      </c>
      <c r="T197">
        <f ca="1"/>
        <v>-4.082911433581863E-4</v>
      </c>
      <c r="U197">
        <f ca="1"/>
        <v>-3.3013206184547284E-3</v>
      </c>
      <c r="V197">
        <f ca="1">(S197*12)/(Beam_Analysis!$B$2*Beam_Analysis!$B$3)</f>
        <v>-1.1632755252200071E-5</v>
      </c>
    </row>
    <row r="198" spans="14:22" x14ac:dyDescent="0.25">
      <c r="N198">
        <v>92</v>
      </c>
      <c r="O198" s="12">
        <f t="shared" si="72"/>
        <v>16.375</v>
      </c>
      <c r="P198">
        <f t="shared" ca="1" si="73"/>
        <v>-3.9255463009560398E-3</v>
      </c>
      <c r="Q198">
        <f t="shared" ref="Q198:Q261" si="74">(N198-1)*$Q$105</f>
        <v>11.375</v>
      </c>
      <c r="R198" cm="1">
        <f t="array" aca="1" ref="R198:U198" ca="1">center_span(Beam_Analysis!$J$29,Q198,Beam_Analysis!$D$3,Beam_Analysis!$D$2,Beam_Analysis!$J$33:$O$79,Beam_Analysis!$G$5:$P$5,0)</f>
        <v>1.9671715567317871</v>
      </c>
      <c r="S198">
        <f ca="1"/>
        <v>-0.61215580468062281</v>
      </c>
      <c r="T198">
        <f ca="1"/>
        <v>-4.2315763181046415E-4</v>
      </c>
      <c r="U198">
        <f ca="1"/>
        <v>-3.9255463009560398E-3</v>
      </c>
      <c r="V198">
        <f ca="1">(S198*12)/(Beam_Analysis!$B$2*Beam_Analysis!$B$3)</f>
        <v>-8.224215915995828E-6</v>
      </c>
    </row>
    <row r="199" spans="14:22" x14ac:dyDescent="0.25">
      <c r="N199">
        <v>93</v>
      </c>
      <c r="O199" s="12">
        <f t="shared" si="72"/>
        <v>16.5</v>
      </c>
      <c r="P199">
        <f t="shared" ca="1" si="73"/>
        <v>-4.5683158291566772E-3</v>
      </c>
      <c r="Q199">
        <f t="shared" si="74"/>
        <v>11.5</v>
      </c>
      <c r="R199" cm="1">
        <f t="array" aca="1" ref="R199:U199" ca="1">center_span(Beam_Analysis!$J$29,Q199,Beam_Analysis!$D$3,Beam_Analysis!$D$2,Beam_Analysis!$J$33:$O$79,Beam_Analysis!$G$5:$P$5,0)</f>
        <v>1.8421715567317871</v>
      </c>
      <c r="S199">
        <f ca="1"/>
        <v>-0.37407186008914373</v>
      </c>
      <c r="T199">
        <f ca="1"/>
        <v>-4.3306875080165175E-4</v>
      </c>
      <c r="U199">
        <f ca="1"/>
        <v>-4.5683158291566772E-3</v>
      </c>
      <c r="V199">
        <f ca="1">(S199*12)/(Beam_Analysis!$B$2*Beam_Analysis!$B$3)</f>
        <v>-5.0255959707453257E-6</v>
      </c>
    </row>
    <row r="200" spans="14:22" x14ac:dyDescent="0.25">
      <c r="N200">
        <v>94</v>
      </c>
      <c r="O200" s="12">
        <f t="shared" si="72"/>
        <v>16.625</v>
      </c>
      <c r="P200">
        <f t="shared" ca="1" si="73"/>
        <v>-5.2224323081735968E-3</v>
      </c>
      <c r="Q200">
        <f t="shared" si="74"/>
        <v>11.625</v>
      </c>
      <c r="R200" cm="1">
        <f t="array" aca="1" ref="R200:U200" ca="1">center_span(Beam_Analysis!$J$29,Q200,Beam_Analysis!$D$3,Beam_Analysis!$D$2,Beam_Analysis!$J$33:$O$79,Beam_Analysis!$G$5:$P$5,0)</f>
        <v>1.7171715567317873</v>
      </c>
      <c r="S200">
        <f ca="1"/>
        <v>-0.15161291549766531</v>
      </c>
      <c r="T200">
        <f ca="1"/>
        <v>-4.3833937941817379E-4</v>
      </c>
      <c r="U200">
        <f ca="1"/>
        <v>-5.2224323081735968E-3</v>
      </c>
      <c r="V200">
        <f ca="1">(S200*12)/(Beam_Analysis!$B$2*Beam_Analysis!$B$3)</f>
        <v>-2.0368954164487054E-6</v>
      </c>
    </row>
    <row r="201" spans="14:22" x14ac:dyDescent="0.25">
      <c r="N201">
        <v>95</v>
      </c>
      <c r="O201" s="12">
        <f t="shared" si="72"/>
        <v>16.75</v>
      </c>
      <c r="P201">
        <f t="shared" ca="1" si="73"/>
        <v>-5.8811711617628715E-3</v>
      </c>
      <c r="Q201">
        <f t="shared" si="74"/>
        <v>11.75</v>
      </c>
      <c r="R201" cm="1">
        <f t="array" aca="1" ref="R201:U201" ca="1">center_span(Beam_Analysis!$J$29,Q201,Beam_Analysis!$D$3,Beam_Analysis!$D$2,Beam_Analysis!$J$33:$O$79,Beam_Analysis!$G$5:$P$5,0)</f>
        <v>1.5921715567317873</v>
      </c>
      <c r="S201">
        <f ca="1"/>
        <v>5.5221029093803775E-2</v>
      </c>
      <c r="T201">
        <f ca="1"/>
        <v>-4.3928439674647364E-4</v>
      </c>
      <c r="U201">
        <f ca="1"/>
        <v>-5.8811711617628715E-3</v>
      </c>
      <c r="V201">
        <f ca="1">(S201*12)/(Beam_Analysis!$B$2*Beam_Analysis!$B$3)</f>
        <v>7.4188574689391549E-7</v>
      </c>
    </row>
    <row r="202" spans="14:22" x14ac:dyDescent="0.25">
      <c r="N202">
        <v>96</v>
      </c>
      <c r="O202" s="12">
        <f t="shared" si="72"/>
        <v>16.875</v>
      </c>
      <c r="P202">
        <f t="shared" ca="1" si="73"/>
        <v>-6.5382801323111139E-3</v>
      </c>
      <c r="Q202">
        <f t="shared" si="74"/>
        <v>11.875</v>
      </c>
      <c r="R202" cm="1">
        <f t="array" aca="1" ref="R202:U202" ca="1">center_span(Beam_Analysis!$J$29,Q202,Beam_Analysis!$D$3,Beam_Analysis!$D$2,Beam_Analysis!$J$33:$O$79,Beam_Analysis!$G$5:$P$5,0)</f>
        <v>1.4671715567317873</v>
      </c>
      <c r="S202">
        <f ca="1"/>
        <v>0.24642997368527553</v>
      </c>
      <c r="T202">
        <f ca="1"/>
        <v>-4.3621868187297685E-4</v>
      </c>
      <c r="U202">
        <f ca="1"/>
        <v>-6.5382801323111139E-3</v>
      </c>
      <c r="V202">
        <f ca="1">(S202*12)/(Beam_Analysis!$B$2*Beam_Analysis!$B$3)</f>
        <v>3.3107475192826985E-6</v>
      </c>
    </row>
    <row r="203" spans="14:22" x14ac:dyDescent="0.25">
      <c r="N203">
        <v>97</v>
      </c>
      <c r="O203" s="12">
        <f t="shared" ref="O203:O227" si="75">Q203+$F$12</f>
        <v>17</v>
      </c>
      <c r="P203">
        <f t="shared" ref="P203:P227" ca="1" si="76">OFFSET(R203,0,$O$2)</f>
        <v>-7.1879792808248189E-3</v>
      </c>
      <c r="Q203">
        <f t="shared" si="74"/>
        <v>12</v>
      </c>
      <c r="R203" cm="1">
        <f t="array" aca="1" ref="R203:U203" ca="1">center_span(Beam_Analysis!$J$29,Q203,Beam_Analysis!$D$3,Beam_Analysis!$D$2,Beam_Analysis!$J$33:$O$79,Beam_Analysis!$G$5:$P$5,0)</f>
        <v>1.3421715567317873</v>
      </c>
      <c r="S203">
        <f ca="1"/>
        <v>0.42201391827674373</v>
      </c>
      <c r="T203">
        <f ca="1"/>
        <v>-4.2945711388410034E-4</v>
      </c>
      <c r="U203">
        <f ca="1"/>
        <v>-7.1879792808248189E-3</v>
      </c>
      <c r="V203">
        <f ca="1">(S203*12)/(Beam_Analysis!$B$2*Beam_Analysis!$B$3)</f>
        <v>5.66968990071756E-6</v>
      </c>
    </row>
    <row r="204" spans="14:22" x14ac:dyDescent="0.25">
      <c r="N204">
        <v>98</v>
      </c>
      <c r="O204" s="12">
        <f t="shared" si="75"/>
        <v>17.125</v>
      </c>
      <c r="P204">
        <f t="shared" ca="1" si="76"/>
        <v>-7.824960986948265E-3</v>
      </c>
      <c r="Q204">
        <f t="shared" si="74"/>
        <v>12.125</v>
      </c>
      <c r="R204" cm="1">
        <f t="array" aca="1" ref="R204:U204" ca="1">center_span(Beam_Analysis!$J$29,Q204,Beam_Analysis!$D$3,Beam_Analysis!$D$2,Beam_Analysis!$J$33:$O$79,Beam_Analysis!$G$5:$P$5,0)</f>
        <v>1.2171715567317873</v>
      </c>
      <c r="S204">
        <f ca="1"/>
        <v>0.58197286286821637</v>
      </c>
      <c r="T204">
        <f ca="1"/>
        <v>-4.1931457186629179E-4</v>
      </c>
      <c r="U204">
        <f ca="1"/>
        <v>-7.824960986948265E-3</v>
      </c>
      <c r="V204">
        <f ca="1">(S204*12)/(Beam_Analysis!$B$2*Beam_Analysis!$B$3)</f>
        <v>7.8187128911986085E-6</v>
      </c>
    </row>
    <row r="205" spans="14:22" x14ac:dyDescent="0.25">
      <c r="N205">
        <v>99</v>
      </c>
      <c r="O205" s="12">
        <f t="shared" si="75"/>
        <v>17.25</v>
      </c>
      <c r="P205">
        <f t="shared" ca="1" si="76"/>
        <v>-8.4443899489520247E-3</v>
      </c>
      <c r="Q205">
        <f t="shared" si="74"/>
        <v>12.25</v>
      </c>
      <c r="R205" cm="1">
        <f t="array" aca="1" ref="R205:U205" ca="1">center_span(Beam_Analysis!$J$29,Q205,Beam_Analysis!$D$3,Beam_Analysis!$D$2,Beam_Analysis!$J$33:$O$79,Beam_Analysis!$G$5:$P$5,0)</f>
        <v>1.0921715567317873</v>
      </c>
      <c r="S205">
        <f ca="1"/>
        <v>0.72630680745970233</v>
      </c>
      <c r="T205">
        <f ca="1"/>
        <v>-4.0610593490598371E-4</v>
      </c>
      <c r="U205">
        <f ca="1"/>
        <v>-8.4443899489520247E-3</v>
      </c>
      <c r="V205">
        <f ca="1">(S205*12)/(Beam_Analysis!$B$2*Beam_Analysis!$B$3)</f>
        <v>9.7578164907259601E-6</v>
      </c>
    </row>
    <row r="206" spans="14:22" x14ac:dyDescent="0.25">
      <c r="N206">
        <v>100</v>
      </c>
      <c r="O206" s="12">
        <f t="shared" si="75"/>
        <v>17.375</v>
      </c>
      <c r="P206">
        <f t="shared" ca="1" si="76"/>
        <v>-9.0419031837372099E-3</v>
      </c>
      <c r="Q206">
        <f t="shared" si="74"/>
        <v>12.375</v>
      </c>
      <c r="R206" cm="1">
        <f t="array" aca="1" ref="R206:U206" ca="1">center_span(Beam_Analysis!$J$29,Q206,Beam_Analysis!$D$3,Beam_Analysis!$D$2,Beam_Analysis!$J$33:$O$79,Beam_Analysis!$G$5:$P$5,0)</f>
        <v>0.96717155673178778</v>
      </c>
      <c r="S206">
        <f ca="1"/>
        <v>0.85501575205116342</v>
      </c>
      <c r="T206">
        <f ca="1"/>
        <v>-3.9014608208959908E-4</v>
      </c>
      <c r="U206">
        <f ca="1"/>
        <v>-9.0419031837372099E-3</v>
      </c>
      <c r="V206">
        <f ca="1">(S206*12)/(Beam_Analysis!$B$2*Beam_Analysis!$B$3)</f>
        <v>1.1487000699299106E-5</v>
      </c>
    </row>
    <row r="207" spans="14:22" x14ac:dyDescent="0.25">
      <c r="N207">
        <v>101</v>
      </c>
      <c r="O207" s="12">
        <f t="shared" si="75"/>
        <v>17.5</v>
      </c>
      <c r="P207">
        <f t="shared" ca="1" si="76"/>
        <v>-9.6136100268380542E-3</v>
      </c>
      <c r="Q207">
        <f t="shared" si="74"/>
        <v>12.5</v>
      </c>
      <c r="R207" cm="1">
        <f t="array" aca="1" ref="R207:U207" ca="1">center_span(Beam_Analysis!$J$29,Q207,Beam_Analysis!$D$3,Beam_Analysis!$D$2,Beam_Analysis!$J$33:$O$79,Beam_Analysis!$G$5:$P$5,0)</f>
        <v>0.84217155673178778</v>
      </c>
      <c r="S207">
        <f ca="1"/>
        <v>0.96809969664263607</v>
      </c>
      <c r="T207">
        <f ca="1"/>
        <v>-3.7174989250356475E-4</v>
      </c>
      <c r="U207">
        <f ca="1"/>
        <v>-9.6136100268380542E-3</v>
      </c>
      <c r="V207">
        <f ca="1">(S207*12)/(Beam_Analysis!$B$2*Beam_Analysis!$B$3)</f>
        <v>1.3006265516918531E-5</v>
      </c>
    </row>
    <row r="208" spans="14:22" x14ac:dyDescent="0.25">
      <c r="N208">
        <v>102</v>
      </c>
      <c r="O208" s="12">
        <f t="shared" si="75"/>
        <v>17.625</v>
      </c>
      <c r="P208">
        <f t="shared" ca="1" si="76"/>
        <v>-1.0156092132407091E-2</v>
      </c>
      <c r="Q208">
        <f t="shared" si="74"/>
        <v>12.625</v>
      </c>
      <c r="R208" cm="1">
        <f t="array" aca="1" ref="R208:U208" ca="1">center_span(Beam_Analysis!$J$29,Q208,Beam_Analysis!$D$3,Beam_Analysis!$D$2,Beam_Analysis!$J$33:$O$79,Beam_Analysis!$G$5:$P$5,0)</f>
        <v>0.71717155673178778</v>
      </c>
      <c r="S208">
        <f ca="1"/>
        <v>1.0655586412341078</v>
      </c>
      <c r="T208">
        <f ca="1"/>
        <v>-3.5123224523432106E-4</v>
      </c>
      <c r="U208">
        <f ca="1"/>
        <v>-1.0156092132407091E-2</v>
      </c>
      <c r="V208">
        <f ca="1">(S208*12)/(Beam_Analysis!$B$2*Beam_Analysis!$B$3)</f>
        <v>1.4315610943584073E-5</v>
      </c>
    </row>
    <row r="209" spans="14:22" x14ac:dyDescent="0.25">
      <c r="N209">
        <v>103</v>
      </c>
      <c r="O209" s="12">
        <f t="shared" si="75"/>
        <v>17.75</v>
      </c>
      <c r="P209">
        <f t="shared" ca="1" si="76"/>
        <v>-1.0666403473239966E-2</v>
      </c>
      <c r="Q209">
        <f t="shared" si="74"/>
        <v>12.75</v>
      </c>
      <c r="R209" cm="1">
        <f t="array" aca="1" ref="R209:U209" ca="1">center_span(Beam_Analysis!$J$29,Q209,Beam_Analysis!$D$3,Beam_Analysis!$D$2,Beam_Analysis!$J$33:$O$79,Beam_Analysis!$G$5:$P$5,0)</f>
        <v>0.59217155673178778</v>
      </c>
      <c r="S209">
        <f ca="1"/>
        <v>1.1473925858255902</v>
      </c>
      <c r="T209">
        <f ca="1"/>
        <v>-3.2890801936829033E-4</v>
      </c>
      <c r="U209">
        <f ca="1"/>
        <v>-1.0666403473239966E-2</v>
      </c>
      <c r="V209">
        <f ca="1">(S209*12)/(Beam_Analysis!$B$2*Beam_Analysis!$B$3)</f>
        <v>1.5415036979295884E-5</v>
      </c>
    </row>
    <row r="210" spans="14:22" x14ac:dyDescent="0.25">
      <c r="N210">
        <v>104</v>
      </c>
      <c r="O210" s="12">
        <f t="shared" si="75"/>
        <v>17.875</v>
      </c>
      <c r="P210">
        <f t="shared" ca="1" si="76"/>
        <v>-1.1142070340757704E-2</v>
      </c>
      <c r="Q210">
        <f t="shared" si="74"/>
        <v>12.875</v>
      </c>
      <c r="R210" cm="1">
        <f t="array" aca="1" ref="R210:U210" ca="1">center_span(Beam_Analysis!$J$29,Q210,Beam_Analysis!$D$3,Beam_Analysis!$D$2,Beam_Analysis!$J$33:$O$79,Beam_Analysis!$G$5:$P$5,0)</f>
        <v>0.46717155673178778</v>
      </c>
      <c r="S210">
        <f ca="1"/>
        <v>1.2136015304170558</v>
      </c>
      <c r="T210">
        <f ca="1"/>
        <v>-3.0509209399190397E-4</v>
      </c>
      <c r="U210">
        <f ca="1"/>
        <v>-1.1142070340757704E-2</v>
      </c>
      <c r="V210">
        <f ca="1">(S210*12)/(Beam_Analysis!$B$2*Beam_Analysis!$B$3)</f>
        <v>1.6304543624053595E-5</v>
      </c>
    </row>
    <row r="211" spans="14:22" x14ac:dyDescent="0.25">
      <c r="N211">
        <v>105</v>
      </c>
      <c r="O211" s="12">
        <f t="shared" si="75"/>
        <v>18</v>
      </c>
      <c r="P211">
        <f t="shared" ca="1" si="76"/>
        <v>-1.1581091345003125E-2</v>
      </c>
      <c r="Q211">
        <f t="shared" si="74"/>
        <v>13</v>
      </c>
      <c r="R211" cm="1">
        <f t="array" aca="1" ref="R211:U211" ca="1">center_span(Beam_Analysis!$J$29,Q211,Beam_Analysis!$D$3,Beam_Analysis!$D$2,Beam_Analysis!$J$33:$O$79,Beam_Analysis!$G$5:$P$5,0)</f>
        <v>0.34217155673178778</v>
      </c>
      <c r="S211">
        <f ca="1"/>
        <v>1.2641854750085382</v>
      </c>
      <c r="T211">
        <f ca="1"/>
        <v>-2.8009934819160079E-4</v>
      </c>
      <c r="U211">
        <f ca="1"/>
        <v>-1.1581091345003125E-2</v>
      </c>
      <c r="V211">
        <f ca="1">(S211*12)/(Beam_Analysis!$B$2*Beam_Analysis!$B$3)</f>
        <v>1.6984130877857656E-5</v>
      </c>
    </row>
    <row r="212" spans="14:22" x14ac:dyDescent="0.25">
      <c r="N212">
        <v>106</v>
      </c>
      <c r="O212" s="12">
        <f t="shared" si="75"/>
        <v>18.125</v>
      </c>
      <c r="P212">
        <f t="shared" ca="1" si="76"/>
        <v>-1.1981937414665661E-2</v>
      </c>
      <c r="Q212">
        <f t="shared" si="74"/>
        <v>13.125</v>
      </c>
      <c r="R212" cm="1">
        <f t="array" aca="1" ref="R212:U212" ca="1">center_span(Beam_Analysis!$J$29,Q212,Beam_Analysis!$D$3,Beam_Analysis!$D$2,Beam_Analysis!$J$33:$O$79,Beam_Analysis!$G$5:$P$5,0)</f>
        <v>0.2171715567317877</v>
      </c>
      <c r="S212">
        <f ca="1"/>
        <v>1.2991444196000028</v>
      </c>
      <c r="T212">
        <f ca="1"/>
        <v>-2.5424466105381047E-4</v>
      </c>
      <c r="U212">
        <f ca="1"/>
        <v>-1.1981937414665661E-2</v>
      </c>
      <c r="V212">
        <f ca="1">(S212*12)/(Beam_Analysis!$B$2*Beam_Analysis!$B$3)</f>
        <v>1.7453798740707605E-5</v>
      </c>
    </row>
    <row r="213" spans="14:22" x14ac:dyDescent="0.25">
      <c r="N213">
        <v>107</v>
      </c>
      <c r="O213" s="12">
        <f t="shared" si="75"/>
        <v>18.25</v>
      </c>
      <c r="P213">
        <f t="shared" ca="1" si="76"/>
        <v>-1.2343551797040386E-2</v>
      </c>
      <c r="Q213">
        <f t="shared" si="74"/>
        <v>13.25</v>
      </c>
      <c r="R213" cm="1">
        <f t="array" aca="1" ref="R213:U213" ca="1">center_span(Beam_Analysis!$J$29,Q213,Beam_Analysis!$D$3,Beam_Analysis!$D$2,Beam_Analysis!$J$33:$O$79,Beam_Analysis!$G$5:$P$5,0)</f>
        <v>9.2171556731787702E-2</v>
      </c>
      <c r="S213">
        <f ca="1"/>
        <v>1.3184783641914826</v>
      </c>
      <c r="T213">
        <f ca="1"/>
        <v>-2.2784291166495427E-4</v>
      </c>
      <c r="U213">
        <f ca="1"/>
        <v>-1.2343551797040386E-2</v>
      </c>
      <c r="V213">
        <f ca="1">(S213*12)/(Beam_Analysis!$B$2*Beam_Analysis!$B$3)</f>
        <v>1.7713547212603885E-5</v>
      </c>
    </row>
    <row r="214" spans="14:22" x14ac:dyDescent="0.25">
      <c r="N214">
        <v>108</v>
      </c>
      <c r="O214" s="12">
        <f t="shared" si="75"/>
        <v>18.375</v>
      </c>
      <c r="P214">
        <f t="shared" ca="1" si="76"/>
        <v>-1.266535005807598E-2</v>
      </c>
      <c r="Q214">
        <f t="shared" si="74"/>
        <v>13.375</v>
      </c>
      <c r="R214" cm="1">
        <f t="array" aca="1" ref="R214:U214" ca="1">center_span(Beam_Analysis!$J$29,Q214,Beam_Analysis!$D$3,Beam_Analysis!$D$2,Beam_Analysis!$J$33:$O$79,Beam_Analysis!$G$5:$P$5,0)</f>
        <v>-3.2828443268212298E-2</v>
      </c>
      <c r="S214">
        <f ca="1"/>
        <v>1.3221873087829645</v>
      </c>
      <c r="T214">
        <f ca="1"/>
        <v>-2.012089791114779E-4</v>
      </c>
      <c r="U214">
        <f ca="1"/>
        <v>-1.266535005807598E-2</v>
      </c>
      <c r="V214">
        <f ca="1">(S214*12)/(Beam_Analysis!$B$2*Beam_Analysis!$B$3)</f>
        <v>1.7763376293546323E-5</v>
      </c>
    </row>
    <row r="215" spans="14:22" x14ac:dyDescent="0.25">
      <c r="N215">
        <v>109</v>
      </c>
      <c r="O215" s="12">
        <f t="shared" si="75"/>
        <v>18.5</v>
      </c>
      <c r="P215">
        <f t="shared" ca="1" si="76"/>
        <v>-1.2947220082334593E-2</v>
      </c>
      <c r="Q215">
        <f t="shared" si="74"/>
        <v>13.5</v>
      </c>
      <c r="R215" cm="1">
        <f t="array" aca="1" ref="R215:U215" ca="1">center_span(Beam_Analysis!$J$29,Q215,Beam_Analysis!$D$3,Beam_Analysis!$D$2,Beam_Analysis!$J$33:$O$79,Beam_Analysis!$G$5:$P$5,0)</f>
        <v>-0.1578284432682123</v>
      </c>
      <c r="S215">
        <f ca="1"/>
        <v>1.3102712533744292</v>
      </c>
      <c r="T215">
        <f ca="1"/>
        <v>-1.7465774247979807E-4</v>
      </c>
      <c r="U215">
        <f ca="1"/>
        <v>-1.2947220082334593E-2</v>
      </c>
      <c r="V215">
        <f ca="1">(S215*12)/(Beam_Analysis!$B$2*Beam_Analysis!$B$3)</f>
        <v>1.7603285983534652E-5</v>
      </c>
    </row>
    <row r="216" spans="14:22" x14ac:dyDescent="0.25">
      <c r="N216">
        <v>110</v>
      </c>
      <c r="O216" s="12">
        <f t="shared" si="75"/>
        <v>18.625</v>
      </c>
      <c r="P216">
        <f t="shared" ca="1" si="76"/>
        <v>-1.3189522073019905E-2</v>
      </c>
      <c r="Q216">
        <f t="shared" si="74"/>
        <v>13.625</v>
      </c>
      <c r="R216" cm="1">
        <f t="array" aca="1" ref="R216:U216" ca="1">center_span(Beam_Analysis!$J$29,Q216,Beam_Analysis!$D$3,Beam_Analysis!$D$2,Beam_Analysis!$J$33:$O$79,Beam_Analysis!$G$5:$P$5,0)</f>
        <v>-0.28282844326821233</v>
      </c>
      <c r="S216">
        <f ca="1"/>
        <v>1.2827301979658912</v>
      </c>
      <c r="T216">
        <f ca="1"/>
        <v>-1.4850408085634943E-4</v>
      </c>
      <c r="U216">
        <f ca="1"/>
        <v>-1.3189522073019905E-2</v>
      </c>
      <c r="V216">
        <f ca="1">(S216*12)/(Beam_Analysis!$B$2*Beam_Analysis!$B$3)</f>
        <v>1.7233276282569071E-5</v>
      </c>
    </row>
    <row r="217" spans="14:22" x14ac:dyDescent="0.25">
      <c r="N217">
        <v>111</v>
      </c>
      <c r="O217" s="12">
        <f t="shared" si="75"/>
        <v>18.75</v>
      </c>
      <c r="P217">
        <f t="shared" ca="1" si="76"/>
        <v>-1.3393088551951815E-2</v>
      </c>
      <c r="Q217">
        <f t="shared" si="74"/>
        <v>13.75</v>
      </c>
      <c r="R217" cm="1">
        <f t="array" aca="1" ref="R217:U217" ca="1">center_span(Beam_Analysis!$J$29,Q217,Beam_Analysis!$D$3,Beam_Analysis!$D$2,Beam_Analysis!$J$33:$O$79,Beam_Analysis!$G$5:$P$5,0)</f>
        <v>-0.40782844326821233</v>
      </c>
      <c r="S217">
        <f ca="1"/>
        <v>1.2395641425573736</v>
      </c>
      <c r="T217">
        <f ca="1"/>
        <v>-1.230628733275656E-4</v>
      </c>
      <c r="U217">
        <f ca="1"/>
        <v>-1.3393088551951815E-2</v>
      </c>
      <c r="V217">
        <f ca="1">(S217*12)/(Beam_Analysis!$B$2*Beam_Analysis!$B$3)</f>
        <v>1.6653347190649892E-5</v>
      </c>
    </row>
    <row r="218" spans="14:22" x14ac:dyDescent="0.25">
      <c r="N218">
        <v>112</v>
      </c>
      <c r="O218" s="12">
        <f t="shared" si="75"/>
        <v>18.875</v>
      </c>
      <c r="P218">
        <f t="shared" ca="1" si="76"/>
        <v>-1.3559224359591837E-2</v>
      </c>
      <c r="Q218">
        <f t="shared" si="74"/>
        <v>13.875</v>
      </c>
      <c r="R218" cm="1">
        <f t="array" aca="1" ref="R218:U218" ca="1">center_span(Beam_Analysis!$J$29,Q218,Beam_Analysis!$D$3,Beam_Analysis!$D$2,Beam_Analysis!$J$33:$O$79,Beam_Analysis!$G$5:$P$5,0)</f>
        <v>-0.53282844326821233</v>
      </c>
      <c r="S218">
        <f ca="1"/>
        <v>1.180773087148856</v>
      </c>
      <c r="T218">
        <f ca="1"/>
        <v>-9.8648998979880597E-5</v>
      </c>
      <c r="U218">
        <f ca="1"/>
        <v>-1.3559224359591837E-2</v>
      </c>
      <c r="V218">
        <f ca="1">(S218*12)/(Beam_Analysis!$B$2*Beam_Analysis!$B$3)</f>
        <v>1.5863498707776837E-5</v>
      </c>
    </row>
    <row r="219" spans="14:22" x14ac:dyDescent="0.25">
      <c r="N219">
        <v>113</v>
      </c>
      <c r="O219" s="12">
        <f t="shared" si="75"/>
        <v>19</v>
      </c>
      <c r="P219">
        <f t="shared" ca="1" si="76"/>
        <v>-1.3689706655025613E-2</v>
      </c>
      <c r="Q219">
        <f t="shared" si="74"/>
        <v>14</v>
      </c>
      <c r="R219" cm="1">
        <f t="array" aca="1" ref="R219:U219" ca="1">center_span(Beam_Analysis!$J$29,Q219,Beam_Analysis!$D$3,Beam_Analysis!$D$2,Beam_Analysis!$J$33:$O$79,Beam_Analysis!$G$5:$P$5,0)</f>
        <v>-0.65782844326821233</v>
      </c>
      <c r="S219">
        <f ca="1"/>
        <v>1.1063570317403251</v>
      </c>
      <c r="T219">
        <f ca="1"/>
        <v>-7.5577336899712621E-5</v>
      </c>
      <c r="U219">
        <f ca="1"/>
        <v>-1.3689706655025613E-2</v>
      </c>
      <c r="V219">
        <f ca="1">(S219*12)/(Beam_Analysis!$B$2*Beam_Analysis!$B$3)</f>
        <v>1.4863730833949732E-5</v>
      </c>
    </row>
    <row r="220" spans="14:22" x14ac:dyDescent="0.25">
      <c r="N220">
        <v>114</v>
      </c>
      <c r="O220" s="12">
        <f t="shared" si="75"/>
        <v>19.125</v>
      </c>
      <c r="P220">
        <f t="shared" ca="1" si="76"/>
        <v>-1.3786784915968242E-2</v>
      </c>
      <c r="Q220">
        <f t="shared" si="74"/>
        <v>14.125</v>
      </c>
      <c r="R220" cm="1">
        <f t="array" aca="1" ref="R220:U220" ca="1">center_span(Beam_Analysis!$J$29,Q220,Beam_Analysis!$D$3,Beam_Analysis!$D$2,Beam_Analysis!$J$33:$O$79,Beam_Analysis!$G$5:$P$5,0)</f>
        <v>-0.78282844326821222</v>
      </c>
      <c r="S220">
        <f ca="1"/>
        <v>1.0163159763317933</v>
      </c>
      <c r="T220">
        <f ca="1"/>
        <v>-5.4162766173504809E-5</v>
      </c>
      <c r="U220">
        <f ca="1"/>
        <v>-1.3786784915968242E-2</v>
      </c>
      <c r="V220">
        <f ca="1">(S220*12)/(Beam_Analysis!$B$2*Beam_Analysis!$B$3)</f>
        <v>1.365404356916874E-5</v>
      </c>
    </row>
    <row r="221" spans="14:22" x14ac:dyDescent="0.25">
      <c r="N221">
        <v>115</v>
      </c>
      <c r="O221" s="12">
        <f t="shared" si="75"/>
        <v>19.25</v>
      </c>
      <c r="P221">
        <f t="shared" ca="1" si="76"/>
        <v>-1.3853180938767279E-2</v>
      </c>
      <c r="Q221">
        <f t="shared" si="74"/>
        <v>14.25</v>
      </c>
      <c r="R221" cm="1">
        <f t="array" aca="1" ref="R221:U221" ca="1">center_span(Beam_Analysis!$J$29,Q221,Beam_Analysis!$D$3,Beam_Analysis!$D$2,Beam_Analysis!$J$33:$O$79,Beam_Analysis!$G$5:$P$5,0)</f>
        <v>-0.90782844326821222</v>
      </c>
      <c r="S221">
        <f ca="1"/>
        <v>0.91064992092327568</v>
      </c>
      <c r="T221">
        <f ca="1"/>
        <v>-3.4720165887683384E-5</v>
      </c>
      <c r="U221">
        <f ca="1"/>
        <v>-1.3853180938767279E-2</v>
      </c>
      <c r="V221">
        <f ca="1">(S221*12)/(Beam_Analysis!$B$2*Beam_Analysis!$B$3)</f>
        <v>1.2234436913434067E-5</v>
      </c>
    </row>
    <row r="222" spans="14:22" x14ac:dyDescent="0.25">
      <c r="N222">
        <v>116</v>
      </c>
      <c r="O222" s="12">
        <f t="shared" si="75"/>
        <v>19.375</v>
      </c>
      <c r="P222">
        <f t="shared" ca="1" si="76"/>
        <v>-1.3892088838394406E-2</v>
      </c>
      <c r="Q222">
        <f t="shared" si="74"/>
        <v>14.375</v>
      </c>
      <c r="R222" cm="1">
        <f t="array" aca="1" ref="R222:U222" ca="1">center_span(Beam_Analysis!$J$29,Q222,Beam_Analysis!$D$3,Beam_Analysis!$D$2,Beam_Analysis!$J$33:$O$79,Beam_Analysis!$G$5:$P$5,0)</f>
        <v>-1.0328284432682122</v>
      </c>
      <c r="S222">
        <f ca="1"/>
        <v>0.78935886551473766</v>
      </c>
      <c r="T222">
        <f ca="1"/>
        <v>-1.7564415128682809E-5</v>
      </c>
      <c r="U222">
        <f ca="1"/>
        <v>-1.3892088838394406E-2</v>
      </c>
      <c r="V222">
        <f ca="1">(S222*12)/(Beam_Analysis!$B$2*Beam_Analysis!$B$3)</f>
        <v>1.0604910866745243E-5</v>
      </c>
    </row>
    <row r="223" spans="14:22" x14ac:dyDescent="0.25">
      <c r="N223">
        <v>117</v>
      </c>
      <c r="O223" s="12">
        <f t="shared" si="75"/>
        <v>19.5</v>
      </c>
      <c r="P223">
        <f t="shared" ca="1" si="76"/>
        <v>-1.390717504845726E-2</v>
      </c>
      <c r="Q223">
        <f t="shared" si="74"/>
        <v>14.5</v>
      </c>
      <c r="R223" cm="1">
        <f t="array" aca="1" ref="R223:U223" ca="1">center_span(Beam_Analysis!$J$29,Q223,Beam_Analysis!$D$3,Beam_Analysis!$D$2,Beam_Analysis!$J$33:$O$79,Beam_Analysis!$G$5:$P$5,0)</f>
        <v>-1.1578284432682122</v>
      </c>
      <c r="S223">
        <f ca="1"/>
        <v>0.65244281010622007</v>
      </c>
      <c r="T223">
        <f ca="1"/>
        <v>-3.0103929829254032E-6</v>
      </c>
      <c r="U223">
        <f ca="1"/>
        <v>-1.390717504845726E-2</v>
      </c>
      <c r="V223">
        <f ca="1">(S223*12)/(Beam_Analysis!$B$2*Beam_Analysis!$B$3)</f>
        <v>8.7654654291028222E-6</v>
      </c>
    </row>
    <row r="224" spans="14:22" x14ac:dyDescent="0.25">
      <c r="N224">
        <v>118</v>
      </c>
      <c r="O224" s="12">
        <f t="shared" si="75"/>
        <v>19.625</v>
      </c>
      <c r="P224">
        <f t="shared" ca="1" si="76"/>
        <v>-1.3902578321193182E-2</v>
      </c>
      <c r="Q224">
        <f t="shared" si="74"/>
        <v>14.625</v>
      </c>
      <c r="R224" cm="1">
        <f t="array" aca="1" ref="R224:U224" ca="1">center_span(Beam_Analysis!$J$29,Q224,Beam_Analysis!$D$3,Beam_Analysis!$D$2,Beam_Analysis!$J$33:$O$79,Beam_Analysis!$G$5:$P$5,0)</f>
        <v>-1.2828284432682122</v>
      </c>
      <c r="S224">
        <f ca="1"/>
        <v>0.49990175469768117</v>
      </c>
      <c r="T224">
        <f ca="1"/>
        <v>8.6270214631515522E-6</v>
      </c>
      <c r="U224">
        <f ca="1"/>
        <v>-1.3902578321193182E-2</v>
      </c>
      <c r="V224">
        <f ca="1">(S224*12)/(Beam_Analysis!$B$2*Beam_Analysis!$B$3)</f>
        <v>6.7161006005062407E-6</v>
      </c>
    </row>
    <row r="225" spans="14:22" x14ac:dyDescent="0.25">
      <c r="N225">
        <v>119</v>
      </c>
      <c r="O225" s="12">
        <f t="shared" si="75"/>
        <v>19.75</v>
      </c>
      <c r="P225">
        <f t="shared" ca="1" si="76"/>
        <v>-1.3882909727462395E-2</v>
      </c>
      <c r="Q225">
        <f t="shared" si="74"/>
        <v>14.75</v>
      </c>
      <c r="R225" cm="1">
        <f t="array" aca="1" ref="R225:U225" ca="1">center_span(Beam_Analysis!$J$29,Q225,Beam_Analysis!$D$3,Beam_Analysis!$D$2,Beam_Analysis!$J$33:$O$79,Beam_Analysis!$G$5:$P$5,0)</f>
        <v>-1.4078284432682122</v>
      </c>
      <c r="S225">
        <f ca="1"/>
        <v>0.33173569928916447</v>
      </c>
      <c r="T225">
        <f ca="1"/>
        <v>1.703294912311663E-5</v>
      </c>
      <c r="U225">
        <f ca="1"/>
        <v>-1.3882909727462395E-2</v>
      </c>
      <c r="V225">
        <f ca="1">(S225*12)/(Beam_Analysis!$B$2*Beam_Analysis!$B$3)</f>
        <v>4.4568163809560833E-6</v>
      </c>
    </row>
    <row r="226" spans="14:22" x14ac:dyDescent="0.25">
      <c r="N226">
        <v>120</v>
      </c>
      <c r="O226" s="12">
        <f t="shared" si="75"/>
        <v>19.875</v>
      </c>
      <c r="P226">
        <f t="shared" ca="1" si="76"/>
        <v>-1.3853252656758991E-2</v>
      </c>
      <c r="Q226">
        <f t="shared" si="74"/>
        <v>14.875</v>
      </c>
      <c r="R226" cm="1">
        <f t="array" aca="1" ref="R226:U226" ca="1">center_span(Beam_Analysis!$J$29,Q226,Beam_Analysis!$D$3,Beam_Analysis!$D$2,Beam_Analysis!$J$33:$O$79,Beam_Analysis!$G$5:$P$5,0)</f>
        <v>-1.5328284432682122</v>
      </c>
      <c r="S226">
        <f ca="1"/>
        <v>0.14794464388065398</v>
      </c>
      <c r="T226">
        <f ca="1"/>
        <v>2.1892510910543174E-5</v>
      </c>
      <c r="U226">
        <f ca="1"/>
        <v>-1.3853252656758991E-2</v>
      </c>
      <c r="V226">
        <f ca="1">(S226*12)/(Beam_Analysis!$B$2*Beam_Analysis!$B$3)</f>
        <v>1.9876127704521358E-6</v>
      </c>
    </row>
    <row r="227" spans="14:22" x14ac:dyDescent="0.25">
      <c r="N227">
        <v>121</v>
      </c>
      <c r="O227" s="12">
        <f t="shared" si="75"/>
        <v>20</v>
      </c>
      <c r="P227">
        <f t="shared" ca="1" si="76"/>
        <v>-1.3819162817209935E-2</v>
      </c>
      <c r="Q227">
        <f t="shared" si="74"/>
        <v>15</v>
      </c>
      <c r="R227" cm="1">
        <f t="array" aca="1" ref="R227:U227" ca="1">center_span(Beam_Analysis!$J$29,Q227,Beam_Analysis!$D$3,Beam_Analysis!$D$2,Beam_Analysis!$J$33:$O$79,Beam_Analysis!$G$5:$P$5,0)</f>
        <v>-1.6578284432682122</v>
      </c>
      <c r="S227">
        <f ca="1"/>
        <v>-5.147141152789203E-2</v>
      </c>
      <c r="T227">
        <f ca="1"/>
        <v>2.2890827738996722E-5</v>
      </c>
      <c r="U227">
        <f ca="1"/>
        <v>-1.3819162817209935E-2</v>
      </c>
      <c r="V227">
        <f ca="1">(S227*12)/(Beam_Analysis!$B$2*Beam_Analysis!$B$3)</f>
        <v>-6.915102310061625E-7</v>
      </c>
    </row>
    <row r="228" spans="14:22" x14ac:dyDescent="0.25">
      <c r="N228">
        <v>122</v>
      </c>
      <c r="O228" s="12">
        <f t="shared" ref="O228:O291" si="77">Q228+$F$12</f>
        <v>20.125</v>
      </c>
      <c r="P228">
        <f t="shared" ref="P228:P291" ca="1" si="78">OFFSET(R228,0,$O$2)</f>
        <v>-1.3784623093847009E-2</v>
      </c>
      <c r="Q228">
        <f t="shared" si="74"/>
        <v>15.125</v>
      </c>
      <c r="R228" cm="1">
        <f t="array" aca="1" ref="R228:U228" ca="1">center_span(Beam_Analysis!$J$29,Q228,Beam_Analysis!$D$3,Beam_Analysis!$D$2,Beam_Analysis!$J$33:$O$79,Beam_Analysis!$G$5:$P$5,0)</f>
        <v>1.4646748188127914</v>
      </c>
      <c r="S228">
        <f ca="1"/>
        <v>0.13942544082370301</v>
      </c>
      <c r="T228">
        <f ca="1"/>
        <v>2.380330396342667E-5</v>
      </c>
      <c r="U228">
        <f ca="1"/>
        <v>-1.3784623093847009E-2</v>
      </c>
      <c r="V228">
        <f ca="1">(S228*12)/(Beam_Analysis!$B$2*Beam_Analysis!$B$3)</f>
        <v>1.873158631755974E-6</v>
      </c>
    </row>
    <row r="229" spans="14:22" x14ac:dyDescent="0.25">
      <c r="N229">
        <v>123</v>
      </c>
      <c r="O229" s="12">
        <f t="shared" si="77"/>
        <v>20.25</v>
      </c>
      <c r="P229">
        <f t="shared" ca="1" si="78"/>
        <v>-1.3745908123448558E-2</v>
      </c>
      <c r="Q229">
        <f t="shared" si="74"/>
        <v>15.25</v>
      </c>
      <c r="R229" cm="1">
        <f t="array" aca="1" ref="R229:U229" ca="1">center_span(Beam_Analysis!$J$29,Q229,Beam_Analysis!$D$3,Beam_Analysis!$D$2,Beam_Analysis!$J$33:$O$79,Beam_Analysis!$G$5:$P$5,0)</f>
        <v>1.3396748188127914</v>
      </c>
      <c r="S229">
        <f ca="1"/>
        <v>0.31469729317532602</v>
      </c>
      <c r="T229">
        <f ca="1"/>
        <v>2.8405343938786207E-5</v>
      </c>
      <c r="U229">
        <f ca="1"/>
        <v>-1.3745908123448558E-2</v>
      </c>
      <c r="V229">
        <f ca="1">(S229*12)/(Beam_Analysis!$B$2*Beam_Analysis!$B$3)</f>
        <v>4.2279081035646127E-6</v>
      </c>
    </row>
    <row r="230" spans="14:22" x14ac:dyDescent="0.25">
      <c r="N230">
        <v>124</v>
      </c>
      <c r="O230" s="12">
        <f t="shared" si="77"/>
        <v>20.375</v>
      </c>
      <c r="P230">
        <f t="shared" ca="1" si="78"/>
        <v>-1.3697719719697493E-2</v>
      </c>
      <c r="Q230">
        <f t="shared" si="74"/>
        <v>15.375</v>
      </c>
      <c r="R230" cm="1">
        <f t="array" aca="1" ref="R230:U230" ca="1">center_span(Beam_Analysis!$J$29,Q230,Beam_Analysis!$D$3,Beam_Analysis!$D$2,Beam_Analysis!$J$33:$O$79,Beam_Analysis!$G$5:$P$5,0)</f>
        <v>1.2146748188127914</v>
      </c>
      <c r="S230">
        <f ca="1"/>
        <v>0.47434414552691351</v>
      </c>
      <c r="T230">
        <f ca="1"/>
        <v>3.6382068578643583E-5</v>
      </c>
      <c r="U230">
        <f ca="1"/>
        <v>-1.3697719719697493E-2</v>
      </c>
      <c r="V230">
        <f ca="1">(S230*12)/(Beam_Analysis!$B$2*Beam_Analysis!$B$3)</f>
        <v>6.3727381844189006E-6</v>
      </c>
    </row>
    <row r="231" spans="14:22" x14ac:dyDescent="0.25">
      <c r="N231">
        <v>125</v>
      </c>
      <c r="O231" s="12">
        <f t="shared" si="77"/>
        <v>20.5</v>
      </c>
      <c r="P231">
        <f t="shared" ca="1" si="78"/>
        <v>-1.3635232014921922E-2</v>
      </c>
      <c r="Q231">
        <f t="shared" si="74"/>
        <v>15.5</v>
      </c>
      <c r="R231" cm="1">
        <f t="array" aca="1" ref="R231:U231" ca="1">center_span(Beam_Analysis!$J$29,Q231,Beam_Analysis!$D$3,Beam_Analysis!$D$2,Beam_Analysis!$J$33:$O$79,Beam_Analysis!$G$5:$P$5,0)</f>
        <v>1.0896748188127914</v>
      </c>
      <c r="S231">
        <f ca="1"/>
        <v>0.61836599787849478</v>
      </c>
      <c r="T231">
        <f ca="1"/>
        <v>4.7418598796567695E-5</v>
      </c>
      <c r="U231">
        <f ca="1"/>
        <v>-1.3635232014921922E-2</v>
      </c>
      <c r="V231">
        <f ca="1">(S231*12)/(Beam_Analysis!$B$2*Beam_Analysis!$B$3)</f>
        <v>8.3076488743192306E-6</v>
      </c>
    </row>
    <row r="232" spans="14:22" x14ac:dyDescent="0.25">
      <c r="N232">
        <v>126</v>
      </c>
      <c r="O232" s="12">
        <f t="shared" si="77"/>
        <v>20.625</v>
      </c>
      <c r="P232">
        <f t="shared" ca="1" si="78"/>
        <v>-1.3554091460060008E-2</v>
      </c>
      <c r="Q232">
        <f t="shared" si="74"/>
        <v>15.625</v>
      </c>
      <c r="R232" cm="1">
        <f t="array" aca="1" ref="R232:U232" ca="1">center_span(Beam_Analysis!$J$29,Q232,Beam_Analysis!$D$3,Beam_Analysis!$D$2,Beam_Analysis!$J$33:$O$79,Beam_Analysis!$G$5:$P$5,0)</f>
        <v>0.96467481881279094</v>
      </c>
      <c r="S232">
        <f ca="1"/>
        <v>0.74676285023011069</v>
      </c>
      <c r="T232">
        <f ca="1"/>
        <v>6.1200055506124514E-5</v>
      </c>
      <c r="U232">
        <f ca="1"/>
        <v>-1.3554091460060008E-2</v>
      </c>
      <c r="V232">
        <f ca="1">(S232*12)/(Beam_Analysis!$B$2*Beam_Analysis!$B$3)</f>
        <v>1.0032640173266153E-5</v>
      </c>
    </row>
    <row r="233" spans="14:22" x14ac:dyDescent="0.25">
      <c r="N233">
        <v>127</v>
      </c>
      <c r="O233" s="12">
        <f t="shared" si="77"/>
        <v>20.75</v>
      </c>
      <c r="P233">
        <f t="shared" ca="1" si="78"/>
        <v>-1.3450416824698858E-2</v>
      </c>
      <c r="Q233">
        <f t="shared" si="74"/>
        <v>15.75</v>
      </c>
      <c r="R233" cm="1">
        <f t="array" aca="1" ref="R233:U233" ca="1">center_span(Beam_Analysis!$J$29,Q233,Beam_Analysis!$D$3,Beam_Analysis!$D$2,Beam_Analysis!$J$33:$O$79,Beam_Analysis!$G$5:$P$5,0)</f>
        <v>0.83967481881279094</v>
      </c>
      <c r="S233">
        <f ca="1"/>
        <v>0.85953470258170528</v>
      </c>
      <c r="T233">
        <f ca="1"/>
        <v>7.741155962088641E-5</v>
      </c>
      <c r="U233">
        <f ca="1"/>
        <v>-1.3450416824698858E-2</v>
      </c>
      <c r="V233">
        <f ca="1">(S233*12)/(Beam_Analysis!$B$2*Beam_Analysis!$B$3)</f>
        <v>1.1547712081258916E-5</v>
      </c>
    </row>
    <row r="234" spans="14:22" x14ac:dyDescent="0.25">
      <c r="N234">
        <v>128</v>
      </c>
      <c r="O234" s="12">
        <f t="shared" si="77"/>
        <v>20.875</v>
      </c>
      <c r="P234">
        <f t="shared" ca="1" si="78"/>
        <v>-1.3320799197038213E-2</v>
      </c>
      <c r="Q234">
        <f t="shared" si="74"/>
        <v>15.875</v>
      </c>
      <c r="R234" cm="1">
        <f t="array" aca="1" ref="R234:U234" ca="1">center_span(Beam_Analysis!$J$29,Q234,Beam_Analysis!$D$3,Beam_Analysis!$D$2,Beam_Analysis!$J$33:$O$79,Beam_Analysis!$G$5:$P$5,0)</f>
        <v>0.71467481881279094</v>
      </c>
      <c r="S234">
        <f ca="1"/>
        <v>0.95668155493329365</v>
      </c>
      <c r="T234">
        <f ca="1"/>
        <v>9.5738232054422062E-5</v>
      </c>
      <c r="U234">
        <f ca="1"/>
        <v>-1.3320799197038213E-2</v>
      </c>
      <c r="V234">
        <f ca="1">(S234*12)/(Beam_Analysis!$B$2*Beam_Analysis!$B$3)</f>
        <v>1.2852864598297721E-5</v>
      </c>
    </row>
    <row r="235" spans="14:22" x14ac:dyDescent="0.25">
      <c r="N235">
        <v>129</v>
      </c>
      <c r="O235" s="12">
        <f t="shared" si="77"/>
        <v>21</v>
      </c>
      <c r="P235">
        <f t="shared" ca="1" si="78"/>
        <v>-1.3162301983923014E-2</v>
      </c>
      <c r="Q235">
        <f t="shared" si="74"/>
        <v>16</v>
      </c>
      <c r="R235" cm="1">
        <f t="array" aca="1" ref="R235:U235" ca="1">center_span(Beam_Analysis!$J$29,Q235,Beam_Analysis!$D$3,Beam_Analysis!$D$2,Beam_Analysis!$J$33:$O$79,Beam_Analysis!$G$5:$P$5,0)</f>
        <v>0.58967481881279094</v>
      </c>
      <c r="S235">
        <f ca="1"/>
        <v>1.0382034072849096</v>
      </c>
      <c r="T235">
        <f ca="1"/>
        <v>1.15865193720302E-4</v>
      </c>
      <c r="U235">
        <f ca="1"/>
        <v>-1.3162301983923014E-2</v>
      </c>
      <c r="V235">
        <f ca="1">(S235*12)/(Beam_Analysis!$B$2*Beam_Analysis!$B$3)</f>
        <v>1.3948097724383022E-5</v>
      </c>
    </row>
    <row r="236" spans="14:22" x14ac:dyDescent="0.25">
      <c r="N236">
        <v>130</v>
      </c>
      <c r="O236" s="12">
        <f t="shared" si="77"/>
        <v>21.125</v>
      </c>
      <c r="P236">
        <f t="shared" ca="1" si="78"/>
        <v>-1.2972460910805422E-2</v>
      </c>
      <c r="Q236">
        <f t="shared" si="74"/>
        <v>16.125</v>
      </c>
      <c r="R236" cm="1">
        <f t="array" aca="1" ref="R236:U236" ca="1">center_span(Beam_Analysis!$J$29,Q236,Beam_Analysis!$D$3,Beam_Analysis!$D$2,Beam_Analysis!$J$33:$O$79,Beam_Analysis!$G$5:$P$5,0)</f>
        <v>0.46467481881279094</v>
      </c>
      <c r="S236">
        <f ca="1"/>
        <v>1.1041002596364971</v>
      </c>
      <c r="T236">
        <f ca="1"/>
        <v>1.3747756553209739E-4</v>
      </c>
      <c r="U236">
        <f ca="1"/>
        <v>-1.2972460910805422E-2</v>
      </c>
      <c r="V236">
        <f ca="1">(S236*12)/(Beam_Analysis!$B$2*Beam_Analysis!$B$3)</f>
        <v>1.4833411459514067E-5</v>
      </c>
    </row>
    <row r="237" spans="14:22" x14ac:dyDescent="0.25">
      <c r="N237">
        <v>131</v>
      </c>
      <c r="O237" s="12">
        <f t="shared" si="77"/>
        <v>21.25</v>
      </c>
      <c r="P237">
        <f t="shared" ca="1" si="78"/>
        <v>-1.2749284021789625E-2</v>
      </c>
      <c r="Q237">
        <f t="shared" si="74"/>
        <v>16.25</v>
      </c>
      <c r="R237" cm="1">
        <f t="array" aca="1" ref="R237:U237" ca="1">center_span(Beam_Analysis!$J$29,Q237,Beam_Analysis!$D$3,Beam_Analysis!$D$2,Beam_Analysis!$J$33:$O$79,Beam_Analysis!$G$5:$P$5,0)</f>
        <v>0.33967481881279094</v>
      </c>
      <c r="S237">
        <f ca="1"/>
        <v>1.1543721119880783</v>
      </c>
      <c r="T237">
        <f ca="1"/>
        <v>1.6026046840336933E-4</v>
      </c>
      <c r="U237">
        <f ca="1"/>
        <v>-1.2749284021789625E-2</v>
      </c>
      <c r="V237">
        <f ca="1">(S237*12)/(Beam_Analysis!$B$2*Beam_Analysis!$B$3)</f>
        <v>1.5508805803691156E-5</v>
      </c>
    </row>
    <row r="238" spans="14:22" x14ac:dyDescent="0.25">
      <c r="N238">
        <v>132</v>
      </c>
      <c r="O238" s="12">
        <f t="shared" si="77"/>
        <v>21.375</v>
      </c>
      <c r="P238">
        <f t="shared" ca="1" si="78"/>
        <v>-1.2491251679608018E-2</v>
      </c>
      <c r="Q238">
        <f t="shared" si="74"/>
        <v>16.375</v>
      </c>
      <c r="R238" cm="1">
        <f t="array" aca="1" ref="R238:U238" ca="1">center_span(Beam_Analysis!$J$29,Q238,Beam_Analysis!$D$3,Beam_Analysis!$D$2,Beam_Analysis!$J$33:$O$79,Beam_Analysis!$G$5:$P$5,0)</f>
        <v>0.21467481881279085</v>
      </c>
      <c r="S238">
        <f ca="1"/>
        <v>1.1890189643397013</v>
      </c>
      <c r="T238">
        <f ca="1"/>
        <v>1.8389902324769317E-4</v>
      </c>
      <c r="U238">
        <f ca="1"/>
        <v>-1.2491251679608018E-2</v>
      </c>
      <c r="V238">
        <f ca="1">(S238*12)/(Beam_Analysis!$B$2*Beam_Analysis!$B$3)</f>
        <v>1.5974280756914929E-5</v>
      </c>
    </row>
    <row r="239" spans="14:22" x14ac:dyDescent="0.25">
      <c r="N239">
        <v>133</v>
      </c>
      <c r="O239" s="12">
        <f t="shared" si="77"/>
        <v>21.5</v>
      </c>
      <c r="P239">
        <f t="shared" ca="1" si="78"/>
        <v>-1.2197316565606631E-2</v>
      </c>
      <c r="Q239">
        <f t="shared" si="74"/>
        <v>16.5</v>
      </c>
      <c r="R239" cm="1">
        <f t="array" aca="1" ref="R239:U239" ca="1">center_span(Beam_Analysis!$J$29,Q239,Beam_Analysis!$D$3,Beam_Analysis!$D$2,Beam_Analysis!$J$33:$O$79,Beam_Analysis!$G$5:$P$5,0)</f>
        <v>8.9674818812790852E-2</v>
      </c>
      <c r="S239">
        <f ca="1"/>
        <v>1.2080408166912959</v>
      </c>
      <c r="T239">
        <f ca="1"/>
        <v>2.0807835097863699E-4</v>
      </c>
      <c r="U239">
        <f ca="1"/>
        <v>-1.2197316565606631E-2</v>
      </c>
      <c r="V239">
        <f ca="1">(S239*12)/(Beam_Analysis!$B$2*Beam_Analysis!$B$3)</f>
        <v>1.6229836319184451E-5</v>
      </c>
    </row>
    <row r="240" spans="14:22" x14ac:dyDescent="0.25">
      <c r="N240">
        <v>134</v>
      </c>
      <c r="O240" s="12">
        <f t="shared" si="77"/>
        <v>21.625</v>
      </c>
      <c r="P240">
        <f t="shared" ca="1" si="78"/>
        <v>-1.1866903679774193E-2</v>
      </c>
      <c r="Q240">
        <f t="shared" si="74"/>
        <v>16.625</v>
      </c>
      <c r="R240" cm="1">
        <f t="array" aca="1" ref="R240:U240" ca="1">center_span(Beam_Analysis!$J$29,Q240,Beam_Analysis!$D$3,Beam_Analysis!$D$2,Beam_Analysis!$J$33:$O$79,Beam_Analysis!$G$5:$P$5,0)</f>
        <v>-3.5325181187209148E-2</v>
      </c>
      <c r="S240">
        <f ca="1"/>
        <v>1.2114376690428772</v>
      </c>
      <c r="T240">
        <f ca="1"/>
        <v>2.3248357250976954E-4</v>
      </c>
      <c r="U240">
        <f ca="1"/>
        <v>-1.1866903679774193E-2</v>
      </c>
      <c r="V240">
        <f ca="1">(S240*12)/(Beam_Analysis!$B$2*Beam_Analysis!$B$3)</f>
        <v>1.6275472490499917E-5</v>
      </c>
    </row>
    <row r="241" spans="14:22" x14ac:dyDescent="0.25">
      <c r="N241">
        <v>135</v>
      </c>
      <c r="O241" s="12">
        <f t="shared" si="77"/>
        <v>21.75</v>
      </c>
      <c r="P241">
        <f t="shared" ca="1" si="78"/>
        <v>-1.1499910340719732E-2</v>
      </c>
      <c r="Q241">
        <f t="shared" si="74"/>
        <v>16.75</v>
      </c>
      <c r="R241" cm="1">
        <f t="array" aca="1" ref="R241:U241" ca="1">center_span(Beam_Analysis!$J$29,Q241,Beam_Analysis!$D$3,Beam_Analysis!$D$2,Beam_Analysis!$J$33:$O$79,Beam_Analysis!$G$5:$P$5,0)</f>
        <v>-0.16032518118720915</v>
      </c>
      <c r="S241">
        <f ca="1"/>
        <v>1.1992095213944931</v>
      </c>
      <c r="T241">
        <f ca="1"/>
        <v>2.5679980875466582E-4</v>
      </c>
      <c r="U241">
        <f ca="1"/>
        <v>-1.1499910340719732E-2</v>
      </c>
      <c r="V241">
        <f ca="1">(S241*12)/(Beam_Analysis!$B$2*Beam_Analysis!$B$3)</f>
        <v>1.6111189270861976E-5</v>
      </c>
    </row>
    <row r="242" spans="14:22" x14ac:dyDescent="0.25">
      <c r="N242">
        <v>136</v>
      </c>
      <c r="O242" s="12">
        <f t="shared" si="77"/>
        <v>21.875</v>
      </c>
      <c r="P242">
        <f t="shared" ca="1" si="78"/>
        <v>-1.1096706185694055E-2</v>
      </c>
      <c r="Q242">
        <f t="shared" si="74"/>
        <v>16.875</v>
      </c>
      <c r="R242" cm="1">
        <f t="array" aca="1" ref="R242:U242" ca="1">center_span(Beam_Analysis!$J$29,Q242,Beam_Analysis!$D$3,Beam_Analysis!$D$2,Beam_Analysis!$J$33:$O$79,Beam_Analysis!$G$5:$P$5,0)</f>
        <v>-0.28532518118720918</v>
      </c>
      <c r="S242">
        <f ca="1"/>
        <v>1.1713563737461019</v>
      </c>
      <c r="T242">
        <f ca="1"/>
        <v>2.8071218062687361E-4</v>
      </c>
      <c r="U242">
        <f ca="1"/>
        <v>-1.1096706185694055E-2</v>
      </c>
      <c r="V242">
        <f ca="1">(S242*12)/(Beam_Analysis!$B$2*Beam_Analysis!$B$3)</f>
        <v>1.5736986660270067E-5</v>
      </c>
    </row>
    <row r="243" spans="14:22" x14ac:dyDescent="0.25">
      <c r="N243">
        <v>137</v>
      </c>
      <c r="O243" s="12">
        <f t="shared" si="77"/>
        <v>22</v>
      </c>
      <c r="P243">
        <f t="shared" ca="1" si="78"/>
        <v>-1.0658133170572931E-2</v>
      </c>
      <c r="Q243">
        <f t="shared" si="74"/>
        <v>17</v>
      </c>
      <c r="R243" cm="1">
        <f t="array" aca="1" ref="R243:U243" ca="1">center_span(Beam_Analysis!$J$29,Q243,Beam_Analysis!$D$3,Beam_Analysis!$D$2,Beam_Analysis!$J$33:$O$79,Beam_Analysis!$G$5:$P$5,0)</f>
        <v>-0.41032518118720918</v>
      </c>
      <c r="S243">
        <f ca="1"/>
        <v>1.1278782260976969</v>
      </c>
      <c r="T243">
        <f ca="1"/>
        <v>3.0390580903998896E-4</v>
      </c>
      <c r="U243">
        <f ca="1"/>
        <v>-1.0658133170572931E-2</v>
      </c>
      <c r="V243">
        <f ca="1">(S243*12)/(Beam_Analysis!$B$2*Beam_Analysis!$B$3)</f>
        <v>1.5152864658724098E-5</v>
      </c>
    </row>
    <row r="244" spans="14:22" x14ac:dyDescent="0.25">
      <c r="N244">
        <v>138</v>
      </c>
      <c r="O244" s="12">
        <f t="shared" si="77"/>
        <v>22.125</v>
      </c>
      <c r="P244">
        <f t="shared" ca="1" si="78"/>
        <v>-1.018550556984768E-2</v>
      </c>
      <c r="Q244">
        <f t="shared" si="74"/>
        <v>17.125</v>
      </c>
      <c r="R244" cm="1">
        <f t="array" aca="1" ref="R244:U244" ca="1">center_span(Beam_Analysis!$J$29,Q244,Beam_Analysis!$D$3,Beam_Analysis!$D$2,Beam_Analysis!$J$33:$O$79,Beam_Analysis!$G$5:$P$5,0)</f>
        <v>-0.53532518118720918</v>
      </c>
      <c r="S244">
        <f ca="1"/>
        <v>1.0687750784492915</v>
      </c>
      <c r="T244">
        <f ca="1"/>
        <v>3.2606581490756618E-4</v>
      </c>
      <c r="U244">
        <f ca="1"/>
        <v>-1.018550556984768E-2</v>
      </c>
      <c r="V244">
        <f ca="1">(S244*12)/(Beam_Analysis!$B$2*Beam_Analysis!$B$3)</f>
        <v>1.4358823266224248E-5</v>
      </c>
    </row>
    <row r="245" spans="14:22" x14ac:dyDescent="0.25">
      <c r="N245">
        <v>139</v>
      </c>
      <c r="O245" s="12">
        <f t="shared" si="77"/>
        <v>22.25</v>
      </c>
      <c r="P245">
        <f t="shared" ca="1" si="78"/>
        <v>-9.6806099766626463E-3</v>
      </c>
      <c r="Q245">
        <f t="shared" si="74"/>
        <v>17.25</v>
      </c>
      <c r="R245" cm="1">
        <f t="array" aca="1" ref="R245:U245" ca="1">center_span(Beam_Analysis!$J$29,Q245,Beam_Analysis!$D$3,Beam_Analysis!$D$2,Beam_Analysis!$J$33:$O$79,Beam_Analysis!$G$5:$P$5,0)</f>
        <v>-0.66032518118720918</v>
      </c>
      <c r="S245">
        <f ca="1"/>
        <v>0.99404693080087903</v>
      </c>
      <c r="T245">
        <f ca="1"/>
        <v>3.4687731914318664E-4</v>
      </c>
      <c r="U245">
        <f ca="1"/>
        <v>-9.6806099766626463E-3</v>
      </c>
      <c r="V245">
        <f ca="1">(S245*12)/(Beam_Analysis!$B$2*Beam_Analysis!$B$3)</f>
        <v>1.3354862482770431E-5</v>
      </c>
    </row>
    <row r="246" spans="14:22" x14ac:dyDescent="0.25">
      <c r="N246">
        <v>140</v>
      </c>
      <c r="O246" s="12">
        <f t="shared" si="77"/>
        <v>22.375</v>
      </c>
      <c r="P246">
        <f t="shared" ca="1" si="78"/>
        <v>-9.1457053027773072E-3</v>
      </c>
      <c r="Q246">
        <f t="shared" si="74"/>
        <v>17.375</v>
      </c>
      <c r="R246" cm="1">
        <f t="array" aca="1" ref="R246:U246" ca="1">center_span(Beam_Analysis!$J$29,Q246,Beam_Analysis!$D$3,Beam_Analysis!$D$2,Beam_Analysis!$J$33:$O$79,Beam_Analysis!$G$5:$P$5,0)</f>
        <v>-0.78532518118720906</v>
      </c>
      <c r="S246">
        <f ca="1"/>
        <v>0.90369378315249582</v>
      </c>
      <c r="T246">
        <f ca="1"/>
        <v>3.660254426604032E-4</v>
      </c>
      <c r="U246">
        <f ca="1"/>
        <v>-9.1457053027773072E-3</v>
      </c>
      <c r="V246">
        <f ca="1">(S246*12)/(Beam_Analysis!$B$2*Beam_Analysis!$B$3)</f>
        <v>1.2140982308363132E-5</v>
      </c>
    </row>
    <row r="247" spans="14:22" x14ac:dyDescent="0.25">
      <c r="N247">
        <v>141</v>
      </c>
      <c r="O247" s="12">
        <f t="shared" si="77"/>
        <v>22.5</v>
      </c>
      <c r="P247">
        <f t="shared" ca="1" si="78"/>
        <v>-8.5835227785832635E-3</v>
      </c>
      <c r="Q247">
        <f t="shared" si="74"/>
        <v>17.5</v>
      </c>
      <c r="R247" cm="1">
        <f t="array" aca="1" ref="R247:U247" ca="1">center_span(Beam_Analysis!$J$29,Q247,Beam_Analysis!$D$3,Beam_Analysis!$D$2,Beam_Analysis!$J$33:$O$79,Beam_Analysis!$G$5:$P$5,0)</f>
        <v>-0.91032518118720906</v>
      </c>
      <c r="S247">
        <f ca="1"/>
        <v>0.79771563550408331</v>
      </c>
      <c r="T247">
        <f ca="1"/>
        <v>3.8319530637280497E-4</v>
      </c>
      <c r="U247">
        <f ca="1"/>
        <v>-8.5835227785832635E-3</v>
      </c>
      <c r="V247">
        <f ca="1">(S247*12)/(Beam_Analysis!$B$2*Beam_Analysis!$B$3)</f>
        <v>1.0717182743001567E-5</v>
      </c>
    </row>
    <row r="248" spans="14:22" x14ac:dyDescent="0.25">
      <c r="N248">
        <v>142</v>
      </c>
      <c r="O248" s="12">
        <f t="shared" si="77"/>
        <v>22.625</v>
      </c>
      <c r="P248">
        <f t="shared" ca="1" si="78"/>
        <v>-7.9972659531029888E-3</v>
      </c>
      <c r="Q248">
        <f t="shared" si="74"/>
        <v>17.625</v>
      </c>
      <c r="R248" cm="1">
        <f t="array" aca="1" ref="R248:U248" ca="1">center_span(Beam_Analysis!$J$29,Q248,Beam_Analysis!$D$3,Beam_Analysis!$D$2,Beam_Analysis!$J$33:$O$79,Beam_Analysis!$G$5:$P$5,0)</f>
        <v>-1.0353251811872091</v>
      </c>
      <c r="S248">
        <f ca="1"/>
        <v>0.67611248785569211</v>
      </c>
      <c r="T248">
        <f ca="1"/>
        <v>3.9807203119393857E-4</v>
      </c>
      <c r="U248">
        <f ca="1"/>
        <v>-7.9972659531029888E-3</v>
      </c>
      <c r="V248">
        <f ca="1">(S248*12)/(Beam_Analysis!$B$2*Beam_Analysis!$B$3)</f>
        <v>9.0834637866864144E-6</v>
      </c>
    </row>
    <row r="249" spans="14:22" x14ac:dyDescent="0.25">
      <c r="N249">
        <v>143</v>
      </c>
      <c r="O249" s="12">
        <f t="shared" si="77"/>
        <v>22.75</v>
      </c>
      <c r="P249">
        <f t="shared" ca="1" si="78"/>
        <v>-7.3906106939939098E-3</v>
      </c>
      <c r="Q249">
        <f t="shared" si="74"/>
        <v>17.75</v>
      </c>
      <c r="R249" cm="1">
        <f t="array" aca="1" ref="R249:U249" ca="1">center_span(Beam_Analysis!$J$29,Q249,Beam_Analysis!$D$3,Beam_Analysis!$D$2,Beam_Analysis!$J$33:$O$79,Beam_Analysis!$G$5:$P$5,0)</f>
        <v>-1.1603251811872091</v>
      </c>
      <c r="S249">
        <f ca="1"/>
        <v>0.53888434020728049</v>
      </c>
      <c r="T249">
        <f ca="1"/>
        <v>4.1034073803738455E-4</v>
      </c>
      <c r="U249">
        <f ca="1"/>
        <v>-7.3906106939939098E-3</v>
      </c>
      <c r="V249">
        <f ca="1">(S249*12)/(Beam_Analysis!$B$2*Beam_Analysis!$B$3)</f>
        <v>7.2398254394171139E-6</v>
      </c>
    </row>
    <row r="250" spans="14:22" x14ac:dyDescent="0.25">
      <c r="N250">
        <v>144</v>
      </c>
      <c r="O250" s="12">
        <f t="shared" si="77"/>
        <v>22.875</v>
      </c>
      <c r="P250">
        <f t="shared" ca="1" si="78"/>
        <v>-6.7677051875255911E-3</v>
      </c>
      <c r="Q250">
        <f t="shared" si="74"/>
        <v>17.875</v>
      </c>
      <c r="R250" cm="1">
        <f t="array" aca="1" ref="R250:U250" ca="1">center_span(Beam_Analysis!$J$29,Q250,Beam_Analysis!$D$3,Beam_Analysis!$D$2,Beam_Analysis!$J$33:$O$79,Beam_Analysis!$G$5:$P$5,0)</f>
        <v>-1.2853251811872091</v>
      </c>
      <c r="S250">
        <f ca="1"/>
        <v>0.38603119255888929</v>
      </c>
      <c r="T250">
        <f ca="1"/>
        <v>4.1968654781671572E-4</v>
      </c>
      <c r="U250">
        <f ca="1"/>
        <v>-6.7677051875255911E-3</v>
      </c>
      <c r="V250">
        <f ca="1">(S250*12)/(Beam_Analysis!$B$2*Beam_Analysis!$B$3)</f>
        <v>5.1862677011942139E-6</v>
      </c>
    </row>
    <row r="251" spans="14:22" x14ac:dyDescent="0.25">
      <c r="N251">
        <v>145</v>
      </c>
      <c r="O251" s="12">
        <f t="shared" si="77"/>
        <v>23</v>
      </c>
      <c r="P251">
        <f t="shared" ca="1" si="78"/>
        <v>-6.1331699386143745E-3</v>
      </c>
      <c r="Q251">
        <f t="shared" si="74"/>
        <v>18</v>
      </c>
      <c r="R251" cm="1">
        <f t="array" aca="1" ref="R251:U251" ca="1">center_span(Beam_Analysis!$J$29,Q251,Beam_Analysis!$D$3,Beam_Analysis!$D$2,Beam_Analysis!$J$33:$O$79,Beam_Analysis!$G$5:$P$5,0)</f>
        <v>-1.4103251811872091</v>
      </c>
      <c r="S251">
        <f ca="1"/>
        <v>0.21755304491048388</v>
      </c>
      <c r="T251">
        <f ca="1"/>
        <v>4.2579458144549148E-4</v>
      </c>
      <c r="U251">
        <f ca="1"/>
        <v>-6.1331699386143745E-3</v>
      </c>
      <c r="V251">
        <f ca="1">(S251*12)/(Beam_Analysis!$B$2*Beam_Analysis!$B$3)</f>
        <v>2.9227905720172489E-6</v>
      </c>
    </row>
    <row r="252" spans="14:22" x14ac:dyDescent="0.25">
      <c r="N252">
        <v>146</v>
      </c>
      <c r="O252" s="12">
        <f t="shared" si="77"/>
        <v>23.125</v>
      </c>
      <c r="P252">
        <f t="shared" ca="1" si="78"/>
        <v>-5.4920977708078078E-3</v>
      </c>
      <c r="Q252">
        <f t="shared" si="74"/>
        <v>18.125</v>
      </c>
      <c r="R252" cm="1">
        <f t="array" aca="1" ref="R252:U252" ca="1">center_span(Beam_Analysis!$J$29,Q252,Beam_Analysis!$D$3,Beam_Analysis!$D$2,Beam_Analysis!$J$33:$O$79,Beam_Analysis!$G$5:$P$5,0)</f>
        <v>-1.5353251811872091</v>
      </c>
      <c r="S252">
        <f ca="1"/>
        <v>3.3449897262072259E-2</v>
      </c>
      <c r="T252">
        <f ca="1"/>
        <v>4.2834995983728383E-4</v>
      </c>
      <c r="U252">
        <f ca="1"/>
        <v>-5.4920977708078078E-3</v>
      </c>
      <c r="V252" s="98">
        <f ca="1">(S252*12)/(Beam_Analysis!$B$2*Beam_Analysis!$B$3)</f>
        <v>4.4939405188632681E-7</v>
      </c>
    </row>
    <row r="253" spans="14:22" x14ac:dyDescent="0.25">
      <c r="N253">
        <v>147</v>
      </c>
      <c r="O253" s="12">
        <f t="shared" si="77"/>
        <v>23.25</v>
      </c>
      <c r="P253">
        <f t="shared" ca="1" si="78"/>
        <v>-4.8500538262637449E-3</v>
      </c>
      <c r="Q253">
        <f t="shared" si="74"/>
        <v>18.25</v>
      </c>
      <c r="R253" cm="1">
        <f t="array" aca="1" ref="R253:U253" ca="1">center_span(Beam_Analysis!$J$29,Q253,Beam_Analysis!$D$3,Beam_Analysis!$D$2,Beam_Analysis!$J$33:$O$79,Beam_Analysis!$G$5:$P$5,0)</f>
        <v>-1.6603251811872091</v>
      </c>
      <c r="S253">
        <f ca="1"/>
        <v>-0.16627825038631805</v>
      </c>
      <c r="T253">
        <f ca="1"/>
        <v>4.2703780390567175E-4</v>
      </c>
      <c r="U253">
        <f ca="1"/>
        <v>-4.8500538262637449E-3</v>
      </c>
      <c r="V253">
        <f ca="1">(S253*12)/(Beam_Analysis!$B$2*Beam_Analysis!$B$3)</f>
        <v>-2.2339218591981825E-6</v>
      </c>
    </row>
    <row r="254" spans="14:22" x14ac:dyDescent="0.25">
      <c r="N254">
        <v>148</v>
      </c>
      <c r="O254" s="12">
        <f t="shared" si="77"/>
        <v>23.375</v>
      </c>
      <c r="P254">
        <f t="shared" ca="1" si="78"/>
        <v>-4.2130755657968921E-3</v>
      </c>
      <c r="Q254">
        <f t="shared" si="74"/>
        <v>18.375</v>
      </c>
      <c r="R254" cm="1">
        <f t="array" aca="1" ref="R254:U254" ca="1">center_span(Beam_Analysis!$J$29,Q254,Beam_Analysis!$D$3,Beam_Analysis!$D$2,Beam_Analysis!$J$33:$O$79,Beam_Analysis!$G$5:$P$5,0)</f>
        <v>-1.7853251811872091</v>
      </c>
      <c r="S254">
        <f ca="1"/>
        <v>-0.38163139803471013</v>
      </c>
      <c r="T254">
        <f ca="1"/>
        <v>4.2154323456420923E-4</v>
      </c>
      <c r="U254">
        <f ca="1"/>
        <v>-4.2130755657968921E-3</v>
      </c>
      <c r="V254">
        <f ca="1">(S254*12)/(Beam_Analysis!$B$2*Beam_Analysis!$B$3)</f>
        <v>-5.1271571612365896E-6</v>
      </c>
    </row>
    <row r="255" spans="14:22" x14ac:dyDescent="0.25">
      <c r="N255">
        <v>149</v>
      </c>
      <c r="O255" s="12">
        <f t="shared" si="77"/>
        <v>23.5</v>
      </c>
      <c r="P255">
        <f t="shared" ca="1" si="78"/>
        <v>-3.5876727688244348E-3</v>
      </c>
      <c r="Q255">
        <f t="shared" si="74"/>
        <v>18.5</v>
      </c>
      <c r="R255" cm="1">
        <f t="array" aca="1" ref="R255:U255" ca="1">center_span(Beam_Analysis!$J$29,Q255,Beam_Analysis!$D$3,Beam_Analysis!$D$2,Beam_Analysis!$J$33:$O$79,Beam_Analysis!$G$5:$P$5,0)</f>
        <v>-1.9103251811872091</v>
      </c>
      <c r="S255">
        <f ca="1"/>
        <v>-0.61260954568312176</v>
      </c>
      <c r="T255">
        <f ca="1"/>
        <v>4.1155137272648413E-4</v>
      </c>
      <c r="U255">
        <f ca="1"/>
        <v>-3.5876727688244348E-3</v>
      </c>
      <c r="V255">
        <f ca="1">(S255*12)/(Beam_Analysis!$B$2*Beam_Analysis!$B$3)</f>
        <v>-8.2303118542291324E-6</v>
      </c>
    </row>
    <row r="256" spans="14:22" x14ac:dyDescent="0.25">
      <c r="N256">
        <v>150</v>
      </c>
      <c r="O256" s="12">
        <f t="shared" si="77"/>
        <v>23.625</v>
      </c>
      <c r="P256">
        <f t="shared" ca="1" si="78"/>
        <v>-2.9808275334064216E-3</v>
      </c>
      <c r="Q256">
        <f t="shared" si="74"/>
        <v>18.625</v>
      </c>
      <c r="R256" cm="1">
        <f t="array" aca="1" ref="R256:U256" ca="1">center_span(Beam_Analysis!$J$29,Q256,Beam_Analysis!$D$3,Beam_Analysis!$D$2,Beam_Analysis!$J$33:$O$79,Beam_Analysis!$G$5:$P$5,0)</f>
        <v>-2.0353251811872091</v>
      </c>
      <c r="S256">
        <f ca="1"/>
        <v>-0.85921269333151207</v>
      </c>
      <c r="T256">
        <f ca="1"/>
        <v>3.9674733930604911E-4</v>
      </c>
      <c r="U256">
        <f ca="1"/>
        <v>-2.9808275334064216E-3</v>
      </c>
      <c r="V256">
        <f ca="1">(S256*12)/(Beam_Analysis!$B$2*Beam_Analysis!$B$3)</f>
        <v>-1.1543385938175264E-5</v>
      </c>
    </row>
    <row r="257" spans="14:22" x14ac:dyDescent="0.25">
      <c r="N257">
        <v>151</v>
      </c>
      <c r="O257" s="12">
        <f t="shared" si="77"/>
        <v>23.75</v>
      </c>
      <c r="P257">
        <f t="shared" ca="1" si="78"/>
        <v>-2.3999942762407689E-3</v>
      </c>
      <c r="Q257">
        <f t="shared" si="74"/>
        <v>18.75</v>
      </c>
      <c r="R257" cm="1">
        <f t="array" aca="1" ref="R257:U257" ca="1">center_span(Beam_Analysis!$J$29,Q257,Beam_Analysis!$D$3,Beam_Analysis!$D$2,Beam_Analysis!$J$33:$O$79,Beam_Analysis!$G$5:$P$5,0)</f>
        <v>-2.1603251811872091</v>
      </c>
      <c r="S257">
        <f ca="1"/>
        <v>-1.1214408409799259</v>
      </c>
      <c r="T257">
        <f ca="1"/>
        <v>3.76816255216479E-4</v>
      </c>
      <c r="U257">
        <f ca="1"/>
        <v>-2.3999942762407689E-3</v>
      </c>
      <c r="V257">
        <f ca="1">(S257*12)/(Beam_Analysis!$B$2*Beam_Analysis!$B$3)</f>
        <v>-1.5066379413075582E-5</v>
      </c>
    </row>
    <row r="258" spans="14:22" x14ac:dyDescent="0.25">
      <c r="N258">
        <v>152</v>
      </c>
      <c r="O258" s="12">
        <f t="shared" si="77"/>
        <v>23.875</v>
      </c>
      <c r="P258">
        <f t="shared" ca="1" si="78"/>
        <v>-1.8530997326357823E-3</v>
      </c>
      <c r="Q258">
        <f t="shared" si="74"/>
        <v>18.875</v>
      </c>
      <c r="R258" cm="1">
        <f t="array" aca="1" ref="R258:U258" ca="1">center_span(Beam_Analysis!$J$29,Q258,Beam_Analysis!$D$3,Beam_Analysis!$D$2,Beam_Analysis!$J$33:$O$79,Beam_Analysis!$G$5:$P$5,0)</f>
        <v>-2.2853251811872095</v>
      </c>
      <c r="S258">
        <f ca="1"/>
        <v>-1.3992939886283233</v>
      </c>
      <c r="T258">
        <f ca="1"/>
        <v>3.5144324137134457E-4</v>
      </c>
      <c r="U258">
        <f ca="1"/>
        <v>-1.8530997326357823E-3</v>
      </c>
      <c r="V258">
        <f ca="1">(S258*12)/(Beam_Analysis!$B$2*Beam_Analysis!$B$3)</f>
        <v>-1.8799292278929555E-5</v>
      </c>
    </row>
    <row r="259" spans="14:22" x14ac:dyDescent="0.25">
      <c r="N259">
        <v>153</v>
      </c>
      <c r="O259" s="12">
        <f t="shared" si="77"/>
        <v>24</v>
      </c>
      <c r="P259">
        <f t="shared" ca="1" si="78"/>
        <v>-1.3485429565445461E-3</v>
      </c>
      <c r="Q259">
        <f t="shared" si="74"/>
        <v>19</v>
      </c>
      <c r="R259" cm="1">
        <f t="array" aca="1" ref="R259:U259" ca="1">center_span(Beam_Analysis!$J$29,Q259,Beam_Analysis!$D$3,Beam_Analysis!$D$2,Beam_Analysis!$J$33:$O$79,Beam_Analysis!$G$5:$P$5,0)</f>
        <v>-2.4103251811872095</v>
      </c>
      <c r="S259">
        <f ca="1"/>
        <v>-1.6927721362767207</v>
      </c>
      <c r="T259">
        <f ca="1"/>
        <v>3.2031341868420896E-4</v>
      </c>
      <c r="U259">
        <f ca="1"/>
        <v>-1.3485429565445461E-3</v>
      </c>
      <c r="V259">
        <f ca="1">(S259*12)/(Beam_Analysis!$B$2*Beam_Analysis!$B$3)</f>
        <v>-2.2742124535737402E-5</v>
      </c>
    </row>
    <row r="260" spans="14:22" x14ac:dyDescent="0.25">
      <c r="N260">
        <v>154</v>
      </c>
      <c r="O260" s="12">
        <f t="shared" si="77"/>
        <v>24.125</v>
      </c>
      <c r="P260">
        <f t="shared" ca="1" si="78"/>
        <v>-8.9519532054768702E-4</v>
      </c>
      <c r="Q260">
        <f t="shared" si="74"/>
        <v>19.125</v>
      </c>
      <c r="R260" cm="1">
        <f t="array" aca="1" ref="R260:U260" ca="1">center_span(Beam_Analysis!$J$29,Q260,Beam_Analysis!$D$3,Beam_Analysis!$D$2,Beam_Analysis!$J$33:$O$79,Beam_Analysis!$G$5:$P$5,0)</f>
        <v>-2.5353251811872095</v>
      </c>
      <c r="S260">
        <f ca="1"/>
        <v>-2.001875283925127</v>
      </c>
      <c r="T260">
        <f ca="1"/>
        <v>2.8311190806865896E-4</v>
      </c>
      <c r="U260">
        <f ca="1"/>
        <v>-8.9519532054768702E-4</v>
      </c>
      <c r="V260">
        <f ca="1">(S260*12)/(Beam_Analysis!$B$2*Beam_Analysis!$B$3)</f>
        <v>-2.6894876183499242E-5</v>
      </c>
    </row>
    <row r="261" spans="14:22" x14ac:dyDescent="0.25">
      <c r="N261">
        <v>155</v>
      </c>
      <c r="O261" s="12">
        <f t="shared" si="77"/>
        <v>24.25</v>
      </c>
      <c r="P261">
        <f t="shared" ca="1" si="78"/>
        <v>-5.0240051584787837E-4</v>
      </c>
      <c r="Q261">
        <f t="shared" si="74"/>
        <v>19.25</v>
      </c>
      <c r="R261" cm="1">
        <f t="array" aca="1" ref="R261:U261" ca="1">center_span(Beam_Analysis!$J$29,Q261,Beam_Analysis!$D$3,Beam_Analysis!$D$2,Beam_Analysis!$J$33:$O$79,Beam_Analysis!$G$5:$P$5,0)</f>
        <v>-2.6603251811872095</v>
      </c>
      <c r="S261">
        <f ca="1"/>
        <v>-2.3266034315735316</v>
      </c>
      <c r="T261">
        <f ca="1"/>
        <v>2.3952383043824416E-4</v>
      </c>
      <c r="U261">
        <f ca="1"/>
        <v>-5.0240051584787837E-4</v>
      </c>
      <c r="V261">
        <f ca="1">(S261*12)/(Beam_Analysis!$B$2*Beam_Analysis!$B$3)</f>
        <v>-3.1257547222214939E-5</v>
      </c>
    </row>
    <row r="262" spans="14:22" x14ac:dyDescent="0.25">
      <c r="N262">
        <v>156</v>
      </c>
      <c r="O262" s="12">
        <f t="shared" si="77"/>
        <v>24.375</v>
      </c>
      <c r="P262">
        <f t="shared" ca="1" si="78"/>
        <v>-1.7997455228133119E-4</v>
      </c>
      <c r="Q262">
        <f t="shared" ref="Q262:Q325" si="79">(N262-1)*$Q$105</f>
        <v>19.375</v>
      </c>
      <c r="R262" cm="1">
        <f t="array" aca="1" ref="R262:U262" ca="1">center_span(Beam_Analysis!$J$29,Q262,Beam_Analysis!$D$3,Beam_Analysis!$D$2,Beam_Analysis!$J$33:$O$79,Beam_Analysis!$G$5:$P$5,0)</f>
        <v>-2.7853251811872095</v>
      </c>
      <c r="S262">
        <f ca="1"/>
        <v>-2.6669565792219219</v>
      </c>
      <c r="T262">
        <f ca="1"/>
        <v>1.8923430670653163E-4</v>
      </c>
      <c r="U262">
        <f ca="1"/>
        <v>-1.7997455228133119E-4</v>
      </c>
      <c r="V262">
        <f ca="1">(S262*12)/(Beam_Analysis!$B$2*Beam_Analysis!$B$3)</f>
        <v>-3.5830137651884311E-5</v>
      </c>
    </row>
    <row r="263" spans="14:22" x14ac:dyDescent="0.25">
      <c r="N263">
        <v>157</v>
      </c>
      <c r="O263" s="12">
        <f t="shared" si="77"/>
        <v>24.5</v>
      </c>
      <c r="P263">
        <f t="shared" ca="1" si="78"/>
        <v>6.1794241677209927E-5</v>
      </c>
      <c r="Q263">
        <f t="shared" si="79"/>
        <v>19.5</v>
      </c>
      <c r="R263" cm="1">
        <f t="array" aca="1" ref="R263:U263" ca="1">center_span(Beam_Analysis!$J$29,Q263,Beam_Analysis!$D$3,Beam_Analysis!$D$2,Beam_Analysis!$J$33:$O$79,Beam_Analysis!$G$5:$P$5,0)</f>
        <v>-2.9103251811872091</v>
      </c>
      <c r="S263">
        <f ca="1"/>
        <v>-3.0229347268703282</v>
      </c>
      <c r="T263">
        <f ca="1"/>
        <v>1.3192845778710435E-4</v>
      </c>
      <c r="U263">
        <f ca="1"/>
        <v>6.1794241677209927E-5</v>
      </c>
      <c r="V263">
        <f ca="1">(S263*12)/(Beam_Analysis!$B$2*Beam_Analysis!$B$3)</f>
        <v>-4.0612647472507768E-5</v>
      </c>
    </row>
    <row r="264" spans="14:22" x14ac:dyDescent="0.25">
      <c r="N264">
        <v>158</v>
      </c>
      <c r="O264" s="12">
        <f t="shared" si="77"/>
        <v>24.625</v>
      </c>
      <c r="P264">
        <f t="shared" ca="1" si="78"/>
        <v>2.1214521894194482E-4</v>
      </c>
      <c r="Q264">
        <f t="shared" si="79"/>
        <v>19.625</v>
      </c>
      <c r="R264" cm="1">
        <f t="array" aca="1" ref="R264:U264" ca="1">center_span(Beam_Analysis!$J$29,Q264,Beam_Analysis!$D$3,Beam_Analysis!$D$2,Beam_Analysis!$J$33:$O$79,Beam_Analysis!$G$5:$P$5,0)</f>
        <v>-3.0353251811872091</v>
      </c>
      <c r="S264">
        <f ca="1"/>
        <v>-3.3945378745187398</v>
      </c>
      <c r="T264">
        <f ca="1"/>
        <v>6.7291404593533728E-5</v>
      </c>
      <c r="U264">
        <f ca="1"/>
        <v>2.1214521894194482E-4</v>
      </c>
      <c r="V264">
        <f ca="1">(S264*12)/(Beam_Analysis!$B$2*Beam_Analysis!$B$3)</f>
        <v>-4.5605076684085176E-5</v>
      </c>
    </row>
    <row r="265" spans="14:22" x14ac:dyDescent="0.25">
      <c r="N265">
        <v>159</v>
      </c>
      <c r="O265" s="12">
        <f t="shared" si="77"/>
        <v>24.75</v>
      </c>
      <c r="P265">
        <f t="shared" ca="1" si="78"/>
        <v>2.5984541377729875E-4</v>
      </c>
      <c r="Q265">
        <f t="shared" si="79"/>
        <v>19.75</v>
      </c>
      <c r="R265" cm="1">
        <f t="array" aca="1" ref="R265:U265" ca="1">center_span(Beam_Analysis!$J$29,Q265,Beam_Analysis!$D$3,Beam_Analysis!$D$2,Beam_Analysis!$J$33:$O$79,Beam_Analysis!$G$5:$P$5,0)</f>
        <v>-3.1603251811872091</v>
      </c>
      <c r="S265">
        <f ca="1"/>
        <v>-3.7817660221671301</v>
      </c>
      <c r="T265">
        <f ca="1"/>
        <v>-4.9917319606112426E-6</v>
      </c>
      <c r="U265">
        <f ca="1"/>
        <v>2.5984541377729875E-4</v>
      </c>
      <c r="V265">
        <f ca="1">(S265*12)/(Beam_Analysis!$B$2*Beam_Analysis!$B$3)</f>
        <v>-5.0807425286616169E-5</v>
      </c>
    </row>
    <row r="266" spans="14:22" x14ac:dyDescent="0.25">
      <c r="N266">
        <v>160</v>
      </c>
      <c r="O266" s="12">
        <f t="shared" si="77"/>
        <v>24.875</v>
      </c>
      <c r="P266">
        <f t="shared" ca="1" si="78"/>
        <v>1.9318954183730752E-4</v>
      </c>
      <c r="Q266">
        <f t="shared" si="79"/>
        <v>19.875</v>
      </c>
      <c r="R266" cm="1">
        <f t="array" aca="1" ref="R266:U266" ca="1">center_span(Beam_Analysis!$J$29,Q266,Beam_Analysis!$D$3,Beam_Analysis!$D$2,Beam_Analysis!$J$33:$O$79,Beam_Analysis!$G$5:$P$5,0)</f>
        <v>-3.2853251811872091</v>
      </c>
      <c r="S266">
        <f ca="1"/>
        <v>-4.1846191698155435</v>
      </c>
      <c r="T266">
        <f ca="1"/>
        <v>-8.5235830961798414E-5</v>
      </c>
      <c r="U266">
        <f ca="1"/>
        <v>1.9318954183730752E-4</v>
      </c>
      <c r="V266">
        <f ca="1">(S266*12)/(Beam_Analysis!$B$2*Beam_Analysis!$B$3)</f>
        <v>-5.6219693280101342E-5</v>
      </c>
    </row>
    <row r="267" spans="14:22" x14ac:dyDescent="0.25">
      <c r="N267">
        <v>161</v>
      </c>
      <c r="O267" s="12">
        <f t="shared" si="77"/>
        <v>25</v>
      </c>
      <c r="P267">
        <f t="shared" ca="1" si="78"/>
        <v>1.2614909117303341E-13</v>
      </c>
      <c r="Q267">
        <f t="shared" si="79"/>
        <v>20</v>
      </c>
      <c r="R267" cm="1">
        <f t="array" aca="1" ref="R267:U267" ca="1">center_span(Beam_Analysis!$J$29,Q267,Beam_Analysis!$D$3,Beam_Analysis!$D$2,Beam_Analysis!$J$33:$O$79,Beam_Analysis!$G$5:$P$5,0)</f>
        <v>-3.4103251811872091</v>
      </c>
      <c r="S267">
        <f ca="1"/>
        <v>-4.6030973174639414</v>
      </c>
      <c r="T267">
        <f ca="1"/>
        <v>-1.7375577149640869E-4</v>
      </c>
      <c r="U267">
        <f ca="1"/>
        <v>1.2614909117303341E-13</v>
      </c>
      <c r="V267">
        <f ca="1">(S267*12)/(Beam_Analysis!$B$2*Beam_Analysis!$B$3)</f>
        <v>-6.1841880664540187E-5</v>
      </c>
    </row>
    <row r="268" spans="14:22" x14ac:dyDescent="0.25">
      <c r="N268">
        <v>162</v>
      </c>
      <c r="O268" s="12">
        <f t="shared" si="77"/>
        <v>25.125</v>
      </c>
      <c r="P268">
        <f t="shared" ca="1" si="78"/>
        <v>-3.2794844724248762E-4</v>
      </c>
      <c r="Q268">
        <f t="shared" si="79"/>
        <v>20.125</v>
      </c>
      <c r="R268" cm="1">
        <f t="array" aca="1" ref="R268:U268" ca="1">center_span(Beam_Analysis!$J$29,Q268,Beam_Analysis!$D$3,Beam_Analysis!$D$2,Beam_Analysis!$J$33:$O$79,Beam_Analysis!$G$5:$P$5,0)</f>
        <v>3.4906824374714818</v>
      </c>
      <c r="S268">
        <f ca="1"/>
        <v>-4.1589495127799871</v>
      </c>
      <c r="T268">
        <f ca="1"/>
        <v>-2.6201706121002015E-4</v>
      </c>
      <c r="U268">
        <f ca="1"/>
        <v>-3.2794844724248762E-4</v>
      </c>
      <c r="V268">
        <f ca="1">(S268*12)/(Beam_Analysis!$B$2*Beam_Analysis!$B$3)</f>
        <v>-5.5874825518763822E-5</v>
      </c>
    </row>
    <row r="269" spans="14:22" x14ac:dyDescent="0.25">
      <c r="N269">
        <v>163</v>
      </c>
      <c r="O269" s="12">
        <f t="shared" si="77"/>
        <v>25.25</v>
      </c>
      <c r="P269">
        <f t="shared" ca="1" si="78"/>
        <v>-7.8165461191159746E-4</v>
      </c>
      <c r="Q269">
        <f t="shared" si="79"/>
        <v>20.25</v>
      </c>
      <c r="R269" cm="1">
        <f t="array" aca="1" ref="R269:U269" ca="1">center_span(Beam_Analysis!$J$29,Q269,Beam_Analysis!$D$3,Beam_Analysis!$D$2,Beam_Analysis!$J$33:$O$79,Beam_Analysis!$G$5:$P$5,0)</f>
        <v>3.3656824374714818</v>
      </c>
      <c r="S269">
        <f ca="1"/>
        <v>-3.7304267080960707</v>
      </c>
      <c r="T269">
        <f ca="1"/>
        <v>-3.4148520774815536E-4</v>
      </c>
      <c r="U269">
        <f ca="1"/>
        <v>-7.8165461191159746E-4</v>
      </c>
      <c r="V269">
        <f ca="1">(S269*12)/(Beam_Analysis!$B$2*Beam_Analysis!$B$3)</f>
        <v>-5.011768976394184E-5</v>
      </c>
    </row>
    <row r="270" spans="14:22" x14ac:dyDescent="0.25">
      <c r="N270">
        <v>164</v>
      </c>
      <c r="O270" s="12">
        <f t="shared" si="77"/>
        <v>25.375</v>
      </c>
      <c r="P270">
        <f t="shared" ca="1" si="78"/>
        <v>-1.3481649384398942E-3</v>
      </c>
      <c r="Q270">
        <f t="shared" si="79"/>
        <v>20.375</v>
      </c>
      <c r="R270" cm="1">
        <f t="array" aca="1" ref="R270:U270" ca="1">center_span(Beam_Analysis!$J$29,Q270,Beam_Analysis!$D$3,Beam_Analysis!$D$2,Beam_Analysis!$J$33:$O$79,Beam_Analysis!$G$5:$P$5,0)</f>
        <v>3.2406824374714818</v>
      </c>
      <c r="S270">
        <f ca="1"/>
        <v>-3.3175289034121382</v>
      </c>
      <c r="T270">
        <f ca="1"/>
        <v>-4.1247509019731363E-4</v>
      </c>
      <c r="U270">
        <f ca="1"/>
        <v>-1.3481649384398942E-3</v>
      </c>
      <c r="V270">
        <f ca="1">(S270*12)/(Beam_Analysis!$B$2*Beam_Analysis!$B$3)</f>
        <v>-4.4570473400073504E-5</v>
      </c>
    </row>
    <row r="271" spans="14:22" x14ac:dyDescent="0.25">
      <c r="N271">
        <v>165</v>
      </c>
      <c r="O271" s="12">
        <f t="shared" si="77"/>
        <v>25.5</v>
      </c>
      <c r="P271">
        <f t="shared" ca="1" si="78"/>
        <v>-2.014998190004641E-3</v>
      </c>
      <c r="Q271">
        <f t="shared" si="79"/>
        <v>20.5</v>
      </c>
      <c r="R271" cm="1">
        <f t="array" aca="1" ref="R271:U271" ca="1">center_span(Beam_Analysis!$J$29,Q271,Beam_Analysis!$D$3,Beam_Analysis!$D$2,Beam_Analysis!$J$33:$O$79,Beam_Analysis!$G$5:$P$5,0)</f>
        <v>3.1156824374714818</v>
      </c>
      <c r="S271">
        <f ca="1"/>
        <v>-2.9202560987281849</v>
      </c>
      <c r="T271">
        <f ca="1"/>
        <v>-4.7530158764387564E-4</v>
      </c>
      <c r="U271">
        <f ca="1"/>
        <v>-2.014998190004641E-3</v>
      </c>
      <c r="V271">
        <f ca="1">(S271*12)/(Beam_Analysis!$B$2*Beam_Analysis!$B$3)</f>
        <v>-3.923317642715878E-5</v>
      </c>
    </row>
    <row r="272" spans="14:22" x14ac:dyDescent="0.25">
      <c r="N272">
        <v>166</v>
      </c>
      <c r="O272" s="12">
        <f t="shared" si="77"/>
        <v>25.625</v>
      </c>
      <c r="P272">
        <f t="shared" ca="1" si="78"/>
        <v>-2.7701454484129751E-3</v>
      </c>
      <c r="Q272">
        <f t="shared" si="79"/>
        <v>20.625</v>
      </c>
      <c r="R272" cm="1">
        <f t="array" aca="1" ref="R272:U272" ca="1">center_span(Beam_Analysis!$J$29,Q272,Beam_Analysis!$D$3,Beam_Analysis!$D$2,Beam_Analysis!$J$33:$O$79,Beam_Analysis!$G$5:$P$5,0)</f>
        <v>2.9906824374714818</v>
      </c>
      <c r="S272">
        <f ca="1"/>
        <v>-2.5386082940442614</v>
      </c>
      <c r="T272">
        <f ca="1"/>
        <v>-5.3027957917426934E-4</v>
      </c>
      <c r="U272">
        <f ca="1"/>
        <v>-2.7701454484129751E-3</v>
      </c>
      <c r="V272">
        <f ca="1">(S272*12)/(Beam_Analysis!$B$2*Beam_Analysis!$B$3)</f>
        <v>-3.4105798845198317E-5</v>
      </c>
    </row>
    <row r="273" spans="14:22" x14ac:dyDescent="0.25">
      <c r="N273">
        <v>167</v>
      </c>
      <c r="O273" s="12">
        <f t="shared" si="77"/>
        <v>25.75</v>
      </c>
      <c r="P273">
        <f t="shared" ca="1" si="78"/>
        <v>-3.6020701141148137E-3</v>
      </c>
      <c r="Q273">
        <f t="shared" si="79"/>
        <v>20.75</v>
      </c>
      <c r="R273" cm="1">
        <f t="array" aca="1" ref="R273:U273" ca="1">center_span(Beam_Analysis!$J$29,Q273,Beam_Analysis!$D$3,Beam_Analysis!$D$2,Beam_Analysis!$J$33:$O$79,Beam_Analysis!$G$5:$P$5,0)</f>
        <v>2.8656824374714818</v>
      </c>
      <c r="S273">
        <f ca="1"/>
        <v>-2.172585489360336</v>
      </c>
      <c r="T273">
        <f ca="1"/>
        <v>-5.7772394387494048E-4</v>
      </c>
      <c r="U273">
        <f ca="1"/>
        <v>-3.6020701141148137E-3</v>
      </c>
      <c r="V273">
        <f ca="1">(S273*12)/(Beam_Analysis!$B$2*Beam_Analysis!$B$3)</f>
        <v>-2.9188340654191706E-5</v>
      </c>
    </row>
    <row r="274" spans="14:22" x14ac:dyDescent="0.25">
      <c r="N274">
        <v>168</v>
      </c>
      <c r="O274" s="12">
        <f t="shared" si="77"/>
        <v>25.875</v>
      </c>
      <c r="P274">
        <f t="shared" ca="1" si="78"/>
        <v>-4.4997079061674661E-3</v>
      </c>
      <c r="Q274">
        <f t="shared" si="79"/>
        <v>20.875</v>
      </c>
      <c r="R274" cm="1">
        <f t="array" aca="1" ref="R274:U274" ca="1">center_span(Beam_Analysis!$J$29,Q274,Beam_Analysis!$D$3,Beam_Analysis!$D$2,Beam_Analysis!$J$33:$O$79,Beam_Analysis!$G$5:$P$5,0)</f>
        <v>2.7406824374714818</v>
      </c>
      <c r="S274">
        <f ca="1"/>
        <v>-1.8221876846763752</v>
      </c>
      <c r="T274">
        <f ca="1"/>
        <v>-6.1794956083231528E-4</v>
      </c>
      <c r="U274">
        <f ca="1"/>
        <v>-4.4997079061674661E-3</v>
      </c>
      <c r="V274">
        <f ca="1">(S274*12)/(Beam_Analysis!$B$2*Beam_Analysis!$B$3)</f>
        <v>-2.448080185413849E-5</v>
      </c>
    </row>
    <row r="275" spans="14:22" x14ac:dyDescent="0.25">
      <c r="N275">
        <v>169</v>
      </c>
      <c r="O275" s="12">
        <f t="shared" si="77"/>
        <v>26</v>
      </c>
      <c r="P275">
        <f t="shared" ca="1" si="78"/>
        <v>-5.4524668622838446E-3</v>
      </c>
      <c r="Q275">
        <f t="shared" si="79"/>
        <v>21</v>
      </c>
      <c r="R275" cm="1">
        <f t="array" aca="1" ref="R275:U275" ca="1">center_span(Beam_Analysis!$J$29,Q275,Beam_Analysis!$D$3,Beam_Analysis!$D$2,Beam_Analysis!$J$33:$O$79,Beam_Analysis!$G$5:$P$5,0)</f>
        <v>2.6156824374714818</v>
      </c>
      <c r="S275">
        <f ca="1"/>
        <v>-1.4874148799924587</v>
      </c>
      <c r="T275">
        <f ca="1"/>
        <v>-6.512713091328488E-4</v>
      </c>
      <c r="U275">
        <f ca="1"/>
        <v>-5.4524668622838446E-3</v>
      </c>
      <c r="V275">
        <f ca="1">(S275*12)/(Beam_Analysis!$B$2*Beam_Analysis!$B$3)</f>
        <v>-1.998318244503975E-5</v>
      </c>
    </row>
    <row r="276" spans="14:22" x14ac:dyDescent="0.25">
      <c r="N276">
        <v>170</v>
      </c>
      <c r="O276" s="12">
        <f t="shared" si="77"/>
        <v>26.125</v>
      </c>
      <c r="P276">
        <f t="shared" ca="1" si="78"/>
        <v>-6.4502273387835041E-3</v>
      </c>
      <c r="Q276">
        <f t="shared" si="79"/>
        <v>21.125</v>
      </c>
      <c r="R276" cm="1">
        <f t="array" aca="1" ref="R276:U276" ca="1">center_span(Beam_Analysis!$J$29,Q276,Beam_Analysis!$D$3,Beam_Analysis!$D$2,Beam_Analysis!$J$33:$O$79,Beam_Analysis!$G$5:$P$5,0)</f>
        <v>2.4906824374714818</v>
      </c>
      <c r="S276">
        <f ca="1"/>
        <v>-1.168267075308512</v>
      </c>
      <c r="T276">
        <f ca="1"/>
        <v>-6.7800406786290525E-4</v>
      </c>
      <c r="U276">
        <f ca="1"/>
        <v>-6.4502273387835041E-3</v>
      </c>
      <c r="V276">
        <f ca="1">(S276*12)/(Beam_Analysis!$B$2*Beam_Analysis!$B$3)</f>
        <v>-1.5695482426894475E-5</v>
      </c>
    </row>
    <row r="277" spans="14:22" x14ac:dyDescent="0.25">
      <c r="N277">
        <v>171</v>
      </c>
      <c r="O277" s="12">
        <f t="shared" si="77"/>
        <v>26.25</v>
      </c>
      <c r="P277">
        <f t="shared" ca="1" si="78"/>
        <v>-7.4833420106312776E-3</v>
      </c>
      <c r="Q277">
        <f t="shared" si="79"/>
        <v>21.25</v>
      </c>
      <c r="R277" cm="1">
        <f t="array" aca="1" ref="R277:U277" ca="1">center_span(Beam_Analysis!$J$29,Q277,Beam_Analysis!$D$3,Beam_Analysis!$D$2,Beam_Analysis!$J$33:$O$79,Beam_Analysis!$G$5:$P$5,0)</f>
        <v>2.3656824374714818</v>
      </c>
      <c r="S277">
        <f ca="1"/>
        <v>-0.86474427062457959</v>
      </c>
      <c r="T277">
        <f ca="1"/>
        <v>-6.984627161089837E-4</v>
      </c>
      <c r="U277">
        <f ca="1"/>
        <v>-7.4833420106312776E-3</v>
      </c>
      <c r="V277">
        <f ca="1">(S277*12)/(Beam_Analysis!$B$2*Beam_Analysis!$B$3)</f>
        <v>-1.1617701799703264E-5</v>
      </c>
    </row>
    <row r="278" spans="14:22" x14ac:dyDescent="0.25">
      <c r="N278">
        <v>172</v>
      </c>
      <c r="O278" s="12">
        <f t="shared" si="77"/>
        <v>26.375</v>
      </c>
      <c r="P278">
        <f t="shared" ca="1" si="78"/>
        <v>-8.5426358714105477E-3</v>
      </c>
      <c r="Q278">
        <f t="shared" si="79"/>
        <v>21.375</v>
      </c>
      <c r="R278" cm="1">
        <f t="array" aca="1" ref="R278:U278" ca="1">center_span(Beam_Analysis!$J$29,Q278,Beam_Analysis!$D$3,Beam_Analysis!$D$2,Beam_Analysis!$J$33:$O$79,Beam_Analysis!$G$5:$P$5,0)</f>
        <v>2.2406824374714818</v>
      </c>
      <c r="S278">
        <f ca="1"/>
        <v>-0.57684646594065603</v>
      </c>
      <c r="T278">
        <f ca="1"/>
        <v>-7.1296213295750019E-4</v>
      </c>
      <c r="U278">
        <f ca="1"/>
        <v>-8.5426358714105477E-3</v>
      </c>
      <c r="V278">
        <f ca="1">(S278*12)/(Beam_Analysis!$B$2*Beam_Analysis!$B$3)</f>
        <v>-7.7498405634660466E-6</v>
      </c>
    </row>
    <row r="279" spans="14:22" x14ac:dyDescent="0.25">
      <c r="N279">
        <v>173</v>
      </c>
      <c r="O279" s="12">
        <f t="shared" si="77"/>
        <v>26.5</v>
      </c>
      <c r="P279">
        <f t="shared" ca="1" si="78"/>
        <v>-9.6194062333470609E-3</v>
      </c>
      <c r="Q279">
        <f t="shared" si="79"/>
        <v>21.5</v>
      </c>
      <c r="R279" cm="1">
        <f t="array" aca="1" ref="R279:U279" ca="1">center_span(Beam_Analysis!$J$29,Q279,Beam_Analysis!$D$3,Beam_Analysis!$D$2,Beam_Analysis!$J$33:$O$79,Beam_Analysis!$G$5:$P$5,0)</f>
        <v>2.1156824374714818</v>
      </c>
      <c r="S279">
        <f ca="1"/>
        <v>-0.30457366125670937</v>
      </c>
      <c r="T279">
        <f ca="1"/>
        <v>-7.2181719749486338E-4</v>
      </c>
      <c r="U279">
        <f ca="1"/>
        <v>-9.6194062333470609E-3</v>
      </c>
      <c r="V279">
        <f ca="1">(S279*12)/(Beam_Analysis!$B$2*Beam_Analysis!$B$3)</f>
        <v>-4.091898718182392E-6</v>
      </c>
    </row>
    <row r="280" spans="14:22" x14ac:dyDescent="0.25">
      <c r="N280">
        <v>174</v>
      </c>
      <c r="O280" s="12">
        <f t="shared" si="77"/>
        <v>26.625</v>
      </c>
      <c r="P280">
        <f t="shared" ca="1" si="78"/>
        <v>-1.0705422727283115E-2</v>
      </c>
      <c r="Q280">
        <f t="shared" si="79"/>
        <v>21.625</v>
      </c>
      <c r="R280" cm="1">
        <f t="array" aca="1" ref="R280:U280" ca="1">center_span(Beam_Analysis!$J$29,Q280,Beam_Analysis!$D$3,Beam_Analysis!$D$2,Beam_Analysis!$J$33:$O$79,Beam_Analysis!$G$5:$P$5,0)</f>
        <v>1.990682437471482</v>
      </c>
      <c r="S280">
        <f ca="1"/>
        <v>-4.7925856572776926E-2</v>
      </c>
      <c r="T280">
        <f ca="1"/>
        <v>-7.2534278880751705E-4</v>
      </c>
      <c r="U280">
        <f ca="1"/>
        <v>-1.0705422727283115E-2</v>
      </c>
      <c r="V280">
        <f ca="1">(S280*12)/(Beam_Analysis!$B$2*Beam_Analysis!$B$3)</f>
        <v>-6.4387626385280237E-7</v>
      </c>
    </row>
    <row r="281" spans="14:22" x14ac:dyDescent="0.25">
      <c r="N281">
        <v>175</v>
      </c>
      <c r="O281" s="12">
        <f t="shared" si="77"/>
        <v>26.75</v>
      </c>
      <c r="P281">
        <f t="shared" ca="1" si="78"/>
        <v>-1.1792927302698625E-2</v>
      </c>
      <c r="Q281">
        <f t="shared" si="79"/>
        <v>21.75</v>
      </c>
      <c r="R281" cm="1">
        <f t="array" aca="1" ref="R281:U281" ca="1">center_span(Beam_Analysis!$J$29,Q281,Beam_Analysis!$D$3,Beam_Analysis!$D$2,Beam_Analysis!$J$33:$O$79,Beam_Analysis!$G$5:$P$5,0)</f>
        <v>1.865682437471482</v>
      </c>
      <c r="S281">
        <f ca="1"/>
        <v>0.19309694811115374</v>
      </c>
      <c r="T281">
        <f ca="1"/>
        <v>-7.2385378598189892E-4</v>
      </c>
      <c r="U281">
        <f ca="1"/>
        <v>-1.1792927302698625E-2</v>
      </c>
      <c r="V281">
        <f ca="1">(S281*12)/(Beam_Analysis!$B$2*Beam_Analysis!$B$3)</f>
        <v>2.5942267995228895E-6</v>
      </c>
    </row>
    <row r="282" spans="14:22" x14ac:dyDescent="0.25">
      <c r="N282">
        <v>176</v>
      </c>
      <c r="O282" s="12">
        <f t="shared" si="77"/>
        <v>26.875</v>
      </c>
      <c r="P282">
        <f t="shared" ca="1" si="78"/>
        <v>-1.2874634227700632E-2</v>
      </c>
      <c r="Q282">
        <f t="shared" si="79"/>
        <v>21.875</v>
      </c>
      <c r="R282" cm="1">
        <f t="array" aca="1" ref="R282:U282" ca="1">center_span(Beam_Analysis!$J$29,Q282,Beam_Analysis!$D$3,Beam_Analysis!$D$2,Beam_Analysis!$J$33:$O$79,Beam_Analysis!$G$5:$P$5,0)</f>
        <v>1.7406824374714822</v>
      </c>
      <c r="S282">
        <f ca="1"/>
        <v>0.41849475279507198</v>
      </c>
      <c r="T282">
        <f ca="1"/>
        <v>-7.1766506810443066E-4</v>
      </c>
      <c r="U282">
        <f ca="1"/>
        <v>-1.2874634227700632E-2</v>
      </c>
      <c r="V282">
        <f ca="1">(S282*12)/(Beam_Analysis!$B$2*Beam_Analysis!$B$3)</f>
        <v>5.622410471944541E-6</v>
      </c>
    </row>
    <row r="283" spans="14:22" x14ac:dyDescent="0.25">
      <c r="N283">
        <v>177</v>
      </c>
      <c r="O283" s="12">
        <f t="shared" si="77"/>
        <v>27</v>
      </c>
      <c r="P283">
        <f t="shared" ca="1" si="78"/>
        <v>-1.3943730089029049E-2</v>
      </c>
      <c r="Q283">
        <f t="shared" si="79"/>
        <v>22</v>
      </c>
      <c r="R283" cm="1">
        <f t="array" aca="1" ref="R283:U283" ca="1">center_span(Beam_Analysis!$J$29,Q283,Beam_Analysis!$D$3,Beam_Analysis!$D$2,Beam_Analysis!$J$33:$O$79,Beam_Analysis!$G$5:$P$5,0)</f>
        <v>1.6156824374714818</v>
      </c>
      <c r="S283">
        <f ca="1"/>
        <v>0.62826755747903995</v>
      </c>
      <c r="T283">
        <f ca="1"/>
        <v>-7.0709151426156386E-4</v>
      </c>
      <c r="U283">
        <f ca="1"/>
        <v>-1.3943730089029049E-2</v>
      </c>
      <c r="V283">
        <f ca="1">(S283*12)/(Beam_Analysis!$B$2*Beam_Analysis!$B$3)</f>
        <v>8.4406747534129867E-6</v>
      </c>
    </row>
    <row r="284" spans="14:22" x14ac:dyDescent="0.25">
      <c r="N284">
        <v>178</v>
      </c>
      <c r="O284" s="12">
        <f t="shared" si="77"/>
        <v>27.125</v>
      </c>
      <c r="P284">
        <f t="shared" ca="1" si="78"/>
        <v>-1.4993873792047169E-2</v>
      </c>
      <c r="Q284">
        <f t="shared" si="79"/>
        <v>22.125</v>
      </c>
      <c r="R284" cm="1">
        <f t="array" aca="1" ref="R284:U284" ca="1">center_span(Beam_Analysis!$J$29,Q284,Beam_Analysis!$D$3,Beam_Analysis!$D$2,Beam_Analysis!$J$33:$O$79,Beam_Analysis!$G$5:$P$5,0)</f>
        <v>1.4906824374714818</v>
      </c>
      <c r="S284">
        <f ca="1"/>
        <v>0.82241536216297062</v>
      </c>
      <c r="T284">
        <f ca="1"/>
        <v>-6.9244800353967292E-4</v>
      </c>
      <c r="U284">
        <f ca="1"/>
        <v>-1.4993873792047169E-2</v>
      </c>
      <c r="V284">
        <f ca="1">(S284*12)/(Beam_Analysis!$B$2*Beam_Analysis!$B$3)</f>
        <v>1.1049019643927058E-5</v>
      </c>
    </row>
    <row r="285" spans="14:22" x14ac:dyDescent="0.25">
      <c r="N285">
        <v>179</v>
      </c>
      <c r="O285" s="12">
        <f t="shared" si="77"/>
        <v>27.25</v>
      </c>
      <c r="P285">
        <f t="shared" ca="1" si="78"/>
        <v>-1.6019196560749155E-2</v>
      </c>
      <c r="Q285">
        <f t="shared" si="79"/>
        <v>22.25</v>
      </c>
      <c r="R285" cm="1">
        <f t="array" aca="1" ref="R285:U285" ca="1">center_span(Beam_Analysis!$J$29,Q285,Beam_Analysis!$D$3,Beam_Analysis!$D$2,Beam_Analysis!$J$33:$O$79,Beam_Analysis!$G$5:$P$5,0)</f>
        <v>1.3656824374714818</v>
      </c>
      <c r="S285">
        <f ca="1"/>
        <v>1.0009381668468884</v>
      </c>
      <c r="T285">
        <f ca="1"/>
        <v>-6.7404941502524369E-4</v>
      </c>
      <c r="U285">
        <f ca="1"/>
        <v>-1.6019196560749155E-2</v>
      </c>
      <c r="V285">
        <f ca="1">(S285*12)/(Beam_Analysis!$B$2*Beam_Analysis!$B$3)</f>
        <v>1.3447445143487081E-5</v>
      </c>
    </row>
    <row r="286" spans="14:22" x14ac:dyDescent="0.25">
      <c r="N286">
        <v>180</v>
      </c>
      <c r="O286" s="12">
        <f t="shared" si="77"/>
        <v>27.375</v>
      </c>
      <c r="P286">
        <f t="shared" ca="1" si="78"/>
        <v>-1.7014301937770454E-2</v>
      </c>
      <c r="Q286">
        <f t="shared" si="79"/>
        <v>22.375</v>
      </c>
      <c r="R286" cm="1">
        <f t="array" aca="1" ref="R286:U286" ca="1">center_span(Beam_Analysis!$J$29,Q286,Beam_Analysis!$D$3,Beam_Analysis!$D$2,Beam_Analysis!$J$33:$O$79,Beam_Analysis!$G$5:$P$5,0)</f>
        <v>1.2406824374714818</v>
      </c>
      <c r="S286">
        <f ca="1"/>
        <v>1.1638359715308351</v>
      </c>
      <c r="T286">
        <f ca="1"/>
        <v>-6.5221062780467702E-4</v>
      </c>
      <c r="U286">
        <f ca="1"/>
        <v>-1.7014301937770454E-2</v>
      </c>
      <c r="V286">
        <f ca="1">(S286*12)/(Beam_Analysis!$B$2*Beam_Analysis!$B$3)</f>
        <v>1.5635951252093621E-5</v>
      </c>
    </row>
    <row r="287" spans="14:22" x14ac:dyDescent="0.25">
      <c r="N287">
        <v>181</v>
      </c>
      <c r="O287" s="12">
        <f t="shared" si="77"/>
        <v>27.5</v>
      </c>
      <c r="P287">
        <f t="shared" ca="1" si="78"/>
        <v>-1.7974265784356153E-2</v>
      </c>
      <c r="Q287">
        <f t="shared" si="79"/>
        <v>22.5</v>
      </c>
      <c r="R287" cm="1">
        <f t="array" aca="1" ref="R287:U287" ca="1">center_span(Beam_Analysis!$J$29,Q287,Beam_Analysis!$D$3,Beam_Analysis!$D$2,Beam_Analysis!$J$33:$O$79,Beam_Analysis!$G$5:$P$5,0)</f>
        <v>1.1156824374714818</v>
      </c>
      <c r="S287">
        <f ca="1"/>
        <v>1.3111087762147657</v>
      </c>
      <c r="T287">
        <f ca="1"/>
        <v>-6.2724652096443102E-4</v>
      </c>
      <c r="U287">
        <f ca="1"/>
        <v>-1.7974265784356153E-2</v>
      </c>
      <c r="V287">
        <f ca="1">(S287*12)/(Beam_Analysis!$B$2*Beam_Analysis!$B$3)</f>
        <v>1.761453796974607E-5</v>
      </c>
    </row>
    <row r="288" spans="14:22" x14ac:dyDescent="0.25">
      <c r="N288">
        <v>182</v>
      </c>
      <c r="O288" s="12">
        <f t="shared" si="77"/>
        <v>27.625</v>
      </c>
      <c r="P288">
        <f t="shared" ca="1" si="78"/>
        <v>-1.8894636280398697E-2</v>
      </c>
      <c r="Q288">
        <f t="shared" si="79"/>
        <v>22.625</v>
      </c>
      <c r="R288" cm="1">
        <f t="array" aca="1" ref="R288:U288" ca="1">center_span(Beam_Analysis!$J$29,Q288,Beam_Analysis!$D$3,Beam_Analysis!$D$2,Beam_Analysis!$J$33:$O$79,Beam_Analysis!$G$5:$P$5,0)</f>
        <v>0.99068243747148177</v>
      </c>
      <c r="S288">
        <f ca="1"/>
        <v>1.4427565808987053</v>
      </c>
      <c r="T288">
        <f ca="1"/>
        <v>-5.9947197359091564E-4</v>
      </c>
      <c r="U288">
        <f ca="1"/>
        <v>-1.8894636280398697E-2</v>
      </c>
      <c r="V288">
        <f ca="1">(S288*12)/(Beam_Analysis!$B$2*Beam_Analysis!$B$3)</f>
        <v>1.9383205296444765E-5</v>
      </c>
    </row>
    <row r="289" spans="14:22" x14ac:dyDescent="0.25">
      <c r="N289">
        <v>183</v>
      </c>
      <c r="O289" s="12">
        <f t="shared" si="77"/>
        <v>27.75</v>
      </c>
      <c r="P289">
        <f t="shared" ca="1" si="78"/>
        <v>-1.9771433924406168E-2</v>
      </c>
      <c r="Q289">
        <f t="shared" si="79"/>
        <v>22.75</v>
      </c>
      <c r="R289" cm="1">
        <f t="array" aca="1" ref="R289:U289" ca="1">center_span(Beam_Analysis!$J$29,Q289,Beam_Analysis!$D$3,Beam_Analysis!$D$2,Beam_Analysis!$J$33:$O$79,Beam_Analysis!$G$5:$P$5,0)</f>
        <v>0.86568243747148177</v>
      </c>
      <c r="S289">
        <f ca="1"/>
        <v>1.5587793855826448</v>
      </c>
      <c r="T289">
        <f ca="1"/>
        <v>-5.6920186477058075E-4</v>
      </c>
      <c r="U289">
        <f ca="1"/>
        <v>-1.9771433924406168E-2</v>
      </c>
      <c r="V289">
        <f ca="1">(S289*12)/(Beam_Analysis!$B$2*Beam_Analysis!$B$3)</f>
        <v>2.0941953232189588E-5</v>
      </c>
    </row>
    <row r="290" spans="14:22" x14ac:dyDescent="0.25">
      <c r="N290">
        <v>184</v>
      </c>
      <c r="O290" s="12">
        <f t="shared" si="77"/>
        <v>27.875</v>
      </c>
      <c r="P290">
        <f t="shared" ca="1" si="78"/>
        <v>-2.0601151533527512E-2</v>
      </c>
      <c r="Q290">
        <f t="shared" si="79"/>
        <v>22.875</v>
      </c>
      <c r="R290" cm="1">
        <f t="array" aca="1" ref="R290:U290" ca="1">center_span(Beam_Analysis!$J$29,Q290,Beam_Analysis!$D$3,Beam_Analysis!$D$2,Beam_Analysis!$J$33:$O$79,Beam_Analysis!$G$5:$P$5,0)</f>
        <v>0.74068243747148177</v>
      </c>
      <c r="S290">
        <f ca="1"/>
        <v>1.6591771902665755</v>
      </c>
      <c r="T290">
        <f ca="1"/>
        <v>-5.3675107358984323E-4</v>
      </c>
      <c r="U290">
        <f ca="1"/>
        <v>-2.0601151533527512E-2</v>
      </c>
      <c r="V290">
        <f ca="1">(S290*12)/(Beam_Analysis!$B$2*Beam_Analysis!$B$3)</f>
        <v>2.2290781776980414E-5</v>
      </c>
    </row>
    <row r="291" spans="14:22" x14ac:dyDescent="0.25">
      <c r="N291">
        <v>185</v>
      </c>
      <c r="O291" s="12">
        <f t="shared" si="77"/>
        <v>28</v>
      </c>
      <c r="P291">
        <f t="shared" ca="1" si="78"/>
        <v>-2.1380754243538719E-2</v>
      </c>
      <c r="Q291">
        <f t="shared" si="79"/>
        <v>23</v>
      </c>
      <c r="R291" cm="1">
        <f t="array" aca="1" ref="R291:U291" ca="1">center_span(Beam_Analysis!$J$29,Q291,Beam_Analysis!$D$3,Beam_Analysis!$D$2,Beam_Analysis!$J$33:$O$79,Beam_Analysis!$G$5:$P$5,0)</f>
        <v>0.61568243747148177</v>
      </c>
      <c r="S291">
        <f ca="1"/>
        <v>1.7439499949505155</v>
      </c>
      <c r="T291">
        <f ca="1"/>
        <v>-5.0243447913511131E-4</v>
      </c>
      <c r="U291">
        <f ca="1"/>
        <v>-2.1380754243538719E-2</v>
      </c>
      <c r="V291">
        <f ca="1">(S291*12)/(Beam_Analysis!$B$2*Beam_Analysis!$B$3)</f>
        <v>2.3429690930817495E-5</v>
      </c>
    </row>
    <row r="292" spans="14:22" x14ac:dyDescent="0.25">
      <c r="N292">
        <v>186</v>
      </c>
      <c r="O292" s="12">
        <f t="shared" ref="O292:O347" si="80">Q292+$F$12</f>
        <v>28.125</v>
      </c>
      <c r="P292">
        <f t="shared" ref="P292:P347" ca="1" si="81">OFFSET(R292,0,$O$2)</f>
        <v>-2.210767950883899E-2</v>
      </c>
      <c r="Q292">
        <f t="shared" si="79"/>
        <v>23.125</v>
      </c>
      <c r="R292" cm="1">
        <f t="array" aca="1" ref="R292:U292" ca="1">center_span(Beam_Analysis!$J$29,Q292,Beam_Analysis!$D$3,Beam_Analysis!$D$2,Beam_Analysis!$J$33:$O$79,Beam_Analysis!$G$5:$P$5,0)</f>
        <v>0.49068243747148177</v>
      </c>
      <c r="S292">
        <f ca="1"/>
        <v>1.8130977996344475</v>
      </c>
      <c r="T292">
        <f ca="1"/>
        <v>-4.6656696049285611E-4</v>
      </c>
      <c r="U292">
        <f ca="1"/>
        <v>-2.210767950883899E-2</v>
      </c>
      <c r="V292">
        <f ca="1">(S292*12)/(Beam_Analysis!$B$2*Beam_Analysis!$B$3)</f>
        <v>2.4358680693700593E-5</v>
      </c>
    </row>
    <row r="293" spans="14:22" x14ac:dyDescent="0.25">
      <c r="N293">
        <v>187</v>
      </c>
      <c r="O293" s="12">
        <f t="shared" si="80"/>
        <v>28.25</v>
      </c>
      <c r="P293">
        <f t="shared" ca="1" si="81"/>
        <v>-2.2779837102464146E-2</v>
      </c>
      <c r="Q293">
        <f t="shared" si="79"/>
        <v>23.25</v>
      </c>
      <c r="R293" cm="1">
        <f t="array" aca="1" ref="R293:U293" ca="1">center_span(Beam_Analysis!$J$29,Q293,Beam_Analysis!$D$3,Beam_Analysis!$D$2,Beam_Analysis!$J$33:$O$79,Beam_Analysis!$G$5:$P$5,0)</f>
        <v>0.36568243747148177</v>
      </c>
      <c r="S293">
        <f ca="1"/>
        <v>1.8666206043183777</v>
      </c>
      <c r="T293">
        <f ca="1"/>
        <v>-4.2946339674950927E-4</v>
      </c>
      <c r="U293">
        <f ca="1"/>
        <v>-2.2779837102464146E-2</v>
      </c>
      <c r="V293">
        <f ca="1">(S293*12)/(Beam_Analysis!$B$2*Beam_Analysis!$B$3)</f>
        <v>2.5077751065629795E-5</v>
      </c>
    </row>
    <row r="294" spans="14:22" x14ac:dyDescent="0.25">
      <c r="N294">
        <v>188</v>
      </c>
      <c r="O294" s="12">
        <f t="shared" si="80"/>
        <v>28.375</v>
      </c>
      <c r="P294">
        <f t="shared" ca="1" si="81"/>
        <v>-2.3395609116079713E-2</v>
      </c>
      <c r="Q294">
        <f t="shared" si="79"/>
        <v>23.375</v>
      </c>
      <c r="R294" cm="1">
        <f t="array" aca="1" ref="R294:U294" ca="1">center_span(Beam_Analysis!$J$29,Q294,Beam_Analysis!$D$3,Beam_Analysis!$D$2,Beam_Analysis!$J$33:$O$79,Beam_Analysis!$G$5:$P$5,0)</f>
        <v>0.24068243747148169</v>
      </c>
      <c r="S294">
        <f ca="1"/>
        <v>1.9045184090023071</v>
      </c>
      <c r="T294">
        <f ca="1"/>
        <v>-3.9143866699146426E-4</v>
      </c>
      <c r="U294">
        <f ca="1"/>
        <v>-2.3395609116079713E-2</v>
      </c>
      <c r="V294">
        <f ca="1">(S294*12)/(Beam_Analysis!$B$2*Beam_Analysis!$B$3)</f>
        <v>2.5586902046605111E-5</v>
      </c>
    </row>
    <row r="295" spans="14:22" x14ac:dyDescent="0.25">
      <c r="N295">
        <v>189</v>
      </c>
      <c r="O295" s="12">
        <f t="shared" si="80"/>
        <v>28.5</v>
      </c>
      <c r="P295">
        <f t="shared" ca="1" si="81"/>
        <v>-2.3953849959975848E-2</v>
      </c>
      <c r="Q295">
        <f t="shared" si="79"/>
        <v>23.5</v>
      </c>
      <c r="R295" cm="1">
        <f t="array" aca="1" ref="R295:U295" ca="1">center_span(Beam_Analysis!$J$29,Q295,Beam_Analysis!$D$3,Beam_Analysis!$D$2,Beam_Analysis!$J$33:$O$79,Beam_Analysis!$G$5:$P$5,0)</f>
        <v>0.11568243747148169</v>
      </c>
      <c r="S295">
        <f ca="1"/>
        <v>1.9267912136862533</v>
      </c>
      <c r="T295">
        <f ca="1"/>
        <v>-3.5280765030513712E-4</v>
      </c>
      <c r="U295">
        <f ca="1"/>
        <v>-2.3953849959975848E-2</v>
      </c>
      <c r="V295">
        <f ca="1">(S295*12)/(Beam_Analysis!$B$2*Beam_Analysis!$B$3)</f>
        <v>2.5886133636626778E-5</v>
      </c>
    </row>
    <row r="296" spans="14:22" x14ac:dyDescent="0.25">
      <c r="N296">
        <v>190</v>
      </c>
      <c r="O296" s="12">
        <f t="shared" si="80"/>
        <v>28.625</v>
      </c>
      <c r="P296">
        <f t="shared" ca="1" si="81"/>
        <v>-2.4453886363075494E-2</v>
      </c>
      <c r="Q296">
        <f t="shared" si="79"/>
        <v>23.625</v>
      </c>
      <c r="R296" cm="1">
        <f t="array" aca="1" ref="R296:U296" ca="1">center_span(Beam_Analysis!$J$29,Q296,Beam_Analysis!$D$3,Beam_Analysis!$D$2,Beam_Analysis!$J$33:$O$79,Beam_Analysis!$G$5:$P$5,0)</f>
        <v>-9.3175625285196462E-3</v>
      </c>
      <c r="S296">
        <f ca="1"/>
        <v>1.9334390183701879</v>
      </c>
      <c r="T296">
        <f ca="1"/>
        <v>-3.1388522577703625E-4</v>
      </c>
      <c r="U296">
        <f ca="1"/>
        <v>-2.4453886363075494E-2</v>
      </c>
      <c r="V296">
        <f ca="1">(S296*12)/(Beam_Analysis!$B$2*Beam_Analysis!$B$3)</f>
        <v>2.597544583569442E-5</v>
      </c>
    </row>
    <row r="297" spans="14:22" x14ac:dyDescent="0.25">
      <c r="N297">
        <v>191</v>
      </c>
      <c r="O297" s="12">
        <f t="shared" si="80"/>
        <v>28.75</v>
      </c>
      <c r="P297">
        <f t="shared" ca="1" si="81"/>
        <v>-2.4895517372928472E-2</v>
      </c>
      <c r="Q297">
        <f t="shared" si="79"/>
        <v>23.75</v>
      </c>
      <c r="R297" cm="1">
        <f t="array" aca="1" ref="R297:U297" ca="1">center_span(Beam_Analysis!$J$29,Q297,Beam_Analysis!$D$3,Beam_Analysis!$D$2,Beam_Analysis!$J$33:$O$79,Beam_Analysis!$G$5:$P$5,0)</f>
        <v>-0.13431756252851965</v>
      </c>
      <c r="S297">
        <f ca="1"/>
        <v>1.9244618230541164</v>
      </c>
      <c r="T297">
        <f ca="1"/>
        <v>-2.7498627249357551E-4</v>
      </c>
      <c r="U297">
        <f ca="1"/>
        <v>-2.4895517372928472E-2</v>
      </c>
      <c r="V297">
        <f ca="1">(S297*12)/(Beam_Analysis!$B$2*Beam_Analysis!$B$3)</f>
        <v>2.5854838643808102E-5</v>
      </c>
    </row>
    <row r="298" spans="14:22" x14ac:dyDescent="0.25">
      <c r="N298">
        <v>192</v>
      </c>
      <c r="O298" s="12">
        <f t="shared" si="80"/>
        <v>28.875</v>
      </c>
      <c r="P298">
        <f t="shared" ca="1" si="81"/>
        <v>-2.5279014355721635E-2</v>
      </c>
      <c r="Q298">
        <f t="shared" si="79"/>
        <v>23.875</v>
      </c>
      <c r="R298" cm="1">
        <f t="array" aca="1" ref="R298:U298" ca="1">center_span(Beam_Analysis!$J$29,Q298,Beam_Analysis!$D$3,Beam_Analysis!$D$2,Beam_Analysis!$J$33:$O$79,Beam_Analysis!$G$5:$P$5,0)</f>
        <v>-0.25931756252851967</v>
      </c>
      <c r="S298">
        <f ca="1"/>
        <v>1.8998596277380599</v>
      </c>
      <c r="T298">
        <f ca="1"/>
        <v>-2.3642566954112194E-4</v>
      </c>
      <c r="U298">
        <f ca="1"/>
        <v>-2.5279014355721635E-2</v>
      </c>
      <c r="V298">
        <f ca="1">(S298*12)/(Beam_Analysis!$B$2*Beam_Analysis!$B$3)</f>
        <v>2.5524312060968115E-5</v>
      </c>
    </row>
    <row r="299" spans="14:22" x14ac:dyDescent="0.25">
      <c r="N299">
        <v>193</v>
      </c>
      <c r="O299" s="12">
        <f t="shared" si="80"/>
        <v>29</v>
      </c>
      <c r="P299">
        <f t="shared" ca="1" si="81"/>
        <v>-2.5605120996260972E-2</v>
      </c>
      <c r="Q299">
        <f t="shared" si="79"/>
        <v>24</v>
      </c>
      <c r="R299" cm="1">
        <f t="array" aca="1" ref="R299:U299" ca="1">center_span(Beam_Analysis!$J$29,Q299,Beam_Analysis!$D$3,Beam_Analysis!$D$2,Beam_Analysis!$J$33:$O$79,Beam_Analysis!$G$5:$P$5,0)</f>
        <v>-0.38431756252851967</v>
      </c>
      <c r="S299">
        <f ca="1"/>
        <v>1.8596324324219902</v>
      </c>
      <c r="T299">
        <f ca="1"/>
        <v>-1.9851829600612929E-4</v>
      </c>
      <c r="U299">
        <f ca="1"/>
        <v>-2.5605120996260972E-2</v>
      </c>
      <c r="V299">
        <f ca="1">(S299*12)/(Beam_Analysis!$B$2*Beam_Analysis!$B$3)</f>
        <v>2.4983866087174073E-5</v>
      </c>
    </row>
    <row r="300" spans="14:22" x14ac:dyDescent="0.25">
      <c r="N300">
        <v>194</v>
      </c>
      <c r="O300" s="12">
        <f t="shared" si="80"/>
        <v>29.125</v>
      </c>
      <c r="P300">
        <f t="shared" ca="1" si="81"/>
        <v>-2.5875053297993167E-2</v>
      </c>
      <c r="Q300">
        <f t="shared" si="79"/>
        <v>24.125</v>
      </c>
      <c r="R300" cm="1">
        <f t="array" aca="1" ref="R300:U300" ca="1">center_span(Beam_Analysis!$J$29,Q300,Beam_Analysis!$D$3,Beam_Analysis!$D$2,Beam_Analysis!$J$33:$O$79,Beam_Analysis!$G$5:$P$5,0)</f>
        <v>-0.50931756252851967</v>
      </c>
      <c r="S300">
        <f ca="1"/>
        <v>1.8037802371059266</v>
      </c>
      <c r="T300">
        <f ca="1"/>
        <v>-1.6157903097505349E-4</v>
      </c>
      <c r="U300">
        <f ca="1"/>
        <v>-2.5875053297993167E-2</v>
      </c>
      <c r="V300">
        <f ca="1">(S300*12)/(Beam_Analysis!$B$2*Beam_Analysis!$B$3)</f>
        <v>2.4233500722426243E-5</v>
      </c>
    </row>
    <row r="301" spans="14:22" x14ac:dyDescent="0.25">
      <c r="N301">
        <v>195</v>
      </c>
      <c r="O301" s="12">
        <f t="shared" si="80"/>
        <v>29.25</v>
      </c>
      <c r="P301">
        <f t="shared" ca="1" si="81"/>
        <v>-2.6090499582980375E-2</v>
      </c>
      <c r="Q301">
        <f t="shared" si="79"/>
        <v>24.25</v>
      </c>
      <c r="R301" cm="1">
        <f t="array" aca="1" ref="R301:U301" ca="1">center_span(Beam_Analysis!$J$29,Q301,Beam_Analysis!$D$3,Beam_Analysis!$D$2,Beam_Analysis!$J$33:$O$79,Beam_Analysis!$G$5:$P$5,0)</f>
        <v>-0.63431756252851967</v>
      </c>
      <c r="S301">
        <f ca="1"/>
        <v>1.7323030417898693</v>
      </c>
      <c r="T301">
        <f ca="1"/>
        <v>-1.2592275353433009E-4</v>
      </c>
      <c r="U301">
        <f ca="1"/>
        <v>-2.6090499582980375E-2</v>
      </c>
      <c r="V301">
        <f ca="1">(S301*12)/(Beam_Analysis!$B$2*Beam_Analysis!$B$3)</f>
        <v>2.3273215966724622E-5</v>
      </c>
    </row>
    <row r="302" spans="14:22" x14ac:dyDescent="0.25">
      <c r="N302">
        <v>196</v>
      </c>
      <c r="O302" s="12">
        <f t="shared" si="80"/>
        <v>29.375</v>
      </c>
      <c r="P302">
        <f t="shared" ca="1" si="81"/>
        <v>-2.6253620491933444E-2</v>
      </c>
      <c r="Q302">
        <f t="shared" si="79"/>
        <v>24.375</v>
      </c>
      <c r="R302" cm="1">
        <f t="array" aca="1" ref="R302:U302" ca="1">center_span(Beam_Analysis!$J$29,Q302,Beam_Analysis!$D$3,Beam_Analysis!$D$2,Beam_Analysis!$J$33:$O$79,Beam_Analysis!$G$5:$P$5,0)</f>
        <v>-0.75931756252851956</v>
      </c>
      <c r="S302">
        <f ca="1"/>
        <v>1.6452008464737968</v>
      </c>
      <c r="T302">
        <f ca="1"/>
        <v>-9.1864342770335214E-5</v>
      </c>
      <c r="U302">
        <f ca="1"/>
        <v>-2.6253620491933444E-2</v>
      </c>
      <c r="V302">
        <f ca="1">(S302*12)/(Beam_Analysis!$B$2*Beam_Analysis!$B$3)</f>
        <v>2.2103011820068922E-5</v>
      </c>
    </row>
    <row r="303" spans="14:22" x14ac:dyDescent="0.25">
      <c r="N303">
        <v>197</v>
      </c>
      <c r="O303" s="12">
        <f t="shared" si="80"/>
        <v>29.5</v>
      </c>
      <c r="P303">
        <f t="shared" ca="1" si="81"/>
        <v>-2.6367048984174524E-2</v>
      </c>
      <c r="Q303">
        <f t="shared" si="79"/>
        <v>24.5</v>
      </c>
      <c r="R303" cm="1">
        <f t="array" aca="1" ref="R303:U303" ca="1">center_span(Beam_Analysis!$J$29,Q303,Beam_Analysis!$D$3,Beam_Analysis!$D$2,Beam_Analysis!$J$33:$O$79,Beam_Analysis!$G$5:$P$5,0)</f>
        <v>-0.88431756252851956</v>
      </c>
      <c r="S303">
        <f ca="1"/>
        <v>1.5424736511577182</v>
      </c>
      <c r="T303">
        <f ca="1"/>
        <v>-5.971867776960807E-5</v>
      </c>
      <c r="U303">
        <f ca="1"/>
        <v>-2.6367048984174524E-2</v>
      </c>
      <c r="V303">
        <f ca="1">(S303*12)/(Beam_Analysis!$B$2*Beam_Analysis!$B$3)</f>
        <v>2.0722888282459269E-5</v>
      </c>
    </row>
    <row r="304" spans="14:22" x14ac:dyDescent="0.25">
      <c r="N304">
        <v>198</v>
      </c>
      <c r="O304" s="12">
        <f t="shared" si="80"/>
        <v>29.625</v>
      </c>
      <c r="P304">
        <f t="shared" ca="1" si="81"/>
        <v>-2.6433890337666799E-2</v>
      </c>
      <c r="Q304">
        <f t="shared" si="79"/>
        <v>24.625</v>
      </c>
      <c r="R304" cm="1">
        <f t="array" aca="1" ref="R304:U304" ca="1">center_span(Beam_Analysis!$J$29,Q304,Beam_Analysis!$D$3,Beam_Analysis!$D$2,Beam_Analysis!$J$33:$O$79,Beam_Analysis!$G$5:$P$5,0)</f>
        <v>-1.0093175625285196</v>
      </c>
      <c r="S304">
        <f ca="1"/>
        <v>1.4241214558416724</v>
      </c>
      <c r="T304">
        <f ca="1"/>
        <v>-2.9800637618463202E-5</v>
      </c>
      <c r="U304">
        <f ca="1"/>
        <v>-2.6433890337666799E-2</v>
      </c>
      <c r="V304">
        <f ca="1">(S304*12)/(Beam_Analysis!$B$2*Beam_Analysis!$B$3)</f>
        <v>1.913284535389618E-5</v>
      </c>
    </row>
    <row r="305" spans="14:22" x14ac:dyDescent="0.25">
      <c r="N305">
        <v>199</v>
      </c>
      <c r="O305" s="12">
        <f t="shared" si="80"/>
        <v>29.75</v>
      </c>
      <c r="P305">
        <f t="shared" ca="1" si="81"/>
        <v>-2.6457722148998331E-2</v>
      </c>
      <c r="Q305">
        <f t="shared" si="79"/>
        <v>24.75</v>
      </c>
      <c r="R305" cm="1">
        <f t="array" aca="1" ref="R305:U305" ca="1">center_span(Beam_Analysis!$J$29,Q305,Beam_Analysis!$D$3,Beam_Analysis!$D$2,Beam_Analysis!$J$33:$O$79,Beam_Analysis!$G$5:$P$5,0)</f>
        <v>-1.1343175625285196</v>
      </c>
      <c r="S305">
        <f ca="1"/>
        <v>1.2901442605256062</v>
      </c>
      <c r="T305">
        <f ca="1"/>
        <v>-2.425101403391236E-6</v>
      </c>
      <c r="U305">
        <f ca="1"/>
        <v>-2.6457722148998331E-2</v>
      </c>
      <c r="V305">
        <f ca="1">(S305*12)/(Beam_Analysis!$B$2*Beam_Analysis!$B$3)</f>
        <v>1.7332883034378945E-5</v>
      </c>
    </row>
    <row r="306" spans="14:22" x14ac:dyDescent="0.25">
      <c r="N306">
        <v>200</v>
      </c>
      <c r="O306" s="12">
        <f t="shared" si="80"/>
        <v>29.875</v>
      </c>
      <c r="P306">
        <f t="shared" ca="1" si="81"/>
        <v>-2.6442594333387054E-2</v>
      </c>
      <c r="Q306">
        <f t="shared" si="79"/>
        <v>24.875</v>
      </c>
      <c r="R306" cm="1">
        <f t="array" aca="1" ref="R306:U306" ca="1">center_span(Beam_Analysis!$J$29,Q306,Beam_Analysis!$D$3,Beam_Analysis!$D$2,Beam_Analysis!$J$33:$O$79,Beam_Analysis!$G$5:$P$5,0)</f>
        <v>-1.2593175625285196</v>
      </c>
      <c r="S306">
        <f ca="1"/>
        <v>1.1405420652095426</v>
      </c>
      <c r="T306">
        <f ca="1"/>
        <v>2.2093051789220421E-5</v>
      </c>
      <c r="U306">
        <f ca="1"/>
        <v>-2.6442594333387054E-2</v>
      </c>
      <c r="V306">
        <f ca="1">(S306*12)/(Beam_Analysis!$B$2*Beam_Analysis!$B$3)</f>
        <v>1.5323001323907871E-5</v>
      </c>
    </row>
    <row r="307" spans="14:22" x14ac:dyDescent="0.25">
      <c r="N307">
        <v>201</v>
      </c>
      <c r="O307" s="12">
        <f t="shared" si="80"/>
        <v>30</v>
      </c>
      <c r="P307">
        <f t="shared" ca="1" si="81"/>
        <v>-2.6393029124685025E-2</v>
      </c>
      <c r="Q307">
        <f t="shared" si="79"/>
        <v>25</v>
      </c>
      <c r="R307" cm="1">
        <f t="array" aca="1" ref="R307:U307" ca="1">center_span(Beam_Analysis!$J$29,Q307,Beam_Analysis!$D$3,Beam_Analysis!$D$2,Beam_Analysis!$J$33:$O$79,Beam_Analysis!$G$5:$P$5,0)</f>
        <v>-1.3843175625285196</v>
      </c>
      <c r="S307">
        <f ca="1"/>
        <v>0.97531486989347105</v>
      </c>
      <c r="T307">
        <f ca="1"/>
        <v>4.3438942872862929E-5</v>
      </c>
      <c r="U307">
        <f ca="1"/>
        <v>-2.6393029124685025E-2</v>
      </c>
      <c r="V307">
        <f ca="1">(S307*12)/(Beam_Analysis!$B$2*Beam_Analysis!$B$3)</f>
        <v>1.3103200222482818E-5</v>
      </c>
    </row>
    <row r="308" spans="14:22" x14ac:dyDescent="0.25">
      <c r="N308">
        <v>202</v>
      </c>
      <c r="O308" s="12">
        <f t="shared" si="80"/>
        <v>30.125</v>
      </c>
      <c r="P308">
        <f t="shared" ca="1" si="81"/>
        <v>-2.631235895278744E-2</v>
      </c>
      <c r="Q308">
        <f t="shared" si="79"/>
        <v>25.125</v>
      </c>
      <c r="R308" cm="1">
        <f t="array" aca="1" ref="R308:U308" ca="1">center_span(Beam_Analysis!$J$29,Q308,Beam_Analysis!$D$3,Beam_Analysis!$D$2,Beam_Analysis!$J$33:$O$79,Beam_Analysis!$G$5:$P$5,0)</f>
        <v>1.1299853499453605</v>
      </c>
      <c r="S308">
        <f ca="1"/>
        <v>1.1243755386366399</v>
      </c>
      <c r="T308">
        <f ca="1"/>
        <v>6.4621937920740155E-5</v>
      </c>
      <c r="U308">
        <f ca="1"/>
        <v>-2.631235895278744E-2</v>
      </c>
      <c r="V308">
        <f ca="1">(S308*12)/(Beam_Analysis!$B$2*Beam_Analysis!$B$3)</f>
        <v>1.5105806609538377E-5</v>
      </c>
    </row>
    <row r="309" spans="14:22" x14ac:dyDescent="0.25">
      <c r="N309">
        <v>203</v>
      </c>
      <c r="O309" s="12">
        <f t="shared" si="80"/>
        <v>30.25</v>
      </c>
      <c r="P309">
        <f t="shared" ca="1" si="81"/>
        <v>-2.6197740075904918E-2</v>
      </c>
      <c r="Q309">
        <f t="shared" si="79"/>
        <v>25.25</v>
      </c>
      <c r="R309" cm="1">
        <f t="array" aca="1" ref="R309:U309" ca="1">center_span(Beam_Analysis!$J$29,Q309,Beam_Analysis!$D$3,Beam_Analysis!$D$2,Beam_Analysis!$J$33:$O$79,Beam_Analysis!$G$5:$P$5,0)</f>
        <v>1.0049853499453605</v>
      </c>
      <c r="S309">
        <f ca="1"/>
        <v>1.257811207379822</v>
      </c>
      <c r="T309">
        <f ca="1"/>
        <v>8.8651403006017801E-5</v>
      </c>
      <c r="U309">
        <f ca="1"/>
        <v>-2.6197740075904918E-2</v>
      </c>
      <c r="V309">
        <f ca="1">(S309*12)/(Beam_Analysis!$B$2*Beam_Analysis!$B$3)</f>
        <v>1.6898493605640241E-5</v>
      </c>
    </row>
    <row r="310" spans="14:22" x14ac:dyDescent="0.25">
      <c r="N310">
        <v>204</v>
      </c>
      <c r="O310" s="12">
        <f t="shared" si="80"/>
        <v>30.375</v>
      </c>
      <c r="P310">
        <f t="shared" ca="1" si="81"/>
        <v>-2.6045138948292509E-2</v>
      </c>
      <c r="Q310">
        <f t="shared" si="79"/>
        <v>25.375</v>
      </c>
      <c r="R310" cm="1">
        <f t="array" aca="1" ref="R310:U310" ca="1">center_span(Beam_Analysis!$J$29,Q310,Beam_Analysis!$D$3,Beam_Analysis!$D$2,Beam_Analysis!$J$33:$O$79,Beam_Analysis!$G$5:$P$5,0)</f>
        <v>0.87998534994536048</v>
      </c>
      <c r="S310">
        <f ca="1"/>
        <v>1.3756218761229784</v>
      </c>
      <c r="T310">
        <f ca="1"/>
        <v>1.152124590421879E-4</v>
      </c>
      <c r="U310">
        <f ca="1"/>
        <v>-2.6045138948292509E-2</v>
      </c>
      <c r="V310">
        <f ca="1">(S310*12)/(Beam_Analysis!$B$2*Beam_Analysis!$B$3)</f>
        <v>1.8481261210787888E-5</v>
      </c>
    </row>
    <row r="311" spans="14:22" x14ac:dyDescent="0.25">
      <c r="N311">
        <v>205</v>
      </c>
      <c r="O311" s="12">
        <f t="shared" si="80"/>
        <v>30.5</v>
      </c>
      <c r="P311">
        <f t="shared" ca="1" si="81"/>
        <v>-2.5850994342845296E-2</v>
      </c>
      <c r="Q311">
        <f t="shared" si="79"/>
        <v>25.5</v>
      </c>
      <c r="R311" cm="1">
        <f t="array" aca="1" ref="R311:U311" ca="1">center_span(Beam_Analysis!$J$29,Q311,Beam_Analysis!$D$3,Beam_Analysis!$D$2,Beam_Analysis!$J$33:$O$79,Beam_Analysis!$G$5:$P$5,0)</f>
        <v>0.75498534994536048</v>
      </c>
      <c r="S311">
        <f ca="1"/>
        <v>1.4778075448661481</v>
      </c>
      <c r="T311">
        <f ca="1"/>
        <v>1.4399022694290119E-4</v>
      </c>
      <c r="U311">
        <f ca="1"/>
        <v>-2.5850994342845296E-2</v>
      </c>
      <c r="V311">
        <f ca="1">(S311*12)/(Beam_Analysis!$B$2*Beam_Analysis!$B$3)</f>
        <v>1.9854109424981835E-5</v>
      </c>
    </row>
    <row r="312" spans="14:22" x14ac:dyDescent="0.25">
      <c r="N312">
        <v>206</v>
      </c>
      <c r="O312" s="12">
        <f t="shared" si="80"/>
        <v>30.625</v>
      </c>
      <c r="P312">
        <f t="shared" ca="1" si="81"/>
        <v>-2.5612217351076286E-2</v>
      </c>
      <c r="Q312">
        <f t="shared" si="79"/>
        <v>25.625</v>
      </c>
      <c r="R312" cm="1">
        <f t="array" aca="1" ref="R312:U312" ca="1">center_span(Beam_Analysis!$J$29,Q312,Beam_Analysis!$D$3,Beam_Analysis!$D$2,Beam_Analysis!$J$33:$O$79,Beam_Analysis!$G$5:$P$5,0)</f>
        <v>0.62998534994536048</v>
      </c>
      <c r="S312">
        <f ca="1"/>
        <v>1.5643682136093258</v>
      </c>
      <c r="T312">
        <f ca="1"/>
        <v>1.74669827621661E-4</v>
      </c>
      <c r="U312">
        <f ca="1"/>
        <v>-2.5612217351076286E-2</v>
      </c>
      <c r="V312">
        <f ca="1">(S312*12)/(Beam_Analysis!$B$2*Beam_Analysis!$B$3)</f>
        <v>2.1017038248222022E-5</v>
      </c>
    </row>
    <row r="313" spans="14:22" x14ac:dyDescent="0.25">
      <c r="N313">
        <v>207</v>
      </c>
      <c r="O313" s="12">
        <f t="shared" si="80"/>
        <v>30.75</v>
      </c>
      <c r="P313">
        <f t="shared" ca="1" si="81"/>
        <v>-2.5326191383134272E-2</v>
      </c>
      <c r="Q313">
        <f t="shared" si="79"/>
        <v>25.75</v>
      </c>
      <c r="R313" cm="1">
        <f t="array" aca="1" ref="R313:U313" ca="1">center_span(Beam_Analysis!$J$29,Q313,Beam_Analysis!$D$3,Beam_Analysis!$D$2,Beam_Analysis!$J$33:$O$79,Beam_Analysis!$G$5:$P$5,0)</f>
        <v>0.50498534994536048</v>
      </c>
      <c r="S313">
        <f ca="1"/>
        <v>1.6353038823524937</v>
      </c>
      <c r="T313">
        <f ca="1"/>
        <v>2.069363819920747E-4</v>
      </c>
      <c r="U313">
        <f ca="1"/>
        <v>-2.5326191383134272E-2</v>
      </c>
      <c r="V313">
        <f ca="1">(S313*12)/(Beam_Analysis!$B$2*Beam_Analysis!$B$3)</f>
        <v>2.1970047680508201E-5</v>
      </c>
    </row>
    <row r="314" spans="14:22" x14ac:dyDescent="0.25">
      <c r="N314">
        <v>208</v>
      </c>
      <c r="O314" s="12">
        <f t="shared" si="80"/>
        <v>30.875</v>
      </c>
      <c r="P314">
        <f t="shared" ca="1" si="81"/>
        <v>-2.4990772167798214E-2</v>
      </c>
      <c r="Q314">
        <f t="shared" si="79"/>
        <v>25.875</v>
      </c>
      <c r="R314" cm="1">
        <f t="array" aca="1" ref="R314:U314" ca="1">center_span(Beam_Analysis!$J$29,Q314,Beam_Analysis!$D$3,Beam_Analysis!$D$2,Beam_Analysis!$J$33:$O$79,Beam_Analysis!$G$5:$P$5,0)</f>
        <v>0.37998534994536048</v>
      </c>
      <c r="S314">
        <f ca="1"/>
        <v>1.6906145510956625</v>
      </c>
      <c r="T314">
        <f ca="1"/>
        <v>2.4047501096770459E-4</v>
      </c>
      <c r="U314">
        <f ca="1"/>
        <v>-2.4990772167798214E-2</v>
      </c>
      <c r="V314">
        <f ca="1">(S314*12)/(Beam_Analysis!$B$2*Beam_Analysis!$B$3)</f>
        <v>2.2713137721840518E-5</v>
      </c>
    </row>
    <row r="315" spans="14:22" x14ac:dyDescent="0.25">
      <c r="N315">
        <v>209</v>
      </c>
      <c r="O315" s="12">
        <f t="shared" si="80"/>
        <v>31</v>
      </c>
      <c r="P315">
        <f t="shared" ca="1" si="81"/>
        <v>-2.4604287752471699E-2</v>
      </c>
      <c r="Q315">
        <f t="shared" si="79"/>
        <v>26</v>
      </c>
      <c r="R315" cm="1">
        <f t="array" aca="1" ref="R315:U315" ca="1">center_span(Beam_Analysis!$J$29,Q315,Beam_Analysis!$D$3,Beam_Analysis!$D$2,Beam_Analysis!$J$33:$O$79,Beam_Analysis!$G$5:$P$5,0)</f>
        <v>0.25498534994536048</v>
      </c>
      <c r="S315">
        <f ca="1"/>
        <v>1.7303002198388411</v>
      </c>
      <c r="T315">
        <f ca="1"/>
        <v>2.7497083546214069E-4</v>
      </c>
      <c r="U315">
        <f ca="1"/>
        <v>-2.4604287752471699E-2</v>
      </c>
      <c r="V315">
        <f ca="1">(S315*12)/(Beam_Analysis!$B$2*Beam_Analysis!$B$3)</f>
        <v>2.3246308372219091E-5</v>
      </c>
    </row>
    <row r="316" spans="14:22" x14ac:dyDescent="0.25">
      <c r="N316">
        <v>210</v>
      </c>
      <c r="O316" s="12">
        <f t="shared" si="80"/>
        <v>31.125</v>
      </c>
      <c r="P316">
        <f t="shared" ca="1" si="81"/>
        <v>-2.4165538503195347E-2</v>
      </c>
      <c r="Q316">
        <f t="shared" si="79"/>
        <v>26.125</v>
      </c>
      <c r="R316" cm="1">
        <f t="array" aca="1" ref="R316:U316" ca="1">center_span(Beam_Analysis!$J$29,Q316,Beam_Analysis!$D$3,Beam_Analysis!$D$2,Beam_Analysis!$J$33:$O$79,Beam_Analysis!$G$5:$P$5,0)</f>
        <v>0.12998534994536046</v>
      </c>
      <c r="S316">
        <f ca="1"/>
        <v>1.7543608885820046</v>
      </c>
      <c r="T316">
        <f ca="1"/>
        <v>3.1010897638891321E-4</v>
      </c>
      <c r="U316">
        <f ca="1"/>
        <v>-2.4165538503195347E-2</v>
      </c>
      <c r="V316">
        <f ca="1">(S316*12)/(Beam_Analysis!$B$2*Beam_Analysis!$B$3)</f>
        <v>2.3569559631643589E-5</v>
      </c>
    </row>
    <row r="317" spans="14:22" x14ac:dyDescent="0.25">
      <c r="N317">
        <v>211</v>
      </c>
      <c r="O317" s="12">
        <f t="shared" si="80"/>
        <v>31.25</v>
      </c>
      <c r="P317">
        <f t="shared" ca="1" si="81"/>
        <v>-2.3673797104632285E-2</v>
      </c>
      <c r="Q317">
        <f t="shared" si="79"/>
        <v>26.25</v>
      </c>
      <c r="R317" cm="1">
        <f t="array" aca="1" ref="R317:U317" ca="1">center_span(Beam_Analysis!$J$29,Q317,Beam_Analysis!$D$3,Beam_Analysis!$D$2,Beam_Analysis!$J$33:$O$79,Beam_Analysis!$G$5:$P$5,0)</f>
        <v>4.9853499453604566E-3</v>
      </c>
      <c r="S317">
        <f ca="1"/>
        <v>1.7627965573251743</v>
      </c>
      <c r="T317">
        <f ca="1"/>
        <v>3.4557455466154973E-4</v>
      </c>
      <c r="U317">
        <f ca="1"/>
        <v>-2.3673797104632285E-2</v>
      </c>
      <c r="V317">
        <f ca="1">(S317*12)/(Beam_Analysis!$B$2*Beam_Analysis!$B$3)</f>
        <v>2.3682891500114299E-5</v>
      </c>
    </row>
    <row r="318" spans="14:22" x14ac:dyDescent="0.25">
      <c r="N318">
        <v>212</v>
      </c>
      <c r="O318" s="12">
        <f t="shared" si="80"/>
        <v>31.375</v>
      </c>
      <c r="P318">
        <f t="shared" ca="1" si="81"/>
        <v>-2.3128808560081135E-2</v>
      </c>
      <c r="Q318">
        <f t="shared" si="79"/>
        <v>26.375</v>
      </c>
      <c r="R318" cm="1">
        <f t="array" aca="1" ref="R318:U318" ca="1">center_span(Beam_Analysis!$J$29,Q318,Beam_Analysis!$D$3,Beam_Analysis!$D$2,Beam_Analysis!$J$33:$O$79,Beam_Analysis!$G$5:$P$5,0)</f>
        <v>-0.12001465005463954</v>
      </c>
      <c r="S318">
        <f ca="1"/>
        <v>1.7556072260683449</v>
      </c>
      <c r="T318">
        <f ca="1"/>
        <v>3.8105269119377214E-4</v>
      </c>
      <c r="U318">
        <f ca="1"/>
        <v>-2.3128808560081135E-2</v>
      </c>
      <c r="V318">
        <f ca="1">(S318*12)/(Beam_Analysis!$B$2*Beam_Analysis!$B$3)</f>
        <v>2.3586303977631143E-5</v>
      </c>
    </row>
    <row r="319" spans="14:22" x14ac:dyDescent="0.25">
      <c r="N319">
        <v>213</v>
      </c>
      <c r="O319" s="12">
        <f t="shared" si="80"/>
        <v>31.5</v>
      </c>
      <c r="P319">
        <f t="shared" ca="1" si="81"/>
        <v>-2.253079019146452E-2</v>
      </c>
      <c r="Q319">
        <f t="shared" si="79"/>
        <v>26.5</v>
      </c>
      <c r="R319" cm="1">
        <f t="array" aca="1" ref="R319:U319" ca="1">center_span(Beam_Analysis!$J$29,Q319,Beam_Analysis!$D$3,Beam_Analysis!$D$2,Beam_Analysis!$J$33:$O$79,Beam_Analysis!$G$5:$P$5,0)</f>
        <v>-0.24501465005463954</v>
      </c>
      <c r="S319">
        <f ca="1"/>
        <v>1.732792894811519</v>
      </c>
      <c r="T319">
        <f ca="1"/>
        <v>4.1622850689900653E-4</v>
      </c>
      <c r="U319">
        <f ca="1"/>
        <v>-2.253079019146452E-2</v>
      </c>
      <c r="V319">
        <f ca="1">(S319*12)/(Beam_Analysis!$B$2*Beam_Analysis!$B$3)</f>
        <v>2.3279797064194166E-5</v>
      </c>
    </row>
    <row r="320" spans="14:22" x14ac:dyDescent="0.25">
      <c r="N320">
        <v>214</v>
      </c>
      <c r="O320" s="12">
        <f t="shared" si="80"/>
        <v>31.625</v>
      </c>
      <c r="P320">
        <f t="shared" ca="1" si="81"/>
        <v>-2.1880431639339309E-2</v>
      </c>
      <c r="Q320">
        <f t="shared" si="79"/>
        <v>26.625</v>
      </c>
      <c r="R320" cm="1">
        <f t="array" aca="1" ref="R320:U320" ca="1">center_span(Beam_Analysis!$J$29,Q320,Beam_Analysis!$D$3,Beam_Analysis!$D$2,Beam_Analysis!$J$33:$O$79,Beam_Analysis!$G$5:$P$5,0)</f>
        <v>-0.37001465005463952</v>
      </c>
      <c r="S320">
        <f ca="1"/>
        <v>1.694353563554686</v>
      </c>
      <c r="T320">
        <f ca="1"/>
        <v>4.5078712269087159E-4</v>
      </c>
      <c r="U320">
        <f ca="1"/>
        <v>-2.1880431639339309E-2</v>
      </c>
      <c r="V320">
        <f ca="1">(S320*12)/(Beam_Analysis!$B$2*Beam_Analysis!$B$3)</f>
        <v>2.2763370759803215E-5</v>
      </c>
    </row>
    <row r="321" spans="14:22" x14ac:dyDescent="0.25">
      <c r="N321">
        <v>215</v>
      </c>
      <c r="O321" s="12">
        <f t="shared" si="80"/>
        <v>31.75</v>
      </c>
      <c r="P321">
        <f t="shared" ca="1" si="81"/>
        <v>-2.1178894862891498E-2</v>
      </c>
      <c r="Q321">
        <f t="shared" si="79"/>
        <v>26.75</v>
      </c>
      <c r="R321" cm="1">
        <f t="array" aca="1" ref="R321:U321" ca="1">center_span(Beam_Analysis!$J$29,Q321,Beam_Analysis!$D$3,Beam_Analysis!$D$2,Beam_Analysis!$J$33:$O$79,Beam_Analysis!$G$5:$P$5,0)</f>
        <v>-0.49501465005463952</v>
      </c>
      <c r="S321">
        <f ca="1"/>
        <v>1.6402892322978539</v>
      </c>
      <c r="T321">
        <f ca="1"/>
        <v>4.8441365948294866E-4</v>
      </c>
      <c r="U321">
        <f ca="1"/>
        <v>-2.1178894862891498E-2</v>
      </c>
      <c r="V321">
        <f ca="1">(S321*12)/(Beam_Analysis!$B$2*Beam_Analysis!$B$3)</f>
        <v>2.2037025064458405E-5</v>
      </c>
    </row>
    <row r="322" spans="14:22" x14ac:dyDescent="0.25">
      <c r="N322">
        <v>216</v>
      </c>
      <c r="O322" s="12">
        <f t="shared" si="80"/>
        <v>31.875</v>
      </c>
      <c r="P322">
        <f t="shared" ca="1" si="81"/>
        <v>-2.0427814139934164E-2</v>
      </c>
      <c r="Q322">
        <f t="shared" si="79"/>
        <v>26.875</v>
      </c>
      <c r="R322" cm="1">
        <f t="array" aca="1" ref="R322:U322" ca="1">center_span(Beam_Analysis!$J$29,Q322,Beam_Analysis!$D$3,Beam_Analysis!$D$2,Beam_Analysis!$J$33:$O$79,Beam_Analysis!$G$5:$P$5,0)</f>
        <v>-0.62001465005463952</v>
      </c>
      <c r="S322">
        <f ca="1"/>
        <v>1.5705999010410245</v>
      </c>
      <c r="T322">
        <f ca="1"/>
        <v>5.1679323818879051E-4</v>
      </c>
      <c r="U322">
        <f ca="1"/>
        <v>-2.0427814139934164E-2</v>
      </c>
      <c r="V322">
        <f ca="1">(S322*12)/(Beam_Analysis!$B$2*Beam_Analysis!$B$3)</f>
        <v>2.1100759978159757E-5</v>
      </c>
    </row>
    <row r="323" spans="14:22" x14ac:dyDescent="0.25">
      <c r="N323">
        <v>217</v>
      </c>
      <c r="O323" s="12">
        <f t="shared" si="80"/>
        <v>32</v>
      </c>
      <c r="P323">
        <f t="shared" ca="1" si="81"/>
        <v>-1.9629296066911509E-2</v>
      </c>
      <c r="Q323">
        <f t="shared" si="79"/>
        <v>27</v>
      </c>
      <c r="R323" cm="1">
        <f t="array" aca="1" ref="R323:U323" ca="1">center_span(Beam_Analysis!$J$29,Q323,Beam_Analysis!$D$3,Beam_Analysis!$D$2,Beam_Analysis!$J$33:$O$79,Beam_Analysis!$G$5:$P$5,0)</f>
        <v>-0.74501465005463952</v>
      </c>
      <c r="S323">
        <f ca="1"/>
        <v>1.485285569784196</v>
      </c>
      <c r="T323">
        <f ca="1"/>
        <v>5.4761097972195766E-4</v>
      </c>
      <c r="U323">
        <f ca="1"/>
        <v>-1.9629296066911509E-2</v>
      </c>
      <c r="V323">
        <f ca="1">(S323*12)/(Beam_Analysis!$B$2*Beam_Analysis!$B$3)</f>
        <v>1.9954575500907247E-5</v>
      </c>
    </row>
    <row r="324" spans="14:22" x14ac:dyDescent="0.25">
      <c r="N324">
        <v>218</v>
      </c>
      <c r="O324" s="12">
        <f t="shared" si="80"/>
        <v>32.125</v>
      </c>
      <c r="P324">
        <f t="shared" ca="1" si="81"/>
        <v>-1.878591955889819E-2</v>
      </c>
      <c r="Q324">
        <f t="shared" si="79"/>
        <v>27.125</v>
      </c>
      <c r="R324" cm="1">
        <f t="array" aca="1" ref="R324:U324" ca="1">center_span(Beam_Analysis!$J$29,Q324,Beam_Analysis!$D$3,Beam_Analysis!$D$2,Beam_Analysis!$J$33:$O$79,Beam_Analysis!$G$5:$P$5,0)</f>
        <v>-0.87001465005463952</v>
      </c>
      <c r="S324">
        <f ca="1"/>
        <v>1.384346238527371</v>
      </c>
      <c r="T324">
        <f ca="1"/>
        <v>5.7655200499600722E-4</v>
      </c>
      <c r="U324">
        <f ca="1"/>
        <v>-1.878591955889819E-2</v>
      </c>
      <c r="V324">
        <f ca="1">(S324*12)/(Beam_Analysis!$B$2*Beam_Analysis!$B$3)</f>
        <v>1.8598471632700908E-5</v>
      </c>
    </row>
    <row r="325" spans="14:22" x14ac:dyDescent="0.25">
      <c r="N325">
        <v>219</v>
      </c>
      <c r="O325" s="12">
        <f t="shared" si="80"/>
        <v>32.25</v>
      </c>
      <c r="P325">
        <f t="shared" ca="1" si="81"/>
        <v>-1.7900735849596242E-2</v>
      </c>
      <c r="Q325">
        <f t="shared" si="79"/>
        <v>27.25</v>
      </c>
      <c r="R325" cm="1">
        <f t="array" aca="1" ref="R325:U325" ca="1">center_span(Beam_Analysis!$J$29,Q325,Beam_Analysis!$D$3,Beam_Analysis!$D$2,Beam_Analysis!$J$33:$O$79,Beam_Analysis!$G$5:$P$5,0)</f>
        <v>-0.99501465005463952</v>
      </c>
      <c r="S325">
        <f ca="1"/>
        <v>1.2677819072705301</v>
      </c>
      <c r="T325">
        <f ca="1"/>
        <v>6.0330143492457865E-4</v>
      </c>
      <c r="U325">
        <f ca="1"/>
        <v>-1.7900735849596242E-2</v>
      </c>
      <c r="V325">
        <f ca="1">(S325*12)/(Beam_Analysis!$B$2*Beam_Analysis!$B$3)</f>
        <v>1.7032448373540484E-5</v>
      </c>
    </row>
    <row r="326" spans="14:22" x14ac:dyDescent="0.25">
      <c r="N326">
        <v>220</v>
      </c>
      <c r="O326" s="12">
        <f t="shared" si="80"/>
        <v>32.375</v>
      </c>
      <c r="P326">
        <f t="shared" ca="1" si="81"/>
        <v>-1.6977268491339736E-2</v>
      </c>
      <c r="Q326">
        <f t="shared" ref="Q326:Q346" si="82">(N326-1)*$Q$105</f>
        <v>27.375</v>
      </c>
      <c r="R326" cm="1">
        <f t="array" aca="1" ref="R326:U326" ca="1">center_span(Beam_Analysis!$J$29,Q326,Beam_Analysis!$D$3,Beam_Analysis!$D$2,Beam_Analysis!$J$33:$O$79,Beam_Analysis!$G$5:$P$5,0)</f>
        <v>-1.1200146500546395</v>
      </c>
      <c r="S326">
        <f ca="1"/>
        <v>1.1355925760137096</v>
      </c>
      <c r="T326">
        <f ca="1"/>
        <v>6.2754439042115098E-4</v>
      </c>
      <c r="U326">
        <f ca="1"/>
        <v>-1.6977268491339736E-2</v>
      </c>
      <c r="V326">
        <f ca="1">(S326*12)/(Beam_Analysis!$B$2*Beam_Analysis!$B$3)</f>
        <v>1.525650572342646E-5</v>
      </c>
    </row>
    <row r="327" spans="14:22" x14ac:dyDescent="0.25">
      <c r="N327">
        <v>221</v>
      </c>
      <c r="O327" s="12">
        <f t="shared" si="80"/>
        <v>32.5</v>
      </c>
      <c r="P327">
        <f t="shared" ca="1" si="81"/>
        <v>-1.6019513355092663E-2</v>
      </c>
      <c r="Q327">
        <f t="shared" si="82"/>
        <v>27.5</v>
      </c>
      <c r="R327" cm="1">
        <f t="array" aca="1" ref="R327:U327" ca="1">center_span(Beam_Analysis!$J$29,Q327,Beam_Analysis!$D$3,Beam_Analysis!$D$2,Beam_Analysis!$J$33:$O$79,Beam_Analysis!$G$5:$P$5,0)</f>
        <v>-1.2450146500546395</v>
      </c>
      <c r="S327">
        <f ca="1"/>
        <v>0.98777824475687659</v>
      </c>
      <c r="T327">
        <f ca="1"/>
        <v>6.4896599239934634E-4</v>
      </c>
      <c r="U327">
        <f ca="1"/>
        <v>-1.6019513355092663E-2</v>
      </c>
      <c r="V327">
        <f ca="1">(S327*12)/(Beam_Analysis!$B$2*Beam_Analysis!$B$3)</f>
        <v>1.3270643682358396E-5</v>
      </c>
    </row>
    <row r="328" spans="14:22" x14ac:dyDescent="0.25">
      <c r="N328">
        <v>222</v>
      </c>
      <c r="O328" s="12">
        <f t="shared" si="80"/>
        <v>32.625</v>
      </c>
      <c r="P328">
        <f t="shared" ca="1" si="81"/>
        <v>-1.5031938630444761E-2</v>
      </c>
      <c r="Q328">
        <f t="shared" si="82"/>
        <v>27.625</v>
      </c>
      <c r="R328" cm="1">
        <f t="array" aca="1" ref="R328:U328" ca="1">center_span(Beam_Analysis!$J$29,Q328,Beam_Analysis!$D$3,Beam_Analysis!$D$2,Beam_Analysis!$J$33:$O$79,Beam_Analysis!$G$5:$P$5,0)</f>
        <v>-1.3700146500546395</v>
      </c>
      <c r="S328">
        <f ca="1"/>
        <v>0.82433891350005251</v>
      </c>
      <c r="T328">
        <f ca="1"/>
        <v>6.6725136177278512E-4</v>
      </c>
      <c r="U328">
        <f ca="1"/>
        <v>-1.5031938630444761E-2</v>
      </c>
      <c r="V328">
        <f ca="1">(S328*12)/(Beam_Analysis!$B$2*Beam_Analysis!$B$3)</f>
        <v>1.1074862250336577E-5</v>
      </c>
    </row>
    <row r="329" spans="14:22" x14ac:dyDescent="0.25">
      <c r="N329">
        <v>223</v>
      </c>
      <c r="O329" s="12">
        <f t="shared" si="80"/>
        <v>32.75</v>
      </c>
      <c r="P329">
        <f t="shared" ca="1" si="81"/>
        <v>-1.4019484825619391E-2</v>
      </c>
      <c r="Q329">
        <f t="shared" si="82"/>
        <v>27.75</v>
      </c>
      <c r="R329" cm="1">
        <f t="array" aca="1" ref="R329:U329" ca="1">center_span(Beam_Analysis!$J$29,Q329,Beam_Analysis!$D$3,Beam_Analysis!$D$2,Beam_Analysis!$J$33:$O$79,Beam_Analysis!$G$5:$P$5,0)</f>
        <v>-1.4950146500546395</v>
      </c>
      <c r="S329">
        <f ca="1"/>
        <v>0.6452745822432151</v>
      </c>
      <c r="T329">
        <f ca="1"/>
        <v>6.8208561945489604E-4</v>
      </c>
      <c r="U329">
        <f ca="1"/>
        <v>-1.4019484825619391E-2</v>
      </c>
      <c r="V329">
        <f ca="1">(S329*12)/(Beam_Analysis!$B$2*Beam_Analysis!$B$3)</f>
        <v>8.6691614273607038E-6</v>
      </c>
    </row>
    <row r="330" spans="14:22" x14ac:dyDescent="0.25">
      <c r="N330">
        <v>224</v>
      </c>
      <c r="O330" s="12">
        <f t="shared" si="80"/>
        <v>32.875</v>
      </c>
      <c r="P330">
        <f t="shared" ca="1" si="81"/>
        <v>-1.2987564767468415E-2</v>
      </c>
      <c r="Q330">
        <f t="shared" si="82"/>
        <v>27.875</v>
      </c>
      <c r="R330" cm="1">
        <f t="array" aca="1" ref="R330:U330" ca="1">center_span(Beam_Analysis!$J$29,Q330,Beam_Analysis!$D$3,Beam_Analysis!$D$2,Beam_Analysis!$J$33:$O$79,Beam_Analysis!$G$5:$P$5,0)</f>
        <v>-1.6200146500546395</v>
      </c>
      <c r="S330">
        <f ca="1"/>
        <v>0.45058525098638835</v>
      </c>
      <c r="T330">
        <f ca="1"/>
        <v>6.9315388635938537E-4</v>
      </c>
      <c r="U330">
        <f ca="1"/>
        <v>-1.2987564767468415E-2</v>
      </c>
      <c r="V330">
        <f ca="1">(S330*12)/(Beam_Analysis!$B$2*Beam_Analysis!$B$3)</f>
        <v>6.0535412134311017E-6</v>
      </c>
    </row>
    <row r="331" spans="14:22" x14ac:dyDescent="0.25">
      <c r="N331">
        <v>225</v>
      </c>
      <c r="O331" s="12">
        <f t="shared" si="80"/>
        <v>33</v>
      </c>
      <c r="P331">
        <f t="shared" ca="1" si="81"/>
        <v>-1.1942063601474026E-2</v>
      </c>
      <c r="Q331">
        <f t="shared" si="82"/>
        <v>28</v>
      </c>
      <c r="R331" cm="1">
        <f t="array" aca="1" ref="R331:U331" ca="1">center_span(Beam_Analysis!$J$29,Q331,Beam_Analysis!$D$3,Beam_Analysis!$D$2,Beam_Analysis!$J$33:$O$79,Beam_Analysis!$G$5:$P$5,0)</f>
        <v>-1.7450146500546395</v>
      </c>
      <c r="S331">
        <f ca="1"/>
        <v>0.24027091972956161</v>
      </c>
      <c r="T331">
        <f ca="1"/>
        <v>7.0014128339969828E-4</v>
      </c>
      <c r="U331">
        <f ca="1"/>
        <v>-1.1942063601474026E-2</v>
      </c>
      <c r="V331">
        <f ca="1">(S331*12)/(Beam_Analysis!$B$2*Beam_Analysis!$B$3)</f>
        <v>3.2280016085476256E-6</v>
      </c>
    </row>
    <row r="332" spans="14:22" x14ac:dyDescent="0.25">
      <c r="N332">
        <v>226</v>
      </c>
      <c r="O332" s="12">
        <f t="shared" si="80"/>
        <v>33.125</v>
      </c>
      <c r="P332">
        <f t="shared" ca="1" si="81"/>
        <v>-1.0889338791744668E-2</v>
      </c>
      <c r="Q332">
        <f t="shared" si="82"/>
        <v>28.125</v>
      </c>
      <c r="R332" cm="1">
        <f t="array" aca="1" ref="R332:U332" ca="1">center_span(Beam_Analysis!$J$29,Q332,Beam_Analysis!$D$3,Beam_Analysis!$D$2,Beam_Analysis!$J$33:$O$79,Beam_Analysis!$G$5:$P$5,0)</f>
        <v>-1.8700146500546395</v>
      </c>
      <c r="S332">
        <f ca="1"/>
        <v>1.433158847272864E-2</v>
      </c>
      <c r="T332">
        <f ca="1"/>
        <v>7.0273293148951765E-4</v>
      </c>
      <c r="U332">
        <f ca="1"/>
        <v>-1.0889338791744668E-2</v>
      </c>
      <c r="V332">
        <f ca="1">(S332*12)/(Beam_Analysis!$B$2*Beam_Analysis!$B$3)</f>
        <v>1.9254261271019221E-7</v>
      </c>
    </row>
    <row r="333" spans="14:22" x14ac:dyDescent="0.25">
      <c r="N333">
        <v>227</v>
      </c>
      <c r="O333" s="12">
        <f t="shared" si="80"/>
        <v>33.25</v>
      </c>
      <c r="P333">
        <f t="shared" ca="1" si="81"/>
        <v>-9.8362201210235936E-3</v>
      </c>
      <c r="Q333">
        <f t="shared" si="82"/>
        <v>28.25</v>
      </c>
      <c r="R333" cm="1">
        <f t="array" aca="1" ref="R333:U333" ca="1">center_span(Beam_Analysis!$J$29,Q333,Beam_Analysis!$D$3,Beam_Analysis!$D$2,Beam_Analysis!$J$33:$O$79,Beam_Analysis!$G$5:$P$5,0)</f>
        <v>-1.9950146500546395</v>
      </c>
      <c r="S333">
        <f ca="1"/>
        <v>-0.227232742784099</v>
      </c>
      <c r="T333">
        <f ca="1"/>
        <v>7.006139515423563E-4</v>
      </c>
      <c r="U333">
        <f ca="1"/>
        <v>-9.8362201210235936E-3</v>
      </c>
      <c r="V333">
        <f ca="1">(S333*12)/(Beam_Analysis!$B$2*Beam_Analysis!$B$3)</f>
        <v>-3.0528357740810435E-6</v>
      </c>
    </row>
    <row r="334" spans="14:22" x14ac:dyDescent="0.25">
      <c r="N334">
        <v>228</v>
      </c>
      <c r="O334" s="12">
        <f t="shared" si="80"/>
        <v>33.375</v>
      </c>
      <c r="P334">
        <f t="shared" ca="1" si="81"/>
        <v>-8.7900096906795983E-3</v>
      </c>
      <c r="Q334">
        <f t="shared" si="82"/>
        <v>28.375</v>
      </c>
      <c r="R334" cm="1">
        <f t="array" aca="1" ref="R334:U334" ca="1">center_span(Beam_Analysis!$J$29,Q334,Beam_Analysis!$D$3,Beam_Analysis!$D$2,Beam_Analysis!$J$33:$O$79,Beam_Analysis!$G$5:$P$5,0)</f>
        <v>-2.1200146500546397</v>
      </c>
      <c r="S334">
        <f ca="1"/>
        <v>-0.48442207404093196</v>
      </c>
      <c r="T334">
        <f ca="1"/>
        <v>6.9346946447181555E-4</v>
      </c>
      <c r="U334">
        <f ca="1"/>
        <v>-8.7900096906795983E-3</v>
      </c>
      <c r="V334">
        <f ca="1">(S334*12)/(Beam_Analysis!$B$2*Beam_Analysis!$B$3)</f>
        <v>-6.5081335518262246E-6</v>
      </c>
    </row>
    <row r="335" spans="14:22" x14ac:dyDescent="0.25">
      <c r="N335">
        <v>229</v>
      </c>
      <c r="O335" s="12">
        <f t="shared" si="80"/>
        <v>33.5</v>
      </c>
      <c r="P335">
        <f t="shared" ca="1" si="81"/>
        <v>-7.7584819207122679E-3</v>
      </c>
      <c r="Q335">
        <f t="shared" si="82"/>
        <v>28.5</v>
      </c>
      <c r="R335" cm="1">
        <f t="array" aca="1" ref="R335:U335" ca="1">center_span(Beam_Analysis!$J$29,Q335,Beam_Analysis!$D$3,Beam_Analysis!$D$2,Beam_Analysis!$J$33:$O$79,Beam_Analysis!$G$5:$P$5,0)</f>
        <v>-2.2450146500546397</v>
      </c>
      <c r="S335">
        <f ca="1"/>
        <v>-0.75723640529776048</v>
      </c>
      <c r="T335">
        <f ca="1"/>
        <v>6.8098459119141346E-4</v>
      </c>
      <c r="U335">
        <f ca="1"/>
        <v>-7.7584819207122679E-3</v>
      </c>
      <c r="V335">
        <f ca="1">(S335*12)/(Beam_Analysis!$B$2*Beam_Analysis!$B$3)</f>
        <v>-1.0173350720525219E-5</v>
      </c>
    </row>
    <row r="336" spans="14:22" x14ac:dyDescent="0.25">
      <c r="N336">
        <v>230</v>
      </c>
      <c r="O336" s="12">
        <f t="shared" si="80"/>
        <v>33.625</v>
      </c>
      <c r="P336">
        <f t="shared" ca="1" si="81"/>
        <v>-6.7498835497532272E-3</v>
      </c>
      <c r="Q336">
        <f t="shared" si="82"/>
        <v>28.625</v>
      </c>
      <c r="R336" cm="1">
        <f t="array" aca="1" ref="R336:U336" ca="1">center_span(Beam_Analysis!$J$29,Q336,Beam_Analysis!$D$3,Beam_Analysis!$D$2,Beam_Analysis!$J$33:$O$79,Beam_Analysis!$G$5:$P$5,0)</f>
        <v>-2.3700146500546397</v>
      </c>
      <c r="S336">
        <f ca="1"/>
        <v>-1.0456757365545939</v>
      </c>
      <c r="T336">
        <f ca="1"/>
        <v>6.6284445261474007E-4</v>
      </c>
      <c r="U336">
        <f ca="1"/>
        <v>-6.7498835497532272E-3</v>
      </c>
      <c r="V336">
        <f ca="1">(S336*12)/(Beam_Analysis!$B$2*Beam_Analysis!$B$3)</f>
        <v>-1.4048487280178154E-5</v>
      </c>
    </row>
    <row r="337" spans="14:22" x14ac:dyDescent="0.25">
      <c r="N337">
        <v>231</v>
      </c>
      <c r="O337" s="12">
        <f t="shared" si="80"/>
        <v>33.75</v>
      </c>
      <c r="P337">
        <f t="shared" ca="1" si="81"/>
        <v>-5.7729336350599361E-3</v>
      </c>
      <c r="Q337">
        <f t="shared" si="82"/>
        <v>28.75</v>
      </c>
      <c r="R337" cm="1">
        <f t="array" aca="1" ref="R337:U337" ca="1">center_span(Beam_Analysis!$J$29,Q337,Beam_Analysis!$D$3,Beam_Analysis!$D$2,Beam_Analysis!$J$33:$O$79,Beam_Analysis!$G$5:$P$5,0)</f>
        <v>-2.4950146500546397</v>
      </c>
      <c r="S337">
        <f ca="1"/>
        <v>-1.3497400678114202</v>
      </c>
      <c r="T337">
        <f ca="1"/>
        <v>6.3873416965541056E-4</v>
      </c>
      <c r="U337">
        <f ca="1"/>
        <v>-5.7729336350599361E-3</v>
      </c>
      <c r="V337">
        <f ca="1">(S337*12)/(Beam_Analysis!$B$2*Beam_Analysis!$B$3)</f>
        <v>-1.8133543230784866E-5</v>
      </c>
    </row>
    <row r="338" spans="14:22" x14ac:dyDescent="0.25">
      <c r="N338">
        <v>232</v>
      </c>
      <c r="O338" s="12">
        <f t="shared" si="80"/>
        <v>33.875</v>
      </c>
      <c r="P338">
        <f t="shared" ca="1" si="81"/>
        <v>-4.8368235525217892E-3</v>
      </c>
      <c r="Q338">
        <f t="shared" si="82"/>
        <v>28.875</v>
      </c>
      <c r="R338" cm="1">
        <f t="array" aca="1" ref="R338:U338" ca="1">center_span(Beam_Analysis!$J$29,Q338,Beam_Analysis!$D$3,Beam_Analysis!$D$2,Beam_Analysis!$J$33:$O$79,Beam_Analysis!$G$5:$P$5,0)</f>
        <v>-2.6200146500546397</v>
      </c>
      <c r="S338">
        <f ca="1"/>
        <v>-1.6694293990682514</v>
      </c>
      <c r="T338">
        <f ca="1"/>
        <v>6.0833886322690916E-4</v>
      </c>
      <c r="U338">
        <f ca="1"/>
        <v>-4.8368235525217892E-3</v>
      </c>
      <c r="V338">
        <f ca="1">(S338*12)/(Beam_Analysis!$B$2*Beam_Analysis!$B$3)</f>
        <v>-2.2428518572345519E-5</v>
      </c>
    </row>
    <row r="339" spans="14:22" x14ac:dyDescent="0.25">
      <c r="N339">
        <v>233</v>
      </c>
      <c r="O339" s="12">
        <f t="shared" si="80"/>
        <v>34</v>
      </c>
      <c r="P339">
        <f t="shared" ca="1" si="81"/>
        <v>-3.95121699665716E-3</v>
      </c>
      <c r="Q339">
        <f t="shared" si="82"/>
        <v>29</v>
      </c>
      <c r="R339" cm="1">
        <f t="array" aca="1" ref="R339:U339" ca="1">center_span(Beam_Analysis!$J$29,Q339,Beam_Analysis!$D$3,Beam_Analysis!$D$2,Beam_Analysis!$J$33:$O$79,Beam_Analysis!$G$5:$P$5,0)</f>
        <v>-2.7450146500546397</v>
      </c>
      <c r="S339">
        <f ca="1"/>
        <v>-2.0047437303250777</v>
      </c>
      <c r="T339">
        <f ca="1"/>
        <v>5.7134365424288576E-4</v>
      </c>
      <c r="U339">
        <f ca="1"/>
        <v>-3.95121699665716E-3</v>
      </c>
      <c r="V339">
        <f ca="1">(S339*12)/(Beam_Analysis!$B$2*Beam_Analysis!$B$3)</f>
        <v>-2.6933413304859976E-5</v>
      </c>
    </row>
    <row r="340" spans="14:22" x14ac:dyDescent="0.25">
      <c r="N340">
        <v>234</v>
      </c>
      <c r="O340" s="12">
        <f t="shared" si="80"/>
        <v>34.125</v>
      </c>
      <c r="P340">
        <f t="shared" ca="1" si="81"/>
        <v>-3.1262499806141604E-3</v>
      </c>
      <c r="Q340">
        <f t="shared" si="82"/>
        <v>29.125</v>
      </c>
      <c r="R340" cm="1">
        <f t="array" aca="1" ref="R340:U340" ca="1">center_span(Beam_Analysis!$J$29,Q340,Beam_Analysis!$D$3,Beam_Analysis!$D$2,Beam_Analysis!$J$33:$O$79,Beam_Analysis!$G$5:$P$5,0)</f>
        <v>-2.8700146500546397</v>
      </c>
      <c r="S340">
        <f ca="1"/>
        <v>-2.3556830615819084</v>
      </c>
      <c r="T340">
        <f ca="1"/>
        <v>5.2743366361686361E-4</v>
      </c>
      <c r="U340">
        <f ca="1"/>
        <v>-3.1262499806141604E-3</v>
      </c>
      <c r="V340">
        <f ca="1">(S340*12)/(Beam_Analysis!$B$2*Beam_Analysis!$B$3)</f>
        <v>-3.1648227428328373E-5</v>
      </c>
    </row>
    <row r="341" spans="14:22" x14ac:dyDescent="0.25">
      <c r="N341">
        <v>235</v>
      </c>
      <c r="O341" s="12">
        <f t="shared" si="80"/>
        <v>34.25</v>
      </c>
      <c r="P341">
        <f t="shared" ca="1" si="81"/>
        <v>-2.3725308361701204E-3</v>
      </c>
      <c r="Q341">
        <f t="shared" si="82"/>
        <v>29.25</v>
      </c>
      <c r="R341" cm="1">
        <f t="array" aca="1" ref="R341:U341" ca="1">center_span(Beam_Analysis!$J$29,Q341,Beam_Analysis!$D$3,Beam_Analysis!$D$2,Beam_Analysis!$J$33:$O$79,Beam_Analysis!$G$5:$P$5,0)</f>
        <v>-2.9950146500546397</v>
      </c>
      <c r="S341">
        <f ca="1"/>
        <v>-2.7222473928387387</v>
      </c>
      <c r="T341">
        <f ca="1"/>
        <v>4.7629401226240847E-4</v>
      </c>
      <c r="U341">
        <f ca="1"/>
        <v>-2.3725308361701204E-3</v>
      </c>
      <c r="V341">
        <f ca="1">(S341*12)/(Beam_Analysis!$B$2*Beam_Analysis!$B$3)</f>
        <v>-3.6572960942750632E-5</v>
      </c>
    </row>
    <row r="342" spans="14:22" x14ac:dyDescent="0.25">
      <c r="N342">
        <v>236</v>
      </c>
      <c r="O342" s="12">
        <f t="shared" si="80"/>
        <v>34.375</v>
      </c>
      <c r="P342">
        <f t="shared" ca="1" si="81"/>
        <v>-1.7011402137340551E-3</v>
      </c>
      <c r="Q342">
        <f t="shared" si="82"/>
        <v>29.375</v>
      </c>
      <c r="R342" cm="1">
        <f t="array" aca="1" ref="R342:U342" ca="1">center_span(Beam_Analysis!$J$29,Q342,Beam_Analysis!$D$3,Beam_Analysis!$D$2,Beam_Analysis!$J$33:$O$79,Beam_Analysis!$G$5:$P$5,0)</f>
        <v>-3.1200146500546397</v>
      </c>
      <c r="S342">
        <f ca="1"/>
        <v>-3.104436724095569</v>
      </c>
      <c r="T342">
        <f ca="1"/>
        <v>4.1760982109313206E-4</v>
      </c>
      <c r="U342">
        <f ca="1"/>
        <v>-1.7011402137340551E-3</v>
      </c>
      <c r="V342">
        <f ca="1">(S342*12)/(Beam_Analysis!$B$2*Beam_Analysis!$B$3)</f>
        <v>-4.1707613848126767E-5</v>
      </c>
    </row>
    <row r="343" spans="14:22" x14ac:dyDescent="0.25">
      <c r="N343">
        <v>237</v>
      </c>
      <c r="O343" s="12">
        <f t="shared" si="80"/>
        <v>34.5</v>
      </c>
      <c r="P343">
        <f t="shared" ca="1" si="81"/>
        <v>-1.123631082341793E-3</v>
      </c>
      <c r="Q343">
        <f t="shared" si="82"/>
        <v>29.5</v>
      </c>
      <c r="R343" cm="1">
        <f t="array" aca="1" ref="R343:U343" ca="1">center_span(Beam_Analysis!$J$29,Q343,Beam_Analysis!$D$3,Beam_Analysis!$D$2,Beam_Analysis!$J$33:$O$79,Beam_Analysis!$G$5:$P$5,0)</f>
        <v>-3.2450146500546397</v>
      </c>
      <c r="S343">
        <f ca="1"/>
        <v>-3.5022510553523976</v>
      </c>
      <c r="T343">
        <f ca="1"/>
        <v>3.5106621102257672E-4</v>
      </c>
      <c r="U343">
        <f ca="1"/>
        <v>-1.123631082341793E-3</v>
      </c>
      <c r="V343">
        <f ca="1">(S343*12)/(Beam_Analysis!$B$2*Beam_Analysis!$B$3)</f>
        <v>-4.7052186144456751E-5</v>
      </c>
    </row>
    <row r="344" spans="14:22" x14ac:dyDescent="0.25">
      <c r="N344">
        <v>238</v>
      </c>
      <c r="O344" s="12">
        <f t="shared" si="80"/>
        <v>34.625</v>
      </c>
      <c r="P344">
        <f t="shared" ca="1" si="81"/>
        <v>-6.5202872966025477E-4</v>
      </c>
      <c r="Q344">
        <f t="shared" si="82"/>
        <v>29.625</v>
      </c>
      <c r="R344" cm="1">
        <f t="array" aca="1" ref="R344:U344" ca="1">center_span(Beam_Analysis!$J$29,Q344,Beam_Analysis!$D$3,Beam_Analysis!$D$2,Beam_Analysis!$J$33:$O$79,Beam_Analysis!$G$5:$P$5,0)</f>
        <v>-3.3700146500546397</v>
      </c>
      <c r="S344">
        <f ca="1"/>
        <v>-3.9156903866092274</v>
      </c>
      <c r="T344">
        <f ca="1"/>
        <v>2.7634830296430039E-4</v>
      </c>
      <c r="U344">
        <f ca="1"/>
        <v>-6.5202872966025477E-4</v>
      </c>
      <c r="V344">
        <f ca="1">(S344*12)/(Beam_Analysis!$B$2*Beam_Analysis!$B$3)</f>
        <v>-5.2606677831740624E-5</v>
      </c>
    </row>
    <row r="345" spans="14:22" x14ac:dyDescent="0.25">
      <c r="N345">
        <v>239</v>
      </c>
      <c r="O345" s="12">
        <f t="shared" si="80"/>
        <v>34.75</v>
      </c>
      <c r="P345">
        <f t="shared" ca="1" si="81"/>
        <v>-2.9883076198597945E-4</v>
      </c>
      <c r="Q345">
        <f t="shared" si="82"/>
        <v>29.75</v>
      </c>
      <c r="R345" cm="1">
        <f t="array" aca="1" ref="R345:U345" ca="1">center_span(Beam_Analysis!$J$29,Q345,Beam_Analysis!$D$3,Beam_Analysis!$D$2,Beam_Analysis!$J$33:$O$79,Beam_Analysis!$G$5:$P$5,0)</f>
        <v>-3.4950146500546397</v>
      </c>
      <c r="S345">
        <f ca="1"/>
        <v>-4.3447547178660564</v>
      </c>
      <c r="T345">
        <f ca="1"/>
        <v>1.9314121783188185E-4</v>
      </c>
      <c r="U345">
        <f ca="1"/>
        <v>-2.9883076198597945E-4</v>
      </c>
      <c r="V345">
        <f ca="1">(S345*12)/(Beam_Analysis!$B$2*Beam_Analysis!$B$3)</f>
        <v>-5.8371088909978366E-5</v>
      </c>
    </row>
    <row r="346" spans="14:22" x14ac:dyDescent="0.25">
      <c r="N346">
        <v>240</v>
      </c>
      <c r="O346" s="12">
        <f t="shared" si="80"/>
        <v>34.875</v>
      </c>
      <c r="P346">
        <f t="shared" ca="1" si="81"/>
        <v>-7.7007104244987239E-5</v>
      </c>
      <c r="Q346">
        <f t="shared" si="82"/>
        <v>29.875</v>
      </c>
      <c r="R346" cm="1">
        <f t="array" aca="1" ref="R346:U346" ca="1">center_span(Beam_Analysis!$J$29,Q346,Beam_Analysis!$D$3,Beam_Analysis!$D$2,Beam_Analysis!$J$33:$O$79,Beam_Analysis!$G$5:$P$5,0)</f>
        <v>-3.6200146500546397</v>
      </c>
      <c r="S346">
        <f ca="1"/>
        <v>-4.7894440491228867</v>
      </c>
      <c r="T346">
        <f ca="1"/>
        <v>1.0113007653887035E-4</v>
      </c>
      <c r="U346">
        <f ca="1"/>
        <v>-7.7007104244987239E-5</v>
      </c>
      <c r="V346">
        <f ca="1">(S346*12)/(Beam_Analysis!$B$2*Beam_Analysis!$B$3)</f>
        <v>-6.434541937916999E-5</v>
      </c>
    </row>
    <row r="347" spans="14:22" x14ac:dyDescent="0.25">
      <c r="N347">
        <v>241</v>
      </c>
      <c r="O347" s="12">
        <f t="shared" si="80"/>
        <v>35</v>
      </c>
      <c r="P347">
        <f t="shared" ca="1" si="81"/>
        <v>7.1405487881695294E-15</v>
      </c>
      <c r="Q347">
        <f>MIN((N347-1)*$Q$105,Beam_Analysis!J29)</f>
        <v>30</v>
      </c>
      <c r="R347" cm="1">
        <f t="array" aca="1" ref="R347:U347" ca="1">center_span(Beam_Analysis!$J$29,Q347,Beam_Analysis!$D$3,Beam_Analysis!$D$2,Beam_Analysis!$J$33:$O$79,Beam_Analysis!$G$5:$P$5,0)</f>
        <v>-3.7450146500546397</v>
      </c>
      <c r="S347">
        <f ca="1"/>
        <v>-5.2497583803797161</v>
      </c>
      <c r="T347">
        <f ca="1"/>
        <v>-1.1119577481011333E-15</v>
      </c>
      <c r="U347">
        <f ca="1"/>
        <v>7.1405487881695294E-15</v>
      </c>
      <c r="V347">
        <f ca="1">(S347*12)/(Beam_Analysis!$B$2*Beam_Analysis!$B$3)</f>
        <v>-7.0529669239315483E-5</v>
      </c>
    </row>
    <row r="348" spans="14:22" x14ac:dyDescent="0.25">
      <c r="O348" s="12"/>
      <c r="Q348" s="102"/>
    </row>
    <row r="349" spans="14:22" x14ac:dyDescent="0.25">
      <c r="O349" s="12"/>
      <c r="Q349" s="102"/>
    </row>
    <row r="350" spans="14:22" x14ac:dyDescent="0.25">
      <c r="O350" s="12"/>
      <c r="Q350" s="102"/>
    </row>
    <row r="351" spans="14:22" x14ac:dyDescent="0.25">
      <c r="O351" s="12"/>
      <c r="Q351" s="102"/>
    </row>
    <row r="352" spans="14:22" x14ac:dyDescent="0.25">
      <c r="O352" s="12"/>
      <c r="Q352" s="102"/>
    </row>
    <row r="353" spans="15:17" x14ac:dyDescent="0.25">
      <c r="O353" s="12"/>
      <c r="Q353" s="102"/>
    </row>
    <row r="354" spans="15:17" x14ac:dyDescent="0.25">
      <c r="O354" s="12"/>
      <c r="Q354" s="102"/>
    </row>
    <row r="355" spans="15:17" x14ac:dyDescent="0.25">
      <c r="O355" s="12"/>
      <c r="Q355" s="102"/>
    </row>
    <row r="356" spans="15:17" x14ac:dyDescent="0.25">
      <c r="Q356" s="102"/>
    </row>
    <row r="357" spans="15:17" x14ac:dyDescent="0.25">
      <c r="Q357" s="102"/>
    </row>
    <row r="358" spans="15:17" x14ac:dyDescent="0.25">
      <c r="Q358" s="102"/>
    </row>
    <row r="359" spans="15:17" x14ac:dyDescent="0.25">
      <c r="Q359" s="102"/>
    </row>
    <row r="360" spans="15:17" x14ac:dyDescent="0.25">
      <c r="Q360" s="102"/>
    </row>
    <row r="361" spans="15:17" x14ac:dyDescent="0.25">
      <c r="Q361" s="102"/>
    </row>
    <row r="362" spans="15:17" x14ac:dyDescent="0.25">
      <c r="Q362" s="102"/>
    </row>
    <row r="363" spans="15:17" x14ac:dyDescent="0.25">
      <c r="Q363" s="102"/>
    </row>
    <row r="364" spans="15:17" x14ac:dyDescent="0.25">
      <c r="Q364" s="102"/>
    </row>
    <row r="365" spans="15:17" x14ac:dyDescent="0.25">
      <c r="Q365" s="102"/>
    </row>
    <row r="366" spans="15:17" x14ac:dyDescent="0.25">
      <c r="Q366" s="102"/>
    </row>
    <row r="367" spans="15:17" x14ac:dyDescent="0.25">
      <c r="Q367" s="102"/>
    </row>
    <row r="368" spans="15:17" x14ac:dyDescent="0.25">
      <c r="Q368" s="102"/>
    </row>
    <row r="369" spans="17:17" x14ac:dyDescent="0.25">
      <c r="Q369" s="102"/>
    </row>
    <row r="370" spans="17:17" x14ac:dyDescent="0.25">
      <c r="Q370" s="102"/>
    </row>
    <row r="371" spans="17:17" x14ac:dyDescent="0.25">
      <c r="Q371" s="102"/>
    </row>
    <row r="372" spans="17:17" x14ac:dyDescent="0.25">
      <c r="Q372" s="102"/>
    </row>
    <row r="373" spans="17:17" x14ac:dyDescent="0.25">
      <c r="Q373" s="102"/>
    </row>
    <row r="374" spans="17:17" x14ac:dyDescent="0.25">
      <c r="Q374" s="102"/>
    </row>
    <row r="375" spans="17:17" x14ac:dyDescent="0.25">
      <c r="Q375" s="102"/>
    </row>
    <row r="376" spans="17:17" x14ac:dyDescent="0.25">
      <c r="Q376" s="102"/>
    </row>
    <row r="377" spans="17:17" x14ac:dyDescent="0.25">
      <c r="Q377" s="102"/>
    </row>
    <row r="378" spans="17:17" x14ac:dyDescent="0.25">
      <c r="Q378" s="102"/>
    </row>
    <row r="379" spans="17:17" x14ac:dyDescent="0.25">
      <c r="Q379" s="102"/>
    </row>
    <row r="380" spans="17:17" x14ac:dyDescent="0.25">
      <c r="Q380" s="102"/>
    </row>
    <row r="381" spans="17:17" x14ac:dyDescent="0.25">
      <c r="Q381" s="102"/>
    </row>
    <row r="382" spans="17:17" x14ac:dyDescent="0.25">
      <c r="Q382" s="102"/>
    </row>
    <row r="383" spans="17:17" x14ac:dyDescent="0.25">
      <c r="Q383" s="102"/>
    </row>
    <row r="384" spans="17:17" x14ac:dyDescent="0.25">
      <c r="Q384" s="102"/>
    </row>
    <row r="385" spans="17:17" x14ac:dyDescent="0.25">
      <c r="Q385" s="102"/>
    </row>
    <row r="386" spans="17:17" x14ac:dyDescent="0.25">
      <c r="Q386" s="102"/>
    </row>
    <row r="387" spans="17:17" x14ac:dyDescent="0.25">
      <c r="Q387" s="102"/>
    </row>
    <row r="388" spans="17:17" x14ac:dyDescent="0.25">
      <c r="Q388" s="102"/>
    </row>
    <row r="389" spans="17:17" x14ac:dyDescent="0.25">
      <c r="Q389" s="102"/>
    </row>
    <row r="390" spans="17:17" x14ac:dyDescent="0.25">
      <c r="Q390" s="102"/>
    </row>
    <row r="391" spans="17:17" x14ac:dyDescent="0.25">
      <c r="Q391" s="102"/>
    </row>
    <row r="392" spans="17:17" x14ac:dyDescent="0.25">
      <c r="Q392" s="102"/>
    </row>
    <row r="393" spans="17:17" x14ac:dyDescent="0.25">
      <c r="Q393" s="102"/>
    </row>
    <row r="394" spans="17:17" x14ac:dyDescent="0.25">
      <c r="Q394" s="102"/>
    </row>
    <row r="395" spans="17:17" x14ac:dyDescent="0.25">
      <c r="Q395" s="102"/>
    </row>
    <row r="396" spans="17:17" x14ac:dyDescent="0.25">
      <c r="Q396" s="102"/>
    </row>
    <row r="397" spans="17:17" x14ac:dyDescent="0.25">
      <c r="Q397" s="102"/>
    </row>
    <row r="398" spans="17:17" x14ac:dyDescent="0.25">
      <c r="Q398" s="102"/>
    </row>
    <row r="399" spans="17:17" x14ac:dyDescent="0.25">
      <c r="Q399" s="102"/>
    </row>
    <row r="400" spans="17:17" x14ac:dyDescent="0.25">
      <c r="Q400" s="102"/>
    </row>
    <row r="401" spans="17:17" x14ac:dyDescent="0.25">
      <c r="Q401" s="102"/>
    </row>
    <row r="402" spans="17:17" x14ac:dyDescent="0.25">
      <c r="Q402" s="102"/>
    </row>
    <row r="403" spans="17:17" x14ac:dyDescent="0.25">
      <c r="Q403" s="102"/>
    </row>
    <row r="404" spans="17:17" x14ac:dyDescent="0.25">
      <c r="Q404" s="102"/>
    </row>
    <row r="405" spans="17:17" x14ac:dyDescent="0.25">
      <c r="Q405" s="102"/>
    </row>
    <row r="406" spans="17:17" x14ac:dyDescent="0.25">
      <c r="Q406" s="102"/>
    </row>
    <row r="407" spans="17:17" x14ac:dyDescent="0.25">
      <c r="Q407" s="102"/>
    </row>
    <row r="408" spans="17:17" x14ac:dyDescent="0.25">
      <c r="Q408" s="102"/>
    </row>
    <row r="409" spans="17:17" x14ac:dyDescent="0.25">
      <c r="Q409" s="102"/>
    </row>
    <row r="410" spans="17:17" x14ac:dyDescent="0.25">
      <c r="Q410" s="102"/>
    </row>
    <row r="411" spans="17:17" x14ac:dyDescent="0.25">
      <c r="Q411" s="102"/>
    </row>
    <row r="412" spans="17:17" x14ac:dyDescent="0.25">
      <c r="Q412" s="102"/>
    </row>
    <row r="413" spans="17:17" x14ac:dyDescent="0.25">
      <c r="Q413" s="102"/>
    </row>
    <row r="414" spans="17:17" x14ac:dyDescent="0.25">
      <c r="Q414" s="102"/>
    </row>
    <row r="415" spans="17:17" x14ac:dyDescent="0.25">
      <c r="Q415" s="102"/>
    </row>
    <row r="416" spans="17:17" x14ac:dyDescent="0.25">
      <c r="Q416" s="102"/>
    </row>
    <row r="417" spans="17:17" x14ac:dyDescent="0.25">
      <c r="Q417" s="102"/>
    </row>
    <row r="418" spans="17:17" x14ac:dyDescent="0.25">
      <c r="Q418" s="102"/>
    </row>
    <row r="419" spans="17:17" x14ac:dyDescent="0.25">
      <c r="Q419" s="102"/>
    </row>
    <row r="420" spans="17:17" x14ac:dyDescent="0.25">
      <c r="Q420" s="102"/>
    </row>
    <row r="421" spans="17:17" x14ac:dyDescent="0.25">
      <c r="Q421" s="102"/>
    </row>
    <row r="422" spans="17:17" x14ac:dyDescent="0.25">
      <c r="Q422" s="102"/>
    </row>
    <row r="423" spans="17:17" x14ac:dyDescent="0.25">
      <c r="Q423" s="102"/>
    </row>
    <row r="424" spans="17:17" x14ac:dyDescent="0.25">
      <c r="Q424" s="102"/>
    </row>
    <row r="425" spans="17:17" x14ac:dyDescent="0.25">
      <c r="Q425" s="102"/>
    </row>
    <row r="426" spans="17:17" x14ac:dyDescent="0.25">
      <c r="Q426" s="102"/>
    </row>
    <row r="427" spans="17:17" x14ac:dyDescent="0.25">
      <c r="Q427" s="102"/>
    </row>
    <row r="428" spans="17:17" x14ac:dyDescent="0.25">
      <c r="Q428" s="102"/>
    </row>
    <row r="429" spans="17:17" x14ac:dyDescent="0.25">
      <c r="Q429" s="102"/>
    </row>
    <row r="430" spans="17:17" x14ac:dyDescent="0.25">
      <c r="Q430" s="102"/>
    </row>
    <row r="431" spans="17:17" x14ac:dyDescent="0.25">
      <c r="Q431" s="102"/>
    </row>
    <row r="432" spans="17:17" x14ac:dyDescent="0.25">
      <c r="Q432" s="102"/>
    </row>
    <row r="433" spans="17:17" x14ac:dyDescent="0.25">
      <c r="Q433" s="102"/>
    </row>
    <row r="434" spans="17:17" x14ac:dyDescent="0.25">
      <c r="Q434" s="102"/>
    </row>
    <row r="435" spans="17:17" x14ac:dyDescent="0.25">
      <c r="Q435" s="102"/>
    </row>
    <row r="436" spans="17:17" x14ac:dyDescent="0.25">
      <c r="Q436" s="102"/>
    </row>
    <row r="437" spans="17:17" x14ac:dyDescent="0.25">
      <c r="Q437" s="102"/>
    </row>
    <row r="438" spans="17:17" x14ac:dyDescent="0.25">
      <c r="Q438" s="102"/>
    </row>
    <row r="439" spans="17:17" x14ac:dyDescent="0.25">
      <c r="Q439" s="102"/>
    </row>
    <row r="440" spans="17:17" x14ac:dyDescent="0.25">
      <c r="Q440" s="102"/>
    </row>
    <row r="441" spans="17:17" x14ac:dyDescent="0.25">
      <c r="Q441" s="102"/>
    </row>
    <row r="442" spans="17:17" x14ac:dyDescent="0.25">
      <c r="Q442" s="102"/>
    </row>
    <row r="443" spans="17:17" x14ac:dyDescent="0.25">
      <c r="Q443" s="102"/>
    </row>
    <row r="444" spans="17:17" x14ac:dyDescent="0.25">
      <c r="Q444" s="102"/>
    </row>
    <row r="445" spans="17:17" x14ac:dyDescent="0.25">
      <c r="Q445" s="102"/>
    </row>
    <row r="446" spans="17:17" x14ac:dyDescent="0.25">
      <c r="Q446" s="102"/>
    </row>
    <row r="447" spans="17:17" x14ac:dyDescent="0.25">
      <c r="Q447" s="102"/>
    </row>
    <row r="448" spans="17:17" x14ac:dyDescent="0.25">
      <c r="Q448" s="102"/>
    </row>
    <row r="449" spans="17:17" x14ac:dyDescent="0.25">
      <c r="Q449" s="102"/>
    </row>
    <row r="450" spans="17:17" x14ac:dyDescent="0.25">
      <c r="Q450" s="102"/>
    </row>
    <row r="451" spans="17:17" x14ac:dyDescent="0.25">
      <c r="Q451" s="102"/>
    </row>
    <row r="452" spans="17:17" x14ac:dyDescent="0.25">
      <c r="Q452" s="102"/>
    </row>
    <row r="453" spans="17:17" x14ac:dyDescent="0.25">
      <c r="Q453" s="102"/>
    </row>
    <row r="454" spans="17:17" x14ac:dyDescent="0.25">
      <c r="Q454" s="102"/>
    </row>
    <row r="455" spans="17:17" x14ac:dyDescent="0.25">
      <c r="Q455" s="102"/>
    </row>
    <row r="456" spans="17:17" x14ac:dyDescent="0.25">
      <c r="Q456" s="102"/>
    </row>
    <row r="457" spans="17:17" x14ac:dyDescent="0.25">
      <c r="Q457" s="102"/>
    </row>
    <row r="458" spans="17:17" x14ac:dyDescent="0.25">
      <c r="Q458" s="102"/>
    </row>
    <row r="459" spans="17:17" x14ac:dyDescent="0.25">
      <c r="Q459" s="102"/>
    </row>
    <row r="460" spans="17:17" x14ac:dyDescent="0.25">
      <c r="Q460" s="102"/>
    </row>
    <row r="461" spans="17:17" x14ac:dyDescent="0.25">
      <c r="Q461" s="102"/>
    </row>
    <row r="462" spans="17:17" x14ac:dyDescent="0.25">
      <c r="Q462" s="102"/>
    </row>
    <row r="463" spans="17:17" x14ac:dyDescent="0.25">
      <c r="Q463" s="102"/>
    </row>
    <row r="464" spans="17:17" x14ac:dyDescent="0.25">
      <c r="Q464" s="102"/>
    </row>
    <row r="465" spans="17:17" x14ac:dyDescent="0.25">
      <c r="Q465" s="102"/>
    </row>
    <row r="466" spans="17:17" x14ac:dyDescent="0.25">
      <c r="Q466" s="102"/>
    </row>
    <row r="467" spans="17:17" x14ac:dyDescent="0.25">
      <c r="Q467" s="102"/>
    </row>
    <row r="468" spans="17:17" x14ac:dyDescent="0.25">
      <c r="Q468" s="102"/>
    </row>
    <row r="469" spans="17:17" x14ac:dyDescent="0.25">
      <c r="Q469" s="102"/>
    </row>
    <row r="470" spans="17:17" x14ac:dyDescent="0.25">
      <c r="Q470" s="102"/>
    </row>
    <row r="471" spans="17:17" x14ac:dyDescent="0.25">
      <c r="Q471" s="102"/>
    </row>
    <row r="472" spans="17:17" x14ac:dyDescent="0.25">
      <c r="Q472" s="102"/>
    </row>
    <row r="473" spans="17:17" x14ac:dyDescent="0.25">
      <c r="Q473" s="102"/>
    </row>
    <row r="474" spans="17:17" x14ac:dyDescent="0.25">
      <c r="Q474" s="102"/>
    </row>
    <row r="475" spans="17:17" x14ac:dyDescent="0.25">
      <c r="Q475" s="102"/>
    </row>
    <row r="476" spans="17:17" x14ac:dyDescent="0.25">
      <c r="Q476" s="102"/>
    </row>
    <row r="477" spans="17:17" x14ac:dyDescent="0.25">
      <c r="Q477" s="102"/>
    </row>
    <row r="478" spans="17:17" x14ac:dyDescent="0.25">
      <c r="Q478" s="102"/>
    </row>
    <row r="479" spans="17:17" x14ac:dyDescent="0.25">
      <c r="Q479" s="102"/>
    </row>
    <row r="480" spans="17:17" x14ac:dyDescent="0.25">
      <c r="Q480" s="102"/>
    </row>
    <row r="481" spans="17:17" x14ac:dyDescent="0.25">
      <c r="Q481" s="102"/>
    </row>
    <row r="482" spans="17:17" x14ac:dyDescent="0.25">
      <c r="Q482" s="102"/>
    </row>
    <row r="483" spans="17:17" x14ac:dyDescent="0.25">
      <c r="Q483" s="102"/>
    </row>
    <row r="484" spans="17:17" x14ac:dyDescent="0.25">
      <c r="Q484" s="102"/>
    </row>
    <row r="485" spans="17:17" x14ac:dyDescent="0.25">
      <c r="Q485" s="102"/>
    </row>
    <row r="486" spans="17:17" x14ac:dyDescent="0.25">
      <c r="Q486" s="102"/>
    </row>
    <row r="487" spans="17:17" x14ac:dyDescent="0.25">
      <c r="Q487" s="102"/>
    </row>
    <row r="488" spans="17:17" x14ac:dyDescent="0.25">
      <c r="Q488" s="102"/>
    </row>
    <row r="489" spans="17:17" x14ac:dyDescent="0.25">
      <c r="Q489" s="102"/>
    </row>
    <row r="490" spans="17:17" x14ac:dyDescent="0.25">
      <c r="Q490" s="102"/>
    </row>
    <row r="491" spans="17:17" x14ac:dyDescent="0.25">
      <c r="Q491" s="102"/>
    </row>
    <row r="492" spans="17:17" x14ac:dyDescent="0.25">
      <c r="Q492" s="102"/>
    </row>
    <row r="493" spans="17:17" x14ac:dyDescent="0.25">
      <c r="Q493" s="102"/>
    </row>
    <row r="494" spans="17:17" x14ac:dyDescent="0.25">
      <c r="Q494" s="102"/>
    </row>
    <row r="495" spans="17:17" x14ac:dyDescent="0.25">
      <c r="Q495" s="102"/>
    </row>
    <row r="496" spans="17:17" x14ac:dyDescent="0.25">
      <c r="Q496" s="102"/>
    </row>
    <row r="497" spans="17:17" x14ac:dyDescent="0.25">
      <c r="Q497" s="102"/>
    </row>
    <row r="498" spans="17:17" x14ac:dyDescent="0.25">
      <c r="Q498" s="102"/>
    </row>
    <row r="499" spans="17:17" x14ac:dyDescent="0.25">
      <c r="Q499" s="102"/>
    </row>
    <row r="500" spans="17:17" x14ac:dyDescent="0.25">
      <c r="Q500" s="102"/>
    </row>
    <row r="501" spans="17:17" x14ac:dyDescent="0.25">
      <c r="Q501" s="102"/>
    </row>
    <row r="502" spans="17:17" x14ac:dyDescent="0.25">
      <c r="Q502" s="102"/>
    </row>
    <row r="503" spans="17:17" x14ac:dyDescent="0.25">
      <c r="Q503" s="102"/>
    </row>
    <row r="504" spans="17:17" x14ac:dyDescent="0.25">
      <c r="Q504" s="102"/>
    </row>
    <row r="505" spans="17:17" x14ac:dyDescent="0.25">
      <c r="Q505" s="102"/>
    </row>
    <row r="506" spans="17:17" x14ac:dyDescent="0.25">
      <c r="Q506" s="102"/>
    </row>
    <row r="507" spans="17:17" x14ac:dyDescent="0.25">
      <c r="Q507" s="102"/>
    </row>
    <row r="508" spans="17:17" x14ac:dyDescent="0.25">
      <c r="Q508" s="102"/>
    </row>
    <row r="509" spans="17:17" x14ac:dyDescent="0.25">
      <c r="Q509" s="102"/>
    </row>
    <row r="510" spans="17:17" x14ac:dyDescent="0.25">
      <c r="Q510" s="102"/>
    </row>
    <row r="511" spans="17:17" x14ac:dyDescent="0.25">
      <c r="Q511" s="102"/>
    </row>
    <row r="512" spans="17:17" x14ac:dyDescent="0.25">
      <c r="Q512" s="102"/>
    </row>
    <row r="513" spans="17:17" x14ac:dyDescent="0.25">
      <c r="Q513" s="102"/>
    </row>
    <row r="514" spans="17:17" x14ac:dyDescent="0.25">
      <c r="Q514" s="102"/>
    </row>
    <row r="515" spans="17:17" x14ac:dyDescent="0.25">
      <c r="Q515" s="102"/>
    </row>
    <row r="516" spans="17:17" x14ac:dyDescent="0.25">
      <c r="Q516" s="102"/>
    </row>
    <row r="517" spans="17:17" x14ac:dyDescent="0.25">
      <c r="Q517" s="102"/>
    </row>
    <row r="518" spans="17:17" x14ac:dyDescent="0.25">
      <c r="Q518" s="102"/>
    </row>
    <row r="519" spans="17:17" x14ac:dyDescent="0.25">
      <c r="Q519" s="102"/>
    </row>
    <row r="520" spans="17:17" x14ac:dyDescent="0.25">
      <c r="Q520" s="102"/>
    </row>
    <row r="521" spans="17:17" x14ac:dyDescent="0.25">
      <c r="Q521" s="102"/>
    </row>
    <row r="522" spans="17:17" x14ac:dyDescent="0.25">
      <c r="Q522" s="102"/>
    </row>
    <row r="523" spans="17:17" x14ac:dyDescent="0.25">
      <c r="Q523" s="102"/>
    </row>
    <row r="524" spans="17:17" x14ac:dyDescent="0.25">
      <c r="Q524" s="102"/>
    </row>
    <row r="525" spans="17:17" x14ac:dyDescent="0.25">
      <c r="Q525" s="102"/>
    </row>
    <row r="526" spans="17:17" x14ac:dyDescent="0.25">
      <c r="Q526" s="102"/>
    </row>
    <row r="527" spans="17:17" x14ac:dyDescent="0.25">
      <c r="Q527" s="102"/>
    </row>
    <row r="528" spans="17:17" x14ac:dyDescent="0.25">
      <c r="Q528" s="102"/>
    </row>
    <row r="529" spans="17:17" x14ac:dyDescent="0.25">
      <c r="Q529" s="102"/>
    </row>
    <row r="530" spans="17:17" x14ac:dyDescent="0.25">
      <c r="Q530" s="102"/>
    </row>
    <row r="531" spans="17:17" x14ac:dyDescent="0.25">
      <c r="Q531" s="102"/>
    </row>
    <row r="532" spans="17:17" x14ac:dyDescent="0.25">
      <c r="Q532" s="102"/>
    </row>
    <row r="533" spans="17:17" x14ac:dyDescent="0.25">
      <c r="Q533" s="102"/>
    </row>
    <row r="534" spans="17:17" x14ac:dyDescent="0.25">
      <c r="Q534" s="102"/>
    </row>
    <row r="535" spans="17:17" x14ac:dyDescent="0.25">
      <c r="Q535" s="102"/>
    </row>
    <row r="536" spans="17:17" x14ac:dyDescent="0.25">
      <c r="Q536" s="102"/>
    </row>
    <row r="537" spans="17:17" x14ac:dyDescent="0.25">
      <c r="Q537" s="102"/>
    </row>
    <row r="538" spans="17:17" x14ac:dyDescent="0.25">
      <c r="Q538" s="102"/>
    </row>
    <row r="539" spans="17:17" x14ac:dyDescent="0.25">
      <c r="Q539" s="102"/>
    </row>
    <row r="540" spans="17:17" x14ac:dyDescent="0.25">
      <c r="Q540" s="102"/>
    </row>
    <row r="541" spans="17:17" x14ac:dyDescent="0.25">
      <c r="Q541" s="102"/>
    </row>
    <row r="542" spans="17:17" x14ac:dyDescent="0.25">
      <c r="Q542" s="102"/>
    </row>
    <row r="543" spans="17:17" x14ac:dyDescent="0.25">
      <c r="Q543" s="102"/>
    </row>
    <row r="544" spans="17:17" x14ac:dyDescent="0.25">
      <c r="Q544" s="102"/>
    </row>
    <row r="545" spans="17:17" x14ac:dyDescent="0.25">
      <c r="Q545" s="102"/>
    </row>
    <row r="546" spans="17:17" x14ac:dyDescent="0.25">
      <c r="Q546" s="102"/>
    </row>
    <row r="547" spans="17:17" x14ac:dyDescent="0.25">
      <c r="Q547" s="102"/>
    </row>
    <row r="548" spans="17:17" x14ac:dyDescent="0.25">
      <c r="Q548" s="102"/>
    </row>
    <row r="549" spans="17:17" x14ac:dyDescent="0.25">
      <c r="Q549" s="102"/>
    </row>
    <row r="550" spans="17:17" x14ac:dyDescent="0.25">
      <c r="Q550" s="102"/>
    </row>
    <row r="551" spans="17:17" x14ac:dyDescent="0.25">
      <c r="Q551" s="102"/>
    </row>
    <row r="552" spans="17:17" x14ac:dyDescent="0.25">
      <c r="Q552" s="102"/>
    </row>
    <row r="553" spans="17:17" x14ac:dyDescent="0.25">
      <c r="Q553" s="102"/>
    </row>
    <row r="554" spans="17:17" x14ac:dyDescent="0.25">
      <c r="Q554" s="102"/>
    </row>
    <row r="555" spans="17:17" x14ac:dyDescent="0.25">
      <c r="Q555" s="102"/>
    </row>
    <row r="556" spans="17:17" x14ac:dyDescent="0.25">
      <c r="Q556" s="102"/>
    </row>
    <row r="557" spans="17:17" x14ac:dyDescent="0.25">
      <c r="Q557" s="102"/>
    </row>
    <row r="558" spans="17:17" x14ac:dyDescent="0.25">
      <c r="Q558" s="102"/>
    </row>
    <row r="559" spans="17:17" x14ac:dyDescent="0.25">
      <c r="Q559" s="102"/>
    </row>
    <row r="560" spans="17:17" x14ac:dyDescent="0.25">
      <c r="Q560" s="102"/>
    </row>
    <row r="561" spans="17:17" x14ac:dyDescent="0.25">
      <c r="Q561" s="102"/>
    </row>
    <row r="562" spans="17:17" x14ac:dyDescent="0.25">
      <c r="Q562" s="102"/>
    </row>
    <row r="563" spans="17:17" x14ac:dyDescent="0.25">
      <c r="Q563" s="102"/>
    </row>
    <row r="564" spans="17:17" x14ac:dyDescent="0.25">
      <c r="Q564" s="102"/>
    </row>
    <row r="565" spans="17:17" x14ac:dyDescent="0.25">
      <c r="Q565" s="102"/>
    </row>
    <row r="566" spans="17:17" x14ac:dyDescent="0.25">
      <c r="Q566" s="102"/>
    </row>
    <row r="567" spans="17:17" x14ac:dyDescent="0.25">
      <c r="Q567" s="102"/>
    </row>
    <row r="568" spans="17:17" x14ac:dyDescent="0.25">
      <c r="Q568" s="102"/>
    </row>
    <row r="569" spans="17:17" x14ac:dyDescent="0.25">
      <c r="Q569" s="102"/>
    </row>
    <row r="570" spans="17:17" x14ac:dyDescent="0.25">
      <c r="Q570" s="102"/>
    </row>
    <row r="571" spans="17:17" x14ac:dyDescent="0.25">
      <c r="Q571" s="102"/>
    </row>
    <row r="572" spans="17:17" x14ac:dyDescent="0.25">
      <c r="Q572" s="102"/>
    </row>
    <row r="573" spans="17:17" x14ac:dyDescent="0.25">
      <c r="Q573" s="102"/>
    </row>
    <row r="574" spans="17:17" x14ac:dyDescent="0.25">
      <c r="Q574" s="102"/>
    </row>
    <row r="575" spans="17:17" x14ac:dyDescent="0.25">
      <c r="Q575" s="102"/>
    </row>
    <row r="576" spans="17:17" x14ac:dyDescent="0.25">
      <c r="Q576" s="102"/>
    </row>
    <row r="577" spans="17:17" x14ac:dyDescent="0.25">
      <c r="Q577" s="102"/>
    </row>
    <row r="578" spans="17:17" x14ac:dyDescent="0.25">
      <c r="Q578" s="102"/>
    </row>
    <row r="579" spans="17:17" x14ac:dyDescent="0.25">
      <c r="Q579" s="102"/>
    </row>
    <row r="580" spans="17:17" x14ac:dyDescent="0.25">
      <c r="Q580" s="102"/>
    </row>
    <row r="581" spans="17:17" x14ac:dyDescent="0.25">
      <c r="Q581" s="102"/>
    </row>
    <row r="582" spans="17:17" x14ac:dyDescent="0.25">
      <c r="Q582" s="102"/>
    </row>
    <row r="583" spans="17:17" x14ac:dyDescent="0.25">
      <c r="Q583" s="102"/>
    </row>
    <row r="584" spans="17:17" x14ac:dyDescent="0.25">
      <c r="Q584" s="102"/>
    </row>
    <row r="585" spans="17:17" x14ac:dyDescent="0.25">
      <c r="Q585" s="102"/>
    </row>
    <row r="586" spans="17:17" x14ac:dyDescent="0.25">
      <c r="Q586" s="102"/>
    </row>
    <row r="587" spans="17:17" x14ac:dyDescent="0.25">
      <c r="Q587" s="102"/>
    </row>
    <row r="588" spans="17:17" x14ac:dyDescent="0.25">
      <c r="Q588" s="102"/>
    </row>
    <row r="589" spans="17:17" x14ac:dyDescent="0.25">
      <c r="Q589" s="102"/>
    </row>
    <row r="590" spans="17:17" x14ac:dyDescent="0.25">
      <c r="Q590" s="102"/>
    </row>
    <row r="591" spans="17:17" x14ac:dyDescent="0.25">
      <c r="Q591" s="102"/>
    </row>
    <row r="592" spans="17:17" x14ac:dyDescent="0.25">
      <c r="Q592" s="102"/>
    </row>
    <row r="593" spans="17:17" x14ac:dyDescent="0.25">
      <c r="Q593" s="102"/>
    </row>
    <row r="594" spans="17:17" x14ac:dyDescent="0.25">
      <c r="Q594" s="102"/>
    </row>
    <row r="595" spans="17:17" x14ac:dyDescent="0.25">
      <c r="Q595" s="102"/>
    </row>
    <row r="596" spans="17:17" x14ac:dyDescent="0.25">
      <c r="Q596" s="102"/>
    </row>
    <row r="597" spans="17:17" x14ac:dyDescent="0.25">
      <c r="Q597" s="102"/>
    </row>
    <row r="598" spans="17:17" x14ac:dyDescent="0.25">
      <c r="Q598" s="102"/>
    </row>
    <row r="599" spans="17:17" x14ac:dyDescent="0.25">
      <c r="Q599" s="102"/>
    </row>
    <row r="600" spans="17:17" x14ac:dyDescent="0.25">
      <c r="Q600" s="102"/>
    </row>
    <row r="601" spans="17:17" x14ac:dyDescent="0.25">
      <c r="Q601" s="102"/>
    </row>
    <row r="602" spans="17:17" x14ac:dyDescent="0.25">
      <c r="Q602" s="102"/>
    </row>
    <row r="603" spans="17:17" x14ac:dyDescent="0.25">
      <c r="Q603" s="102"/>
    </row>
    <row r="604" spans="17:17" x14ac:dyDescent="0.25">
      <c r="Q604" s="102"/>
    </row>
    <row r="605" spans="17:17" x14ac:dyDescent="0.25">
      <c r="Q605" s="102"/>
    </row>
    <row r="606" spans="17:17" x14ac:dyDescent="0.25">
      <c r="Q606" s="102"/>
    </row>
    <row r="607" spans="17:17" x14ac:dyDescent="0.25">
      <c r="Q607" s="102"/>
    </row>
    <row r="608" spans="17:17" x14ac:dyDescent="0.25">
      <c r="Q608" s="102"/>
    </row>
    <row r="609" spans="17:17" x14ac:dyDescent="0.25">
      <c r="Q609" s="102"/>
    </row>
    <row r="610" spans="17:17" x14ac:dyDescent="0.25">
      <c r="Q610" s="102"/>
    </row>
    <row r="611" spans="17:17" x14ac:dyDescent="0.25">
      <c r="Q611" s="102"/>
    </row>
    <row r="612" spans="17:17" x14ac:dyDescent="0.25">
      <c r="Q612" s="102"/>
    </row>
    <row r="613" spans="17:17" x14ac:dyDescent="0.25">
      <c r="Q613" s="102"/>
    </row>
    <row r="614" spans="17:17" x14ac:dyDescent="0.25">
      <c r="Q614" s="102"/>
    </row>
    <row r="615" spans="17:17" x14ac:dyDescent="0.25">
      <c r="Q615" s="102"/>
    </row>
    <row r="616" spans="17:17" x14ac:dyDescent="0.25">
      <c r="Q616" s="102"/>
    </row>
    <row r="617" spans="17:17" x14ac:dyDescent="0.25">
      <c r="Q617" s="102"/>
    </row>
    <row r="618" spans="17:17" x14ac:dyDescent="0.25">
      <c r="Q618" s="102"/>
    </row>
    <row r="619" spans="17:17" x14ac:dyDescent="0.25">
      <c r="Q619" s="102"/>
    </row>
    <row r="620" spans="17:17" x14ac:dyDescent="0.25">
      <c r="Q620" s="102"/>
    </row>
    <row r="621" spans="17:17" x14ac:dyDescent="0.25">
      <c r="Q621" s="102"/>
    </row>
    <row r="622" spans="17:17" x14ac:dyDescent="0.25">
      <c r="Q622" s="102"/>
    </row>
    <row r="623" spans="17:17" x14ac:dyDescent="0.25">
      <c r="Q623" s="102"/>
    </row>
    <row r="624" spans="17:17" x14ac:dyDescent="0.25">
      <c r="Q624" s="102"/>
    </row>
    <row r="625" spans="17:17" x14ac:dyDescent="0.25">
      <c r="Q625" s="102"/>
    </row>
    <row r="626" spans="17:17" x14ac:dyDescent="0.25">
      <c r="Q626" s="102"/>
    </row>
    <row r="627" spans="17:17" x14ac:dyDescent="0.25">
      <c r="Q627" s="102"/>
    </row>
    <row r="628" spans="17:17" x14ac:dyDescent="0.25">
      <c r="Q628" s="102"/>
    </row>
    <row r="629" spans="17:17" x14ac:dyDescent="0.25">
      <c r="Q629" s="102"/>
    </row>
    <row r="630" spans="17:17" x14ac:dyDescent="0.25">
      <c r="Q630" s="102"/>
    </row>
    <row r="631" spans="17:17" x14ac:dyDescent="0.25">
      <c r="Q631" s="102"/>
    </row>
    <row r="632" spans="17:17" x14ac:dyDescent="0.25">
      <c r="Q632" s="102"/>
    </row>
    <row r="633" spans="17:17" x14ac:dyDescent="0.25">
      <c r="Q633" s="102"/>
    </row>
    <row r="634" spans="17:17" x14ac:dyDescent="0.25">
      <c r="Q634" s="102"/>
    </row>
    <row r="635" spans="17:17" x14ac:dyDescent="0.25">
      <c r="Q635" s="102"/>
    </row>
    <row r="636" spans="17:17" x14ac:dyDescent="0.25">
      <c r="Q636" s="102"/>
    </row>
    <row r="637" spans="17:17" x14ac:dyDescent="0.25">
      <c r="Q637" s="102"/>
    </row>
    <row r="638" spans="17:17" x14ac:dyDescent="0.25">
      <c r="Q638" s="102"/>
    </row>
    <row r="639" spans="17:17" x14ac:dyDescent="0.25">
      <c r="Q639" s="102"/>
    </row>
    <row r="640" spans="17:17" x14ac:dyDescent="0.25">
      <c r="Q640" s="102"/>
    </row>
    <row r="641" spans="17:17" x14ac:dyDescent="0.25">
      <c r="Q641" s="102"/>
    </row>
    <row r="642" spans="17:17" x14ac:dyDescent="0.25">
      <c r="Q642" s="102"/>
    </row>
    <row r="643" spans="17:17" x14ac:dyDescent="0.25">
      <c r="Q643" s="102"/>
    </row>
    <row r="644" spans="17:17" x14ac:dyDescent="0.25">
      <c r="Q644" s="102"/>
    </row>
    <row r="645" spans="17:17" x14ac:dyDescent="0.25">
      <c r="Q645" s="102"/>
    </row>
    <row r="646" spans="17:17" x14ac:dyDescent="0.25">
      <c r="Q646" s="102"/>
    </row>
    <row r="647" spans="17:17" x14ac:dyDescent="0.25">
      <c r="Q647" s="102"/>
    </row>
    <row r="648" spans="17:17" x14ac:dyDescent="0.25">
      <c r="Q648" s="102"/>
    </row>
    <row r="649" spans="17:17" x14ac:dyDescent="0.25">
      <c r="Q649" s="102"/>
    </row>
    <row r="650" spans="17:17" x14ac:dyDescent="0.25">
      <c r="Q650" s="102"/>
    </row>
    <row r="651" spans="17:17" x14ac:dyDescent="0.25">
      <c r="Q651" s="102"/>
    </row>
    <row r="652" spans="17:17" x14ac:dyDescent="0.25">
      <c r="Q652" s="102"/>
    </row>
    <row r="653" spans="17:17" x14ac:dyDescent="0.25">
      <c r="Q653" s="102"/>
    </row>
    <row r="654" spans="17:17" x14ac:dyDescent="0.25">
      <c r="Q654" s="102"/>
    </row>
    <row r="655" spans="17:17" x14ac:dyDescent="0.25">
      <c r="Q655" s="102"/>
    </row>
    <row r="656" spans="17:17" x14ac:dyDescent="0.25">
      <c r="Q656" s="102"/>
    </row>
    <row r="657" spans="17:17" x14ac:dyDescent="0.25">
      <c r="Q657" s="102"/>
    </row>
    <row r="658" spans="17:17" x14ac:dyDescent="0.25">
      <c r="Q658" s="102"/>
    </row>
    <row r="659" spans="17:17" x14ac:dyDescent="0.25">
      <c r="Q659" s="10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AE19C-1A97-4B15-811B-3131B9750BE4}">
  <sheetPr codeName="Sheet3"/>
  <dimension ref="A2:U62"/>
  <sheetViews>
    <sheetView topLeftCell="A25" workbookViewId="0">
      <selection activeCell="C26" sqref="C26"/>
    </sheetView>
  </sheetViews>
  <sheetFormatPr defaultRowHeight="15" x14ac:dyDescent="0.25"/>
  <cols>
    <col min="1" max="1" width="42.5703125" style="1" bestFit="1" customWidth="1"/>
  </cols>
  <sheetData>
    <row r="2" spans="1:21" x14ac:dyDescent="0.25">
      <c r="B2" s="1" t="str">
        <f>A3</f>
        <v>D</v>
      </c>
      <c r="C2" s="1" t="str">
        <f>A4</f>
        <v>L</v>
      </c>
      <c r="D2" s="1" t="str">
        <f>A5</f>
        <v>Lr</v>
      </c>
      <c r="E2" s="1" t="str">
        <f>A6</f>
        <v>R</v>
      </c>
      <c r="F2" s="1" t="str">
        <f>A7</f>
        <v>S</v>
      </c>
      <c r="G2" s="1" t="str">
        <f>A8</f>
        <v>H</v>
      </c>
      <c r="H2" s="1" t="str">
        <f>A9</f>
        <v>WX</v>
      </c>
      <c r="I2" s="1" t="str">
        <f>A10</f>
        <v>WY</v>
      </c>
      <c r="J2" s="1" t="str">
        <f>A11</f>
        <v>EX</v>
      </c>
      <c r="K2" s="1" t="str">
        <f>A12</f>
        <v>EY</v>
      </c>
    </row>
    <row r="3" spans="1:21" x14ac:dyDescent="0.25">
      <c r="A3" s="1" t="s">
        <v>18</v>
      </c>
      <c r="B3" s="1">
        <v>1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</row>
    <row r="4" spans="1:21" x14ac:dyDescent="0.25">
      <c r="A4" s="1" t="s">
        <v>22</v>
      </c>
      <c r="B4" s="1">
        <v>0</v>
      </c>
      <c r="C4" s="1">
        <v>1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</row>
    <row r="5" spans="1:21" x14ac:dyDescent="0.25">
      <c r="A5" s="1" t="s">
        <v>23</v>
      </c>
      <c r="B5" s="1">
        <v>0</v>
      </c>
      <c r="C5" s="1">
        <v>0</v>
      </c>
      <c r="D5" s="1">
        <v>1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</row>
    <row r="6" spans="1:21" x14ac:dyDescent="0.25">
      <c r="A6" s="1" t="s">
        <v>24</v>
      </c>
      <c r="B6" s="1">
        <v>0</v>
      </c>
      <c r="C6" s="1">
        <v>0</v>
      </c>
      <c r="D6" s="1">
        <v>0</v>
      </c>
      <c r="E6" s="1">
        <v>1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</row>
    <row r="7" spans="1:21" x14ac:dyDescent="0.25">
      <c r="A7" s="1" t="s">
        <v>17</v>
      </c>
      <c r="B7" s="1">
        <v>0</v>
      </c>
      <c r="C7" s="1">
        <v>0</v>
      </c>
      <c r="D7" s="1">
        <v>0</v>
      </c>
      <c r="E7" s="1">
        <v>0</v>
      </c>
      <c r="F7" s="1">
        <v>1</v>
      </c>
      <c r="G7" s="1">
        <v>0</v>
      </c>
      <c r="H7" s="1">
        <v>0</v>
      </c>
      <c r="I7" s="1">
        <v>0</v>
      </c>
      <c r="J7" s="1">
        <v>0</v>
      </c>
      <c r="K7" s="1">
        <v>0</v>
      </c>
    </row>
    <row r="8" spans="1:21" x14ac:dyDescent="0.25">
      <c r="A8" s="1" t="s">
        <v>25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1</v>
      </c>
      <c r="H8" s="1">
        <v>0</v>
      </c>
      <c r="I8" s="1">
        <v>0</v>
      </c>
      <c r="J8" s="1">
        <v>0</v>
      </c>
      <c r="K8" s="1">
        <v>0</v>
      </c>
    </row>
    <row r="9" spans="1:21" x14ac:dyDescent="0.25">
      <c r="A9" s="1" t="s">
        <v>26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1</v>
      </c>
      <c r="I9" s="1">
        <v>0</v>
      </c>
      <c r="J9" s="1">
        <v>0</v>
      </c>
      <c r="K9" s="1">
        <v>0</v>
      </c>
    </row>
    <row r="10" spans="1:21" x14ac:dyDescent="0.25">
      <c r="A10" s="1" t="s">
        <v>27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1</v>
      </c>
      <c r="J10" s="1">
        <v>0</v>
      </c>
      <c r="K10" s="1">
        <v>0</v>
      </c>
    </row>
    <row r="11" spans="1:21" x14ac:dyDescent="0.25">
      <c r="A11" s="1" t="s">
        <v>28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1</v>
      </c>
      <c r="K11" s="1">
        <v>0</v>
      </c>
    </row>
    <row r="12" spans="1:21" x14ac:dyDescent="0.25">
      <c r="A12" s="1" t="s">
        <v>29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1</v>
      </c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5">
      <c r="A13" s="1" t="s">
        <v>66</v>
      </c>
      <c r="B13" s="1">
        <v>1.4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</row>
    <row r="14" spans="1:21" x14ac:dyDescent="0.25">
      <c r="A14" s="1" t="s">
        <v>67</v>
      </c>
      <c r="B14" s="1">
        <v>1.2</v>
      </c>
      <c r="C14" s="1">
        <v>1.6</v>
      </c>
      <c r="D14" s="1">
        <v>0.5</v>
      </c>
      <c r="E14" s="1">
        <v>0</v>
      </c>
      <c r="F14" s="1">
        <v>0</v>
      </c>
      <c r="G14" s="1">
        <v>1.6</v>
      </c>
      <c r="H14" s="1">
        <v>0</v>
      </c>
      <c r="I14" s="1">
        <v>0</v>
      </c>
      <c r="J14" s="1">
        <v>0</v>
      </c>
      <c r="K14" s="1">
        <v>0</v>
      </c>
    </row>
    <row r="15" spans="1:21" x14ac:dyDescent="0.25">
      <c r="A15" s="1" t="s">
        <v>68</v>
      </c>
      <c r="B15" s="1">
        <v>1.2</v>
      </c>
      <c r="C15" s="1">
        <v>1.6</v>
      </c>
      <c r="D15" s="1">
        <v>0</v>
      </c>
      <c r="E15" s="1">
        <v>0</v>
      </c>
      <c r="F15" s="1">
        <v>0.5</v>
      </c>
      <c r="G15" s="1">
        <v>1.6</v>
      </c>
      <c r="H15" s="1">
        <v>0</v>
      </c>
      <c r="I15" s="1">
        <v>0</v>
      </c>
      <c r="J15" s="1">
        <v>0</v>
      </c>
      <c r="K15" s="1">
        <v>0</v>
      </c>
    </row>
    <row r="16" spans="1:21" x14ac:dyDescent="0.25">
      <c r="A16" s="1" t="s">
        <v>69</v>
      </c>
      <c r="B16" s="1">
        <v>1.2</v>
      </c>
      <c r="C16" s="1">
        <v>1.6</v>
      </c>
      <c r="D16" s="1">
        <v>0</v>
      </c>
      <c r="E16" s="1">
        <v>0.5</v>
      </c>
      <c r="F16" s="1">
        <v>0</v>
      </c>
      <c r="G16" s="1">
        <v>1.6</v>
      </c>
      <c r="H16" s="1">
        <v>0</v>
      </c>
      <c r="I16" s="1">
        <v>0</v>
      </c>
      <c r="J16" s="1">
        <v>0</v>
      </c>
      <c r="K16" s="1">
        <v>0</v>
      </c>
    </row>
    <row r="17" spans="1:11" x14ac:dyDescent="0.25">
      <c r="A17" s="1" t="s">
        <v>104</v>
      </c>
      <c r="B17" s="1">
        <v>1.2</v>
      </c>
      <c r="C17" s="1">
        <f>Beam_Analysis!$H$1</f>
        <v>0.5</v>
      </c>
      <c r="D17" s="1">
        <v>1.6</v>
      </c>
      <c r="E17" s="1">
        <v>0</v>
      </c>
      <c r="F17" s="1">
        <v>0</v>
      </c>
      <c r="G17" s="1">
        <v>1.6</v>
      </c>
      <c r="H17" s="1">
        <v>0</v>
      </c>
      <c r="I17" s="1">
        <v>0</v>
      </c>
      <c r="J17" s="1">
        <v>0</v>
      </c>
      <c r="K17" s="1">
        <v>0</v>
      </c>
    </row>
    <row r="18" spans="1:11" x14ac:dyDescent="0.25">
      <c r="A18" s="1" t="s">
        <v>105</v>
      </c>
      <c r="B18" s="1">
        <v>1.2</v>
      </c>
      <c r="C18" s="1">
        <f>Beam_Analysis!$H$1</f>
        <v>0.5</v>
      </c>
      <c r="D18" s="1">
        <v>0</v>
      </c>
      <c r="E18" s="1">
        <v>0</v>
      </c>
      <c r="F18" s="1">
        <v>1.6</v>
      </c>
      <c r="G18" s="1">
        <v>1.6</v>
      </c>
      <c r="H18" s="1">
        <v>0</v>
      </c>
      <c r="I18" s="1">
        <v>0</v>
      </c>
      <c r="J18" s="1">
        <v>0</v>
      </c>
      <c r="K18" s="1">
        <v>0</v>
      </c>
    </row>
    <row r="19" spans="1:11" x14ac:dyDescent="0.25">
      <c r="A19" s="1" t="s">
        <v>106</v>
      </c>
      <c r="B19" s="1">
        <v>1.2</v>
      </c>
      <c r="C19" s="1">
        <f>Beam_Analysis!$H$1</f>
        <v>0.5</v>
      </c>
      <c r="D19" s="1">
        <v>0</v>
      </c>
      <c r="E19" s="1">
        <v>1.6</v>
      </c>
      <c r="F19" s="1">
        <v>0</v>
      </c>
      <c r="G19" s="1">
        <v>1.6</v>
      </c>
      <c r="H19" s="1">
        <v>0</v>
      </c>
      <c r="I19" s="1">
        <v>0</v>
      </c>
      <c r="J19" s="1">
        <v>0</v>
      </c>
      <c r="K19" s="1">
        <v>0</v>
      </c>
    </row>
    <row r="20" spans="1:11" x14ac:dyDescent="0.25">
      <c r="A20" s="1" t="s">
        <v>70</v>
      </c>
      <c r="B20" s="1">
        <v>1.2</v>
      </c>
      <c r="C20" s="1">
        <v>0</v>
      </c>
      <c r="D20" s="1">
        <v>1.6</v>
      </c>
      <c r="E20" s="1">
        <v>0</v>
      </c>
      <c r="F20" s="1">
        <v>0</v>
      </c>
      <c r="G20" s="1">
        <v>1.6</v>
      </c>
      <c r="H20" s="1">
        <v>0.5</v>
      </c>
      <c r="I20" s="1">
        <v>0</v>
      </c>
      <c r="J20" s="1">
        <v>0</v>
      </c>
      <c r="K20" s="1">
        <v>0</v>
      </c>
    </row>
    <row r="21" spans="1:11" x14ac:dyDescent="0.25">
      <c r="A21" s="1" t="s">
        <v>71</v>
      </c>
      <c r="B21" s="1">
        <v>1.2</v>
      </c>
      <c r="C21" s="1">
        <v>0</v>
      </c>
      <c r="D21" s="1">
        <v>0</v>
      </c>
      <c r="E21" s="1">
        <v>0</v>
      </c>
      <c r="F21" s="1">
        <v>1.6</v>
      </c>
      <c r="G21" s="1">
        <v>1.6</v>
      </c>
      <c r="H21" s="1">
        <v>0.5</v>
      </c>
      <c r="I21" s="1">
        <v>0</v>
      </c>
      <c r="J21" s="1">
        <v>0</v>
      </c>
      <c r="K21" s="1">
        <v>0</v>
      </c>
    </row>
    <row r="22" spans="1:11" x14ac:dyDescent="0.25">
      <c r="A22" s="1" t="s">
        <v>72</v>
      </c>
      <c r="B22" s="1">
        <v>1.2</v>
      </c>
      <c r="C22" s="1">
        <v>0</v>
      </c>
      <c r="D22" s="1">
        <v>0</v>
      </c>
      <c r="E22" s="1">
        <v>1.6</v>
      </c>
      <c r="F22" s="1">
        <v>0</v>
      </c>
      <c r="G22" s="1">
        <v>1.6</v>
      </c>
      <c r="H22" s="1">
        <v>0.5</v>
      </c>
      <c r="I22" s="1">
        <v>0</v>
      </c>
      <c r="J22" s="1">
        <v>0</v>
      </c>
      <c r="K22" s="1">
        <v>0</v>
      </c>
    </row>
    <row r="23" spans="1:11" x14ac:dyDescent="0.25">
      <c r="A23" s="1" t="s">
        <v>73</v>
      </c>
      <c r="B23" s="1">
        <v>1.2</v>
      </c>
      <c r="C23" s="1">
        <v>0</v>
      </c>
      <c r="D23" s="1">
        <v>1.6</v>
      </c>
      <c r="E23" s="1">
        <v>0</v>
      </c>
      <c r="F23" s="1">
        <v>0</v>
      </c>
      <c r="G23" s="1">
        <v>1.6</v>
      </c>
      <c r="H23" s="1">
        <v>0</v>
      </c>
      <c r="I23" s="1">
        <v>0.5</v>
      </c>
      <c r="J23" s="1">
        <v>0</v>
      </c>
      <c r="K23" s="1">
        <v>0</v>
      </c>
    </row>
    <row r="24" spans="1:11" x14ac:dyDescent="0.25">
      <c r="A24" s="1" t="s">
        <v>74</v>
      </c>
      <c r="B24" s="1">
        <v>1.2</v>
      </c>
      <c r="C24" s="1">
        <v>0</v>
      </c>
      <c r="D24" s="1">
        <v>0</v>
      </c>
      <c r="E24" s="1">
        <v>0</v>
      </c>
      <c r="F24" s="1">
        <v>1.6</v>
      </c>
      <c r="G24" s="1">
        <v>1.6</v>
      </c>
      <c r="H24" s="1">
        <v>0</v>
      </c>
      <c r="I24" s="1">
        <v>0.5</v>
      </c>
      <c r="J24" s="1">
        <v>0</v>
      </c>
      <c r="K24" s="1">
        <v>0</v>
      </c>
    </row>
    <row r="25" spans="1:11" x14ac:dyDescent="0.25">
      <c r="A25" s="1" t="s">
        <v>75</v>
      </c>
      <c r="B25" s="1">
        <v>1.2</v>
      </c>
      <c r="C25" s="1">
        <v>0</v>
      </c>
      <c r="D25" s="1">
        <v>0</v>
      </c>
      <c r="E25" s="1">
        <v>1.6</v>
      </c>
      <c r="F25" s="1">
        <v>0</v>
      </c>
      <c r="G25" s="1">
        <v>1.6</v>
      </c>
      <c r="H25" s="1">
        <v>0</v>
      </c>
      <c r="I25" s="1">
        <v>0.5</v>
      </c>
      <c r="J25" s="1">
        <v>0</v>
      </c>
      <c r="K25" s="1">
        <v>0</v>
      </c>
    </row>
    <row r="26" spans="1:11" x14ac:dyDescent="0.25">
      <c r="A26" s="1" t="s">
        <v>107</v>
      </c>
      <c r="B26" s="1">
        <v>1.2</v>
      </c>
      <c r="C26" s="1">
        <f>Beam_Analysis!$H$1</f>
        <v>0.5</v>
      </c>
      <c r="D26" s="1">
        <v>0.5</v>
      </c>
      <c r="E26" s="1">
        <v>0</v>
      </c>
      <c r="F26" s="1">
        <v>0</v>
      </c>
      <c r="G26" s="1">
        <v>1.6</v>
      </c>
      <c r="H26" s="1">
        <v>1</v>
      </c>
      <c r="I26" s="1">
        <v>0</v>
      </c>
      <c r="J26" s="1">
        <v>0</v>
      </c>
      <c r="K26" s="1">
        <v>0</v>
      </c>
    </row>
    <row r="27" spans="1:11" x14ac:dyDescent="0.25">
      <c r="A27" s="1" t="s">
        <v>108</v>
      </c>
      <c r="B27" s="1">
        <v>1.2</v>
      </c>
      <c r="C27" s="1">
        <f>Beam_Analysis!$H$1</f>
        <v>0.5</v>
      </c>
      <c r="D27" s="1">
        <v>0</v>
      </c>
      <c r="E27" s="1">
        <v>0</v>
      </c>
      <c r="F27" s="1">
        <v>0.5</v>
      </c>
      <c r="G27" s="1">
        <v>1.6</v>
      </c>
      <c r="H27" s="1">
        <v>1</v>
      </c>
      <c r="I27" s="1">
        <v>0</v>
      </c>
      <c r="J27" s="1">
        <v>0</v>
      </c>
      <c r="K27" s="1">
        <v>0</v>
      </c>
    </row>
    <row r="28" spans="1:11" x14ac:dyDescent="0.25">
      <c r="A28" s="1" t="s">
        <v>109</v>
      </c>
      <c r="B28" s="1">
        <v>1.2</v>
      </c>
      <c r="C28" s="1">
        <f>Beam_Analysis!$H$1</f>
        <v>0.5</v>
      </c>
      <c r="D28" s="1">
        <v>0</v>
      </c>
      <c r="E28" s="1">
        <v>0.5</v>
      </c>
      <c r="F28" s="1">
        <v>0</v>
      </c>
      <c r="G28" s="1">
        <v>1.6</v>
      </c>
      <c r="H28" s="1">
        <v>1</v>
      </c>
      <c r="I28" s="1">
        <v>0</v>
      </c>
      <c r="J28" s="1">
        <v>0</v>
      </c>
      <c r="K28" s="1">
        <v>0</v>
      </c>
    </row>
    <row r="29" spans="1:11" x14ac:dyDescent="0.25">
      <c r="A29" s="1" t="s">
        <v>110</v>
      </c>
      <c r="B29" s="1">
        <v>1.2</v>
      </c>
      <c r="C29" s="1">
        <f>Beam_Analysis!$H$1</f>
        <v>0.5</v>
      </c>
      <c r="D29" s="1">
        <v>0.5</v>
      </c>
      <c r="E29" s="1">
        <v>0</v>
      </c>
      <c r="F29" s="1">
        <v>0</v>
      </c>
      <c r="G29" s="1">
        <v>1.6</v>
      </c>
      <c r="H29" s="1">
        <v>0</v>
      </c>
      <c r="I29" s="1">
        <v>1</v>
      </c>
      <c r="J29" s="1">
        <v>0</v>
      </c>
      <c r="K29" s="1">
        <v>0</v>
      </c>
    </row>
    <row r="30" spans="1:11" x14ac:dyDescent="0.25">
      <c r="A30" s="1" t="s">
        <v>111</v>
      </c>
      <c r="B30" s="1">
        <v>1.2</v>
      </c>
      <c r="C30" s="1">
        <f>Beam_Analysis!$H$1</f>
        <v>0.5</v>
      </c>
      <c r="D30" s="1">
        <v>0</v>
      </c>
      <c r="E30" s="1">
        <v>0</v>
      </c>
      <c r="F30" s="1">
        <v>0.5</v>
      </c>
      <c r="G30" s="1">
        <v>1.6</v>
      </c>
      <c r="H30" s="1">
        <v>0</v>
      </c>
      <c r="I30" s="1">
        <v>1</v>
      </c>
      <c r="J30" s="1">
        <v>0</v>
      </c>
      <c r="K30" s="1">
        <v>0</v>
      </c>
    </row>
    <row r="31" spans="1:11" x14ac:dyDescent="0.25">
      <c r="A31" s="1" t="s">
        <v>112</v>
      </c>
      <c r="B31" s="1">
        <v>1.2</v>
      </c>
      <c r="C31" s="1">
        <f>Beam_Analysis!$H$1</f>
        <v>0.5</v>
      </c>
      <c r="D31" s="1">
        <v>0</v>
      </c>
      <c r="E31" s="1">
        <v>0.5</v>
      </c>
      <c r="F31" s="1">
        <v>0</v>
      </c>
      <c r="G31" s="1">
        <v>1.6</v>
      </c>
      <c r="H31" s="1">
        <v>0</v>
      </c>
      <c r="I31" s="1">
        <v>1</v>
      </c>
      <c r="J31" s="1">
        <v>0</v>
      </c>
      <c r="K31" s="1">
        <v>0</v>
      </c>
    </row>
    <row r="32" spans="1:11" x14ac:dyDescent="0.25">
      <c r="A32" s="1" t="s">
        <v>113</v>
      </c>
      <c r="B32" s="1">
        <v>1.2</v>
      </c>
      <c r="C32" s="1">
        <f>Beam_Analysis!$H$1</f>
        <v>0.5</v>
      </c>
      <c r="D32" s="1">
        <v>0</v>
      </c>
      <c r="E32" s="1">
        <v>0</v>
      </c>
      <c r="F32" s="1">
        <f>Beam_Analysis!$H$2</f>
        <v>0.7</v>
      </c>
      <c r="G32" s="1">
        <v>1.6</v>
      </c>
      <c r="H32" s="1">
        <v>0</v>
      </c>
      <c r="I32" s="1">
        <v>0</v>
      </c>
      <c r="J32" s="1">
        <v>1</v>
      </c>
      <c r="K32" s="1">
        <v>0</v>
      </c>
    </row>
    <row r="33" spans="1:11" x14ac:dyDescent="0.25">
      <c r="A33" s="1" t="s">
        <v>114</v>
      </c>
      <c r="B33" s="1">
        <v>1.2</v>
      </c>
      <c r="C33" s="1">
        <f>Beam_Analysis!$H$1</f>
        <v>0.5</v>
      </c>
      <c r="D33" s="1">
        <v>0</v>
      </c>
      <c r="E33" s="1">
        <v>0</v>
      </c>
      <c r="F33" s="1">
        <f>Beam_Analysis!$H$2</f>
        <v>0.7</v>
      </c>
      <c r="G33" s="1">
        <v>1.6</v>
      </c>
      <c r="H33" s="1">
        <v>0</v>
      </c>
      <c r="I33" s="1">
        <v>0</v>
      </c>
      <c r="J33" s="1">
        <v>0</v>
      </c>
      <c r="K33" s="1">
        <v>1</v>
      </c>
    </row>
    <row r="34" spans="1:11" x14ac:dyDescent="0.25">
      <c r="A34" s="1" t="s">
        <v>76</v>
      </c>
      <c r="B34" s="1">
        <v>0.9</v>
      </c>
      <c r="C34" s="1">
        <v>0</v>
      </c>
      <c r="D34" s="1">
        <v>0</v>
      </c>
      <c r="E34" s="1">
        <v>0</v>
      </c>
      <c r="F34" s="1">
        <v>0</v>
      </c>
      <c r="G34" s="1">
        <v>1.6</v>
      </c>
      <c r="H34" s="1">
        <v>1</v>
      </c>
      <c r="I34" s="1">
        <v>0</v>
      </c>
      <c r="J34" s="1">
        <v>0</v>
      </c>
      <c r="K34" s="1">
        <v>0</v>
      </c>
    </row>
    <row r="35" spans="1:11" x14ac:dyDescent="0.25">
      <c r="A35" s="1" t="s">
        <v>77</v>
      </c>
      <c r="B35" s="1">
        <v>0.9</v>
      </c>
      <c r="C35" s="1">
        <v>0</v>
      </c>
      <c r="D35" s="1">
        <v>0</v>
      </c>
      <c r="E35" s="1">
        <v>0</v>
      </c>
      <c r="F35" s="1">
        <v>0</v>
      </c>
      <c r="G35" s="1">
        <v>1.6</v>
      </c>
      <c r="H35" s="1">
        <v>0</v>
      </c>
      <c r="I35" s="1">
        <v>1</v>
      </c>
      <c r="J35" s="1">
        <v>0</v>
      </c>
      <c r="K35" s="1">
        <v>0</v>
      </c>
    </row>
    <row r="36" spans="1:11" x14ac:dyDescent="0.25">
      <c r="A36" s="1" t="s">
        <v>78</v>
      </c>
      <c r="B36" s="1">
        <v>0.9</v>
      </c>
      <c r="C36" s="1">
        <v>0</v>
      </c>
      <c r="D36" s="1">
        <v>0</v>
      </c>
      <c r="E36" s="1">
        <v>0</v>
      </c>
      <c r="F36" s="1">
        <v>0</v>
      </c>
      <c r="G36" s="1">
        <v>1.6</v>
      </c>
      <c r="H36" s="1">
        <v>0</v>
      </c>
      <c r="I36" s="1">
        <v>0</v>
      </c>
      <c r="J36" s="1">
        <v>1</v>
      </c>
      <c r="K36" s="1">
        <v>0</v>
      </c>
    </row>
    <row r="37" spans="1:11" x14ac:dyDescent="0.25">
      <c r="A37" s="1" t="s">
        <v>79</v>
      </c>
      <c r="B37" s="1">
        <v>0.9</v>
      </c>
      <c r="C37" s="1">
        <v>0</v>
      </c>
      <c r="D37" s="1">
        <v>0</v>
      </c>
      <c r="E37" s="1">
        <v>0</v>
      </c>
      <c r="F37" s="1">
        <v>0</v>
      </c>
      <c r="G37" s="1">
        <v>1.6</v>
      </c>
      <c r="H37" s="1">
        <v>0</v>
      </c>
      <c r="I37" s="1">
        <v>0</v>
      </c>
      <c r="J37" s="1">
        <v>0</v>
      </c>
      <c r="K37" s="1">
        <v>1</v>
      </c>
    </row>
    <row r="38" spans="1:11" x14ac:dyDescent="0.25">
      <c r="A38" s="1" t="s">
        <v>80</v>
      </c>
      <c r="B38" s="1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</row>
    <row r="39" spans="1:11" x14ac:dyDescent="0.25">
      <c r="A39" s="1" t="s">
        <v>81</v>
      </c>
      <c r="B39" s="1">
        <v>1</v>
      </c>
      <c r="C39" s="1">
        <v>1</v>
      </c>
      <c r="D39" s="1">
        <v>0</v>
      </c>
      <c r="E39" s="1">
        <v>0</v>
      </c>
      <c r="F39" s="1">
        <v>0</v>
      </c>
      <c r="G39" s="1">
        <v>1</v>
      </c>
      <c r="H39" s="1">
        <v>0</v>
      </c>
      <c r="I39" s="1">
        <v>0</v>
      </c>
      <c r="J39" s="1">
        <v>0</v>
      </c>
      <c r="K39" s="1">
        <v>0</v>
      </c>
    </row>
    <row r="40" spans="1:11" x14ac:dyDescent="0.25">
      <c r="A40" s="1" t="s">
        <v>82</v>
      </c>
      <c r="B40" s="1">
        <v>1</v>
      </c>
      <c r="C40" s="1">
        <v>0</v>
      </c>
      <c r="D40" s="1">
        <v>1</v>
      </c>
      <c r="E40" s="1">
        <v>0</v>
      </c>
      <c r="F40" s="1">
        <v>0</v>
      </c>
      <c r="G40" s="1">
        <v>1</v>
      </c>
      <c r="H40" s="1">
        <v>0</v>
      </c>
      <c r="I40" s="1">
        <v>0</v>
      </c>
      <c r="J40" s="1">
        <v>0</v>
      </c>
      <c r="K40" s="1">
        <v>0</v>
      </c>
    </row>
    <row r="41" spans="1:11" x14ac:dyDescent="0.25">
      <c r="A41" s="1" t="s">
        <v>83</v>
      </c>
      <c r="B41" s="1">
        <v>1</v>
      </c>
      <c r="C41" s="1">
        <v>0</v>
      </c>
      <c r="D41" s="1">
        <v>0</v>
      </c>
      <c r="E41" s="1">
        <v>0</v>
      </c>
      <c r="F41" s="1">
        <v>1</v>
      </c>
      <c r="G41" s="1">
        <v>1</v>
      </c>
      <c r="H41" s="1">
        <v>0</v>
      </c>
      <c r="I41" s="1">
        <v>0</v>
      </c>
      <c r="J41" s="1">
        <v>0</v>
      </c>
      <c r="K41" s="1">
        <v>0</v>
      </c>
    </row>
    <row r="42" spans="1:11" x14ac:dyDescent="0.25">
      <c r="A42" s="1" t="s">
        <v>84</v>
      </c>
      <c r="B42" s="1">
        <v>1</v>
      </c>
      <c r="C42" s="1">
        <v>0</v>
      </c>
      <c r="D42" s="1">
        <v>0</v>
      </c>
      <c r="E42" s="1">
        <v>1</v>
      </c>
      <c r="F42" s="1">
        <v>0</v>
      </c>
      <c r="G42" s="1">
        <v>1</v>
      </c>
      <c r="H42" s="1">
        <v>0</v>
      </c>
      <c r="I42" s="1">
        <v>0</v>
      </c>
      <c r="J42" s="1">
        <v>0</v>
      </c>
      <c r="K42" s="1">
        <v>0</v>
      </c>
    </row>
    <row r="43" spans="1:11" x14ac:dyDescent="0.25">
      <c r="A43" s="1" t="s">
        <v>85</v>
      </c>
      <c r="B43" s="1">
        <v>1</v>
      </c>
      <c r="C43" s="1">
        <v>0.75</v>
      </c>
      <c r="D43" s="1">
        <v>0.75</v>
      </c>
      <c r="E43" s="1">
        <v>0</v>
      </c>
      <c r="F43" s="1">
        <v>0</v>
      </c>
      <c r="G43" s="1">
        <v>1</v>
      </c>
      <c r="H43" s="1">
        <v>0</v>
      </c>
      <c r="I43" s="1">
        <v>0</v>
      </c>
      <c r="J43" s="1">
        <v>0</v>
      </c>
      <c r="K43" s="1">
        <v>0</v>
      </c>
    </row>
    <row r="44" spans="1:11" x14ac:dyDescent="0.25">
      <c r="A44" s="1" t="s">
        <v>86</v>
      </c>
      <c r="B44" s="1">
        <v>1</v>
      </c>
      <c r="C44" s="1">
        <v>0.75</v>
      </c>
      <c r="D44" s="1">
        <v>0</v>
      </c>
      <c r="E44" s="1">
        <v>0</v>
      </c>
      <c r="F44" s="1">
        <v>0.75</v>
      </c>
      <c r="G44" s="1">
        <v>1</v>
      </c>
      <c r="H44" s="1">
        <v>0</v>
      </c>
      <c r="I44" s="1">
        <v>0</v>
      </c>
      <c r="J44" s="1">
        <v>0</v>
      </c>
      <c r="K44" s="1">
        <v>0</v>
      </c>
    </row>
    <row r="45" spans="1:11" x14ac:dyDescent="0.25">
      <c r="A45" s="1" t="s">
        <v>87</v>
      </c>
      <c r="B45" s="1">
        <v>1</v>
      </c>
      <c r="C45" s="1">
        <v>0.75</v>
      </c>
      <c r="D45" s="1">
        <v>0</v>
      </c>
      <c r="E45" s="1">
        <v>0.75</v>
      </c>
      <c r="F45" s="1">
        <v>0</v>
      </c>
      <c r="G45" s="1">
        <v>1</v>
      </c>
      <c r="H45" s="1">
        <v>0</v>
      </c>
      <c r="I45" s="1">
        <v>0</v>
      </c>
      <c r="J45" s="1">
        <v>0</v>
      </c>
      <c r="K45" s="1">
        <v>0</v>
      </c>
    </row>
    <row r="46" spans="1:11" x14ac:dyDescent="0.25">
      <c r="A46" s="1" t="s">
        <v>88</v>
      </c>
      <c r="B46" s="1">
        <v>1</v>
      </c>
      <c r="C46" s="1">
        <v>0</v>
      </c>
      <c r="D46" s="1">
        <v>0</v>
      </c>
      <c r="E46" s="1">
        <v>0</v>
      </c>
      <c r="F46" s="1">
        <v>0</v>
      </c>
      <c r="G46" s="1">
        <v>1</v>
      </c>
      <c r="H46" s="1">
        <v>0.6</v>
      </c>
      <c r="I46" s="1">
        <v>0</v>
      </c>
      <c r="J46" s="1">
        <v>0</v>
      </c>
      <c r="K46" s="1">
        <v>0</v>
      </c>
    </row>
    <row r="47" spans="1:11" x14ac:dyDescent="0.25">
      <c r="A47" s="1" t="s">
        <v>89</v>
      </c>
      <c r="B47" s="1">
        <v>1</v>
      </c>
      <c r="C47" s="1">
        <v>0</v>
      </c>
      <c r="D47" s="1">
        <v>0</v>
      </c>
      <c r="E47" s="1">
        <v>0</v>
      </c>
      <c r="F47" s="1">
        <v>0</v>
      </c>
      <c r="G47" s="1">
        <v>1</v>
      </c>
      <c r="H47" s="1">
        <v>0</v>
      </c>
      <c r="I47" s="1">
        <v>0.6</v>
      </c>
      <c r="J47" s="1">
        <v>0</v>
      </c>
      <c r="K47" s="1">
        <v>0</v>
      </c>
    </row>
    <row r="48" spans="1:11" x14ac:dyDescent="0.25">
      <c r="A48" s="1" t="s">
        <v>90</v>
      </c>
      <c r="B48" s="1">
        <v>1</v>
      </c>
      <c r="C48" s="1">
        <v>0</v>
      </c>
      <c r="D48" s="1">
        <v>0</v>
      </c>
      <c r="E48" s="1">
        <v>0</v>
      </c>
      <c r="F48" s="1">
        <v>0</v>
      </c>
      <c r="G48" s="1">
        <v>1</v>
      </c>
      <c r="H48" s="1">
        <v>0</v>
      </c>
      <c r="I48" s="1">
        <v>0</v>
      </c>
      <c r="J48" s="1">
        <v>0.7</v>
      </c>
      <c r="K48" s="1">
        <v>0</v>
      </c>
    </row>
    <row r="49" spans="1:11" x14ac:dyDescent="0.25">
      <c r="A49" s="1" t="s">
        <v>91</v>
      </c>
      <c r="B49" s="1">
        <v>1</v>
      </c>
      <c r="C49" s="1">
        <v>0</v>
      </c>
      <c r="D49" s="1">
        <v>0</v>
      </c>
      <c r="E49" s="1">
        <v>0</v>
      </c>
      <c r="F49" s="1">
        <v>0</v>
      </c>
      <c r="G49" s="1">
        <v>1</v>
      </c>
      <c r="H49" s="1">
        <v>0</v>
      </c>
      <c r="I49" s="1">
        <v>0</v>
      </c>
      <c r="J49" s="1">
        <v>0</v>
      </c>
      <c r="K49" s="1">
        <v>0.7</v>
      </c>
    </row>
    <row r="50" spans="1:11" x14ac:dyDescent="0.25">
      <c r="A50" s="1" t="s">
        <v>92</v>
      </c>
      <c r="B50" s="1">
        <v>1</v>
      </c>
      <c r="C50" s="1">
        <v>0.75</v>
      </c>
      <c r="D50" s="1">
        <v>0.75</v>
      </c>
      <c r="E50" s="1">
        <v>0</v>
      </c>
      <c r="F50" s="1">
        <v>0</v>
      </c>
      <c r="G50" s="1">
        <v>1</v>
      </c>
      <c r="H50" s="1">
        <v>0.44999999999999996</v>
      </c>
      <c r="I50" s="1">
        <v>0</v>
      </c>
      <c r="J50" s="1">
        <v>0</v>
      </c>
      <c r="K50" s="1">
        <v>0</v>
      </c>
    </row>
    <row r="51" spans="1:11" x14ac:dyDescent="0.25">
      <c r="A51" s="1" t="s">
        <v>93</v>
      </c>
      <c r="B51" s="1">
        <v>1</v>
      </c>
      <c r="C51" s="1">
        <v>0.75</v>
      </c>
      <c r="D51" s="1">
        <v>0</v>
      </c>
      <c r="E51" s="1">
        <v>0</v>
      </c>
      <c r="F51" s="1">
        <v>0.75</v>
      </c>
      <c r="G51" s="1">
        <v>1</v>
      </c>
      <c r="H51" s="1">
        <v>0.44999999999999996</v>
      </c>
      <c r="I51" s="1">
        <v>0</v>
      </c>
      <c r="J51" s="1">
        <v>0</v>
      </c>
      <c r="K51" s="1">
        <v>0</v>
      </c>
    </row>
    <row r="52" spans="1:11" x14ac:dyDescent="0.25">
      <c r="A52" s="1" t="s">
        <v>94</v>
      </c>
      <c r="B52" s="1">
        <v>1</v>
      </c>
      <c r="C52" s="1">
        <v>0.75</v>
      </c>
      <c r="D52" s="1">
        <v>0</v>
      </c>
      <c r="E52" s="1">
        <v>0.75</v>
      </c>
      <c r="F52" s="1">
        <v>0</v>
      </c>
      <c r="G52" s="1">
        <v>1</v>
      </c>
      <c r="H52" s="1">
        <v>0.44999999999999996</v>
      </c>
      <c r="I52" s="1">
        <v>0</v>
      </c>
      <c r="J52" s="1">
        <v>0</v>
      </c>
      <c r="K52" s="1">
        <v>0</v>
      </c>
    </row>
    <row r="53" spans="1:11" x14ac:dyDescent="0.25">
      <c r="A53" s="1" t="s">
        <v>95</v>
      </c>
      <c r="B53" s="1">
        <v>1</v>
      </c>
      <c r="C53" s="1">
        <v>0.75</v>
      </c>
      <c r="D53" s="1">
        <v>0.75</v>
      </c>
      <c r="E53" s="1">
        <v>0</v>
      </c>
      <c r="F53" s="1">
        <v>0</v>
      </c>
      <c r="G53" s="1">
        <v>1</v>
      </c>
      <c r="H53" s="1">
        <v>0</v>
      </c>
      <c r="I53" s="1">
        <v>0.44999999999999996</v>
      </c>
      <c r="J53" s="1">
        <v>0</v>
      </c>
      <c r="K53" s="1">
        <v>0</v>
      </c>
    </row>
    <row r="54" spans="1:11" x14ac:dyDescent="0.25">
      <c r="A54" s="1" t="s">
        <v>96</v>
      </c>
      <c r="B54" s="1">
        <v>1</v>
      </c>
      <c r="C54" s="1">
        <v>0.75</v>
      </c>
      <c r="D54" s="1">
        <v>0</v>
      </c>
      <c r="E54" s="1">
        <v>0</v>
      </c>
      <c r="F54" s="1">
        <v>0.75</v>
      </c>
      <c r="G54" s="1">
        <v>1</v>
      </c>
      <c r="H54" s="1">
        <v>0</v>
      </c>
      <c r="I54" s="1">
        <v>0.44999999999999996</v>
      </c>
      <c r="J54" s="1">
        <v>0</v>
      </c>
      <c r="K54" s="1">
        <v>0</v>
      </c>
    </row>
    <row r="55" spans="1:11" x14ac:dyDescent="0.25">
      <c r="A55" s="1" t="s">
        <v>97</v>
      </c>
      <c r="B55" s="1">
        <v>1</v>
      </c>
      <c r="C55" s="1">
        <v>0.75</v>
      </c>
      <c r="D55" s="1">
        <v>0</v>
      </c>
      <c r="E55" s="1">
        <v>0.75</v>
      </c>
      <c r="F55" s="1">
        <v>0</v>
      </c>
      <c r="G55" s="1">
        <v>1</v>
      </c>
      <c r="H55" s="1">
        <v>0</v>
      </c>
      <c r="I55" s="1">
        <v>0.44999999999999996</v>
      </c>
      <c r="J55" s="1">
        <v>0</v>
      </c>
      <c r="K55" s="1">
        <v>0</v>
      </c>
    </row>
    <row r="56" spans="1:11" x14ac:dyDescent="0.25">
      <c r="A56" s="1" t="s">
        <v>98</v>
      </c>
      <c r="B56" s="1">
        <v>1</v>
      </c>
      <c r="C56" s="1">
        <v>0.75</v>
      </c>
      <c r="D56" s="1">
        <v>0</v>
      </c>
      <c r="E56" s="1">
        <v>0</v>
      </c>
      <c r="F56" s="1">
        <v>0.75</v>
      </c>
      <c r="G56" s="1">
        <v>1</v>
      </c>
      <c r="H56" s="1">
        <v>0</v>
      </c>
      <c r="I56" s="1">
        <v>0</v>
      </c>
      <c r="J56" s="1">
        <v>0.52499999999999991</v>
      </c>
      <c r="K56" s="1">
        <v>0</v>
      </c>
    </row>
    <row r="57" spans="1:11" x14ac:dyDescent="0.25">
      <c r="A57" s="1" t="s">
        <v>99</v>
      </c>
      <c r="B57" s="1">
        <v>1</v>
      </c>
      <c r="C57" s="1">
        <v>0.75</v>
      </c>
      <c r="D57" s="1">
        <v>0</v>
      </c>
      <c r="E57" s="1">
        <v>0</v>
      </c>
      <c r="F57" s="1">
        <v>0.75</v>
      </c>
      <c r="G57" s="1">
        <v>1</v>
      </c>
      <c r="H57" s="1">
        <v>0</v>
      </c>
      <c r="I57" s="1">
        <v>0</v>
      </c>
      <c r="J57" s="1">
        <v>0</v>
      </c>
      <c r="K57" s="1">
        <v>0.52499999999999991</v>
      </c>
    </row>
    <row r="58" spans="1:11" x14ac:dyDescent="0.25">
      <c r="A58" s="1" t="s">
        <v>100</v>
      </c>
      <c r="B58" s="1">
        <v>0.6</v>
      </c>
      <c r="C58" s="1">
        <v>0</v>
      </c>
      <c r="D58" s="1">
        <v>0</v>
      </c>
      <c r="E58" s="1">
        <v>0</v>
      </c>
      <c r="F58" s="1">
        <v>0</v>
      </c>
      <c r="G58" s="1">
        <v>1</v>
      </c>
      <c r="H58" s="1">
        <v>0.6</v>
      </c>
      <c r="I58" s="1">
        <v>0</v>
      </c>
      <c r="J58" s="1">
        <v>0</v>
      </c>
      <c r="K58" s="1">
        <v>0</v>
      </c>
    </row>
    <row r="59" spans="1:11" x14ac:dyDescent="0.25">
      <c r="A59" s="1" t="s">
        <v>101</v>
      </c>
      <c r="B59" s="1">
        <v>0.6</v>
      </c>
      <c r="C59" s="1">
        <v>0</v>
      </c>
      <c r="D59" s="1">
        <v>0</v>
      </c>
      <c r="E59" s="1">
        <v>0</v>
      </c>
      <c r="F59" s="1">
        <v>0</v>
      </c>
      <c r="G59" s="1">
        <v>1</v>
      </c>
      <c r="H59" s="1">
        <v>0</v>
      </c>
      <c r="I59" s="1">
        <v>0.6</v>
      </c>
      <c r="J59" s="1">
        <v>0</v>
      </c>
      <c r="K59" s="1">
        <v>0</v>
      </c>
    </row>
    <row r="60" spans="1:11" x14ac:dyDescent="0.25">
      <c r="A60" s="1" t="s">
        <v>102</v>
      </c>
      <c r="B60" s="1">
        <v>0.6</v>
      </c>
      <c r="C60" s="1">
        <v>0</v>
      </c>
      <c r="D60" s="1">
        <v>0</v>
      </c>
      <c r="E60" s="1">
        <v>0</v>
      </c>
      <c r="F60" s="1">
        <v>0</v>
      </c>
      <c r="G60" s="1">
        <v>1</v>
      </c>
      <c r="H60" s="1">
        <v>0</v>
      </c>
      <c r="I60" s="1">
        <v>0</v>
      </c>
      <c r="J60" s="1">
        <v>0.7</v>
      </c>
      <c r="K60" s="1">
        <v>0</v>
      </c>
    </row>
    <row r="61" spans="1:11" x14ac:dyDescent="0.25">
      <c r="A61" s="1" t="s">
        <v>103</v>
      </c>
      <c r="B61" s="1">
        <v>0.6</v>
      </c>
      <c r="C61" s="1">
        <v>0</v>
      </c>
      <c r="D61" s="1">
        <v>0</v>
      </c>
      <c r="E61" s="1">
        <v>0</v>
      </c>
      <c r="F61" s="1">
        <v>0</v>
      </c>
      <c r="G61" s="1">
        <v>1</v>
      </c>
      <c r="H61" s="1">
        <v>0</v>
      </c>
      <c r="I61" s="1">
        <v>0</v>
      </c>
      <c r="J61" s="1">
        <v>0</v>
      </c>
      <c r="K61" s="1">
        <v>0.7</v>
      </c>
    </row>
    <row r="62" spans="1:11" x14ac:dyDescent="0.25">
      <c r="A62" s="1" t="s">
        <v>56</v>
      </c>
      <c r="B62" s="1">
        <f>Beam_Analysis!G6</f>
        <v>1</v>
      </c>
      <c r="C62" s="1">
        <f>Beam_Analysis!H6</f>
        <v>0</v>
      </c>
      <c r="D62" s="1">
        <f>Beam_Analysis!I6</f>
        <v>0</v>
      </c>
      <c r="E62" s="1">
        <f>Beam_Analysis!J6</f>
        <v>0</v>
      </c>
      <c r="F62" s="1">
        <f>Beam_Analysis!K6</f>
        <v>0</v>
      </c>
      <c r="G62" s="1">
        <f>Beam_Analysis!L6</f>
        <v>0</v>
      </c>
      <c r="H62" s="1">
        <f>Beam_Analysis!M6</f>
        <v>0</v>
      </c>
      <c r="I62" s="1">
        <f>Beam_Analysis!N6</f>
        <v>0</v>
      </c>
      <c r="J62" s="1">
        <f>Beam_Analysis!O6</f>
        <v>0</v>
      </c>
      <c r="K62" s="1">
        <f>Beam_Analysis!P6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Beam_Analysis</vt:lpstr>
      <vt:lpstr>Data</vt:lpstr>
      <vt:lpstr>Load_Combos</vt:lpstr>
      <vt:lpstr>FF_5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 III</cp:lastModifiedBy>
  <dcterms:created xsi:type="dcterms:W3CDTF">2020-12-08T18:46:25Z</dcterms:created>
  <dcterms:modified xsi:type="dcterms:W3CDTF">2021-03-24T20:20:22Z</dcterms:modified>
</cp:coreProperties>
</file>