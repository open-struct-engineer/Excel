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hitten\Documents\MLW\DesignTools\general_analysis\esap\"/>
    </mc:Choice>
  </mc:AlternateContent>
  <xr:revisionPtr revIDLastSave="0" documentId="13_ncr:1_{CB9CA3DD-B77A-49E9-B4D5-B41F11E4F9A7}" xr6:coauthVersionLast="36" xr6:coauthVersionMax="36" xr10:uidLastSave="{00000000-0000-0000-0000-000000000000}"/>
  <bookViews>
    <workbookView xWindow="0" yWindow="0" windowWidth="13275" windowHeight="6870" tabRatio="880" xr2:uid="{00000000-000D-0000-FFFF-FFFF00000000}"/>
  </bookViews>
  <sheets>
    <sheet name="Control" sheetId="4" r:id="rId1"/>
    <sheet name="Truss" sheetId="3" state="hidden" r:id="rId2"/>
    <sheet name="2DFrame" sheetId="2" r:id="rId3"/>
    <sheet name="3DFrame" sheetId="1" state="hidden" r:id="rId4"/>
    <sheet name="JointLoads" sheetId="5" r:id="rId5"/>
    <sheet name="ElementLoads" sheetId="6" r:id="rId6"/>
    <sheet name="LoadCombinations" sheetId="16" state="hidden" r:id="rId7"/>
    <sheet name="LoadCases" sheetId="7" r:id="rId8"/>
    <sheet name="OutputJointDisplacements" sheetId="11" r:id="rId9"/>
    <sheet name="OutputMemberForces" sheetId="13" r:id="rId10"/>
    <sheet name="OutputReactions" sheetId="12" r:id="rId11"/>
  </sheets>
  <functionGroups builtInGroupCount="19"/>
  <definedNames>
    <definedName name="_xlnm._FilterDatabase" localSheetId="9" hidden="1">OutputMemberForces!$A$1:$J$15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2" l="1"/>
  <c r="D6" i="2"/>
  <c r="D5" i="2"/>
  <c r="D4" i="2"/>
  <c r="F4" i="6" l="1"/>
  <c r="F5" i="6" s="1"/>
  <c r="F6" i="6" s="1"/>
</calcChain>
</file>

<file path=xl/sharedStrings.xml><?xml version="1.0" encoding="utf-8"?>
<sst xmlns="http://schemas.openxmlformats.org/spreadsheetml/2006/main" count="246" uniqueCount="86">
  <si>
    <t>x</t>
  </si>
  <si>
    <t>y</t>
  </si>
  <si>
    <t>E</t>
  </si>
  <si>
    <t>Section Properties</t>
  </si>
  <si>
    <t>Mat'l Properties</t>
  </si>
  <si>
    <t>Section Assignment</t>
  </si>
  <si>
    <t>Mat'l Assignment</t>
  </si>
  <si>
    <t>Support Definition</t>
  </si>
  <si>
    <t>Joint Definition</t>
  </si>
  <si>
    <t>A</t>
  </si>
  <si>
    <t>Avy</t>
  </si>
  <si>
    <t>Iyy</t>
  </si>
  <si>
    <t>J</t>
  </si>
  <si>
    <t>DX</t>
  </si>
  <si>
    <t>DY</t>
  </si>
  <si>
    <t>DZ</t>
  </si>
  <si>
    <t>RX</t>
  </si>
  <si>
    <t>RY</t>
  </si>
  <si>
    <t>RZ</t>
  </si>
  <si>
    <t>z</t>
  </si>
  <si>
    <t>G</t>
  </si>
  <si>
    <t>v</t>
  </si>
  <si>
    <t>SectProp ID</t>
  </si>
  <si>
    <t>Matl ID</t>
  </si>
  <si>
    <t>Magnitude</t>
  </si>
  <si>
    <t>Direction</t>
  </si>
  <si>
    <t>Description</t>
  </si>
  <si>
    <t>Load ID</t>
  </si>
  <si>
    <t>Joint ID</t>
  </si>
  <si>
    <t>Coordinate System</t>
  </si>
  <si>
    <t>Structure Type</t>
  </si>
  <si>
    <t>Izz</t>
  </si>
  <si>
    <t>Beg Joint ID</t>
  </si>
  <si>
    <t>End Joint ID</t>
  </si>
  <si>
    <t>Element Definition</t>
  </si>
  <si>
    <t>Element ID</t>
  </si>
  <si>
    <t>2DFrame</t>
  </si>
  <si>
    <t>FY</t>
  </si>
  <si>
    <t>FX</t>
  </si>
  <si>
    <t>End Location</t>
  </si>
  <si>
    <t>Begin Location</t>
  </si>
  <si>
    <t>Load Type</t>
  </si>
  <si>
    <t>Length Type</t>
  </si>
  <si>
    <t>maybe implement this</t>
  </si>
  <si>
    <t>JT</t>
  </si>
  <si>
    <t>X</t>
  </si>
  <si>
    <t>Y</t>
  </si>
  <si>
    <t>Member ID</t>
  </si>
  <si>
    <t>MEM</t>
  </si>
  <si>
    <t>FZ</t>
  </si>
  <si>
    <t>MX</t>
  </si>
  <si>
    <t>MY</t>
  </si>
  <si>
    <t>MZ</t>
  </si>
  <si>
    <t>LC</t>
  </si>
  <si>
    <t>Load Case ID</t>
  </si>
  <si>
    <t>(Automatically clears results)</t>
  </si>
  <si>
    <t>LC 1</t>
  </si>
  <si>
    <t>Errors:</t>
  </si>
  <si>
    <t>Joint Load Definition</t>
  </si>
  <si>
    <t>Element Load Definition</t>
  </si>
  <si>
    <t>Load Case Definition</t>
  </si>
  <si>
    <t>UNIF</t>
  </si>
  <si>
    <t>GLOBAL</t>
  </si>
  <si>
    <t>FRACT</t>
  </si>
  <si>
    <t>Material Properties</t>
  </si>
  <si>
    <t>Material Assignment</t>
  </si>
  <si>
    <t>Warnings:</t>
  </si>
  <si>
    <t xml:space="preserve">Runtime: </t>
  </si>
  <si>
    <t>Avz</t>
  </si>
  <si>
    <t>e1</t>
  </si>
  <si>
    <t>e2</t>
  </si>
  <si>
    <t>e3</t>
  </si>
  <si>
    <t>e4</t>
  </si>
  <si>
    <t>j1</t>
  </si>
  <si>
    <t>j2</t>
  </si>
  <si>
    <t>j3</t>
  </si>
  <si>
    <t>j4</t>
  </si>
  <si>
    <t>j5</t>
  </si>
  <si>
    <t>s1</t>
  </si>
  <si>
    <t>m1</t>
  </si>
  <si>
    <t>l1</t>
  </si>
  <si>
    <t>l2</t>
  </si>
  <si>
    <t>l3</t>
  </si>
  <si>
    <t>l4</t>
  </si>
  <si>
    <t xml:space="preserve"> .04 sec</t>
  </si>
  <si>
    <t>No errors detected.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</si>
</sst>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11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104775</xdr:rowOff>
        </xdr:from>
        <xdr:to>
          <xdr:col>4</xdr:col>
          <xdr:colOff>76200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U36"/>
  <sheetViews>
    <sheetView tabSelected="1" workbookViewId="0">
      <selection activeCell="J12" sqref="J12"/>
    </sheetView>
  </sheetViews>
  <sheetFormatPr defaultRowHeight="15" x14ac:dyDescent="0.25"/>
  <cols>
    <col min="2" max="2" width="14" bestFit="1" customWidth="1"/>
  </cols>
  <sheetData>
    <row r="3" spans="2:3" x14ac:dyDescent="0.25">
      <c r="B3" t="s">
        <v>30</v>
      </c>
      <c r="C3" t="s">
        <v>36</v>
      </c>
    </row>
    <row r="12" spans="2:3" x14ac:dyDescent="0.25">
      <c r="B12" t="s">
        <v>55</v>
      </c>
    </row>
    <row r="14" spans="2:3" x14ac:dyDescent="0.25">
      <c r="B14" t="s">
        <v>67</v>
      </c>
    </row>
    <row r="15" spans="2:3" x14ac:dyDescent="0.25">
      <c r="B15" t="s">
        <v>84</v>
      </c>
    </row>
    <row r="17" spans="2:2" x14ac:dyDescent="0.25">
      <c r="B17" t="s">
        <v>57</v>
      </c>
    </row>
    <row r="18" spans="2:2" x14ac:dyDescent="0.25">
      <c r="B18" t="s">
        <v>85</v>
      </c>
    </row>
    <row r="20" spans="2:2" x14ac:dyDescent="0.25">
      <c r="B20" t="s">
        <v>66</v>
      </c>
    </row>
    <row r="33" spans="17:21" x14ac:dyDescent="0.25">
      <c r="R33" s="9"/>
    </row>
    <row r="34" spans="17:21" x14ac:dyDescent="0.25">
      <c r="Q34" s="9"/>
      <c r="R34" s="9"/>
      <c r="S34" s="9"/>
      <c r="T34" s="9"/>
      <c r="U34" s="9"/>
    </row>
    <row r="36" spans="17:21" x14ac:dyDescent="0.25">
      <c r="T36" s="9"/>
      <c r="U36" s="9"/>
    </row>
  </sheetData>
  <dataValidations count="1">
    <dataValidation type="list" allowBlank="1" showInputMessage="1" showErrorMessage="1" sqref="C3" xr:uid="{5A3B3194-2303-4710-AAF6-EE9B63E69021}">
      <formula1>"2DFrame"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RunAnalysis">
                <anchor moveWithCells="1" sizeWithCells="1">
                  <from>
                    <xdr:col>1</xdr:col>
                    <xdr:colOff>28575</xdr:colOff>
                    <xdr:row>6</xdr:row>
                    <xdr:rowOff>104775</xdr:rowOff>
                  </from>
                  <to>
                    <xdr:col>4</xdr:col>
                    <xdr:colOff>76200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C1:Y6"/>
  <sheetViews>
    <sheetView zoomScale="70" zoomScaleNormal="70" workbookViewId="0">
      <selection activeCell="J18" sqref="J18"/>
    </sheetView>
  </sheetViews>
  <sheetFormatPr defaultRowHeight="15" x14ac:dyDescent="0.25"/>
  <cols>
    <col min="4" max="4" width="9.140625" customWidth="1"/>
    <col min="7" max="7" width="11.42578125" customWidth="1"/>
    <col min="8" max="8" width="13" customWidth="1"/>
    <col min="9" max="9" width="12.140625" customWidth="1"/>
    <col min="15" max="15" width="13.85546875" customWidth="1"/>
    <col min="21" max="21" width="11.42578125" customWidth="1"/>
    <col min="22" max="22" width="13.28515625" customWidth="1"/>
    <col min="24" max="24" width="11.42578125" customWidth="1"/>
    <col min="34" max="34" width="10.5703125" bestFit="1" customWidth="1"/>
  </cols>
  <sheetData>
    <row r="1" spans="3:25" x14ac:dyDescent="0.25">
      <c r="C1" t="s">
        <v>8</v>
      </c>
      <c r="G1" t="s">
        <v>34</v>
      </c>
      <c r="K1" t="s">
        <v>7</v>
      </c>
      <c r="O1" t="s">
        <v>3</v>
      </c>
      <c r="R1" t="s">
        <v>4</v>
      </c>
      <c r="U1" t="s">
        <v>5</v>
      </c>
      <c r="X1" t="s">
        <v>6</v>
      </c>
    </row>
    <row r="2" spans="3:25" x14ac:dyDescent="0.25">
      <c r="C2" s="1" t="s">
        <v>28</v>
      </c>
      <c r="D2" s="1" t="s">
        <v>45</v>
      </c>
      <c r="E2" s="1" t="s">
        <v>46</v>
      </c>
      <c r="F2" s="1"/>
      <c r="G2" s="1" t="s">
        <v>47</v>
      </c>
      <c r="H2" s="1" t="s">
        <v>32</v>
      </c>
      <c r="I2" s="1" t="s">
        <v>33</v>
      </c>
      <c r="J2" s="1"/>
      <c r="K2" s="1" t="s">
        <v>28</v>
      </c>
      <c r="L2" s="1" t="s">
        <v>13</v>
      </c>
      <c r="M2" s="1" t="s">
        <v>14</v>
      </c>
      <c r="N2" s="1"/>
      <c r="O2" s="1" t="s">
        <v>22</v>
      </c>
      <c r="P2" s="1" t="s">
        <v>9</v>
      </c>
      <c r="Q2" s="1"/>
      <c r="R2" s="1" t="s">
        <v>23</v>
      </c>
      <c r="S2" s="1" t="s">
        <v>2</v>
      </c>
      <c r="T2" s="1"/>
      <c r="U2" s="1" t="s">
        <v>35</v>
      </c>
      <c r="V2" s="1" t="s">
        <v>22</v>
      </c>
      <c r="W2" s="1"/>
      <c r="X2" s="1" t="s">
        <v>35</v>
      </c>
      <c r="Y2" s="1" t="s">
        <v>23</v>
      </c>
    </row>
    <row r="3" spans="3:25" x14ac:dyDescent="0.25">
      <c r="C3" s="2">
        <v>1</v>
      </c>
      <c r="D3" s="2"/>
      <c r="E3" s="2"/>
      <c r="F3" s="1"/>
      <c r="G3" s="2"/>
      <c r="H3" s="2">
        <v>1</v>
      </c>
      <c r="I3" s="2">
        <v>2</v>
      </c>
      <c r="J3" s="3"/>
      <c r="K3" s="2">
        <v>1</v>
      </c>
      <c r="L3" s="2">
        <v>1</v>
      </c>
      <c r="M3" s="2">
        <v>1</v>
      </c>
      <c r="N3" s="1"/>
      <c r="O3" s="2">
        <v>1</v>
      </c>
      <c r="P3" s="2">
        <v>2</v>
      </c>
      <c r="Q3" s="1"/>
      <c r="R3" s="2">
        <v>1</v>
      </c>
      <c r="S3" s="2">
        <v>538000</v>
      </c>
      <c r="T3" s="1"/>
      <c r="U3" s="2">
        <v>1</v>
      </c>
      <c r="V3" s="2">
        <v>2</v>
      </c>
      <c r="W3" s="1"/>
      <c r="X3" s="2">
        <v>1</v>
      </c>
      <c r="Y3" s="2">
        <v>1</v>
      </c>
    </row>
    <row r="4" spans="3:25" x14ac:dyDescent="0.25">
      <c r="C4" s="2">
        <v>2</v>
      </c>
      <c r="D4" s="2"/>
      <c r="E4" s="2"/>
      <c r="F4" s="1"/>
      <c r="G4" s="2"/>
      <c r="H4" s="2">
        <v>2</v>
      </c>
      <c r="I4" s="2">
        <v>3</v>
      </c>
      <c r="J4" s="3"/>
      <c r="K4" s="2">
        <v>2</v>
      </c>
      <c r="L4" s="2">
        <v>0</v>
      </c>
      <c r="M4" s="2">
        <v>1</v>
      </c>
      <c r="N4" s="1"/>
      <c r="O4" s="2">
        <v>2</v>
      </c>
      <c r="P4" s="2">
        <v>1</v>
      </c>
      <c r="Q4" s="1"/>
      <c r="R4" s="1"/>
      <c r="S4" s="1"/>
      <c r="T4" s="1"/>
      <c r="U4" s="2">
        <v>2</v>
      </c>
      <c r="V4" s="2">
        <v>1</v>
      </c>
      <c r="W4" s="1"/>
      <c r="X4" s="2">
        <v>2</v>
      </c>
      <c r="Y4" s="2">
        <v>1</v>
      </c>
    </row>
    <row r="5" spans="3:25" x14ac:dyDescent="0.25">
      <c r="C5" s="2">
        <v>3</v>
      </c>
      <c r="D5" s="2"/>
      <c r="E5" s="2"/>
      <c r="F5" s="1"/>
      <c r="G5" s="2"/>
      <c r="H5" s="2">
        <v>3</v>
      </c>
      <c r="I5" s="2">
        <v>1</v>
      </c>
      <c r="J5" s="3"/>
      <c r="K5" s="1"/>
      <c r="L5" s="1"/>
      <c r="M5" s="1"/>
      <c r="N5" s="1"/>
      <c r="O5" s="2">
        <v>3</v>
      </c>
      <c r="P5" s="2"/>
      <c r="Q5" s="1"/>
      <c r="R5" s="1"/>
      <c r="S5" s="1"/>
      <c r="T5" s="1"/>
      <c r="U5" s="2">
        <v>3</v>
      </c>
      <c r="V5" s="2">
        <v>1</v>
      </c>
      <c r="W5" s="1"/>
      <c r="X5" s="2">
        <v>3</v>
      </c>
      <c r="Y5" s="2">
        <v>1</v>
      </c>
    </row>
    <row r="6" spans="3:25" x14ac:dyDescent="0.25">
      <c r="C6" s="2">
        <v>4</v>
      </c>
      <c r="D6" s="2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C1:AD13"/>
  <sheetViews>
    <sheetView zoomScale="85" zoomScaleNormal="85" workbookViewId="0">
      <selection activeCell="M5" sqref="M5"/>
    </sheetView>
  </sheetViews>
  <sheetFormatPr defaultRowHeight="15" x14ac:dyDescent="0.25"/>
  <cols>
    <col min="7" max="7" width="10.5703125" customWidth="1"/>
    <col min="8" max="8" width="12.42578125" bestFit="1" customWidth="1"/>
    <col min="9" max="9" width="12.140625" bestFit="1" customWidth="1"/>
    <col min="16" max="16" width="13.5703125" customWidth="1"/>
    <col min="17" max="17" width="9.42578125" customWidth="1"/>
    <col min="19" max="19" width="10.28515625" bestFit="1" customWidth="1"/>
    <col min="21" max="21" width="11.85546875" customWidth="1"/>
    <col min="22" max="22" width="10.5703125" bestFit="1" customWidth="1"/>
    <col min="26" max="26" width="10.7109375" customWidth="1"/>
    <col min="27" max="27" width="12.85546875" customWidth="1"/>
    <col min="29" max="29" width="12" customWidth="1"/>
    <col min="30" max="30" width="11.5703125" bestFit="1" customWidth="1"/>
    <col min="39" max="39" width="10.5703125" bestFit="1" customWidth="1"/>
  </cols>
  <sheetData>
    <row r="1" spans="3:30" x14ac:dyDescent="0.25">
      <c r="C1" s="4" t="s">
        <v>8</v>
      </c>
      <c r="G1" s="4" t="s">
        <v>34</v>
      </c>
      <c r="K1" s="4" t="s">
        <v>7</v>
      </c>
      <c r="P1" s="4" t="s">
        <v>3</v>
      </c>
      <c r="U1" s="4" t="s">
        <v>64</v>
      </c>
      <c r="Z1" s="4" t="s">
        <v>5</v>
      </c>
      <c r="AC1" s="4" t="s">
        <v>65</v>
      </c>
    </row>
    <row r="2" spans="3:30" x14ac:dyDescent="0.25">
      <c r="C2" s="5" t="s">
        <v>28</v>
      </c>
      <c r="D2" s="5" t="s">
        <v>0</v>
      </c>
      <c r="E2" s="5" t="s">
        <v>1</v>
      </c>
      <c r="F2" s="6"/>
      <c r="G2" s="5" t="s">
        <v>35</v>
      </c>
      <c r="H2" s="5" t="s">
        <v>32</v>
      </c>
      <c r="I2" s="5" t="s">
        <v>33</v>
      </c>
      <c r="J2" s="6"/>
      <c r="K2" s="5" t="s">
        <v>28</v>
      </c>
      <c r="L2" s="5" t="s">
        <v>13</v>
      </c>
      <c r="M2" s="5" t="s">
        <v>14</v>
      </c>
      <c r="N2" s="5" t="s">
        <v>18</v>
      </c>
      <c r="O2" s="6"/>
      <c r="P2" s="5" t="s">
        <v>22</v>
      </c>
      <c r="Q2" s="5" t="s">
        <v>9</v>
      </c>
      <c r="R2" s="5" t="s">
        <v>10</v>
      </c>
      <c r="S2" s="5" t="s">
        <v>31</v>
      </c>
      <c r="T2" s="6"/>
      <c r="U2" s="5" t="s">
        <v>23</v>
      </c>
      <c r="V2" s="5" t="s">
        <v>2</v>
      </c>
      <c r="W2" s="5" t="s">
        <v>20</v>
      </c>
      <c r="X2" s="5" t="s">
        <v>21</v>
      </c>
      <c r="Y2" s="6"/>
      <c r="Z2" s="5" t="s">
        <v>35</v>
      </c>
      <c r="AA2" s="5" t="s">
        <v>22</v>
      </c>
      <c r="AB2" s="6"/>
      <c r="AC2" s="5" t="s">
        <v>35</v>
      </c>
      <c r="AD2" s="5" t="s">
        <v>23</v>
      </c>
    </row>
    <row r="3" spans="3:30" x14ac:dyDescent="0.25">
      <c r="C3" s="10" t="s">
        <v>73</v>
      </c>
      <c r="D3" s="1">
        <v>0</v>
      </c>
      <c r="E3" s="1">
        <v>0</v>
      </c>
      <c r="F3" s="7"/>
      <c r="G3" s="1" t="s">
        <v>69</v>
      </c>
      <c r="H3" s="1" t="s">
        <v>73</v>
      </c>
      <c r="I3" s="1" t="s">
        <v>74</v>
      </c>
      <c r="J3" s="7"/>
      <c r="K3" s="3" t="s">
        <v>74</v>
      </c>
      <c r="L3" s="3">
        <v>1</v>
      </c>
      <c r="M3" s="3">
        <v>1</v>
      </c>
      <c r="N3" s="3">
        <v>0</v>
      </c>
      <c r="O3" s="7"/>
      <c r="P3" s="3" t="s">
        <v>78</v>
      </c>
      <c r="Q3" s="3">
        <v>252</v>
      </c>
      <c r="R3" s="3">
        <v>144</v>
      </c>
      <c r="S3" s="8">
        <v>375300</v>
      </c>
      <c r="T3" s="7"/>
      <c r="U3" s="3" t="s">
        <v>79</v>
      </c>
      <c r="V3" s="8">
        <v>29000</v>
      </c>
      <c r="W3" s="3">
        <v>11500</v>
      </c>
      <c r="X3" s="3">
        <v>0.3</v>
      </c>
      <c r="Y3" s="7"/>
      <c r="Z3" s="3" t="s">
        <v>69</v>
      </c>
      <c r="AA3" s="3" t="s">
        <v>78</v>
      </c>
      <c r="AB3" s="7"/>
      <c r="AC3" s="3" t="s">
        <v>69</v>
      </c>
      <c r="AD3" s="3" t="s">
        <v>79</v>
      </c>
    </row>
    <row r="4" spans="3:30" x14ac:dyDescent="0.25">
      <c r="C4" s="3" t="s">
        <v>74</v>
      </c>
      <c r="D4" s="1">
        <f>11*12</f>
        <v>132</v>
      </c>
      <c r="E4" s="1">
        <v>0</v>
      </c>
      <c r="F4" s="3"/>
      <c r="G4" s="3" t="s">
        <v>70</v>
      </c>
      <c r="H4" s="3" t="s">
        <v>74</v>
      </c>
      <c r="I4" s="3" t="s">
        <v>75</v>
      </c>
      <c r="J4" s="3"/>
      <c r="K4" s="3" t="s">
        <v>76</v>
      </c>
      <c r="L4" s="3">
        <v>0</v>
      </c>
      <c r="M4" s="3">
        <v>1</v>
      </c>
      <c r="N4" s="3">
        <v>0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 t="s">
        <v>70</v>
      </c>
      <c r="AA4" s="3" t="s">
        <v>78</v>
      </c>
      <c r="AB4" s="3"/>
      <c r="AC4" s="3" t="s">
        <v>70</v>
      </c>
      <c r="AD4" s="3" t="s">
        <v>79</v>
      </c>
    </row>
    <row r="5" spans="3:30" x14ac:dyDescent="0.25">
      <c r="C5" s="10" t="s">
        <v>75</v>
      </c>
      <c r="D5" s="1">
        <f>22*12</f>
        <v>264</v>
      </c>
      <c r="E5" s="1">
        <v>0</v>
      </c>
      <c r="F5" s="3"/>
      <c r="G5" s="1" t="s">
        <v>71</v>
      </c>
      <c r="H5" s="1" t="s">
        <v>75</v>
      </c>
      <c r="I5" s="1" t="s">
        <v>76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 t="s">
        <v>71</v>
      </c>
      <c r="AA5" s="3" t="s">
        <v>78</v>
      </c>
      <c r="AB5" s="3"/>
      <c r="AC5" s="3" t="s">
        <v>71</v>
      </c>
      <c r="AD5" s="3" t="s">
        <v>79</v>
      </c>
    </row>
    <row r="6" spans="3:30" x14ac:dyDescent="0.25">
      <c r="C6" s="3" t="s">
        <v>76</v>
      </c>
      <c r="D6" s="1">
        <f>33*12</f>
        <v>396</v>
      </c>
      <c r="E6" s="1">
        <v>0</v>
      </c>
      <c r="F6" s="3"/>
      <c r="G6" s="3" t="s">
        <v>72</v>
      </c>
      <c r="H6" s="3" t="s">
        <v>76</v>
      </c>
      <c r="I6" s="3" t="s">
        <v>77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 t="s">
        <v>72</v>
      </c>
      <c r="AA6" s="3" t="s">
        <v>78</v>
      </c>
      <c r="AB6" s="3"/>
      <c r="AC6" s="3" t="s">
        <v>72</v>
      </c>
      <c r="AD6" s="3" t="s">
        <v>79</v>
      </c>
    </row>
    <row r="7" spans="3:30" x14ac:dyDescent="0.25">
      <c r="C7" s="10" t="s">
        <v>77</v>
      </c>
      <c r="D7" s="1">
        <f>44*12</f>
        <v>528</v>
      </c>
      <c r="E7" s="1">
        <v>0</v>
      </c>
      <c r="F7" s="3"/>
      <c r="G7" s="1"/>
      <c r="H7" s="1"/>
      <c r="I7" s="1"/>
      <c r="J7" s="1"/>
      <c r="K7" s="3"/>
      <c r="L7" s="3"/>
      <c r="M7" s="3"/>
      <c r="N7" s="3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3"/>
      <c r="AA7" s="3"/>
      <c r="AB7" s="3"/>
      <c r="AC7" s="3"/>
      <c r="AD7" s="3"/>
    </row>
    <row r="8" spans="3:30" x14ac:dyDescent="0.25">
      <c r="C8" s="3"/>
      <c r="D8" s="1"/>
      <c r="E8" s="1"/>
      <c r="F8" s="3"/>
      <c r="G8" s="3"/>
      <c r="H8" s="3"/>
      <c r="I8" s="3"/>
      <c r="K8" s="3"/>
      <c r="L8" s="3"/>
      <c r="M8" s="3"/>
      <c r="N8" s="3"/>
      <c r="Z8" s="3"/>
      <c r="AA8" s="3"/>
      <c r="AB8" s="3"/>
      <c r="AC8" s="3"/>
      <c r="AD8" s="3"/>
    </row>
    <row r="9" spans="3:30" x14ac:dyDescent="0.25">
      <c r="C9" s="10"/>
      <c r="D9" s="1"/>
      <c r="E9" s="1"/>
      <c r="G9" s="1"/>
      <c r="H9" s="1"/>
      <c r="I9" s="1"/>
      <c r="K9" s="3"/>
      <c r="L9" s="3"/>
      <c r="M9" s="3"/>
      <c r="N9" s="3"/>
      <c r="Z9" s="3"/>
      <c r="AA9" s="3"/>
      <c r="AB9" s="3"/>
      <c r="AC9" s="3"/>
      <c r="AD9" s="3"/>
    </row>
    <row r="10" spans="3:30" x14ac:dyDescent="0.25">
      <c r="C10" s="3"/>
      <c r="D10" s="1"/>
      <c r="E10" s="1"/>
      <c r="G10" s="3"/>
      <c r="H10" s="3"/>
      <c r="I10" s="3"/>
      <c r="K10" s="3"/>
      <c r="L10" s="3"/>
      <c r="M10" s="3"/>
      <c r="N10" s="3"/>
      <c r="Z10" s="3"/>
      <c r="AA10" s="3"/>
      <c r="AB10" s="3"/>
      <c r="AC10" s="3"/>
      <c r="AD10" s="3"/>
    </row>
    <row r="11" spans="3:30" x14ac:dyDescent="0.25">
      <c r="C11" s="10"/>
      <c r="D11" s="1"/>
      <c r="E11" s="1"/>
      <c r="G11" s="1"/>
      <c r="H11" s="1"/>
      <c r="I11" s="1"/>
      <c r="Z11" s="3"/>
      <c r="AA11" s="3"/>
      <c r="AC11" s="3"/>
      <c r="AD11" s="3"/>
    </row>
    <row r="12" spans="3:30" x14ac:dyDescent="0.25">
      <c r="C12" s="3"/>
      <c r="D12" s="1"/>
      <c r="E12" s="1"/>
      <c r="G12" s="3"/>
      <c r="H12" s="3"/>
      <c r="I12" s="3"/>
      <c r="Z12" s="3"/>
      <c r="AA12" s="3"/>
      <c r="AC12" s="3"/>
      <c r="AD12" s="3"/>
    </row>
    <row r="13" spans="3:30" x14ac:dyDescent="0.25">
      <c r="C13" s="10"/>
      <c r="D13" s="1"/>
      <c r="E13" s="1"/>
      <c r="Z13" s="3"/>
      <c r="AA13" s="3"/>
      <c r="AC13" s="3"/>
      <c r="AD13" s="3"/>
    </row>
  </sheetData>
  <pageMargins left="0.7" right="0.7" top="0.75" bottom="0.75" header="0.3" footer="0.3"/>
  <pageSetup scale="4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C1:AK6"/>
  <sheetViews>
    <sheetView zoomScale="70" zoomScaleNormal="70" workbookViewId="0">
      <selection activeCell="X12" sqref="X12"/>
    </sheetView>
  </sheetViews>
  <sheetFormatPr defaultRowHeight="15" x14ac:dyDescent="0.25"/>
  <cols>
    <col min="8" max="8" width="11" customWidth="1"/>
    <col min="9" max="9" width="12.42578125" bestFit="1" customWidth="1"/>
    <col min="10" max="10" width="12.140625" bestFit="1" customWidth="1"/>
    <col min="20" max="20" width="12.85546875" customWidth="1"/>
    <col min="33" max="33" width="10.7109375" customWidth="1"/>
    <col min="34" max="34" width="12.5703125" customWidth="1"/>
    <col min="36" max="36" width="10.7109375" customWidth="1"/>
    <col min="46" max="46" width="10.5703125" bestFit="1" customWidth="1"/>
  </cols>
  <sheetData>
    <row r="1" spans="3:37" x14ac:dyDescent="0.25">
      <c r="C1" t="s">
        <v>8</v>
      </c>
      <c r="H1" t="s">
        <v>34</v>
      </c>
      <c r="L1" t="s">
        <v>7</v>
      </c>
      <c r="T1" t="s">
        <v>3</v>
      </c>
      <c r="AB1" t="s">
        <v>4</v>
      </c>
      <c r="AG1" t="s">
        <v>5</v>
      </c>
      <c r="AJ1" t="s">
        <v>6</v>
      </c>
    </row>
    <row r="2" spans="3:37" x14ac:dyDescent="0.25">
      <c r="C2" s="1" t="s">
        <v>28</v>
      </c>
      <c r="D2" s="1" t="s">
        <v>0</v>
      </c>
      <c r="E2" s="1" t="s">
        <v>1</v>
      </c>
      <c r="F2" s="1" t="s">
        <v>19</v>
      </c>
      <c r="G2" s="1"/>
      <c r="H2" s="1" t="s">
        <v>35</v>
      </c>
      <c r="I2" s="1" t="s">
        <v>32</v>
      </c>
      <c r="J2" s="1" t="s">
        <v>33</v>
      </c>
      <c r="K2" s="1"/>
      <c r="L2" s="1" t="s">
        <v>28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/>
      <c r="T2" s="1" t="s">
        <v>22</v>
      </c>
      <c r="U2" s="1" t="s">
        <v>9</v>
      </c>
      <c r="V2" s="1" t="s">
        <v>68</v>
      </c>
      <c r="W2" s="1" t="s">
        <v>10</v>
      </c>
      <c r="X2" s="1" t="s">
        <v>31</v>
      </c>
      <c r="Y2" s="1" t="s">
        <v>11</v>
      </c>
      <c r="Z2" s="1" t="s">
        <v>12</v>
      </c>
      <c r="AA2" s="1"/>
      <c r="AB2" s="1" t="s">
        <v>23</v>
      </c>
      <c r="AC2" s="1" t="s">
        <v>2</v>
      </c>
      <c r="AD2" s="1" t="s">
        <v>20</v>
      </c>
      <c r="AE2" s="1" t="s">
        <v>21</v>
      </c>
      <c r="AF2" s="1"/>
      <c r="AG2" s="1" t="s">
        <v>35</v>
      </c>
      <c r="AH2" s="1" t="s">
        <v>22</v>
      </c>
      <c r="AI2" s="1"/>
      <c r="AJ2" s="1" t="s">
        <v>35</v>
      </c>
      <c r="AK2" s="1" t="s">
        <v>23</v>
      </c>
    </row>
    <row r="3" spans="3:37" x14ac:dyDescent="0.25">
      <c r="C3" s="2">
        <v>1</v>
      </c>
      <c r="D3" s="2">
        <v>0</v>
      </c>
      <c r="E3" s="2">
        <v>0</v>
      </c>
      <c r="F3" s="2">
        <v>1</v>
      </c>
      <c r="G3" s="1"/>
      <c r="H3" s="2">
        <v>1</v>
      </c>
      <c r="I3" s="2">
        <v>1</v>
      </c>
      <c r="J3" s="2">
        <v>2</v>
      </c>
      <c r="K3" s="3"/>
      <c r="L3" s="2">
        <v>1</v>
      </c>
      <c r="M3" s="2">
        <v>1</v>
      </c>
      <c r="N3" s="2">
        <v>1</v>
      </c>
      <c r="O3" s="2"/>
      <c r="P3" s="2"/>
      <c r="Q3" s="2"/>
      <c r="R3" s="2"/>
      <c r="S3" s="1"/>
      <c r="T3" s="2">
        <v>1</v>
      </c>
      <c r="U3" s="2">
        <v>2</v>
      </c>
      <c r="V3" s="2"/>
      <c r="W3" s="2"/>
      <c r="X3" s="2"/>
      <c r="Y3" s="2"/>
      <c r="Z3" s="2"/>
      <c r="AA3" s="1"/>
      <c r="AB3" s="2">
        <v>1</v>
      </c>
      <c r="AC3" s="2">
        <v>538000</v>
      </c>
      <c r="AD3" s="2"/>
      <c r="AE3" s="2"/>
      <c r="AF3" s="1"/>
      <c r="AG3" s="2">
        <v>1</v>
      </c>
      <c r="AH3" s="2">
        <v>2</v>
      </c>
      <c r="AI3" s="1"/>
      <c r="AJ3" s="2">
        <v>1</v>
      </c>
      <c r="AK3" s="2">
        <v>1</v>
      </c>
    </row>
    <row r="4" spans="3:37" x14ac:dyDescent="0.25">
      <c r="C4" s="2">
        <v>2</v>
      </c>
      <c r="D4" s="2">
        <v>5</v>
      </c>
      <c r="E4" s="2">
        <v>0</v>
      </c>
      <c r="F4" s="2">
        <v>2</v>
      </c>
      <c r="G4" s="1"/>
      <c r="H4" s="2">
        <v>2</v>
      </c>
      <c r="I4" s="2">
        <v>2</v>
      </c>
      <c r="J4" s="2">
        <v>3</v>
      </c>
      <c r="K4" s="3"/>
      <c r="L4" s="2">
        <v>2</v>
      </c>
      <c r="M4" s="2">
        <v>0</v>
      </c>
      <c r="N4" s="2">
        <v>1</v>
      </c>
      <c r="O4" s="2"/>
      <c r="P4" s="2"/>
      <c r="Q4" s="2"/>
      <c r="R4" s="2"/>
      <c r="S4" s="1"/>
      <c r="T4" s="2">
        <v>2</v>
      </c>
      <c r="U4" s="2">
        <v>1</v>
      </c>
      <c r="V4" s="2"/>
      <c r="W4" s="2"/>
      <c r="X4" s="2"/>
      <c r="Y4" s="2"/>
      <c r="Z4" s="2"/>
      <c r="AA4" s="1"/>
      <c r="AB4" s="1"/>
      <c r="AC4" s="1"/>
      <c r="AD4" s="1"/>
      <c r="AE4" s="1"/>
      <c r="AF4" s="1"/>
      <c r="AG4" s="2">
        <v>2</v>
      </c>
      <c r="AH4" s="2">
        <v>1</v>
      </c>
      <c r="AI4" s="1"/>
      <c r="AJ4" s="2">
        <v>2</v>
      </c>
      <c r="AK4" s="2">
        <v>1</v>
      </c>
    </row>
    <row r="5" spans="3:37" x14ac:dyDescent="0.25">
      <c r="C5" s="2">
        <v>3</v>
      </c>
      <c r="D5" s="2">
        <v>2.5</v>
      </c>
      <c r="E5" s="2">
        <v>5</v>
      </c>
      <c r="F5" s="2">
        <v>3</v>
      </c>
      <c r="G5" s="1"/>
      <c r="H5" s="2">
        <v>3</v>
      </c>
      <c r="I5" s="2">
        <v>3</v>
      </c>
      <c r="J5" s="2">
        <v>1</v>
      </c>
      <c r="K5" s="3"/>
      <c r="L5" s="1"/>
      <c r="M5" s="1"/>
      <c r="N5" s="1"/>
      <c r="O5" s="1"/>
      <c r="P5" s="1"/>
      <c r="Q5" s="1"/>
      <c r="R5" s="1"/>
      <c r="S5" s="1"/>
      <c r="T5" s="2">
        <v>3</v>
      </c>
      <c r="U5" s="2"/>
      <c r="V5" s="2"/>
      <c r="W5" s="2"/>
      <c r="X5" s="2"/>
      <c r="Y5" s="2"/>
      <c r="Z5" s="2"/>
      <c r="AA5" s="1"/>
      <c r="AB5" s="1"/>
      <c r="AC5" s="1"/>
      <c r="AD5" s="1"/>
      <c r="AE5" s="1"/>
      <c r="AF5" s="1"/>
      <c r="AG5" s="2">
        <v>3</v>
      </c>
      <c r="AH5" s="2">
        <v>1</v>
      </c>
      <c r="AI5" s="1"/>
      <c r="AJ5" s="2">
        <v>3</v>
      </c>
      <c r="AK5" s="2">
        <v>1</v>
      </c>
    </row>
    <row r="6" spans="3:37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4"/>
  <sheetViews>
    <sheetView workbookViewId="0">
      <selection activeCell="G8" sqref="G8"/>
    </sheetView>
  </sheetViews>
  <sheetFormatPr defaultRowHeight="15" x14ac:dyDescent="0.25"/>
  <cols>
    <col min="2" max="2" width="12.85546875" bestFit="1" customWidth="1"/>
    <col min="3" max="3" width="12.85546875" customWidth="1"/>
    <col min="4" max="4" width="13.140625" bestFit="1" customWidth="1"/>
    <col min="5" max="5" width="10.5703125" bestFit="1" customWidth="1"/>
  </cols>
  <sheetData>
    <row r="1" spans="2:6" x14ac:dyDescent="0.25">
      <c r="B1" s="4" t="s">
        <v>58</v>
      </c>
    </row>
    <row r="2" spans="2:6" x14ac:dyDescent="0.25">
      <c r="B2" s="1" t="s">
        <v>27</v>
      </c>
      <c r="C2" s="1" t="s">
        <v>26</v>
      </c>
      <c r="D2" s="1" t="s">
        <v>28</v>
      </c>
      <c r="E2" s="1" t="s">
        <v>24</v>
      </c>
      <c r="F2" s="1" t="s">
        <v>25</v>
      </c>
    </row>
    <row r="3" spans="2:6" x14ac:dyDescent="0.25">
      <c r="B3" s="1"/>
      <c r="C3" s="1"/>
      <c r="D3" s="1"/>
      <c r="E3" s="1"/>
      <c r="F3" s="1"/>
    </row>
    <row r="4" spans="2:6" x14ac:dyDescent="0.25">
      <c r="B4" s="1"/>
      <c r="C4" s="1"/>
      <c r="D4" s="1"/>
      <c r="E4" s="1"/>
      <c r="F4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K6"/>
  <sheetViews>
    <sheetView workbookViewId="0">
      <selection activeCell="F3" sqref="F3"/>
    </sheetView>
  </sheetViews>
  <sheetFormatPr defaultRowHeight="15" x14ac:dyDescent="0.25"/>
  <cols>
    <col min="2" max="2" width="24.28515625" bestFit="1" customWidth="1"/>
    <col min="3" max="3" width="12.85546875" customWidth="1"/>
    <col min="4" max="4" width="16.42578125" bestFit="1" customWidth="1"/>
    <col min="5" max="5" width="10.5703125" bestFit="1" customWidth="1"/>
    <col min="6" max="7" width="18" bestFit="1" customWidth="1"/>
    <col min="8" max="8" width="20.7109375" bestFit="1" customWidth="1"/>
    <col min="9" max="9" width="20.7109375" customWidth="1"/>
    <col min="10" max="10" width="14" bestFit="1" customWidth="1"/>
    <col min="11" max="11" width="12.140625" bestFit="1" customWidth="1"/>
  </cols>
  <sheetData>
    <row r="1" spans="2:11" x14ac:dyDescent="0.25">
      <c r="B1" s="4" t="s">
        <v>59</v>
      </c>
    </row>
    <row r="2" spans="2:11" x14ac:dyDescent="0.25">
      <c r="B2" t="s">
        <v>27</v>
      </c>
      <c r="C2" t="s">
        <v>26</v>
      </c>
      <c r="D2" t="s">
        <v>35</v>
      </c>
      <c r="E2" t="s">
        <v>41</v>
      </c>
      <c r="F2" t="s">
        <v>24</v>
      </c>
      <c r="G2" t="s">
        <v>29</v>
      </c>
      <c r="H2" t="s">
        <v>25</v>
      </c>
      <c r="I2" t="s">
        <v>42</v>
      </c>
      <c r="J2" t="s">
        <v>40</v>
      </c>
      <c r="K2" t="s">
        <v>39</v>
      </c>
    </row>
    <row r="3" spans="2:11" x14ac:dyDescent="0.25">
      <c r="B3" t="s">
        <v>80</v>
      </c>
      <c r="D3" t="s">
        <v>69</v>
      </c>
      <c r="E3" t="s">
        <v>61</v>
      </c>
      <c r="F3">
        <v>-6.67</v>
      </c>
      <c r="G3" t="s">
        <v>62</v>
      </c>
      <c r="H3" t="s">
        <v>37</v>
      </c>
      <c r="I3" t="s">
        <v>63</v>
      </c>
      <c r="J3">
        <v>0</v>
      </c>
      <c r="K3">
        <v>1</v>
      </c>
    </row>
    <row r="4" spans="2:11" x14ac:dyDescent="0.25">
      <c r="B4" t="s">
        <v>81</v>
      </c>
      <c r="D4" t="s">
        <v>70</v>
      </c>
      <c r="E4" t="s">
        <v>61</v>
      </c>
      <c r="F4">
        <f>F3</f>
        <v>-6.67</v>
      </c>
      <c r="G4" t="s">
        <v>62</v>
      </c>
      <c r="H4" t="s">
        <v>37</v>
      </c>
      <c r="I4" t="s">
        <v>63</v>
      </c>
      <c r="J4">
        <v>0</v>
      </c>
      <c r="K4">
        <v>1</v>
      </c>
    </row>
    <row r="5" spans="2:11" x14ac:dyDescent="0.25">
      <c r="B5" t="s">
        <v>82</v>
      </c>
      <c r="D5" t="s">
        <v>71</v>
      </c>
      <c r="E5" t="s">
        <v>61</v>
      </c>
      <c r="F5">
        <f t="shared" ref="F5:F7" si="0">F4</f>
        <v>-6.67</v>
      </c>
      <c r="G5" t="s">
        <v>62</v>
      </c>
      <c r="H5" t="s">
        <v>37</v>
      </c>
      <c r="I5" t="s">
        <v>63</v>
      </c>
      <c r="J5">
        <v>0</v>
      </c>
      <c r="K5">
        <v>1</v>
      </c>
    </row>
    <row r="6" spans="2:11" x14ac:dyDescent="0.25">
      <c r="B6" t="s">
        <v>83</v>
      </c>
      <c r="D6" t="s">
        <v>72</v>
      </c>
      <c r="E6" t="s">
        <v>61</v>
      </c>
      <c r="F6">
        <f t="shared" si="0"/>
        <v>-6.67</v>
      </c>
      <c r="G6" t="s">
        <v>62</v>
      </c>
      <c r="H6" t="s">
        <v>37</v>
      </c>
      <c r="I6" t="s">
        <v>63</v>
      </c>
      <c r="J6">
        <v>0</v>
      </c>
      <c r="K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CFF0-93B1-4410-AA5D-6C52625A9C2E}">
  <sheetPr codeName="Sheet8"/>
  <dimension ref="C3"/>
  <sheetViews>
    <sheetView workbookViewId="0">
      <selection activeCell="Q29" sqref="Q29"/>
    </sheetView>
  </sheetViews>
  <sheetFormatPr defaultRowHeight="15" x14ac:dyDescent="0.25"/>
  <sheetData>
    <row r="3" spans="3:3" x14ac:dyDescent="0.25">
      <c r="C3" t="s">
        <v>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F3"/>
  <sheetViews>
    <sheetView workbookViewId="0">
      <selection activeCell="G3" sqref="G3"/>
    </sheetView>
  </sheetViews>
  <sheetFormatPr defaultRowHeight="15" x14ac:dyDescent="0.25"/>
  <cols>
    <col min="2" max="2" width="15.5703125" bestFit="1" customWidth="1"/>
    <col min="3" max="5" width="14.5703125" bestFit="1" customWidth="1"/>
  </cols>
  <sheetData>
    <row r="1" spans="2:6" x14ac:dyDescent="0.25">
      <c r="B1" s="4" t="s">
        <v>60</v>
      </c>
    </row>
    <row r="2" spans="2:6" x14ac:dyDescent="0.25">
      <c r="B2" t="s">
        <v>54</v>
      </c>
      <c r="C2" t="s">
        <v>27</v>
      </c>
    </row>
    <row r="3" spans="2:6" x14ac:dyDescent="0.25">
      <c r="B3" t="s">
        <v>56</v>
      </c>
      <c r="C3" t="s">
        <v>80</v>
      </c>
      <c r="D3" t="s">
        <v>81</v>
      </c>
      <c r="E3" t="s">
        <v>82</v>
      </c>
      <c r="F3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6"/>
  <sheetViews>
    <sheetView zoomScaleNormal="100" workbookViewId="0">
      <selection activeCell="K19" sqref="K19"/>
    </sheetView>
  </sheetViews>
  <sheetFormatPr defaultRowHeight="15" x14ac:dyDescent="0.25"/>
  <sheetData>
    <row r="1" spans="1:8" x14ac:dyDescent="0.25">
      <c r="A1" t="s">
        <v>53</v>
      </c>
      <c r="B1" t="s">
        <v>44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25">
      <c r="A2" t="s">
        <v>56</v>
      </c>
      <c r="B2" t="s">
        <v>73</v>
      </c>
      <c r="C2">
        <v>0</v>
      </c>
      <c r="D2">
        <v>-8.9356497841726557E-2</v>
      </c>
      <c r="H2">
        <v>4.6983980815347681E-4</v>
      </c>
    </row>
    <row r="3" spans="1:8" x14ac:dyDescent="0.25">
      <c r="A3" t="s">
        <v>56</v>
      </c>
      <c r="B3" t="s">
        <v>74</v>
      </c>
      <c r="C3">
        <v>0</v>
      </c>
      <c r="D3">
        <v>0</v>
      </c>
      <c r="H3">
        <v>2.3491990407673835E-4</v>
      </c>
    </row>
    <row r="4" spans="1:8" x14ac:dyDescent="0.25">
      <c r="A4" t="s">
        <v>56</v>
      </c>
      <c r="B4" t="s">
        <v>75</v>
      </c>
      <c r="C4">
        <v>0</v>
      </c>
      <c r="D4">
        <v>-2.7337643165467638E-2</v>
      </c>
      <c r="H4">
        <v>4.3107112549802425E-20</v>
      </c>
    </row>
    <row r="5" spans="1:8" x14ac:dyDescent="0.25">
      <c r="A5" t="s">
        <v>56</v>
      </c>
      <c r="B5" t="s">
        <v>76</v>
      </c>
      <c r="C5">
        <v>0</v>
      </c>
      <c r="D5">
        <v>0</v>
      </c>
      <c r="H5">
        <v>-2.3491990407673805E-4</v>
      </c>
    </row>
    <row r="6" spans="1:8" x14ac:dyDescent="0.25">
      <c r="A6" t="s">
        <v>56</v>
      </c>
      <c r="B6" t="s">
        <v>77</v>
      </c>
      <c r="C6">
        <v>0</v>
      </c>
      <c r="D6">
        <v>-8.9356497841726473E-2</v>
      </c>
      <c r="H6">
        <v>-4.6983980815347632E-4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9"/>
  <sheetViews>
    <sheetView workbookViewId="0">
      <selection activeCell="I2" sqref="I2"/>
    </sheetView>
  </sheetViews>
  <sheetFormatPr defaultRowHeight="15" x14ac:dyDescent="0.25"/>
  <sheetData>
    <row r="1" spans="1:9" x14ac:dyDescent="0.25">
      <c r="A1" t="s">
        <v>53</v>
      </c>
      <c r="B1" t="s">
        <v>48</v>
      </c>
      <c r="C1" t="s">
        <v>44</v>
      </c>
      <c r="D1" t="s">
        <v>38</v>
      </c>
      <c r="E1" t="s">
        <v>37</v>
      </c>
      <c r="F1" t="s">
        <v>49</v>
      </c>
      <c r="G1" t="s">
        <v>50</v>
      </c>
      <c r="H1" t="s">
        <v>51</v>
      </c>
      <c r="I1" t="s">
        <v>52</v>
      </c>
    </row>
    <row r="2" spans="1:9" x14ac:dyDescent="0.25">
      <c r="A2" t="s">
        <v>56</v>
      </c>
      <c r="B2" t="s">
        <v>69</v>
      </c>
      <c r="C2" t="s">
        <v>73</v>
      </c>
      <c r="D2">
        <v>0</v>
      </c>
      <c r="E2">
        <v>5.6843418860808015E-14</v>
      </c>
      <c r="I2">
        <v>0</v>
      </c>
    </row>
    <row r="3" spans="1:9" x14ac:dyDescent="0.25">
      <c r="A3" t="s">
        <v>56</v>
      </c>
      <c r="B3" t="s">
        <v>69</v>
      </c>
      <c r="C3" t="s">
        <v>74</v>
      </c>
      <c r="D3">
        <v>0</v>
      </c>
      <c r="E3">
        <v>880.43999999999983</v>
      </c>
      <c r="I3">
        <v>-58109.039999999964</v>
      </c>
    </row>
    <row r="4" spans="1:9" x14ac:dyDescent="0.25">
      <c r="A4" t="s">
        <v>56</v>
      </c>
      <c r="B4" t="s">
        <v>70</v>
      </c>
      <c r="C4" t="s">
        <v>74</v>
      </c>
      <c r="D4">
        <v>0</v>
      </c>
      <c r="E4">
        <v>880.44</v>
      </c>
      <c r="I4">
        <v>58109.039999999979</v>
      </c>
    </row>
    <row r="5" spans="1:9" x14ac:dyDescent="0.25">
      <c r="A5" t="s">
        <v>56</v>
      </c>
      <c r="B5" t="s">
        <v>70</v>
      </c>
      <c r="C5" t="s">
        <v>75</v>
      </c>
      <c r="D5">
        <v>0</v>
      </c>
      <c r="E5">
        <v>-5.6843418860808015E-14</v>
      </c>
      <c r="I5">
        <v>2.7284841053187847E-11</v>
      </c>
    </row>
    <row r="6" spans="1:9" x14ac:dyDescent="0.25">
      <c r="A6" t="s">
        <v>56</v>
      </c>
      <c r="B6" t="s">
        <v>71</v>
      </c>
      <c r="C6" t="s">
        <v>75</v>
      </c>
      <c r="D6">
        <v>0</v>
      </c>
      <c r="E6">
        <v>2.8421709430404007E-13</v>
      </c>
      <c r="I6">
        <v>-2.5465851649641991E-11</v>
      </c>
    </row>
    <row r="7" spans="1:9" x14ac:dyDescent="0.25">
      <c r="A7" t="s">
        <v>56</v>
      </c>
      <c r="B7" t="s">
        <v>71</v>
      </c>
      <c r="C7" t="s">
        <v>76</v>
      </c>
      <c r="D7">
        <v>0</v>
      </c>
      <c r="E7">
        <v>880.4399999999996</v>
      </c>
      <c r="I7">
        <v>-58109.039999999935</v>
      </c>
    </row>
    <row r="8" spans="1:9" x14ac:dyDescent="0.25">
      <c r="A8" t="s">
        <v>56</v>
      </c>
      <c r="B8" t="s">
        <v>72</v>
      </c>
      <c r="C8" t="s">
        <v>76</v>
      </c>
      <c r="D8">
        <v>0</v>
      </c>
      <c r="E8">
        <v>880.4399999999996</v>
      </c>
      <c r="I8">
        <v>58109.039999999935</v>
      </c>
    </row>
    <row r="9" spans="1:9" x14ac:dyDescent="0.25">
      <c r="A9" t="s">
        <v>56</v>
      </c>
      <c r="B9" t="s">
        <v>72</v>
      </c>
      <c r="C9" t="s">
        <v>77</v>
      </c>
      <c r="D9">
        <v>0</v>
      </c>
      <c r="E9">
        <v>3.4106051316484809E-13</v>
      </c>
      <c r="I9">
        <v>-3.637978807091713E-12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G3"/>
  <sheetViews>
    <sheetView workbookViewId="0">
      <selection activeCell="D2" sqref="D2"/>
    </sheetView>
  </sheetViews>
  <sheetFormatPr defaultRowHeight="15" x14ac:dyDescent="0.25"/>
  <sheetData>
    <row r="1" spans="1:7" x14ac:dyDescent="0.25">
      <c r="A1" t="s">
        <v>44</v>
      </c>
      <c r="B1" t="s">
        <v>38</v>
      </c>
      <c r="C1" t="s">
        <v>37</v>
      </c>
      <c r="D1" t="s">
        <v>49</v>
      </c>
      <c r="E1" t="s">
        <v>50</v>
      </c>
      <c r="F1" t="s">
        <v>51</v>
      </c>
      <c r="G1" t="s">
        <v>52</v>
      </c>
    </row>
    <row r="2" spans="1:7" x14ac:dyDescent="0.25">
      <c r="A2" t="s">
        <v>56</v>
      </c>
      <c r="B2" t="s">
        <v>74</v>
      </c>
      <c r="C2">
        <v>0</v>
      </c>
      <c r="D2">
        <v>1760.8799999999999</v>
      </c>
      <c r="G2">
        <v>0</v>
      </c>
    </row>
    <row r="3" spans="1:7" x14ac:dyDescent="0.25">
      <c r="A3" t="s">
        <v>56</v>
      </c>
      <c r="B3" t="s">
        <v>76</v>
      </c>
      <c r="C3">
        <v>0</v>
      </c>
      <c r="D3">
        <v>1760.8799999999992</v>
      </c>
      <c r="G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Control</vt:lpstr>
      <vt:lpstr>Truss</vt:lpstr>
      <vt:lpstr>2DFrame</vt:lpstr>
      <vt:lpstr>3DFrame</vt:lpstr>
      <vt:lpstr>JointLoads</vt:lpstr>
      <vt:lpstr>ElementLoads</vt:lpstr>
      <vt:lpstr>LoadCombinations</vt:lpstr>
      <vt:lpstr>LoadCases</vt:lpstr>
      <vt:lpstr>OutputJointDisplacements</vt:lpstr>
      <vt:lpstr>OutputMemberForces</vt:lpstr>
      <vt:lpstr>OutputReactions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Whitten</dc:creator>
  <cp:lastModifiedBy>Michael Whitten</cp:lastModifiedBy>
  <cp:lastPrinted>2019-07-31T17:26:26Z</cp:lastPrinted>
  <dcterms:created xsi:type="dcterms:W3CDTF">2018-02-06T16:57:14Z</dcterms:created>
  <dcterms:modified xsi:type="dcterms:W3CDTF">2020-02-10T17:36:00Z</dcterms:modified>
</cp:coreProperties>
</file>