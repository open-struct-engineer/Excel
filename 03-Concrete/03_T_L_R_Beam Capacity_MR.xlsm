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e6b96fae790869d/Work/In_Development/"/>
    </mc:Choice>
  </mc:AlternateContent>
  <xr:revisionPtr revIDLastSave="116870" documentId="13_ncr:1_{1C41923C-969D-4590-B795-7C74C5EC0667}" xr6:coauthVersionLast="45" xr6:coauthVersionMax="45" xr10:uidLastSave="{D7B34BFC-61AD-4FE8-B311-994BB3A83295}"/>
  <bookViews>
    <workbookView xWindow="-120" yWindow="-120" windowWidth="27930" windowHeight="18240" activeTab="1" xr2:uid="{2AFCDE7C-57C4-4CF6-8D68-85BA7869C158}"/>
  </bookViews>
  <sheets>
    <sheet name="Mx_L_vx_Mx_R" sheetId="2" r:id="rId1"/>
    <sheet name="L_Section_Capacity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12" i="1" l="1"/>
  <c r="W11" i="1"/>
  <c r="W10" i="1"/>
  <c r="U13" i="1"/>
  <c r="E6" i="1" l="1"/>
  <c r="F27" i="1" l="1" a="1"/>
  <c r="F27" i="1" s="1"/>
  <c r="I26" i="1" l="1"/>
  <c r="AM11" i="1"/>
  <c r="AN11" i="1"/>
  <c r="AO11" i="1"/>
  <c r="AM12" i="1"/>
  <c r="AN12" i="1"/>
  <c r="AO12" i="1"/>
  <c r="AM13" i="1"/>
  <c r="AN13" i="1"/>
  <c r="AO13" i="1"/>
  <c r="AM14" i="1"/>
  <c r="AN14" i="1"/>
  <c r="AO14" i="1"/>
  <c r="AM15" i="1"/>
  <c r="AN15" i="1"/>
  <c r="AO15" i="1"/>
  <c r="AM16" i="1"/>
  <c r="AN16" i="1"/>
  <c r="AO16" i="1"/>
  <c r="AM17" i="1"/>
  <c r="AN17" i="1"/>
  <c r="AO17" i="1"/>
  <c r="AM18" i="1"/>
  <c r="AN18" i="1"/>
  <c r="AO18" i="1"/>
  <c r="AM19" i="1"/>
  <c r="AN19" i="1"/>
  <c r="AO19" i="1"/>
  <c r="AM20" i="1"/>
  <c r="AN20" i="1"/>
  <c r="AO20" i="1"/>
  <c r="AM21" i="1"/>
  <c r="AN21" i="1"/>
  <c r="AO21" i="1"/>
  <c r="AM22" i="1"/>
  <c r="AN22" i="1"/>
  <c r="AO22" i="1"/>
  <c r="AM23" i="1"/>
  <c r="AN23" i="1"/>
  <c r="AO23" i="1"/>
  <c r="AM24" i="1"/>
  <c r="AN24" i="1"/>
  <c r="AO24" i="1"/>
  <c r="AM25" i="1"/>
  <c r="AN25" i="1"/>
  <c r="AO25" i="1"/>
  <c r="AM26" i="1"/>
  <c r="AN26" i="1"/>
  <c r="AO26" i="1"/>
  <c r="AM27" i="1"/>
  <c r="AN27" i="1"/>
  <c r="AO27" i="1"/>
  <c r="AM28" i="1"/>
  <c r="AN28" i="1"/>
  <c r="AO28" i="1"/>
  <c r="AM29" i="1"/>
  <c r="AN29" i="1"/>
  <c r="AO29" i="1"/>
  <c r="AM30" i="1"/>
  <c r="AN30" i="1"/>
  <c r="AO30" i="1"/>
  <c r="AM31" i="1"/>
  <c r="AN31" i="1"/>
  <c r="AO31" i="1"/>
  <c r="AM32" i="1"/>
  <c r="AN32" i="1"/>
  <c r="AO32" i="1"/>
  <c r="AM33" i="1"/>
  <c r="AN33" i="1"/>
  <c r="AO33" i="1"/>
  <c r="AM34" i="1"/>
  <c r="AN34" i="1"/>
  <c r="AO34" i="1"/>
  <c r="AM35" i="1"/>
  <c r="AN35" i="1"/>
  <c r="AO35" i="1"/>
  <c r="AM36" i="1"/>
  <c r="AN36" i="1"/>
  <c r="AO36" i="1"/>
  <c r="AM37" i="1"/>
  <c r="AN37" i="1"/>
  <c r="AO37" i="1"/>
  <c r="AM38" i="1"/>
  <c r="AN38" i="1"/>
  <c r="AO38" i="1"/>
  <c r="AM39" i="1"/>
  <c r="AN39" i="1"/>
  <c r="AO39" i="1"/>
  <c r="AM40" i="1"/>
  <c r="AN40" i="1"/>
  <c r="AO40" i="1"/>
  <c r="AM41" i="1"/>
  <c r="AN41" i="1"/>
  <c r="AO41" i="1"/>
  <c r="AM42" i="1"/>
  <c r="AN42" i="1"/>
  <c r="AO42" i="1"/>
  <c r="AM43" i="1"/>
  <c r="AN43" i="1"/>
  <c r="AO43" i="1"/>
  <c r="AM44" i="1"/>
  <c r="AN44" i="1"/>
  <c r="AO44" i="1"/>
  <c r="AM47" i="1"/>
  <c r="AN47" i="1"/>
  <c r="AO47" i="1"/>
  <c r="AM48" i="1"/>
  <c r="AN48" i="1"/>
  <c r="AO48" i="1"/>
  <c r="AM49" i="1"/>
  <c r="AN49" i="1"/>
  <c r="AO49" i="1"/>
  <c r="AM50" i="1"/>
  <c r="AN50" i="1"/>
  <c r="AO50" i="1"/>
  <c r="AM51" i="1"/>
  <c r="AN51" i="1"/>
  <c r="AO51" i="1"/>
  <c r="AM52" i="1"/>
  <c r="AN52" i="1"/>
  <c r="AO52" i="1"/>
  <c r="AM53" i="1"/>
  <c r="AN53" i="1"/>
  <c r="AO53" i="1"/>
  <c r="F28" i="1"/>
  <c r="H27" i="1" s="1"/>
  <c r="I27" i="1" s="1"/>
  <c r="C16" i="1"/>
  <c r="C17" i="1"/>
  <c r="C18" i="1"/>
  <c r="C19" i="1"/>
  <c r="C20" i="1"/>
  <c r="C21" i="1"/>
  <c r="C22" i="1"/>
  <c r="C23" i="1"/>
  <c r="C24" i="1"/>
  <c r="AD50" i="1" l="1"/>
  <c r="AM5" i="1"/>
  <c r="AN5" i="1"/>
  <c r="AO5" i="1"/>
  <c r="AM6" i="1"/>
  <c r="AN6" i="1"/>
  <c r="AO6" i="1"/>
  <c r="AM7" i="1"/>
  <c r="AN7" i="1"/>
  <c r="AO7" i="1"/>
  <c r="AM8" i="1"/>
  <c r="AN8" i="1"/>
  <c r="AO8" i="1"/>
  <c r="AM9" i="1"/>
  <c r="AN9" i="1"/>
  <c r="AO9" i="1"/>
  <c r="AM10" i="1"/>
  <c r="AN10" i="1"/>
  <c r="AO10" i="1"/>
  <c r="AO2" i="1"/>
  <c r="AO3" i="1"/>
  <c r="AO4" i="1"/>
  <c r="AO1" i="1"/>
  <c r="AN2" i="1"/>
  <c r="AN3" i="1"/>
  <c r="AN4" i="1"/>
  <c r="AN1" i="1"/>
  <c r="AM2" i="1"/>
  <c r="AM3" i="1"/>
  <c r="AM4" i="1"/>
  <c r="AM1" i="1"/>
  <c r="B82" i="1" l="1"/>
  <c r="E61" i="1" l="1"/>
  <c r="E62" i="1"/>
  <c r="E63" i="1"/>
  <c r="E64" i="1"/>
  <c r="E65" i="1"/>
  <c r="E66" i="1"/>
  <c r="E67" i="1"/>
  <c r="E68" i="1"/>
  <c r="E69" i="1"/>
  <c r="E70" i="1"/>
  <c r="E71" i="1"/>
  <c r="B61" i="1"/>
  <c r="C61" i="1"/>
  <c r="D61" i="1"/>
  <c r="B62" i="1"/>
  <c r="D62" i="1"/>
  <c r="B63" i="1"/>
  <c r="D63" i="1"/>
  <c r="B64" i="1"/>
  <c r="D64" i="1"/>
  <c r="B65" i="1"/>
  <c r="D65" i="1"/>
  <c r="B66" i="1"/>
  <c r="B67" i="1"/>
  <c r="D67" i="1"/>
  <c r="B68" i="1"/>
  <c r="Q68" i="1" s="1"/>
  <c r="D68" i="1"/>
  <c r="B69" i="1"/>
  <c r="Q69" i="1" s="1"/>
  <c r="D69" i="1"/>
  <c r="B70" i="1"/>
  <c r="R70" i="1" s="1"/>
  <c r="D70" i="1"/>
  <c r="B71" i="1"/>
  <c r="Q71" i="1" s="1"/>
  <c r="D71" i="1"/>
  <c r="A68" i="1"/>
  <c r="A69" i="1"/>
  <c r="A70" i="1"/>
  <c r="A71" i="1"/>
  <c r="A62" i="1"/>
  <c r="A63" i="1"/>
  <c r="A64" i="1"/>
  <c r="A65" i="1"/>
  <c r="A66" i="1"/>
  <c r="A67" i="1"/>
  <c r="A61" i="1"/>
  <c r="B31" i="1"/>
  <c r="R71" i="1" l="1"/>
  <c r="Q70" i="1"/>
  <c r="R69" i="1"/>
  <c r="R68" i="1"/>
  <c r="T16" i="1"/>
  <c r="U16" i="1"/>
  <c r="T17" i="1"/>
  <c r="U17" i="1"/>
  <c r="T18" i="1"/>
  <c r="U18" i="1"/>
  <c r="T19" i="1"/>
  <c r="U19" i="1"/>
  <c r="T20" i="1"/>
  <c r="U20" i="1"/>
  <c r="T21" i="1"/>
  <c r="U21" i="1"/>
  <c r="T22" i="1"/>
  <c r="U22" i="1"/>
  <c r="T23" i="1"/>
  <c r="U23" i="1"/>
  <c r="T24" i="1"/>
  <c r="U24" i="1"/>
  <c r="U15" i="1"/>
  <c r="T15" i="1"/>
  <c r="I3" i="1"/>
  <c r="I2" i="1"/>
  <c r="D66" i="1"/>
  <c r="C63" i="1"/>
  <c r="C64" i="1"/>
  <c r="C65" i="1"/>
  <c r="C66" i="1"/>
  <c r="C67" i="1"/>
  <c r="C68" i="1"/>
  <c r="K68" i="1" s="1"/>
  <c r="C69" i="1"/>
  <c r="K69" i="1" s="1"/>
  <c r="C70" i="1"/>
  <c r="K70" i="1" s="1"/>
  <c r="C71" i="1"/>
  <c r="K71" i="1" s="1"/>
  <c r="F7" i="1"/>
  <c r="F8" i="1" s="1"/>
  <c r="F5" i="1"/>
  <c r="E4" i="1"/>
  <c r="B4" i="1"/>
  <c r="B29" i="1" s="1"/>
  <c r="B3" i="1"/>
  <c r="E5" i="1" l="1"/>
  <c r="A39" i="1" s="1"/>
  <c r="G4" i="1"/>
  <c r="A37" i="1"/>
  <c r="A44" i="1"/>
  <c r="A45" i="1"/>
  <c r="B38" i="1"/>
  <c r="B45" i="1"/>
  <c r="B42" i="1"/>
  <c r="F6" i="1"/>
  <c r="F9" i="1" s="1"/>
  <c r="F10" i="1" s="1"/>
  <c r="G5" i="1"/>
  <c r="B41" i="1"/>
  <c r="B39" i="1"/>
  <c r="C39" i="1" s="1"/>
  <c r="D50" i="1" s="1"/>
  <c r="B51" i="1" s="1"/>
  <c r="G71" i="1"/>
  <c r="B43" i="1"/>
  <c r="G62" i="1"/>
  <c r="G63" i="1"/>
  <c r="G69" i="1"/>
  <c r="G64" i="1"/>
  <c r="G67" i="1"/>
  <c r="G68" i="1"/>
  <c r="G70" i="1"/>
  <c r="G66" i="1"/>
  <c r="G65" i="1"/>
  <c r="B37" i="1"/>
  <c r="C37" i="1" s="1"/>
  <c r="B49" i="1" s="1"/>
  <c r="F63" i="1"/>
  <c r="F67" i="1"/>
  <c r="F68" i="1"/>
  <c r="F69" i="1"/>
  <c r="F70" i="1"/>
  <c r="F71" i="1"/>
  <c r="F62" i="1"/>
  <c r="F65" i="1"/>
  <c r="F64" i="1"/>
  <c r="A38" i="1"/>
  <c r="F66" i="1"/>
  <c r="E7" i="1"/>
  <c r="E8" i="1" s="1"/>
  <c r="E9" i="1" s="1"/>
  <c r="G10" i="1" s="1"/>
  <c r="A40" i="1"/>
  <c r="D37" i="1" l="1"/>
  <c r="C49" i="1" s="1"/>
  <c r="C38" i="1"/>
  <c r="D49" i="1" s="1"/>
  <c r="B50" i="1" s="1"/>
  <c r="I66" i="1"/>
  <c r="R66" i="1" s="1"/>
  <c r="C45" i="1"/>
  <c r="D56" i="1" s="1"/>
  <c r="D45" i="1"/>
  <c r="E56" i="1" s="1"/>
  <c r="A42" i="1"/>
  <c r="D42" i="1" s="1"/>
  <c r="E53" i="1" s="1"/>
  <c r="C54" i="1" s="1"/>
  <c r="A43" i="1"/>
  <c r="D43" i="1" s="1"/>
  <c r="E54" i="1" s="1"/>
  <c r="C55" i="1" s="1"/>
  <c r="G11" i="1"/>
  <c r="B44" i="1"/>
  <c r="C44" i="1" s="1"/>
  <c r="D55" i="1" s="1"/>
  <c r="B56" i="1" s="1"/>
  <c r="G9" i="1"/>
  <c r="A41" i="1"/>
  <c r="C41" i="1" s="1"/>
  <c r="D52" i="1" s="1"/>
  <c r="B53" i="1" s="1"/>
  <c r="G8" i="1"/>
  <c r="D39" i="1"/>
  <c r="E50" i="1" s="1"/>
  <c r="C51" i="1" s="1"/>
  <c r="B40" i="1"/>
  <c r="C40" i="1" s="1"/>
  <c r="D51" i="1" s="1"/>
  <c r="B52" i="1" s="1"/>
  <c r="G7" i="1"/>
  <c r="G6" i="1"/>
  <c r="X4" i="1"/>
  <c r="Y4" i="1" s="1"/>
  <c r="I64" i="1"/>
  <c r="R64" i="1" s="1"/>
  <c r="H64" i="1"/>
  <c r="Q64" i="1" s="1"/>
  <c r="H68" i="1"/>
  <c r="I68" i="1"/>
  <c r="H67" i="1"/>
  <c r="Q67" i="1" s="1"/>
  <c r="I67" i="1"/>
  <c r="R67" i="1" s="1"/>
  <c r="H66" i="1"/>
  <c r="Q66" i="1" s="1"/>
  <c r="H63" i="1"/>
  <c r="Q63" i="1" s="1"/>
  <c r="I63" i="1"/>
  <c r="R63" i="1" s="1"/>
  <c r="I70" i="1"/>
  <c r="H70" i="1"/>
  <c r="H69" i="1"/>
  <c r="I69" i="1"/>
  <c r="H65" i="1"/>
  <c r="Q65" i="1" s="1"/>
  <c r="I65" i="1"/>
  <c r="R65" i="1" s="1"/>
  <c r="D38" i="1"/>
  <c r="E49" i="1" s="1"/>
  <c r="C50" i="1" s="1"/>
  <c r="I62" i="1"/>
  <c r="R62" i="1" s="1"/>
  <c r="H62" i="1"/>
  <c r="Q62" i="1" s="1"/>
  <c r="H71" i="1"/>
  <c r="I71" i="1"/>
  <c r="C43" i="1" l="1"/>
  <c r="D54" i="1" s="1"/>
  <c r="B55" i="1" s="1"/>
  <c r="C42" i="1"/>
  <c r="D53" i="1" s="1"/>
  <c r="B54" i="1" s="1"/>
  <c r="D44" i="1"/>
  <c r="E55" i="1" s="1"/>
  <c r="C56" i="1" s="1"/>
  <c r="G12" i="1"/>
  <c r="D41" i="1"/>
  <c r="E52" i="1" s="1"/>
  <c r="C53" i="1" s="1"/>
  <c r="D40" i="1"/>
  <c r="E51" i="1" s="1"/>
  <c r="C52" i="1" s="1"/>
  <c r="X5" i="1"/>
  <c r="F49" i="1"/>
  <c r="G49" i="1" s="1"/>
  <c r="F50" i="1"/>
  <c r="G50" i="1" s="1"/>
  <c r="F54" i="1" l="1"/>
  <c r="G54" i="1" s="1"/>
  <c r="J39" i="1"/>
  <c r="N39" i="1" s="1"/>
  <c r="F53" i="1"/>
  <c r="G53" i="1" s="1"/>
  <c r="J38" i="1"/>
  <c r="N38" i="1" s="1"/>
  <c r="F52" i="1"/>
  <c r="G52" i="1" s="1"/>
  <c r="Y5" i="1"/>
  <c r="Y6" i="1" s="1"/>
  <c r="X6" i="1"/>
  <c r="F55" i="1"/>
  <c r="G55" i="1" s="1"/>
  <c r="F56" i="1"/>
  <c r="G56" i="1" s="1"/>
  <c r="G38" i="1"/>
  <c r="J64" i="1" s="1"/>
  <c r="K64" i="1" s="1"/>
  <c r="L64" i="1" s="1"/>
  <c r="M64" i="1" s="1"/>
  <c r="O64" i="1" s="1"/>
  <c r="G37" i="1"/>
  <c r="F51" i="1"/>
  <c r="G51" i="1" s="1"/>
  <c r="C15" i="1" l="1"/>
  <c r="J71" i="1"/>
  <c r="L71" i="1" s="1"/>
  <c r="M71" i="1" s="1"/>
  <c r="N71" i="1" s="1"/>
  <c r="J65" i="1"/>
  <c r="K65" i="1" s="1"/>
  <c r="L65" i="1" s="1"/>
  <c r="M65" i="1" s="1"/>
  <c r="O65" i="1" s="1"/>
  <c r="N64" i="1"/>
  <c r="G41" i="1"/>
  <c r="J69" i="1"/>
  <c r="L69" i="1" s="1"/>
  <c r="M69" i="1" s="1"/>
  <c r="N69" i="1" s="1"/>
  <c r="J63" i="1"/>
  <c r="K63" i="1" s="1"/>
  <c r="L63" i="1" s="1"/>
  <c r="M63" i="1" s="1"/>
  <c r="O63" i="1" s="1"/>
  <c r="J67" i="1"/>
  <c r="K67" i="1" s="1"/>
  <c r="J62" i="1"/>
  <c r="G40" i="1"/>
  <c r="K38" i="1" s="1"/>
  <c r="J68" i="1"/>
  <c r="L68" i="1" s="1"/>
  <c r="M68" i="1" s="1"/>
  <c r="O68" i="1" s="1"/>
  <c r="J66" i="1"/>
  <c r="K66" i="1" s="1"/>
  <c r="L66" i="1" s="1"/>
  <c r="M66" i="1" s="1"/>
  <c r="N66" i="1" s="1"/>
  <c r="J70" i="1"/>
  <c r="L70" i="1" s="1"/>
  <c r="M70" i="1" s="1"/>
  <c r="O70" i="1" s="1"/>
  <c r="I54" i="1" l="1"/>
  <c r="H55" i="1"/>
  <c r="I55" i="1"/>
  <c r="J55" i="1"/>
  <c r="K55" i="1"/>
  <c r="H56" i="1"/>
  <c r="I56" i="1"/>
  <c r="J56" i="1"/>
  <c r="K56" i="1"/>
  <c r="C62" i="1"/>
  <c r="K62" i="1" s="1"/>
  <c r="L62" i="1" s="1"/>
  <c r="M62" i="1" s="1"/>
  <c r="N62" i="1" s="1"/>
  <c r="C25" i="1"/>
  <c r="D25" i="1" s="1"/>
  <c r="K39" i="1"/>
  <c r="J33" i="1"/>
  <c r="K33" i="1"/>
  <c r="H51" i="1"/>
  <c r="J51" i="1"/>
  <c r="I53" i="1"/>
  <c r="L67" i="1"/>
  <c r="M67" i="1" s="1"/>
  <c r="N67" i="1" s="1"/>
  <c r="K54" i="1"/>
  <c r="O39" i="1"/>
  <c r="H54" i="1"/>
  <c r="K51" i="1"/>
  <c r="H50" i="1"/>
  <c r="J49" i="1"/>
  <c r="H49" i="1"/>
  <c r="J53" i="1"/>
  <c r="I50" i="1"/>
  <c r="J52" i="1"/>
  <c r="K53" i="1"/>
  <c r="J50" i="1"/>
  <c r="H52" i="1"/>
  <c r="I49" i="1"/>
  <c r="K49" i="1"/>
  <c r="K52" i="1"/>
  <c r="O71" i="1"/>
  <c r="J54" i="1"/>
  <c r="H53" i="1"/>
  <c r="I52" i="1"/>
  <c r="I51" i="1"/>
  <c r="K50" i="1"/>
  <c r="O38" i="1"/>
  <c r="G36" i="1"/>
  <c r="N65" i="1"/>
  <c r="O66" i="1"/>
  <c r="N68" i="1"/>
  <c r="O69" i="1"/>
  <c r="N63" i="1"/>
  <c r="N70" i="1"/>
  <c r="S56" i="1" l="1"/>
  <c r="W56" i="1"/>
  <c r="T56" i="1"/>
  <c r="V56" i="1"/>
  <c r="L56" i="1"/>
  <c r="M56" i="1"/>
  <c r="L55" i="1"/>
  <c r="M55" i="1"/>
  <c r="S55" i="1"/>
  <c r="V55" i="1"/>
  <c r="T55" i="1"/>
  <c r="W55" i="1"/>
  <c r="K72" i="1"/>
  <c r="U3" i="1" s="1"/>
  <c r="O62" i="1"/>
  <c r="O33" i="1"/>
  <c r="N33" i="1"/>
  <c r="O34" i="1"/>
  <c r="N34" i="1"/>
  <c r="J34" i="1"/>
  <c r="K34" i="1"/>
  <c r="L51" i="1"/>
  <c r="M72" i="1"/>
  <c r="O67" i="1"/>
  <c r="V54" i="1"/>
  <c r="L53" i="1"/>
  <c r="M49" i="1"/>
  <c r="T50" i="1"/>
  <c r="S49" i="1"/>
  <c r="L49" i="1"/>
  <c r="T49" i="1"/>
  <c r="V49" i="1"/>
  <c r="W49" i="1"/>
  <c r="T54" i="1"/>
  <c r="M54" i="1"/>
  <c r="M52" i="1"/>
  <c r="V53" i="1"/>
  <c r="L54" i="1"/>
  <c r="S54" i="1"/>
  <c r="W51" i="1"/>
  <c r="W54" i="1"/>
  <c r="W53" i="1"/>
  <c r="M51" i="1"/>
  <c r="M53" i="1"/>
  <c r="S53" i="1"/>
  <c r="T53" i="1"/>
  <c r="W50" i="1"/>
  <c r="V50" i="1"/>
  <c r="T51" i="1"/>
  <c r="L50" i="1"/>
  <c r="S50" i="1"/>
  <c r="M50" i="1"/>
  <c r="S51" i="1"/>
  <c r="V51" i="1"/>
  <c r="T52" i="1"/>
  <c r="L52" i="1"/>
  <c r="S52" i="1"/>
  <c r="W52" i="1"/>
  <c r="V52" i="1"/>
  <c r="N72" i="1"/>
  <c r="P56" i="1" l="1"/>
  <c r="O55" i="1"/>
  <c r="O56" i="1"/>
  <c r="N55" i="1"/>
  <c r="N56" i="1"/>
  <c r="P55" i="1"/>
  <c r="O72" i="1"/>
  <c r="P53" i="1"/>
  <c r="N51" i="1"/>
  <c r="O49" i="1"/>
  <c r="N49" i="1"/>
  <c r="P49" i="1"/>
  <c r="P54" i="1"/>
  <c r="O51" i="1"/>
  <c r="P51" i="1"/>
  <c r="N54" i="1"/>
  <c r="N52" i="1"/>
  <c r="O54" i="1"/>
  <c r="N53" i="1"/>
  <c r="O53" i="1"/>
  <c r="P52" i="1"/>
  <c r="O50" i="1"/>
  <c r="N50" i="1"/>
  <c r="P50" i="1"/>
  <c r="O52" i="1"/>
  <c r="O57" i="1" l="1"/>
  <c r="B76" i="1" s="1"/>
  <c r="N57" i="1"/>
  <c r="B75" i="1" s="1"/>
  <c r="U4" i="1" s="1"/>
  <c r="W4" i="1" s="1"/>
  <c r="P57" i="1"/>
  <c r="B77" i="1" s="1"/>
  <c r="B79" i="1" l="1"/>
  <c r="U5" i="1" s="1"/>
  <c r="B80" i="1"/>
  <c r="U6" i="1" s="1"/>
  <c r="W6" i="1" s="1"/>
  <c r="U7" i="1" l="1"/>
  <c r="W7" i="1" s="1"/>
  <c r="B8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<sst xmlns="http://schemas.openxmlformats.org/spreadsheetml/2006/main" count="137" uniqueCount="103">
  <si>
    <t>f'c</t>
  </si>
  <si>
    <t>ksi</t>
  </si>
  <si>
    <t>Ec</t>
  </si>
  <si>
    <t>Beta1</t>
  </si>
  <si>
    <t>in</t>
  </si>
  <si>
    <t>B,web</t>
  </si>
  <si>
    <t>H, total</t>
  </si>
  <si>
    <t>t,flange</t>
  </si>
  <si>
    <t>x</t>
  </si>
  <si>
    <t>y</t>
  </si>
  <si>
    <t>Reinf Steel:</t>
  </si>
  <si>
    <t xml:space="preserve">Fy = </t>
  </si>
  <si>
    <t xml:space="preserve">Es = </t>
  </si>
  <si>
    <t>Bar #</t>
  </si>
  <si>
    <t>As (in^2)</t>
  </si>
  <si>
    <t>NA Angle:</t>
  </si>
  <si>
    <t>radians</t>
  </si>
  <si>
    <t>NA Depth:</t>
  </si>
  <si>
    <t>Beta1*NA=</t>
  </si>
  <si>
    <t>Transformed Section so strain only varies in Y:</t>
  </si>
  <si>
    <t>Concrete:</t>
  </si>
  <si>
    <t>x'</t>
  </si>
  <si>
    <t>y'</t>
  </si>
  <si>
    <t>Transformed H:</t>
  </si>
  <si>
    <t>peak:</t>
  </si>
  <si>
    <t>Xc</t>
  </si>
  <si>
    <t>Yc</t>
  </si>
  <si>
    <t>Conrete Force and Moment by Line Integrals</t>
  </si>
  <si>
    <t>xi (in)</t>
  </si>
  <si>
    <t>yi (in)</t>
  </si>
  <si>
    <t>xj (in)</t>
  </si>
  <si>
    <t>yj (in)</t>
  </si>
  <si>
    <t>m</t>
  </si>
  <si>
    <t>b</t>
  </si>
  <si>
    <t>xi' (in)</t>
  </si>
  <si>
    <t>yi' (in)</t>
  </si>
  <si>
    <t>xj' (in)</t>
  </si>
  <si>
    <t>yj' (in)</t>
  </si>
  <si>
    <t>σi' (ksi)</t>
  </si>
  <si>
    <t>σj' (ksi)</t>
  </si>
  <si>
    <t>P (kips)</t>
  </si>
  <si>
    <t>Mx (kip-in)</t>
  </si>
  <si>
    <t>My (kip-in)</t>
  </si>
  <si>
    <t>Segment 1</t>
  </si>
  <si>
    <t>Segment 2</t>
  </si>
  <si>
    <t>Segment 3</t>
  </si>
  <si>
    <t>Segment 4</t>
  </si>
  <si>
    <t>Segment 5</t>
  </si>
  <si>
    <t>Segment 6</t>
  </si>
  <si>
    <t>e</t>
  </si>
  <si>
    <t>0.85*F'c =</t>
  </si>
  <si>
    <t>y,na =</t>
  </si>
  <si>
    <t>y,stress block =</t>
  </si>
  <si>
    <t>NA Graph</t>
  </si>
  <si>
    <t>Whitney Block Graph</t>
  </si>
  <si>
    <t>Rebar</t>
  </si>
  <si>
    <t>x,t</t>
  </si>
  <si>
    <t>y,t</t>
  </si>
  <si>
    <t>Depth</t>
  </si>
  <si>
    <t>Strain</t>
  </si>
  <si>
    <t>Stress</t>
  </si>
  <si>
    <t>Ps</t>
  </si>
  <si>
    <t>Ps_Mx</t>
  </si>
  <si>
    <t>Ps_My</t>
  </si>
  <si>
    <t>Pn =</t>
  </si>
  <si>
    <t xml:space="preserve">Mnx = </t>
  </si>
  <si>
    <t xml:space="preserve">Mny = </t>
  </si>
  <si>
    <t xml:space="preserve">Mnx' = </t>
  </si>
  <si>
    <t xml:space="preserve">Mny' = </t>
  </si>
  <si>
    <t>kips</t>
  </si>
  <si>
    <t>kip-in</t>
  </si>
  <si>
    <t>kip-ft</t>
  </si>
  <si>
    <t>Tolerance:</t>
  </si>
  <si>
    <t>Max Iterations:</t>
  </si>
  <si>
    <t>Depth for All Fy+:</t>
  </si>
  <si>
    <t>alpha result</t>
  </si>
  <si>
    <t xml:space="preserve">P = </t>
  </si>
  <si>
    <t>My =</t>
  </si>
  <si>
    <t xml:space="preserve">Mx = </t>
  </si>
  <si>
    <t>phi</t>
  </si>
  <si>
    <t>scale pt</t>
  </si>
  <si>
    <t>web</t>
  </si>
  <si>
    <t>p1</t>
  </si>
  <si>
    <t>p2</t>
  </si>
  <si>
    <t>c1</t>
  </si>
  <si>
    <t>c2</t>
  </si>
  <si>
    <t>--</t>
  </si>
  <si>
    <t>% As based:</t>
  </si>
  <si>
    <t>Min As %:</t>
  </si>
  <si>
    <t>NA Original Orientation</t>
  </si>
  <si>
    <t>Whitney Block Original Orientation</t>
  </si>
  <si>
    <t>d:</t>
  </si>
  <si>
    <t>B,Flange Right</t>
  </si>
  <si>
    <t>B, Flange Left</t>
  </si>
  <si>
    <t>Segment 7</t>
  </si>
  <si>
    <t>Segment 8</t>
  </si>
  <si>
    <t>Error</t>
  </si>
  <si>
    <t>tan-1(My/Mx) =</t>
  </si>
  <si>
    <t>rad</t>
  </si>
  <si>
    <t>User:</t>
  </si>
  <si>
    <t>P</t>
  </si>
  <si>
    <t>Mx</t>
  </si>
  <si>
    <t>My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</si>
</sst>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0"/>
    <numFmt numFmtId="166" formatCode="0.000%"/>
    <numFmt numFmtId="167" formatCode="0.000E+00"/>
    <numFmt numFmtId="168" formatCode="0.0000"/>
  </numFmts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9">
    <xf numFmtId="0" fontId="0" fillId="0" borderId="0" xfId="0"/>
    <xf numFmtId="0" fontId="0" fillId="0" borderId="0" xfId="0" applyAlignment="1">
      <alignment horizontal="center"/>
    </xf>
    <xf numFmtId="2" fontId="0" fillId="2" borderId="0" xfId="0" applyNumberFormat="1" applyFill="1" applyAlignment="1" applyProtection="1">
      <alignment horizontal="center"/>
      <protection locked="0"/>
    </xf>
    <xf numFmtId="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2" fontId="0" fillId="0" borderId="0" xfId="0" applyNumberFormat="1"/>
    <xf numFmtId="164" fontId="0" fillId="0" borderId="0" xfId="0" applyNumberFormat="1" applyAlignment="1">
      <alignment horizontal="center"/>
    </xf>
    <xf numFmtId="164" fontId="0" fillId="2" borderId="0" xfId="0" applyNumberFormat="1" applyFill="1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/>
    <xf numFmtId="164" fontId="0" fillId="0" borderId="0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0" xfId="0" applyFill="1" applyBorder="1"/>
    <xf numFmtId="11" fontId="0" fillId="2" borderId="0" xfId="0" applyNumberFormat="1" applyFill="1"/>
    <xf numFmtId="0" fontId="0" fillId="0" borderId="0" xfId="0" applyAlignment="1">
      <alignment horizontal="left"/>
    </xf>
    <xf numFmtId="0" fontId="0" fillId="0" borderId="4" xfId="0" applyBorder="1"/>
    <xf numFmtId="0" fontId="0" fillId="0" borderId="6" xfId="0" applyBorder="1"/>
    <xf numFmtId="0" fontId="0" fillId="0" borderId="9" xfId="0" applyBorder="1"/>
    <xf numFmtId="164" fontId="0" fillId="0" borderId="3" xfId="0" applyNumberFormat="1" applyBorder="1" applyAlignment="1">
      <alignment horizontal="center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0" fillId="0" borderId="0" xfId="0" quotePrefix="1" applyAlignment="1">
      <alignment horizontal="center"/>
    </xf>
    <xf numFmtId="165" fontId="0" fillId="0" borderId="0" xfId="0" applyNumberFormat="1" applyAlignment="1">
      <alignment horizontal="center"/>
    </xf>
    <xf numFmtId="164" fontId="0" fillId="2" borderId="0" xfId="1" applyNumberFormat="1" applyFont="1" applyFill="1" applyAlignment="1">
      <alignment horizontal="center"/>
    </xf>
    <xf numFmtId="166" fontId="0" fillId="0" borderId="0" xfId="1" applyNumberFormat="1" applyFont="1" applyAlignment="1">
      <alignment horizontal="center"/>
    </xf>
    <xf numFmtId="0" fontId="0" fillId="0" borderId="2" xfId="0" applyBorder="1" applyAlignment="1">
      <alignment horizontal="right"/>
    </xf>
    <xf numFmtId="0" fontId="0" fillId="0" borderId="5" xfId="0" applyBorder="1" applyAlignment="1">
      <alignment horizontal="right"/>
    </xf>
    <xf numFmtId="0" fontId="4" fillId="0" borderId="7" xfId="0" applyFont="1" applyFill="1" applyBorder="1" applyAlignment="1">
      <alignment horizontal="right"/>
    </xf>
    <xf numFmtId="167" fontId="0" fillId="0" borderId="8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167" fontId="0" fillId="0" borderId="11" xfId="0" applyNumberFormat="1" applyBorder="1" applyAlignment="1">
      <alignment horizontal="center"/>
    </xf>
    <xf numFmtId="164" fontId="0" fillId="4" borderId="11" xfId="0" applyNumberFormat="1" applyFill="1" applyBorder="1" applyAlignment="1">
      <alignment horizontal="center"/>
    </xf>
    <xf numFmtId="167" fontId="0" fillId="0" borderId="12" xfId="0" applyNumberFormat="1" applyBorder="1" applyAlignment="1">
      <alignment horizontal="center"/>
    </xf>
    <xf numFmtId="168" fontId="0" fillId="2" borderId="0" xfId="0" applyNumberFormat="1" applyFill="1" applyAlignment="1">
      <alignment horizontal="center"/>
    </xf>
    <xf numFmtId="0" fontId="0" fillId="0" borderId="2" xfId="0" applyFill="1" applyBorder="1" applyAlignment="1">
      <alignment horizontal="right"/>
    </xf>
    <xf numFmtId="0" fontId="0" fillId="0" borderId="3" xfId="0" applyBorder="1"/>
    <xf numFmtId="0" fontId="0" fillId="0" borderId="5" xfId="0" applyFill="1" applyBorder="1" applyAlignment="1">
      <alignment horizontal="right"/>
    </xf>
    <xf numFmtId="0" fontId="0" fillId="2" borderId="0" xfId="0" applyFill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L_Section_Capacity!$AM$1:$AM$53</c:f>
              <c:numCache>
                <c:formatCode>General</c:formatCode>
                <c:ptCount val="53"/>
                <c:pt idx="0">
                  <c:v>0.35355339059327379</c:v>
                </c:pt>
                <c:pt idx="1">
                  <c:v>0.4264823227814083</c:v>
                </c:pt>
                <c:pt idx="2">
                  <c:v>0.49941125496954281</c:v>
                </c:pt>
                <c:pt idx="3">
                  <c:v>0.57234018715767743</c:v>
                </c:pt>
                <c:pt idx="4">
                  <c:v>0.64526911934581188</c:v>
                </c:pt>
                <c:pt idx="5">
                  <c:v>0.71819805153394645</c:v>
                </c:pt>
                <c:pt idx="6">
                  <c:v>0.79112698372208101</c:v>
                </c:pt>
                <c:pt idx="7">
                  <c:v>0.86405591591021558</c:v>
                </c:pt>
                <c:pt idx="8">
                  <c:v>0.93698484809835014</c:v>
                </c:pt>
                <c:pt idx="9">
                  <c:v>1.0099137802864846</c:v>
                </c:pt>
                <c:pt idx="10">
                  <c:v>1.0828427124746192</c:v>
                </c:pt>
                <c:pt idx="11">
                  <c:v>1.1557716446627537</c:v>
                </c:pt>
                <c:pt idx="12">
                  <c:v>1.2287005768508883</c:v>
                </c:pt>
                <c:pt idx="13">
                  <c:v>1.3016295090390229</c:v>
                </c:pt>
                <c:pt idx="14">
                  <c:v>1.3745584412271574</c:v>
                </c:pt>
                <c:pt idx="15">
                  <c:v>1.447487373415292</c:v>
                </c:pt>
                <c:pt idx="16">
                  <c:v>1.5204163056034266</c:v>
                </c:pt>
                <c:pt idx="17">
                  <c:v>1.5933452377915609</c:v>
                </c:pt>
                <c:pt idx="18">
                  <c:v>1.6662741699796955</c:v>
                </c:pt>
                <c:pt idx="19">
                  <c:v>1.73920310216783</c:v>
                </c:pt>
                <c:pt idx="20">
                  <c:v>1.8121320343559646</c:v>
                </c:pt>
                <c:pt idx="21">
                  <c:v>1.8850609665440992</c:v>
                </c:pt>
                <c:pt idx="22">
                  <c:v>1.9579898987322337</c:v>
                </c:pt>
                <c:pt idx="23">
                  <c:v>2.0309188309203683</c:v>
                </c:pt>
                <c:pt idx="24">
                  <c:v>2.1038477631085026</c:v>
                </c:pt>
                <c:pt idx="25">
                  <c:v>2.1767766952966374</c:v>
                </c:pt>
                <c:pt idx="26">
                  <c:v>2.2497056274847718</c:v>
                </c:pt>
                <c:pt idx="27">
                  <c:v>2.3226345596729066</c:v>
                </c:pt>
                <c:pt idx="28">
                  <c:v>2.3955634918610409</c:v>
                </c:pt>
                <c:pt idx="29">
                  <c:v>2.4684924240491757</c:v>
                </c:pt>
                <c:pt idx="30">
                  <c:v>2.54142135623731</c:v>
                </c:pt>
                <c:pt idx="31">
                  <c:v>2.6143502884254448</c:v>
                </c:pt>
                <c:pt idx="32">
                  <c:v>2.6872792206135792</c:v>
                </c:pt>
                <c:pt idx="33">
                  <c:v>2.7602081528017139</c:v>
                </c:pt>
                <c:pt idx="34">
                  <c:v>2.8331370849898483</c:v>
                </c:pt>
                <c:pt idx="35">
                  <c:v>2.9060660171779826</c:v>
                </c:pt>
                <c:pt idx="36">
                  <c:v>2.9789949493661174</c:v>
                </c:pt>
                <c:pt idx="37">
                  <c:v>3.0519238815542518</c:v>
                </c:pt>
                <c:pt idx="38">
                  <c:v>3.1248528137423865</c:v>
                </c:pt>
                <c:pt idx="39">
                  <c:v>3.1977817459305209</c:v>
                </c:pt>
                <c:pt idx="40">
                  <c:v>3.2707106781186552</c:v>
                </c:pt>
                <c:pt idx="41">
                  <c:v>3.3436396103067896</c:v>
                </c:pt>
                <c:pt idx="42">
                  <c:v>3.4165685424949235</c:v>
                </c:pt>
                <c:pt idx="43">
                  <c:v>3.4894974746830578</c:v>
                </c:pt>
                <c:pt idx="46">
                  <c:v>3.5624264068711922</c:v>
                </c:pt>
                <c:pt idx="47">
                  <c:v>3.6353553390593261</c:v>
                </c:pt>
                <c:pt idx="48">
                  <c:v>3.7082842712474604</c:v>
                </c:pt>
                <c:pt idx="49">
                  <c:v>3.7812132034355947</c:v>
                </c:pt>
                <c:pt idx="50">
                  <c:v>3.8541421356237291</c:v>
                </c:pt>
                <c:pt idx="51">
                  <c:v>3.927071067811863</c:v>
                </c:pt>
                <c:pt idx="52">
                  <c:v>3.9999999999999973</c:v>
                </c:pt>
              </c:numCache>
            </c:numRef>
          </c:xVal>
          <c:yVal>
            <c:numRef>
              <c:f>L_Section_Capacity!$AN$1:$AN$53</c:f>
              <c:numCache>
                <c:formatCode>General</c:formatCode>
                <c:ptCount val="53"/>
                <c:pt idx="0">
                  <c:v>1.0028439432357417</c:v>
                </c:pt>
                <c:pt idx="1">
                  <c:v>1.0034487837693773</c:v>
                </c:pt>
                <c:pt idx="2">
                  <c:v>1.0040600792016823</c:v>
                </c:pt>
                <c:pt idx="3">
                  <c:v>1.0046779334176299</c:v>
                </c:pt>
                <c:pt idx="4">
                  <c:v>1.0053024525434779</c:v>
                </c:pt>
                <c:pt idx="5">
                  <c:v>1.005933745007481</c:v>
                </c:pt>
                <c:pt idx="6">
                  <c:v>1.0065719216027906</c:v>
                </c:pt>
                <c:pt idx="7">
                  <c:v>1.0072170955519748</c:v>
                </c:pt>
                <c:pt idx="8">
                  <c:v>1.0078693825742897</c:v>
                </c:pt>
                <c:pt idx="9">
                  <c:v>1.0085289009547496</c:v>
                </c:pt>
                <c:pt idx="10">
                  <c:v>1.0091957716156117</c:v>
                </c:pt>
                <c:pt idx="11">
                  <c:v>1.0098701181903362</c:v>
                </c:pt>
                <c:pt idx="12">
                  <c:v>1.0105520670999595</c:v>
                </c:pt>
                <c:pt idx="13">
                  <c:v>1.0112417476321554</c:v>
                </c:pt>
                <c:pt idx="14">
                  <c:v>1.0119392920228856</c:v>
                </c:pt>
                <c:pt idx="15">
                  <c:v>1.0126448355409861</c:v>
                </c:pt>
                <c:pt idx="16">
                  <c:v>1.0133585165755685</c:v>
                </c:pt>
                <c:pt idx="17">
                  <c:v>1.0140804767265563</c:v>
                </c:pt>
                <c:pt idx="18">
                  <c:v>1.0148108608982707</c:v>
                </c:pt>
                <c:pt idx="19">
                  <c:v>1.0155498173965132</c:v>
                </c:pt>
                <c:pt idx="20">
                  <c:v>1.0008564721266058</c:v>
                </c:pt>
                <c:pt idx="21">
                  <c:v>0.97596761415242428</c:v>
                </c:pt>
                <c:pt idx="22">
                  <c:v>0.95296006769984842</c:v>
                </c:pt>
                <c:pt idx="23">
                  <c:v>0.93163163647987945</c:v>
                </c:pt>
                <c:pt idx="24">
                  <c:v>0.9118081714303492</c:v>
                </c:pt>
                <c:pt idx="25">
                  <c:v>0.90936110613515375</c:v>
                </c:pt>
                <c:pt idx="26">
                  <c:v>0.9136058205802825</c:v>
                </c:pt>
                <c:pt idx="27">
                  <c:v>0.91780361395593013</c:v>
                </c:pt>
                <c:pt idx="28">
                  <c:v>0.92195619320694366</c:v>
                </c:pt>
                <c:pt idx="29">
                  <c:v>0.92606521919510321</c:v>
                </c:pt>
                <c:pt idx="30">
                  <c:v>0.93013230903767463</c:v>
                </c:pt>
                <c:pt idx="31">
                  <c:v>0.93415903832189917</c:v>
                </c:pt>
                <c:pt idx="32">
                  <c:v>0.93814694324822601</c:v>
                </c:pt>
                <c:pt idx="33">
                  <c:v>0.94209752266759372</c:v>
                </c:pt>
                <c:pt idx="34">
                  <c:v>0.94601224003778195</c:v>
                </c:pt>
                <c:pt idx="35">
                  <c:v>0.94989252530209023</c:v>
                </c:pt>
                <c:pt idx="36">
                  <c:v>0.95373977669313836</c:v>
                </c:pt>
                <c:pt idx="37">
                  <c:v>0.9544019031366574</c:v>
                </c:pt>
                <c:pt idx="38">
                  <c:v>0.95473915095841244</c:v>
                </c:pt>
                <c:pt idx="39">
                  <c:v>0.95812731412789431</c:v>
                </c:pt>
                <c:pt idx="40">
                  <c:v>0.96229172946382691</c:v>
                </c:pt>
                <c:pt idx="41">
                  <c:v>0.96641638581379796</c:v>
                </c:pt>
                <c:pt idx="42">
                  <c:v>0.97106529148039999</c:v>
                </c:pt>
                <c:pt idx="43">
                  <c:v>0.97570031823534253</c:v>
                </c:pt>
                <c:pt idx="46">
                  <c:v>0.97794749530606828</c:v>
                </c:pt>
                <c:pt idx="47">
                  <c:v>0.97876128100192783</c:v>
                </c:pt>
                <c:pt idx="48">
                  <c:v>0.97956063669877791</c:v>
                </c:pt>
                <c:pt idx="49">
                  <c:v>0.98034601330168825</c:v>
                </c:pt>
                <c:pt idx="50">
                  <c:v>0.98111784030276572</c:v>
                </c:pt>
                <c:pt idx="51">
                  <c:v>0.98187652717031404</c:v>
                </c:pt>
                <c:pt idx="52">
                  <c:v>0.98262246462376857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E3-42A5-92B0-AE927C07A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9671040"/>
        <c:axId val="688765520"/>
      </c:scatterChart>
      <c:valAx>
        <c:axId val="629671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L_Section_Capacity!$AD$50</c:f>
              <c:strCache>
                <c:ptCount val="1"/>
                <c:pt idx="0">
                  <c:v>% As,web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765520"/>
        <c:crosses val="autoZero"/>
        <c:crossBetween val="midCat"/>
      </c:valAx>
      <c:valAx>
        <c:axId val="68876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Mx_L/Mx_R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671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L_Section_Capacity!$E$3:$E$11</c:f>
              <c:numCache>
                <c:formatCode>0.00</c:formatCode>
                <c:ptCount val="9"/>
                <c:pt idx="0" formatCode="General">
                  <c:v>0</c:v>
                </c:pt>
                <c:pt idx="1">
                  <c:v>12</c:v>
                </c:pt>
                <c:pt idx="2">
                  <c:v>12</c:v>
                </c:pt>
                <c:pt idx="3">
                  <c:v>28</c:v>
                </c:pt>
                <c:pt idx="4">
                  <c:v>28</c:v>
                </c:pt>
                <c:pt idx="5">
                  <c:v>-32</c:v>
                </c:pt>
                <c:pt idx="6">
                  <c:v>-32</c:v>
                </c:pt>
                <c:pt idx="7" formatCode="General">
                  <c:v>0</c:v>
                </c:pt>
                <c:pt idx="8" formatCode="General">
                  <c:v>0</c:v>
                </c:pt>
              </c:numCache>
            </c:numRef>
          </c:xVal>
          <c:yVal>
            <c:numRef>
              <c:f>L_Section_Capacity!$F$3:$F$11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10</c:v>
                </c:pt>
                <c:pt idx="3">
                  <c:v>10</c:v>
                </c:pt>
                <c:pt idx="4">
                  <c:v>18</c:v>
                </c:pt>
                <c:pt idx="5">
                  <c:v>18</c:v>
                </c:pt>
                <c:pt idx="6">
                  <c:v>10</c:v>
                </c:pt>
                <c:pt idx="7">
                  <c:v>10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69-450D-85AB-B7EA4F2AD83E}"/>
            </c:ext>
          </c:extLst>
        </c:ser>
        <c:ser>
          <c:idx val="1"/>
          <c:order val="1"/>
          <c:tx>
            <c:v>Reinforcement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L_Section_Capacity!$T$15:$T$24</c:f>
              <c:numCache>
                <c:formatCode>General</c:formatCode>
                <c:ptCount val="10"/>
                <c:pt idx="0">
                  <c:v>2</c:v>
                </c:pt>
                <c:pt idx="1">
                  <c:v>10</c:v>
                </c:pt>
                <c:pt idx="2">
                  <c:v>6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L_Section_Capacity!$U$15:$U$24</c:f>
              <c:numCache>
                <c:formatCode>General</c:formatCode>
                <c:ptCount val="10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569-450D-85AB-B7EA4F2AD83E}"/>
            </c:ext>
          </c:extLst>
        </c:ser>
        <c:ser>
          <c:idx val="4"/>
          <c:order val="2"/>
          <c:tx>
            <c:v>scale_pt</c:v>
          </c:tx>
          <c:spPr>
            <a:ln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L_Section_Capacity!$X$4:$X$6</c:f>
              <c:numCache>
                <c:formatCode>General</c:formatCode>
                <c:ptCount val="3"/>
                <c:pt idx="0">
                  <c:v>38</c:v>
                </c:pt>
                <c:pt idx="1">
                  <c:v>38</c:v>
                </c:pt>
                <c:pt idx="2">
                  <c:v>-38</c:v>
                </c:pt>
              </c:numCache>
            </c:numRef>
          </c:xVal>
          <c:yVal>
            <c:numRef>
              <c:f>L_Section_Capacity!$Y$4:$Y$6</c:f>
              <c:numCache>
                <c:formatCode>General</c:formatCode>
                <c:ptCount val="3"/>
                <c:pt idx="0">
                  <c:v>38</c:v>
                </c:pt>
                <c:pt idx="1">
                  <c:v>38</c:v>
                </c:pt>
                <c:pt idx="2">
                  <c:v>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569-450D-85AB-B7EA4F2AD83E}"/>
            </c:ext>
          </c:extLst>
        </c:ser>
        <c:ser>
          <c:idx val="5"/>
          <c:order val="3"/>
          <c:tx>
            <c:v>Neutral_Axis</c:v>
          </c:tx>
          <c:spPr>
            <a:ln w="15875">
              <a:solidFill>
                <a:srgbClr val="C00000"/>
              </a:solidFill>
              <a:prstDash val="lgDash"/>
            </a:ln>
          </c:spPr>
          <c:marker>
            <c:symbol val="circle"/>
            <c:size val="5"/>
            <c:spPr>
              <a:noFill/>
              <a:ln>
                <a:solidFill>
                  <a:srgbClr val="C00000"/>
                </a:solidFill>
              </a:ln>
            </c:spPr>
          </c:marker>
          <c:xVal>
            <c:numRef>
              <c:f>L_Section_Capacity!$J$33:$J$34</c:f>
              <c:numCache>
                <c:formatCode>General</c:formatCode>
                <c:ptCount val="2"/>
                <c:pt idx="0">
                  <c:v>-33.003045035155985</c:v>
                </c:pt>
                <c:pt idx="1">
                  <c:v>29.092211969480232</c:v>
                </c:pt>
              </c:numCache>
            </c:numRef>
          </c:xVal>
          <c:yVal>
            <c:numRef>
              <c:f>L_Section_Capacity!$K$33:$K$34</c:f>
              <c:numCache>
                <c:formatCode>General</c:formatCode>
                <c:ptCount val="2"/>
                <c:pt idx="0">
                  <c:v>17.736034390985076</c:v>
                </c:pt>
                <c:pt idx="1">
                  <c:v>17.034723253050949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569-450D-85AB-B7EA4F2AD83E}"/>
            </c:ext>
          </c:extLst>
        </c:ser>
        <c:ser>
          <c:idx val="6"/>
          <c:order val="4"/>
          <c:tx>
            <c:v>Whitney_Block</c:v>
          </c:tx>
          <c:spPr>
            <a:ln w="12700">
              <a:solidFill>
                <a:srgbClr val="FF0000"/>
              </a:solidFill>
              <a:prstDash val="sysDash"/>
            </a:ln>
          </c:spPr>
          <c:marker>
            <c:symbol val="diamond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L_Section_Capacity!$N$33:$N$34</c:f>
              <c:numCache>
                <c:formatCode>General</c:formatCode>
                <c:ptCount val="2"/>
                <c:pt idx="0">
                  <c:v>-33.00089278373936</c:v>
                </c:pt>
                <c:pt idx="1">
                  <c:v>29.09436422089685</c:v>
                </c:pt>
              </c:numCache>
            </c:numRef>
          </c:xVal>
          <c:yVal>
            <c:numRef>
              <c:f>L_Section_Capacity!$O$33:$O$34</c:f>
              <c:numCache>
                <c:formatCode>General</c:formatCode>
                <c:ptCount val="2"/>
                <c:pt idx="0">
                  <c:v>17.926598318498414</c:v>
                </c:pt>
                <c:pt idx="1">
                  <c:v>17.225287180564287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569-450D-85AB-B7EA4F2AD83E}"/>
            </c:ext>
          </c:extLst>
        </c:ser>
        <c:ser>
          <c:idx val="2"/>
          <c:order val="5"/>
          <c:tx>
            <c:v>Load_Point</c:v>
          </c:tx>
          <c:spPr>
            <a:ln>
              <a:noFill/>
            </a:ln>
          </c:spPr>
          <c:marker>
            <c:symbol val="x"/>
            <c:size val="7"/>
            <c:spPr>
              <a:ln>
                <a:solidFill>
                  <a:srgbClr val="C00000"/>
                </a:solidFill>
              </a:ln>
            </c:spPr>
          </c:marker>
          <c:xVal>
            <c:numRef>
              <c:f>L_Section_Capacity!$I$2</c:f>
              <c:numCache>
                <c:formatCode>General</c:formatCode>
                <c:ptCount val="1"/>
                <c:pt idx="0">
                  <c:v>6</c:v>
                </c:pt>
              </c:numCache>
            </c:numRef>
          </c:xVal>
          <c:yVal>
            <c:numRef>
              <c:f>L_Section_Capacity!$I$3</c:f>
              <c:numCache>
                <c:formatCode>General</c:formatCode>
                <c:ptCount val="1"/>
                <c:pt idx="0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34F-4F13-8E2E-6844DC9CF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1655087"/>
        <c:axId val="1467646175"/>
      </c:scatterChart>
      <c:valAx>
        <c:axId val="1471655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646175"/>
        <c:crosses val="autoZero"/>
        <c:crossBetween val="midCat"/>
      </c:valAx>
      <c:valAx>
        <c:axId val="1467646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655087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L_Section_Capacity!$C$37:$C$45</c:f>
              <c:numCache>
                <c:formatCode>0.000</c:formatCode>
                <c:ptCount val="9"/>
                <c:pt idx="0">
                  <c:v>-5.8979767887832661</c:v>
                </c:pt>
                <c:pt idx="1">
                  <c:v>6.1012579418670541</c:v>
                </c:pt>
                <c:pt idx="2">
                  <c:v>5.988323967931616</c:v>
                </c:pt>
                <c:pt idx="3">
                  <c:v>21.987303608798708</c:v>
                </c:pt>
                <c:pt idx="4">
                  <c:v>21.896956429650359</c:v>
                </c:pt>
                <c:pt idx="5">
                  <c:v>-38.099217223601244</c:v>
                </c:pt>
                <c:pt idx="6">
                  <c:v>-38.008870044452891</c:v>
                </c:pt>
                <c:pt idx="7">
                  <c:v>-6.0109107627187042</c:v>
                </c:pt>
                <c:pt idx="8">
                  <c:v>-5.8979767887832661</c:v>
                </c:pt>
              </c:numCache>
            </c:numRef>
          </c:xVal>
          <c:yVal>
            <c:numRef>
              <c:f>L_Section_Capacity!$D$37:$D$45</c:f>
              <c:numCache>
                <c:formatCode>0.000</c:formatCode>
                <c:ptCount val="9"/>
                <c:pt idx="0">
                  <c:v>-9.0671864323490023</c:v>
                </c:pt>
                <c:pt idx="1">
                  <c:v>-8.9316656636264771</c:v>
                </c:pt>
                <c:pt idx="2">
                  <c:v>1.0676966119154561</c:v>
                </c:pt>
                <c:pt idx="3">
                  <c:v>1.2483909702121567</c:v>
                </c:pt>
                <c:pt idx="4">
                  <c:v>9.2478807906457039</c:v>
                </c:pt>
                <c:pt idx="5">
                  <c:v>8.5702769470330757</c:v>
                </c:pt>
                <c:pt idx="6">
                  <c:v>0.57078712659952924</c:v>
                </c:pt>
                <c:pt idx="7">
                  <c:v>0.93217584319293056</c:v>
                </c:pt>
                <c:pt idx="8">
                  <c:v>-9.0671864323490023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BD-4B30-9120-E7E227F0CFB1}"/>
            </c:ext>
          </c:extLst>
        </c:ser>
        <c:ser>
          <c:idx val="1"/>
          <c:order val="1"/>
          <c:tx>
            <c:v>Reinforcement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L_Section_Capacity!$Q$62:$Q$71</c:f>
              <c:numCache>
                <c:formatCode>General</c:formatCode>
                <c:ptCount val="10"/>
                <c:pt idx="0">
                  <c:v>-3.9206911284619665</c:v>
                </c:pt>
                <c:pt idx="1">
                  <c:v>4.0787986919715795</c:v>
                </c:pt>
                <c:pt idx="2">
                  <c:v>7.9053781754806554E-2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L_Section_Capacity!$R$62:$R$71</c:f>
              <c:numCache>
                <c:formatCode>General</c:formatCode>
                <c:ptCount val="10"/>
                <c:pt idx="0">
                  <c:v>-7.0447271824535287</c:v>
                </c:pt>
                <c:pt idx="1">
                  <c:v>-6.9543800033051779</c:v>
                </c:pt>
                <c:pt idx="2">
                  <c:v>-6.9995535928793533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BD-4B30-9120-E7E227F0CFB1}"/>
            </c:ext>
          </c:extLst>
        </c:ser>
        <c:ser>
          <c:idx val="2"/>
          <c:order val="2"/>
          <c:tx>
            <c:v>NA</c:v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L_Section_Capacity!$J$38:$J$39</c:f>
              <c:numCache>
                <c:formatCode>0.000</c:formatCode>
                <c:ptCount val="2"/>
                <c:pt idx="0">
                  <c:v>-39.099217223601244</c:v>
                </c:pt>
                <c:pt idx="1">
                  <c:v>23</c:v>
                </c:pt>
              </c:numCache>
            </c:numRef>
          </c:xVal>
          <c:yVal>
            <c:numRef>
              <c:f>L_Section_Capacity!$K$38:$K$39</c:f>
              <c:numCache>
                <c:formatCode>0.000</c:formatCode>
                <c:ptCount val="2"/>
                <c:pt idx="0">
                  <c:v>8.2950003855650092</c:v>
                </c:pt>
                <c:pt idx="1">
                  <c:v>8.2950003855650092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EBD-4B30-9120-E7E227F0CFB1}"/>
            </c:ext>
          </c:extLst>
        </c:ser>
        <c:ser>
          <c:idx val="3"/>
          <c:order val="3"/>
          <c:tx>
            <c:v>Whitney_Block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triangle"/>
            <c:size val="6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L_Section_Capacity!$N$38:$N$39</c:f>
              <c:numCache>
                <c:formatCode>0.000</c:formatCode>
                <c:ptCount val="2"/>
                <c:pt idx="0">
                  <c:v>-39.099217223601244</c:v>
                </c:pt>
                <c:pt idx="1">
                  <c:v>23</c:v>
                </c:pt>
              </c:numCache>
            </c:numRef>
          </c:xVal>
          <c:yVal>
            <c:numRef>
              <c:f>L_Section_Capacity!$O$38:$O$39</c:f>
              <c:numCache>
                <c:formatCode>0.000</c:formatCode>
                <c:ptCount val="2"/>
                <c:pt idx="0">
                  <c:v>8.4855764665811471</c:v>
                </c:pt>
                <c:pt idx="1">
                  <c:v>8.4855764665811471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EBD-4B30-9120-E7E227F0CFB1}"/>
            </c:ext>
          </c:extLst>
        </c:ser>
        <c:ser>
          <c:idx val="4"/>
          <c:order val="4"/>
          <c:tx>
            <c:v>stress_nodes_i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solidFill>
                <a:srgbClr val="FF0000"/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L_Section_Capacity!$S$49:$S$56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21.905565984369201</c:v>
                </c:pt>
                <c:pt idx="4">
                  <c:v>21.896956429650359</c:v>
                </c:pt>
                <c:pt idx="5">
                  <c:v>-38.099217223601244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L_Section_Capacity!$T$49:$T$56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8.4855764665811471</c:v>
                </c:pt>
                <c:pt idx="4">
                  <c:v>9.2478807906457039</c:v>
                </c:pt>
                <c:pt idx="5">
                  <c:v>8.5702769470330757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EBD-4B30-9120-E7E227F0CFB1}"/>
            </c:ext>
          </c:extLst>
        </c:ser>
        <c:ser>
          <c:idx val="5"/>
          <c:order val="5"/>
          <c:tx>
            <c:v>stress_nodes_j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solidFill>
                <a:srgbClr val="92D05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L_Section_Capacity!$V$49:$V$56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21.896956429650359</c:v>
                </c:pt>
                <c:pt idx="4">
                  <c:v>-38.099217223601244</c:v>
                </c:pt>
                <c:pt idx="5">
                  <c:v>-38.098260606410257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L_Section_Capacity!$W$49:$W$56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9.2478807906457039</c:v>
                </c:pt>
                <c:pt idx="4">
                  <c:v>8.5702769470330757</c:v>
                </c:pt>
                <c:pt idx="5">
                  <c:v>8.4855764665811471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EBD-4B30-9120-E7E227F0C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1655087"/>
        <c:axId val="1467646175"/>
      </c:scatterChart>
      <c:valAx>
        <c:axId val="1471655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646175"/>
        <c:crosses val="autoZero"/>
        <c:crossBetween val="midCat"/>
      </c:valAx>
      <c:valAx>
        <c:axId val="1467646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6550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7B4BA01-139B-49EC-B5F6-89722FDBA21C}">
  <sheetPr codeName="Chart1"/>
  <sheetViews>
    <sheetView zoomScale="134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4907" cy="629076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371474</xdr:colOff>
      <xdr:row>2</xdr:row>
      <xdr:rowOff>95249</xdr:rowOff>
    </xdr:from>
    <xdr:to>
      <xdr:col>18</xdr:col>
      <xdr:colOff>400050</xdr:colOff>
      <xdr:row>28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590550</xdr:colOff>
      <xdr:row>29</xdr:row>
      <xdr:rowOff>95251</xdr:rowOff>
    </xdr:from>
    <xdr:to>
      <xdr:col>23</xdr:col>
      <xdr:colOff>590550</xdr:colOff>
      <xdr:row>47</xdr:row>
      <xdr:rowOff>19050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3</xdr:row>
          <xdr:rowOff>9525</xdr:rowOff>
        </xdr:from>
        <xdr:to>
          <xdr:col>9</xdr:col>
          <xdr:colOff>190500</xdr:colOff>
          <xdr:row>7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NA Depth for Sum P=0 @ Constant NA Angle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8</xdr:row>
          <xdr:rowOff>28575</xdr:rowOff>
        </xdr:from>
        <xdr:to>
          <xdr:col>9</xdr:col>
          <xdr:colOff>200025</xdr:colOff>
          <xdr:row>13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Both NA Depth and Angle for User Load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A54E9-EA59-4EEC-AB5F-C1E14D94F20F}">
  <sheetPr codeName="Sheet1"/>
  <dimension ref="A1:AO83"/>
  <sheetViews>
    <sheetView tabSelected="1" workbookViewId="0">
      <selection activeCell="B8" sqref="B8"/>
    </sheetView>
  </sheetViews>
  <sheetFormatPr defaultRowHeight="15" x14ac:dyDescent="0.25"/>
  <cols>
    <col min="1" max="1" width="15.28515625" customWidth="1"/>
    <col min="2" max="2" width="13.85546875" customWidth="1"/>
    <col min="3" max="3" width="12.5703125" customWidth="1"/>
    <col min="4" max="5" width="11.140625" customWidth="1"/>
    <col min="15" max="16" width="10.7109375" bestFit="1" customWidth="1"/>
    <col min="20" max="20" width="13.28515625" bestFit="1" customWidth="1"/>
    <col min="21" max="21" width="12" bestFit="1" customWidth="1"/>
    <col min="23" max="23" width="10.28515625" bestFit="1" customWidth="1"/>
  </cols>
  <sheetData>
    <row r="1" spans="1:41" x14ac:dyDescent="0.25">
      <c r="K1" s="8" t="s">
        <v>72</v>
      </c>
      <c r="L1" s="14">
        <v>9.9999999999999998E-13</v>
      </c>
      <c r="AG1">
        <v>-5.2224891078367361E-14</v>
      </c>
      <c r="AH1">
        <v>3.5355339059327377E-3</v>
      </c>
      <c r="AI1">
        <v>90.354831812517162</v>
      </c>
      <c r="AJ1">
        <v>90.098596518398836</v>
      </c>
      <c r="AK1">
        <v>0.9</v>
      </c>
      <c r="AL1">
        <v>0.9</v>
      </c>
      <c r="AM1">
        <f>AH1*100</f>
        <v>0.35355339059327379</v>
      </c>
      <c r="AN1">
        <f>AI1/AJ1</f>
        <v>1.0028439432357417</v>
      </c>
      <c r="AO1" t="str">
        <f>"phi_L: "&amp;ROUND(AK1,3)&amp;CHAR(10)&amp;"phi_R: "&amp;ROUND(AL1,3)</f>
        <v>phi_L: 0.9
phi_R: 0.9</v>
      </c>
    </row>
    <row r="2" spans="1:41" ht="15.75" thickBot="1" x14ac:dyDescent="0.3">
      <c r="A2" s="8" t="s">
        <v>0</v>
      </c>
      <c r="B2" s="2">
        <v>5</v>
      </c>
      <c r="C2" t="s">
        <v>1</v>
      </c>
      <c r="E2" s="1" t="s">
        <v>8</v>
      </c>
      <c r="F2" s="1" t="s">
        <v>9</v>
      </c>
      <c r="H2" t="s">
        <v>25</v>
      </c>
      <c r="I2" s="1">
        <f>B5/2</f>
        <v>6</v>
      </c>
      <c r="K2" s="8" t="s">
        <v>73</v>
      </c>
      <c r="L2" s="4">
        <v>100</v>
      </c>
      <c r="M2">
        <v>2537</v>
      </c>
      <c r="N2">
        <v>48</v>
      </c>
      <c r="O2">
        <v>1</v>
      </c>
      <c r="AG2">
        <v>1.8118839761882555E-13</v>
      </c>
      <c r="AH2">
        <v>4.2648232278140828E-3</v>
      </c>
      <c r="AI2">
        <v>108.48264145509677</v>
      </c>
      <c r="AJ2">
        <v>108.10979415171562</v>
      </c>
      <c r="AK2">
        <v>0.9</v>
      </c>
      <c r="AL2">
        <v>0.9</v>
      </c>
      <c r="AM2">
        <f>AH2*100</f>
        <v>0.4264823227814083</v>
      </c>
      <c r="AN2">
        <f>AI2/AJ2</f>
        <v>1.0034487837693773</v>
      </c>
      <c r="AO2" t="str">
        <f t="shared" ref="AO2:AO4" si="0">"phi_L: "&amp;ROUND(AK2,3)&amp;CHAR(10)&amp;"phi_R: "&amp;ROUND(AL2,3)</f>
        <v>phi_L: 0.9
phi_R: 0.9</v>
      </c>
    </row>
    <row r="3" spans="1:41" x14ac:dyDescent="0.25">
      <c r="A3" s="8" t="s">
        <v>2</v>
      </c>
      <c r="B3" s="3">
        <f>(POWER(145,1.5)*33*SQRT(1000*B2))/1000</f>
        <v>4074.2806880478911</v>
      </c>
      <c r="C3" t="s">
        <v>1</v>
      </c>
      <c r="E3">
        <v>0</v>
      </c>
      <c r="F3">
        <v>0</v>
      </c>
      <c r="H3" t="s">
        <v>26</v>
      </c>
      <c r="I3" s="1">
        <f>B8/2</f>
        <v>9</v>
      </c>
      <c r="T3" s="26" t="s">
        <v>79</v>
      </c>
      <c r="U3" s="19">
        <f ca="1">IF(ABS(K72)&lt;0.002,0.65,IF(ABS(K72)&gt;0.005,0.9,0.65+((ABS(K72)-0.002)*(250/3))))</f>
        <v>0.9</v>
      </c>
      <c r="V3" s="16"/>
      <c r="W3" s="30" t="s">
        <v>96</v>
      </c>
      <c r="X3" t="s">
        <v>80</v>
      </c>
      <c r="AG3">
        <v>-1.9184653865522703E-14</v>
      </c>
      <c r="AH3">
        <v>4.9941125496954283E-3</v>
      </c>
      <c r="AI3">
        <v>126.43601007309104</v>
      </c>
      <c r="AJ3">
        <v>125.92474563237192</v>
      </c>
      <c r="AK3">
        <v>0.9</v>
      </c>
      <c r="AL3">
        <v>0.9</v>
      </c>
      <c r="AM3">
        <f>AH3*100</f>
        <v>0.49941125496954281</v>
      </c>
      <c r="AN3">
        <f>AI3/AJ3</f>
        <v>1.0040600792016823</v>
      </c>
      <c r="AO3" t="str">
        <f t="shared" si="0"/>
        <v>phi_L: 0.9
phi_R: 0.9</v>
      </c>
    </row>
    <row r="4" spans="1:41" x14ac:dyDescent="0.25">
      <c r="A4" s="8" t="s">
        <v>3</v>
      </c>
      <c r="B4" s="1">
        <f>IF(B2&lt;=4,0.85,IF(B2&lt;=8,0.85 - ((0.05*(B2-4))/1),0.65))</f>
        <v>0.79999999999999993</v>
      </c>
      <c r="E4" s="5">
        <f>B5</f>
        <v>12</v>
      </c>
      <c r="F4">
        <v>0</v>
      </c>
      <c r="G4">
        <f>((E3*F4)-(E4*F3))*0.5</f>
        <v>0</v>
      </c>
      <c r="T4" s="27" t="s">
        <v>76</v>
      </c>
      <c r="U4" s="10">
        <f ca="1">U3*B75</f>
        <v>-8.8249407781404445E-13</v>
      </c>
      <c r="V4" s="17" t="s">
        <v>69</v>
      </c>
      <c r="W4" s="31">
        <f ca="1">U4-U10</f>
        <v>-8.8249407781404445E-13</v>
      </c>
      <c r="X4">
        <f>MAX(E3:F9)+10</f>
        <v>38</v>
      </c>
      <c r="Y4">
        <f>X4</f>
        <v>38</v>
      </c>
      <c r="AG4">
        <v>1.9184653865522703E-14</v>
      </c>
      <c r="AH4">
        <v>5.7234018715767738E-3</v>
      </c>
      <c r="AI4">
        <v>144.21493766649837</v>
      </c>
      <c r="AJ4">
        <v>143.54345096036894</v>
      </c>
      <c r="AK4">
        <v>0.9</v>
      </c>
      <c r="AL4">
        <v>0.9</v>
      </c>
      <c r="AM4">
        <f>AH4*100</f>
        <v>0.57234018715767743</v>
      </c>
      <c r="AN4">
        <f>AI4/AJ4</f>
        <v>1.0046779334176299</v>
      </c>
      <c r="AO4" t="str">
        <f t="shared" si="0"/>
        <v>phi_L: 0.9
phi_R: 0.9</v>
      </c>
    </row>
    <row r="5" spans="1:41" x14ac:dyDescent="0.25">
      <c r="A5" s="8" t="s">
        <v>5</v>
      </c>
      <c r="B5" s="2">
        <v>12</v>
      </c>
      <c r="C5" t="s">
        <v>4</v>
      </c>
      <c r="E5" s="5">
        <f>E4</f>
        <v>12</v>
      </c>
      <c r="F5">
        <f>(B8-B9)</f>
        <v>10</v>
      </c>
      <c r="G5">
        <f t="shared" ref="G5:G11" si="1">((E4*F5)-(E5*F4))*0.5</f>
        <v>60</v>
      </c>
      <c r="T5" s="27" t="s">
        <v>78</v>
      </c>
      <c r="U5" s="10">
        <f ca="1">U3*B79*(1/12)</f>
        <v>127.51877647058825</v>
      </c>
      <c r="V5" s="17" t="s">
        <v>71</v>
      </c>
      <c r="W5" s="32"/>
      <c r="X5">
        <f>X4</f>
        <v>38</v>
      </c>
      <c r="Y5">
        <f>X5</f>
        <v>38</v>
      </c>
      <c r="AG5">
        <v>-8.9528384705772634E-14</v>
      </c>
      <c r="AH5">
        <v>6.4526911934581193E-3</v>
      </c>
      <c r="AI5">
        <v>161.81942423531993</v>
      </c>
      <c r="AJ5">
        <v>160.96591013570759</v>
      </c>
      <c r="AK5">
        <v>0.9</v>
      </c>
      <c r="AL5">
        <v>0.9</v>
      </c>
      <c r="AM5">
        <f t="shared" ref="AM5:AM10" si="2">AH5*100</f>
        <v>0.64526911934581188</v>
      </c>
      <c r="AN5">
        <f t="shared" ref="AN5:AN10" si="3">AI5/AJ5</f>
        <v>1.0053024525434779</v>
      </c>
      <c r="AO5" t="str">
        <f t="shared" ref="AO5:AO10" si="4">"phi_L: "&amp;ROUND(AK5,3)&amp;CHAR(10)&amp;"phi_R: "&amp;ROUND(AL5,3)</f>
        <v>phi_L: 0.9
phi_R: 0.9</v>
      </c>
    </row>
    <row r="6" spans="1:41" x14ac:dyDescent="0.25">
      <c r="A6" s="8" t="s">
        <v>93</v>
      </c>
      <c r="B6" s="2">
        <v>32</v>
      </c>
      <c r="C6" t="s">
        <v>4</v>
      </c>
      <c r="E6" s="5">
        <f>B7+B5</f>
        <v>28</v>
      </c>
      <c r="F6">
        <f>F5</f>
        <v>10</v>
      </c>
      <c r="G6">
        <f t="shared" si="1"/>
        <v>-80</v>
      </c>
      <c r="T6" s="27" t="s">
        <v>77</v>
      </c>
      <c r="U6" s="10">
        <f ca="1">U3*B80*(1/12)</f>
        <v>5.3582471792879005E-11</v>
      </c>
      <c r="V6" s="17" t="s">
        <v>71</v>
      </c>
      <c r="W6" s="31">
        <f t="shared" ref="W6" ca="1" si="5">U6</f>
        <v>5.3582471792879005E-11</v>
      </c>
      <c r="X6">
        <f>IF(B6=0,0,-1*X5)</f>
        <v>-38</v>
      </c>
      <c r="Y6">
        <f>IF(B6=0,0,Y5)</f>
        <v>38</v>
      </c>
      <c r="AG6">
        <v>4.2862779991992281E-11</v>
      </c>
      <c r="AH6">
        <v>7.1819805153394648E-3</v>
      </c>
      <c r="AI6">
        <v>179.24946977954835</v>
      </c>
      <c r="AJ6">
        <v>178.19212315838485</v>
      </c>
      <c r="AK6">
        <v>0.9</v>
      </c>
      <c r="AL6">
        <v>0.9</v>
      </c>
      <c r="AM6">
        <f t="shared" si="2"/>
        <v>0.71819805153394645</v>
      </c>
      <c r="AN6">
        <f t="shared" si="3"/>
        <v>1.005933745007481</v>
      </c>
      <c r="AO6" t="str">
        <f t="shared" si="4"/>
        <v>phi_L: 0.9
phi_R: 0.9</v>
      </c>
    </row>
    <row r="7" spans="1:41" ht="15.75" thickBot="1" x14ac:dyDescent="0.3">
      <c r="A7" s="8" t="s">
        <v>92</v>
      </c>
      <c r="B7" s="2">
        <v>16</v>
      </c>
      <c r="C7" t="s">
        <v>4</v>
      </c>
      <c r="E7" s="5">
        <f>E6</f>
        <v>28</v>
      </c>
      <c r="F7">
        <f>B8</f>
        <v>18</v>
      </c>
      <c r="G7">
        <f t="shared" si="1"/>
        <v>112</v>
      </c>
      <c r="T7" s="28" t="s">
        <v>97</v>
      </c>
      <c r="U7" s="29">
        <f ca="1">ATAN2(U5,U6)</f>
        <v>4.2019280043231602E-13</v>
      </c>
      <c r="V7" s="18" t="s">
        <v>98</v>
      </c>
      <c r="W7" s="33">
        <f ca="1">U7</f>
        <v>4.2019280043231602E-13</v>
      </c>
      <c r="AG7">
        <v>1.9184653865522705E-13</v>
      </c>
      <c r="AH7">
        <v>7.9112698372208103E-3</v>
      </c>
      <c r="AI7">
        <v>196.50507429920438</v>
      </c>
      <c r="AJ7">
        <v>195.22209002840475</v>
      </c>
      <c r="AK7">
        <v>0.9</v>
      </c>
      <c r="AL7">
        <v>0.9</v>
      </c>
      <c r="AM7">
        <f t="shared" si="2"/>
        <v>0.79112698372208101</v>
      </c>
      <c r="AN7">
        <f t="shared" si="3"/>
        <v>1.0065719216027906</v>
      </c>
      <c r="AO7" t="str">
        <f t="shared" si="4"/>
        <v>phi_L: 0.9
phi_R: 0.9</v>
      </c>
    </row>
    <row r="8" spans="1:41" ht="15.75" thickBot="1" x14ac:dyDescent="0.3">
      <c r="A8" s="8" t="s">
        <v>6</v>
      </c>
      <c r="B8" s="4">
        <v>18</v>
      </c>
      <c r="C8" t="s">
        <v>4</v>
      </c>
      <c r="E8" s="5">
        <f>E7-(B7+B6+B5)</f>
        <v>-32</v>
      </c>
      <c r="F8">
        <f>F7</f>
        <v>18</v>
      </c>
      <c r="G8">
        <f t="shared" si="1"/>
        <v>540</v>
      </c>
      <c r="AG8">
        <v>-4.4337866711430256E-13</v>
      </c>
      <c r="AH8">
        <v>8.6405591591021558E-3</v>
      </c>
      <c r="AI8">
        <v>213.5862377942679</v>
      </c>
      <c r="AJ8">
        <v>212.05581074576423</v>
      </c>
      <c r="AK8">
        <v>0.9</v>
      </c>
      <c r="AL8">
        <v>0.9</v>
      </c>
      <c r="AM8">
        <f t="shared" si="2"/>
        <v>0.86405591591021558</v>
      </c>
      <c r="AN8">
        <f t="shared" si="3"/>
        <v>1.0072170955519748</v>
      </c>
      <c r="AO8" t="str">
        <f t="shared" si="4"/>
        <v>phi_L: 0.9
phi_R: 0.9</v>
      </c>
    </row>
    <row r="9" spans="1:41" x14ac:dyDescent="0.25">
      <c r="A9" s="8" t="s">
        <v>7</v>
      </c>
      <c r="B9" s="4">
        <v>8</v>
      </c>
      <c r="C9" t="s">
        <v>4</v>
      </c>
      <c r="E9" s="5">
        <f>E8</f>
        <v>-32</v>
      </c>
      <c r="F9">
        <f>F6</f>
        <v>10</v>
      </c>
      <c r="G9">
        <f t="shared" si="1"/>
        <v>128</v>
      </c>
      <c r="T9" s="35" t="s">
        <v>99</v>
      </c>
      <c r="U9" s="36"/>
      <c r="V9" s="16"/>
      <c r="AG9">
        <v>8.3815621110261411E-12</v>
      </c>
      <c r="AH9">
        <v>9.3698484809835014E-3</v>
      </c>
      <c r="AI9">
        <v>230.49296026474363</v>
      </c>
      <c r="AJ9">
        <v>228.6932853104644</v>
      </c>
      <c r="AK9">
        <v>0.9</v>
      </c>
      <c r="AL9">
        <v>0.9</v>
      </c>
      <c r="AM9">
        <f t="shared" si="2"/>
        <v>0.93698484809835014</v>
      </c>
      <c r="AN9">
        <f t="shared" si="3"/>
        <v>1.0078693825742897</v>
      </c>
      <c r="AO9" t="str">
        <f t="shared" si="4"/>
        <v>phi_L: 0.9
phi_R: 0.9</v>
      </c>
    </row>
    <row r="10" spans="1:41" x14ac:dyDescent="0.25">
      <c r="E10">
        <v>0</v>
      </c>
      <c r="F10">
        <f>F9</f>
        <v>10</v>
      </c>
      <c r="G10">
        <f t="shared" si="1"/>
        <v>-160</v>
      </c>
      <c r="T10" s="37" t="s">
        <v>100</v>
      </c>
      <c r="U10" s="38">
        <v>0</v>
      </c>
      <c r="V10" s="17" t="s">
        <v>69</v>
      </c>
      <c r="W10" t="str">
        <f>"+ Compression"</f>
        <v>+ Compression</v>
      </c>
      <c r="AG10">
        <v>1.6200374375330285E-13</v>
      </c>
      <c r="AH10">
        <v>1.0099137802864847E-2</v>
      </c>
      <c r="AI10">
        <v>247.22524171063597</v>
      </c>
      <c r="AJ10">
        <v>245.13451372250603</v>
      </c>
      <c r="AK10">
        <v>0.9</v>
      </c>
      <c r="AL10">
        <v>0.9</v>
      </c>
      <c r="AM10">
        <f t="shared" si="2"/>
        <v>1.0099137802864846</v>
      </c>
      <c r="AN10">
        <f t="shared" si="3"/>
        <v>1.0085289009547496</v>
      </c>
      <c r="AO10" t="str">
        <f t="shared" si="4"/>
        <v>phi_L: 0.9
phi_R: 0.9</v>
      </c>
    </row>
    <row r="11" spans="1:41" x14ac:dyDescent="0.25">
      <c r="A11" t="s">
        <v>10</v>
      </c>
      <c r="E11">
        <v>0</v>
      </c>
      <c r="F11">
        <v>0</v>
      </c>
      <c r="G11">
        <f t="shared" si="1"/>
        <v>0</v>
      </c>
      <c r="T11" s="37" t="s">
        <v>101</v>
      </c>
      <c r="U11" s="38">
        <v>30</v>
      </c>
      <c r="V11" s="17" t="s">
        <v>71</v>
      </c>
      <c r="W11" t="str">
        <f>"+ Puts Top of Section in Compression"</f>
        <v>+ Puts Top of Section in Compression</v>
      </c>
      <c r="AG11">
        <v>1.8758328224066644E-13</v>
      </c>
      <c r="AH11">
        <v>1.0828427124746192E-2</v>
      </c>
      <c r="AI11">
        <v>263.78308213194066</v>
      </c>
      <c r="AJ11">
        <v>261.37949598188754</v>
      </c>
      <c r="AK11">
        <v>0.9</v>
      </c>
      <c r="AL11">
        <v>0.9</v>
      </c>
      <c r="AM11">
        <f t="shared" ref="AM11:AM53" si="6">AH11*100</f>
        <v>1.0828427124746192</v>
      </c>
      <c r="AN11">
        <f t="shared" ref="AN11:AN53" si="7">AI11/AJ11</f>
        <v>1.0091957716156117</v>
      </c>
      <c r="AO11" t="str">
        <f t="shared" ref="AO11:AO53" si="8">"phi_L: "&amp;ROUND(AK11,3)&amp;CHAR(10)&amp;"phi_R: "&amp;ROUND(AL11,3)</f>
        <v>phi_L: 0.9
phi_R: 0.9</v>
      </c>
    </row>
    <row r="12" spans="1:41" x14ac:dyDescent="0.25">
      <c r="A12" s="8" t="s">
        <v>11</v>
      </c>
      <c r="B12" s="2">
        <v>60</v>
      </c>
      <c r="C12" t="s">
        <v>1</v>
      </c>
      <c r="G12">
        <f>SUM(G4:G11)</f>
        <v>600</v>
      </c>
      <c r="T12" s="37" t="s">
        <v>102</v>
      </c>
      <c r="U12" s="38">
        <v>0</v>
      </c>
      <c r="V12" s="17" t="s">
        <v>71</v>
      </c>
      <c r="W12" t="str">
        <f>"+ Puts Left of Section in Compression"</f>
        <v>+ Puts Left of Section in Compression</v>
      </c>
      <c r="AG12">
        <v>-2.7284841053187846E-13</v>
      </c>
      <c r="AH12">
        <v>1.1557716446627538E-2</v>
      </c>
      <c r="AI12">
        <v>280.16648152866014</v>
      </c>
      <c r="AJ12">
        <v>277.42823208860955</v>
      </c>
      <c r="AK12">
        <v>0.9</v>
      </c>
      <c r="AL12">
        <v>0.9</v>
      </c>
      <c r="AM12">
        <f t="shared" si="6"/>
        <v>1.1557716446627537</v>
      </c>
      <c r="AN12">
        <f t="shared" si="7"/>
        <v>1.0098701181903362</v>
      </c>
      <c r="AO12" t="str">
        <f t="shared" si="8"/>
        <v>phi_L: 0.9
phi_R: 0.9</v>
      </c>
    </row>
    <row r="13" spans="1:41" ht="15.75" thickBot="1" x14ac:dyDescent="0.3">
      <c r="A13" s="8" t="s">
        <v>12</v>
      </c>
      <c r="B13" s="3">
        <v>29000</v>
      </c>
      <c r="C13" t="s">
        <v>1</v>
      </c>
      <c r="T13" s="28" t="s">
        <v>97</v>
      </c>
      <c r="U13" s="29">
        <f>IF(AND(U11=0,U12=0),0,ATAN2(U11,U12))</f>
        <v>0</v>
      </c>
      <c r="V13" s="18" t="s">
        <v>98</v>
      </c>
      <c r="AG13">
        <v>9.208633855450898E-13</v>
      </c>
      <c r="AH13">
        <v>1.2287005768508883E-2</v>
      </c>
      <c r="AI13">
        <v>296.37543990079189</v>
      </c>
      <c r="AJ13">
        <v>293.28072204267306</v>
      </c>
      <c r="AK13">
        <v>0.9</v>
      </c>
      <c r="AL13">
        <v>0.9</v>
      </c>
      <c r="AM13">
        <f t="shared" si="6"/>
        <v>1.2287005768508883</v>
      </c>
      <c r="AN13">
        <f t="shared" si="7"/>
        <v>1.0105520670999595</v>
      </c>
      <c r="AO13" t="str">
        <f t="shared" si="8"/>
        <v>phi_L: 0.9
phi_R: 0.9</v>
      </c>
    </row>
    <row r="14" spans="1:41" x14ac:dyDescent="0.25">
      <c r="B14" s="1" t="s">
        <v>13</v>
      </c>
      <c r="C14" s="1" t="s">
        <v>14</v>
      </c>
      <c r="D14" s="1" t="s">
        <v>8</v>
      </c>
      <c r="E14" s="1" t="s">
        <v>9</v>
      </c>
      <c r="G14" s="1">
        <v>0</v>
      </c>
      <c r="H14" s="6">
        <v>0</v>
      </c>
      <c r="I14" s="6">
        <v>0</v>
      </c>
      <c r="AG14">
        <v>0</v>
      </c>
      <c r="AH14">
        <v>1.3016295090390229E-2</v>
      </c>
      <c r="AI14">
        <v>312.40995724833857</v>
      </c>
      <c r="AJ14">
        <v>308.93696584407564</v>
      </c>
      <c r="AK14">
        <v>0.9</v>
      </c>
      <c r="AL14">
        <v>0.9</v>
      </c>
      <c r="AM14">
        <f t="shared" si="6"/>
        <v>1.3016295090390229</v>
      </c>
      <c r="AN14">
        <f t="shared" si="7"/>
        <v>1.0112417476321554</v>
      </c>
      <c r="AO14" t="str">
        <f t="shared" si="8"/>
        <v>phi_L: 0.9
phi_R: 0.9</v>
      </c>
    </row>
    <row r="15" spans="1:41" x14ac:dyDescent="0.25">
      <c r="A15">
        <v>1</v>
      </c>
      <c r="B15" s="20">
        <v>7</v>
      </c>
      <c r="C15" s="6">
        <f ca="1">OFFSET($G$14,MATCH(B15,$G$14:$G$29,0)-1,2)</f>
        <v>0.6</v>
      </c>
      <c r="D15" s="2">
        <v>2</v>
      </c>
      <c r="E15" s="2">
        <v>2</v>
      </c>
      <c r="G15" s="1">
        <v>3</v>
      </c>
      <c r="H15" s="6">
        <v>0.375</v>
      </c>
      <c r="I15" s="6">
        <v>0.11</v>
      </c>
      <c r="T15">
        <f>IF($B15=0,NA(),D15)</f>
        <v>2</v>
      </c>
      <c r="U15">
        <f>IF($B15=0,NA(),E15)</f>
        <v>2</v>
      </c>
      <c r="AG15">
        <v>2.0975221559638157E-12</v>
      </c>
      <c r="AH15">
        <v>1.3745584412271574E-2</v>
      </c>
      <c r="AI15">
        <v>328.27003357129854</v>
      </c>
      <c r="AJ15">
        <v>324.39696349282042</v>
      </c>
      <c r="AK15">
        <v>0.9</v>
      </c>
      <c r="AL15">
        <v>0.9</v>
      </c>
      <c r="AM15">
        <f t="shared" si="6"/>
        <v>1.3745584412271574</v>
      </c>
      <c r="AN15">
        <f t="shared" si="7"/>
        <v>1.0119392920228856</v>
      </c>
      <c r="AO15" t="str">
        <f t="shared" si="8"/>
        <v>phi_L: 0.9
phi_R: 0.9</v>
      </c>
    </row>
    <row r="16" spans="1:41" x14ac:dyDescent="0.25">
      <c r="A16">
        <v>2</v>
      </c>
      <c r="B16" s="20">
        <v>7</v>
      </c>
      <c r="C16" s="6">
        <f t="shared" ref="C16:C24" ca="1" si="9">OFFSET($G$14,MATCH(B16,$G$14:$G$29,0)-1,2)</f>
        <v>0.6</v>
      </c>
      <c r="D16" s="2">
        <v>10</v>
      </c>
      <c r="E16" s="2">
        <v>2</v>
      </c>
      <c r="G16" s="1">
        <v>4</v>
      </c>
      <c r="H16" s="6">
        <v>0.5</v>
      </c>
      <c r="I16" s="6">
        <v>0.2</v>
      </c>
      <c r="T16">
        <f t="shared" ref="T16:T24" si="10">IF($B16=0,NA(),D16)</f>
        <v>10</v>
      </c>
      <c r="U16">
        <f t="shared" ref="U16:U24" si="11">IF($B16=0,NA(),E16)</f>
        <v>2</v>
      </c>
      <c r="AG16">
        <v>-1.5347723092418163E-13</v>
      </c>
      <c r="AH16">
        <v>1.447487373415292E-2</v>
      </c>
      <c r="AI16">
        <v>343.95566886967413</v>
      </c>
      <c r="AJ16">
        <v>339.66071498890568</v>
      </c>
      <c r="AK16">
        <v>0.9</v>
      </c>
      <c r="AL16">
        <v>0.9</v>
      </c>
      <c r="AM16">
        <f t="shared" si="6"/>
        <v>1.447487373415292</v>
      </c>
      <c r="AN16">
        <f t="shared" si="7"/>
        <v>1.0126448355409861</v>
      </c>
      <c r="AO16" t="str">
        <f t="shared" si="8"/>
        <v>phi_L: 0.9
phi_R: 0.9</v>
      </c>
    </row>
    <row r="17" spans="1:41" x14ac:dyDescent="0.25">
      <c r="A17">
        <v>3</v>
      </c>
      <c r="B17" s="20">
        <v>7</v>
      </c>
      <c r="C17" s="6">
        <f t="shared" ca="1" si="9"/>
        <v>0.6</v>
      </c>
      <c r="D17" s="2">
        <v>6</v>
      </c>
      <c r="E17" s="2">
        <v>2</v>
      </c>
      <c r="G17" s="1">
        <v>5</v>
      </c>
      <c r="H17" s="6">
        <v>0.625</v>
      </c>
      <c r="I17" s="6">
        <v>0.31</v>
      </c>
      <c r="T17">
        <f t="shared" si="10"/>
        <v>6</v>
      </c>
      <c r="U17">
        <f t="shared" si="11"/>
        <v>2</v>
      </c>
      <c r="AG17">
        <v>0</v>
      </c>
      <c r="AH17">
        <v>1.5204163056034265E-2</v>
      </c>
      <c r="AI17">
        <v>359.46686314346164</v>
      </c>
      <c r="AJ17">
        <v>354.7282203323303</v>
      </c>
      <c r="AK17">
        <v>0.9</v>
      </c>
      <c r="AL17">
        <v>0.9</v>
      </c>
      <c r="AM17">
        <f t="shared" si="6"/>
        <v>1.5204163056034266</v>
      </c>
      <c r="AN17">
        <f t="shared" si="7"/>
        <v>1.0133585165755685</v>
      </c>
      <c r="AO17" t="str">
        <f t="shared" si="8"/>
        <v>phi_L: 0.9
phi_R: 0.9</v>
      </c>
    </row>
    <row r="18" spans="1:41" x14ac:dyDescent="0.25">
      <c r="A18">
        <v>4</v>
      </c>
      <c r="B18" s="20">
        <v>0</v>
      </c>
      <c r="C18" s="6">
        <f t="shared" ca="1" si="9"/>
        <v>0</v>
      </c>
      <c r="D18" s="2">
        <v>0</v>
      </c>
      <c r="E18" s="2">
        <v>0</v>
      </c>
      <c r="G18" s="1">
        <v>6</v>
      </c>
      <c r="H18" s="6">
        <v>0.75</v>
      </c>
      <c r="I18" s="6">
        <v>0.44</v>
      </c>
      <c r="T18" t="e">
        <f t="shared" si="10"/>
        <v>#N/A</v>
      </c>
      <c r="U18" t="e">
        <f t="shared" si="11"/>
        <v>#N/A</v>
      </c>
      <c r="AG18">
        <v>-1.5688783605583012E-11</v>
      </c>
      <c r="AH18">
        <v>1.5933452377915609E-2</v>
      </c>
      <c r="AI18">
        <v>374.80361639266931</v>
      </c>
      <c r="AJ18">
        <v>369.59947952309699</v>
      </c>
      <c r="AK18">
        <v>0.9</v>
      </c>
      <c r="AL18">
        <v>0.9</v>
      </c>
      <c r="AM18">
        <f t="shared" si="6"/>
        <v>1.5933452377915609</v>
      </c>
      <c r="AN18">
        <f t="shared" si="7"/>
        <v>1.0140804767265563</v>
      </c>
      <c r="AO18" t="str">
        <f t="shared" si="8"/>
        <v>phi_L: 0.9
phi_R: 0.9</v>
      </c>
    </row>
    <row r="19" spans="1:41" x14ac:dyDescent="0.25">
      <c r="A19">
        <v>5</v>
      </c>
      <c r="B19" s="20">
        <v>0</v>
      </c>
      <c r="C19" s="6">
        <f t="shared" ca="1" si="9"/>
        <v>0</v>
      </c>
      <c r="D19" s="2">
        <v>0</v>
      </c>
      <c r="E19" s="2">
        <v>0</v>
      </c>
      <c r="G19" s="1">
        <v>7</v>
      </c>
      <c r="H19" s="6">
        <v>0.875</v>
      </c>
      <c r="I19" s="6">
        <v>0.6</v>
      </c>
      <c r="T19" t="e">
        <f t="shared" si="10"/>
        <v>#N/A</v>
      </c>
      <c r="U19" t="e">
        <f t="shared" si="11"/>
        <v>#N/A</v>
      </c>
      <c r="AG19">
        <v>-8.5265128291212022E-13</v>
      </c>
      <c r="AH19">
        <v>1.6662741699796955E-2</v>
      </c>
      <c r="AI19">
        <v>389.96592861728084</v>
      </c>
      <c r="AJ19">
        <v>384.27449256120332</v>
      </c>
      <c r="AK19">
        <v>0.9</v>
      </c>
      <c r="AL19">
        <v>0.9</v>
      </c>
      <c r="AM19">
        <f t="shared" si="6"/>
        <v>1.6662741699796955</v>
      </c>
      <c r="AN19">
        <f t="shared" si="7"/>
        <v>1.0148108608982707</v>
      </c>
      <c r="AO19" t="str">
        <f t="shared" si="8"/>
        <v>phi_L: 0.9
phi_R: 0.9</v>
      </c>
    </row>
    <row r="20" spans="1:41" x14ac:dyDescent="0.25">
      <c r="A20">
        <v>6</v>
      </c>
      <c r="B20" s="20">
        <v>0</v>
      </c>
      <c r="C20" s="6">
        <f t="shared" ca="1" si="9"/>
        <v>0</v>
      </c>
      <c r="D20" s="2">
        <v>0</v>
      </c>
      <c r="E20" s="2">
        <v>0</v>
      </c>
      <c r="G20" s="1">
        <v>8</v>
      </c>
      <c r="H20" s="6">
        <v>1</v>
      </c>
      <c r="I20" s="6">
        <v>0.79</v>
      </c>
      <c r="T20" t="e">
        <f t="shared" si="10"/>
        <v>#N/A</v>
      </c>
      <c r="U20" t="e">
        <f t="shared" si="11"/>
        <v>#N/A</v>
      </c>
      <c r="AG20">
        <v>0</v>
      </c>
      <c r="AH20">
        <v>1.73920310216783E-2</v>
      </c>
      <c r="AI20">
        <v>404.95379981731031</v>
      </c>
      <c r="AJ20">
        <v>398.75325944665047</v>
      </c>
      <c r="AK20">
        <v>0.9</v>
      </c>
      <c r="AL20">
        <v>0.9</v>
      </c>
      <c r="AM20">
        <f t="shared" si="6"/>
        <v>1.73920310216783</v>
      </c>
      <c r="AN20">
        <f t="shared" si="7"/>
        <v>1.0155498173965132</v>
      </c>
      <c r="AO20" t="str">
        <f t="shared" si="8"/>
        <v>phi_L: 0.9
phi_R: 0.9</v>
      </c>
    </row>
    <row r="21" spans="1:41" x14ac:dyDescent="0.25">
      <c r="A21">
        <v>7</v>
      </c>
      <c r="B21" s="20">
        <v>0</v>
      </c>
      <c r="C21" s="6">
        <f t="shared" ca="1" si="9"/>
        <v>0</v>
      </c>
      <c r="D21" s="2">
        <v>0</v>
      </c>
      <c r="E21" s="2">
        <v>0</v>
      </c>
      <c r="G21" s="1">
        <v>9</v>
      </c>
      <c r="H21" s="6">
        <v>1.1279999999999999</v>
      </c>
      <c r="I21" s="6">
        <v>1</v>
      </c>
      <c r="T21" t="e">
        <f t="shared" si="10"/>
        <v>#N/A</v>
      </c>
      <c r="U21" t="e">
        <f t="shared" si="11"/>
        <v>#N/A</v>
      </c>
      <c r="AG21">
        <v>-1.5114538822782552E-13</v>
      </c>
      <c r="AH21">
        <v>1.8121320343559646E-2</v>
      </c>
      <c r="AI21">
        <v>413.38953381245346</v>
      </c>
      <c r="AJ21">
        <v>413.03578017943892</v>
      </c>
      <c r="AK21">
        <v>0.88632592981979685</v>
      </c>
      <c r="AL21">
        <v>0.9</v>
      </c>
      <c r="AM21">
        <f t="shared" si="6"/>
        <v>1.8121320343559646</v>
      </c>
      <c r="AN21">
        <f t="shared" si="7"/>
        <v>1.0008564721266058</v>
      </c>
      <c r="AO21" t="str">
        <f t="shared" si="8"/>
        <v>phi_L: 0.886
phi_R: 0.9</v>
      </c>
    </row>
    <row r="22" spans="1:41" x14ac:dyDescent="0.25">
      <c r="A22">
        <v>8</v>
      </c>
      <c r="B22" s="20">
        <v>0</v>
      </c>
      <c r="C22" s="6">
        <f t="shared" ca="1" si="9"/>
        <v>0</v>
      </c>
      <c r="D22" s="2">
        <v>0</v>
      </c>
      <c r="E22" s="2">
        <v>0</v>
      </c>
      <c r="G22" s="1">
        <v>10</v>
      </c>
      <c r="H22" s="6">
        <v>1.27</v>
      </c>
      <c r="I22" s="6">
        <v>1.27</v>
      </c>
      <c r="T22" t="e">
        <f t="shared" si="10"/>
        <v>#N/A</v>
      </c>
      <c r="U22" t="e">
        <f t="shared" si="11"/>
        <v>#N/A</v>
      </c>
      <c r="AG22">
        <v>2.9455426814898607E-13</v>
      </c>
      <c r="AH22">
        <v>1.8850609665440991E-2</v>
      </c>
      <c r="AI22">
        <v>416.8572927355761</v>
      </c>
      <c r="AJ22">
        <v>427.12205475956739</v>
      </c>
      <c r="AK22">
        <v>0.86364224757562691</v>
      </c>
      <c r="AL22">
        <v>0.9</v>
      </c>
      <c r="AM22">
        <f t="shared" si="6"/>
        <v>1.8850609665440992</v>
      </c>
      <c r="AN22">
        <f t="shared" si="7"/>
        <v>0.97596761415242428</v>
      </c>
      <c r="AO22" t="str">
        <f t="shared" si="8"/>
        <v>phi_L: 0.864
phi_R: 0.9</v>
      </c>
    </row>
    <row r="23" spans="1:41" x14ac:dyDescent="0.25">
      <c r="A23">
        <v>9</v>
      </c>
      <c r="B23" s="20">
        <v>0</v>
      </c>
      <c r="C23" s="6">
        <f t="shared" ca="1" si="9"/>
        <v>0</v>
      </c>
      <c r="D23" s="2">
        <v>0</v>
      </c>
      <c r="E23" s="2">
        <v>0</v>
      </c>
      <c r="G23" s="1">
        <v>11</v>
      </c>
      <c r="H23" s="6">
        <v>1.41</v>
      </c>
      <c r="I23" s="6">
        <v>1.56</v>
      </c>
      <c r="T23" t="e">
        <f t="shared" si="10"/>
        <v>#N/A</v>
      </c>
      <c r="U23" t="e">
        <f t="shared" si="11"/>
        <v>#N/A</v>
      </c>
      <c r="AG23">
        <v>5.993763218096148E-11</v>
      </c>
      <c r="AH23">
        <v>1.9579898987322337E-2</v>
      </c>
      <c r="AI23">
        <v>420.2669046503695</v>
      </c>
      <c r="AJ23">
        <v>441.01208318703652</v>
      </c>
      <c r="AK23">
        <v>0.84264835619812195</v>
      </c>
      <c r="AL23">
        <v>0.9</v>
      </c>
      <c r="AM23">
        <f t="shared" si="6"/>
        <v>1.9579898987322337</v>
      </c>
      <c r="AN23">
        <f t="shared" si="7"/>
        <v>0.95296006769984842</v>
      </c>
      <c r="AO23" t="str">
        <f t="shared" si="8"/>
        <v>phi_L: 0.843
phi_R: 0.9</v>
      </c>
    </row>
    <row r="24" spans="1:41" ht="15.75" thickBot="1" x14ac:dyDescent="0.3">
      <c r="A24">
        <v>10</v>
      </c>
      <c r="B24" s="20">
        <v>0</v>
      </c>
      <c r="C24" s="11">
        <f t="shared" ca="1" si="9"/>
        <v>0</v>
      </c>
      <c r="D24" s="2">
        <v>0</v>
      </c>
      <c r="E24" s="2">
        <v>0</v>
      </c>
      <c r="G24" s="1">
        <v>14</v>
      </c>
      <c r="H24" s="6">
        <v>1.6930000000000001</v>
      </c>
      <c r="I24" s="6">
        <v>2.25</v>
      </c>
      <c r="T24" t="e">
        <f t="shared" si="10"/>
        <v>#N/A</v>
      </c>
      <c r="U24" t="e">
        <f t="shared" si="11"/>
        <v>#N/A</v>
      </c>
      <c r="AG24">
        <v>7.9857245429115826E-12</v>
      </c>
      <c r="AH24">
        <v>2.0309188309203682E-2</v>
      </c>
      <c r="AI24">
        <v>423.61836955722021</v>
      </c>
      <c r="AJ24">
        <v>454.70586546184677</v>
      </c>
      <c r="AK24">
        <v>0.82316221792007516</v>
      </c>
      <c r="AL24">
        <v>0.9</v>
      </c>
      <c r="AM24">
        <f t="shared" si="6"/>
        <v>2.0309188309203683</v>
      </c>
      <c r="AN24">
        <f t="shared" si="7"/>
        <v>0.93163163647987945</v>
      </c>
      <c r="AO24" t="str">
        <f t="shared" si="8"/>
        <v>phi_L: 0.823
phi_R: 0.9</v>
      </c>
    </row>
    <row r="25" spans="1:41" ht="15.75" thickTop="1" x14ac:dyDescent="0.25">
      <c r="C25" s="6">
        <f ca="1">SUM(C15:C24)</f>
        <v>1.7999999999999998</v>
      </c>
      <c r="D25" s="25">
        <f ca="1">C25/(B5*F27)</f>
        <v>9.3749999999999997E-3</v>
      </c>
      <c r="G25" s="1">
        <v>18</v>
      </c>
      <c r="H25" s="6">
        <v>2.2570000000000001</v>
      </c>
      <c r="I25" s="6">
        <v>4</v>
      </c>
      <c r="AG25">
        <v>9.4571677270136372E-13</v>
      </c>
      <c r="AH25">
        <v>2.1038477631085028E-2</v>
      </c>
      <c r="AI25">
        <v>426.91168745577335</v>
      </c>
      <c r="AJ25">
        <v>468.20340158399654</v>
      </c>
      <c r="AK25">
        <v>0.80502703600098724</v>
      </c>
      <c r="AL25">
        <v>0.9</v>
      </c>
      <c r="AM25">
        <f t="shared" si="6"/>
        <v>2.1038477631085026</v>
      </c>
      <c r="AN25">
        <f t="shared" si="7"/>
        <v>0.9118081714303492</v>
      </c>
      <c r="AO25" t="str">
        <f t="shared" si="8"/>
        <v>phi_L: 0.805
phi_R: 0.9</v>
      </c>
    </row>
    <row r="26" spans="1:41" x14ac:dyDescent="0.25">
      <c r="E26" s="8" t="s">
        <v>87</v>
      </c>
      <c r="F26" s="21" t="s">
        <v>81</v>
      </c>
      <c r="G26" s="1" t="s">
        <v>82</v>
      </c>
      <c r="H26" s="24">
        <v>0.01</v>
      </c>
      <c r="I26" s="6">
        <f>IF(F26="web",(B5*F27)*H26,G12*H26)</f>
        <v>1.92</v>
      </c>
      <c r="AG26">
        <v>0</v>
      </c>
      <c r="AH26">
        <v>2.1767766952966373E-2</v>
      </c>
      <c r="AI26">
        <v>430.14685834611737</v>
      </c>
      <c r="AJ26">
        <v>473.02095443060085</v>
      </c>
      <c r="AK26">
        <v>0.78810702645601793</v>
      </c>
      <c r="AL26">
        <v>0.88414270194135747</v>
      </c>
      <c r="AM26">
        <f t="shared" si="6"/>
        <v>2.1767766952966374</v>
      </c>
      <c r="AN26">
        <f t="shared" si="7"/>
        <v>0.90936110613515375</v>
      </c>
      <c r="AO26" t="str">
        <f t="shared" si="8"/>
        <v>phi_L: 0.788
phi_R: 0.884</v>
      </c>
    </row>
    <row r="27" spans="1:41" x14ac:dyDescent="0.25">
      <c r="A27" t="s">
        <v>15</v>
      </c>
      <c r="B27" s="34">
        <v>-1.1293637468858964E-2</v>
      </c>
      <c r="C27" t="s">
        <v>16</v>
      </c>
      <c r="E27" s="8" t="s">
        <v>91</v>
      </c>
      <c r="F27" s="3" cm="1">
        <f t="array" ref="F27">B8-MIN(IF(E15:E24&gt;0,E15:E24))</f>
        <v>16</v>
      </c>
      <c r="G27" s="1" t="s">
        <v>83</v>
      </c>
      <c r="H27" s="24">
        <f>F28</f>
        <v>3.5355339059327377E-3</v>
      </c>
      <c r="I27" s="6">
        <f>IF(F26="web",(B5*F27)*H27,G12*H27)</f>
        <v>0.67882250993908566</v>
      </c>
      <c r="AG27">
        <v>0</v>
      </c>
      <c r="AH27">
        <v>2.2497056274847719E-2</v>
      </c>
      <c r="AI27">
        <v>433.32388222826404</v>
      </c>
      <c r="AJ27">
        <v>474.30070219236961</v>
      </c>
      <c r="AK27">
        <v>0.7722840121922534</v>
      </c>
      <c r="AL27">
        <v>0.86304534958967194</v>
      </c>
      <c r="AM27">
        <f t="shared" si="6"/>
        <v>2.2497056274847718</v>
      </c>
      <c r="AN27">
        <f t="shared" si="7"/>
        <v>0.9136058205802825</v>
      </c>
      <c r="AO27" t="str">
        <f t="shared" si="8"/>
        <v>phi_L: 0.772
phi_R: 0.863</v>
      </c>
    </row>
    <row r="28" spans="1:41" x14ac:dyDescent="0.25">
      <c r="A28" t="s">
        <v>17</v>
      </c>
      <c r="B28" s="34">
        <v>0.95288040508069538</v>
      </c>
      <c r="C28" t="s">
        <v>4</v>
      </c>
      <c r="E28" s="8" t="s">
        <v>88</v>
      </c>
      <c r="F28" s="23">
        <f>MAX(200/(B12*1000),(3*SQRT(B2*1000))/(B12*1000))</f>
        <v>3.5355339059327377E-3</v>
      </c>
      <c r="G28" s="1" t="s">
        <v>84</v>
      </c>
      <c r="H28" s="22" t="s">
        <v>86</v>
      </c>
      <c r="I28" s="7">
        <v>10</v>
      </c>
      <c r="AG28">
        <v>0</v>
      </c>
      <c r="AH28">
        <v>2.3226345596729064E-2</v>
      </c>
      <c r="AI28">
        <v>436.44275910221586</v>
      </c>
      <c r="AJ28">
        <v>475.52957132196735</v>
      </c>
      <c r="AK28">
        <v>0.75745465879472251</v>
      </c>
      <c r="AL28">
        <v>0.84327287839296416</v>
      </c>
      <c r="AM28">
        <f t="shared" si="6"/>
        <v>2.3226345596729066</v>
      </c>
      <c r="AN28">
        <f t="shared" si="7"/>
        <v>0.91780361395593013</v>
      </c>
      <c r="AO28" t="str">
        <f t="shared" si="8"/>
        <v>phi_L: 0.757
phi_R: 0.843</v>
      </c>
    </row>
    <row r="29" spans="1:41" x14ac:dyDescent="0.25">
      <c r="A29" t="s">
        <v>18</v>
      </c>
      <c r="B29" s="6">
        <f>B28*B4</f>
        <v>0.76230432406455628</v>
      </c>
      <c r="C29" t="s">
        <v>4</v>
      </c>
      <c r="G29" s="1" t="s">
        <v>85</v>
      </c>
      <c r="H29" s="22" t="s">
        <v>86</v>
      </c>
      <c r="I29" s="7">
        <v>5</v>
      </c>
      <c r="AG29">
        <v>0</v>
      </c>
      <c r="AH29">
        <v>2.395563491861041E-2</v>
      </c>
      <c r="AI29">
        <v>439.50348896797163</v>
      </c>
      <c r="AJ29">
        <v>476.70756181939333</v>
      </c>
      <c r="AK29">
        <v>0.74352821522362345</v>
      </c>
      <c r="AL29">
        <v>0.82470428696483111</v>
      </c>
      <c r="AM29">
        <f t="shared" si="6"/>
        <v>2.3955634918610409</v>
      </c>
      <c r="AN29">
        <f t="shared" si="7"/>
        <v>0.92195619320694366</v>
      </c>
      <c r="AO29" t="str">
        <f t="shared" si="8"/>
        <v>phi_L: 0.744
phi_R: 0.825</v>
      </c>
    </row>
    <row r="30" spans="1:41" x14ac:dyDescent="0.25">
      <c r="A30" t="s">
        <v>49</v>
      </c>
      <c r="B30" s="1">
        <v>3.0000000000000001E-3</v>
      </c>
      <c r="AG30">
        <v>3.4923716885438983E-10</v>
      </c>
      <c r="AH30">
        <v>2.4684924240491755E-2</v>
      </c>
      <c r="AI30">
        <v>442.50607182479536</v>
      </c>
      <c r="AJ30">
        <v>477.83467368464926</v>
      </c>
      <c r="AK30">
        <v>0.73042465500256215</v>
      </c>
      <c r="AL30">
        <v>0.80723287333793503</v>
      </c>
      <c r="AM30">
        <f t="shared" si="6"/>
        <v>2.4684924240491757</v>
      </c>
      <c r="AN30">
        <f t="shared" si="7"/>
        <v>0.92606521919510321</v>
      </c>
      <c r="AO30" t="str">
        <f t="shared" si="8"/>
        <v>phi_L: 0.73
phi_R: 0.807</v>
      </c>
    </row>
    <row r="31" spans="1:41" x14ac:dyDescent="0.25">
      <c r="A31" t="s">
        <v>50</v>
      </c>
      <c r="B31" s="1">
        <f>B2*0.85</f>
        <v>4.25</v>
      </c>
      <c r="C31" t="s">
        <v>1</v>
      </c>
      <c r="AG31">
        <v>8.5417907427122375E-11</v>
      </c>
      <c r="AH31">
        <v>2.5414213562373101E-2</v>
      </c>
      <c r="AI31">
        <v>445.45050767471901</v>
      </c>
      <c r="AJ31">
        <v>478.91090691773422</v>
      </c>
      <c r="AK31">
        <v>0.71807313745586487</v>
      </c>
      <c r="AL31">
        <v>0.79076418327476405</v>
      </c>
      <c r="AM31">
        <f t="shared" si="6"/>
        <v>2.54142135623731</v>
      </c>
      <c r="AN31">
        <f t="shared" si="7"/>
        <v>0.93013230903767463</v>
      </c>
      <c r="AO31" t="str">
        <f t="shared" si="8"/>
        <v>phi_L: 0.718
phi_R: 0.791</v>
      </c>
    </row>
    <row r="32" spans="1:41" x14ac:dyDescent="0.25">
      <c r="J32" t="s">
        <v>89</v>
      </c>
      <c r="N32" t="s">
        <v>90</v>
      </c>
      <c r="AG32">
        <v>3.2123840650592222E-13</v>
      </c>
      <c r="AH32">
        <v>2.6143502884254446E-2</v>
      </c>
      <c r="AI32">
        <v>448.33679651606724</v>
      </c>
      <c r="AJ32">
        <v>479.93626151864748</v>
      </c>
      <c r="AK32">
        <v>0.70641072648298997</v>
      </c>
      <c r="AL32">
        <v>0.77521430197731944</v>
      </c>
      <c r="AM32">
        <f t="shared" si="6"/>
        <v>2.6143502884254448</v>
      </c>
      <c r="AN32">
        <f t="shared" si="7"/>
        <v>0.93415903832189917</v>
      </c>
      <c r="AO32" t="str">
        <f t="shared" si="8"/>
        <v>phi_L: 0.706
phi_R: 0.775</v>
      </c>
    </row>
    <row r="33" spans="1:41" x14ac:dyDescent="0.25">
      <c r="A33" t="s">
        <v>19</v>
      </c>
      <c r="J33">
        <f>(J38*COS(-1*$B$27))+(K38*SIN(-1*$B$27))+$I$2</f>
        <v>-33.003045035155985</v>
      </c>
      <c r="K33">
        <f>(-1*J38*SIN(-1*$B$27))+(K38*COS(-1*$B$27))+$I$3</f>
        <v>17.736034390985076</v>
      </c>
      <c r="N33">
        <f>(N38*COS(-1*$B$27))+(O38*SIN(-1*$B$27))+$I$2</f>
        <v>-33.00089278373936</v>
      </c>
      <c r="O33">
        <f>(-1*N38*SIN(-1*$B$27))+(O38*COS(-1*$B$27))+$I$3</f>
        <v>17.926598318498414</v>
      </c>
      <c r="AG33">
        <v>-1.8709849722002923E-12</v>
      </c>
      <c r="AH33">
        <v>2.6872792206135792E-2</v>
      </c>
      <c r="AI33">
        <v>451.16493834904605</v>
      </c>
      <c r="AJ33">
        <v>480.91073748739115</v>
      </c>
      <c r="AK33">
        <v>0.69538131797015579</v>
      </c>
      <c r="AL33">
        <v>0.76050842396020391</v>
      </c>
      <c r="AM33">
        <f t="shared" si="6"/>
        <v>2.6872792206135792</v>
      </c>
      <c r="AN33">
        <f t="shared" si="7"/>
        <v>0.93814694324822601</v>
      </c>
      <c r="AO33" t="str">
        <f t="shared" si="8"/>
        <v>phi_L: 0.695
phi_R: 0.761</v>
      </c>
    </row>
    <row r="34" spans="1:41" x14ac:dyDescent="0.25">
      <c r="J34">
        <f>(J39*COS(-1*$B$27))+(K39*SIN(-1*$B$27))+$I$2</f>
        <v>29.092211969480232</v>
      </c>
      <c r="K34">
        <f>(-1*J39*SIN(-1*$B$27))+(K39*COS(-1*$B$27))+$I$3</f>
        <v>17.034723253050949</v>
      </c>
      <c r="N34">
        <f>(N39*COS(-1*$B$27))+(O39*SIN(-1*$B$27))+$I$2</f>
        <v>29.09436422089685</v>
      </c>
      <c r="O34">
        <f>(-1*N39*SIN(-1*$B$27))+(O39*COS(-1*$B$27))+$I$3</f>
        <v>17.225287180564287</v>
      </c>
      <c r="AG34">
        <v>-1.0382408576188729E-11</v>
      </c>
      <c r="AH34">
        <v>2.7602081528017137E-2</v>
      </c>
      <c r="AI34">
        <v>453.93493317384298</v>
      </c>
      <c r="AJ34">
        <v>481.83433482396254</v>
      </c>
      <c r="AK34">
        <v>0.68493473723044629</v>
      </c>
      <c r="AL34">
        <v>0.74657964964056445</v>
      </c>
      <c r="AM34">
        <f t="shared" si="6"/>
        <v>2.7602081528017139</v>
      </c>
      <c r="AN34">
        <f t="shared" si="7"/>
        <v>0.94209752266759372</v>
      </c>
      <c r="AO34" t="str">
        <f t="shared" si="8"/>
        <v>phi_L: 0.685
phi_R: 0.747</v>
      </c>
    </row>
    <row r="35" spans="1:41" x14ac:dyDescent="0.25">
      <c r="A35" s="8" t="s">
        <v>20</v>
      </c>
      <c r="AG35">
        <v>0</v>
      </c>
      <c r="AH35">
        <v>2.8331370849898483E-2</v>
      </c>
      <c r="AI35">
        <v>456.64678099040475</v>
      </c>
      <c r="AJ35">
        <v>482.70705352836359</v>
      </c>
      <c r="AK35">
        <v>0.67502597584465429</v>
      </c>
      <c r="AL35">
        <v>0.73336796779287405</v>
      </c>
      <c r="AM35">
        <f t="shared" si="6"/>
        <v>2.8331370849898483</v>
      </c>
      <c r="AN35">
        <f t="shared" si="7"/>
        <v>0.94601224003778195</v>
      </c>
      <c r="AO35" t="str">
        <f t="shared" si="8"/>
        <v>phi_L: 0.675
phi_R: 0.733</v>
      </c>
    </row>
    <row r="36" spans="1:41" x14ac:dyDescent="0.25">
      <c r="A36" s="1" t="s">
        <v>8</v>
      </c>
      <c r="B36" s="1" t="s">
        <v>9</v>
      </c>
      <c r="C36" s="1" t="s">
        <v>21</v>
      </c>
      <c r="D36" s="1" t="s">
        <v>22</v>
      </c>
      <c r="F36" s="8" t="s">
        <v>74</v>
      </c>
      <c r="G36" s="1">
        <f>(-1*0.003*MAX(J62:J71))/(0.002-0.003)</f>
        <v>54.945201668984119</v>
      </c>
      <c r="H36" s="15" t="s">
        <v>4</v>
      </c>
      <c r="J36" t="s">
        <v>53</v>
      </c>
      <c r="N36" t="s">
        <v>54</v>
      </c>
      <c r="AG36">
        <v>2.2701483774659247E-13</v>
      </c>
      <c r="AH36">
        <v>2.9060660171779829E-2</v>
      </c>
      <c r="AI36">
        <v>459.30048179879361</v>
      </c>
      <c r="AJ36">
        <v>483.52889360059368</v>
      </c>
      <c r="AK36">
        <v>0.66561454341349446</v>
      </c>
      <c r="AL36">
        <v>0.72081939121799299</v>
      </c>
      <c r="AM36">
        <f t="shared" si="6"/>
        <v>2.9060660171779826</v>
      </c>
      <c r="AN36">
        <f t="shared" si="7"/>
        <v>0.94989252530209023</v>
      </c>
      <c r="AO36" t="str">
        <f t="shared" si="8"/>
        <v>phi_L: 0.666
phi_R: 0.721</v>
      </c>
    </row>
    <row r="37" spans="1:41" x14ac:dyDescent="0.25">
      <c r="A37" s="3">
        <f t="shared" ref="A37:A43" si="12">E3-$I$2</f>
        <v>-6</v>
      </c>
      <c r="B37" s="6">
        <f t="shared" ref="B37:B43" si="13">F3-$I$3</f>
        <v>-9</v>
      </c>
      <c r="C37" s="6">
        <f>A37*COS($B$27)+B37*SIN($B$27)</f>
        <v>-5.8979767887832661</v>
      </c>
      <c r="D37" s="6">
        <f>-1*A37*SIN($B$27)+B37*COS($B$27)</f>
        <v>-9.0671864323490023</v>
      </c>
      <c r="F37" s="8" t="s">
        <v>23</v>
      </c>
      <c r="G37" s="1">
        <f>MAX(D37:D41)-MIN(D37:D41)</f>
        <v>18.315067222994706</v>
      </c>
      <c r="H37" t="s">
        <v>4</v>
      </c>
      <c r="J37" t="s">
        <v>8</v>
      </c>
      <c r="K37" t="s">
        <v>9</v>
      </c>
      <c r="N37" t="s">
        <v>8</v>
      </c>
      <c r="O37" t="s">
        <v>9</v>
      </c>
      <c r="AG37">
        <v>-2.0903132288803512E-12</v>
      </c>
      <c r="AH37">
        <v>2.9789949493661174E-2</v>
      </c>
      <c r="AI37">
        <v>461.89603559899103</v>
      </c>
      <c r="AJ37">
        <v>484.29985504065235</v>
      </c>
      <c r="AK37">
        <v>0.65666391452798334</v>
      </c>
      <c r="AL37">
        <v>0.7088852193706392</v>
      </c>
      <c r="AM37">
        <f t="shared" si="6"/>
        <v>2.9789949493661174</v>
      </c>
      <c r="AN37">
        <f t="shared" si="7"/>
        <v>0.95373977669313836</v>
      </c>
      <c r="AO37" t="str">
        <f t="shared" si="8"/>
        <v>phi_L: 0.657
phi_R: 0.709</v>
      </c>
    </row>
    <row r="38" spans="1:41" x14ac:dyDescent="0.25">
      <c r="A38" s="3">
        <f t="shared" si="12"/>
        <v>6</v>
      </c>
      <c r="B38" s="6">
        <f t="shared" si="13"/>
        <v>-9</v>
      </c>
      <c r="C38" s="6">
        <f t="shared" ref="C38:C41" si="14">A38*COS($B$27)+B38*SIN($B$27)</f>
        <v>6.1012579418670541</v>
      </c>
      <c r="D38" s="6">
        <f t="shared" ref="D38:D41" si="15">-1*A38*SIN($B$27)+B38*COS($B$27)</f>
        <v>-8.9316656636264771</v>
      </c>
      <c r="F38" s="8" t="s">
        <v>24</v>
      </c>
      <c r="G38" s="6">
        <f>MAX(D37:D43)</f>
        <v>9.2478807906457039</v>
      </c>
      <c r="H38" t="s">
        <v>4</v>
      </c>
      <c r="J38" s="9">
        <f>MIN(C37:C43,A37:A43)-1</f>
        <v>-39.099217223601244</v>
      </c>
      <c r="K38" s="9">
        <f>G40</f>
        <v>8.2950003855650092</v>
      </c>
      <c r="N38" s="9">
        <f>J38</f>
        <v>-39.099217223601244</v>
      </c>
      <c r="O38" s="9">
        <f>G41</f>
        <v>8.4855764665811471</v>
      </c>
      <c r="AG38">
        <v>6.4364039970007372E-13</v>
      </c>
      <c r="AH38">
        <v>3.051923881554252E-2</v>
      </c>
      <c r="AI38">
        <v>462.90395174187029</v>
      </c>
      <c r="AJ38">
        <v>485.01993784854045</v>
      </c>
      <c r="AK38">
        <v>0.65325240330149847</v>
      </c>
      <c r="AL38">
        <v>0.69752140670861074</v>
      </c>
      <c r="AM38">
        <f t="shared" si="6"/>
        <v>3.0519238815542518</v>
      </c>
      <c r="AN38">
        <f t="shared" si="7"/>
        <v>0.9544019031366574</v>
      </c>
      <c r="AO38" t="str">
        <f t="shared" si="8"/>
        <v>phi_L: 0.653
phi_R: 0.698</v>
      </c>
    </row>
    <row r="39" spans="1:41" x14ac:dyDescent="0.25">
      <c r="A39" s="3">
        <f t="shared" si="12"/>
        <v>6</v>
      </c>
      <c r="B39" s="6">
        <f t="shared" si="13"/>
        <v>1</v>
      </c>
      <c r="C39" s="6">
        <f t="shared" si="14"/>
        <v>5.988323967931616</v>
      </c>
      <c r="D39" s="6">
        <f t="shared" si="15"/>
        <v>1.0676966119154561</v>
      </c>
      <c r="J39" s="9">
        <f>MAX(C37:C43,A37:A43)+1</f>
        <v>23</v>
      </c>
      <c r="K39" s="9">
        <f>K38</f>
        <v>8.2950003855650092</v>
      </c>
      <c r="N39" s="9">
        <f>J39</f>
        <v>23</v>
      </c>
      <c r="O39" s="9">
        <f>G41</f>
        <v>8.4855764665811471</v>
      </c>
      <c r="AG39">
        <v>4.9306808305968331E-13</v>
      </c>
      <c r="AH39">
        <v>3.1248528137423865E-2</v>
      </c>
      <c r="AI39">
        <v>463.70643908595969</v>
      </c>
      <c r="AJ39">
        <v>485.68914202425782</v>
      </c>
      <c r="AK39">
        <v>0.65056090873121319</v>
      </c>
      <c r="AL39">
        <v>0.68668801949214764</v>
      </c>
      <c r="AM39">
        <f t="shared" si="6"/>
        <v>3.1248528137423865</v>
      </c>
      <c r="AN39">
        <f t="shared" si="7"/>
        <v>0.95473915095841244</v>
      </c>
      <c r="AO39" t="str">
        <f t="shared" si="8"/>
        <v>phi_L: 0.651
phi_R: 0.687</v>
      </c>
    </row>
    <row r="40" spans="1:41" x14ac:dyDescent="0.25">
      <c r="A40" s="3">
        <f t="shared" si="12"/>
        <v>22</v>
      </c>
      <c r="B40" s="6">
        <f t="shared" si="13"/>
        <v>1</v>
      </c>
      <c r="C40" s="6">
        <f t="shared" si="14"/>
        <v>21.987303608798708</v>
      </c>
      <c r="D40" s="6">
        <f t="shared" si="15"/>
        <v>1.2483909702121567</v>
      </c>
      <c r="F40" s="8" t="s">
        <v>51</v>
      </c>
      <c r="G40" s="9">
        <f>G38-B28</f>
        <v>8.2950003855650092</v>
      </c>
      <c r="AG40">
        <v>2.2168933355715128E-13</v>
      </c>
      <c r="AH40">
        <v>3.1977817459305211E-2</v>
      </c>
      <c r="AI40">
        <v>465.94446774107769</v>
      </c>
      <c r="AJ40">
        <v>486.30746756780354</v>
      </c>
      <c r="AK40">
        <v>0.65</v>
      </c>
      <c r="AL40">
        <v>0.6763487669130348</v>
      </c>
      <c r="AM40">
        <f t="shared" si="6"/>
        <v>3.1977817459305209</v>
      </c>
      <c r="AN40">
        <f t="shared" si="7"/>
        <v>0.95812731412789431</v>
      </c>
      <c r="AO40" t="str">
        <f t="shared" si="8"/>
        <v>phi_L: 0.65
phi_R: 0.676</v>
      </c>
    </row>
    <row r="41" spans="1:41" x14ac:dyDescent="0.25">
      <c r="A41" s="3">
        <f t="shared" si="12"/>
        <v>22</v>
      </c>
      <c r="B41" s="6">
        <f t="shared" si="13"/>
        <v>9</v>
      </c>
      <c r="C41" s="6">
        <f t="shared" si="14"/>
        <v>21.896956429650359</v>
      </c>
      <c r="D41" s="6">
        <f t="shared" si="15"/>
        <v>9.2478807906457039</v>
      </c>
      <c r="F41" s="8" t="s">
        <v>52</v>
      </c>
      <c r="G41" s="9">
        <f>G38-B29</f>
        <v>8.4855764665811471</v>
      </c>
      <c r="J41" s="9"/>
      <c r="K41" s="9"/>
      <c r="N41" s="9"/>
      <c r="O41" s="9"/>
      <c r="AG41">
        <v>2.9558577807620169E-13</v>
      </c>
      <c r="AH41">
        <v>3.2707106781186553E-2</v>
      </c>
      <c r="AI41">
        <v>468.51570348672192</v>
      </c>
      <c r="AJ41">
        <v>486.87491447917893</v>
      </c>
      <c r="AK41">
        <v>0.65</v>
      </c>
      <c r="AL41">
        <v>0.66647059495182237</v>
      </c>
      <c r="AM41">
        <f t="shared" si="6"/>
        <v>3.2707106781186552</v>
      </c>
      <c r="AN41">
        <f t="shared" si="7"/>
        <v>0.96229172946382691</v>
      </c>
      <c r="AO41" t="str">
        <f t="shared" si="8"/>
        <v>phi_L: 0.65
phi_R: 0.666</v>
      </c>
    </row>
    <row r="42" spans="1:41" x14ac:dyDescent="0.25">
      <c r="A42" s="3">
        <f t="shared" si="12"/>
        <v>-38</v>
      </c>
      <c r="B42" s="6">
        <f t="shared" si="13"/>
        <v>9</v>
      </c>
      <c r="C42" s="6">
        <f t="shared" ref="C42:C43" si="16">A42*COS($B$27)+B42*SIN($B$27)</f>
        <v>-38.099217223601244</v>
      </c>
      <c r="D42" s="6">
        <f t="shared" ref="D42:D43" si="17">-1*A42*SIN($B$27)+B42*COS($B$27)</f>
        <v>8.5702769470330757</v>
      </c>
      <c r="J42" s="9"/>
      <c r="K42" s="9"/>
      <c r="N42" s="9"/>
      <c r="O42" s="9"/>
      <c r="AG42">
        <v>0</v>
      </c>
      <c r="AH42">
        <v>3.3436396103067895E-2</v>
      </c>
      <c r="AI42">
        <v>471.02311524378484</v>
      </c>
      <c r="AJ42">
        <v>487.39148275838335</v>
      </c>
      <c r="AK42">
        <v>0.65</v>
      </c>
      <c r="AL42">
        <v>0.65702333338590557</v>
      </c>
      <c r="AM42">
        <f t="shared" si="6"/>
        <v>3.3436396103067896</v>
      </c>
      <c r="AN42">
        <f t="shared" si="7"/>
        <v>0.96641638581379796</v>
      </c>
      <c r="AO42" t="str">
        <f t="shared" si="8"/>
        <v>phi_L: 0.65
phi_R: 0.657</v>
      </c>
    </row>
    <row r="43" spans="1:41" x14ac:dyDescent="0.25">
      <c r="A43" s="3">
        <f t="shared" si="12"/>
        <v>-38</v>
      </c>
      <c r="B43" s="6">
        <f t="shared" si="13"/>
        <v>1</v>
      </c>
      <c r="C43" s="6">
        <f t="shared" si="16"/>
        <v>-38.008870044452891</v>
      </c>
      <c r="D43" s="6">
        <f t="shared" si="17"/>
        <v>0.57078712659952924</v>
      </c>
      <c r="AG43">
        <v>0</v>
      </c>
      <c r="AH43">
        <v>3.4165685424949237E-2</v>
      </c>
      <c r="AI43">
        <v>473.46931110485957</v>
      </c>
      <c r="AJ43">
        <v>487.57721572259089</v>
      </c>
      <c r="AK43">
        <v>0.65</v>
      </c>
      <c r="AL43">
        <v>0.65348702055681285</v>
      </c>
      <c r="AM43">
        <f t="shared" si="6"/>
        <v>3.4165685424949235</v>
      </c>
      <c r="AN43">
        <f t="shared" si="7"/>
        <v>0.97106529148039999</v>
      </c>
      <c r="AO43" t="str">
        <f t="shared" si="8"/>
        <v>phi_L: 0.65
phi_R: 0.653</v>
      </c>
    </row>
    <row r="44" spans="1:41" x14ac:dyDescent="0.25">
      <c r="A44" s="3">
        <f t="shared" ref="A44:A45" si="18">E10-$I$2</f>
        <v>-6</v>
      </c>
      <c r="B44" s="6">
        <f t="shared" ref="B44:B45" si="19">F10-$I$3</f>
        <v>1</v>
      </c>
      <c r="C44" s="6">
        <f t="shared" ref="C44:C45" si="20">A44*COS($B$27)+B44*SIN($B$27)</f>
        <v>-6.0109107627187042</v>
      </c>
      <c r="D44" s="6">
        <f t="shared" ref="D44:D45" si="21">-1*A44*SIN($B$27)+B44*COS($B$27)</f>
        <v>0.93217584319293056</v>
      </c>
      <c r="AG44">
        <v>0</v>
      </c>
      <c r="AH44">
        <v>3.4894974746830579E-2</v>
      </c>
      <c r="AI44">
        <v>475.8567469792593</v>
      </c>
      <c r="AJ44">
        <v>487.70789358754814</v>
      </c>
      <c r="AK44">
        <v>0.65</v>
      </c>
      <c r="AL44">
        <v>0.65094497960573894</v>
      </c>
      <c r="AM44">
        <f t="shared" si="6"/>
        <v>3.4894974746830578</v>
      </c>
      <c r="AN44">
        <f t="shared" si="7"/>
        <v>0.97570031823534253</v>
      </c>
      <c r="AO44" t="str">
        <f t="shared" si="8"/>
        <v>phi_L: 0.65
phi_R: 0.651</v>
      </c>
    </row>
    <row r="45" spans="1:41" x14ac:dyDescent="0.25">
      <c r="A45" s="3">
        <f t="shared" si="18"/>
        <v>-6</v>
      </c>
      <c r="B45" s="6">
        <f t="shared" si="19"/>
        <v>-9</v>
      </c>
      <c r="C45" s="6">
        <f t="shared" si="20"/>
        <v>-5.8979767887832661</v>
      </c>
      <c r="D45" s="6">
        <f t="shared" si="21"/>
        <v>-9.0671864323490023</v>
      </c>
    </row>
    <row r="47" spans="1:41" x14ac:dyDescent="0.25">
      <c r="A47" t="s">
        <v>27</v>
      </c>
      <c r="AG47">
        <v>0</v>
      </c>
      <c r="AH47">
        <v>3.5624264068711921E-2</v>
      </c>
      <c r="AI47">
        <v>478.18773821207594</v>
      </c>
      <c r="AJ47">
        <v>488.97076837690298</v>
      </c>
      <c r="AK47">
        <v>0.65</v>
      </c>
      <c r="AL47">
        <v>0.65</v>
      </c>
      <c r="AM47">
        <f t="shared" si="6"/>
        <v>3.5624264068711922</v>
      </c>
      <c r="AN47">
        <f t="shared" si="7"/>
        <v>0.97794749530606828</v>
      </c>
      <c r="AO47" t="str">
        <f t="shared" si="8"/>
        <v>phi_L: 0.65
phi_R: 0.65</v>
      </c>
    </row>
    <row r="48" spans="1:41" x14ac:dyDescent="0.25">
      <c r="B48" s="1" t="s">
        <v>28</v>
      </c>
      <c r="C48" s="1" t="s">
        <v>29</v>
      </c>
      <c r="D48" s="1" t="s">
        <v>30</v>
      </c>
      <c r="E48" s="1" t="s">
        <v>31</v>
      </c>
      <c r="F48" s="1" t="s">
        <v>32</v>
      </c>
      <c r="G48" s="1" t="s">
        <v>33</v>
      </c>
      <c r="H48" s="1" t="s">
        <v>34</v>
      </c>
      <c r="I48" s="1" t="s">
        <v>35</v>
      </c>
      <c r="J48" s="1" t="s">
        <v>36</v>
      </c>
      <c r="K48" s="1" t="s">
        <v>37</v>
      </c>
      <c r="L48" s="1" t="s">
        <v>38</v>
      </c>
      <c r="M48" s="1" t="s">
        <v>39</v>
      </c>
      <c r="N48" s="1" t="s">
        <v>40</v>
      </c>
      <c r="O48" s="1" t="s">
        <v>41</v>
      </c>
      <c r="P48" s="1" t="s">
        <v>42</v>
      </c>
      <c r="AG48">
        <v>0</v>
      </c>
      <c r="AH48">
        <v>3.6353553390593263E-2</v>
      </c>
      <c r="AI48">
        <v>480.46447010791809</v>
      </c>
      <c r="AJ48">
        <v>490.89035236056884</v>
      </c>
      <c r="AK48">
        <v>0.65</v>
      </c>
      <c r="AL48">
        <v>0.65</v>
      </c>
      <c r="AM48">
        <f t="shared" si="6"/>
        <v>3.6353553390593261</v>
      </c>
      <c r="AN48">
        <f t="shared" si="7"/>
        <v>0.97876128100192783</v>
      </c>
      <c r="AO48" t="str">
        <f t="shared" si="8"/>
        <v>phi_L: 0.65
phi_R: 0.65</v>
      </c>
    </row>
    <row r="49" spans="1:41" x14ac:dyDescent="0.25">
      <c r="A49" t="s">
        <v>43</v>
      </c>
      <c r="B49" s="6">
        <f>C37</f>
        <v>-5.8979767887832661</v>
      </c>
      <c r="C49" s="6">
        <f>D37</f>
        <v>-9.0671864323490023</v>
      </c>
      <c r="D49" s="6">
        <f t="shared" ref="D49:E56" si="22">C38</f>
        <v>6.1012579418670541</v>
      </c>
      <c r="E49" s="6">
        <f t="shared" si="22"/>
        <v>-8.9316656636264771</v>
      </c>
      <c r="F49" s="6">
        <f t="shared" ref="F49:F54" si="23">IF(B49=D49,"V",(C49-E49)/(B49-D49))</f>
        <v>1.1294117647049353E-2</v>
      </c>
      <c r="G49" s="6">
        <f t="shared" ref="G49:G54" si="24">IF(F49="V",0,(-1*B49*F49)+C49)</f>
        <v>-9.0005739886169174</v>
      </c>
      <c r="H49" s="6">
        <f>IF(AND(C49&lt;$G$41,E49&lt;$G$41),0,IF(AND(C49&lt;$G$41,E49&gt;$G$41),IF(F49="V",B49,($G$41-G49)/F49),B49))</f>
        <v>0</v>
      </c>
      <c r="I49" s="6">
        <f>IF(AND(C49&lt;$G$41,E49&lt;$G$41),0,IF(AND(C49&lt;$G$41,E49&gt;$G$41),$G$41,C49))</f>
        <v>0</v>
      </c>
      <c r="J49" s="6">
        <f>IF(AND(C49&lt;$G$41,E49&lt;$G$41),0,IF(E49&gt;=$G$41,D49,IF(F49="V",D49,($G$41-G49)/F49)))</f>
        <v>0</v>
      </c>
      <c r="K49" s="6">
        <f>IF(AND(C49&lt;$G$41,E49&lt;$G$41),0,IF(E49&gt;=$G$41,E49,$G$41))</f>
        <v>0</v>
      </c>
      <c r="L49" s="6">
        <f>IF(AND(I49=0,K49=0,H49=0,J49=0),0,$B$31)</f>
        <v>0</v>
      </c>
      <c r="M49" s="6">
        <f>IF(AND(I49=0,K49=0,H49=0,J49=0),0,$B$31)</f>
        <v>0</v>
      </c>
      <c r="N49" s="10">
        <f>(1/6)*(K49-I49)*((L49*((2*H49)+J49))+(M49*(H49+(2*J49))))</f>
        <v>0</v>
      </c>
      <c r="O49" s="10">
        <f>((1/12)*(K49-I49)*(L49*H49*((3*I49)+K49)+L49*J49*(I49+K49)+M49*H49*(I49+K49)+M49*J49*(I49+(3*K49))))</f>
        <v>0</v>
      </c>
      <c r="P49" s="10">
        <f>((-1/24)*(K49-I49)*(H49*H49*((3*L49)+M49)+2*H49*J49*(L49+M49)+J49*J49*(L49+(3*M49))))</f>
        <v>0</v>
      </c>
      <c r="S49" t="e">
        <f>IF(AND(I49=0,K49=0,H49=0,J49=0),NA(),H49)</f>
        <v>#N/A</v>
      </c>
      <c r="T49" t="e">
        <f>IF(AND(I49=0,K49=0,H49=0,J49=0),NA(),I49)</f>
        <v>#N/A</v>
      </c>
      <c r="V49" t="e">
        <f>IF(AND(I49=0,K49=0,H49=0,J49=0),NA(),J49)</f>
        <v>#N/A</v>
      </c>
      <c r="W49" t="e">
        <f>IF(AND(I49=0,K49=0,H49=0,J49=0),NA(),K49)</f>
        <v>#N/A</v>
      </c>
      <c r="AG49">
        <v>0</v>
      </c>
      <c r="AH49">
        <v>3.7082842712474605E-2</v>
      </c>
      <c r="AI49">
        <v>482.6890074818042</v>
      </c>
      <c r="AJ49">
        <v>492.7607229181001</v>
      </c>
      <c r="AK49">
        <v>0.65</v>
      </c>
      <c r="AL49">
        <v>0.65</v>
      </c>
      <c r="AM49">
        <f t="shared" si="6"/>
        <v>3.7082842712474604</v>
      </c>
      <c r="AN49">
        <f t="shared" si="7"/>
        <v>0.97956063669877791</v>
      </c>
      <c r="AO49" t="str">
        <f t="shared" si="8"/>
        <v>phi_L: 0.65
phi_R: 0.65</v>
      </c>
    </row>
    <row r="50" spans="1:41" x14ac:dyDescent="0.25">
      <c r="A50" t="s">
        <v>44</v>
      </c>
      <c r="B50" s="6">
        <f t="shared" ref="B50:C54" si="25">D49</f>
        <v>6.1012579418670541</v>
      </c>
      <c r="C50" s="6">
        <f t="shared" si="25"/>
        <v>-8.9316656636264771</v>
      </c>
      <c r="D50" s="6">
        <f t="shared" si="22"/>
        <v>5.988323967931616</v>
      </c>
      <c r="E50" s="6">
        <f t="shared" si="22"/>
        <v>1.0676966119154561</v>
      </c>
      <c r="F50" s="6">
        <f t="shared" si="23"/>
        <v>-88.541666666740682</v>
      </c>
      <c r="G50" s="6">
        <f t="shared" si="24"/>
        <v>531.28388127297046</v>
      </c>
      <c r="H50" s="6">
        <f t="shared" ref="H50:H54" si="26">IF(AND(C50&lt;$G$41,E50&lt;$G$41),0,IF(AND(C50&lt;$G$41,E50&gt;$G$41),IF(F50="V",B50,($G$41-G50)/F50),B50))</f>
        <v>0</v>
      </c>
      <c r="I50" s="6">
        <f t="shared" ref="I50:I54" si="27">IF(AND(C50&lt;$G$41,E50&lt;$G$41),0,IF(AND(C50&lt;$G$41,E50&gt;$G$41),$G$41,C50))</f>
        <v>0</v>
      </c>
      <c r="J50" s="6">
        <f t="shared" ref="J50:J54" si="28">IF(AND(C50&lt;$G$41,E50&lt;$G$41),0,IF(E50&gt;=$G$41,D50,IF(F50="V",D50,($G$41-G50)/F50)))</f>
        <v>0</v>
      </c>
      <c r="K50" s="6">
        <f t="shared" ref="K50:K54" si="29">IF(AND(C50&lt;$G$41,E50&lt;$G$41),0,IF(E50&gt;=$G$41,E50,$G$41))</f>
        <v>0</v>
      </c>
      <c r="L50" s="6">
        <f t="shared" ref="L50:L54" si="30">IF(AND(I50=0,K50=0,H50=0,J50=0),0,$B$31)</f>
        <v>0</v>
      </c>
      <c r="M50" s="6">
        <f t="shared" ref="M50:M54" si="31">IF(AND(I50=0,K50=0,H50=0,J50=0),0,$B$31)</f>
        <v>0</v>
      </c>
      <c r="N50" s="10">
        <f t="shared" ref="N50:N54" si="32">(1/6)*(K50-I50)*((L50*((2*H50)+J50))+(M50*(H50+(2*J50))))</f>
        <v>0</v>
      </c>
      <c r="O50" s="10">
        <f t="shared" ref="O50:O54" si="33">((1/12)*(K50-I50)*(L50*H50*((3*I50)+K50)+L50*J50*(I50+K50)+M50*H50*(I50+K50)+M50*J50*(I50+(3*K50))))</f>
        <v>0</v>
      </c>
      <c r="P50" s="10">
        <f t="shared" ref="P50:P54" si="34">((-1/24)*(K50-I50)*(H50*H50*((3*L50)+M50)+2*H50*J50*(L50+M50)+J50*J50*(L50+(3*M50))))</f>
        <v>0</v>
      </c>
      <c r="S50" t="e">
        <f t="shared" ref="S50:S55" si="35">IF(AND(I50=0,K50=0,H50=0,J50=0),NA(),H50)</f>
        <v>#N/A</v>
      </c>
      <c r="T50" t="e">
        <f t="shared" ref="T50:T55" si="36">IF(AND(I50=0,K50=0,H50=0,J50=0),NA(),I50)</f>
        <v>#N/A</v>
      </c>
      <c r="V50" t="e">
        <f t="shared" ref="V50:V55" si="37">IF(AND(I50=0,K50=0,H50=0,J50=0),NA(),J50)</f>
        <v>#N/A</v>
      </c>
      <c r="W50" t="e">
        <f t="shared" ref="W50:W55" si="38">IF(AND(I50=0,K50=0,H50=0,J50=0),NA(),K50)</f>
        <v>#N/A</v>
      </c>
      <c r="AD50" t="str">
        <f>_xlfn.CONCAT("% As,",L_Section_Capacity!$F$26)</f>
        <v>% As,web</v>
      </c>
      <c r="AG50">
        <v>0</v>
      </c>
      <c r="AH50">
        <v>3.7812132034355947E-2</v>
      </c>
      <c r="AI50">
        <v>484.86330334389675</v>
      </c>
      <c r="AJ50">
        <v>494.58384770794862</v>
      </c>
      <c r="AK50">
        <v>0.65</v>
      </c>
      <c r="AL50">
        <v>0.65</v>
      </c>
      <c r="AM50">
        <f t="shared" si="6"/>
        <v>3.7812132034355947</v>
      </c>
      <c r="AN50">
        <f t="shared" si="7"/>
        <v>0.98034601330168825</v>
      </c>
      <c r="AO50" t="str">
        <f t="shared" si="8"/>
        <v>phi_L: 0.65
phi_R: 0.65</v>
      </c>
    </row>
    <row r="51" spans="1:41" x14ac:dyDescent="0.25">
      <c r="A51" t="s">
        <v>45</v>
      </c>
      <c r="B51" s="6">
        <f t="shared" si="25"/>
        <v>5.988323967931616</v>
      </c>
      <c r="C51" s="6">
        <f t="shared" si="25"/>
        <v>1.0676966119154561</v>
      </c>
      <c r="D51" s="6">
        <f t="shared" si="22"/>
        <v>21.987303608798708</v>
      </c>
      <c r="E51" s="6">
        <f t="shared" si="22"/>
        <v>1.2483909702121567</v>
      </c>
      <c r="F51" s="6">
        <f t="shared" si="23"/>
        <v>1.1294117647049374E-2</v>
      </c>
      <c r="G51" s="6">
        <f t="shared" si="24"/>
        <v>1.0000637765129909</v>
      </c>
      <c r="H51" s="6">
        <f t="shared" si="26"/>
        <v>0</v>
      </c>
      <c r="I51" s="6">
        <f t="shared" si="27"/>
        <v>0</v>
      </c>
      <c r="J51" s="6">
        <f t="shared" si="28"/>
        <v>0</v>
      </c>
      <c r="K51" s="6">
        <f t="shared" si="29"/>
        <v>0</v>
      </c>
      <c r="L51" s="6">
        <f t="shared" si="30"/>
        <v>0</v>
      </c>
      <c r="M51" s="6">
        <f t="shared" si="31"/>
        <v>0</v>
      </c>
      <c r="N51" s="10">
        <f t="shared" si="32"/>
        <v>0</v>
      </c>
      <c r="O51" s="10">
        <f t="shared" si="33"/>
        <v>0</v>
      </c>
      <c r="P51" s="10">
        <f t="shared" si="34"/>
        <v>0</v>
      </c>
      <c r="S51" t="e">
        <f t="shared" si="35"/>
        <v>#N/A</v>
      </c>
      <c r="T51" t="e">
        <f t="shared" si="36"/>
        <v>#N/A</v>
      </c>
      <c r="V51" t="e">
        <f t="shared" si="37"/>
        <v>#N/A</v>
      </c>
      <c r="W51" t="e">
        <f t="shared" si="38"/>
        <v>#N/A</v>
      </c>
      <c r="AG51">
        <v>0</v>
      </c>
      <c r="AH51">
        <v>3.8541421356237289E-2</v>
      </c>
      <c r="AI51">
        <v>486.98920681128726</v>
      </c>
      <c r="AJ51">
        <v>496.36158553696873</v>
      </c>
      <c r="AK51">
        <v>0.65</v>
      </c>
      <c r="AL51">
        <v>0.65</v>
      </c>
      <c r="AM51">
        <f t="shared" si="6"/>
        <v>3.8541421356237291</v>
      </c>
      <c r="AN51">
        <f t="shared" si="7"/>
        <v>0.98111784030276572</v>
      </c>
      <c r="AO51" t="str">
        <f t="shared" si="8"/>
        <v>phi_L: 0.65
phi_R: 0.65</v>
      </c>
    </row>
    <row r="52" spans="1:41" x14ac:dyDescent="0.25">
      <c r="A52" t="s">
        <v>46</v>
      </c>
      <c r="B52" s="6">
        <f t="shared" si="25"/>
        <v>21.987303608798708</v>
      </c>
      <c r="C52" s="6">
        <f t="shared" si="25"/>
        <v>1.2483909702121567</v>
      </c>
      <c r="D52" s="6">
        <f t="shared" si="22"/>
        <v>21.896956429650359</v>
      </c>
      <c r="E52" s="6">
        <f t="shared" si="22"/>
        <v>9.2478807906457039</v>
      </c>
      <c r="F52" s="6">
        <f t="shared" si="23"/>
        <v>-88.541666666742074</v>
      </c>
      <c r="G52" s="6">
        <f t="shared" si="24"/>
        <v>1948.0408980009224</v>
      </c>
      <c r="H52" s="6">
        <f t="shared" si="26"/>
        <v>21.905565984369201</v>
      </c>
      <c r="I52" s="6">
        <f t="shared" si="27"/>
        <v>8.4855764665811471</v>
      </c>
      <c r="J52" s="6">
        <f t="shared" si="28"/>
        <v>21.896956429650359</v>
      </c>
      <c r="K52" s="6">
        <f t="shared" si="29"/>
        <v>9.2478807906457039</v>
      </c>
      <c r="L52" s="6">
        <f t="shared" si="30"/>
        <v>4.25</v>
      </c>
      <c r="M52" s="6">
        <f t="shared" si="31"/>
        <v>4.25</v>
      </c>
      <c r="N52" s="10">
        <f t="shared" si="32"/>
        <v>70.955561012426273</v>
      </c>
      <c r="O52" s="10">
        <f t="shared" si="33"/>
        <v>629.1419322640005</v>
      </c>
      <c r="P52" s="10">
        <f t="shared" si="34"/>
        <v>-777.0081479176938</v>
      </c>
      <c r="S52">
        <f t="shared" si="35"/>
        <v>21.905565984369201</v>
      </c>
      <c r="T52">
        <f t="shared" si="36"/>
        <v>8.4855764665811471</v>
      </c>
      <c r="V52">
        <f t="shared" si="37"/>
        <v>21.896956429650359</v>
      </c>
      <c r="W52">
        <f t="shared" si="38"/>
        <v>9.2478807906457039</v>
      </c>
      <c r="AG52">
        <v>0</v>
      </c>
      <c r="AH52">
        <v>3.9270710678118631E-2</v>
      </c>
      <c r="AI52">
        <v>489.068470328464</v>
      </c>
      <c r="AJ52">
        <v>498.09569410719939</v>
      </c>
      <c r="AK52">
        <v>0.65</v>
      </c>
      <c r="AL52">
        <v>0.65</v>
      </c>
      <c r="AM52">
        <f t="shared" si="6"/>
        <v>3.927071067811863</v>
      </c>
      <c r="AN52">
        <f t="shared" si="7"/>
        <v>0.98187652717031404</v>
      </c>
      <c r="AO52" t="str">
        <f t="shared" si="8"/>
        <v>phi_L: 0.65
phi_R: 0.65</v>
      </c>
    </row>
    <row r="53" spans="1:41" x14ac:dyDescent="0.25">
      <c r="A53" t="s">
        <v>47</v>
      </c>
      <c r="B53" s="6">
        <f t="shared" si="25"/>
        <v>21.896956429650359</v>
      </c>
      <c r="C53" s="6">
        <f t="shared" si="25"/>
        <v>9.2478807906457039</v>
      </c>
      <c r="D53" s="6">
        <f t="shared" si="22"/>
        <v>-38.099217223601244</v>
      </c>
      <c r="E53" s="6">
        <f t="shared" si="22"/>
        <v>8.5702769470330757</v>
      </c>
      <c r="F53" s="6">
        <f t="shared" si="23"/>
        <v>1.1294117647049382E-2</v>
      </c>
      <c r="G53" s="6">
        <f t="shared" si="24"/>
        <v>9.0005739886169192</v>
      </c>
      <c r="H53" s="6">
        <f t="shared" si="26"/>
        <v>21.896956429650359</v>
      </c>
      <c r="I53" s="6">
        <f t="shared" si="27"/>
        <v>9.2478807906457039</v>
      </c>
      <c r="J53" s="6">
        <f t="shared" si="28"/>
        <v>-38.099217223601244</v>
      </c>
      <c r="K53" s="6">
        <f t="shared" si="29"/>
        <v>8.5702769470330757</v>
      </c>
      <c r="L53" s="6">
        <f t="shared" si="30"/>
        <v>4.25</v>
      </c>
      <c r="M53" s="6">
        <f t="shared" si="31"/>
        <v>4.25</v>
      </c>
      <c r="N53" s="10">
        <f t="shared" si="32"/>
        <v>23.329767652040033</v>
      </c>
      <c r="O53" s="10">
        <f t="shared" si="33"/>
        <v>198.09048913471253</v>
      </c>
      <c r="P53" s="10">
        <f t="shared" si="34"/>
        <v>526.41610112065405</v>
      </c>
      <c r="S53">
        <f t="shared" si="35"/>
        <v>21.896956429650359</v>
      </c>
      <c r="T53">
        <f t="shared" si="36"/>
        <v>9.2478807906457039</v>
      </c>
      <c r="V53">
        <f t="shared" si="37"/>
        <v>-38.099217223601244</v>
      </c>
      <c r="W53">
        <f t="shared" si="38"/>
        <v>8.5702769470330757</v>
      </c>
      <c r="AG53">
        <v>0</v>
      </c>
      <c r="AH53">
        <v>3.9999999999999973E-2</v>
      </c>
      <c r="AI53">
        <v>491.10275626816713</v>
      </c>
      <c r="AJ53">
        <v>499.78783708777007</v>
      </c>
      <c r="AK53">
        <v>0.65</v>
      </c>
      <c r="AL53">
        <v>0.65</v>
      </c>
      <c r="AM53">
        <f t="shared" si="6"/>
        <v>3.9999999999999973</v>
      </c>
      <c r="AN53">
        <f t="shared" si="7"/>
        <v>0.98262246462376857</v>
      </c>
      <c r="AO53" t="str">
        <f t="shared" si="8"/>
        <v>phi_L: 0.65
phi_R: 0.65</v>
      </c>
    </row>
    <row r="54" spans="1:41" x14ac:dyDescent="0.25">
      <c r="A54" t="s">
        <v>48</v>
      </c>
      <c r="B54" s="6">
        <f t="shared" si="25"/>
        <v>-38.099217223601244</v>
      </c>
      <c r="C54" s="6">
        <f t="shared" si="25"/>
        <v>8.5702769470330757</v>
      </c>
      <c r="D54" s="6">
        <f t="shared" si="22"/>
        <v>-38.008870044452891</v>
      </c>
      <c r="E54" s="6">
        <f t="shared" si="22"/>
        <v>0.57078712659952924</v>
      </c>
      <c r="F54" s="6">
        <f t="shared" si="23"/>
        <v>-88.541666666738578</v>
      </c>
      <c r="G54" s="6">
        <f t="shared" si="24"/>
        <v>-3364.7979147287333</v>
      </c>
      <c r="H54" s="6">
        <f t="shared" si="26"/>
        <v>-38.099217223601244</v>
      </c>
      <c r="I54" s="6">
        <f t="shared" si="27"/>
        <v>8.5702769470330757</v>
      </c>
      <c r="J54" s="6">
        <f t="shared" si="28"/>
        <v>-38.098260606410257</v>
      </c>
      <c r="K54" s="6">
        <f t="shared" si="29"/>
        <v>8.4855764665811471</v>
      </c>
      <c r="L54" s="6">
        <f t="shared" si="30"/>
        <v>4.25</v>
      </c>
      <c r="M54" s="6">
        <f t="shared" si="31"/>
        <v>4.25</v>
      </c>
      <c r="N54" s="10">
        <f t="shared" si="32"/>
        <v>13.71467133553271</v>
      </c>
      <c r="O54" s="10">
        <f t="shared" si="33"/>
        <v>116.9577143879944</v>
      </c>
      <c r="P54" s="10">
        <f t="shared" si="34"/>
        <v>261.25584127251284</v>
      </c>
      <c r="S54">
        <f t="shared" si="35"/>
        <v>-38.099217223601244</v>
      </c>
      <c r="T54">
        <f t="shared" si="36"/>
        <v>8.5702769470330757</v>
      </c>
      <c r="V54">
        <f t="shared" si="37"/>
        <v>-38.098260606410257</v>
      </c>
      <c r="W54">
        <f t="shared" si="38"/>
        <v>8.4855764665811471</v>
      </c>
    </row>
    <row r="55" spans="1:41" x14ac:dyDescent="0.25">
      <c r="A55" t="s">
        <v>94</v>
      </c>
      <c r="B55" s="6">
        <f>D54</f>
        <v>-38.008870044452891</v>
      </c>
      <c r="C55" s="6">
        <f>E54</f>
        <v>0.57078712659952924</v>
      </c>
      <c r="D55" s="6">
        <f t="shared" si="22"/>
        <v>-6.0109107627187042</v>
      </c>
      <c r="E55" s="6">
        <f t="shared" si="22"/>
        <v>0.93217584319293056</v>
      </c>
      <c r="F55" s="6">
        <f t="shared" ref="F55:F56" si="39">IF(B55=D55,"V",(C55-E55)/(B55-D55))</f>
        <v>1.1294117647049372E-2</v>
      </c>
      <c r="G55" s="6">
        <f t="shared" ref="G55:G56" si="40">IF(F55="V",0,(-1*B55*F55)+C55)</f>
        <v>1.0000637765129909</v>
      </c>
      <c r="H55" s="6">
        <f t="shared" ref="H55:H56" si="41">IF(AND(C55&lt;$G$41,E55&lt;$G$41),0,IF(AND(C55&lt;$G$41,E55&gt;$G$41),IF(F55="V",B55,($G$41-G55)/F55),B55))</f>
        <v>0</v>
      </c>
      <c r="I55" s="6">
        <f t="shared" ref="I55:I56" si="42">IF(AND(C55&lt;$G$41,E55&lt;$G$41),0,IF(AND(C55&lt;$G$41,E55&gt;$G$41),$G$41,C55))</f>
        <v>0</v>
      </c>
      <c r="J55" s="6">
        <f t="shared" ref="J55:J56" si="43">IF(AND(C55&lt;$G$41,E55&lt;$G$41),0,IF(E55&gt;=$G$41,D55,IF(F55="V",D55,($G$41-G55)/F55)))</f>
        <v>0</v>
      </c>
      <c r="K55" s="6">
        <f t="shared" ref="K55:K56" si="44">IF(AND(C55&lt;$G$41,E55&lt;$G$41),0,IF(E55&gt;=$G$41,E55,$G$41))</f>
        <v>0</v>
      </c>
      <c r="L55" s="6">
        <f t="shared" ref="L55:L56" si="45">IF(AND(I55=0,K55=0,H55=0,J55=0),0,$B$31)</f>
        <v>0</v>
      </c>
      <c r="M55" s="6">
        <f t="shared" ref="M55:M56" si="46">IF(AND(I55=0,K55=0,H55=0,J55=0),0,$B$31)</f>
        <v>0</v>
      </c>
      <c r="N55" s="10">
        <f t="shared" ref="N55:N56" si="47">(1/6)*(K55-I55)*((L55*((2*H55)+J55))+(M55*(H55+(2*J55))))</f>
        <v>0</v>
      </c>
      <c r="O55" s="10">
        <f t="shared" ref="O55:O56" si="48">((1/12)*(K55-I55)*(L55*H55*((3*I55)+K55)+L55*J55*(I55+K55)+M55*H55*(I55+K55)+M55*J55*(I55+(3*K55))))</f>
        <v>0</v>
      </c>
      <c r="P55" s="10">
        <f t="shared" ref="P55:P56" si="49">((-1/24)*(K55-I55)*(H55*H55*((3*L55)+M55)+2*H55*J55*(L55+M55)+J55*J55*(L55+(3*M55))))</f>
        <v>0</v>
      </c>
      <c r="S55" t="e">
        <f t="shared" si="35"/>
        <v>#N/A</v>
      </c>
      <c r="T55" t="e">
        <f t="shared" si="36"/>
        <v>#N/A</v>
      </c>
      <c r="V55" t="e">
        <f t="shared" si="37"/>
        <v>#N/A</v>
      </c>
      <c r="W55" t="e">
        <f t="shared" si="38"/>
        <v>#N/A</v>
      </c>
    </row>
    <row r="56" spans="1:41" ht="15.75" thickBot="1" x14ac:dyDescent="0.3">
      <c r="A56" t="s">
        <v>95</v>
      </c>
      <c r="B56" s="6">
        <f>D55</f>
        <v>-6.0109107627187042</v>
      </c>
      <c r="C56" s="6">
        <f>E55</f>
        <v>0.93217584319293056</v>
      </c>
      <c r="D56" s="6">
        <f t="shared" si="22"/>
        <v>-5.8979767887832661</v>
      </c>
      <c r="E56" s="6">
        <f t="shared" si="22"/>
        <v>-9.0671864323490023</v>
      </c>
      <c r="F56" s="6">
        <f t="shared" si="39"/>
        <v>-88.541666666740682</v>
      </c>
      <c r="G56" s="6">
        <f t="shared" si="40"/>
        <v>-531.28388127297058</v>
      </c>
      <c r="H56" s="6">
        <f t="shared" si="41"/>
        <v>0</v>
      </c>
      <c r="I56" s="6">
        <f t="shared" si="42"/>
        <v>0</v>
      </c>
      <c r="J56" s="6">
        <f t="shared" si="43"/>
        <v>0</v>
      </c>
      <c r="K56" s="6">
        <f t="shared" si="44"/>
        <v>0</v>
      </c>
      <c r="L56" s="6">
        <f t="shared" si="45"/>
        <v>0</v>
      </c>
      <c r="M56" s="6">
        <f t="shared" si="46"/>
        <v>0</v>
      </c>
      <c r="N56" s="11">
        <f t="shared" si="47"/>
        <v>0</v>
      </c>
      <c r="O56" s="11">
        <f t="shared" si="48"/>
        <v>0</v>
      </c>
      <c r="P56" s="11">
        <f t="shared" si="49"/>
        <v>0</v>
      </c>
      <c r="S56" t="e">
        <f t="shared" ref="S56" si="50">IF(AND(I56=0,K56=0,H56=0,J56=0),NA(),H56)</f>
        <v>#N/A</v>
      </c>
      <c r="T56" t="e">
        <f t="shared" ref="T56" si="51">IF(AND(I56=0,K56=0,H56=0,J56=0),NA(),I56)</f>
        <v>#N/A</v>
      </c>
      <c r="V56" t="e">
        <f t="shared" ref="V56" si="52">IF(AND(I56=0,K56=0,H56=0,J56=0),NA(),J56)</f>
        <v>#N/A</v>
      </c>
      <c r="W56" t="e">
        <f t="shared" ref="W56" si="53">IF(AND(I56=0,K56=0,H56=0,J56=0),NA(),K56)</f>
        <v>#N/A</v>
      </c>
    </row>
    <row r="57" spans="1:41" ht="15.75" thickTop="1" x14ac:dyDescent="0.25">
      <c r="N57" s="6">
        <f>SUM(N49:N56)</f>
        <v>107.99999999999902</v>
      </c>
      <c r="O57" s="6">
        <f t="shared" ref="O57:P57" si="54">SUM(O49:O56)</f>
        <v>944.19013578670751</v>
      </c>
      <c r="P57" s="6">
        <f t="shared" si="54"/>
        <v>10.663794475473082</v>
      </c>
    </row>
    <row r="59" spans="1:41" x14ac:dyDescent="0.25">
      <c r="A59" t="s">
        <v>55</v>
      </c>
    </row>
    <row r="61" spans="1:41" x14ac:dyDescent="0.25">
      <c r="A61">
        <f t="shared" ref="A61:A71" si="55">A14</f>
        <v>0</v>
      </c>
      <c r="B61" s="1" t="str">
        <f t="shared" ref="B61:D61" si="56">B14</f>
        <v>Bar #</v>
      </c>
      <c r="C61" s="1" t="str">
        <f t="shared" si="56"/>
        <v>As (in^2)</v>
      </c>
      <c r="D61" s="1" t="str">
        <f t="shared" si="56"/>
        <v>x</v>
      </c>
      <c r="E61" s="1" t="str">
        <f>E14</f>
        <v>y</v>
      </c>
      <c r="F61" s="1" t="s">
        <v>56</v>
      </c>
      <c r="G61" s="1" t="s">
        <v>57</v>
      </c>
      <c r="H61" s="1" t="s">
        <v>21</v>
      </c>
      <c r="I61" s="1" t="s">
        <v>22</v>
      </c>
      <c r="J61" s="1" t="s">
        <v>58</v>
      </c>
      <c r="K61" s="1" t="s">
        <v>59</v>
      </c>
      <c r="L61" s="1" t="s">
        <v>60</v>
      </c>
      <c r="M61" s="1" t="s">
        <v>61</v>
      </c>
      <c r="N61" s="1" t="s">
        <v>62</v>
      </c>
      <c r="O61" s="1" t="s">
        <v>63</v>
      </c>
    </row>
    <row r="62" spans="1:41" x14ac:dyDescent="0.25">
      <c r="A62">
        <f t="shared" si="55"/>
        <v>1</v>
      </c>
      <c r="B62" s="1">
        <f t="shared" ref="B62:D67" si="57">B15</f>
        <v>7</v>
      </c>
      <c r="C62" s="1">
        <f t="shared" ca="1" si="57"/>
        <v>0.6</v>
      </c>
      <c r="D62" s="1">
        <f t="shared" si="57"/>
        <v>2</v>
      </c>
      <c r="E62" s="1">
        <f t="shared" ref="E62" si="58">E15</f>
        <v>2</v>
      </c>
      <c r="F62" s="1">
        <f>D62-$I$2</f>
        <v>-4</v>
      </c>
      <c r="G62" s="1">
        <f>E62-$I$3</f>
        <v>-7</v>
      </c>
      <c r="H62" s="6">
        <f>F62*COS($B$27)+G62*SIN($B$27)</f>
        <v>-3.9206911284619665</v>
      </c>
      <c r="I62" s="6">
        <f>-1*F62*SIN($B$27)+G62*COS($B$27)</f>
        <v>-7.0447271824535287</v>
      </c>
      <c r="J62" s="6">
        <f>$G$38-I62</f>
        <v>16.292607973099233</v>
      </c>
      <c r="K62">
        <f ca="1">IF($B$28=0,-1,IF(C62=0,0,(($B$28-J62)/$B$28)*$B$30)*IF($B$28&lt;0,-1,1))</f>
        <v>-4.8294814814833394E-2</v>
      </c>
      <c r="L62">
        <f ca="1">IF(AND(K62&gt;0,J62&lt;=$B$29),MIN((K62*B$13),B$12)-$B$31,MAX(K62*B$13,-1*B$12))</f>
        <v>-60</v>
      </c>
      <c r="M62" s="6">
        <f ca="1">L62*C62</f>
        <v>-36</v>
      </c>
      <c r="N62" s="6">
        <f ca="1">M62*I62</f>
        <v>253.61017856832703</v>
      </c>
      <c r="O62" s="6">
        <f ca="1">M62*H62*-1</f>
        <v>-141.14488062463079</v>
      </c>
      <c r="Q62">
        <f>IF($B62=0,NA(),H62)</f>
        <v>-3.9206911284619665</v>
      </c>
      <c r="R62">
        <f>IF($B62=0,NA(),I62)</f>
        <v>-7.0447271824535287</v>
      </c>
    </row>
    <row r="63" spans="1:41" x14ac:dyDescent="0.25">
      <c r="A63">
        <f t="shared" si="55"/>
        <v>2</v>
      </c>
      <c r="B63" s="1">
        <f t="shared" si="57"/>
        <v>7</v>
      </c>
      <c r="C63" s="1">
        <f t="shared" ca="1" si="57"/>
        <v>0.6</v>
      </c>
      <c r="D63" s="1">
        <f t="shared" si="57"/>
        <v>10</v>
      </c>
      <c r="E63" s="1">
        <f t="shared" ref="E63" si="59">E16</f>
        <v>2</v>
      </c>
      <c r="F63" s="1">
        <f t="shared" ref="F63:F71" si="60">D63-$I$2</f>
        <v>4</v>
      </c>
      <c r="G63" s="1">
        <f t="shared" ref="G63:G71" si="61">E63-$I$3</f>
        <v>-7</v>
      </c>
      <c r="H63" s="6">
        <f t="shared" ref="H63:H71" si="62">F63*COS($B$27)+G63*SIN($B$27)</f>
        <v>4.0787986919715795</v>
      </c>
      <c r="I63" s="6">
        <f t="shared" ref="I63:I71" si="63">-1*F63*SIN($B$27)+G63*COS($B$27)</f>
        <v>-6.9543800033051779</v>
      </c>
      <c r="J63" s="6">
        <f t="shared" ref="J63:J71" si="64">$G$38-I63</f>
        <v>16.202260793950881</v>
      </c>
      <c r="K63">
        <f t="shared" ref="K63:K71" ca="1" si="65">IF($B$28=0,-1,IF(C63=0,0,(($B$28-J63)/$B$28)*$B$30)*IF($B$28&lt;0,-1,1))</f>
        <v>-4.8010370370389077E-2</v>
      </c>
      <c r="L63">
        <f t="shared" ref="L63:L71" ca="1" si="66">IF(AND(K63&gt;0,J63&lt;=$B$29),MIN((K63*B$13),B$12)-$B$31,MAX(K63*B$13,-1*B$12))</f>
        <v>-60</v>
      </c>
      <c r="M63" s="6">
        <f t="shared" ref="M63:M71" ca="1" si="67">L63*C63</f>
        <v>-36</v>
      </c>
      <c r="N63" s="6">
        <f t="shared" ref="N63:N71" ca="1" si="68">M63*I63</f>
        <v>250.35768011898639</v>
      </c>
      <c r="O63" s="6">
        <f t="shared" ref="O63:O71" ca="1" si="69">M63*H63*-1</f>
        <v>146.83675291097686</v>
      </c>
      <c r="Q63">
        <f t="shared" ref="Q63:Q71" si="70">IF($B63=0,NA(),H63)</f>
        <v>4.0787986919715795</v>
      </c>
      <c r="R63">
        <f t="shared" ref="R63:R71" si="71">IF($B63=0,NA(),I63)</f>
        <v>-6.9543800033051779</v>
      </c>
    </row>
    <row r="64" spans="1:41" x14ac:dyDescent="0.25">
      <c r="A64">
        <f t="shared" si="55"/>
        <v>3</v>
      </c>
      <c r="B64" s="1">
        <f t="shared" si="57"/>
        <v>7</v>
      </c>
      <c r="C64" s="1">
        <f t="shared" ca="1" si="57"/>
        <v>0.6</v>
      </c>
      <c r="D64" s="1">
        <f t="shared" si="57"/>
        <v>6</v>
      </c>
      <c r="E64" s="1">
        <f t="shared" ref="E64" si="72">E17</f>
        <v>2</v>
      </c>
      <c r="F64" s="1">
        <f t="shared" si="60"/>
        <v>0</v>
      </c>
      <c r="G64" s="1">
        <f t="shared" si="61"/>
        <v>-7</v>
      </c>
      <c r="H64" s="6">
        <f t="shared" si="62"/>
        <v>7.9053781754806554E-2</v>
      </c>
      <c r="I64" s="6">
        <f t="shared" si="63"/>
        <v>-6.9995535928793533</v>
      </c>
      <c r="J64" s="6">
        <f t="shared" si="64"/>
        <v>16.247434383525057</v>
      </c>
      <c r="K64">
        <f t="shared" ca="1" si="65"/>
        <v>-4.8152592592611246E-2</v>
      </c>
      <c r="L64">
        <f t="shared" ca="1" si="66"/>
        <v>-60</v>
      </c>
      <c r="M64" s="6">
        <f t="shared" ca="1" si="67"/>
        <v>-36</v>
      </c>
      <c r="N64" s="6">
        <f t="shared" ca="1" si="68"/>
        <v>251.98392934365671</v>
      </c>
      <c r="O64" s="6">
        <f t="shared" ca="1" si="69"/>
        <v>2.8459361431730361</v>
      </c>
      <c r="Q64">
        <f t="shared" si="70"/>
        <v>7.9053781754806554E-2</v>
      </c>
      <c r="R64">
        <f t="shared" si="71"/>
        <v>-6.9995535928793533</v>
      </c>
    </row>
    <row r="65" spans="1:18" x14ac:dyDescent="0.25">
      <c r="A65">
        <f t="shared" si="55"/>
        <v>4</v>
      </c>
      <c r="B65" s="1">
        <f t="shared" si="57"/>
        <v>0</v>
      </c>
      <c r="C65" s="1">
        <f t="shared" ca="1" si="57"/>
        <v>0</v>
      </c>
      <c r="D65" s="1">
        <f t="shared" si="57"/>
        <v>0</v>
      </c>
      <c r="E65" s="1">
        <f t="shared" ref="E65" si="73">E18</f>
        <v>0</v>
      </c>
      <c r="F65" s="1">
        <f t="shared" si="60"/>
        <v>-6</v>
      </c>
      <c r="G65" s="1">
        <f t="shared" si="61"/>
        <v>-9</v>
      </c>
      <c r="H65" s="6">
        <f t="shared" si="62"/>
        <v>-5.8979767887832661</v>
      </c>
      <c r="I65" s="6">
        <f t="shared" si="63"/>
        <v>-9.0671864323490023</v>
      </c>
      <c r="J65" s="6">
        <f t="shared" si="64"/>
        <v>18.315067222994706</v>
      </c>
      <c r="K65">
        <f t="shared" ca="1" si="65"/>
        <v>0</v>
      </c>
      <c r="L65">
        <f t="shared" ca="1" si="66"/>
        <v>0</v>
      </c>
      <c r="M65" s="6">
        <f t="shared" ca="1" si="67"/>
        <v>0</v>
      </c>
      <c r="N65" s="6">
        <f t="shared" ca="1" si="68"/>
        <v>0</v>
      </c>
      <c r="O65" s="6">
        <f t="shared" ca="1" si="69"/>
        <v>0</v>
      </c>
      <c r="Q65" t="e">
        <f t="shared" si="70"/>
        <v>#N/A</v>
      </c>
      <c r="R65" t="e">
        <f t="shared" si="71"/>
        <v>#N/A</v>
      </c>
    </row>
    <row r="66" spans="1:18" x14ac:dyDescent="0.25">
      <c r="A66">
        <f t="shared" si="55"/>
        <v>5</v>
      </c>
      <c r="B66" s="1">
        <f t="shared" si="57"/>
        <v>0</v>
      </c>
      <c r="C66" s="1">
        <f t="shared" ca="1" si="57"/>
        <v>0</v>
      </c>
      <c r="D66" s="1">
        <f t="shared" si="57"/>
        <v>0</v>
      </c>
      <c r="E66" s="1">
        <f t="shared" ref="E66" si="74">E19</f>
        <v>0</v>
      </c>
      <c r="F66" s="1">
        <f t="shared" si="60"/>
        <v>-6</v>
      </c>
      <c r="G66" s="1">
        <f t="shared" si="61"/>
        <v>-9</v>
      </c>
      <c r="H66" s="6">
        <f t="shared" si="62"/>
        <v>-5.8979767887832661</v>
      </c>
      <c r="I66" s="6">
        <f t="shared" si="63"/>
        <v>-9.0671864323490023</v>
      </c>
      <c r="J66" s="6">
        <f t="shared" si="64"/>
        <v>18.315067222994706</v>
      </c>
      <c r="K66">
        <f t="shared" ca="1" si="65"/>
        <v>0</v>
      </c>
      <c r="L66">
        <f t="shared" ca="1" si="66"/>
        <v>0</v>
      </c>
      <c r="M66" s="6">
        <f t="shared" ca="1" si="67"/>
        <v>0</v>
      </c>
      <c r="N66" s="6">
        <f t="shared" ca="1" si="68"/>
        <v>0</v>
      </c>
      <c r="O66" s="6">
        <f t="shared" ca="1" si="69"/>
        <v>0</v>
      </c>
      <c r="Q66" t="e">
        <f t="shared" si="70"/>
        <v>#N/A</v>
      </c>
      <c r="R66" t="e">
        <f t="shared" si="71"/>
        <v>#N/A</v>
      </c>
    </row>
    <row r="67" spans="1:18" x14ac:dyDescent="0.25">
      <c r="A67">
        <f t="shared" si="55"/>
        <v>6</v>
      </c>
      <c r="B67" s="1">
        <f t="shared" si="57"/>
        <v>0</v>
      </c>
      <c r="C67" s="1">
        <f t="shared" ca="1" si="57"/>
        <v>0</v>
      </c>
      <c r="D67" s="1">
        <f t="shared" si="57"/>
        <v>0</v>
      </c>
      <c r="E67" s="1">
        <f t="shared" ref="E67" si="75">E20</f>
        <v>0</v>
      </c>
      <c r="F67" s="1">
        <f t="shared" si="60"/>
        <v>-6</v>
      </c>
      <c r="G67" s="1">
        <f t="shared" si="61"/>
        <v>-9</v>
      </c>
      <c r="H67" s="6">
        <f t="shared" si="62"/>
        <v>-5.8979767887832661</v>
      </c>
      <c r="I67" s="6">
        <f t="shared" si="63"/>
        <v>-9.0671864323490023</v>
      </c>
      <c r="J67" s="6">
        <f t="shared" si="64"/>
        <v>18.315067222994706</v>
      </c>
      <c r="K67">
        <f t="shared" ca="1" si="65"/>
        <v>0</v>
      </c>
      <c r="L67">
        <f t="shared" ca="1" si="66"/>
        <v>0</v>
      </c>
      <c r="M67" s="6">
        <f t="shared" ca="1" si="67"/>
        <v>0</v>
      </c>
      <c r="N67" s="6">
        <f t="shared" ca="1" si="68"/>
        <v>0</v>
      </c>
      <c r="O67" s="6">
        <f t="shared" ca="1" si="69"/>
        <v>0</v>
      </c>
      <c r="Q67" t="e">
        <f t="shared" si="70"/>
        <v>#N/A</v>
      </c>
      <c r="R67" t="e">
        <f t="shared" si="71"/>
        <v>#N/A</v>
      </c>
    </row>
    <row r="68" spans="1:18" x14ac:dyDescent="0.25">
      <c r="A68">
        <f t="shared" si="55"/>
        <v>7</v>
      </c>
      <c r="B68" s="1">
        <f t="shared" ref="B68:D68" si="76">B21</f>
        <v>0</v>
      </c>
      <c r="C68" s="1">
        <f t="shared" ca="1" si="76"/>
        <v>0</v>
      </c>
      <c r="D68" s="1">
        <f t="shared" si="76"/>
        <v>0</v>
      </c>
      <c r="E68" s="1">
        <f>E21</f>
        <v>0</v>
      </c>
      <c r="F68" s="1">
        <f t="shared" si="60"/>
        <v>-6</v>
      </c>
      <c r="G68" s="1">
        <f t="shared" si="61"/>
        <v>-9</v>
      </c>
      <c r="H68" s="6">
        <f t="shared" si="62"/>
        <v>-5.8979767887832661</v>
      </c>
      <c r="I68" s="6">
        <f t="shared" si="63"/>
        <v>-9.0671864323490023</v>
      </c>
      <c r="J68" s="6">
        <f t="shared" si="64"/>
        <v>18.315067222994706</v>
      </c>
      <c r="K68">
        <f t="shared" ca="1" si="65"/>
        <v>0</v>
      </c>
      <c r="L68">
        <f t="shared" ca="1" si="66"/>
        <v>0</v>
      </c>
      <c r="M68" s="6">
        <f t="shared" ca="1" si="67"/>
        <v>0</v>
      </c>
      <c r="N68" s="6">
        <f t="shared" ca="1" si="68"/>
        <v>0</v>
      </c>
      <c r="O68" s="6">
        <f t="shared" ca="1" si="69"/>
        <v>0</v>
      </c>
      <c r="Q68" t="e">
        <f t="shared" si="70"/>
        <v>#N/A</v>
      </c>
      <c r="R68" t="e">
        <f t="shared" si="71"/>
        <v>#N/A</v>
      </c>
    </row>
    <row r="69" spans="1:18" x14ac:dyDescent="0.25">
      <c r="A69">
        <f t="shared" si="55"/>
        <v>8</v>
      </c>
      <c r="B69" s="1">
        <f t="shared" ref="B69:D71" si="77">B22</f>
        <v>0</v>
      </c>
      <c r="C69" s="1">
        <f t="shared" ca="1" si="77"/>
        <v>0</v>
      </c>
      <c r="D69" s="1">
        <f t="shared" si="77"/>
        <v>0</v>
      </c>
      <c r="E69" s="1">
        <f t="shared" ref="E69" si="78">E22</f>
        <v>0</v>
      </c>
      <c r="F69" s="1">
        <f t="shared" si="60"/>
        <v>-6</v>
      </c>
      <c r="G69" s="1">
        <f t="shared" si="61"/>
        <v>-9</v>
      </c>
      <c r="H69" s="6">
        <f t="shared" si="62"/>
        <v>-5.8979767887832661</v>
      </c>
      <c r="I69" s="6">
        <f t="shared" si="63"/>
        <v>-9.0671864323490023</v>
      </c>
      <c r="J69" s="6">
        <f t="shared" si="64"/>
        <v>18.315067222994706</v>
      </c>
      <c r="K69">
        <f t="shared" ca="1" si="65"/>
        <v>0</v>
      </c>
      <c r="L69">
        <f t="shared" ca="1" si="66"/>
        <v>0</v>
      </c>
      <c r="M69" s="6">
        <f t="shared" ca="1" si="67"/>
        <v>0</v>
      </c>
      <c r="N69" s="6">
        <f t="shared" ca="1" si="68"/>
        <v>0</v>
      </c>
      <c r="O69" s="6">
        <f t="shared" ca="1" si="69"/>
        <v>0</v>
      </c>
      <c r="Q69" t="e">
        <f t="shared" si="70"/>
        <v>#N/A</v>
      </c>
      <c r="R69" t="e">
        <f t="shared" si="71"/>
        <v>#N/A</v>
      </c>
    </row>
    <row r="70" spans="1:18" x14ac:dyDescent="0.25">
      <c r="A70">
        <f t="shared" si="55"/>
        <v>9</v>
      </c>
      <c r="B70" s="1">
        <f t="shared" si="77"/>
        <v>0</v>
      </c>
      <c r="C70" s="1">
        <f t="shared" ca="1" si="77"/>
        <v>0</v>
      </c>
      <c r="D70" s="1">
        <f t="shared" si="77"/>
        <v>0</v>
      </c>
      <c r="E70" s="1">
        <f t="shared" ref="E70" si="79">E23</f>
        <v>0</v>
      </c>
      <c r="F70" s="1">
        <f t="shared" si="60"/>
        <v>-6</v>
      </c>
      <c r="G70" s="1">
        <f t="shared" si="61"/>
        <v>-9</v>
      </c>
      <c r="H70" s="6">
        <f t="shared" si="62"/>
        <v>-5.8979767887832661</v>
      </c>
      <c r="I70" s="6">
        <f t="shared" si="63"/>
        <v>-9.0671864323490023</v>
      </c>
      <c r="J70" s="6">
        <f t="shared" si="64"/>
        <v>18.315067222994706</v>
      </c>
      <c r="K70">
        <f t="shared" ca="1" si="65"/>
        <v>0</v>
      </c>
      <c r="L70">
        <f t="shared" ca="1" si="66"/>
        <v>0</v>
      </c>
      <c r="M70" s="6">
        <f t="shared" ca="1" si="67"/>
        <v>0</v>
      </c>
      <c r="N70" s="6">
        <f t="shared" ca="1" si="68"/>
        <v>0</v>
      </c>
      <c r="O70" s="6">
        <f t="shared" ca="1" si="69"/>
        <v>0</v>
      </c>
      <c r="Q70" t="e">
        <f t="shared" si="70"/>
        <v>#N/A</v>
      </c>
      <c r="R70" t="e">
        <f t="shared" si="71"/>
        <v>#N/A</v>
      </c>
    </row>
    <row r="71" spans="1:18" ht="15.75" thickBot="1" x14ac:dyDescent="0.3">
      <c r="A71">
        <f t="shared" si="55"/>
        <v>10</v>
      </c>
      <c r="B71" s="1">
        <f t="shared" si="77"/>
        <v>0</v>
      </c>
      <c r="C71" s="1">
        <f t="shared" ca="1" si="77"/>
        <v>0</v>
      </c>
      <c r="D71" s="1">
        <f t="shared" si="77"/>
        <v>0</v>
      </c>
      <c r="E71" s="1">
        <f t="shared" ref="E71" si="80">E24</f>
        <v>0</v>
      </c>
      <c r="F71" s="1">
        <f t="shared" si="60"/>
        <v>-6</v>
      </c>
      <c r="G71" s="1">
        <f t="shared" si="61"/>
        <v>-9</v>
      </c>
      <c r="H71" s="6">
        <f t="shared" si="62"/>
        <v>-5.8979767887832661</v>
      </c>
      <c r="I71" s="6">
        <f t="shared" si="63"/>
        <v>-9.0671864323490023</v>
      </c>
      <c r="J71" s="6">
        <f t="shared" si="64"/>
        <v>18.315067222994706</v>
      </c>
      <c r="K71" s="12">
        <f t="shared" ca="1" si="65"/>
        <v>0</v>
      </c>
      <c r="L71">
        <f t="shared" ca="1" si="66"/>
        <v>0</v>
      </c>
      <c r="M71" s="11">
        <f t="shared" ca="1" si="67"/>
        <v>0</v>
      </c>
      <c r="N71" s="11">
        <f t="shared" ca="1" si="68"/>
        <v>0</v>
      </c>
      <c r="O71" s="11">
        <f t="shared" ca="1" si="69"/>
        <v>0</v>
      </c>
      <c r="Q71" t="e">
        <f t="shared" si="70"/>
        <v>#N/A</v>
      </c>
      <c r="R71" t="e">
        <f t="shared" si="71"/>
        <v>#N/A</v>
      </c>
    </row>
    <row r="72" spans="1:18" ht="15.75" thickTop="1" x14ac:dyDescent="0.25">
      <c r="K72" s="13">
        <f ca="1">MIN(K62:K71)</f>
        <v>-4.8294814814833394E-2</v>
      </c>
      <c r="M72" s="9">
        <f ca="1">SUM(M62:M71)</f>
        <v>-108</v>
      </c>
      <c r="N72" s="9">
        <f t="shared" ref="N72:O72" ca="1" si="81">SUM(N62:N71)</f>
        <v>755.95178803097019</v>
      </c>
      <c r="O72" s="9">
        <f t="shared" ca="1" si="81"/>
        <v>8.5378084295191048</v>
      </c>
    </row>
    <row r="75" spans="1:18" x14ac:dyDescent="0.25">
      <c r="A75" s="8" t="s">
        <v>64</v>
      </c>
      <c r="B75" s="9">
        <f ca="1">N57+M72</f>
        <v>-9.8054897534893826E-13</v>
      </c>
      <c r="C75" t="s">
        <v>69</v>
      </c>
    </row>
    <row r="76" spans="1:18" x14ac:dyDescent="0.25">
      <c r="A76" s="8" t="s">
        <v>67</v>
      </c>
      <c r="B76" s="9">
        <f ca="1">O57+N72</f>
        <v>1700.1419238176777</v>
      </c>
      <c r="C76" t="s">
        <v>70</v>
      </c>
    </row>
    <row r="77" spans="1:18" x14ac:dyDescent="0.25">
      <c r="A77" s="8" t="s">
        <v>68</v>
      </c>
      <c r="B77" s="9">
        <f ca="1">P57+O72</f>
        <v>19.201602904992185</v>
      </c>
      <c r="C77" t="s">
        <v>70</v>
      </c>
    </row>
    <row r="79" spans="1:18" x14ac:dyDescent="0.25">
      <c r="A79" s="8" t="s">
        <v>65</v>
      </c>
      <c r="B79">
        <f ca="1">((B76*COS(-1*B27))+(B77*SIN(-1*B27)))</f>
        <v>1700.2503529411765</v>
      </c>
      <c r="C79" t="s">
        <v>70</v>
      </c>
    </row>
    <row r="80" spans="1:18" x14ac:dyDescent="0.25">
      <c r="A80" s="8" t="s">
        <v>66</v>
      </c>
      <c r="B80">
        <f ca="1">(-1*(B76)*SIN(-1*B27))+((B77)*COS(-1*B27))</f>
        <v>7.1443295723838673E-10</v>
      </c>
      <c r="C80" t="s">
        <v>70</v>
      </c>
    </row>
    <row r="82" spans="1:2" x14ac:dyDescent="0.25">
      <c r="B82">
        <f>ATAN2(1,0)</f>
        <v>0</v>
      </c>
    </row>
    <row r="83" spans="1:2" x14ac:dyDescent="0.25">
      <c r="A83" t="s">
        <v>75</v>
      </c>
      <c r="B83">
        <f ca="1">ATAN2(B79,B80)</f>
        <v>4.2019280043231607E-13</v>
      </c>
    </row>
  </sheetData>
  <phoneticPr fontId="3" type="noConversion"/>
  <dataValidations disablePrompts="1" count="2">
    <dataValidation type="list" allowBlank="1" showInputMessage="1" showErrorMessage="1" sqref="F26" xr:uid="{4CE73F95-5EFB-4CF7-8296-522B2E0DD06E}">
      <formula1>"gross,web"</formula1>
    </dataValidation>
    <dataValidation type="list" allowBlank="1" showInputMessage="1" showErrorMessage="1" sqref="B15:B24" xr:uid="{BECF4FF3-0F1C-45C0-9B4F-612E97CB0852}">
      <formula1>$G$14:$G$29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isection_method_for_p">
                <anchor moveWithCells="1" sizeWithCells="1">
                  <from>
                    <xdr:col>7</xdr:col>
                    <xdr:colOff>47625</xdr:colOff>
                    <xdr:row>3</xdr:row>
                    <xdr:rowOff>9525</xdr:rowOff>
                  </from>
                  <to>
                    <xdr:col>9</xdr:col>
                    <xdr:colOff>190500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waterfall_solver">
                <anchor moveWithCells="1" sizeWithCells="1">
                  <from>
                    <xdr:col>7</xdr:col>
                    <xdr:colOff>57150</xdr:colOff>
                    <xdr:row>8</xdr:row>
                    <xdr:rowOff>28575</xdr:rowOff>
                  </from>
                  <to>
                    <xdr:col>9</xdr:col>
                    <xdr:colOff>200025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L_Section_Capacity</vt:lpstr>
      <vt:lpstr>Mx_L_vx_Mx_R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Bockoven III</dc:creator>
  <cp:lastModifiedBy>Donald Bockoven III</cp:lastModifiedBy>
  <dcterms:created xsi:type="dcterms:W3CDTF">2020-11-07T15:23:03Z</dcterms:created>
  <dcterms:modified xsi:type="dcterms:W3CDTF">2020-11-08T22:23:05Z</dcterms:modified>
</cp:coreProperties>
</file>