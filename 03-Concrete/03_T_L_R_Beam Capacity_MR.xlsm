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yDrive\Work\In_Development\"/>
    </mc:Choice>
  </mc:AlternateContent>
  <xr:revisionPtr revIDLastSave="2222007" documentId="114_{4C9766C2-934B-FE43-8898-95272A9847CE}" xr6:coauthVersionLast="45" xr6:coauthVersionMax="45" xr10:uidLastSave="{F296AFF3-4F3F-45BA-A47D-DFE52B225298}"/>
  <bookViews>
    <workbookView xWindow="-120" yWindow="-120" windowWidth="29040" windowHeight="158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363" i="1" l="1"/>
  <c r="AU364" i="1" s="1"/>
  <c r="AT363" i="1"/>
  <c r="AT364" i="1" s="1"/>
  <c r="BG374" i="1"/>
  <c r="BG375" i="1"/>
  <c r="BG369" i="1"/>
  <c r="BG370" i="1"/>
  <c r="BG371" i="1"/>
  <c r="BG372" i="1"/>
  <c r="BG373" i="1"/>
  <c r="BG362" i="1"/>
  <c r="BG363" i="1"/>
  <c r="BG364" i="1"/>
  <c r="BG365" i="1"/>
  <c r="BG366" i="1"/>
  <c r="BG367" i="1"/>
  <c r="BG36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15" i="1"/>
  <c r="AZ2" i="1"/>
  <c r="E105" i="1" l="1"/>
  <c r="E106" i="1"/>
  <c r="E107" i="1"/>
  <c r="E108" i="1"/>
  <c r="E109" i="1"/>
  <c r="E110" i="1"/>
  <c r="E111" i="1"/>
  <c r="E112" i="1"/>
  <c r="E113" i="1"/>
  <c r="D105" i="1"/>
  <c r="D106" i="1"/>
  <c r="D107" i="1"/>
  <c r="D108" i="1"/>
  <c r="D109" i="1"/>
  <c r="D110" i="1"/>
  <c r="D111" i="1"/>
  <c r="D112" i="1"/>
  <c r="D113" i="1"/>
  <c r="E104" i="1"/>
  <c r="D104" i="1"/>
  <c r="A91" i="1"/>
  <c r="B91" i="1"/>
  <c r="A92" i="1"/>
  <c r="B92" i="1"/>
  <c r="B93" i="1"/>
  <c r="B94" i="1"/>
  <c r="B95" i="1"/>
  <c r="B96" i="1"/>
  <c r="A97" i="1"/>
  <c r="B97" i="1"/>
  <c r="A98" i="1"/>
  <c r="B98" i="1"/>
  <c r="B90" i="1"/>
  <c r="A90" i="1"/>
  <c r="U13" i="1" l="1"/>
  <c r="AD45" i="1" s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37" i="1"/>
  <c r="AD37" i="1" s="1"/>
  <c r="AE41" i="1" l="1"/>
  <c r="AX358" i="1"/>
  <c r="AX350" i="1"/>
  <c r="AX349" i="1"/>
  <c r="AX317" i="1"/>
  <c r="AX293" i="1"/>
  <c r="AX285" i="1"/>
  <c r="AX261" i="1"/>
  <c r="AX253" i="1"/>
  <c r="AX245" i="1"/>
  <c r="AX237" i="1"/>
  <c r="AX229" i="1"/>
  <c r="AX221" i="1"/>
  <c r="AX213" i="1"/>
  <c r="AX205" i="1"/>
  <c r="AX356" i="1"/>
  <c r="AX355" i="1"/>
  <c r="AX361" i="1"/>
  <c r="AX353" i="1"/>
  <c r="AX357" i="1"/>
  <c r="AX333" i="1"/>
  <c r="AX309" i="1"/>
  <c r="AX277" i="1"/>
  <c r="AX362" i="1"/>
  <c r="AX346" i="1"/>
  <c r="AX330" i="1"/>
  <c r="AX314" i="1"/>
  <c r="AX298" i="1"/>
  <c r="AX282" i="1"/>
  <c r="AX266" i="1"/>
  <c r="AX250" i="1"/>
  <c r="AX234" i="1"/>
  <c r="AX218" i="1"/>
  <c r="AX202" i="1"/>
  <c r="AX186" i="1"/>
  <c r="AX352" i="1"/>
  <c r="AX336" i="1"/>
  <c r="AX320" i="1"/>
  <c r="AX312" i="1"/>
  <c r="AX341" i="1"/>
  <c r="AX325" i="1"/>
  <c r="AX301" i="1"/>
  <c r="AX269" i="1"/>
  <c r="AX354" i="1"/>
  <c r="AX338" i="1"/>
  <c r="AX322" i="1"/>
  <c r="AX306" i="1"/>
  <c r="AX290" i="1"/>
  <c r="AX274" i="1"/>
  <c r="AX258" i="1"/>
  <c r="AX242" i="1"/>
  <c r="AX226" i="1"/>
  <c r="AX210" i="1"/>
  <c r="AX194" i="1"/>
  <c r="AX360" i="1"/>
  <c r="AX344" i="1"/>
  <c r="AX328" i="1"/>
  <c r="AX359" i="1"/>
  <c r="AX351" i="1"/>
  <c r="AX197" i="1"/>
  <c r="AX189" i="1"/>
  <c r="AX348" i="1"/>
  <c r="AX345" i="1"/>
  <c r="AX304" i="1"/>
  <c r="AX296" i="1"/>
  <c r="AX342" i="1"/>
  <c r="AX334" i="1"/>
  <c r="AX326" i="1"/>
  <c r="AX340" i="1"/>
  <c r="AX332" i="1"/>
  <c r="AX324" i="1"/>
  <c r="AX347" i="1"/>
  <c r="AX339" i="1"/>
  <c r="AX331" i="1"/>
  <c r="AX323" i="1"/>
  <c r="AX337" i="1"/>
  <c r="AX329" i="1"/>
  <c r="AX288" i="1"/>
  <c r="AX280" i="1"/>
  <c r="AX272" i="1"/>
  <c r="AX264" i="1"/>
  <c r="AX256" i="1"/>
  <c r="AX343" i="1"/>
  <c r="AX335" i="1"/>
  <c r="AX327" i="1"/>
  <c r="AX248" i="1"/>
  <c r="AX318" i="1"/>
  <c r="AX310" i="1"/>
  <c r="AX302" i="1"/>
  <c r="AX294" i="1"/>
  <c r="AX286" i="1"/>
  <c r="AX278" i="1"/>
  <c r="AX270" i="1"/>
  <c r="AX262" i="1"/>
  <c r="AX254" i="1"/>
  <c r="AX246" i="1"/>
  <c r="AX238" i="1"/>
  <c r="AX230" i="1"/>
  <c r="AX222" i="1"/>
  <c r="AX214" i="1"/>
  <c r="AX206" i="1"/>
  <c r="AX198" i="1"/>
  <c r="AX190" i="1"/>
  <c r="AX316" i="1"/>
  <c r="AX308" i="1"/>
  <c r="AX300" i="1"/>
  <c r="AX292" i="1"/>
  <c r="AX284" i="1"/>
  <c r="AX276" i="1"/>
  <c r="AX268" i="1"/>
  <c r="AX260" i="1"/>
  <c r="AX252" i="1"/>
  <c r="AX244" i="1"/>
  <c r="AX236" i="1"/>
  <c r="AX228" i="1"/>
  <c r="AX220" i="1"/>
  <c r="AX212" i="1"/>
  <c r="AX204" i="1"/>
  <c r="AX196" i="1"/>
  <c r="AX188" i="1"/>
  <c r="AX315" i="1"/>
  <c r="AX307" i="1"/>
  <c r="AX299" i="1"/>
  <c r="AX291" i="1"/>
  <c r="AX283" i="1"/>
  <c r="AX275" i="1"/>
  <c r="AX267" i="1"/>
  <c r="AX259" i="1"/>
  <c r="AX251" i="1"/>
  <c r="AX243" i="1"/>
  <c r="AX235" i="1"/>
  <c r="AX227" i="1"/>
  <c r="AX219" i="1"/>
  <c r="AX211" i="1"/>
  <c r="AX203" i="1"/>
  <c r="AX195" i="1"/>
  <c r="AX187" i="1"/>
  <c r="AX321" i="1"/>
  <c r="AX313" i="1"/>
  <c r="AX305" i="1"/>
  <c r="AX297" i="1"/>
  <c r="AX289" i="1"/>
  <c r="AX281" i="1"/>
  <c r="AX273" i="1"/>
  <c r="AX265" i="1"/>
  <c r="AX257" i="1"/>
  <c r="AX249" i="1"/>
  <c r="AX241" i="1"/>
  <c r="AX233" i="1"/>
  <c r="AX225" i="1"/>
  <c r="AX217" i="1"/>
  <c r="AX209" i="1"/>
  <c r="AX201" i="1"/>
  <c r="AX193" i="1"/>
  <c r="AX185" i="1"/>
  <c r="AX240" i="1"/>
  <c r="AX232" i="1"/>
  <c r="AX224" i="1"/>
  <c r="AX216" i="1"/>
  <c r="AX208" i="1"/>
  <c r="AX200" i="1"/>
  <c r="AX192" i="1"/>
  <c r="AX184" i="1"/>
  <c r="AX319" i="1"/>
  <c r="AX311" i="1"/>
  <c r="AX303" i="1"/>
  <c r="AX295" i="1"/>
  <c r="AX287" i="1"/>
  <c r="AX279" i="1"/>
  <c r="AX271" i="1"/>
  <c r="AX263" i="1"/>
  <c r="AX255" i="1"/>
  <c r="AX247" i="1"/>
  <c r="AX239" i="1"/>
  <c r="AX231" i="1"/>
  <c r="AX223" i="1"/>
  <c r="AX215" i="1"/>
  <c r="AX207" i="1"/>
  <c r="AX199" i="1"/>
  <c r="AX191" i="1"/>
  <c r="AX183" i="1"/>
  <c r="BA182" i="1"/>
  <c r="AX182" i="1"/>
  <c r="BA181" i="1"/>
  <c r="AX181" i="1"/>
  <c r="BA180" i="1"/>
  <c r="AX180" i="1"/>
  <c r="BA179" i="1"/>
  <c r="AX179" i="1"/>
  <c r="BA178" i="1"/>
  <c r="AX178" i="1"/>
  <c r="BA177" i="1"/>
  <c r="AX177" i="1"/>
  <c r="BA176" i="1"/>
  <c r="AX176" i="1"/>
  <c r="BA175" i="1"/>
  <c r="AX175" i="1"/>
  <c r="BA174" i="1"/>
  <c r="AX174" i="1"/>
  <c r="BA173" i="1"/>
  <c r="AX173" i="1"/>
  <c r="BA172" i="1"/>
  <c r="AX172" i="1"/>
  <c r="BA171" i="1"/>
  <c r="AX171" i="1"/>
  <c r="BA170" i="1"/>
  <c r="AX170" i="1"/>
  <c r="BA169" i="1"/>
  <c r="AX169" i="1"/>
  <c r="BA168" i="1"/>
  <c r="AX168" i="1"/>
  <c r="BA167" i="1"/>
  <c r="AX167" i="1"/>
  <c r="BA166" i="1"/>
  <c r="AX166" i="1"/>
  <c r="BA165" i="1"/>
  <c r="AX165" i="1"/>
  <c r="BA164" i="1"/>
  <c r="AX164" i="1"/>
  <c r="BA163" i="1"/>
  <c r="AX163" i="1"/>
  <c r="BA162" i="1"/>
  <c r="AX162" i="1"/>
  <c r="BA161" i="1"/>
  <c r="AX161" i="1"/>
  <c r="BA160" i="1"/>
  <c r="AX160" i="1"/>
  <c r="BA159" i="1"/>
  <c r="AX159" i="1"/>
  <c r="BA158" i="1"/>
  <c r="AX158" i="1"/>
  <c r="BA157" i="1"/>
  <c r="AX157" i="1"/>
  <c r="BA156" i="1"/>
  <c r="AX156" i="1"/>
  <c r="BA155" i="1"/>
  <c r="AX155" i="1"/>
  <c r="BA154" i="1"/>
  <c r="AX154" i="1"/>
  <c r="BA153" i="1"/>
  <c r="AX153" i="1"/>
  <c r="BA152" i="1"/>
  <c r="AX152" i="1"/>
  <c r="BA151" i="1"/>
  <c r="AX151" i="1"/>
  <c r="BA150" i="1"/>
  <c r="AX150" i="1"/>
  <c r="BA149" i="1"/>
  <c r="AX149" i="1"/>
  <c r="BA148" i="1"/>
  <c r="AX148" i="1"/>
  <c r="BA147" i="1"/>
  <c r="AX147" i="1"/>
  <c r="BA146" i="1"/>
  <c r="AX146" i="1"/>
  <c r="BA145" i="1"/>
  <c r="AX145" i="1"/>
  <c r="BA144" i="1"/>
  <c r="AX144" i="1"/>
  <c r="BA143" i="1"/>
  <c r="AX143" i="1"/>
  <c r="BA142" i="1"/>
  <c r="AX142" i="1"/>
  <c r="BA141" i="1"/>
  <c r="AX141" i="1"/>
  <c r="BA140" i="1"/>
  <c r="AX140" i="1"/>
  <c r="BA139" i="1"/>
  <c r="AX139" i="1"/>
  <c r="BA138" i="1"/>
  <c r="AX138" i="1"/>
  <c r="BA137" i="1"/>
  <c r="AX137" i="1"/>
  <c r="BA136" i="1"/>
  <c r="AX136" i="1"/>
  <c r="BA135" i="1"/>
  <c r="AX135" i="1"/>
  <c r="BA134" i="1"/>
  <c r="AX134" i="1"/>
  <c r="BA133" i="1"/>
  <c r="AX133" i="1"/>
  <c r="BA132" i="1"/>
  <c r="AX132" i="1"/>
  <c r="BA131" i="1"/>
  <c r="AX131" i="1"/>
  <c r="BA130" i="1"/>
  <c r="AX130" i="1"/>
  <c r="BA129" i="1"/>
  <c r="AX129" i="1"/>
  <c r="BA128" i="1"/>
  <c r="AX128" i="1"/>
  <c r="BA127" i="1"/>
  <c r="AX127" i="1"/>
  <c r="BA126" i="1"/>
  <c r="AX126" i="1"/>
  <c r="BA125" i="1"/>
  <c r="AX125" i="1"/>
  <c r="BA124" i="1"/>
  <c r="AX124" i="1"/>
  <c r="BA123" i="1"/>
  <c r="AX123" i="1"/>
  <c r="BA122" i="1"/>
  <c r="AX122" i="1"/>
  <c r="BA121" i="1"/>
  <c r="AX121" i="1"/>
  <c r="BA120" i="1"/>
  <c r="AX120" i="1"/>
  <c r="BA119" i="1"/>
  <c r="AX119" i="1"/>
  <c r="BA118" i="1"/>
  <c r="AX118" i="1"/>
  <c r="BA117" i="1"/>
  <c r="AX117" i="1"/>
  <c r="BA116" i="1"/>
  <c r="AX116" i="1"/>
  <c r="BA115" i="1"/>
  <c r="AX115" i="1"/>
  <c r="BA114" i="1"/>
  <c r="AX114" i="1"/>
  <c r="BA113" i="1"/>
  <c r="AX113" i="1"/>
  <c r="BA112" i="1"/>
  <c r="AX112" i="1"/>
  <c r="BA111" i="1"/>
  <c r="AX111" i="1"/>
  <c r="BA110" i="1"/>
  <c r="AX110" i="1"/>
  <c r="BA109" i="1"/>
  <c r="AX109" i="1"/>
  <c r="BA108" i="1"/>
  <c r="AX108" i="1"/>
  <c r="BA107" i="1"/>
  <c r="AX107" i="1"/>
  <c r="BA106" i="1"/>
  <c r="AX106" i="1"/>
  <c r="BA105" i="1"/>
  <c r="AX105" i="1"/>
  <c r="BA104" i="1"/>
  <c r="AX104" i="1"/>
  <c r="BA103" i="1"/>
  <c r="AX103" i="1"/>
  <c r="BA102" i="1"/>
  <c r="AX102" i="1"/>
  <c r="BA101" i="1"/>
  <c r="AX101" i="1"/>
  <c r="BA100" i="1"/>
  <c r="AX100" i="1"/>
  <c r="BA99" i="1"/>
  <c r="AX99" i="1"/>
  <c r="BA98" i="1"/>
  <c r="AX98" i="1"/>
  <c r="BA97" i="1"/>
  <c r="AX97" i="1"/>
  <c r="BA96" i="1"/>
  <c r="AX96" i="1"/>
  <c r="BA95" i="1"/>
  <c r="AX95" i="1"/>
  <c r="BA94" i="1"/>
  <c r="AX94" i="1"/>
  <c r="BA93" i="1"/>
  <c r="AX93" i="1"/>
  <c r="BA92" i="1"/>
  <c r="AX92" i="1"/>
  <c r="BA91" i="1"/>
  <c r="AX91" i="1"/>
  <c r="BA90" i="1"/>
  <c r="AX90" i="1"/>
  <c r="BA89" i="1"/>
  <c r="AX89" i="1"/>
  <c r="BA88" i="1"/>
  <c r="AX88" i="1"/>
  <c r="BA87" i="1"/>
  <c r="AX87" i="1"/>
  <c r="BA86" i="1"/>
  <c r="AX86" i="1"/>
  <c r="BA85" i="1"/>
  <c r="AX85" i="1"/>
  <c r="BA84" i="1"/>
  <c r="AX84" i="1"/>
  <c r="BA83" i="1"/>
  <c r="AX83" i="1"/>
  <c r="BA82" i="1"/>
  <c r="AX82" i="1"/>
  <c r="BA81" i="1"/>
  <c r="AX81" i="1"/>
  <c r="BA80" i="1"/>
  <c r="AX80" i="1"/>
  <c r="BA79" i="1"/>
  <c r="AX79" i="1"/>
  <c r="BA78" i="1"/>
  <c r="AX78" i="1"/>
  <c r="BA77" i="1"/>
  <c r="AX77" i="1"/>
  <c r="BA76" i="1"/>
  <c r="AX76" i="1"/>
  <c r="BA75" i="1"/>
  <c r="AX75" i="1"/>
  <c r="BA74" i="1"/>
  <c r="AX74" i="1"/>
  <c r="BA73" i="1"/>
  <c r="AX73" i="1"/>
  <c r="BA72" i="1"/>
  <c r="AX72" i="1"/>
  <c r="BA71" i="1"/>
  <c r="AX71" i="1"/>
  <c r="BA70" i="1"/>
  <c r="AX70" i="1"/>
  <c r="BA69" i="1"/>
  <c r="AX69" i="1"/>
  <c r="BA68" i="1"/>
  <c r="AX68" i="1"/>
  <c r="BA67" i="1"/>
  <c r="AX67" i="1"/>
  <c r="BA66" i="1"/>
  <c r="AX66" i="1"/>
  <c r="BA65" i="1"/>
  <c r="AX65" i="1"/>
  <c r="BA64" i="1"/>
  <c r="AX64" i="1"/>
  <c r="BA63" i="1"/>
  <c r="AX63" i="1"/>
  <c r="BA62" i="1"/>
  <c r="AX62" i="1"/>
  <c r="BA61" i="1"/>
  <c r="AX61" i="1"/>
  <c r="BA60" i="1"/>
  <c r="AX60" i="1"/>
  <c r="BA59" i="1"/>
  <c r="AX59" i="1"/>
  <c r="BA58" i="1"/>
  <c r="AX58" i="1"/>
  <c r="BA57" i="1"/>
  <c r="AX57" i="1"/>
  <c r="BA56" i="1"/>
  <c r="AX56" i="1"/>
  <c r="BA55" i="1"/>
  <c r="AX55" i="1"/>
  <c r="BA54" i="1"/>
  <c r="AX54" i="1"/>
  <c r="BA53" i="1"/>
  <c r="AX53" i="1"/>
  <c r="BA52" i="1"/>
  <c r="AX52" i="1"/>
  <c r="BA51" i="1"/>
  <c r="AX51" i="1"/>
  <c r="BA50" i="1"/>
  <c r="AX50" i="1"/>
  <c r="BA49" i="1"/>
  <c r="AX49" i="1"/>
  <c r="BA48" i="1"/>
  <c r="AX48" i="1"/>
  <c r="BA47" i="1"/>
  <c r="AX47" i="1"/>
  <c r="BA46" i="1"/>
  <c r="AX46" i="1"/>
  <c r="BA45" i="1"/>
  <c r="AX45" i="1"/>
  <c r="BA44" i="1"/>
  <c r="AX44" i="1"/>
  <c r="BA43" i="1"/>
  <c r="AX43" i="1"/>
  <c r="BA42" i="1"/>
  <c r="AX42" i="1"/>
  <c r="BA41" i="1"/>
  <c r="AX41" i="1"/>
  <c r="BA40" i="1"/>
  <c r="AX40" i="1"/>
  <c r="BA39" i="1"/>
  <c r="AX39" i="1"/>
  <c r="BA38" i="1"/>
  <c r="AX38" i="1"/>
  <c r="BA37" i="1"/>
  <c r="AX37" i="1"/>
  <c r="BA36" i="1"/>
  <c r="AX36" i="1"/>
  <c r="BA35" i="1"/>
  <c r="AX35" i="1"/>
  <c r="BA34" i="1"/>
  <c r="AX34" i="1"/>
  <c r="BA33" i="1"/>
  <c r="AX33" i="1"/>
  <c r="BA32" i="1"/>
  <c r="AX32" i="1"/>
  <c r="BA31" i="1"/>
  <c r="AX31" i="1"/>
  <c r="BA30" i="1"/>
  <c r="AX30" i="1"/>
  <c r="BA29" i="1"/>
  <c r="AX29" i="1"/>
  <c r="BA28" i="1"/>
  <c r="AX28" i="1"/>
  <c r="BA27" i="1"/>
  <c r="AX27" i="1"/>
  <c r="BA26" i="1"/>
  <c r="AX26" i="1"/>
  <c r="BA25" i="1"/>
  <c r="AX25" i="1"/>
  <c r="BA24" i="1"/>
  <c r="AX24" i="1"/>
  <c r="BA23" i="1"/>
  <c r="AX23" i="1"/>
  <c r="BA22" i="1"/>
  <c r="AX22" i="1"/>
  <c r="BA21" i="1"/>
  <c r="AX21" i="1"/>
  <c r="BA20" i="1"/>
  <c r="AX20" i="1"/>
  <c r="BA19" i="1"/>
  <c r="AX19" i="1"/>
  <c r="BA18" i="1"/>
  <c r="AX18" i="1"/>
  <c r="BA17" i="1"/>
  <c r="AX17" i="1"/>
  <c r="BA16" i="1"/>
  <c r="AX16" i="1"/>
  <c r="BA15" i="1"/>
  <c r="AX15" i="1"/>
  <c r="BA14" i="1"/>
  <c r="AX14" i="1"/>
  <c r="BA13" i="1"/>
  <c r="AX13" i="1"/>
  <c r="BA12" i="1"/>
  <c r="AX12" i="1"/>
  <c r="BA11" i="1"/>
  <c r="AX11" i="1"/>
  <c r="BA10" i="1"/>
  <c r="AX10" i="1"/>
  <c r="BA9" i="1"/>
  <c r="AX9" i="1"/>
  <c r="BA8" i="1"/>
  <c r="AX8" i="1"/>
  <c r="BA7" i="1"/>
  <c r="AX7" i="1"/>
  <c r="BA6" i="1"/>
  <c r="AX6" i="1"/>
  <c r="BA5" i="1"/>
  <c r="AX5" i="1"/>
  <c r="BA4" i="1"/>
  <c r="AX4" i="1"/>
  <c r="BA3" i="1"/>
  <c r="AX3" i="1"/>
  <c r="BA2" i="1"/>
  <c r="AX2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BB182" i="1" s="1"/>
  <c r="AW181" i="1"/>
  <c r="BB181" i="1" s="1"/>
  <c r="AW180" i="1"/>
  <c r="BB180" i="1" s="1"/>
  <c r="AW179" i="1"/>
  <c r="BB179" i="1" s="1"/>
  <c r="AW178" i="1"/>
  <c r="BB178" i="1" s="1"/>
  <c r="AW177" i="1"/>
  <c r="BB177" i="1" s="1"/>
  <c r="AW176" i="1"/>
  <c r="BB176" i="1" s="1"/>
  <c r="AW175" i="1"/>
  <c r="BB175" i="1" s="1"/>
  <c r="AW174" i="1"/>
  <c r="BB174" i="1" s="1"/>
  <c r="AW173" i="1"/>
  <c r="BB173" i="1" s="1"/>
  <c r="AW172" i="1"/>
  <c r="BB172" i="1" s="1"/>
  <c r="AW171" i="1"/>
  <c r="BB171" i="1" s="1"/>
  <c r="AW170" i="1"/>
  <c r="BB170" i="1" s="1"/>
  <c r="AW169" i="1"/>
  <c r="BB169" i="1" s="1"/>
  <c r="AW168" i="1"/>
  <c r="BB168" i="1" s="1"/>
  <c r="AW167" i="1"/>
  <c r="BB167" i="1" s="1"/>
  <c r="AW166" i="1"/>
  <c r="BB166" i="1" s="1"/>
  <c r="AW165" i="1"/>
  <c r="BB165" i="1" s="1"/>
  <c r="AW164" i="1"/>
  <c r="BB164" i="1" s="1"/>
  <c r="AW163" i="1"/>
  <c r="BB163" i="1" s="1"/>
  <c r="AW162" i="1"/>
  <c r="BB162" i="1" s="1"/>
  <c r="AW161" i="1"/>
  <c r="BB161" i="1" s="1"/>
  <c r="AW160" i="1"/>
  <c r="BB160" i="1" s="1"/>
  <c r="AW159" i="1"/>
  <c r="BB159" i="1" s="1"/>
  <c r="AW158" i="1"/>
  <c r="BB158" i="1" s="1"/>
  <c r="AW157" i="1"/>
  <c r="BB157" i="1" s="1"/>
  <c r="AW156" i="1"/>
  <c r="BB156" i="1" s="1"/>
  <c r="AW155" i="1"/>
  <c r="BB155" i="1" s="1"/>
  <c r="AW154" i="1"/>
  <c r="BB154" i="1" s="1"/>
  <c r="AW153" i="1"/>
  <c r="BB153" i="1" s="1"/>
  <c r="AW152" i="1"/>
  <c r="BB152" i="1" s="1"/>
  <c r="AW151" i="1"/>
  <c r="BB151" i="1" s="1"/>
  <c r="AW150" i="1"/>
  <c r="BB150" i="1" s="1"/>
  <c r="AW149" i="1"/>
  <c r="BB149" i="1" s="1"/>
  <c r="AW148" i="1"/>
  <c r="BB148" i="1" s="1"/>
  <c r="AW147" i="1"/>
  <c r="BB147" i="1" s="1"/>
  <c r="AW146" i="1"/>
  <c r="BB146" i="1" s="1"/>
  <c r="AW145" i="1"/>
  <c r="BB145" i="1" s="1"/>
  <c r="AW144" i="1"/>
  <c r="BB144" i="1" s="1"/>
  <c r="AW143" i="1"/>
  <c r="BB143" i="1" s="1"/>
  <c r="AW142" i="1"/>
  <c r="BB142" i="1" s="1"/>
  <c r="AW141" i="1"/>
  <c r="BB141" i="1" s="1"/>
  <c r="AW140" i="1"/>
  <c r="BB140" i="1" s="1"/>
  <c r="AW139" i="1"/>
  <c r="BB139" i="1" s="1"/>
  <c r="AW138" i="1"/>
  <c r="BB138" i="1" s="1"/>
  <c r="AW137" i="1"/>
  <c r="BB137" i="1" s="1"/>
  <c r="AW136" i="1"/>
  <c r="BB136" i="1" s="1"/>
  <c r="AW135" i="1"/>
  <c r="BB135" i="1" s="1"/>
  <c r="AW134" i="1"/>
  <c r="BB134" i="1" s="1"/>
  <c r="AW133" i="1"/>
  <c r="BB133" i="1" s="1"/>
  <c r="AW132" i="1"/>
  <c r="BB132" i="1" s="1"/>
  <c r="AW131" i="1"/>
  <c r="BB131" i="1" s="1"/>
  <c r="AW130" i="1"/>
  <c r="BB130" i="1" s="1"/>
  <c r="AW129" i="1"/>
  <c r="BB129" i="1" s="1"/>
  <c r="AW128" i="1"/>
  <c r="BB128" i="1" s="1"/>
  <c r="AW127" i="1"/>
  <c r="BB127" i="1" s="1"/>
  <c r="AW126" i="1"/>
  <c r="BB126" i="1" s="1"/>
  <c r="AW125" i="1"/>
  <c r="BB125" i="1" s="1"/>
  <c r="AW124" i="1"/>
  <c r="BB124" i="1" s="1"/>
  <c r="AW123" i="1"/>
  <c r="BB123" i="1" s="1"/>
  <c r="AW122" i="1"/>
  <c r="BB122" i="1" s="1"/>
  <c r="AW121" i="1"/>
  <c r="BB121" i="1" s="1"/>
  <c r="AW120" i="1"/>
  <c r="BB120" i="1" s="1"/>
  <c r="AW119" i="1"/>
  <c r="BB119" i="1" s="1"/>
  <c r="AW118" i="1"/>
  <c r="BB118" i="1" s="1"/>
  <c r="AW117" i="1"/>
  <c r="BB117" i="1" s="1"/>
  <c r="AW116" i="1"/>
  <c r="BB116" i="1" s="1"/>
  <c r="AW115" i="1"/>
  <c r="BB115" i="1" s="1"/>
  <c r="AW114" i="1"/>
  <c r="BB114" i="1" s="1"/>
  <c r="AW113" i="1"/>
  <c r="BB113" i="1" s="1"/>
  <c r="AW112" i="1"/>
  <c r="BB112" i="1" s="1"/>
  <c r="AW111" i="1"/>
  <c r="BB111" i="1" s="1"/>
  <c r="AW110" i="1"/>
  <c r="BB110" i="1" s="1"/>
  <c r="AW109" i="1"/>
  <c r="BB109" i="1" s="1"/>
  <c r="AW108" i="1"/>
  <c r="BB108" i="1" s="1"/>
  <c r="AW107" i="1"/>
  <c r="BB107" i="1" s="1"/>
  <c r="AW106" i="1"/>
  <c r="BB106" i="1" s="1"/>
  <c r="AW105" i="1"/>
  <c r="BB105" i="1" s="1"/>
  <c r="AW104" i="1"/>
  <c r="BB104" i="1" s="1"/>
  <c r="AW103" i="1"/>
  <c r="BB103" i="1" s="1"/>
  <c r="AW102" i="1"/>
  <c r="BB102" i="1" s="1"/>
  <c r="AW101" i="1"/>
  <c r="BB101" i="1" s="1"/>
  <c r="AW100" i="1"/>
  <c r="BB100" i="1" s="1"/>
  <c r="AW99" i="1"/>
  <c r="BB99" i="1" s="1"/>
  <c r="AW98" i="1"/>
  <c r="BB98" i="1" s="1"/>
  <c r="AW97" i="1"/>
  <c r="BB97" i="1" s="1"/>
  <c r="AW96" i="1"/>
  <c r="BB96" i="1" s="1"/>
  <c r="AW95" i="1"/>
  <c r="BB95" i="1" s="1"/>
  <c r="AW94" i="1"/>
  <c r="BB94" i="1" s="1"/>
  <c r="AW93" i="1"/>
  <c r="BB93" i="1" s="1"/>
  <c r="AW92" i="1"/>
  <c r="BB92" i="1" s="1"/>
  <c r="AW91" i="1"/>
  <c r="BB91" i="1" s="1"/>
  <c r="AW90" i="1"/>
  <c r="BB90" i="1" s="1"/>
  <c r="AW89" i="1"/>
  <c r="BB89" i="1" s="1"/>
  <c r="AW88" i="1"/>
  <c r="BB88" i="1" s="1"/>
  <c r="AW87" i="1"/>
  <c r="BB87" i="1" s="1"/>
  <c r="AW86" i="1"/>
  <c r="BB86" i="1" s="1"/>
  <c r="AW85" i="1"/>
  <c r="BB85" i="1" s="1"/>
  <c r="AW84" i="1"/>
  <c r="BB84" i="1" s="1"/>
  <c r="AW83" i="1"/>
  <c r="BB83" i="1" s="1"/>
  <c r="AW82" i="1"/>
  <c r="BB82" i="1" s="1"/>
  <c r="AW81" i="1"/>
  <c r="BB81" i="1" s="1"/>
  <c r="AW80" i="1"/>
  <c r="BB80" i="1" s="1"/>
  <c r="AW79" i="1"/>
  <c r="BB79" i="1" s="1"/>
  <c r="AW78" i="1"/>
  <c r="BB78" i="1" s="1"/>
  <c r="AW77" i="1"/>
  <c r="BB77" i="1" s="1"/>
  <c r="AW76" i="1"/>
  <c r="BB76" i="1" s="1"/>
  <c r="AW75" i="1"/>
  <c r="BB75" i="1" s="1"/>
  <c r="AW74" i="1"/>
  <c r="BB74" i="1" s="1"/>
  <c r="AW73" i="1"/>
  <c r="BB73" i="1" s="1"/>
  <c r="AW72" i="1"/>
  <c r="BB72" i="1" s="1"/>
  <c r="AW71" i="1"/>
  <c r="BB71" i="1" s="1"/>
  <c r="AW70" i="1"/>
  <c r="BB70" i="1" s="1"/>
  <c r="AW69" i="1"/>
  <c r="BB69" i="1" s="1"/>
  <c r="AW68" i="1"/>
  <c r="BB68" i="1" s="1"/>
  <c r="AW67" i="1"/>
  <c r="BB67" i="1" s="1"/>
  <c r="AW66" i="1"/>
  <c r="BB66" i="1" s="1"/>
  <c r="AW65" i="1"/>
  <c r="BB65" i="1" s="1"/>
  <c r="AW64" i="1"/>
  <c r="BB64" i="1" s="1"/>
  <c r="AW63" i="1"/>
  <c r="BB63" i="1" s="1"/>
  <c r="AW62" i="1"/>
  <c r="BB62" i="1" s="1"/>
  <c r="AW61" i="1"/>
  <c r="BB61" i="1" s="1"/>
  <c r="AW60" i="1"/>
  <c r="BB60" i="1" s="1"/>
  <c r="AW59" i="1"/>
  <c r="BB59" i="1" s="1"/>
  <c r="AW58" i="1"/>
  <c r="BB58" i="1" s="1"/>
  <c r="AW57" i="1"/>
  <c r="BB57" i="1" s="1"/>
  <c r="AW56" i="1"/>
  <c r="BB56" i="1" s="1"/>
  <c r="AW55" i="1"/>
  <c r="BB55" i="1" s="1"/>
  <c r="AW54" i="1"/>
  <c r="BB54" i="1" s="1"/>
  <c r="AW53" i="1"/>
  <c r="BB53" i="1" s="1"/>
  <c r="AW52" i="1"/>
  <c r="BB52" i="1" s="1"/>
  <c r="AW51" i="1"/>
  <c r="BB51" i="1" s="1"/>
  <c r="AW50" i="1"/>
  <c r="BB50" i="1" s="1"/>
  <c r="AW49" i="1"/>
  <c r="BB49" i="1" s="1"/>
  <c r="AW48" i="1"/>
  <c r="BB48" i="1" s="1"/>
  <c r="AW47" i="1"/>
  <c r="BB47" i="1" s="1"/>
  <c r="AW46" i="1"/>
  <c r="BB46" i="1" s="1"/>
  <c r="AW45" i="1"/>
  <c r="BB45" i="1" s="1"/>
  <c r="AW44" i="1"/>
  <c r="BB44" i="1" s="1"/>
  <c r="AW43" i="1"/>
  <c r="BB43" i="1" s="1"/>
  <c r="AW42" i="1"/>
  <c r="BB42" i="1" s="1"/>
  <c r="AW41" i="1"/>
  <c r="BB41" i="1" s="1"/>
  <c r="AW40" i="1"/>
  <c r="BB40" i="1" s="1"/>
  <c r="AW39" i="1"/>
  <c r="BB39" i="1" s="1"/>
  <c r="AW38" i="1"/>
  <c r="BB38" i="1" s="1"/>
  <c r="AW37" i="1"/>
  <c r="BB37" i="1" s="1"/>
  <c r="AW36" i="1"/>
  <c r="BB36" i="1" s="1"/>
  <c r="AW35" i="1"/>
  <c r="BB35" i="1" s="1"/>
  <c r="AW34" i="1"/>
  <c r="BB34" i="1" s="1"/>
  <c r="AW33" i="1"/>
  <c r="BB33" i="1" s="1"/>
  <c r="AW32" i="1"/>
  <c r="BB32" i="1" s="1"/>
  <c r="AW31" i="1"/>
  <c r="BB31" i="1" s="1"/>
  <c r="AW30" i="1"/>
  <c r="BB30" i="1" s="1"/>
  <c r="AW29" i="1"/>
  <c r="BB29" i="1" s="1"/>
  <c r="AW28" i="1"/>
  <c r="BB28" i="1" s="1"/>
  <c r="AW27" i="1"/>
  <c r="BB27" i="1" s="1"/>
  <c r="AW26" i="1"/>
  <c r="BB26" i="1" s="1"/>
  <c r="AW25" i="1"/>
  <c r="BB25" i="1" s="1"/>
  <c r="AW24" i="1"/>
  <c r="BB24" i="1" s="1"/>
  <c r="AW23" i="1"/>
  <c r="BB23" i="1" s="1"/>
  <c r="AW22" i="1"/>
  <c r="BB22" i="1" s="1"/>
  <c r="AW21" i="1"/>
  <c r="BB21" i="1" s="1"/>
  <c r="AW20" i="1"/>
  <c r="BB20" i="1" s="1"/>
  <c r="AW19" i="1"/>
  <c r="BB19" i="1" s="1"/>
  <c r="AW18" i="1"/>
  <c r="BB18" i="1" s="1"/>
  <c r="AW17" i="1"/>
  <c r="BB17" i="1" s="1"/>
  <c r="AW16" i="1"/>
  <c r="BB16" i="1" s="1"/>
  <c r="AW15" i="1"/>
  <c r="BB15" i="1" s="1"/>
  <c r="AW14" i="1"/>
  <c r="BB14" i="1" s="1"/>
  <c r="AW13" i="1"/>
  <c r="BB13" i="1" s="1"/>
  <c r="AW12" i="1"/>
  <c r="BB12" i="1" s="1"/>
  <c r="AW11" i="1"/>
  <c r="BB11" i="1" s="1"/>
  <c r="AW10" i="1"/>
  <c r="BB10" i="1" s="1"/>
  <c r="AW9" i="1"/>
  <c r="BB9" i="1" s="1"/>
  <c r="AW8" i="1"/>
  <c r="BB8" i="1" s="1"/>
  <c r="AW7" i="1"/>
  <c r="BB7" i="1" s="1"/>
  <c r="AW6" i="1"/>
  <c r="BB6" i="1" s="1"/>
  <c r="AW5" i="1"/>
  <c r="BB5" i="1" s="1"/>
  <c r="AW4" i="1"/>
  <c r="BB4" i="1" s="1"/>
  <c r="AW3" i="1"/>
  <c r="BB3" i="1" s="1"/>
  <c r="AW2" i="1"/>
  <c r="BB2" i="1" s="1"/>
  <c r="AD46" i="1"/>
  <c r="AE38" i="1"/>
  <c r="AD38" i="1"/>
  <c r="AD39" i="1" s="1"/>
  <c r="AE39" i="1" s="1"/>
  <c r="BC182" i="1" l="1"/>
  <c r="BC178" i="1"/>
  <c r="BC174" i="1"/>
  <c r="BC172" i="1"/>
  <c r="BC170" i="1"/>
  <c r="BC168" i="1"/>
  <c r="BC166" i="1"/>
  <c r="BC162" i="1"/>
  <c r="BC161" i="1"/>
  <c r="BC158" i="1"/>
  <c r="BC154" i="1"/>
  <c r="BC152" i="1"/>
  <c r="BC150" i="1"/>
  <c r="BC146" i="1"/>
  <c r="BC144" i="1"/>
  <c r="BC142" i="1"/>
  <c r="BC138" i="1"/>
  <c r="BC134" i="1"/>
  <c r="BC132" i="1"/>
  <c r="BC130" i="1"/>
  <c r="BC129" i="1"/>
  <c r="BC126" i="1"/>
  <c r="BC122" i="1"/>
  <c r="BC120" i="1"/>
  <c r="BC110" i="1"/>
  <c r="BC106" i="1"/>
  <c r="BC104" i="1"/>
  <c r="BC100" i="1"/>
  <c r="BC97" i="1"/>
  <c r="BC94" i="1"/>
  <c r="BC90" i="1"/>
  <c r="BC88" i="1"/>
  <c r="BC82" i="1"/>
  <c r="BC80" i="1"/>
  <c r="BC78" i="1"/>
  <c r="BC74" i="1"/>
  <c r="BC73" i="1"/>
  <c r="BC72" i="1"/>
  <c r="BC68" i="1"/>
  <c r="BC62" i="1"/>
  <c r="BC58" i="1"/>
  <c r="BC56" i="1"/>
  <c r="BC52" i="1"/>
  <c r="BC46" i="1"/>
  <c r="BC42" i="1"/>
  <c r="BC41" i="1"/>
  <c r="BC36" i="1"/>
  <c r="BC26" i="1"/>
  <c r="BC18" i="1"/>
  <c r="BC12" i="1"/>
  <c r="BC9" i="1"/>
  <c r="BC8" i="1"/>
  <c r="BC4" i="1"/>
  <c r="BC24" i="1"/>
  <c r="BC136" i="1"/>
  <c r="BC116" i="1"/>
  <c r="BC17" i="1"/>
  <c r="BC21" i="1"/>
  <c r="BC25" i="1"/>
  <c r="BC29" i="1"/>
  <c r="BC33" i="1"/>
  <c r="BC37" i="1"/>
  <c r="BC45" i="1"/>
  <c r="BC53" i="1"/>
  <c r="BC57" i="1"/>
  <c r="BC61" i="1"/>
  <c r="BC65" i="1"/>
  <c r="BC69" i="1"/>
  <c r="BC77" i="1"/>
  <c r="BC81" i="1"/>
  <c r="BC85" i="1"/>
  <c r="BC89" i="1"/>
  <c r="BC93" i="1"/>
  <c r="BC101" i="1"/>
  <c r="BC105" i="1"/>
  <c r="BC109" i="1"/>
  <c r="BC113" i="1"/>
  <c r="BC117" i="1"/>
  <c r="BC121" i="1"/>
  <c r="BC125" i="1"/>
  <c r="BC133" i="1"/>
  <c r="BC137" i="1"/>
  <c r="BC141" i="1"/>
  <c r="BC145" i="1"/>
  <c r="BC149" i="1"/>
  <c r="BC153" i="1"/>
  <c r="BC157" i="1"/>
  <c r="BC165" i="1"/>
  <c r="BC169" i="1"/>
  <c r="BC173" i="1"/>
  <c r="BC177" i="1"/>
  <c r="BC181" i="1"/>
  <c r="BC96" i="1"/>
  <c r="BC5" i="1"/>
  <c r="BC13" i="1"/>
  <c r="BC49" i="1"/>
  <c r="BC84" i="1"/>
  <c r="BC148" i="1"/>
  <c r="BC14" i="1"/>
  <c r="BC86" i="1"/>
  <c r="BC20" i="1"/>
  <c r="BC48" i="1"/>
  <c r="BC112" i="1"/>
  <c r="BC180" i="1"/>
  <c r="BC22" i="1"/>
  <c r="BC30" i="1"/>
  <c r="BC38" i="1"/>
  <c r="BC54" i="1"/>
  <c r="BC70" i="1"/>
  <c r="BC102" i="1"/>
  <c r="BC118" i="1"/>
  <c r="BC160" i="1"/>
  <c r="BC64" i="1"/>
  <c r="BC164" i="1"/>
  <c r="BC6" i="1"/>
  <c r="BC10" i="1"/>
  <c r="BC92" i="1"/>
  <c r="BC124" i="1"/>
  <c r="BC176" i="1"/>
  <c r="BC7" i="1"/>
  <c r="BC11" i="1"/>
  <c r="BC15" i="1"/>
  <c r="BC19" i="1"/>
  <c r="BC23" i="1"/>
  <c r="BC27" i="1"/>
  <c r="BC35" i="1"/>
  <c r="BC39" i="1"/>
  <c r="BC43" i="1"/>
  <c r="BC47" i="1"/>
  <c r="BC51" i="1"/>
  <c r="BC55" i="1"/>
  <c r="BC59" i="1"/>
  <c r="BC63" i="1"/>
  <c r="BC67" i="1"/>
  <c r="BC71" i="1"/>
  <c r="BC75" i="1"/>
  <c r="BC79" i="1"/>
  <c r="BC83" i="1"/>
  <c r="BC87" i="1"/>
  <c r="BC91" i="1"/>
  <c r="BC95" i="1"/>
  <c r="BC99" i="1"/>
  <c r="BC103" i="1"/>
  <c r="BC107" i="1"/>
  <c r="BC111" i="1"/>
  <c r="BC115" i="1"/>
  <c r="BC119" i="1"/>
  <c r="BC123" i="1"/>
  <c r="BC127" i="1"/>
  <c r="BC131" i="1"/>
  <c r="BC135" i="1"/>
  <c r="BC139" i="1"/>
  <c r="BC143" i="1"/>
  <c r="BC147" i="1"/>
  <c r="BC151" i="1"/>
  <c r="BC155" i="1"/>
  <c r="BC159" i="1"/>
  <c r="BC163" i="1"/>
  <c r="BC167" i="1"/>
  <c r="BC171" i="1"/>
  <c r="BC175" i="1"/>
  <c r="BC179" i="1"/>
  <c r="BC32" i="1"/>
  <c r="BC128" i="1"/>
  <c r="BC16" i="1"/>
  <c r="BC44" i="1"/>
  <c r="BC60" i="1"/>
  <c r="BC108" i="1"/>
  <c r="BC31" i="1"/>
  <c r="BC28" i="1"/>
  <c r="BC34" i="1"/>
  <c r="BC40" i="1"/>
  <c r="BC50" i="1"/>
  <c r="BC66" i="1"/>
  <c r="BC76" i="1"/>
  <c r="BC98" i="1"/>
  <c r="BC114" i="1"/>
  <c r="BC140" i="1"/>
  <c r="BC156" i="1"/>
  <c r="BC2" i="1"/>
  <c r="AY3" i="1"/>
  <c r="BD3" i="1" s="1"/>
  <c r="BC3" i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BD2" i="1" l="1"/>
  <c r="U15" i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L105" i="1" s="1"/>
  <c r="F28" i="1"/>
  <c r="H27" i="1" s="1"/>
  <c r="I27" i="1" s="1"/>
  <c r="C17" i="1"/>
  <c r="C106" i="1" s="1"/>
  <c r="J106" i="1" s="1"/>
  <c r="L106" i="1" s="1"/>
  <c r="C18" i="1"/>
  <c r="C107" i="1" s="1"/>
  <c r="J107" i="1" s="1"/>
  <c r="L107" i="1" s="1"/>
  <c r="C19" i="1"/>
  <c r="C108" i="1" s="1"/>
  <c r="J108" i="1" s="1"/>
  <c r="L108" i="1" s="1"/>
  <c r="C20" i="1"/>
  <c r="C109" i="1" s="1"/>
  <c r="J109" i="1" s="1"/>
  <c r="L109" i="1" s="1"/>
  <c r="C21" i="1"/>
  <c r="C110" i="1" s="1"/>
  <c r="J110" i="1" s="1"/>
  <c r="L110" i="1" s="1"/>
  <c r="C22" i="1"/>
  <c r="C111" i="1" s="1"/>
  <c r="J111" i="1" s="1"/>
  <c r="L111" i="1" s="1"/>
  <c r="C23" i="1"/>
  <c r="C112" i="1" s="1"/>
  <c r="J112" i="1" s="1"/>
  <c r="L112" i="1" s="1"/>
  <c r="C24" i="1"/>
  <c r="C113" i="1" s="1"/>
  <c r="J113" i="1" s="1"/>
  <c r="L113" i="1" s="1"/>
  <c r="K110" i="1" l="1"/>
  <c r="K113" i="1"/>
  <c r="K106" i="1"/>
  <c r="K109" i="1"/>
  <c r="K111" i="1"/>
  <c r="K107" i="1"/>
  <c r="K105" i="1"/>
  <c r="K112" i="1"/>
  <c r="K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E4" i="1"/>
  <c r="B4" i="1"/>
  <c r="B29" i="1" s="1"/>
  <c r="B3" i="1"/>
  <c r="G112" i="1" l="1"/>
  <c r="G113" i="1"/>
  <c r="G106" i="1"/>
  <c r="F8" i="1"/>
  <c r="G107" i="1"/>
  <c r="E92" i="1"/>
  <c r="G105" i="1"/>
  <c r="G109" i="1"/>
  <c r="D91" i="1"/>
  <c r="C91" i="1"/>
  <c r="E91" i="1"/>
  <c r="G110" i="1"/>
  <c r="G108" i="1"/>
  <c r="G111" i="1"/>
  <c r="E5" i="1"/>
  <c r="G4" i="1"/>
  <c r="F6" i="1"/>
  <c r="G5" i="1"/>
  <c r="E7" i="1"/>
  <c r="A94" i="1" s="1"/>
  <c r="E8" i="1" l="1"/>
  <c r="A95" i="1" s="1"/>
  <c r="E95" i="1" s="1"/>
  <c r="F9" i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J104" i="1"/>
  <c r="F104" i="1"/>
  <c r="C62" i="1"/>
  <c r="C25" i="1"/>
  <c r="D25" i="1" s="1"/>
  <c r="F114" i="1" l="1"/>
  <c r="B115" i="1" s="1"/>
  <c r="B127" i="1" s="1"/>
  <c r="H104" i="1"/>
  <c r="H114" i="1" s="1"/>
  <c r="J114" i="1"/>
  <c r="J115" i="1" s="1"/>
  <c r="D127" i="1" s="1"/>
  <c r="L104" i="1"/>
  <c r="L114" i="1" s="1"/>
  <c r="J117" i="1" s="1"/>
  <c r="D99" i="1"/>
  <c r="B102" i="1" s="1"/>
  <c r="E99" i="1"/>
  <c r="B101" i="1" s="1"/>
  <c r="K104" i="1"/>
  <c r="K114" i="1" s="1"/>
  <c r="J116" i="1" s="1"/>
  <c r="G104" i="1"/>
  <c r="G114" i="1" s="1"/>
  <c r="D126" i="1" l="1"/>
  <c r="K117" i="1"/>
  <c r="D125" i="1"/>
  <c r="K116" i="1"/>
  <c r="B116" i="1"/>
  <c r="B117" i="1"/>
  <c r="F127" i="1"/>
  <c r="B131" i="1" s="1"/>
  <c r="J119" i="1"/>
  <c r="J120" i="1"/>
  <c r="F126" i="1" l="1"/>
  <c r="C117" i="1"/>
  <c r="B125" i="1"/>
  <c r="C116" i="1"/>
  <c r="F125" i="1"/>
  <c r="B120" i="1"/>
  <c r="B119" i="1"/>
  <c r="B126" i="1"/>
  <c r="B132" i="1" l="1"/>
  <c r="BG5" i="1" s="1"/>
  <c r="BG9" i="1" s="1"/>
  <c r="B133" i="1"/>
  <c r="BH5" i="1" s="1"/>
  <c r="BH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W13" i="1" l="1"/>
  <c r="BW16" i="1" s="1"/>
  <c r="BV13" i="1"/>
  <c r="BV16" i="1" s="1"/>
  <c r="BI16" i="1"/>
  <c r="BI24" i="1"/>
  <c r="BI32" i="1"/>
  <c r="BI40" i="1"/>
  <c r="BI48" i="1"/>
  <c r="BI56" i="1"/>
  <c r="BI64" i="1"/>
  <c r="BI72" i="1"/>
  <c r="BI80" i="1"/>
  <c r="BI88" i="1"/>
  <c r="BI96" i="1"/>
  <c r="BI104" i="1"/>
  <c r="BI112" i="1"/>
  <c r="BI120" i="1"/>
  <c r="BI128" i="1"/>
  <c r="BI136" i="1"/>
  <c r="BI144" i="1"/>
  <c r="BI152" i="1"/>
  <c r="BI160" i="1"/>
  <c r="BI168" i="1"/>
  <c r="BI176" i="1"/>
  <c r="BI184" i="1"/>
  <c r="BI192" i="1"/>
  <c r="BI200" i="1"/>
  <c r="BI208" i="1"/>
  <c r="BI216" i="1"/>
  <c r="BI224" i="1"/>
  <c r="BI232" i="1"/>
  <c r="BI240" i="1"/>
  <c r="BI248" i="1"/>
  <c r="BI256" i="1"/>
  <c r="BI264" i="1"/>
  <c r="BI272" i="1"/>
  <c r="BI280" i="1"/>
  <c r="BI288" i="1"/>
  <c r="BI296" i="1"/>
  <c r="BI304" i="1"/>
  <c r="BI312" i="1"/>
  <c r="BI320" i="1"/>
  <c r="BI328" i="1"/>
  <c r="BI336" i="1"/>
  <c r="BI344" i="1"/>
  <c r="BI352" i="1"/>
  <c r="BI360" i="1"/>
  <c r="BI368" i="1"/>
  <c r="BI17" i="1"/>
  <c r="BI25" i="1"/>
  <c r="BI33" i="1"/>
  <c r="BI41" i="1"/>
  <c r="BI49" i="1"/>
  <c r="BI57" i="1"/>
  <c r="BI65" i="1"/>
  <c r="BI73" i="1"/>
  <c r="BI81" i="1"/>
  <c r="BI89" i="1"/>
  <c r="BI97" i="1"/>
  <c r="BI105" i="1"/>
  <c r="BI113" i="1"/>
  <c r="BI121" i="1"/>
  <c r="BI129" i="1"/>
  <c r="BI137" i="1"/>
  <c r="BI145" i="1"/>
  <c r="BI153" i="1"/>
  <c r="BI161" i="1"/>
  <c r="BI169" i="1"/>
  <c r="BI177" i="1"/>
  <c r="BI185" i="1"/>
  <c r="BI193" i="1"/>
  <c r="BI201" i="1"/>
  <c r="BI209" i="1"/>
  <c r="BI217" i="1"/>
  <c r="BI225" i="1"/>
  <c r="BI233" i="1"/>
  <c r="BI241" i="1"/>
  <c r="BI249" i="1"/>
  <c r="BI257" i="1"/>
  <c r="BI265" i="1"/>
  <c r="BI273" i="1"/>
  <c r="BI281" i="1"/>
  <c r="BI289" i="1"/>
  <c r="BI297" i="1"/>
  <c r="BI305" i="1"/>
  <c r="BI313" i="1"/>
  <c r="BI321" i="1"/>
  <c r="BI329" i="1"/>
  <c r="BI18" i="1"/>
  <c r="BI26" i="1"/>
  <c r="BI34" i="1"/>
  <c r="BI42" i="1"/>
  <c r="BI50" i="1"/>
  <c r="BI58" i="1"/>
  <c r="BI66" i="1"/>
  <c r="BI74" i="1"/>
  <c r="BI82" i="1"/>
  <c r="BI90" i="1"/>
  <c r="BI98" i="1"/>
  <c r="BI106" i="1"/>
  <c r="BI114" i="1"/>
  <c r="BI122" i="1"/>
  <c r="BI130" i="1"/>
  <c r="BI138" i="1"/>
  <c r="BI146" i="1"/>
  <c r="BI154" i="1"/>
  <c r="BI162" i="1"/>
  <c r="BI170" i="1"/>
  <c r="BI178" i="1"/>
  <c r="BI186" i="1"/>
  <c r="BI194" i="1"/>
  <c r="BI202" i="1"/>
  <c r="BI210" i="1"/>
  <c r="BI218" i="1"/>
  <c r="BI226" i="1"/>
  <c r="BI234" i="1"/>
  <c r="BI242" i="1"/>
  <c r="BI250" i="1"/>
  <c r="BI258" i="1"/>
  <c r="BI266" i="1"/>
  <c r="BI274" i="1"/>
  <c r="BI282" i="1"/>
  <c r="BI290" i="1"/>
  <c r="BI298" i="1"/>
  <c r="BI306" i="1"/>
  <c r="BI314" i="1"/>
  <c r="BI322" i="1"/>
  <c r="BI330" i="1"/>
  <c r="BI338" i="1"/>
  <c r="BI346" i="1"/>
  <c r="BI354" i="1"/>
  <c r="BI362" i="1"/>
  <c r="BI370" i="1"/>
  <c r="BI28" i="1"/>
  <c r="BI44" i="1"/>
  <c r="BI60" i="1"/>
  <c r="BI76" i="1"/>
  <c r="BI92" i="1"/>
  <c r="BI108" i="1"/>
  <c r="BI124" i="1"/>
  <c r="BI140" i="1"/>
  <c r="BI156" i="1"/>
  <c r="BI172" i="1"/>
  <c r="BI188" i="1"/>
  <c r="BI204" i="1"/>
  <c r="BI228" i="1"/>
  <c r="BI252" i="1"/>
  <c r="BI268" i="1"/>
  <c r="BI284" i="1"/>
  <c r="BI300" i="1"/>
  <c r="BI324" i="1"/>
  <c r="BI340" i="1"/>
  <c r="BI364" i="1"/>
  <c r="BI21" i="1"/>
  <c r="BI37" i="1"/>
  <c r="BI53" i="1"/>
  <c r="BI69" i="1"/>
  <c r="BI85" i="1"/>
  <c r="BI101" i="1"/>
  <c r="BI109" i="1"/>
  <c r="BI125" i="1"/>
  <c r="BI141" i="1"/>
  <c r="BI157" i="1"/>
  <c r="BI165" i="1"/>
  <c r="BI181" i="1"/>
  <c r="BI205" i="1"/>
  <c r="BI221" i="1"/>
  <c r="BI237" i="1"/>
  <c r="BI253" i="1"/>
  <c r="BI19" i="1"/>
  <c r="BI27" i="1"/>
  <c r="BI35" i="1"/>
  <c r="BI43" i="1"/>
  <c r="BI51" i="1"/>
  <c r="BI59" i="1"/>
  <c r="BI67" i="1"/>
  <c r="BI75" i="1"/>
  <c r="BI83" i="1"/>
  <c r="BI91" i="1"/>
  <c r="BI99" i="1"/>
  <c r="BI107" i="1"/>
  <c r="BI115" i="1"/>
  <c r="BI123" i="1"/>
  <c r="BI131" i="1"/>
  <c r="BI139" i="1"/>
  <c r="BI147" i="1"/>
  <c r="BI155" i="1"/>
  <c r="BI163" i="1"/>
  <c r="BI171" i="1"/>
  <c r="BI179" i="1"/>
  <c r="BI187" i="1"/>
  <c r="BI195" i="1"/>
  <c r="BI203" i="1"/>
  <c r="BI211" i="1"/>
  <c r="BI219" i="1"/>
  <c r="BI227" i="1"/>
  <c r="BI235" i="1"/>
  <c r="BI243" i="1"/>
  <c r="BI251" i="1"/>
  <c r="BI259" i="1"/>
  <c r="BI267" i="1"/>
  <c r="BI275" i="1"/>
  <c r="BI283" i="1"/>
  <c r="BI291" i="1"/>
  <c r="BI299" i="1"/>
  <c r="BI307" i="1"/>
  <c r="BI315" i="1"/>
  <c r="BI323" i="1"/>
  <c r="BI331" i="1"/>
  <c r="BI339" i="1"/>
  <c r="BI347" i="1"/>
  <c r="BI355" i="1"/>
  <c r="BI363" i="1"/>
  <c r="BI371" i="1"/>
  <c r="BI20" i="1"/>
  <c r="BI36" i="1"/>
  <c r="BI52" i="1"/>
  <c r="BI68" i="1"/>
  <c r="BI84" i="1"/>
  <c r="BI100" i="1"/>
  <c r="BI116" i="1"/>
  <c r="BI132" i="1"/>
  <c r="BI148" i="1"/>
  <c r="BI164" i="1"/>
  <c r="BI180" i="1"/>
  <c r="BI196" i="1"/>
  <c r="BI212" i="1"/>
  <c r="BI220" i="1"/>
  <c r="BI236" i="1"/>
  <c r="BI244" i="1"/>
  <c r="BI260" i="1"/>
  <c r="BI276" i="1"/>
  <c r="BI292" i="1"/>
  <c r="BI308" i="1"/>
  <c r="BI316" i="1"/>
  <c r="BI332" i="1"/>
  <c r="BI348" i="1"/>
  <c r="BI356" i="1"/>
  <c r="BI372" i="1"/>
  <c r="BI29" i="1"/>
  <c r="BI45" i="1"/>
  <c r="BI61" i="1"/>
  <c r="BI77" i="1"/>
  <c r="BI93" i="1"/>
  <c r="BI117" i="1"/>
  <c r="BI133" i="1"/>
  <c r="BI149" i="1"/>
  <c r="BI173" i="1"/>
  <c r="BI189" i="1"/>
  <c r="BI197" i="1"/>
  <c r="BI213" i="1"/>
  <c r="BI229" i="1"/>
  <c r="BI245" i="1"/>
  <c r="BI261" i="1"/>
  <c r="BI30" i="1"/>
  <c r="BI62" i="1"/>
  <c r="BI94" i="1"/>
  <c r="BI126" i="1"/>
  <c r="BI158" i="1"/>
  <c r="BI190" i="1"/>
  <c r="BI222" i="1"/>
  <c r="BI254" i="1"/>
  <c r="BI278" i="1"/>
  <c r="BI301" i="1"/>
  <c r="BI319" i="1"/>
  <c r="BI341" i="1"/>
  <c r="BI357" i="1"/>
  <c r="BI373" i="1"/>
  <c r="BI111" i="1"/>
  <c r="BI86" i="1"/>
  <c r="BI182" i="1"/>
  <c r="BI271" i="1"/>
  <c r="BI335" i="1"/>
  <c r="BI55" i="1"/>
  <c r="BI119" i="1"/>
  <c r="BI183" i="1"/>
  <c r="BI295" i="1"/>
  <c r="BI31" i="1"/>
  <c r="BI63" i="1"/>
  <c r="BI95" i="1"/>
  <c r="BI127" i="1"/>
  <c r="BI159" i="1"/>
  <c r="BI191" i="1"/>
  <c r="BI223" i="1"/>
  <c r="BI255" i="1"/>
  <c r="BI279" i="1"/>
  <c r="BI302" i="1"/>
  <c r="BI325" i="1"/>
  <c r="BI342" i="1"/>
  <c r="BI358" i="1"/>
  <c r="BI374" i="1"/>
  <c r="BI39" i="1"/>
  <c r="BI103" i="1"/>
  <c r="BI135" i="1"/>
  <c r="BI167" i="1"/>
  <c r="BI231" i="1"/>
  <c r="BI263" i="1"/>
  <c r="BI309" i="1"/>
  <c r="BI345" i="1"/>
  <c r="BI46" i="1"/>
  <c r="BI110" i="1"/>
  <c r="BI206" i="1"/>
  <c r="BI269" i="1"/>
  <c r="BI310" i="1"/>
  <c r="BI365" i="1"/>
  <c r="BI79" i="1"/>
  <c r="BI175" i="1"/>
  <c r="BI239" i="1"/>
  <c r="BI293" i="1"/>
  <c r="BI311" i="1"/>
  <c r="BI350" i="1"/>
  <c r="BI22" i="1"/>
  <c r="BI150" i="1"/>
  <c r="BI246" i="1"/>
  <c r="BI317" i="1"/>
  <c r="BI367" i="1"/>
  <c r="BI87" i="1"/>
  <c r="BI151" i="1"/>
  <c r="BI247" i="1"/>
  <c r="BI277" i="1"/>
  <c r="BI318" i="1"/>
  <c r="BI353" i="1"/>
  <c r="BI369" i="1"/>
  <c r="BI38" i="1"/>
  <c r="BI70" i="1"/>
  <c r="BI102" i="1"/>
  <c r="BI134" i="1"/>
  <c r="BI166" i="1"/>
  <c r="BI198" i="1"/>
  <c r="BI230" i="1"/>
  <c r="BI262" i="1"/>
  <c r="BI285" i="1"/>
  <c r="BI303" i="1"/>
  <c r="BI326" i="1"/>
  <c r="BI343" i="1"/>
  <c r="BI359" i="1"/>
  <c r="BI375" i="1"/>
  <c r="BI71" i="1"/>
  <c r="BI199" i="1"/>
  <c r="BI286" i="1"/>
  <c r="BI327" i="1"/>
  <c r="BI361" i="1"/>
  <c r="BI78" i="1"/>
  <c r="BI142" i="1"/>
  <c r="BI174" i="1"/>
  <c r="BI238" i="1"/>
  <c r="BI287" i="1"/>
  <c r="BI333" i="1"/>
  <c r="BI349" i="1"/>
  <c r="BI47" i="1"/>
  <c r="BI143" i="1"/>
  <c r="BI207" i="1"/>
  <c r="BI270" i="1"/>
  <c r="BI334" i="1"/>
  <c r="BI366" i="1"/>
  <c r="BI54" i="1"/>
  <c r="BI118" i="1"/>
  <c r="BI214" i="1"/>
  <c r="BI294" i="1"/>
  <c r="BI351" i="1"/>
  <c r="BI23" i="1"/>
  <c r="BI215" i="1"/>
  <c r="BI337" i="1"/>
  <c r="BH16" i="1"/>
  <c r="BH24" i="1"/>
  <c r="BH32" i="1"/>
  <c r="BH40" i="1"/>
  <c r="BH48" i="1"/>
  <c r="BH56" i="1"/>
  <c r="BH64" i="1"/>
  <c r="BH72" i="1"/>
  <c r="BH80" i="1"/>
  <c r="BH88" i="1"/>
  <c r="BH96" i="1"/>
  <c r="BH104" i="1"/>
  <c r="BH112" i="1"/>
  <c r="BH120" i="1"/>
  <c r="BH128" i="1"/>
  <c r="BH136" i="1"/>
  <c r="BH144" i="1"/>
  <c r="BH152" i="1"/>
  <c r="BH160" i="1"/>
  <c r="BH168" i="1"/>
  <c r="BH176" i="1"/>
  <c r="BH184" i="1"/>
  <c r="BH192" i="1"/>
  <c r="BH200" i="1"/>
  <c r="BH208" i="1"/>
  <c r="BH216" i="1"/>
  <c r="BH224" i="1"/>
  <c r="BH232" i="1"/>
  <c r="BH240" i="1"/>
  <c r="BH248" i="1"/>
  <c r="BH256" i="1"/>
  <c r="BH264" i="1"/>
  <c r="BH272" i="1"/>
  <c r="BH280" i="1"/>
  <c r="BH288" i="1"/>
  <c r="BH296" i="1"/>
  <c r="BH304" i="1"/>
  <c r="BH312" i="1"/>
  <c r="BH320" i="1"/>
  <c r="BH328" i="1"/>
  <c r="BH336" i="1"/>
  <c r="BH344" i="1"/>
  <c r="BH352" i="1"/>
  <c r="BH360" i="1"/>
  <c r="BH368" i="1"/>
  <c r="BH211" i="1"/>
  <c r="BH315" i="1"/>
  <c r="BH371" i="1"/>
  <c r="BH20" i="1"/>
  <c r="BH44" i="1"/>
  <c r="BH52" i="1"/>
  <c r="BH60" i="1"/>
  <c r="BH76" i="1"/>
  <c r="BH92" i="1"/>
  <c r="BH116" i="1"/>
  <c r="BH132" i="1"/>
  <c r="BH17" i="1"/>
  <c r="BH25" i="1"/>
  <c r="BH33" i="1"/>
  <c r="BH41" i="1"/>
  <c r="BH49" i="1"/>
  <c r="BH57" i="1"/>
  <c r="BH65" i="1"/>
  <c r="BH73" i="1"/>
  <c r="BH81" i="1"/>
  <c r="BH89" i="1"/>
  <c r="BH97" i="1"/>
  <c r="BH105" i="1"/>
  <c r="BH113" i="1"/>
  <c r="BH121" i="1"/>
  <c r="BH129" i="1"/>
  <c r="BH137" i="1"/>
  <c r="BH145" i="1"/>
  <c r="BH153" i="1"/>
  <c r="BH161" i="1"/>
  <c r="BH169" i="1"/>
  <c r="BH177" i="1"/>
  <c r="BH185" i="1"/>
  <c r="BH193" i="1"/>
  <c r="BH201" i="1"/>
  <c r="BH209" i="1"/>
  <c r="BH217" i="1"/>
  <c r="BH225" i="1"/>
  <c r="BH233" i="1"/>
  <c r="BH241" i="1"/>
  <c r="BH249" i="1"/>
  <c r="BH257" i="1"/>
  <c r="BH265" i="1"/>
  <c r="BH273" i="1"/>
  <c r="BH281" i="1"/>
  <c r="BH289" i="1"/>
  <c r="BH297" i="1"/>
  <c r="BH305" i="1"/>
  <c r="BH313" i="1"/>
  <c r="BH321" i="1"/>
  <c r="BH329" i="1"/>
  <c r="BH337" i="1"/>
  <c r="BH345" i="1"/>
  <c r="BH353" i="1"/>
  <c r="BH361" i="1"/>
  <c r="BH369" i="1"/>
  <c r="BH186" i="1"/>
  <c r="BH282" i="1"/>
  <c r="BH306" i="1"/>
  <c r="BH330" i="1"/>
  <c r="BH346" i="1"/>
  <c r="BH354" i="1"/>
  <c r="BH370" i="1"/>
  <c r="BH19" i="1"/>
  <c r="BH35" i="1"/>
  <c r="BH43" i="1"/>
  <c r="BH51" i="1"/>
  <c r="BH59" i="1"/>
  <c r="BH67" i="1"/>
  <c r="BH75" i="1"/>
  <c r="BH83" i="1"/>
  <c r="BH91" i="1"/>
  <c r="BH99" i="1"/>
  <c r="BH107" i="1"/>
  <c r="BH123" i="1"/>
  <c r="BH131" i="1"/>
  <c r="BH139" i="1"/>
  <c r="BH155" i="1"/>
  <c r="BH163" i="1"/>
  <c r="BH179" i="1"/>
  <c r="BH187" i="1"/>
  <c r="BH195" i="1"/>
  <c r="BH219" i="1"/>
  <c r="BH235" i="1"/>
  <c r="BH243" i="1"/>
  <c r="BH259" i="1"/>
  <c r="BH267" i="1"/>
  <c r="BH283" i="1"/>
  <c r="BH291" i="1"/>
  <c r="BH307" i="1"/>
  <c r="BH323" i="1"/>
  <c r="BH339" i="1"/>
  <c r="BH347" i="1"/>
  <c r="BH355" i="1"/>
  <c r="BH36" i="1"/>
  <c r="BH100" i="1"/>
  <c r="BH18" i="1"/>
  <c r="BH26" i="1"/>
  <c r="BH34" i="1"/>
  <c r="BH42" i="1"/>
  <c r="BH50" i="1"/>
  <c r="BH58" i="1"/>
  <c r="BH66" i="1"/>
  <c r="BH74" i="1"/>
  <c r="BH82" i="1"/>
  <c r="BH90" i="1"/>
  <c r="BH98" i="1"/>
  <c r="BH106" i="1"/>
  <c r="BH114" i="1"/>
  <c r="BH122" i="1"/>
  <c r="BH130" i="1"/>
  <c r="BH138" i="1"/>
  <c r="BH146" i="1"/>
  <c r="BH154" i="1"/>
  <c r="BH162" i="1"/>
  <c r="BH170" i="1"/>
  <c r="BH178" i="1"/>
  <c r="BH194" i="1"/>
  <c r="BH202" i="1"/>
  <c r="BH210" i="1"/>
  <c r="BH218" i="1"/>
  <c r="BH226" i="1"/>
  <c r="BH234" i="1"/>
  <c r="BH242" i="1"/>
  <c r="BH250" i="1"/>
  <c r="BH258" i="1"/>
  <c r="BH266" i="1"/>
  <c r="BH274" i="1"/>
  <c r="BH290" i="1"/>
  <c r="BH298" i="1"/>
  <c r="BH314" i="1"/>
  <c r="BH322" i="1"/>
  <c r="BH338" i="1"/>
  <c r="BH362" i="1"/>
  <c r="BH27" i="1"/>
  <c r="BH115" i="1"/>
  <c r="BH147" i="1"/>
  <c r="BH171" i="1"/>
  <c r="BH203" i="1"/>
  <c r="BH227" i="1"/>
  <c r="BH251" i="1"/>
  <c r="BH275" i="1"/>
  <c r="BH299" i="1"/>
  <c r="BH331" i="1"/>
  <c r="BH363" i="1"/>
  <c r="BH28" i="1"/>
  <c r="BH68" i="1"/>
  <c r="BH84" i="1"/>
  <c r="BH108" i="1"/>
  <c r="BH124" i="1"/>
  <c r="BH21" i="1"/>
  <c r="BH39" i="1"/>
  <c r="BH62" i="1"/>
  <c r="BH85" i="1"/>
  <c r="BH103" i="1"/>
  <c r="BH126" i="1"/>
  <c r="BH143" i="1"/>
  <c r="BH159" i="1"/>
  <c r="BH175" i="1"/>
  <c r="BH191" i="1"/>
  <c r="BH207" i="1"/>
  <c r="BH223" i="1"/>
  <c r="BH239" i="1"/>
  <c r="BH255" i="1"/>
  <c r="BH271" i="1"/>
  <c r="BH287" i="1"/>
  <c r="BH303" i="1"/>
  <c r="BH319" i="1"/>
  <c r="BH335" i="1"/>
  <c r="BH351" i="1"/>
  <c r="BH367" i="1"/>
  <c r="BH22" i="1"/>
  <c r="BH127" i="1"/>
  <c r="BH164" i="1"/>
  <c r="BH180" i="1"/>
  <c r="BH212" i="1"/>
  <c r="BH244" i="1"/>
  <c r="BH260" i="1"/>
  <c r="BH308" i="1"/>
  <c r="BH356" i="1"/>
  <c r="BH118" i="1"/>
  <c r="BH252" i="1"/>
  <c r="BH300" i="1"/>
  <c r="BH348" i="1"/>
  <c r="BH55" i="1"/>
  <c r="BH141" i="1"/>
  <c r="BH189" i="1"/>
  <c r="BH253" i="1"/>
  <c r="BH317" i="1"/>
  <c r="BH45" i="1"/>
  <c r="BH63" i="1"/>
  <c r="BH86" i="1"/>
  <c r="BH109" i="1"/>
  <c r="BH148" i="1"/>
  <c r="BH196" i="1"/>
  <c r="BH228" i="1"/>
  <c r="BH276" i="1"/>
  <c r="BH292" i="1"/>
  <c r="BH324" i="1"/>
  <c r="BH340" i="1"/>
  <c r="BH372" i="1"/>
  <c r="BH172" i="1"/>
  <c r="BH332" i="1"/>
  <c r="BH37" i="1"/>
  <c r="BH101" i="1"/>
  <c r="BH119" i="1"/>
  <c r="BH173" i="1"/>
  <c r="BH221" i="1"/>
  <c r="BH285" i="1"/>
  <c r="BH349" i="1"/>
  <c r="BH23" i="1"/>
  <c r="BH46" i="1"/>
  <c r="BH69" i="1"/>
  <c r="BH87" i="1"/>
  <c r="BH110" i="1"/>
  <c r="BH133" i="1"/>
  <c r="BH149" i="1"/>
  <c r="BH165" i="1"/>
  <c r="BH181" i="1"/>
  <c r="BH197" i="1"/>
  <c r="BH213" i="1"/>
  <c r="BH229" i="1"/>
  <c r="BH245" i="1"/>
  <c r="BH261" i="1"/>
  <c r="BH277" i="1"/>
  <c r="BH293" i="1"/>
  <c r="BH309" i="1"/>
  <c r="BH325" i="1"/>
  <c r="BH341" i="1"/>
  <c r="BH357" i="1"/>
  <c r="BH373" i="1"/>
  <c r="BH29" i="1"/>
  <c r="BH47" i="1"/>
  <c r="BH70" i="1"/>
  <c r="BH93" i="1"/>
  <c r="BH111" i="1"/>
  <c r="BH134" i="1"/>
  <c r="BH150" i="1"/>
  <c r="BH166" i="1"/>
  <c r="BH182" i="1"/>
  <c r="BH198" i="1"/>
  <c r="BH214" i="1"/>
  <c r="BH230" i="1"/>
  <c r="BH246" i="1"/>
  <c r="BH262" i="1"/>
  <c r="BH278" i="1"/>
  <c r="BH294" i="1"/>
  <c r="BH310" i="1"/>
  <c r="BH326" i="1"/>
  <c r="BH342" i="1"/>
  <c r="BH358" i="1"/>
  <c r="BH374" i="1"/>
  <c r="BH30" i="1"/>
  <c r="BH53" i="1"/>
  <c r="BH71" i="1"/>
  <c r="BH94" i="1"/>
  <c r="BH117" i="1"/>
  <c r="BH135" i="1"/>
  <c r="BH151" i="1"/>
  <c r="BH167" i="1"/>
  <c r="BH183" i="1"/>
  <c r="BH199" i="1"/>
  <c r="BH215" i="1"/>
  <c r="BH231" i="1"/>
  <c r="BH247" i="1"/>
  <c r="BH263" i="1"/>
  <c r="BH279" i="1"/>
  <c r="BH295" i="1"/>
  <c r="BH311" i="1"/>
  <c r="BH327" i="1"/>
  <c r="BH343" i="1"/>
  <c r="BH359" i="1"/>
  <c r="BH375" i="1"/>
  <c r="BH31" i="1"/>
  <c r="BH54" i="1"/>
  <c r="BH77" i="1"/>
  <c r="BH95" i="1"/>
  <c r="BH140" i="1"/>
  <c r="BH156" i="1"/>
  <c r="BH188" i="1"/>
  <c r="BH204" i="1"/>
  <c r="BH220" i="1"/>
  <c r="BH236" i="1"/>
  <c r="BH268" i="1"/>
  <c r="BH284" i="1"/>
  <c r="BH316" i="1"/>
  <c r="BH364" i="1"/>
  <c r="BH78" i="1"/>
  <c r="BH157" i="1"/>
  <c r="BH205" i="1"/>
  <c r="BH237" i="1"/>
  <c r="BH269" i="1"/>
  <c r="BH301" i="1"/>
  <c r="BH333" i="1"/>
  <c r="BH365" i="1"/>
  <c r="BH38" i="1"/>
  <c r="BH190" i="1"/>
  <c r="BH318" i="1"/>
  <c r="BH61" i="1"/>
  <c r="BH206" i="1"/>
  <c r="BH334" i="1"/>
  <c r="BH222" i="1"/>
  <c r="BH102" i="1"/>
  <c r="BH238" i="1"/>
  <c r="BH366" i="1"/>
  <c r="BH125" i="1"/>
  <c r="BH254" i="1"/>
  <c r="BH142" i="1"/>
  <c r="BH270" i="1"/>
  <c r="BH158" i="1"/>
  <c r="BH286" i="1"/>
  <c r="BH174" i="1"/>
  <c r="BH302" i="1"/>
  <c r="BH79" i="1"/>
  <c r="BH350" i="1"/>
  <c r="BI15" i="1"/>
  <c r="BP15" i="1" s="1"/>
  <c r="BH15" i="1"/>
  <c r="BO15" i="1" s="1"/>
  <c r="F65" i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I65" i="1"/>
  <c r="R65" i="1" s="1"/>
  <c r="BQ15" i="1" l="1"/>
  <c r="BS15" i="1" s="1"/>
  <c r="BX16" i="1"/>
  <c r="BY16" i="1" s="1"/>
  <c r="BX13" i="1"/>
  <c r="BY13" i="1" s="1"/>
  <c r="BJ237" i="1"/>
  <c r="BK237" i="1" s="1"/>
  <c r="BJ279" i="1"/>
  <c r="BK279" i="1" s="1"/>
  <c r="BJ93" i="1"/>
  <c r="BK93" i="1" s="1"/>
  <c r="BJ332" i="1"/>
  <c r="BK332" i="1" s="1"/>
  <c r="BJ367" i="1"/>
  <c r="BL367" i="1" s="1"/>
  <c r="BJ103" i="1"/>
  <c r="BL103" i="1" s="1"/>
  <c r="BJ314" i="1"/>
  <c r="BL314" i="1" s="1"/>
  <c r="BJ162" i="1"/>
  <c r="BL162" i="1" s="1"/>
  <c r="BJ323" i="1"/>
  <c r="BK323" i="1" s="1"/>
  <c r="BJ123" i="1"/>
  <c r="BL123" i="1" s="1"/>
  <c r="BJ306" i="1"/>
  <c r="BK306" i="1" s="1"/>
  <c r="BJ265" i="1"/>
  <c r="BL265" i="1" s="1"/>
  <c r="BJ73" i="1"/>
  <c r="BL73" i="1" s="1"/>
  <c r="BJ132" i="1"/>
  <c r="BK132" i="1" s="1"/>
  <c r="BJ371" i="1"/>
  <c r="BK371" i="1" s="1"/>
  <c r="BJ328" i="1"/>
  <c r="BK328" i="1" s="1"/>
  <c r="BJ264" i="1"/>
  <c r="BK264" i="1" s="1"/>
  <c r="BJ200" i="1"/>
  <c r="BK200" i="1" s="1"/>
  <c r="BJ136" i="1"/>
  <c r="BK136" i="1" s="1"/>
  <c r="BJ72" i="1"/>
  <c r="BL72" i="1" s="1"/>
  <c r="BJ79" i="1"/>
  <c r="BL79" i="1" s="1"/>
  <c r="BJ125" i="1"/>
  <c r="BK125" i="1" s="1"/>
  <c r="BJ318" i="1"/>
  <c r="BL318" i="1" s="1"/>
  <c r="BJ205" i="1"/>
  <c r="BL205" i="1" s="1"/>
  <c r="BJ220" i="1"/>
  <c r="BK220" i="1" s="1"/>
  <c r="BJ31" i="1"/>
  <c r="BK31" i="1" s="1"/>
  <c r="BJ263" i="1"/>
  <c r="BL263" i="1" s="1"/>
  <c r="BJ135" i="1"/>
  <c r="BL135" i="1" s="1"/>
  <c r="BJ342" i="1"/>
  <c r="BL342" i="1" s="1"/>
  <c r="BJ214" i="1"/>
  <c r="BK214" i="1" s="1"/>
  <c r="BJ70" i="1"/>
  <c r="BL70" i="1" s="1"/>
  <c r="BJ293" i="1"/>
  <c r="BL293" i="1" s="1"/>
  <c r="BJ165" i="1"/>
  <c r="BK165" i="1" s="1"/>
  <c r="BJ349" i="1"/>
  <c r="BL349" i="1" s="1"/>
  <c r="BJ172" i="1"/>
  <c r="BK172" i="1" s="1"/>
  <c r="BJ148" i="1"/>
  <c r="BK148" i="1" s="1"/>
  <c r="BJ141" i="1"/>
  <c r="BK141" i="1" s="1"/>
  <c r="BJ260" i="1"/>
  <c r="BL260" i="1" s="1"/>
  <c r="BJ351" i="1"/>
  <c r="BK351" i="1" s="1"/>
  <c r="BJ223" i="1"/>
  <c r="BL223" i="1" s="1"/>
  <c r="BJ85" i="1"/>
  <c r="BK85" i="1" s="1"/>
  <c r="BJ28" i="1"/>
  <c r="BK28" i="1" s="1"/>
  <c r="BJ171" i="1"/>
  <c r="BK171" i="1" s="1"/>
  <c r="BJ298" i="1"/>
  <c r="BL298" i="1" s="1"/>
  <c r="BJ154" i="1"/>
  <c r="BL154" i="1" s="1"/>
  <c r="BJ90" i="1"/>
  <c r="BK90" i="1" s="1"/>
  <c r="BJ26" i="1"/>
  <c r="BL26" i="1" s="1"/>
  <c r="BJ307" i="1"/>
  <c r="BK307" i="1" s="1"/>
  <c r="BJ195" i="1"/>
  <c r="BK195" i="1" s="1"/>
  <c r="BJ107" i="1"/>
  <c r="BL107" i="1" s="1"/>
  <c r="BJ43" i="1"/>
  <c r="BK43" i="1" s="1"/>
  <c r="BJ282" i="1"/>
  <c r="BL282" i="1" s="1"/>
  <c r="BJ321" i="1"/>
  <c r="BK321" i="1" s="1"/>
  <c r="BJ257" i="1"/>
  <c r="BK257" i="1" s="1"/>
  <c r="BJ193" i="1"/>
  <c r="BL193" i="1" s="1"/>
  <c r="BJ129" i="1"/>
  <c r="BL129" i="1" s="1"/>
  <c r="BJ65" i="1"/>
  <c r="BK65" i="1" s="1"/>
  <c r="BJ116" i="1"/>
  <c r="BL116" i="1" s="1"/>
  <c r="BJ315" i="1"/>
  <c r="BK315" i="1" s="1"/>
  <c r="BJ320" i="1"/>
  <c r="BL320" i="1" s="1"/>
  <c r="BJ256" i="1"/>
  <c r="BL256" i="1" s="1"/>
  <c r="BJ192" i="1"/>
  <c r="BK192" i="1" s="1"/>
  <c r="BJ128" i="1"/>
  <c r="BL128" i="1" s="1"/>
  <c r="BJ64" i="1"/>
  <c r="BL64" i="1" s="1"/>
  <c r="BJ302" i="1"/>
  <c r="BL302" i="1" s="1"/>
  <c r="BJ190" i="1"/>
  <c r="BL190" i="1" s="1"/>
  <c r="BJ204" i="1"/>
  <c r="BL204" i="1" s="1"/>
  <c r="BJ375" i="1"/>
  <c r="BL375" i="1" s="1"/>
  <c r="BJ247" i="1"/>
  <c r="BK247" i="1" s="1"/>
  <c r="BJ117" i="1"/>
  <c r="BK117" i="1" s="1"/>
  <c r="BJ326" i="1"/>
  <c r="BK326" i="1" s="1"/>
  <c r="BJ198" i="1"/>
  <c r="BL198" i="1" s="1"/>
  <c r="BJ47" i="1"/>
  <c r="BK47" i="1" s="1"/>
  <c r="BJ277" i="1"/>
  <c r="BL277" i="1" s="1"/>
  <c r="BJ149" i="1"/>
  <c r="BK149" i="1" s="1"/>
  <c r="BJ285" i="1"/>
  <c r="BK285" i="1" s="1"/>
  <c r="BJ372" i="1"/>
  <c r="BL372" i="1" s="1"/>
  <c r="BJ109" i="1"/>
  <c r="BL109" i="1" s="1"/>
  <c r="BJ244" i="1"/>
  <c r="BL244" i="1" s="1"/>
  <c r="BJ335" i="1"/>
  <c r="BL335" i="1" s="1"/>
  <c r="BJ207" i="1"/>
  <c r="BL207" i="1" s="1"/>
  <c r="BJ62" i="1"/>
  <c r="BL62" i="1" s="1"/>
  <c r="BJ363" i="1"/>
  <c r="BL363" i="1" s="1"/>
  <c r="BJ146" i="1"/>
  <c r="BK146" i="1" s="1"/>
  <c r="BJ82" i="1"/>
  <c r="BK82" i="1" s="1"/>
  <c r="BJ18" i="1"/>
  <c r="BK18" i="1" s="1"/>
  <c r="BJ291" i="1"/>
  <c r="BL291" i="1" s="1"/>
  <c r="BJ187" i="1"/>
  <c r="BL187" i="1" s="1"/>
  <c r="BJ99" i="1"/>
  <c r="BL99" i="1" s="1"/>
  <c r="BJ35" i="1"/>
  <c r="BL35" i="1" s="1"/>
  <c r="BJ186" i="1"/>
  <c r="BK186" i="1" s="1"/>
  <c r="BJ313" i="1"/>
  <c r="BK313" i="1" s="1"/>
  <c r="BJ249" i="1"/>
  <c r="BK249" i="1" s="1"/>
  <c r="BJ185" i="1"/>
  <c r="BK185" i="1" s="1"/>
  <c r="BJ121" i="1"/>
  <c r="BL121" i="1" s="1"/>
  <c r="BJ57" i="1"/>
  <c r="BL57" i="1" s="1"/>
  <c r="BJ312" i="1"/>
  <c r="BK312" i="1" s="1"/>
  <c r="BJ248" i="1"/>
  <c r="BK248" i="1" s="1"/>
  <c r="BJ184" i="1"/>
  <c r="BK184" i="1" s="1"/>
  <c r="BJ120" i="1"/>
  <c r="BL120" i="1" s="1"/>
  <c r="BJ56" i="1"/>
  <c r="BL56" i="1" s="1"/>
  <c r="BJ61" i="1"/>
  <c r="BL61" i="1" s="1"/>
  <c r="BJ151" i="1"/>
  <c r="BL151" i="1" s="1"/>
  <c r="BJ309" i="1"/>
  <c r="BK309" i="1" s="1"/>
  <c r="BJ196" i="1"/>
  <c r="BK196" i="1" s="1"/>
  <c r="BJ239" i="1"/>
  <c r="BL239" i="1" s="1"/>
  <c r="BJ234" i="1"/>
  <c r="BL234" i="1" s="1"/>
  <c r="BJ219" i="1"/>
  <c r="BK219" i="1" s="1"/>
  <c r="BJ201" i="1"/>
  <c r="BL201" i="1" s="1"/>
  <c r="BJ188" i="1"/>
  <c r="BL188" i="1" s="1"/>
  <c r="BJ231" i="1"/>
  <c r="BK231" i="1" s="1"/>
  <c r="BJ182" i="1"/>
  <c r="BK182" i="1" s="1"/>
  <c r="BJ221" i="1"/>
  <c r="BL221" i="1" s="1"/>
  <c r="BJ39" i="1"/>
  <c r="BK39" i="1" s="1"/>
  <c r="BJ177" i="1"/>
  <c r="BK177" i="1" s="1"/>
  <c r="BJ240" i="1"/>
  <c r="BL240" i="1" s="1"/>
  <c r="BJ48" i="1"/>
  <c r="BL48" i="1" s="1"/>
  <c r="BJ343" i="1"/>
  <c r="BK343" i="1" s="1"/>
  <c r="BJ300" i="1"/>
  <c r="BL300" i="1" s="1"/>
  <c r="BJ130" i="1"/>
  <c r="BK130" i="1" s="1"/>
  <c r="BJ370" i="1"/>
  <c r="BK370" i="1" s="1"/>
  <c r="BJ233" i="1"/>
  <c r="BL233" i="1" s="1"/>
  <c r="BJ41" i="1"/>
  <c r="BL41" i="1" s="1"/>
  <c r="BJ360" i="1"/>
  <c r="BK360" i="1" s="1"/>
  <c r="BJ232" i="1"/>
  <c r="BK232" i="1" s="1"/>
  <c r="BJ104" i="1"/>
  <c r="BL104" i="1" s="1"/>
  <c r="BJ222" i="1"/>
  <c r="BL222" i="1" s="1"/>
  <c r="BJ333" i="1"/>
  <c r="BL333" i="1" s="1"/>
  <c r="BJ140" i="1"/>
  <c r="BL140" i="1" s="1"/>
  <c r="BJ327" i="1"/>
  <c r="BL327" i="1" s="1"/>
  <c r="BJ53" i="1"/>
  <c r="BK53" i="1" s="1"/>
  <c r="BJ229" i="1"/>
  <c r="BL229" i="1" s="1"/>
  <c r="BJ87" i="1"/>
  <c r="BK87" i="1" s="1"/>
  <c r="BJ124" i="1"/>
  <c r="BK124" i="1" s="1"/>
  <c r="BJ362" i="1"/>
  <c r="BK362" i="1" s="1"/>
  <c r="BJ122" i="1"/>
  <c r="BL122" i="1" s="1"/>
  <c r="BJ58" i="1"/>
  <c r="BK58" i="1" s="1"/>
  <c r="BJ355" i="1"/>
  <c r="BK355" i="1" s="1"/>
  <c r="BJ352" i="1"/>
  <c r="BL352" i="1" s="1"/>
  <c r="BJ288" i="1"/>
  <c r="BL288" i="1" s="1"/>
  <c r="BJ224" i="1"/>
  <c r="BL224" i="1" s="1"/>
  <c r="BJ160" i="1"/>
  <c r="BK160" i="1" s="1"/>
  <c r="BJ96" i="1"/>
  <c r="BK96" i="1" s="1"/>
  <c r="BJ32" i="1"/>
  <c r="BK32" i="1" s="1"/>
  <c r="BJ350" i="1"/>
  <c r="BK350" i="1" s="1"/>
  <c r="BJ54" i="1"/>
  <c r="BK54" i="1" s="1"/>
  <c r="BJ230" i="1"/>
  <c r="BK230" i="1" s="1"/>
  <c r="BJ23" i="1"/>
  <c r="BL23" i="1" s="1"/>
  <c r="BJ308" i="1"/>
  <c r="BL308" i="1" s="1"/>
  <c r="BJ203" i="1"/>
  <c r="BL203" i="1" s="1"/>
  <c r="BJ98" i="1"/>
  <c r="BL98" i="1" s="1"/>
  <c r="BJ51" i="1"/>
  <c r="BL51" i="1" s="1"/>
  <c r="BJ137" i="1"/>
  <c r="BK137" i="1" s="1"/>
  <c r="BJ78" i="1"/>
  <c r="BK78" i="1" s="1"/>
  <c r="BJ29" i="1"/>
  <c r="BL29" i="1" s="1"/>
  <c r="BJ133" i="1"/>
  <c r="BL133" i="1" s="1"/>
  <c r="BJ86" i="1"/>
  <c r="BK86" i="1" s="1"/>
  <c r="BJ115" i="1"/>
  <c r="BK115" i="1" s="1"/>
  <c r="BJ138" i="1"/>
  <c r="BK138" i="1" s="1"/>
  <c r="BJ100" i="1"/>
  <c r="BL100" i="1" s="1"/>
  <c r="BJ305" i="1"/>
  <c r="BL305" i="1" s="1"/>
  <c r="BJ113" i="1"/>
  <c r="BK113" i="1" s="1"/>
  <c r="BJ368" i="1"/>
  <c r="BK368" i="1" s="1"/>
  <c r="BJ176" i="1"/>
  <c r="BL176" i="1" s="1"/>
  <c r="BJ286" i="1"/>
  <c r="BK286" i="1" s="1"/>
  <c r="BJ294" i="1"/>
  <c r="BL294" i="1" s="1"/>
  <c r="BJ245" i="1"/>
  <c r="BL245" i="1" s="1"/>
  <c r="BJ324" i="1"/>
  <c r="BK324" i="1" s="1"/>
  <c r="BJ303" i="1"/>
  <c r="BL303" i="1" s="1"/>
  <c r="BJ299" i="1"/>
  <c r="BL299" i="1" s="1"/>
  <c r="BJ66" i="1"/>
  <c r="BL66" i="1" s="1"/>
  <c r="BJ163" i="1"/>
  <c r="BL163" i="1" s="1"/>
  <c r="BJ297" i="1"/>
  <c r="BK297" i="1" s="1"/>
  <c r="BJ168" i="1"/>
  <c r="BL168" i="1" s="1"/>
  <c r="BJ284" i="1"/>
  <c r="BL284" i="1" s="1"/>
  <c r="BJ311" i="1"/>
  <c r="BK311" i="1" s="1"/>
  <c r="BJ183" i="1"/>
  <c r="BK183" i="1" s="1"/>
  <c r="BJ69" i="1"/>
  <c r="BL69" i="1" s="1"/>
  <c r="BJ118" i="1"/>
  <c r="BK118" i="1" s="1"/>
  <c r="BJ250" i="1"/>
  <c r="BL250" i="1" s="1"/>
  <c r="BJ178" i="1"/>
  <c r="BK178" i="1" s="1"/>
  <c r="BJ114" i="1"/>
  <c r="BK114" i="1" s="1"/>
  <c r="BJ50" i="1"/>
  <c r="BL50" i="1" s="1"/>
  <c r="BJ243" i="1"/>
  <c r="BL243" i="1" s="1"/>
  <c r="BJ344" i="1"/>
  <c r="BK344" i="1" s="1"/>
  <c r="BJ280" i="1"/>
  <c r="BK280" i="1" s="1"/>
  <c r="BJ216" i="1"/>
  <c r="BL216" i="1" s="1"/>
  <c r="BJ152" i="1"/>
  <c r="BL152" i="1" s="1"/>
  <c r="BJ88" i="1"/>
  <c r="BL88" i="1" s="1"/>
  <c r="BJ24" i="1"/>
  <c r="BK24" i="1" s="1"/>
  <c r="BJ254" i="1"/>
  <c r="BK254" i="1" s="1"/>
  <c r="BJ236" i="1"/>
  <c r="BL236" i="1" s="1"/>
  <c r="BJ358" i="1"/>
  <c r="BL358" i="1" s="1"/>
  <c r="BJ181" i="1"/>
  <c r="BK181" i="1" s="1"/>
  <c r="BJ189" i="1"/>
  <c r="BK189" i="1" s="1"/>
  <c r="BJ68" i="1"/>
  <c r="BK68" i="1" s="1"/>
  <c r="BJ34" i="1"/>
  <c r="BL34" i="1" s="1"/>
  <c r="BJ329" i="1"/>
  <c r="BL329" i="1" s="1"/>
  <c r="BJ38" i="1"/>
  <c r="BK38" i="1" s="1"/>
  <c r="BJ359" i="1"/>
  <c r="BL359" i="1" s="1"/>
  <c r="BJ310" i="1"/>
  <c r="BK310" i="1" s="1"/>
  <c r="BJ261" i="1"/>
  <c r="BL261" i="1" s="1"/>
  <c r="BJ340" i="1"/>
  <c r="BK340" i="1" s="1"/>
  <c r="BJ348" i="1"/>
  <c r="BK348" i="1" s="1"/>
  <c r="BJ74" i="1"/>
  <c r="BL74" i="1" s="1"/>
  <c r="BJ179" i="1"/>
  <c r="BL179" i="1" s="1"/>
  <c r="BJ241" i="1"/>
  <c r="BL241" i="1" s="1"/>
  <c r="BJ49" i="1"/>
  <c r="BK49" i="1" s="1"/>
  <c r="BJ304" i="1"/>
  <c r="BK304" i="1" s="1"/>
  <c r="BJ112" i="1"/>
  <c r="BL112" i="1" s="1"/>
  <c r="BJ102" i="1"/>
  <c r="BJ156" i="1"/>
  <c r="BK156" i="1" s="1"/>
  <c r="BJ373" i="1"/>
  <c r="BK373" i="1" s="1"/>
  <c r="BJ110" i="1"/>
  <c r="BK110" i="1" s="1"/>
  <c r="BJ63" i="1"/>
  <c r="BL63" i="1" s="1"/>
  <c r="BJ361" i="1"/>
  <c r="BL361" i="1" s="1"/>
  <c r="BJ169" i="1"/>
  <c r="BL169" i="1" s="1"/>
  <c r="BJ105" i="1"/>
  <c r="BL105" i="1" s="1"/>
  <c r="BJ296" i="1"/>
  <c r="BJ40" i="1"/>
  <c r="BK40" i="1" s="1"/>
  <c r="BJ206" i="1"/>
  <c r="BK206" i="1" s="1"/>
  <c r="BJ269" i="1"/>
  <c r="BL269" i="1" s="1"/>
  <c r="BJ268" i="1"/>
  <c r="BL268" i="1" s="1"/>
  <c r="BJ295" i="1"/>
  <c r="BL295" i="1" s="1"/>
  <c r="BJ167" i="1"/>
  <c r="BL167" i="1" s="1"/>
  <c r="BJ111" i="1"/>
  <c r="BL111" i="1" s="1"/>
  <c r="BJ46" i="1"/>
  <c r="BK46" i="1" s="1"/>
  <c r="BJ356" i="1"/>
  <c r="BL356" i="1" s="1"/>
  <c r="BJ255" i="1"/>
  <c r="BL255" i="1" s="1"/>
  <c r="BJ227" i="1"/>
  <c r="BL227" i="1" s="1"/>
  <c r="BJ242" i="1"/>
  <c r="BL242" i="1" s="1"/>
  <c r="BJ170" i="1"/>
  <c r="BL170" i="1" s="1"/>
  <c r="BJ106" i="1"/>
  <c r="BK106" i="1" s="1"/>
  <c r="BJ42" i="1"/>
  <c r="BK42" i="1" s="1"/>
  <c r="BJ235" i="1"/>
  <c r="BJ336" i="1"/>
  <c r="BL336" i="1" s="1"/>
  <c r="BJ272" i="1"/>
  <c r="BL272" i="1" s="1"/>
  <c r="BJ208" i="1"/>
  <c r="BL208" i="1" s="1"/>
  <c r="BJ144" i="1"/>
  <c r="BK144" i="1" s="1"/>
  <c r="BJ80" i="1"/>
  <c r="BK80" i="1" s="1"/>
  <c r="BJ16" i="1"/>
  <c r="BK16" i="1" s="1"/>
  <c r="BJ55" i="1"/>
  <c r="BK55" i="1" s="1"/>
  <c r="BJ147" i="1"/>
  <c r="BJ211" i="1"/>
  <c r="BL211" i="1" s="1"/>
  <c r="BJ238" i="1"/>
  <c r="BL238" i="1" s="1"/>
  <c r="BJ94" i="1"/>
  <c r="BK94" i="1" s="1"/>
  <c r="BJ319" i="1"/>
  <c r="BL319" i="1" s="1"/>
  <c r="BJ283" i="1"/>
  <c r="BL283" i="1" s="1"/>
  <c r="BJ91" i="1"/>
  <c r="BK91" i="1" s="1"/>
  <c r="BJ369" i="1"/>
  <c r="BK369" i="1" s="1"/>
  <c r="BJ76" i="1"/>
  <c r="BK76" i="1" s="1"/>
  <c r="BJ71" i="1"/>
  <c r="BL71" i="1" s="1"/>
  <c r="BJ21" i="1"/>
  <c r="BL21" i="1" s="1"/>
  <c r="BJ27" i="1"/>
  <c r="BK27" i="1" s="1"/>
  <c r="BJ202" i="1"/>
  <c r="BK202" i="1" s="1"/>
  <c r="BG10" i="1"/>
  <c r="BG11" i="1" s="1"/>
  <c r="BJ158" i="1"/>
  <c r="BK158" i="1" s="1"/>
  <c r="BJ316" i="1"/>
  <c r="BK316" i="1" s="1"/>
  <c r="BJ199" i="1"/>
  <c r="BK199" i="1" s="1"/>
  <c r="BJ278" i="1"/>
  <c r="BL278" i="1" s="1"/>
  <c r="BJ150" i="1"/>
  <c r="BK150" i="1" s="1"/>
  <c r="BJ357" i="1"/>
  <c r="BK357" i="1" s="1"/>
  <c r="BJ119" i="1"/>
  <c r="BK119" i="1" s="1"/>
  <c r="BJ292" i="1"/>
  <c r="BK292" i="1" s="1"/>
  <c r="BJ45" i="1"/>
  <c r="BK45" i="1" s="1"/>
  <c r="BJ252" i="1"/>
  <c r="BL252" i="1" s="1"/>
  <c r="BJ164" i="1"/>
  <c r="BJ287" i="1"/>
  <c r="BK287" i="1" s="1"/>
  <c r="BJ159" i="1"/>
  <c r="BK159" i="1" s="1"/>
  <c r="BJ275" i="1"/>
  <c r="BK275" i="1" s="1"/>
  <c r="BJ258" i="1"/>
  <c r="BK258" i="1" s="1"/>
  <c r="BJ194" i="1"/>
  <c r="BL194" i="1" s="1"/>
  <c r="BJ259" i="1"/>
  <c r="BK259" i="1" s="1"/>
  <c r="BJ155" i="1"/>
  <c r="BL155" i="1" s="1"/>
  <c r="BJ75" i="1"/>
  <c r="BJ354" i="1"/>
  <c r="BL354" i="1" s="1"/>
  <c r="BJ353" i="1"/>
  <c r="BL353" i="1" s="1"/>
  <c r="BJ289" i="1"/>
  <c r="BL289" i="1" s="1"/>
  <c r="BJ225" i="1"/>
  <c r="BK225" i="1" s="1"/>
  <c r="BJ161" i="1"/>
  <c r="BL161" i="1" s="1"/>
  <c r="BJ97" i="1"/>
  <c r="BL97" i="1" s="1"/>
  <c r="BJ33" i="1"/>
  <c r="BK33" i="1" s="1"/>
  <c r="BJ52" i="1"/>
  <c r="BJ226" i="1"/>
  <c r="BK226" i="1" s="1"/>
  <c r="BJ157" i="1"/>
  <c r="BL157" i="1" s="1"/>
  <c r="BJ218" i="1"/>
  <c r="BK218" i="1" s="1"/>
  <c r="BJ174" i="1"/>
  <c r="BK174" i="1" s="1"/>
  <c r="BJ191" i="1"/>
  <c r="BL191" i="1" s="1"/>
  <c r="BJ331" i="1"/>
  <c r="BL331" i="1" s="1"/>
  <c r="BJ210" i="1"/>
  <c r="BK210" i="1" s="1"/>
  <c r="BJ19" i="1"/>
  <c r="BJ365" i="1"/>
  <c r="BK365" i="1" s="1"/>
  <c r="BJ166" i="1"/>
  <c r="BK166" i="1" s="1"/>
  <c r="BJ173" i="1"/>
  <c r="BL173" i="1" s="1"/>
  <c r="BJ180" i="1"/>
  <c r="BK180" i="1" s="1"/>
  <c r="BJ175" i="1"/>
  <c r="BK175" i="1" s="1"/>
  <c r="BJ266" i="1"/>
  <c r="BL266" i="1" s="1"/>
  <c r="BJ36" i="1"/>
  <c r="BL36" i="1" s="1"/>
  <c r="BJ267" i="1"/>
  <c r="BL267" i="1" s="1"/>
  <c r="BJ83" i="1"/>
  <c r="BK83" i="1" s="1"/>
  <c r="BJ60" i="1"/>
  <c r="BK60" i="1" s="1"/>
  <c r="BJ270" i="1"/>
  <c r="BL270" i="1" s="1"/>
  <c r="BJ334" i="1"/>
  <c r="BL334" i="1" s="1"/>
  <c r="BJ301" i="1"/>
  <c r="BL301" i="1" s="1"/>
  <c r="BJ95" i="1"/>
  <c r="BK95" i="1" s="1"/>
  <c r="BJ30" i="1"/>
  <c r="BK30" i="1" s="1"/>
  <c r="BJ262" i="1"/>
  <c r="BL262" i="1" s="1"/>
  <c r="BJ134" i="1"/>
  <c r="BL134" i="1" s="1"/>
  <c r="BJ341" i="1"/>
  <c r="BK341" i="1" s="1"/>
  <c r="BJ213" i="1"/>
  <c r="BL213" i="1" s="1"/>
  <c r="BJ101" i="1"/>
  <c r="BL101" i="1" s="1"/>
  <c r="BJ276" i="1"/>
  <c r="BK276" i="1" s="1"/>
  <c r="BJ317" i="1"/>
  <c r="BK317" i="1" s="1"/>
  <c r="BJ127" i="1"/>
  <c r="BK127" i="1" s="1"/>
  <c r="BJ271" i="1"/>
  <c r="BJ143" i="1"/>
  <c r="BL143" i="1" s="1"/>
  <c r="BJ108" i="1"/>
  <c r="BL108" i="1" s="1"/>
  <c r="BJ251" i="1"/>
  <c r="BK251" i="1" s="1"/>
  <c r="BJ338" i="1"/>
  <c r="BK338" i="1" s="1"/>
  <c r="BJ347" i="1"/>
  <c r="BK347" i="1" s="1"/>
  <c r="BJ139" i="1"/>
  <c r="BL139" i="1" s="1"/>
  <c r="BJ67" i="1"/>
  <c r="BK67" i="1" s="1"/>
  <c r="BJ346" i="1"/>
  <c r="BK346" i="1" s="1"/>
  <c r="BJ345" i="1"/>
  <c r="BL345" i="1" s="1"/>
  <c r="BJ281" i="1"/>
  <c r="BK281" i="1" s="1"/>
  <c r="BJ217" i="1"/>
  <c r="BL217" i="1" s="1"/>
  <c r="BJ153" i="1"/>
  <c r="BK153" i="1" s="1"/>
  <c r="BJ89" i="1"/>
  <c r="BL89" i="1" s="1"/>
  <c r="BJ25" i="1"/>
  <c r="BL25" i="1" s="1"/>
  <c r="BJ44" i="1"/>
  <c r="BK44" i="1" s="1"/>
  <c r="BJ366" i="1"/>
  <c r="BJ290" i="1"/>
  <c r="BL290" i="1" s="1"/>
  <c r="BJ92" i="1"/>
  <c r="BK92" i="1" s="1"/>
  <c r="BJ212" i="1"/>
  <c r="BL212" i="1" s="1"/>
  <c r="BJ274" i="1"/>
  <c r="BK274" i="1" s="1"/>
  <c r="BJ364" i="1"/>
  <c r="BK364" i="1" s="1"/>
  <c r="BJ215" i="1"/>
  <c r="BL215" i="1" s="1"/>
  <c r="BJ142" i="1"/>
  <c r="BK142" i="1" s="1"/>
  <c r="BJ77" i="1"/>
  <c r="BL77" i="1" s="1"/>
  <c r="BJ374" i="1"/>
  <c r="BK374" i="1" s="1"/>
  <c r="BJ246" i="1"/>
  <c r="BL246" i="1" s="1"/>
  <c r="BJ325" i="1"/>
  <c r="BL325" i="1" s="1"/>
  <c r="BJ197" i="1"/>
  <c r="BK197" i="1" s="1"/>
  <c r="BJ37" i="1"/>
  <c r="BL37" i="1" s="1"/>
  <c r="BJ228" i="1"/>
  <c r="BL228" i="1" s="1"/>
  <c r="BJ253" i="1"/>
  <c r="BL253" i="1" s="1"/>
  <c r="BJ22" i="1"/>
  <c r="BJ126" i="1"/>
  <c r="BK126" i="1" s="1"/>
  <c r="BJ84" i="1"/>
  <c r="BL84" i="1" s="1"/>
  <c r="BJ322" i="1"/>
  <c r="BL322" i="1" s="1"/>
  <c r="BJ339" i="1"/>
  <c r="BK339" i="1" s="1"/>
  <c r="BJ131" i="1"/>
  <c r="BK131" i="1" s="1"/>
  <c r="BJ59" i="1"/>
  <c r="BL59" i="1" s="1"/>
  <c r="BJ330" i="1"/>
  <c r="BK330" i="1" s="1"/>
  <c r="BJ337" i="1"/>
  <c r="BJ273" i="1"/>
  <c r="BL273" i="1" s="1"/>
  <c r="BJ209" i="1"/>
  <c r="BK209" i="1" s="1"/>
  <c r="BJ145" i="1"/>
  <c r="BK145" i="1" s="1"/>
  <c r="BJ81" i="1"/>
  <c r="BL81" i="1" s="1"/>
  <c r="BJ17" i="1"/>
  <c r="BL17" i="1" s="1"/>
  <c r="BJ20" i="1"/>
  <c r="BL20" i="1" s="1"/>
  <c r="BJ15" i="1"/>
  <c r="BK15" i="1" s="1"/>
  <c r="D45" i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BR15" i="1" l="1"/>
  <c r="BT15" i="1" s="1"/>
  <c r="BZ16" i="1"/>
  <c r="CA16" i="1" s="1"/>
  <c r="BZ13" i="1"/>
  <c r="CA13" i="1" s="1"/>
  <c r="BL39" i="1"/>
  <c r="BM39" i="1" s="1"/>
  <c r="BK104" i="1"/>
  <c r="BM104" i="1" s="1"/>
  <c r="BL132" i="1"/>
  <c r="BM132" i="1" s="1"/>
  <c r="BK252" i="1"/>
  <c r="BM252" i="1" s="1"/>
  <c r="BL374" i="1"/>
  <c r="BM374" i="1" s="1"/>
  <c r="BL192" i="1"/>
  <c r="BM192" i="1" s="1"/>
  <c r="BL343" i="1"/>
  <c r="BM343" i="1" s="1"/>
  <c r="BL124" i="1"/>
  <c r="BM124" i="1" s="1"/>
  <c r="BL153" i="1"/>
  <c r="BM153" i="1" s="1"/>
  <c r="BL254" i="1"/>
  <c r="BM254" i="1" s="1"/>
  <c r="BL38" i="1"/>
  <c r="BM38" i="1" s="1"/>
  <c r="BK270" i="1"/>
  <c r="BM270" i="1" s="1"/>
  <c r="BL357" i="1"/>
  <c r="BM357" i="1" s="1"/>
  <c r="BK208" i="1"/>
  <c r="BM208" i="1" s="1"/>
  <c r="BK176" i="1"/>
  <c r="BM176" i="1" s="1"/>
  <c r="BL257" i="1"/>
  <c r="BM257" i="1" s="1"/>
  <c r="BL127" i="1"/>
  <c r="BM127" i="1" s="1"/>
  <c r="BK241" i="1"/>
  <c r="BM241" i="1" s="1"/>
  <c r="BL174" i="1"/>
  <c r="BM174" i="1" s="1"/>
  <c r="BL24" i="1"/>
  <c r="BM24" i="1" s="1"/>
  <c r="BK179" i="1"/>
  <c r="BM179" i="1" s="1"/>
  <c r="BK260" i="1"/>
  <c r="BM260" i="1" s="1"/>
  <c r="BK290" i="1"/>
  <c r="BM290" i="1" s="1"/>
  <c r="BL85" i="1"/>
  <c r="BM85" i="1" s="1"/>
  <c r="BK318" i="1"/>
  <c r="BM318" i="1" s="1"/>
  <c r="BK227" i="1"/>
  <c r="BM227" i="1" s="1"/>
  <c r="BK245" i="1"/>
  <c r="BM245" i="1" s="1"/>
  <c r="BL181" i="1"/>
  <c r="BM181" i="1" s="1"/>
  <c r="BL251" i="1"/>
  <c r="BM251" i="1" s="1"/>
  <c r="BK103" i="1"/>
  <c r="BM103" i="1" s="1"/>
  <c r="BL275" i="1"/>
  <c r="BM275" i="1" s="1"/>
  <c r="BK71" i="1"/>
  <c r="BM71" i="1" s="1"/>
  <c r="BK278" i="1"/>
  <c r="BM278" i="1" s="1"/>
  <c r="BL285" i="1"/>
  <c r="BM285" i="1" s="1"/>
  <c r="BK289" i="1"/>
  <c r="BM289" i="1" s="1"/>
  <c r="BK212" i="1"/>
  <c r="BM212" i="1" s="1"/>
  <c r="BK169" i="1"/>
  <c r="BM169" i="1" s="1"/>
  <c r="BL350" i="1"/>
  <c r="BM350" i="1" s="1"/>
  <c r="BL27" i="1"/>
  <c r="BM27" i="1" s="1"/>
  <c r="BK26" i="1"/>
  <c r="BM26" i="1" s="1"/>
  <c r="BK59" i="1"/>
  <c r="BM59" i="1" s="1"/>
  <c r="BK217" i="1"/>
  <c r="BM217" i="1" s="1"/>
  <c r="BL304" i="1"/>
  <c r="BM304" i="1" s="1"/>
  <c r="BK268" i="1"/>
  <c r="BM268" i="1" s="1"/>
  <c r="BL92" i="1"/>
  <c r="BM92" i="1" s="1"/>
  <c r="BK294" i="1"/>
  <c r="BM294" i="1" s="1"/>
  <c r="BK168" i="1"/>
  <c r="BM168" i="1" s="1"/>
  <c r="BK73" i="1"/>
  <c r="BM73" i="1" s="1"/>
  <c r="BK99" i="1"/>
  <c r="BM99" i="1" s="1"/>
  <c r="BK239" i="1"/>
  <c r="BM239" i="1" s="1"/>
  <c r="BL365" i="1"/>
  <c r="BM365" i="1" s="1"/>
  <c r="BK221" i="1"/>
  <c r="BM221" i="1" s="1"/>
  <c r="BK211" i="1"/>
  <c r="BM211" i="1" s="1"/>
  <c r="BL106" i="1"/>
  <c r="BM106" i="1" s="1"/>
  <c r="BL195" i="1"/>
  <c r="BM195" i="1" s="1"/>
  <c r="BK269" i="1"/>
  <c r="BM269" i="1" s="1"/>
  <c r="BL219" i="1"/>
  <c r="BM219" i="1" s="1"/>
  <c r="BL90" i="1"/>
  <c r="BM90" i="1" s="1"/>
  <c r="BK163" i="1"/>
  <c r="BM163" i="1" s="1"/>
  <c r="BL18" i="1"/>
  <c r="BM18" i="1" s="1"/>
  <c r="BK291" i="1"/>
  <c r="BM291" i="1" s="1"/>
  <c r="BK358" i="1"/>
  <c r="BM358" i="1" s="1"/>
  <c r="BL83" i="1"/>
  <c r="BM83" i="1" s="1"/>
  <c r="BK152" i="1"/>
  <c r="BM152" i="1" s="1"/>
  <c r="BK342" i="1"/>
  <c r="BM342" i="1" s="1"/>
  <c r="BL362" i="1"/>
  <c r="BM362" i="1" s="1"/>
  <c r="BK322" i="1"/>
  <c r="BM322" i="1" s="1"/>
  <c r="BK101" i="1"/>
  <c r="BM101" i="1" s="1"/>
  <c r="BL259" i="1"/>
  <c r="BM259" i="1" s="1"/>
  <c r="BL68" i="1"/>
  <c r="BM68" i="1" s="1"/>
  <c r="BK215" i="1"/>
  <c r="BM215" i="1" s="1"/>
  <c r="BL125" i="1"/>
  <c r="BM125" i="1" s="1"/>
  <c r="BK61" i="1"/>
  <c r="BM61" i="1" s="1"/>
  <c r="BL337" i="1"/>
  <c r="BK337" i="1"/>
  <c r="BL75" i="1"/>
  <c r="BK75" i="1"/>
  <c r="BL164" i="1"/>
  <c r="BK164" i="1"/>
  <c r="BL147" i="1"/>
  <c r="BK147" i="1"/>
  <c r="BL296" i="1"/>
  <c r="BK296" i="1"/>
  <c r="BL271" i="1"/>
  <c r="BK271" i="1"/>
  <c r="BK19" i="1"/>
  <c r="BL19" i="1"/>
  <c r="BK235" i="1"/>
  <c r="BL235" i="1"/>
  <c r="BK102" i="1"/>
  <c r="BL102" i="1"/>
  <c r="BL22" i="1"/>
  <c r="BK22" i="1"/>
  <c r="BL366" i="1"/>
  <c r="BK366" i="1"/>
  <c r="BK52" i="1"/>
  <c r="BL52" i="1"/>
  <c r="BL136" i="1"/>
  <c r="BM136" i="1" s="1"/>
  <c r="BK327" i="1"/>
  <c r="BM327" i="1" s="1"/>
  <c r="BL200" i="1"/>
  <c r="BM200" i="1" s="1"/>
  <c r="BL344" i="1"/>
  <c r="BM344" i="1" s="1"/>
  <c r="BL368" i="1"/>
  <c r="BM368" i="1" s="1"/>
  <c r="BK29" i="1"/>
  <c r="BM29" i="1" s="1"/>
  <c r="BK302" i="1"/>
  <c r="BM302" i="1" s="1"/>
  <c r="BL16" i="1"/>
  <c r="BM16" i="1" s="1"/>
  <c r="BL113" i="1"/>
  <c r="BM113" i="1" s="1"/>
  <c r="BL279" i="1"/>
  <c r="BM279" i="1" s="1"/>
  <c r="BK305" i="1"/>
  <c r="BM305" i="1" s="1"/>
  <c r="BL231" i="1"/>
  <c r="BM231" i="1" s="1"/>
  <c r="BK20" i="1"/>
  <c r="BM20" i="1" s="1"/>
  <c r="BK228" i="1"/>
  <c r="BM228" i="1" s="1"/>
  <c r="BL114" i="1"/>
  <c r="BM114" i="1" s="1"/>
  <c r="BK139" i="1"/>
  <c r="BM139" i="1" s="1"/>
  <c r="BL185" i="1"/>
  <c r="BM185" i="1" s="1"/>
  <c r="BL47" i="1"/>
  <c r="BM47" i="1" s="1"/>
  <c r="BL330" i="1"/>
  <c r="BM330" i="1" s="1"/>
  <c r="BL310" i="1"/>
  <c r="BM310" i="1" s="1"/>
  <c r="BK331" i="1"/>
  <c r="BM331" i="1" s="1"/>
  <c r="BK222" i="1"/>
  <c r="BM222" i="1" s="1"/>
  <c r="BK233" i="1"/>
  <c r="BM233" i="1" s="1"/>
  <c r="BK256" i="1"/>
  <c r="BM256" i="1" s="1"/>
  <c r="BK201" i="1"/>
  <c r="BM201" i="1" s="1"/>
  <c r="BL33" i="1"/>
  <c r="BM33" i="1" s="1"/>
  <c r="BL258" i="1"/>
  <c r="BM258" i="1" s="1"/>
  <c r="BK36" i="1"/>
  <c r="BM36" i="1" s="1"/>
  <c r="BK193" i="1"/>
  <c r="BM193" i="1" s="1"/>
  <c r="BK329" i="1"/>
  <c r="BM329" i="1" s="1"/>
  <c r="BK121" i="1"/>
  <c r="BM121" i="1" s="1"/>
  <c r="BK62" i="1"/>
  <c r="BM62" i="1" s="1"/>
  <c r="BL126" i="1"/>
  <c r="BM126" i="1" s="1"/>
  <c r="BK265" i="1"/>
  <c r="BM265" i="1" s="1"/>
  <c r="BK23" i="1"/>
  <c r="BM23" i="1" s="1"/>
  <c r="BL43" i="1"/>
  <c r="BM43" i="1" s="1"/>
  <c r="BK234" i="1"/>
  <c r="BM234" i="1" s="1"/>
  <c r="BK277" i="1"/>
  <c r="BM277" i="1" s="1"/>
  <c r="BL171" i="1"/>
  <c r="BM171" i="1" s="1"/>
  <c r="BL30" i="1"/>
  <c r="BM30" i="1" s="1"/>
  <c r="BL65" i="1"/>
  <c r="BM65" i="1" s="1"/>
  <c r="BL53" i="1"/>
  <c r="BM53" i="1" s="1"/>
  <c r="BK25" i="1"/>
  <c r="BM25" i="1" s="1"/>
  <c r="BK155" i="1"/>
  <c r="BM155" i="1" s="1"/>
  <c r="BL369" i="1"/>
  <c r="BM369" i="1" s="1"/>
  <c r="BK349" i="1"/>
  <c r="BM349" i="1" s="1"/>
  <c r="BL91" i="1"/>
  <c r="BM91" i="1" s="1"/>
  <c r="BL220" i="1"/>
  <c r="BM220" i="1" s="1"/>
  <c r="BK273" i="1"/>
  <c r="BM273" i="1" s="1"/>
  <c r="BK111" i="1"/>
  <c r="BM111" i="1" s="1"/>
  <c r="BL306" i="1"/>
  <c r="BM306" i="1" s="1"/>
  <c r="BL110" i="1"/>
  <c r="BM110" i="1" s="1"/>
  <c r="BK50" i="1"/>
  <c r="BM50" i="1" s="1"/>
  <c r="BL58" i="1"/>
  <c r="BM58" i="1" s="1"/>
  <c r="BL214" i="1"/>
  <c r="BM214" i="1" s="1"/>
  <c r="BL237" i="1"/>
  <c r="BM237" i="1" s="1"/>
  <c r="BK300" i="1"/>
  <c r="BM300" i="1" s="1"/>
  <c r="BK203" i="1"/>
  <c r="BM203" i="1" s="1"/>
  <c r="BL149" i="1"/>
  <c r="BM149" i="1" s="1"/>
  <c r="BL226" i="1"/>
  <c r="BM226" i="1" s="1"/>
  <c r="BL172" i="1"/>
  <c r="BM172" i="1" s="1"/>
  <c r="BK299" i="1"/>
  <c r="BM299" i="1" s="1"/>
  <c r="BK107" i="1"/>
  <c r="BM107" i="1" s="1"/>
  <c r="BL184" i="1"/>
  <c r="BM184" i="1" s="1"/>
  <c r="BL45" i="1"/>
  <c r="BM45" i="1" s="1"/>
  <c r="BK207" i="1"/>
  <c r="BM207" i="1" s="1"/>
  <c r="BK123" i="1"/>
  <c r="BM123" i="1" s="1"/>
  <c r="BL40" i="1"/>
  <c r="BM40" i="1" s="1"/>
  <c r="BL315" i="1"/>
  <c r="BM315" i="1" s="1"/>
  <c r="BL280" i="1"/>
  <c r="BM280" i="1" s="1"/>
  <c r="BK66" i="1"/>
  <c r="BM66" i="1" s="1"/>
  <c r="BL210" i="1"/>
  <c r="BM210" i="1" s="1"/>
  <c r="BK204" i="1"/>
  <c r="BM204" i="1" s="1"/>
  <c r="BK216" i="1"/>
  <c r="BM216" i="1" s="1"/>
  <c r="BK190" i="1"/>
  <c r="BM190" i="1" s="1"/>
  <c r="BK266" i="1"/>
  <c r="BM266" i="1" s="1"/>
  <c r="BL54" i="1"/>
  <c r="BM54" i="1" s="1"/>
  <c r="BL137" i="1"/>
  <c r="BM137" i="1" s="1"/>
  <c r="BL264" i="1"/>
  <c r="BM264" i="1" s="1"/>
  <c r="BL165" i="1"/>
  <c r="BM165" i="1" s="1"/>
  <c r="BL177" i="1"/>
  <c r="BM177" i="1" s="1"/>
  <c r="BK69" i="1"/>
  <c r="BM69" i="1" s="1"/>
  <c r="BL138" i="1"/>
  <c r="BM138" i="1" s="1"/>
  <c r="BL44" i="1"/>
  <c r="BM44" i="1" s="1"/>
  <c r="BL42" i="1"/>
  <c r="BM42" i="1" s="1"/>
  <c r="BK167" i="1"/>
  <c r="BM167" i="1" s="1"/>
  <c r="BL370" i="1"/>
  <c r="BM370" i="1" s="1"/>
  <c r="BL118" i="1"/>
  <c r="BM118" i="1" s="1"/>
  <c r="BL28" i="1"/>
  <c r="BM28" i="1" s="1"/>
  <c r="BK224" i="1"/>
  <c r="BM224" i="1" s="1"/>
  <c r="BL67" i="1"/>
  <c r="BM67" i="1" s="1"/>
  <c r="BL351" i="1"/>
  <c r="BM351" i="1" s="1"/>
  <c r="BK319" i="1"/>
  <c r="BM319" i="1" s="1"/>
  <c r="BK173" i="1"/>
  <c r="BM173" i="1" s="1"/>
  <c r="BK284" i="1"/>
  <c r="BM284" i="1" s="1"/>
  <c r="BL78" i="1"/>
  <c r="BM78" i="1" s="1"/>
  <c r="BL317" i="1"/>
  <c r="BM317" i="1" s="1"/>
  <c r="BK303" i="1"/>
  <c r="BM303" i="1" s="1"/>
  <c r="BL248" i="1"/>
  <c r="BM248" i="1" s="1"/>
  <c r="BL189" i="1"/>
  <c r="BM189" i="1" s="1"/>
  <c r="BK35" i="1"/>
  <c r="BM35" i="1" s="1"/>
  <c r="BK109" i="1"/>
  <c r="BM109" i="1" s="1"/>
  <c r="BK314" i="1"/>
  <c r="BM314" i="1" s="1"/>
  <c r="BK188" i="1"/>
  <c r="BM188" i="1" s="1"/>
  <c r="BL32" i="1"/>
  <c r="BM32" i="1" s="1"/>
  <c r="BK359" i="1"/>
  <c r="BM359" i="1" s="1"/>
  <c r="BK293" i="1"/>
  <c r="BM293" i="1" s="1"/>
  <c r="BL328" i="1"/>
  <c r="BM328" i="1" s="1"/>
  <c r="BL364" i="1"/>
  <c r="BM364" i="1" s="1"/>
  <c r="BL80" i="1"/>
  <c r="BM80" i="1" s="1"/>
  <c r="BL373" i="1"/>
  <c r="BM373" i="1" s="1"/>
  <c r="BK272" i="1"/>
  <c r="BM272" i="1" s="1"/>
  <c r="BK170" i="1"/>
  <c r="BM170" i="1" s="1"/>
  <c r="BK356" i="1"/>
  <c r="BM356" i="1" s="1"/>
  <c r="BK246" i="1"/>
  <c r="BM246" i="1" s="1"/>
  <c r="BL178" i="1"/>
  <c r="BM178" i="1" s="1"/>
  <c r="BL348" i="1"/>
  <c r="BM348" i="1" s="1"/>
  <c r="BK89" i="1"/>
  <c r="BM89" i="1" s="1"/>
  <c r="BK243" i="1"/>
  <c r="BM243" i="1" s="1"/>
  <c r="BK108" i="1"/>
  <c r="BM108" i="1" s="1"/>
  <c r="BL96" i="1"/>
  <c r="BM96" i="1" s="1"/>
  <c r="BL249" i="1"/>
  <c r="BM249" i="1" s="1"/>
  <c r="BL156" i="1"/>
  <c r="BM156" i="1" s="1"/>
  <c r="BL307" i="1"/>
  <c r="BM307" i="1" s="1"/>
  <c r="BL86" i="1"/>
  <c r="BM86" i="1" s="1"/>
  <c r="BL326" i="1"/>
  <c r="BM326" i="1" s="1"/>
  <c r="BK288" i="1"/>
  <c r="BM288" i="1" s="1"/>
  <c r="BK353" i="1"/>
  <c r="BM353" i="1" s="1"/>
  <c r="BK194" i="1"/>
  <c r="BM194" i="1" s="1"/>
  <c r="BL202" i="1"/>
  <c r="BM202" i="1" s="1"/>
  <c r="BK48" i="1"/>
  <c r="BM48" i="1" s="1"/>
  <c r="BK283" i="1"/>
  <c r="BM283" i="1" s="1"/>
  <c r="BK133" i="1"/>
  <c r="BM133" i="1" s="1"/>
  <c r="BK295" i="1"/>
  <c r="BM295" i="1" s="1"/>
  <c r="BL141" i="1"/>
  <c r="BM141" i="1" s="1"/>
  <c r="BK135" i="1"/>
  <c r="BM135" i="1" s="1"/>
  <c r="BK51" i="1"/>
  <c r="BM51" i="1" s="1"/>
  <c r="BK301" i="1"/>
  <c r="BM301" i="1" s="1"/>
  <c r="BL182" i="1"/>
  <c r="BM182" i="1" s="1"/>
  <c r="BK361" i="1"/>
  <c r="BM361" i="1" s="1"/>
  <c r="BL197" i="1"/>
  <c r="BM197" i="1" s="1"/>
  <c r="BK154" i="1"/>
  <c r="BM154" i="1" s="1"/>
  <c r="BK64" i="1"/>
  <c r="BM64" i="1" s="1"/>
  <c r="BK70" i="1"/>
  <c r="BM70" i="1" s="1"/>
  <c r="BL82" i="1"/>
  <c r="BM82" i="1" s="1"/>
  <c r="BL180" i="1"/>
  <c r="BM180" i="1" s="1"/>
  <c r="BK129" i="1"/>
  <c r="BM129" i="1" s="1"/>
  <c r="BL347" i="1"/>
  <c r="BM347" i="1" s="1"/>
  <c r="BK236" i="1"/>
  <c r="BM236" i="1" s="1"/>
  <c r="BL144" i="1"/>
  <c r="BM144" i="1" s="1"/>
  <c r="BL297" i="1"/>
  <c r="BM297" i="1" s="1"/>
  <c r="BL355" i="1"/>
  <c r="BM355" i="1" s="1"/>
  <c r="BL183" i="1"/>
  <c r="BM183" i="1" s="1"/>
  <c r="BL286" i="1"/>
  <c r="BM286" i="1" s="1"/>
  <c r="BK336" i="1"/>
  <c r="BM336" i="1" s="1"/>
  <c r="BK242" i="1"/>
  <c r="BM242" i="1" s="1"/>
  <c r="BK253" i="1"/>
  <c r="BM253" i="1" s="1"/>
  <c r="BL49" i="1"/>
  <c r="BM49" i="1" s="1"/>
  <c r="BL117" i="1"/>
  <c r="BM117" i="1" s="1"/>
  <c r="BK88" i="1"/>
  <c r="BM88" i="1" s="1"/>
  <c r="BK143" i="1"/>
  <c r="BM143" i="1" s="1"/>
  <c r="BK213" i="1"/>
  <c r="BM213" i="1" s="1"/>
  <c r="BL160" i="1"/>
  <c r="BM160" i="1" s="1"/>
  <c r="BL313" i="1"/>
  <c r="BM313" i="1" s="1"/>
  <c r="BL371" i="1"/>
  <c r="BM371" i="1" s="1"/>
  <c r="BL31" i="1"/>
  <c r="BM31" i="1" s="1"/>
  <c r="BK352" i="1"/>
  <c r="BM352" i="1" s="1"/>
  <c r="BK354" i="1"/>
  <c r="BM354" i="1" s="1"/>
  <c r="BL131" i="1"/>
  <c r="BM131" i="1" s="1"/>
  <c r="BK112" i="1"/>
  <c r="BM112" i="1" s="1"/>
  <c r="BK100" i="1"/>
  <c r="BM100" i="1" s="1"/>
  <c r="BK191" i="1"/>
  <c r="BM191" i="1" s="1"/>
  <c r="BK261" i="1"/>
  <c r="BM261" i="1" s="1"/>
  <c r="BK77" i="1"/>
  <c r="BM77" i="1" s="1"/>
  <c r="BL360" i="1"/>
  <c r="BM360" i="1" s="1"/>
  <c r="BL148" i="1"/>
  <c r="BM148" i="1" s="1"/>
  <c r="BK41" i="1"/>
  <c r="BM41" i="1" s="1"/>
  <c r="BK375" i="1"/>
  <c r="BM375" i="1" s="1"/>
  <c r="BK205" i="1"/>
  <c r="BM205" i="1" s="1"/>
  <c r="BL158" i="1"/>
  <c r="BM158" i="1" s="1"/>
  <c r="BK98" i="1"/>
  <c r="BM98" i="1" s="1"/>
  <c r="BK334" i="1"/>
  <c r="BM334" i="1" s="1"/>
  <c r="BL130" i="1"/>
  <c r="BM130" i="1" s="1"/>
  <c r="BK267" i="1"/>
  <c r="BM267" i="1" s="1"/>
  <c r="BL159" i="1"/>
  <c r="BM159" i="1" s="1"/>
  <c r="BL287" i="1"/>
  <c r="BM287" i="1" s="1"/>
  <c r="BK140" i="1"/>
  <c r="BM140" i="1" s="1"/>
  <c r="BL346" i="1"/>
  <c r="BM346" i="1" s="1"/>
  <c r="BK320" i="1"/>
  <c r="BM320" i="1" s="1"/>
  <c r="BK263" i="1"/>
  <c r="BM263" i="1" s="1"/>
  <c r="BL316" i="1"/>
  <c r="BM316" i="1" s="1"/>
  <c r="BL312" i="1"/>
  <c r="BM312" i="1" s="1"/>
  <c r="BL146" i="1"/>
  <c r="BM146" i="1" s="1"/>
  <c r="BL292" i="1"/>
  <c r="BM292" i="1" s="1"/>
  <c r="BK57" i="1"/>
  <c r="BM57" i="1" s="1"/>
  <c r="BK187" i="1"/>
  <c r="BM187" i="1" s="1"/>
  <c r="BK363" i="1"/>
  <c r="BM363" i="1" s="1"/>
  <c r="BK198" i="1"/>
  <c r="BM198" i="1" s="1"/>
  <c r="BL196" i="1"/>
  <c r="BM196" i="1" s="1"/>
  <c r="BK282" i="1"/>
  <c r="BM282" i="1" s="1"/>
  <c r="BK34" i="1"/>
  <c r="BM34" i="1" s="1"/>
  <c r="BL87" i="1"/>
  <c r="BM87" i="1" s="1"/>
  <c r="BK333" i="1"/>
  <c r="BM333" i="1" s="1"/>
  <c r="BK162" i="1"/>
  <c r="BM162" i="1" s="1"/>
  <c r="BK56" i="1"/>
  <c r="BM56" i="1" s="1"/>
  <c r="BL119" i="1"/>
  <c r="BM119" i="1" s="1"/>
  <c r="BK17" i="1"/>
  <c r="BM17" i="1" s="1"/>
  <c r="BK240" i="1"/>
  <c r="BM240" i="1" s="1"/>
  <c r="BL341" i="1"/>
  <c r="BM341" i="1" s="1"/>
  <c r="BK367" i="1"/>
  <c r="BM367" i="1" s="1"/>
  <c r="BL339" i="1"/>
  <c r="BM339" i="1" s="1"/>
  <c r="BK120" i="1"/>
  <c r="BM120" i="1" s="1"/>
  <c r="BL332" i="1"/>
  <c r="BM332" i="1" s="1"/>
  <c r="BL46" i="1"/>
  <c r="BM46" i="1" s="1"/>
  <c r="BK81" i="1"/>
  <c r="BM81" i="1" s="1"/>
  <c r="BK84" i="1"/>
  <c r="BM84" i="1" s="1"/>
  <c r="BK345" i="1"/>
  <c r="BM345" i="1" s="1"/>
  <c r="BK262" i="1"/>
  <c r="BM262" i="1" s="1"/>
  <c r="BL186" i="1"/>
  <c r="BM186" i="1" s="1"/>
  <c r="BL206" i="1"/>
  <c r="BM206" i="1" s="1"/>
  <c r="BK97" i="1"/>
  <c r="BM97" i="1" s="1"/>
  <c r="BL323" i="1"/>
  <c r="BM323" i="1" s="1"/>
  <c r="BL309" i="1"/>
  <c r="BM309" i="1" s="1"/>
  <c r="BK21" i="1"/>
  <c r="BM21" i="1" s="1"/>
  <c r="BK372" i="1"/>
  <c r="BM372" i="1" s="1"/>
  <c r="BK128" i="1"/>
  <c r="BM128" i="1" s="1"/>
  <c r="BK229" i="1"/>
  <c r="BM229" i="1" s="1"/>
  <c r="BK105" i="1"/>
  <c r="BM105" i="1" s="1"/>
  <c r="BK63" i="1"/>
  <c r="BM63" i="1" s="1"/>
  <c r="BK308" i="1"/>
  <c r="BM308" i="1" s="1"/>
  <c r="BL145" i="1"/>
  <c r="BM145" i="1" s="1"/>
  <c r="BL338" i="1"/>
  <c r="BM338" i="1" s="1"/>
  <c r="BL94" i="1"/>
  <c r="BM94" i="1" s="1"/>
  <c r="BK335" i="1"/>
  <c r="BM335" i="1" s="1"/>
  <c r="BL199" i="1"/>
  <c r="BM199" i="1" s="1"/>
  <c r="BK151" i="1"/>
  <c r="BM151" i="1" s="1"/>
  <c r="BK122" i="1"/>
  <c r="BM122" i="1" s="1"/>
  <c r="BL276" i="1"/>
  <c r="BM276" i="1" s="1"/>
  <c r="BK74" i="1"/>
  <c r="BM74" i="1" s="1"/>
  <c r="BL247" i="1"/>
  <c r="BM247" i="1" s="1"/>
  <c r="BK37" i="1"/>
  <c r="BM37" i="1" s="1"/>
  <c r="BK134" i="1"/>
  <c r="BM134" i="1" s="1"/>
  <c r="BL321" i="1"/>
  <c r="BM321" i="1" s="1"/>
  <c r="BL232" i="1"/>
  <c r="BM232" i="1" s="1"/>
  <c r="BL274" i="1"/>
  <c r="BM274" i="1" s="1"/>
  <c r="BL150" i="1"/>
  <c r="BM150" i="1" s="1"/>
  <c r="BL93" i="1"/>
  <c r="BM93" i="1" s="1"/>
  <c r="BK250" i="1"/>
  <c r="BM250" i="1" s="1"/>
  <c r="BL115" i="1"/>
  <c r="BM115" i="1" s="1"/>
  <c r="BL311" i="1"/>
  <c r="BM311" i="1" s="1"/>
  <c r="BK161" i="1"/>
  <c r="BM161" i="1" s="1"/>
  <c r="BL340" i="1"/>
  <c r="BM340" i="1" s="1"/>
  <c r="BL95" i="1"/>
  <c r="BM95" i="1" s="1"/>
  <c r="BL142" i="1"/>
  <c r="BM142" i="1" s="1"/>
  <c r="BL281" i="1"/>
  <c r="BM281" i="1" s="1"/>
  <c r="BL230" i="1"/>
  <c r="BM230" i="1" s="1"/>
  <c r="BK223" i="1"/>
  <c r="BM223" i="1" s="1"/>
  <c r="BK116" i="1"/>
  <c r="BM116" i="1" s="1"/>
  <c r="BK157" i="1"/>
  <c r="BM157" i="1" s="1"/>
  <c r="BL55" i="1"/>
  <c r="BM55" i="1" s="1"/>
  <c r="BL209" i="1"/>
  <c r="BM209" i="1" s="1"/>
  <c r="BL76" i="1"/>
  <c r="BM76" i="1" s="1"/>
  <c r="BK244" i="1"/>
  <c r="BM244" i="1" s="1"/>
  <c r="BK72" i="1"/>
  <c r="BM72" i="1" s="1"/>
  <c r="BK238" i="1"/>
  <c r="BM238" i="1" s="1"/>
  <c r="BL60" i="1"/>
  <c r="BM60" i="1" s="1"/>
  <c r="BL166" i="1"/>
  <c r="BM166" i="1" s="1"/>
  <c r="BL225" i="1"/>
  <c r="BM225" i="1" s="1"/>
  <c r="BK298" i="1"/>
  <c r="BM298" i="1" s="1"/>
  <c r="BL175" i="1"/>
  <c r="BM175" i="1" s="1"/>
  <c r="BK255" i="1"/>
  <c r="BM255" i="1" s="1"/>
  <c r="BK325" i="1"/>
  <c r="BM325" i="1" s="1"/>
  <c r="BL324" i="1"/>
  <c r="BM324" i="1" s="1"/>
  <c r="BL218" i="1"/>
  <c r="BM218" i="1" s="1"/>
  <c r="BK79" i="1"/>
  <c r="BM79" i="1" s="1"/>
  <c r="BL15" i="1"/>
  <c r="BM15" i="1" s="1"/>
  <c r="BH11" i="1"/>
  <c r="BJ11" i="1" s="1"/>
  <c r="F56" i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BN371" i="1" l="1"/>
  <c r="BN320" i="1"/>
  <c r="BN98" i="1"/>
  <c r="BN261" i="1"/>
  <c r="BN209" i="1"/>
  <c r="BN95" i="1"/>
  <c r="BN274" i="1"/>
  <c r="BN122" i="1"/>
  <c r="BN63" i="1"/>
  <c r="BN97" i="1"/>
  <c r="BN332" i="1"/>
  <c r="BN56" i="1"/>
  <c r="BN363" i="1"/>
  <c r="BN236" i="1"/>
  <c r="BN253" i="1"/>
  <c r="BN298" i="1"/>
  <c r="BN133" i="1"/>
  <c r="BN197" i="1"/>
  <c r="BN86" i="1"/>
  <c r="BN319" i="1"/>
  <c r="BN50" i="1"/>
  <c r="BN193" i="1"/>
  <c r="BN368" i="1"/>
  <c r="BN106" i="1"/>
  <c r="BN350" i="1"/>
  <c r="BN192" i="1"/>
  <c r="BN55" i="1"/>
  <c r="BN105" i="1"/>
  <c r="BN187" i="1"/>
  <c r="BN313" i="1"/>
  <c r="BN283" i="1"/>
  <c r="BN189" i="1"/>
  <c r="BN40" i="1"/>
  <c r="BN155" i="1"/>
  <c r="BN231" i="1"/>
  <c r="BN92" i="1"/>
  <c r="BN251" i="1"/>
  <c r="BN166" i="1"/>
  <c r="BN199" i="1"/>
  <c r="BN57" i="1"/>
  <c r="BN160" i="1"/>
  <c r="BN48" i="1"/>
  <c r="BN248" i="1"/>
  <c r="BN190" i="1"/>
  <c r="BN306" i="1"/>
  <c r="BN258" i="1"/>
  <c r="BN221" i="1"/>
  <c r="BN181" i="1"/>
  <c r="BN116" i="1"/>
  <c r="BN128" i="1"/>
  <c r="BN292" i="1"/>
  <c r="BN213" i="1"/>
  <c r="BN202" i="1"/>
  <c r="BN359" i="1"/>
  <c r="BN224" i="1"/>
  <c r="BN203" i="1"/>
  <c r="BN33" i="1"/>
  <c r="BN163" i="1"/>
  <c r="BN132" i="1"/>
  <c r="BN324" i="1"/>
  <c r="BN238" i="1"/>
  <c r="BN223" i="1"/>
  <c r="BN115" i="1"/>
  <c r="BN37" i="1"/>
  <c r="BN94" i="1"/>
  <c r="BN372" i="1"/>
  <c r="BN345" i="1"/>
  <c r="BN341" i="1"/>
  <c r="BN34" i="1"/>
  <c r="BN146" i="1"/>
  <c r="BN159" i="1"/>
  <c r="BN41" i="1"/>
  <c r="BN131" i="1"/>
  <c r="BN143" i="1"/>
  <c r="BN183" i="1"/>
  <c r="BN82" i="1"/>
  <c r="BN51" i="1"/>
  <c r="BN194" i="1"/>
  <c r="BN96" i="1"/>
  <c r="BN170" i="1"/>
  <c r="BN32" i="1"/>
  <c r="BN317" i="1"/>
  <c r="BN28" i="1"/>
  <c r="BN177" i="1"/>
  <c r="BN204" i="1"/>
  <c r="BN45" i="1"/>
  <c r="BN300" i="1"/>
  <c r="BN273" i="1"/>
  <c r="BN65" i="1"/>
  <c r="BN126" i="1"/>
  <c r="BN201" i="1"/>
  <c r="BN185" i="1"/>
  <c r="BN113" i="1"/>
  <c r="BN136" i="1"/>
  <c r="BN362" i="1"/>
  <c r="BN90" i="1"/>
  <c r="BN239" i="1"/>
  <c r="BN217" i="1"/>
  <c r="BN285" i="1"/>
  <c r="BN227" i="1"/>
  <c r="BN241" i="1"/>
  <c r="BN254" i="1"/>
  <c r="BN104" i="1"/>
  <c r="BN35" i="1"/>
  <c r="BN340" i="1"/>
  <c r="BN206" i="1"/>
  <c r="BN346" i="1"/>
  <c r="BN347" i="1"/>
  <c r="BN178" i="1"/>
  <c r="BN44" i="1"/>
  <c r="BN110" i="1"/>
  <c r="BN310" i="1"/>
  <c r="BN211" i="1"/>
  <c r="BN357" i="1"/>
  <c r="BN157" i="1"/>
  <c r="BN229" i="1"/>
  <c r="BN339" i="1"/>
  <c r="BN140" i="1"/>
  <c r="BN336" i="1"/>
  <c r="BN156" i="1"/>
  <c r="BN138" i="1"/>
  <c r="BN25" i="1"/>
  <c r="BN200" i="1"/>
  <c r="BN18" i="1"/>
  <c r="BN24" i="1"/>
  <c r="BN60" i="1"/>
  <c r="BN134" i="1"/>
  <c r="BN367" i="1"/>
  <c r="BN375" i="1"/>
  <c r="BN180" i="1"/>
  <c r="BN356" i="1"/>
  <c r="BN216" i="1"/>
  <c r="BN53" i="1"/>
  <c r="BN327" i="1"/>
  <c r="BN322" i="1"/>
  <c r="BN38" i="1"/>
  <c r="BN325" i="1"/>
  <c r="BN72" i="1"/>
  <c r="BN230" i="1"/>
  <c r="BN250" i="1"/>
  <c r="BN247" i="1"/>
  <c r="BN338" i="1"/>
  <c r="BN21" i="1"/>
  <c r="BN84" i="1"/>
  <c r="BN240" i="1"/>
  <c r="BN282" i="1"/>
  <c r="BN312" i="1"/>
  <c r="BN267" i="1"/>
  <c r="BN148" i="1"/>
  <c r="BN354" i="1"/>
  <c r="BN88" i="1"/>
  <c r="BN355" i="1"/>
  <c r="BN70" i="1"/>
  <c r="BN135" i="1"/>
  <c r="BN353" i="1"/>
  <c r="BN108" i="1"/>
  <c r="BN272" i="1"/>
  <c r="BN188" i="1"/>
  <c r="BN78" i="1"/>
  <c r="BN118" i="1"/>
  <c r="BN165" i="1"/>
  <c r="BN210" i="1"/>
  <c r="BN184" i="1"/>
  <c r="BN237" i="1"/>
  <c r="BN220" i="1"/>
  <c r="BN30" i="1"/>
  <c r="BN62" i="1"/>
  <c r="BN256" i="1"/>
  <c r="BN139" i="1"/>
  <c r="BN16" i="1"/>
  <c r="BN61" i="1"/>
  <c r="BN342" i="1"/>
  <c r="BN219" i="1"/>
  <c r="BN99" i="1"/>
  <c r="BN59" i="1"/>
  <c r="BN278" i="1"/>
  <c r="BN318" i="1"/>
  <c r="BN127" i="1"/>
  <c r="BN153" i="1"/>
  <c r="BN39" i="1"/>
  <c r="BN364" i="1"/>
  <c r="BN54" i="1"/>
  <c r="BN172" i="1"/>
  <c r="BN234" i="1"/>
  <c r="BN20" i="1"/>
  <c r="BN68" i="1"/>
  <c r="BN294" i="1"/>
  <c r="BN260" i="1"/>
  <c r="BN232" i="1"/>
  <c r="BN120" i="1"/>
  <c r="BN158" i="1"/>
  <c r="BN242" i="1"/>
  <c r="BN307" i="1"/>
  <c r="BN351" i="1"/>
  <c r="BN226" i="1"/>
  <c r="BN36" i="1"/>
  <c r="BN259" i="1"/>
  <c r="BN169" i="1"/>
  <c r="BN374" i="1"/>
  <c r="BN161" i="1"/>
  <c r="BN186" i="1"/>
  <c r="BN205" i="1"/>
  <c r="BN182" i="1"/>
  <c r="BN293" i="1"/>
  <c r="BN123" i="1"/>
  <c r="BN23" i="1"/>
  <c r="BN305" i="1"/>
  <c r="BN268" i="1"/>
  <c r="BN252" i="1"/>
  <c r="BN311" i="1"/>
  <c r="BN262" i="1"/>
  <c r="BN287" i="1"/>
  <c r="BN286" i="1"/>
  <c r="BN249" i="1"/>
  <c r="BN69" i="1"/>
  <c r="BN111" i="1"/>
  <c r="BN47" i="1"/>
  <c r="BN365" i="1"/>
  <c r="BN289" i="1"/>
  <c r="BN245" i="1"/>
  <c r="BN255" i="1"/>
  <c r="BN244" i="1"/>
  <c r="BN281" i="1"/>
  <c r="BN93" i="1"/>
  <c r="BN74" i="1"/>
  <c r="BN145" i="1"/>
  <c r="BN309" i="1"/>
  <c r="BN81" i="1"/>
  <c r="BN17" i="1"/>
  <c r="BN196" i="1"/>
  <c r="BN316" i="1"/>
  <c r="BN130" i="1"/>
  <c r="BN360" i="1"/>
  <c r="BN352" i="1"/>
  <c r="BN117" i="1"/>
  <c r="BN297" i="1"/>
  <c r="BN64" i="1"/>
  <c r="BN141" i="1"/>
  <c r="BN288" i="1"/>
  <c r="BN243" i="1"/>
  <c r="BN373" i="1"/>
  <c r="BN314" i="1"/>
  <c r="BN284" i="1"/>
  <c r="BN370" i="1"/>
  <c r="BN264" i="1"/>
  <c r="BN66" i="1"/>
  <c r="BN107" i="1"/>
  <c r="BN214" i="1"/>
  <c r="BN91" i="1"/>
  <c r="BN171" i="1"/>
  <c r="BN121" i="1"/>
  <c r="BN233" i="1"/>
  <c r="BN114" i="1"/>
  <c r="BN302" i="1"/>
  <c r="BN125" i="1"/>
  <c r="BN152" i="1"/>
  <c r="BN269" i="1"/>
  <c r="BN73" i="1"/>
  <c r="BN26" i="1"/>
  <c r="BN71" i="1"/>
  <c r="BN85" i="1"/>
  <c r="BN257" i="1"/>
  <c r="BN124" i="1"/>
  <c r="BN348" i="1"/>
  <c r="BN42" i="1"/>
  <c r="BN315" i="1"/>
  <c r="BN369" i="1"/>
  <c r="BN331" i="1"/>
  <c r="BN358" i="1"/>
  <c r="BN103" i="1"/>
  <c r="BN208" i="1"/>
  <c r="BN225" i="1"/>
  <c r="BN151" i="1"/>
  <c r="BN162" i="1"/>
  <c r="BN191" i="1"/>
  <c r="BN361" i="1"/>
  <c r="BN328" i="1"/>
  <c r="BN266" i="1"/>
  <c r="BN43" i="1"/>
  <c r="BN344" i="1"/>
  <c r="BN291" i="1"/>
  <c r="BN179" i="1"/>
  <c r="BN79" i="1"/>
  <c r="BN321" i="1"/>
  <c r="BN333" i="1"/>
  <c r="BN100" i="1"/>
  <c r="BN129" i="1"/>
  <c r="BN246" i="1"/>
  <c r="BN67" i="1"/>
  <c r="BN149" i="1"/>
  <c r="BN330" i="1"/>
  <c r="BN101" i="1"/>
  <c r="BN212" i="1"/>
  <c r="BN270" i="1"/>
  <c r="BN218" i="1"/>
  <c r="BN335" i="1"/>
  <c r="BN87" i="1"/>
  <c r="BN112" i="1"/>
  <c r="BN301" i="1"/>
  <c r="BN303" i="1"/>
  <c r="BN207" i="1"/>
  <c r="BN265" i="1"/>
  <c r="BN279" i="1"/>
  <c r="BN304" i="1"/>
  <c r="BN174" i="1"/>
  <c r="BN175" i="1"/>
  <c r="BN76" i="1"/>
  <c r="BN142" i="1"/>
  <c r="BN150" i="1"/>
  <c r="BN276" i="1"/>
  <c r="BN308" i="1"/>
  <c r="BN323" i="1"/>
  <c r="BN46" i="1"/>
  <c r="BN119" i="1"/>
  <c r="BN198" i="1"/>
  <c r="BN263" i="1"/>
  <c r="BN334" i="1"/>
  <c r="BN77" i="1"/>
  <c r="BN31" i="1"/>
  <c r="BN49" i="1"/>
  <c r="BN144" i="1"/>
  <c r="BN154" i="1"/>
  <c r="BN295" i="1"/>
  <c r="BN326" i="1"/>
  <c r="BN89" i="1"/>
  <c r="BN80" i="1"/>
  <c r="BN109" i="1"/>
  <c r="BN173" i="1"/>
  <c r="BN167" i="1"/>
  <c r="BN137" i="1"/>
  <c r="BN280" i="1"/>
  <c r="BN299" i="1"/>
  <c r="BN58" i="1"/>
  <c r="BN349" i="1"/>
  <c r="BN277" i="1"/>
  <c r="BN329" i="1"/>
  <c r="BN222" i="1"/>
  <c r="BN228" i="1"/>
  <c r="BN29" i="1"/>
  <c r="BN215" i="1"/>
  <c r="BN83" i="1"/>
  <c r="BN195" i="1"/>
  <c r="BN168" i="1"/>
  <c r="BN27" i="1"/>
  <c r="BN275" i="1"/>
  <c r="BN290" i="1"/>
  <c r="BN176" i="1"/>
  <c r="BN343" i="1"/>
  <c r="BN15" i="1"/>
  <c r="BM366" i="1"/>
  <c r="BN366" i="1" s="1"/>
  <c r="BM164" i="1"/>
  <c r="BN164" i="1" s="1"/>
  <c r="BM75" i="1"/>
  <c r="BN75" i="1" s="1"/>
  <c r="BM337" i="1"/>
  <c r="BN337" i="1" s="1"/>
  <c r="BM52" i="1"/>
  <c r="BN52" i="1" s="1"/>
  <c r="BM235" i="1"/>
  <c r="BN235" i="1" s="1"/>
  <c r="BM296" i="1"/>
  <c r="BN296" i="1" s="1"/>
  <c r="BM147" i="1"/>
  <c r="BN147" i="1" s="1"/>
  <c r="BM22" i="1"/>
  <c r="BN22" i="1" s="1"/>
  <c r="BM19" i="1"/>
  <c r="BN19" i="1" s="1"/>
  <c r="BM271" i="1"/>
  <c r="BN271" i="1" s="1"/>
  <c r="BM102" i="1"/>
  <c r="BN102" i="1" s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K71" i="1" l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K72" i="1" l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N72" i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BP9" i="1" s="1"/>
  <c r="AB7" i="1"/>
  <c r="O58" i="1"/>
  <c r="B79" i="1"/>
  <c r="U5" i="1" s="1"/>
  <c r="P58" i="1"/>
  <c r="BO9" i="1" l="1"/>
  <c r="W6" i="1"/>
  <c r="U7" i="1"/>
  <c r="W7" i="1" s="1"/>
  <c r="AB9" i="1"/>
  <c r="S58" i="1"/>
  <c r="T58" i="1"/>
  <c r="B83" i="1"/>
  <c r="U8" i="1"/>
  <c r="AA7" i="1" s="1"/>
  <c r="AA9" i="1"/>
  <c r="U18" i="1"/>
  <c r="BQ9" i="1" l="1"/>
  <c r="BR9" i="1" s="1"/>
  <c r="AC9" i="1"/>
  <c r="V19" i="1"/>
  <c r="V21" i="1" s="1"/>
  <c r="U19" i="1"/>
  <c r="U21" i="1" s="1"/>
  <c r="W19" i="1"/>
  <c r="W21" i="1" s="1"/>
  <c r="BS9" i="1" l="1"/>
  <c r="BT9" i="1" s="1"/>
  <c r="BU9" i="1" s="1"/>
  <c r="U23" i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<sst xmlns="http://schemas.openxmlformats.org/spreadsheetml/2006/main" count="265" uniqueCount="164">
  <si>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</si>
  <si>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</si>
  <si>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</si>
  <si>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</si>
  <si>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</si>
  <si>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</si>
  <si>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</si>
  <si>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</si>
  <si>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</si>
  <si>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</si>
  <si>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</si>
  <si>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</si>
  <si>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</si>
  <si>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</si>
  <si>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</si>
  <si>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</si>
  <si>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</si>
  <si>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</si>
  <si>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</si>
  <si>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</si>
  <si>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</si>
  <si>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</si>
  <si>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</si>
  <si>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</si>
  <si>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</si>
  <si>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</si>
  <si>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</si>
  <si>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</si>
  <si>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</si>
  <si>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</si>
  <si>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</si>
  <si>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</si>
  <si>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</si>
  <si>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</si>
  <si>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</si>
  <si>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</si>
  <si>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</si>
  <si>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</si>
  <si>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</si>
  <si>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</si>
  <si>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</si>
  <si>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</si>
  <si>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</si>
  <si>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</si>
  <si>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</si>
  <si>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</si>
  <si>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</si>
  <si>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</si>
  <si>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</si>
  <si>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</si>
  <si>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</si>
  <si>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</si>
  <si>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</si>
  <si>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</si>
  <si>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</si>
  <si>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</si>
  <si>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</si>
  <si>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</si>
  <si>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</si>
  <si>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</si>
  <si>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</si>
  <si>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</si>
  <si>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</si>
  <si>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</si>
  <si>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</si>
  <si>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</si>
  <si>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</si>
  <si>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</si>
  <si>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</si>
  <si>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</si>
  <si>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</si>
  <si>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</si>
  <si>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</si>
  <si>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</si>
  <si>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</si>
  <si>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</si>
  <si>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</si>
  <si>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</si>
  <si>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</si>
  <si>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</si>
  <si>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</si>
  <si>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</si>
  <si>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</si>
  <si>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</si>
  <si>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</si>
  <si>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</si>
  <si>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</si>
  <si>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</si>
  <si>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</si>
  <si>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</si>
  <si>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</si>
  <si>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</si>
  <si>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</si>
  <si>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</si>
  <si>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</si>
  <si>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</si>
  <si>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</si>
  <si>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</si>
  <si>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</si>
  <si>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</si>
  <si>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</si>
  <si>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</si>
  <si>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</si>
  <si>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</si>
  <si>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</si>
  <si>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</si>
  <si>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</si>
  <si>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</si>
  <si>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</si>
  <si>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</si>
  <si>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</si>
  <si>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</si>
  <si>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</si>
  <si>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</si>
  <si>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</si>
  <si>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</si>
  <si>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</si>
  <si>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</si>
  <si>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</si>
  <si>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</si>
  <si>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</si>
  <si>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</si>
  <si>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</si>
  <si>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</si>
  <si>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</si>
  <si>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</si>
  <si>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</si>
  <si>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</si>
  <si>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</si>
  <si>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</si>
  <si>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</si>
  <si>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</si>
  <si>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</si>
  <si>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</si>
  <si>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</si>
  <si>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</si>
  <si>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</si>
  <si>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</si>
  <si>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</si>
  <si>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</si>
  <si>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</si>
  <si>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</si>
  <si>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</si>
  <si>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</si>
  <si>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</si>
  <si>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</si>
  <si>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</si>
  <si>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</si>
  <si>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Alpha+2pi</t>
  </si>
  <si>
    <t>Try Working with a guess center point of Mx vs My instead of 0,0</t>
  </si>
  <si>
    <t>Guess Point - determined via parametric line between full compression and tension</t>
  </si>
  <si>
    <t>2D Vector Between User Load and New Center Point - moving from load to point</t>
  </si>
  <si>
    <t>UG</t>
  </si>
  <si>
    <t>|UG|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</si>
  <si>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</si>
  <si>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</si>
  <si>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</si>
  <si>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</si>
  <si>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</si>
  <si>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</si>
  <si>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</si>
  <si>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M0</t>
  </si>
  <si>
    <t>Mrd</t>
  </si>
  <si>
    <t>Screen Update: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</si>
</sst>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22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-6.6279929999538254</c:v>
                </c:pt>
                <c:pt idx="1">
                  <c:v>8.6400701733638829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2.9820177422003713</c:v>
                </c:pt>
                <c:pt idx="1">
                  <c:v>27.291181795027683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-7.5707010242872901</c:v>
                </c:pt>
                <c:pt idx="1">
                  <c:v>7.6973621490304183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3.574112379360173</c:v>
                </c:pt>
                <c:pt idx="1">
                  <c:v>27.883276432187486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1.7527865772612135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21.209287388154173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-13.353128666005993</c:v>
                </c:pt>
                <c:pt idx="1">
                  <c:v>-6.97066104019338</c:v>
                </c:pt>
                <c:pt idx="2">
                  <c:v>6.5785320972728698</c:v>
                </c:pt>
                <c:pt idx="3">
                  <c:v>6.5785320972728698</c:v>
                </c:pt>
                <c:pt idx="4">
                  <c:v>13.353128666005993</c:v>
                </c:pt>
                <c:pt idx="5">
                  <c:v>6.97066104019338</c:v>
                </c:pt>
                <c:pt idx="6">
                  <c:v>0.19606447146025507</c:v>
                </c:pt>
                <c:pt idx="7">
                  <c:v>0.19606447146025507</c:v>
                </c:pt>
                <c:pt idx="8">
                  <c:v>-13.353128666005993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-1.3015201992627707</c:v>
                </c:pt>
                <c:pt idx="1">
                  <c:v>-11.463415052362457</c:v>
                </c:pt>
                <c:pt idx="2">
                  <c:v>-2.9534582179456388</c:v>
                </c:pt>
                <c:pt idx="3">
                  <c:v>-2.9534582179456388</c:v>
                </c:pt>
                <c:pt idx="4">
                  <c:v>1.3015201992627707</c:v>
                </c:pt>
                <c:pt idx="5">
                  <c:v>11.463415052362457</c:v>
                </c:pt>
                <c:pt idx="6">
                  <c:v>7.2084366351540483</c:v>
                </c:pt>
                <c:pt idx="7">
                  <c:v>7.2084366351540483</c:v>
                </c:pt>
                <c:pt idx="8">
                  <c:v>-1.3015201992627707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10.595734919520611</c:v>
                </c:pt>
                <c:pt idx="4">
                  <c:v>9.5319903152185077</c:v>
                </c:pt>
                <c:pt idx="5">
                  <c:v>8.9020857773373301</c:v>
                </c:pt>
                <c:pt idx="6">
                  <c:v>7.8383411730352268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1.9314247371439497</c:v>
                </c:pt>
                <c:pt idx="4">
                  <c:v>3.625073879327231</c:v>
                </c:pt>
                <c:pt idx="5">
                  <c:v>0.86768013284184731</c:v>
                </c:pt>
                <c:pt idx="6">
                  <c:v>2.5613292750251286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-14.353128666005993</c:v>
                </c:pt>
                <c:pt idx="1">
                  <c:v>14.353128666005993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5.897279771720914</c:v>
                </c:pt>
                <c:pt idx="1">
                  <c:v>5.897279771720914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-14.353128666005993</c:v>
                </c:pt>
                <c:pt idx="1">
                  <c:v>14.353128666005993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7.0105068278492233</c:v>
                </c:pt>
                <c:pt idx="1">
                  <c:v>7.0105068278492233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9.7674369362755264</c:v>
                </c:pt>
                <c:pt idx="5">
                  <c:v>6.97066104019338</c:v>
                </c:pt>
                <c:pt idx="6">
                  <c:v>0.19606447146025507</c:v>
                </c:pt>
                <c:pt idx="7">
                  <c:v>0.19606447146025507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7.0105068278492233</c:v>
                </c:pt>
                <c:pt idx="5">
                  <c:v>11.463415052362457</c:v>
                </c:pt>
                <c:pt idx="6">
                  <c:v>7.2084366351540483</c:v>
                </c:pt>
                <c:pt idx="7">
                  <c:v>7.2084366351540483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6.97066104019338</c:v>
                </c:pt>
                <c:pt idx="5">
                  <c:v>0.19606447146025507</c:v>
                </c:pt>
                <c:pt idx="6">
                  <c:v>0.19606447146025507</c:v>
                </c:pt>
                <c:pt idx="7">
                  <c:v>-0.11907099150573737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11.463415052362457</c:v>
                </c:pt>
                <c:pt idx="5">
                  <c:v>7.2084366351540483</c:v>
                </c:pt>
                <c:pt idx="6">
                  <c:v>7.2084366351540483</c:v>
                </c:pt>
                <c:pt idx="7">
                  <c:v>7.0105068278492233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70.710678118654755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64.727906069901294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-50.000000001975415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70.710678118654755</c:v>
                </c:pt>
                <c:pt idx="1">
                  <c:v>64.727906069901294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-50</c:v>
                </c:pt>
                <c:pt idx="1">
                  <c:v>-50.000000001975415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0.000</c:formatCode>
                <c:ptCount val="361"/>
                <c:pt idx="0">
                  <c:v>-235.40829919722148</c:v>
                </c:pt>
                <c:pt idx="1">
                  <c:v>-235.40130681248903</c:v>
                </c:pt>
                <c:pt idx="2">
                  <c:v>-235.38031259618248</c:v>
                </c:pt>
                <c:pt idx="3">
                  <c:v>-235.34526529431406</c:v>
                </c:pt>
                <c:pt idx="4">
                  <c:v>-235.29607923089998</c:v>
                </c:pt>
                <c:pt idx="5">
                  <c:v>-235.2326337971387</c:v>
                </c:pt>
                <c:pt idx="6">
                  <c:v>-235.15477283484734</c:v>
                </c:pt>
                <c:pt idx="7">
                  <c:v>-235.0623038888499</c:v>
                </c:pt>
                <c:pt idx="8">
                  <c:v>-234.95499708866669</c:v>
                </c:pt>
                <c:pt idx="9">
                  <c:v>-234.83258396672471</c:v>
                </c:pt>
                <c:pt idx="10">
                  <c:v>-234.69475606578163</c:v>
                </c:pt>
                <c:pt idx="11">
                  <c:v>-234.54116318382665</c:v>
                </c:pt>
                <c:pt idx="12">
                  <c:v>-234.37141150505136</c:v>
                </c:pt>
                <c:pt idx="13">
                  <c:v>-234.18506141016985</c:v>
                </c:pt>
                <c:pt idx="14">
                  <c:v>-233.98162500444846</c:v>
                </c:pt>
                <c:pt idx="15">
                  <c:v>-233.76056333983777</c:v>
                </c:pt>
                <c:pt idx="16">
                  <c:v>-233.52128327406842</c:v>
                </c:pt>
                <c:pt idx="17">
                  <c:v>-233.2631340247101</c:v>
                </c:pt>
                <c:pt idx="18">
                  <c:v>-232.98540324222293</c:v>
                </c:pt>
                <c:pt idx="19">
                  <c:v>-232.68731265407729</c:v>
                </c:pt>
                <c:pt idx="20">
                  <c:v>-232.3680132996125</c:v>
                </c:pt>
                <c:pt idx="21">
                  <c:v>-232.02658004449782</c:v>
                </c:pt>
                <c:pt idx="22">
                  <c:v>-231.66200566301825</c:v>
                </c:pt>
                <c:pt idx="23">
                  <c:v>-231.27319413816298</c:v>
                </c:pt>
                <c:pt idx="24">
                  <c:v>-230.8607206407693</c:v>
                </c:pt>
                <c:pt idx="25">
                  <c:v>-230.44518310844751</c:v>
                </c:pt>
                <c:pt idx="26">
                  <c:v>-230.03234268106553</c:v>
                </c:pt>
                <c:pt idx="27">
                  <c:v>-229.62161385589786</c:v>
                </c:pt>
                <c:pt idx="28">
                  <c:v>-229.21243934590873</c:v>
                </c:pt>
                <c:pt idx="29">
                  <c:v>-228.80428464145689</c:v>
                </c:pt>
                <c:pt idx="30">
                  <c:v>-228.39663331527993</c:v>
                </c:pt>
                <c:pt idx="31">
                  <c:v>-227.9889828224583</c:v>
                </c:pt>
                <c:pt idx="32">
                  <c:v>-227.58084069027939</c:v>
                </c:pt>
                <c:pt idx="33">
                  <c:v>-227.17172095250021</c:v>
                </c:pt>
                <c:pt idx="34">
                  <c:v>-226.76114098755431</c:v>
                </c:pt>
                <c:pt idx="35">
                  <c:v>-226.34861831196841</c:v>
                </c:pt>
                <c:pt idx="36">
                  <c:v>-225.933667632001</c:v>
                </c:pt>
                <c:pt idx="37">
                  <c:v>-225.51579792279256</c:v>
                </c:pt>
                <c:pt idx="38">
                  <c:v>-225.0945094830129</c:v>
                </c:pt>
                <c:pt idx="39">
                  <c:v>-224.66929095984858</c:v>
                </c:pt>
                <c:pt idx="40">
                  <c:v>-224.23961635633231</c:v>
                </c:pt>
                <c:pt idx="41">
                  <c:v>-223.80494185833689</c:v>
                </c:pt>
                <c:pt idx="42">
                  <c:v>-223.36470250638664</c:v>
                </c:pt>
                <c:pt idx="43">
                  <c:v>-222.91830868127749</c:v>
                </c:pt>
                <c:pt idx="44">
                  <c:v>-221.49520842569194</c:v>
                </c:pt>
                <c:pt idx="45">
                  <c:v>-219.0645191459468</c:v>
                </c:pt>
                <c:pt idx="46">
                  <c:v>-216.68527766215192</c:v>
                </c:pt>
                <c:pt idx="47">
                  <c:v>-214.35387099284145</c:v>
                </c:pt>
                <c:pt idx="48">
                  <c:v>-212.0669220212491</c:v>
                </c:pt>
                <c:pt idx="49">
                  <c:v>-209.82126575126063</c:v>
                </c:pt>
                <c:pt idx="50">
                  <c:v>-207.61392805704412</c:v>
                </c:pt>
                <c:pt idx="51">
                  <c:v>-205.44210658285709</c:v>
                </c:pt>
                <c:pt idx="52">
                  <c:v>-203.30315350703543</c:v>
                </c:pt>
                <c:pt idx="53">
                  <c:v>-201.19455991531896</c:v>
                </c:pt>
                <c:pt idx="54">
                  <c:v>-199.11394154927692</c:v>
                </c:pt>
                <c:pt idx="55">
                  <c:v>-197.05902574304861</c:v>
                </c:pt>
                <c:pt idx="56">
                  <c:v>-195.02763935367688</c:v>
                </c:pt>
                <c:pt idx="57">
                  <c:v>-193.01769751875673</c:v>
                </c:pt>
                <c:pt idx="58">
                  <c:v>-191.02719307660132</c:v>
                </c:pt>
                <c:pt idx="59">
                  <c:v>-189.05418648874331</c:v>
                </c:pt>
                <c:pt idx="60">
                  <c:v>-187.09679608020417</c:v>
                </c:pt>
                <c:pt idx="61">
                  <c:v>-185.15318842965115</c:v>
                </c:pt>
                <c:pt idx="62">
                  <c:v>-183.22156866991924</c:v>
                </c:pt>
                <c:pt idx="63">
                  <c:v>-181.30017045299945</c:v>
                </c:pt>
                <c:pt idx="64">
                  <c:v>-179.38724522979794</c:v>
                </c:pt>
                <c:pt idx="65">
                  <c:v>-177.48105041830027</c:v>
                </c:pt>
                <c:pt idx="66">
                  <c:v>-175.5798358579913</c:v>
                </c:pt>
                <c:pt idx="67">
                  <c:v>-173.53145658249241</c:v>
                </c:pt>
                <c:pt idx="68">
                  <c:v>-171.15883250780109</c:v>
                </c:pt>
                <c:pt idx="69">
                  <c:v>-168.80161768666775</c:v>
                </c:pt>
                <c:pt idx="70">
                  <c:v>-166.45868531462406</c:v>
                </c:pt>
                <c:pt idx="71">
                  <c:v>-164.1290501672909</c:v>
                </c:pt>
                <c:pt idx="72">
                  <c:v>-161.81187619472482</c:v>
                </c:pt>
                <c:pt idx="73">
                  <c:v>-159.50648139959472</c:v>
                </c:pt>
                <c:pt idx="74">
                  <c:v>-157.12948385535287</c:v>
                </c:pt>
                <c:pt idx="75">
                  <c:v>-154.43603238673393</c:v>
                </c:pt>
                <c:pt idx="76">
                  <c:v>-151.76537396562026</c:v>
                </c:pt>
                <c:pt idx="77">
                  <c:v>-149.11948662111104</c:v>
                </c:pt>
                <c:pt idx="78">
                  <c:v>-146.50099373176371</c:v>
                </c:pt>
                <c:pt idx="79">
                  <c:v>-143.9130679112518</c:v>
                </c:pt>
                <c:pt idx="80">
                  <c:v>-141.35903399791789</c:v>
                </c:pt>
                <c:pt idx="81">
                  <c:v>-138.8412391788259</c:v>
                </c:pt>
                <c:pt idx="82">
                  <c:v>-136.3581245476586</c:v>
                </c:pt>
                <c:pt idx="83">
                  <c:v>-133.89671633825481</c:v>
                </c:pt>
                <c:pt idx="84">
                  <c:v>-131.41269020475875</c:v>
                </c:pt>
                <c:pt idx="85">
                  <c:v>-128.77341156094815</c:v>
                </c:pt>
                <c:pt idx="86">
                  <c:v>-125.91242827993491</c:v>
                </c:pt>
                <c:pt idx="87">
                  <c:v>-123.28187349289216</c:v>
                </c:pt>
                <c:pt idx="88">
                  <c:v>-120.98135352703946</c:v>
                </c:pt>
                <c:pt idx="89">
                  <c:v>-116.65745897368232</c:v>
                </c:pt>
                <c:pt idx="90">
                  <c:v>-110.74785146259046</c:v>
                </c:pt>
                <c:pt idx="91">
                  <c:v>-96.256194115688302</c:v>
                </c:pt>
                <c:pt idx="92">
                  <c:v>-81.736072195629774</c:v>
                </c:pt>
                <c:pt idx="93">
                  <c:v>-66.368435560955021</c:v>
                </c:pt>
                <c:pt idx="94">
                  <c:v>-54.343260984675403</c:v>
                </c:pt>
                <c:pt idx="95">
                  <c:v>-47.916603036961419</c:v>
                </c:pt>
                <c:pt idx="96">
                  <c:v>-44.154869084977634</c:v>
                </c:pt>
                <c:pt idx="97">
                  <c:v>-41.751459558580279</c:v>
                </c:pt>
                <c:pt idx="98">
                  <c:v>-40.115667020085723</c:v>
                </c:pt>
                <c:pt idx="99">
                  <c:v>-38.94728606632043</c:v>
                </c:pt>
                <c:pt idx="100">
                  <c:v>-38.080118781511445</c:v>
                </c:pt>
                <c:pt idx="101">
                  <c:v>-37.415921720518632</c:v>
                </c:pt>
                <c:pt idx="102">
                  <c:v>-36.893522702663532</c:v>
                </c:pt>
                <c:pt idx="103">
                  <c:v>-36.473186301771648</c:v>
                </c:pt>
                <c:pt idx="104">
                  <c:v>-36.128177725833027</c:v>
                </c:pt>
                <c:pt idx="105">
                  <c:v>-35.839966114990688</c:v>
                </c:pt>
                <c:pt idx="106">
                  <c:v>-35.595374775095422</c:v>
                </c:pt>
                <c:pt idx="107">
                  <c:v>-35.363865648083681</c:v>
                </c:pt>
                <c:pt idx="108">
                  <c:v>-35.10200391662859</c:v>
                </c:pt>
                <c:pt idx="109">
                  <c:v>-34.868587932547726</c:v>
                </c:pt>
                <c:pt idx="110">
                  <c:v>-34.658244232096735</c:v>
                </c:pt>
                <c:pt idx="111">
                  <c:v>-34.466804910710145</c:v>
                </c:pt>
                <c:pt idx="112">
                  <c:v>-34.290994756587764</c:v>
                </c:pt>
                <c:pt idx="113">
                  <c:v>-34.128209077307631</c:v>
                </c:pt>
                <c:pt idx="114">
                  <c:v>-33.976353418980082</c:v>
                </c:pt>
                <c:pt idx="115">
                  <c:v>-33.833726041316353</c:v>
                </c:pt>
                <c:pt idx="116">
                  <c:v>-33.698930793166532</c:v>
                </c:pt>
                <c:pt idx="117">
                  <c:v>-33.570811554139944</c:v>
                </c:pt>
                <c:pt idx="118">
                  <c:v>-33.448402485881076</c:v>
                </c:pt>
                <c:pt idx="119">
                  <c:v>-33.330889752852059</c:v>
                </c:pt>
                <c:pt idx="120">
                  <c:v>-33.217581815495144</c:v>
                </c:pt>
                <c:pt idx="121">
                  <c:v>-33.107886272591045</c:v>
                </c:pt>
                <c:pt idx="122">
                  <c:v>-33.001291362826208</c:v>
                </c:pt>
                <c:pt idx="123">
                  <c:v>-32.89735143787594</c:v>
                </c:pt>
                <c:pt idx="124">
                  <c:v>-32.795675171685609</c:v>
                </c:pt>
                <c:pt idx="125">
                  <c:v>-32.695915957888928</c:v>
                </c:pt>
                <c:pt idx="126">
                  <c:v>-32.597764204606044</c:v>
                </c:pt>
                <c:pt idx="127">
                  <c:v>-32.50094087321969</c:v>
                </c:pt>
                <c:pt idx="128">
                  <c:v>-32.405192157012706</c:v>
                </c:pt>
                <c:pt idx="129">
                  <c:v>-32.310284992729635</c:v>
                </c:pt>
                <c:pt idx="130">
                  <c:v>-32.216003284388805</c:v>
                </c:pt>
                <c:pt idx="131">
                  <c:v>-32.122144625436846</c:v>
                </c:pt>
                <c:pt idx="132">
                  <c:v>-32.02851753068488</c:v>
                </c:pt>
                <c:pt idx="133">
                  <c:v>-31.934938890673074</c:v>
                </c:pt>
                <c:pt idx="134">
                  <c:v>-31.84123176592842</c:v>
                </c:pt>
                <c:pt idx="135">
                  <c:v>-31.747223390933005</c:v>
                </c:pt>
                <c:pt idx="136">
                  <c:v>-31.65274332739995</c:v>
                </c:pt>
                <c:pt idx="137">
                  <c:v>-31.557621579691958</c:v>
                </c:pt>
                <c:pt idx="138">
                  <c:v>-31.461687013247747</c:v>
                </c:pt>
                <c:pt idx="139">
                  <c:v>-31.364765564793572</c:v>
                </c:pt>
                <c:pt idx="140">
                  <c:v>-31.266678520957701</c:v>
                </c:pt>
                <c:pt idx="141">
                  <c:v>-31.167240802872023</c:v>
                </c:pt>
                <c:pt idx="142">
                  <c:v>-31.06625898742513</c:v>
                </c:pt>
                <c:pt idx="143">
                  <c:v>-30.963529337432867</c:v>
                </c:pt>
                <c:pt idx="144">
                  <c:v>-30.858835574255771</c:v>
                </c:pt>
                <c:pt idx="145">
                  <c:v>-30.751946350021541</c:v>
                </c:pt>
                <c:pt idx="146">
                  <c:v>-30.642612475762224</c:v>
                </c:pt>
                <c:pt idx="147">
                  <c:v>-30.530563782054656</c:v>
                </c:pt>
                <c:pt idx="148">
                  <c:v>-30.415505303473196</c:v>
                </c:pt>
                <c:pt idx="149">
                  <c:v>-30.297113123290266</c:v>
                </c:pt>
                <c:pt idx="150">
                  <c:v>-30.175029187198721</c:v>
                </c:pt>
                <c:pt idx="151">
                  <c:v>-30.048855400322957</c:v>
                </c:pt>
                <c:pt idx="152">
                  <c:v>-29.918146367011804</c:v>
                </c:pt>
                <c:pt idx="153">
                  <c:v>-29.782400779804178</c:v>
                </c:pt>
                <c:pt idx="154">
                  <c:v>-29.641050831406226</c:v>
                </c:pt>
                <c:pt idx="155">
                  <c:v>-29.493449296403327</c:v>
                </c:pt>
                <c:pt idx="156">
                  <c:v>-29.338853590807194</c:v>
                </c:pt>
                <c:pt idx="157">
                  <c:v>-29.176405777515217</c:v>
                </c:pt>
                <c:pt idx="158">
                  <c:v>-29.00510746461979</c:v>
                </c:pt>
                <c:pt idx="159">
                  <c:v>-28.823787806079853</c:v>
                </c:pt>
                <c:pt idx="160">
                  <c:v>-28.631062410991056</c:v>
                </c:pt>
                <c:pt idx="161">
                  <c:v>-28.425279799597313</c:v>
                </c:pt>
                <c:pt idx="162">
                  <c:v>-28.204450865830971</c:v>
                </c:pt>
                <c:pt idx="163">
                  <c:v>-27.966154531238466</c:v>
                </c:pt>
                <c:pt idx="164">
                  <c:v>-27.788540058453187</c:v>
                </c:pt>
                <c:pt idx="165">
                  <c:v>-27.621333227215828</c:v>
                </c:pt>
                <c:pt idx="166">
                  <c:v>-27.435067144706117</c:v>
                </c:pt>
                <c:pt idx="167">
                  <c:v>-27.225735139543659</c:v>
                </c:pt>
                <c:pt idx="168">
                  <c:v>-26.988105687632697</c:v>
                </c:pt>
                <c:pt idx="169">
                  <c:v>-26.715205260957408</c:v>
                </c:pt>
                <c:pt idx="170">
                  <c:v>-26.397511429967963</c:v>
                </c:pt>
                <c:pt idx="171">
                  <c:v>-26.021645238380252</c:v>
                </c:pt>
                <c:pt idx="172">
                  <c:v>-25.572580164040872</c:v>
                </c:pt>
                <c:pt idx="173">
                  <c:v>-25.105069788160655</c:v>
                </c:pt>
                <c:pt idx="174">
                  <c:v>-24.642765670258925</c:v>
                </c:pt>
                <c:pt idx="175">
                  <c:v>-24.185630566482789</c:v>
                </c:pt>
                <c:pt idx="176">
                  <c:v>-23.733658479330874</c:v>
                </c:pt>
                <c:pt idx="177">
                  <c:v>-23.28687540856059</c:v>
                </c:pt>
                <c:pt idx="178">
                  <c:v>-22.845340176596075</c:v>
                </c:pt>
                <c:pt idx="179">
                  <c:v>-22.409145421479487</c:v>
                </c:pt>
                <c:pt idx="180">
                  <c:v>-21.97841872747609</c:v>
                </c:pt>
                <c:pt idx="181">
                  <c:v>-22.40371662999199</c:v>
                </c:pt>
                <c:pt idx="182">
                  <c:v>-22.790631481833806</c:v>
                </c:pt>
                <c:pt idx="183">
                  <c:v>-23.148075882051987</c:v>
                </c:pt>
                <c:pt idx="184">
                  <c:v>-23.482887907429642</c:v>
                </c:pt>
                <c:pt idx="185">
                  <c:v>-23.800419474026654</c:v>
                </c:pt>
                <c:pt idx="186">
                  <c:v>-24.104936984782089</c:v>
                </c:pt>
                <c:pt idx="187">
                  <c:v>-24.399900795801663</c:v>
                </c:pt>
                <c:pt idx="188">
                  <c:v>-24.688164527670111</c:v>
                </c:pt>
                <c:pt idx="189">
                  <c:v>-24.972119844813452</c:v>
                </c:pt>
                <c:pt idx="190">
                  <c:v>-25.253803696414046</c:v>
                </c:pt>
                <c:pt idx="191">
                  <c:v>-25.534978874194536</c:v>
                </c:pt>
                <c:pt idx="192">
                  <c:v>-25.811237897336031</c:v>
                </c:pt>
                <c:pt idx="193">
                  <c:v>-26.058848427389378</c:v>
                </c:pt>
                <c:pt idx="194">
                  <c:v>-26.280903265894842</c:v>
                </c:pt>
                <c:pt idx="195">
                  <c:v>-26.482585944145022</c:v>
                </c:pt>
                <c:pt idx="196">
                  <c:v>-26.667891133785851</c:v>
                </c:pt>
                <c:pt idx="197">
                  <c:v>-26.839957684780362</c:v>
                </c:pt>
                <c:pt idx="198">
                  <c:v>-27.001295620998562</c:v>
                </c:pt>
                <c:pt idx="199">
                  <c:v>-27.153944811786239</c:v>
                </c:pt>
                <c:pt idx="200">
                  <c:v>-27.316308577565948</c:v>
                </c:pt>
                <c:pt idx="201">
                  <c:v>-27.515845287802314</c:v>
                </c:pt>
                <c:pt idx="202">
                  <c:v>-27.705537378797082</c:v>
                </c:pt>
                <c:pt idx="203">
                  <c:v>-27.886955418618783</c:v>
                </c:pt>
                <c:pt idx="204">
                  <c:v>-28.061457263427791</c:v>
                </c:pt>
                <c:pt idx="205">
                  <c:v>-28.230230455305843</c:v>
                </c:pt>
                <c:pt idx="206">
                  <c:v>-28.394325668260954</c:v>
                </c:pt>
                <c:pt idx="207">
                  <c:v>-28.554683225294802</c:v>
                </c:pt>
                <c:pt idx="208">
                  <c:v>-28.712154654333354</c:v>
                </c:pt>
                <c:pt idx="209">
                  <c:v>-28.867520266401161</c:v>
                </c:pt>
                <c:pt idx="210">
                  <c:v>-29.021503876554455</c:v>
                </c:pt>
                <c:pt idx="211">
                  <c:v>-29.174785098788178</c:v>
                </c:pt>
                <c:pt idx="212">
                  <c:v>-29.328010044333272</c:v>
                </c:pt>
                <c:pt idx="213">
                  <c:v>-29.481800514968015</c:v>
                </c:pt>
                <c:pt idx="214">
                  <c:v>-29.636762396853516</c:v>
                </c:pt>
                <c:pt idx="215">
                  <c:v>-29.793493085883615</c:v>
                </c:pt>
                <c:pt idx="216">
                  <c:v>-29.952588555358123</c:v>
                </c:pt>
                <c:pt idx="217">
                  <c:v>-30.114650068908436</c:v>
                </c:pt>
                <c:pt idx="218">
                  <c:v>-30.280290605708117</c:v>
                </c:pt>
                <c:pt idx="219">
                  <c:v>-30.450141471659737</c:v>
                </c:pt>
                <c:pt idx="220">
                  <c:v>-30.62485882588766</c:v>
                </c:pt>
                <c:pt idx="221">
                  <c:v>-30.805130709010655</c:v>
                </c:pt>
                <c:pt idx="222">
                  <c:v>-30.991684259757676</c:v>
                </c:pt>
                <c:pt idx="223">
                  <c:v>-31.185293623314202</c:v>
                </c:pt>
                <c:pt idx="224">
                  <c:v>-31.386788618799983</c:v>
                </c:pt>
                <c:pt idx="225">
                  <c:v>-31.597064223648118</c:v>
                </c:pt>
                <c:pt idx="226">
                  <c:v>-31.817091285388532</c:v>
                </c:pt>
                <c:pt idx="227">
                  <c:v>-32.047928538139011</c:v>
                </c:pt>
                <c:pt idx="228">
                  <c:v>-32.290736297106449</c:v>
                </c:pt>
                <c:pt idx="229">
                  <c:v>-32.54679219276769</c:v>
                </c:pt>
                <c:pt idx="230">
                  <c:v>-32.817509320272194</c:v>
                </c:pt>
                <c:pt idx="231">
                  <c:v>-33.104457232332074</c:v>
                </c:pt>
                <c:pt idx="232">
                  <c:v>-33.40938651113963</c:v>
                </c:pt>
                <c:pt idx="233">
                  <c:v>-33.734257615360264</c:v>
                </c:pt>
                <c:pt idx="234">
                  <c:v>-34.081274828330663</c:v>
                </c:pt>
                <c:pt idx="235">
                  <c:v>-34.45292664202637</c:v>
                </c:pt>
                <c:pt idx="236">
                  <c:v>-34.852033740234603</c:v>
                </c:pt>
                <c:pt idx="237">
                  <c:v>-35.228101455846748</c:v>
                </c:pt>
                <c:pt idx="238">
                  <c:v>-35.620027332244462</c:v>
                </c:pt>
                <c:pt idx="239">
                  <c:v>-36.044113930664921</c:v>
                </c:pt>
                <c:pt idx="240">
                  <c:v>-36.504358583792914</c:v>
                </c:pt>
                <c:pt idx="241">
                  <c:v>-37.005386567578867</c:v>
                </c:pt>
                <c:pt idx="242">
                  <c:v>-37.552576507272896</c:v>
                </c:pt>
                <c:pt idx="243">
                  <c:v>-38.152216256200624</c:v>
                </c:pt>
                <c:pt idx="244">
                  <c:v>-38.811697844677319</c:v>
                </c:pt>
                <c:pt idx="245">
                  <c:v>-39.539763425213259</c:v>
                </c:pt>
                <c:pt idx="246">
                  <c:v>-40.346818194231034</c:v>
                </c:pt>
                <c:pt idx="247">
                  <c:v>-41.245332175314559</c:v>
                </c:pt>
                <c:pt idx="248">
                  <c:v>-42.250361305508022</c:v>
                </c:pt>
                <c:pt idx="249">
                  <c:v>-43.380230369227945</c:v>
                </c:pt>
                <c:pt idx="250">
                  <c:v>-44.63871085327807</c:v>
                </c:pt>
                <c:pt idx="251">
                  <c:v>-46.05629530590987</c:v>
                </c:pt>
                <c:pt idx="252">
                  <c:v>-47.664378129094018</c:v>
                </c:pt>
                <c:pt idx="253">
                  <c:v>-49.501311482014245</c:v>
                </c:pt>
                <c:pt idx="254">
                  <c:v>-51.616001877066012</c:v>
                </c:pt>
                <c:pt idx="255">
                  <c:v>-53.7691317489111</c:v>
                </c:pt>
                <c:pt idx="256">
                  <c:v>-55.943513597616921</c:v>
                </c:pt>
                <c:pt idx="257">
                  <c:v>-58.471918980318293</c:v>
                </c:pt>
                <c:pt idx="258">
                  <c:v>-61.446702525409378</c:v>
                </c:pt>
                <c:pt idx="259">
                  <c:v>-64.994724913780288</c:v>
                </c:pt>
                <c:pt idx="260">
                  <c:v>-69.294944647918584</c:v>
                </c:pt>
                <c:pt idx="261">
                  <c:v>-74.217112395416592</c:v>
                </c:pt>
                <c:pt idx="262">
                  <c:v>-78.335775237013138</c:v>
                </c:pt>
                <c:pt idx="263">
                  <c:v>-83.295965642629199</c:v>
                </c:pt>
                <c:pt idx="264">
                  <c:v>-89.385724810440365</c:v>
                </c:pt>
                <c:pt idx="265">
                  <c:v>-95.85416275327745</c:v>
                </c:pt>
                <c:pt idx="266">
                  <c:v>-102.30287465433975</c:v>
                </c:pt>
                <c:pt idx="267">
                  <c:v>-108.73586344726404</c:v>
                </c:pt>
                <c:pt idx="268">
                  <c:v>-115.15709344262703</c:v>
                </c:pt>
                <c:pt idx="269">
                  <c:v>-121.57050015835529</c:v>
                </c:pt>
                <c:pt idx="270">
                  <c:v>-127.97999999999681</c:v>
                </c:pt>
                <c:pt idx="271">
                  <c:v>-134.38949984163833</c:v>
                </c:pt>
                <c:pt idx="272">
                  <c:v>-140.80290655736658</c:v>
                </c:pt>
                <c:pt idx="273">
                  <c:v>-147.22413655272959</c:v>
                </c:pt>
                <c:pt idx="274">
                  <c:v>-153.65712534565387</c:v>
                </c:pt>
                <c:pt idx="275">
                  <c:v>-160.10583724671616</c:v>
                </c:pt>
                <c:pt idx="276">
                  <c:v>-166.57427518955319</c:v>
                </c:pt>
                <c:pt idx="277">
                  <c:v>-172.66403435736595</c:v>
                </c:pt>
                <c:pt idx="278">
                  <c:v>-177.62422476298332</c:v>
                </c:pt>
                <c:pt idx="279">
                  <c:v>-181.7428876045808</c:v>
                </c:pt>
                <c:pt idx="280">
                  <c:v>-185.23676743451341</c:v>
                </c:pt>
                <c:pt idx="281">
                  <c:v>-188.25188212230933</c:v>
                </c:pt>
                <c:pt idx="282">
                  <c:v>-190.89067068973364</c:v>
                </c:pt>
                <c:pt idx="283">
                  <c:v>-193.22740387735809</c:v>
                </c:pt>
                <c:pt idx="284">
                  <c:v>-195.31741873440524</c:v>
                </c:pt>
                <c:pt idx="285">
                  <c:v>-197.20290406054542</c:v>
                </c:pt>
                <c:pt idx="286">
                  <c:v>-198.91666259123829</c:v>
                </c:pt>
                <c:pt idx="287">
                  <c:v>-200.48463626191804</c:v>
                </c:pt>
                <c:pt idx="288">
                  <c:v>-201.92764800743549</c:v>
                </c:pt>
                <c:pt idx="289">
                  <c:v>-203.26263214750992</c:v>
                </c:pt>
                <c:pt idx="290">
                  <c:v>-204.50352175812168</c:v>
                </c:pt>
                <c:pt idx="291">
                  <c:v>-205.66190065146429</c:v>
                </c:pt>
                <c:pt idx="292">
                  <c:v>-206.74749030540488</c:v>
                </c:pt>
                <c:pt idx="293">
                  <c:v>-207.76851900975504</c:v>
                </c:pt>
                <c:pt idx="294">
                  <c:v>-208.73200548471269</c:v>
                </c:pt>
                <c:pt idx="295">
                  <c:v>-209.64397940279764</c:v>
                </c:pt>
                <c:pt idx="296">
                  <c:v>-210.50965478229455</c:v>
                </c:pt>
                <c:pt idx="297">
                  <c:v>-211.33356777143129</c:v>
                </c:pt>
                <c:pt idx="298">
                  <c:v>-212.11968704599818</c:v>
                </c:pt>
                <c:pt idx="299">
                  <c:v>-212.87150318339297</c:v>
                </c:pt>
                <c:pt idx="300">
                  <c:v>-213.59210140377559</c:v>
                </c:pt>
                <c:pt idx="301">
                  <c:v>-214.28422141775403</c:v>
                </c:pt>
                <c:pt idx="302">
                  <c:v>-214.95030688703014</c:v>
                </c:pt>
                <c:pt idx="303">
                  <c:v>-215.59254655977909</c:v>
                </c:pt>
                <c:pt idx="304">
                  <c:v>-216.21290880860874</c:v>
                </c:pt>
                <c:pt idx="305">
                  <c:v>-216.81317062787085</c:v>
                </c:pt>
                <c:pt idx="306">
                  <c:v>-217.39494228574679</c:v>
                </c:pt>
                <c:pt idx="307">
                  <c:v>-217.9596882831743</c:v>
                </c:pt>
                <c:pt idx="308">
                  <c:v>-218.50874527578358</c:v>
                </c:pt>
                <c:pt idx="309">
                  <c:v>-219.04333751438713</c:v>
                </c:pt>
                <c:pt idx="310">
                  <c:v>-219.56459020687035</c:v>
                </c:pt>
                <c:pt idx="311">
                  <c:v>-220.0735410897953</c:v>
                </c:pt>
                <c:pt idx="312">
                  <c:v>-220.57115054146323</c:v>
                </c:pt>
                <c:pt idx="313">
                  <c:v>-221.05831043650974</c:v>
                </c:pt>
                <c:pt idx="314">
                  <c:v>-221.53585198994884</c:v>
                </c:pt>
                <c:pt idx="315">
                  <c:v>-222.00455265390229</c:v>
                </c:pt>
                <c:pt idx="316">
                  <c:v>-222.46514228254864</c:v>
                </c:pt>
                <c:pt idx="317">
                  <c:v>-222.91830868127556</c:v>
                </c:pt>
                <c:pt idx="318">
                  <c:v>-223.3647025063847</c:v>
                </c:pt>
                <c:pt idx="319">
                  <c:v>-223.80494185833481</c:v>
                </c:pt>
                <c:pt idx="320">
                  <c:v>-224.23961635633023</c:v>
                </c:pt>
                <c:pt idx="321">
                  <c:v>-224.66929095984636</c:v>
                </c:pt>
                <c:pt idx="322">
                  <c:v>-225.09450948301063</c:v>
                </c:pt>
                <c:pt idx="323">
                  <c:v>-225.51579792279028</c:v>
                </c:pt>
                <c:pt idx="324">
                  <c:v>-225.93366763199859</c:v>
                </c:pt>
                <c:pt idx="325">
                  <c:v>-226.34861831196591</c:v>
                </c:pt>
                <c:pt idx="326">
                  <c:v>-226.76114098755184</c:v>
                </c:pt>
                <c:pt idx="327">
                  <c:v>-227.17172095249754</c:v>
                </c:pt>
                <c:pt idx="328">
                  <c:v>-227.58084069027655</c:v>
                </c:pt>
                <c:pt idx="329">
                  <c:v>-227.98898282245548</c:v>
                </c:pt>
                <c:pt idx="330">
                  <c:v>-228.3966333152768</c:v>
                </c:pt>
                <c:pt idx="331">
                  <c:v>-228.80428464145373</c:v>
                </c:pt>
                <c:pt idx="332">
                  <c:v>-229.21243934590544</c:v>
                </c:pt>
                <c:pt idx="333">
                  <c:v>-229.6216138558944</c:v>
                </c:pt>
                <c:pt idx="334">
                  <c:v>-230.03234268106181</c:v>
                </c:pt>
                <c:pt idx="335">
                  <c:v>-230.44518310844359</c:v>
                </c:pt>
                <c:pt idx="336">
                  <c:v>-230.86072064076544</c:v>
                </c:pt>
                <c:pt idx="337">
                  <c:v>-231.273194138159</c:v>
                </c:pt>
                <c:pt idx="338">
                  <c:v>-231.6620056630143</c:v>
                </c:pt>
                <c:pt idx="339">
                  <c:v>-232.02658004449384</c:v>
                </c:pt>
                <c:pt idx="340">
                  <c:v>-232.36801329960872</c:v>
                </c:pt>
                <c:pt idx="341">
                  <c:v>-232.68731265407351</c:v>
                </c:pt>
                <c:pt idx="342">
                  <c:v>-232.98540324221909</c:v>
                </c:pt>
                <c:pt idx="343">
                  <c:v>-233.26313402470635</c:v>
                </c:pt>
                <c:pt idx="344">
                  <c:v>-233.52128327406467</c:v>
                </c:pt>
                <c:pt idx="345">
                  <c:v>-233.76056333983414</c:v>
                </c:pt>
                <c:pt idx="346">
                  <c:v>-233.98162500444474</c:v>
                </c:pt>
                <c:pt idx="347">
                  <c:v>-234.18506141016638</c:v>
                </c:pt>
                <c:pt idx="348">
                  <c:v>-234.37141150504777</c:v>
                </c:pt>
                <c:pt idx="349">
                  <c:v>-234.54116318382296</c:v>
                </c:pt>
                <c:pt idx="350">
                  <c:v>-234.69475606577819</c:v>
                </c:pt>
                <c:pt idx="351">
                  <c:v>-234.83258396672113</c:v>
                </c:pt>
                <c:pt idx="352">
                  <c:v>-234.95499708866316</c:v>
                </c:pt>
                <c:pt idx="353">
                  <c:v>-235.06230388884632</c:v>
                </c:pt>
                <c:pt idx="354">
                  <c:v>-235.1547728348437</c:v>
                </c:pt>
                <c:pt idx="355">
                  <c:v>-235.23263379713515</c:v>
                </c:pt>
                <c:pt idx="356">
                  <c:v>-235.2960792308964</c:v>
                </c:pt>
                <c:pt idx="357">
                  <c:v>-235.34526529431051</c:v>
                </c:pt>
                <c:pt idx="358">
                  <c:v>-235.38031259617901</c:v>
                </c:pt>
                <c:pt idx="359">
                  <c:v>-235.40130681248536</c:v>
                </c:pt>
                <c:pt idx="360">
                  <c:v>-235.40829919721787</c:v>
                </c:pt>
              </c:numCache>
            </c:numRef>
          </c:xVal>
          <c:yVal>
            <c:numRef>
              <c:f>L_Section_Capacity!$AU$2:$AU$362</c:f>
              <c:numCache>
                <c:formatCode>0.000</c:formatCode>
                <c:ptCount val="361"/>
                <c:pt idx="0">
                  <c:v>42.659999999999982</c:v>
                </c:pt>
                <c:pt idx="1">
                  <c:v>41.85881251979481</c:v>
                </c:pt>
                <c:pt idx="2">
                  <c:v>41.057136680328824</c:v>
                </c:pt>
                <c:pt idx="3">
                  <c:v>40.254482930908431</c:v>
                </c:pt>
                <c:pt idx="4">
                  <c:v>39.45035933179291</c:v>
                </c:pt>
                <c:pt idx="5">
                  <c:v>38.644270344160134</c:v>
                </c:pt>
                <c:pt idx="6">
                  <c:v>37.835715601305502</c:v>
                </c:pt>
                <c:pt idx="7">
                  <c:v>37.024188654556738</c:v>
                </c:pt>
                <c:pt idx="8">
                  <c:v>36.209175687160297</c:v>
                </c:pt>
                <c:pt idx="9">
                  <c:v>35.390154189103882</c:v>
                </c:pt>
                <c:pt idx="10">
                  <c:v>34.566591585481547</c:v>
                </c:pt>
                <c:pt idx="11">
                  <c:v>33.737943810578827</c:v>
                </c:pt>
                <c:pt idx="12">
                  <c:v>32.903653819346104</c:v>
                </c:pt>
                <c:pt idx="13">
                  <c:v>32.063150027336789</c:v>
                </c:pt>
                <c:pt idx="14">
                  <c:v>31.215844669498154</c:v>
                </c:pt>
                <c:pt idx="15">
                  <c:v>30.361132067411592</c:v>
                </c:pt>
                <c:pt idx="16">
                  <c:v>29.498386793670875</c:v>
                </c:pt>
                <c:pt idx="17">
                  <c:v>28.626961721047653</c:v>
                </c:pt>
                <c:pt idx="18">
                  <c:v>27.746185942909776</c:v>
                </c:pt>
                <c:pt idx="19">
                  <c:v>26.855362550004557</c:v>
                </c:pt>
                <c:pt idx="20">
                  <c:v>25.95376624718152</c:v>
                </c:pt>
                <c:pt idx="21">
                  <c:v>25.040640791874623</c:v>
                </c:pt>
                <c:pt idx="22">
                  <c:v>24.115196234166536</c:v>
                </c:pt>
                <c:pt idx="23">
                  <c:v>23.176605935979399</c:v>
                </c:pt>
                <c:pt idx="24">
                  <c:v>22.227994512087193</c:v>
                </c:pt>
                <c:pt idx="25">
                  <c:v>21.316020599630342</c:v>
                </c:pt>
                <c:pt idx="26">
                  <c:v>20.450345219804092</c:v>
                </c:pt>
                <c:pt idx="27">
                  <c:v>19.626432233546307</c:v>
                </c:pt>
                <c:pt idx="28">
                  <c:v>18.840312950683209</c:v>
                </c:pt>
                <c:pt idx="29">
                  <c:v>18.088496816096907</c:v>
                </c:pt>
                <c:pt idx="30">
                  <c:v>17.367898596983743</c:v>
                </c:pt>
                <c:pt idx="31">
                  <c:v>16.675778580231182</c:v>
                </c:pt>
                <c:pt idx="32">
                  <c:v>16.009693112996239</c:v>
                </c:pt>
                <c:pt idx="33">
                  <c:v>15.367453437277321</c:v>
                </c:pt>
                <c:pt idx="34">
                  <c:v>14.747091192550709</c:v>
                </c:pt>
                <c:pt idx="35">
                  <c:v>14.146829373652901</c:v>
                </c:pt>
                <c:pt idx="36">
                  <c:v>13.565057713288724</c:v>
                </c:pt>
                <c:pt idx="37">
                  <c:v>13.000311718019548</c:v>
                </c:pt>
                <c:pt idx="38">
                  <c:v>12.451254728307925</c:v>
                </c:pt>
                <c:pt idx="39">
                  <c:v>11.91666248724083</c:v>
                </c:pt>
                <c:pt idx="40">
                  <c:v>11.395409791794641</c:v>
                </c:pt>
                <c:pt idx="41">
                  <c:v>10.886458908207494</c:v>
                </c:pt>
                <c:pt idx="42">
                  <c:v>10.388849461802556</c:v>
                </c:pt>
                <c:pt idx="43">
                  <c:v>9.9016895661136566</c:v>
                </c:pt>
                <c:pt idx="44">
                  <c:v>9.4193958239005902</c:v>
                </c:pt>
                <c:pt idx="45">
                  <c:v>8.9499019007028195</c:v>
                </c:pt>
                <c:pt idx="46">
                  <c:v>8.500148009067626</c:v>
                </c:pt>
                <c:pt idx="47">
                  <c:v>8.0687481404795385</c:v>
                </c:pt>
                <c:pt idx="48">
                  <c:v>7.6544300831558871</c:v>
                </c:pt>
                <c:pt idx="49">
                  <c:v>7.2560226298466528</c:v>
                </c:pt>
                <c:pt idx="50">
                  <c:v>6.872444230714426</c:v>
                </c:pt>
                <c:pt idx="51">
                  <c:v>6.5026928176599741</c:v>
                </c:pt>
                <c:pt idx="52">
                  <c:v>6.145836667243036</c:v>
                </c:pt>
                <c:pt idx="53">
                  <c:v>5.8010061164210711</c:v>
                </c:pt>
                <c:pt idx="54">
                  <c:v>5.4673859217372041</c:v>
                </c:pt>
                <c:pt idx="55">
                  <c:v>5.144208215021818</c:v>
                </c:pt>
                <c:pt idx="56">
                  <c:v>4.830745847961154</c:v>
                </c:pt>
                <c:pt idx="57">
                  <c:v>4.5263060299553324</c:v>
                </c:pt>
                <c:pt idx="58">
                  <c:v>4.2302241277981398</c:v>
                </c:pt>
                <c:pt idx="59">
                  <c:v>3.9418575090049779</c:v>
                </c:pt>
                <c:pt idx="60">
                  <c:v>3.6605792316260652</c:v>
                </c:pt>
                <c:pt idx="61">
                  <c:v>3.3857715014968925</c:v>
                </c:pt>
                <c:pt idx="62">
                  <c:v>3.1168186203414425</c:v>
                </c:pt>
                <c:pt idx="63">
                  <c:v>2.8530992653948521</c:v>
                </c:pt>
                <c:pt idx="64">
                  <c:v>2.5939777638688346</c:v>
                </c:pt>
                <c:pt idx="65">
                  <c:v>2.3387940486865624</c:v>
                </c:pt>
                <c:pt idx="66">
                  <c:v>2.0868518102620905</c:v>
                </c:pt>
                <c:pt idx="67">
                  <c:v>1.8159519546191936</c:v>
                </c:pt>
                <c:pt idx="68">
                  <c:v>1.503281123369278</c:v>
                </c:pt>
                <c:pt idx="69">
                  <c:v>1.1980865185881702</c:v>
                </c:pt>
                <c:pt idx="70">
                  <c:v>0.89925955685781311</c:v>
                </c:pt>
                <c:pt idx="71">
                  <c:v>0.60556898723503794</c:v>
                </c:pt>
                <c:pt idx="72">
                  <c:v>0.31561596736866154</c:v>
                </c:pt>
                <c:pt idx="73">
                  <c:v>2.7774594229152367E-2</c:v>
                </c:pt>
                <c:pt idx="74">
                  <c:v>-0.26598709424650835</c:v>
                </c:pt>
                <c:pt idx="75">
                  <c:v>-0.58400774559951873</c:v>
                </c:pt>
                <c:pt idx="76">
                  <c:v>-0.90296003162792582</c:v>
                </c:pt>
                <c:pt idx="77">
                  <c:v>-1.2265240949152383</c:v>
                </c:pt>
                <c:pt idx="78">
                  <c:v>-1.5594632359034604</c:v>
                </c:pt>
                <c:pt idx="79">
                  <c:v>-1.9081062179272092</c:v>
                </c:pt>
                <c:pt idx="80">
                  <c:v>-2.2811010551795712</c:v>
                </c:pt>
                <c:pt idx="81">
                  <c:v>-2.6906393304759666</c:v>
                </c:pt>
                <c:pt idx="82">
                  <c:v>-3.154537691110241</c:v>
                </c:pt>
                <c:pt idx="83">
                  <c:v>-3.6999790927858136</c:v>
                </c:pt>
                <c:pt idx="84">
                  <c:v>-4.3707200083643762</c:v>
                </c:pt>
                <c:pt idx="85">
                  <c:v>-5.2422687248811446</c:v>
                </c:pt>
                <c:pt idx="86">
                  <c:v>-6.3330970469902832</c:v>
                </c:pt>
                <c:pt idx="87">
                  <c:v>-7.4773214357429456</c:v>
                </c:pt>
                <c:pt idx="88">
                  <c:v>-8.7120237875541306</c:v>
                </c:pt>
                <c:pt idx="89">
                  <c:v>-9.3812956364650617</c:v>
                </c:pt>
                <c:pt idx="90">
                  <c:v>-9.501377024419881</c:v>
                </c:pt>
                <c:pt idx="91">
                  <c:v>-8.5666169334609386</c:v>
                </c:pt>
                <c:pt idx="92">
                  <c:v>-7.2506157542970051</c:v>
                </c:pt>
                <c:pt idx="93">
                  <c:v>-4.9946806860303363</c:v>
                </c:pt>
                <c:pt idx="94">
                  <c:v>-2.9951204530557267</c:v>
                </c:pt>
                <c:pt idx="95">
                  <c:v>-1.6574986207513915</c:v>
                </c:pt>
                <c:pt idx="96">
                  <c:v>-0.70739359999721041</c:v>
                </c:pt>
                <c:pt idx="97">
                  <c:v>7.5345787907318421E-3</c:v>
                </c:pt>
                <c:pt idx="98">
                  <c:v>0.56815357981258441</c:v>
                </c:pt>
                <c:pt idx="99">
                  <c:v>1.0216452419226707</c:v>
                </c:pt>
                <c:pt idx="100">
                  <c:v>1.3975114315667279</c:v>
                </c:pt>
                <c:pt idx="101">
                  <c:v>1.7152052609639927</c:v>
                </c:pt>
                <c:pt idx="102">
                  <c:v>1.9881056836105544</c:v>
                </c:pt>
                <c:pt idx="103">
                  <c:v>2.2257351348697529</c:v>
                </c:pt>
                <c:pt idx="104">
                  <c:v>2.4350671450967085</c:v>
                </c:pt>
                <c:pt idx="105">
                  <c:v>2.6213332302775481</c:v>
                </c:pt>
                <c:pt idx="106">
                  <c:v>2.7885400572672805</c:v>
                </c:pt>
                <c:pt idx="107">
                  <c:v>2.9661545307715973</c:v>
                </c:pt>
                <c:pt idx="108">
                  <c:v>3.2044508602083619</c:v>
                </c:pt>
                <c:pt idx="109">
                  <c:v>3.4252798033592438</c:v>
                </c:pt>
                <c:pt idx="110">
                  <c:v>3.6310624101679068</c:v>
                </c:pt>
                <c:pt idx="111">
                  <c:v>3.8237878035576025</c:v>
                </c:pt>
                <c:pt idx="112">
                  <c:v>4.0051074637503783</c:v>
                </c:pt>
                <c:pt idx="113">
                  <c:v>4.1764057781044599</c:v>
                </c:pt>
                <c:pt idx="114">
                  <c:v>4.3388535889265798</c:v>
                </c:pt>
                <c:pt idx="115">
                  <c:v>4.4934492915584086</c:v>
                </c:pt>
                <c:pt idx="116">
                  <c:v>4.6410508246178139</c:v>
                </c:pt>
                <c:pt idx="117">
                  <c:v>4.782400781090046</c:v>
                </c:pt>
                <c:pt idx="118">
                  <c:v>4.9181463715233971</c:v>
                </c:pt>
                <c:pt idx="119">
                  <c:v>5.0488554006693578</c:v>
                </c:pt>
                <c:pt idx="120">
                  <c:v>5.1750291838830726</c:v>
                </c:pt>
                <c:pt idx="121">
                  <c:v>5.2971131180560782</c:v>
                </c:pt>
                <c:pt idx="122">
                  <c:v>5.4155053048305968</c:v>
                </c:pt>
                <c:pt idx="123">
                  <c:v>5.5305637745877494</c:v>
                </c:pt>
                <c:pt idx="124">
                  <c:v>5.6426124829089881</c:v>
                </c:pt>
                <c:pt idx="125">
                  <c:v>5.7519463471302155</c:v>
                </c:pt>
                <c:pt idx="126">
                  <c:v>5.8588355758251129</c:v>
                </c:pt>
                <c:pt idx="127">
                  <c:v>5.9635293425011362</c:v>
                </c:pt>
                <c:pt idx="128">
                  <c:v>6.0662589850466802</c:v>
                </c:pt>
                <c:pt idx="129">
                  <c:v>6.1672407989219469</c:v>
                </c:pt>
                <c:pt idx="130">
                  <c:v>6.2666785225990758</c:v>
                </c:pt>
                <c:pt idx="131">
                  <c:v>6.3647655561991074</c:v>
                </c:pt>
                <c:pt idx="132">
                  <c:v>6.4616870125449113</c:v>
                </c:pt>
                <c:pt idx="133">
                  <c:v>6.557621582302291</c:v>
                </c:pt>
                <c:pt idx="134">
                  <c:v>6.6527433237036444</c:v>
                </c:pt>
                <c:pt idx="135">
                  <c:v>6.7472233944606241</c:v>
                </c:pt>
                <c:pt idx="136">
                  <c:v>6.8412317625526606</c:v>
                </c:pt>
                <c:pt idx="137">
                  <c:v>6.9349388860360452</c:v>
                </c:pt>
                <c:pt idx="138">
                  <c:v>7.0285175345791098</c:v>
                </c:pt>
                <c:pt idx="139">
                  <c:v>7.1221446322093094</c:v>
                </c:pt>
                <c:pt idx="140">
                  <c:v>7.2160032776889658</c:v>
                </c:pt>
                <c:pt idx="141">
                  <c:v>7.3102849884370551</c:v>
                </c:pt>
                <c:pt idx="142">
                  <c:v>7.4051921515885697</c:v>
                </c:pt>
                <c:pt idx="143">
                  <c:v>7.5009408673107147</c:v>
                </c:pt>
                <c:pt idx="144">
                  <c:v>7.5977642002767469</c:v>
                </c:pt>
                <c:pt idx="145">
                  <c:v>7.695915956422926</c:v>
                </c:pt>
                <c:pt idx="146">
                  <c:v>7.7956751678370511</c:v>
                </c:pt>
                <c:pt idx="147">
                  <c:v>7.8973514469872779</c:v>
                </c:pt>
                <c:pt idx="148">
                  <c:v>8.0012913606817353</c:v>
                </c:pt>
                <c:pt idx="149">
                  <c:v>8.1078862704433927</c:v>
                </c:pt>
                <c:pt idx="150">
                  <c:v>8.2175818227201809</c:v>
                </c:pt>
                <c:pt idx="151">
                  <c:v>8.3308897504565955</c:v>
                </c:pt>
                <c:pt idx="152">
                  <c:v>8.4484024870600294</c:v>
                </c:pt>
                <c:pt idx="153">
                  <c:v>8.5708115548561068</c:v>
                </c:pt>
                <c:pt idx="154">
                  <c:v>8.6989307940515879</c:v>
                </c:pt>
                <c:pt idx="155">
                  <c:v>8.8337260456091506</c:v>
                </c:pt>
                <c:pt idx="156">
                  <c:v>8.9763534206107121</c:v>
                </c:pt>
                <c:pt idx="157">
                  <c:v>9.1282090797944271</c:v>
                </c:pt>
                <c:pt idx="158">
                  <c:v>9.290994754929919</c:v>
                </c:pt>
                <c:pt idx="159">
                  <c:v>9.4668049173243745</c:v>
                </c:pt>
                <c:pt idx="160">
                  <c:v>9.6582442359265706</c:v>
                </c:pt>
                <c:pt idx="161">
                  <c:v>9.8685879255895266</c:v>
                </c:pt>
                <c:pt idx="162">
                  <c:v>10.102003919634107</c:v>
                </c:pt>
                <c:pt idx="163">
                  <c:v>10.363865646983616</c:v>
                </c:pt>
                <c:pt idx="164">
                  <c:v>10.59537476931785</c:v>
                </c:pt>
                <c:pt idx="165">
                  <c:v>10.83996611032285</c:v>
                </c:pt>
                <c:pt idx="166">
                  <c:v>11.128177728862997</c:v>
                </c:pt>
                <c:pt idx="167">
                  <c:v>11.473186300819812</c:v>
                </c:pt>
                <c:pt idx="168">
                  <c:v>11.893522702199343</c:v>
                </c:pt>
                <c:pt idx="169">
                  <c:v>12.415921718698105</c:v>
                </c:pt>
                <c:pt idx="170">
                  <c:v>13.080118781537518</c:v>
                </c:pt>
                <c:pt idx="171">
                  <c:v>13.947286063639632</c:v>
                </c:pt>
                <c:pt idx="172">
                  <c:v>15.099469484685109</c:v>
                </c:pt>
                <c:pt idx="173">
                  <c:v>16.370899733672321</c:v>
                </c:pt>
                <c:pt idx="174">
                  <c:v>17.682360993454218</c:v>
                </c:pt>
                <c:pt idx="175">
                  <c:v>19.036927541310206</c:v>
                </c:pt>
                <c:pt idx="176">
                  <c:v>20.437952615391996</c:v>
                </c:pt>
                <c:pt idx="177">
                  <c:v>21.889106005261532</c:v>
                </c:pt>
                <c:pt idx="178">
                  <c:v>23.394417829605253</c:v>
                </c:pt>
                <c:pt idx="179">
                  <c:v>24.958329807087157</c:v>
                </c:pt>
                <c:pt idx="180">
                  <c:v>26.585755611521748</c:v>
                </c:pt>
                <c:pt idx="181">
                  <c:v>27.042442092861869</c:v>
                </c:pt>
                <c:pt idx="182">
                  <c:v>27.497591835164528</c:v>
                </c:pt>
                <c:pt idx="183">
                  <c:v>27.952484924798036</c:v>
                </c:pt>
                <c:pt idx="184">
                  <c:v>28.408065826578611</c:v>
                </c:pt>
                <c:pt idx="185">
                  <c:v>28.865063573988724</c:v>
                </c:pt>
                <c:pt idx="186">
                  <c:v>29.324066671257093</c:v>
                </c:pt>
                <c:pt idx="187">
                  <c:v>29.785571100796425</c:v>
                </c:pt>
                <c:pt idx="188">
                  <c:v>30.250011931242213</c:v>
                </c:pt>
                <c:pt idx="189">
                  <c:v>30.717784597331367</c:v>
                </c:pt>
                <c:pt idx="190">
                  <c:v>31.18925961706131</c:v>
                </c:pt>
                <c:pt idx="191">
                  <c:v>31.664792963663508</c:v>
                </c:pt>
                <c:pt idx="192">
                  <c:v>32.135898718510688</c:v>
                </c:pt>
                <c:pt idx="193">
                  <c:v>32.568849217575981</c:v>
                </c:pt>
                <c:pt idx="194">
                  <c:v>32.972285434669388</c:v>
                </c:pt>
                <c:pt idx="195">
                  <c:v>33.355871010069258</c:v>
                </c:pt>
                <c:pt idx="196">
                  <c:v>33.726189280568335</c:v>
                </c:pt>
                <c:pt idx="197">
                  <c:v>34.087837184450819</c:v>
                </c:pt>
                <c:pt idx="198">
                  <c:v>34.444100232504731</c:v>
                </c:pt>
                <c:pt idx="199">
                  <c:v>34.797380716673359</c:v>
                </c:pt>
                <c:pt idx="200">
                  <c:v>35.151116041021709</c:v>
                </c:pt>
                <c:pt idx="201">
                  <c:v>35.507910759866427</c:v>
                </c:pt>
                <c:pt idx="202">
                  <c:v>35.863680014353889</c:v>
                </c:pt>
                <c:pt idx="203">
                  <c:v>36.219712335609401</c:v>
                </c:pt>
                <c:pt idx="204">
                  <c:v>36.577062823316993</c:v>
                </c:pt>
                <c:pt idx="205">
                  <c:v>36.936616993249721</c:v>
                </c:pt>
                <c:pt idx="206">
                  <c:v>37.299137170815264</c:v>
                </c:pt>
                <c:pt idx="207">
                  <c:v>37.66529666602014</c:v>
                </c:pt>
                <c:pt idx="208">
                  <c:v>38.035705388080324</c:v>
                </c:pt>
                <c:pt idx="209">
                  <c:v>38.410929318918853</c:v>
                </c:pt>
                <c:pt idx="210">
                  <c:v>38.791505617020377</c:v>
                </c:pt>
                <c:pt idx="211">
                  <c:v>39.177954518232539</c:v>
                </c:pt>
                <c:pt idx="212">
                  <c:v>39.570788975059614</c:v>
                </c:pt>
                <c:pt idx="213">
                  <c:v>39.970522604845286</c:v>
                </c:pt>
                <c:pt idx="214">
                  <c:v>40.377676498585672</c:v>
                </c:pt>
                <c:pt idx="215">
                  <c:v>40.792785154130186</c:v>
                </c:pt>
                <c:pt idx="216">
                  <c:v>41.216401887714099</c:v>
                </c:pt>
                <c:pt idx="217">
                  <c:v>41.649103898576172</c:v>
                </c:pt>
                <c:pt idx="218">
                  <c:v>42.091497139797312</c:v>
                </c:pt>
                <c:pt idx="219">
                  <c:v>42.544221205582872</c:v>
                </c:pt>
                <c:pt idx="220">
                  <c:v>43.007954276689219</c:v>
                </c:pt>
                <c:pt idx="221">
                  <c:v>43.483418328454178</c:v>
                </c:pt>
                <c:pt idx="222">
                  <c:v>43.971384618467127</c:v>
                </c:pt>
                <c:pt idx="223">
                  <c:v>44.472679632869387</c:v>
                </c:pt>
                <c:pt idx="224">
                  <c:v>44.988191583405978</c:v>
                </c:pt>
                <c:pt idx="225">
                  <c:v>45.518877550754226</c:v>
                </c:pt>
                <c:pt idx="226">
                  <c:v>46.065771445819394</c:v>
                </c:pt>
                <c:pt idx="227">
                  <c:v>46.629992905586406</c:v>
                </c:pt>
                <c:pt idx="228">
                  <c:v>47.212757311448911</c:v>
                </c:pt>
                <c:pt idx="229">
                  <c:v>47.815387132320566</c:v>
                </c:pt>
                <c:pt idx="230">
                  <c:v>48.43932481900525</c:v>
                </c:pt>
                <c:pt idx="231">
                  <c:v>49.086147513420059</c:v>
                </c:pt>
                <c:pt idx="232">
                  <c:v>49.7575839269727</c:v>
                </c:pt>
                <c:pt idx="233">
                  <c:v>50.455533775025437</c:v>
                </c:pt>
                <c:pt idx="234">
                  <c:v>51.182090229385096</c:v>
                </c:pt>
                <c:pt idx="235">
                  <c:v>51.939566006671072</c:v>
                </c:pt>
                <c:pt idx="236">
                  <c:v>52.730523756279567</c:v>
                </c:pt>
                <c:pt idx="237">
                  <c:v>53.45106217262429</c:v>
                </c:pt>
                <c:pt idx="238">
                  <c:v>54.178828753962748</c:v>
                </c:pt>
                <c:pt idx="239">
                  <c:v>54.942715939729894</c:v>
                </c:pt>
                <c:pt idx="240">
                  <c:v>55.746029616240818</c:v>
                </c:pt>
                <c:pt idx="241">
                  <c:v>56.592492653684033</c:v>
                </c:pt>
                <c:pt idx="242">
                  <c:v>57.486314193142519</c:v>
                </c:pt>
                <c:pt idx="243">
                  <c:v>58.432273375950388</c:v>
                </c:pt>
                <c:pt idx="244">
                  <c:v>59.435821167891163</c:v>
                </c:pt>
                <c:pt idx="245">
                  <c:v>60.503205081264994</c:v>
                </c:pt>
                <c:pt idx="246">
                  <c:v>61.641623100015934</c:v>
                </c:pt>
                <c:pt idx="247">
                  <c:v>62.859415194383566</c:v>
                </c:pt>
                <c:pt idx="248">
                  <c:v>64.166303713755127</c:v>
                </c:pt>
                <c:pt idx="249">
                  <c:v>65.57369800526584</c:v>
                </c:pt>
                <c:pt idx="250">
                  <c:v>67.005691878967667</c:v>
                </c:pt>
                <c:pt idx="251">
                  <c:v>68.548259085326237</c:v>
                </c:pt>
                <c:pt idx="252">
                  <c:v>70.224598247323257</c:v>
                </c:pt>
                <c:pt idx="253">
                  <c:v>72.05537214716351</c:v>
                </c:pt>
                <c:pt idx="254">
                  <c:v>74.065872886587599</c:v>
                </c:pt>
                <c:pt idx="255">
                  <c:v>76.095708869830105</c:v>
                </c:pt>
                <c:pt idx="256">
                  <c:v>78.144581060693838</c:v>
                </c:pt>
                <c:pt idx="257">
                  <c:v>80.422774228387055</c:v>
                </c:pt>
                <c:pt idx="258">
                  <c:v>82.977833729380947</c:v>
                </c:pt>
                <c:pt idx="259">
                  <c:v>85.872156054672757</c:v>
                </c:pt>
                <c:pt idx="260">
                  <c:v>89.189529262563099</c:v>
                </c:pt>
                <c:pt idx="261">
                  <c:v>92.38770598084831</c:v>
                </c:pt>
                <c:pt idx="262">
                  <c:v>93.00219448770531</c:v>
                </c:pt>
                <c:pt idx="263">
                  <c:v>93.653780112324029</c:v>
                </c:pt>
                <c:pt idx="264">
                  <c:v>94.345938712938391</c:v>
                </c:pt>
                <c:pt idx="265">
                  <c:v>94.968826314693899</c:v>
                </c:pt>
                <c:pt idx="266">
                  <c:v>95.476389840162952</c:v>
                </c:pt>
                <c:pt idx="267">
                  <c:v>95.869878368013701</c:v>
                </c:pt>
                <c:pt idx="268">
                  <c:v>96.150256721427439</c:v>
                </c:pt>
                <c:pt idx="269">
                  <c:v>96.318210484333477</c:v>
                </c:pt>
                <c:pt idx="270">
                  <c:v>96.374149599553505</c:v>
                </c:pt>
                <c:pt idx="271">
                  <c:v>96.318210484339147</c:v>
                </c:pt>
                <c:pt idx="272">
                  <c:v>96.150256721432939</c:v>
                </c:pt>
                <c:pt idx="273">
                  <c:v>95.869878368019158</c:v>
                </c:pt>
                <c:pt idx="274">
                  <c:v>95.476389840168352</c:v>
                </c:pt>
                <c:pt idx="275">
                  <c:v>94.968826314699271</c:v>
                </c:pt>
                <c:pt idx="276">
                  <c:v>94.345938712943791</c:v>
                </c:pt>
                <c:pt idx="277">
                  <c:v>93.653780112328505</c:v>
                </c:pt>
                <c:pt idx="278">
                  <c:v>93.002194487708977</c:v>
                </c:pt>
                <c:pt idx="279">
                  <c:v>92.387705980851322</c:v>
                </c:pt>
                <c:pt idx="280">
                  <c:v>91.803825976103127</c:v>
                </c:pt>
                <c:pt idx="281">
                  <c:v>91.245626582436898</c:v>
                </c:pt>
                <c:pt idx="282">
                  <c:v>90.709252254439548</c:v>
                </c:pt>
                <c:pt idx="283">
                  <c:v>90.191611531381255</c:v>
                </c:pt>
                <c:pt idx="284">
                  <c:v>89.69017386724471</c:v>
                </c:pt>
                <c:pt idx="285">
                  <c:v>89.202830667539757</c:v>
                </c:pt>
                <c:pt idx="286">
                  <c:v>88.72779733988213</c:v>
                </c:pt>
                <c:pt idx="287">
                  <c:v>88.263542442307283</c:v>
                </c:pt>
                <c:pt idx="288">
                  <c:v>87.808735175260779</c:v>
                </c:pt>
                <c:pt idx="289">
                  <c:v>87.362205783618791</c:v>
                </c:pt>
                <c:pt idx="290">
                  <c:v>86.922915078991835</c:v>
                </c:pt>
                <c:pt idx="291">
                  <c:v>86.489930646255004</c:v>
                </c:pt>
                <c:pt idx="292">
                  <c:v>86.062407942050541</c:v>
                </c:pt>
                <c:pt idx="293">
                  <c:v>85.639575114497589</c:v>
                </c:pt>
                <c:pt idx="294">
                  <c:v>85.220720642015522</c:v>
                </c:pt>
                <c:pt idx="295">
                  <c:v>84.80518311127463</c:v>
                </c:pt>
                <c:pt idx="296">
                  <c:v>84.392342675884265</c:v>
                </c:pt>
                <c:pt idx="297">
                  <c:v>83.981613858607204</c:v>
                </c:pt>
                <c:pt idx="298">
                  <c:v>83.572439343953249</c:v>
                </c:pt>
                <c:pt idx="299">
                  <c:v>83.164284638756072</c:v>
                </c:pt>
                <c:pt idx="300">
                  <c:v>82.756633316226782</c:v>
                </c:pt>
                <c:pt idx="301">
                  <c:v>82.348982826725944</c:v>
                </c:pt>
                <c:pt idx="302">
                  <c:v>81.94084068538578</c:v>
                </c:pt>
                <c:pt idx="303">
                  <c:v>81.531720952735412</c:v>
                </c:pt>
                <c:pt idx="304">
                  <c:v>81.121140984849774</c:v>
                </c:pt>
                <c:pt idx="305">
                  <c:v>80.708618306264</c:v>
                </c:pt>
                <c:pt idx="306">
                  <c:v>80.293667631522538</c:v>
                </c:pt>
                <c:pt idx="307">
                  <c:v>79.87579792824863</c:v>
                </c:pt>
                <c:pt idx="308">
                  <c:v>79.454509486203605</c:v>
                </c:pt>
                <c:pt idx="309">
                  <c:v>79.029290963459218</c:v>
                </c:pt>
                <c:pt idx="310">
                  <c:v>78.59961636005491</c:v>
                </c:pt>
                <c:pt idx="311">
                  <c:v>78.164941859054963</c:v>
                </c:pt>
                <c:pt idx="312">
                  <c:v>77.72470250767654</c:v>
                </c:pt>
                <c:pt idx="313">
                  <c:v>77.278308680659322</c:v>
                </c:pt>
                <c:pt idx="314">
                  <c:v>76.825142289612046</c:v>
                </c:pt>
                <c:pt idx="315">
                  <c:v>76.364552652980507</c:v>
                </c:pt>
                <c:pt idx="316">
                  <c:v>75.895851985748976</c:v>
                </c:pt>
                <c:pt idx="317">
                  <c:v>75.418310433886603</c:v>
                </c:pt>
                <c:pt idx="318">
                  <c:v>74.931150538197741</c:v>
                </c:pt>
                <c:pt idx="319">
                  <c:v>74.433541091792762</c:v>
                </c:pt>
                <c:pt idx="320">
                  <c:v>73.9245902082057</c:v>
                </c:pt>
                <c:pt idx="321">
                  <c:v>73.403337512759535</c:v>
                </c:pt>
                <c:pt idx="322">
                  <c:v>72.868745271692404</c:v>
                </c:pt>
                <c:pt idx="323">
                  <c:v>72.319688281980831</c:v>
                </c:pt>
                <c:pt idx="324">
                  <c:v>71.754942286711639</c:v>
                </c:pt>
                <c:pt idx="325">
                  <c:v>71.173170626347542</c:v>
                </c:pt>
                <c:pt idx="326">
                  <c:v>70.572908807449778</c:v>
                </c:pt>
                <c:pt idx="327">
                  <c:v>69.952546562723171</c:v>
                </c:pt>
                <c:pt idx="328">
                  <c:v>69.310306887004288</c:v>
                </c:pt>
                <c:pt idx="329">
                  <c:v>68.644221419769394</c:v>
                </c:pt>
                <c:pt idx="330">
                  <c:v>67.952101403016897</c:v>
                </c:pt>
                <c:pt idx="331">
                  <c:v>67.231503183903754</c:v>
                </c:pt>
                <c:pt idx="332">
                  <c:v>66.479687049317505</c:v>
                </c:pt>
                <c:pt idx="333">
                  <c:v>65.693567766454507</c:v>
                </c:pt>
                <c:pt idx="334">
                  <c:v>64.869654780196811</c:v>
                </c:pt>
                <c:pt idx="335">
                  <c:v>64.003979400370653</c:v>
                </c:pt>
                <c:pt idx="336">
                  <c:v>63.092005487913923</c:v>
                </c:pt>
                <c:pt idx="337">
                  <c:v>62.143394064021756</c:v>
                </c:pt>
                <c:pt idx="338">
                  <c:v>61.20480376583459</c:v>
                </c:pt>
                <c:pt idx="339">
                  <c:v>60.279359208126465</c:v>
                </c:pt>
                <c:pt idx="340">
                  <c:v>59.366233752819575</c:v>
                </c:pt>
                <c:pt idx="341">
                  <c:v>58.464637449996509</c:v>
                </c:pt>
                <c:pt idx="342">
                  <c:v>57.573814057091312</c:v>
                </c:pt>
                <c:pt idx="343">
                  <c:v>56.693038278953395</c:v>
                </c:pt>
                <c:pt idx="344">
                  <c:v>55.821613206330177</c:v>
                </c:pt>
                <c:pt idx="345">
                  <c:v>54.95886793258942</c:v>
                </c:pt>
                <c:pt idx="346">
                  <c:v>54.104155330502891</c:v>
                </c:pt>
                <c:pt idx="347">
                  <c:v>53.256849972664256</c:v>
                </c:pt>
                <c:pt idx="348">
                  <c:v>52.416346180654926</c:v>
                </c:pt>
                <c:pt idx="349">
                  <c:v>51.582056189422175</c:v>
                </c:pt>
                <c:pt idx="350">
                  <c:v>50.753408414519441</c:v>
                </c:pt>
                <c:pt idx="351">
                  <c:v>49.92984581089712</c:v>
                </c:pt>
                <c:pt idx="352">
                  <c:v>49.110824312840677</c:v>
                </c:pt>
                <c:pt idx="353">
                  <c:v>48.295811345444243</c:v>
                </c:pt>
                <c:pt idx="354">
                  <c:v>47.484284398695486</c:v>
                </c:pt>
                <c:pt idx="355">
                  <c:v>46.675729655840826</c:v>
                </c:pt>
                <c:pt idx="356">
                  <c:v>45.869640668208064</c:v>
                </c:pt>
                <c:pt idx="357">
                  <c:v>45.065517069092529</c:v>
                </c:pt>
                <c:pt idx="358">
                  <c:v>44.262863319672164</c:v>
                </c:pt>
                <c:pt idx="359">
                  <c:v>43.461187480206156</c:v>
                </c:pt>
                <c:pt idx="360">
                  <c:v>42.660000000000977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-35.566512002037868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54.080727141957524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-50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-104.10731408405546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34.702438028018484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0.000</c:formatCode>
                <c:ptCount val="361"/>
                <c:pt idx="0">
                  <c:v>2.9623211007271268</c:v>
                </c:pt>
                <c:pt idx="1">
                  <c:v>2.9656131204037521</c:v>
                </c:pt>
                <c:pt idx="2">
                  <c:v>2.968901138963195</c:v>
                </c:pt>
                <c:pt idx="3">
                  <c:v>2.972187635213539</c:v>
                </c:pt>
                <c:pt idx="4">
                  <c:v>2.975475088137653</c:v>
                </c:pt>
                <c:pt idx="5">
                  <c:v>2.9787659848859889</c:v>
                </c:pt>
                <c:pt idx="6">
                  <c:v>2.9820628289189566</c:v>
                </c:pt>
                <c:pt idx="7">
                  <c:v>2.9853681483387287</c:v>
                </c:pt>
                <c:pt idx="8">
                  <c:v>2.9886845043184107</c:v>
                </c:pt>
                <c:pt idx="9">
                  <c:v>2.9920144999084459</c:v>
                </c:pt>
                <c:pt idx="10">
                  <c:v>2.9953607891928709</c:v>
                </c:pt>
                <c:pt idx="11">
                  <c:v>2.9987260867860064</c:v>
                </c:pt>
                <c:pt idx="12">
                  <c:v>3.0021131779177059</c:v>
                </c:pt>
                <c:pt idx="13">
                  <c:v>3.0055249290745536</c:v>
                </c:pt>
                <c:pt idx="14">
                  <c:v>3.0089642993323515</c:v>
                </c:pt>
                <c:pt idx="15">
                  <c:v>3.0124343524871398</c:v>
                </c:pt>
                <c:pt idx="16">
                  <c:v>3.0159382700882476</c:v>
                </c:pt>
                <c:pt idx="17">
                  <c:v>3.0194793655563945</c:v>
                </c:pt>
                <c:pt idx="18">
                  <c:v>3.0230610994610556</c:v>
                </c:pt>
                <c:pt idx="19">
                  <c:v>3.0266870961812957</c:v>
                </c:pt>
                <c:pt idx="20">
                  <c:v>3.0303611621745299</c:v>
                </c:pt>
                <c:pt idx="21">
                  <c:v>3.0340873059481615</c:v>
                </c:pt>
                <c:pt idx="22">
                  <c:v>3.0378697601621916</c:v>
                </c:pt>
                <c:pt idx="23">
                  <c:v>3.0417130060171313</c:v>
                </c:pt>
                <c:pt idx="24">
                  <c:v>3.0456054011187756</c:v>
                </c:pt>
                <c:pt idx="25">
                  <c:v>3.0493558085646577</c:v>
                </c:pt>
                <c:pt idx="26">
                  <c:v>3.0529237207480047</c:v>
                </c:pt>
                <c:pt idx="27">
                  <c:v>3.0563269597909271</c:v>
                </c:pt>
                <c:pt idx="28">
                  <c:v>3.0595811589631254</c:v>
                </c:pt>
                <c:pt idx="29">
                  <c:v>3.0627001037644921</c:v>
                </c:pt>
                <c:pt idx="30">
                  <c:v>3.065696010860373</c:v>
                </c:pt>
                <c:pt idx="31">
                  <c:v>3.0685797578355052</c:v>
                </c:pt>
                <c:pt idx="32">
                  <c:v>3.0713610737455954</c:v>
                </c:pt>
                <c:pt idx="33">
                  <c:v>3.0740486981384114</c:v>
                </c:pt>
                <c:pt idx="34">
                  <c:v>3.0766505147556273</c:v>
                </c:pt>
                <c:pt idx="35">
                  <c:v>3.0791736643540615</c:v>
                </c:pt>
                <c:pt idx="36">
                  <c:v>3.0816246406861172</c:v>
                </c:pt>
                <c:pt idx="37">
                  <c:v>3.0840093725042768</c:v>
                </c:pt>
                <c:pt idx="38">
                  <c:v>3.0863332939895156</c:v>
                </c:pt>
                <c:pt idx="39">
                  <c:v>3.0886014055908024</c:v>
                </c:pt>
                <c:pt idx="40">
                  <c:v>3.0908183269325544</c:v>
                </c:pt>
                <c:pt idx="41">
                  <c:v>3.0929883429784262</c:v>
                </c:pt>
                <c:pt idx="42">
                  <c:v>3.095115444600459</c:v>
                </c:pt>
                <c:pt idx="43">
                  <c:v>3.0972033644783683</c:v>
                </c:pt>
                <c:pt idx="44">
                  <c:v>3.0990918530855831</c:v>
                </c:pt>
                <c:pt idx="45">
                  <c:v>3.1007602660649347</c:v>
                </c:pt>
                <c:pt idx="46">
                  <c:v>3.1023846741994445</c:v>
                </c:pt>
                <c:pt idx="47">
                  <c:v>3.1039682319814039</c:v>
                </c:pt>
                <c:pt idx="48">
                  <c:v>3.1055139076625835</c:v>
                </c:pt>
                <c:pt idx="49">
                  <c:v>3.1070245073984237</c:v>
                </c:pt>
                <c:pt idx="50">
                  <c:v>3.1085026976541812</c:v>
                </c:pt>
                <c:pt idx="51">
                  <c:v>3.1099510265071646</c:v>
                </c:pt>
                <c:pt idx="52">
                  <c:v>3.1113719439370988</c:v>
                </c:pt>
                <c:pt idx="53">
                  <c:v>3.1127678215430334</c:v>
                </c:pt>
                <c:pt idx="54">
                  <c:v>3.1141409723447211</c:v>
                </c:pt>
                <c:pt idx="55">
                  <c:v>3.1154936706162499</c:v>
                </c:pt>
                <c:pt idx="56">
                  <c:v>3.1168281725598752</c:v>
                </c:pt>
                <c:pt idx="57">
                  <c:v>3.1181467381578369</c:v>
                </c:pt>
                <c:pt idx="58">
                  <c:v>3.1194516547881816</c:v>
                </c:pt>
                <c:pt idx="59">
                  <c:v>3.1207452631991432</c:v>
                </c:pt>
                <c:pt idx="60">
                  <c:v>3.1220299869325725</c:v>
                </c:pt>
                <c:pt idx="61">
                  <c:v>3.1233083657691916</c:v>
                </c:pt>
                <c:pt idx="62">
                  <c:v>3.1245830949123117</c:v>
                </c:pt>
                <c:pt idx="63">
                  <c:v>3.1258570711551434</c:v>
                </c:pt>
                <c:pt idx="64">
                  <c:v>3.1271334483942743</c:v>
                </c:pt>
                <c:pt idx="65">
                  <c:v>3.1284157049608305</c:v>
                </c:pt>
                <c:pt idx="66">
                  <c:v>3.1297077264729518</c:v>
                </c:pt>
                <c:pt idx="67">
                  <c:v>3.1311283509978316</c:v>
                </c:pt>
                <c:pt idx="68">
                  <c:v>3.1328099197479364</c:v>
                </c:pt>
                <c:pt idx="69">
                  <c:v>3.1344951718394958</c:v>
                </c:pt>
                <c:pt idx="70">
                  <c:v>3.1361904073383293</c:v>
                </c:pt>
                <c:pt idx="71">
                  <c:v>3.1379030798138268</c:v>
                </c:pt>
                <c:pt idx="72">
                  <c:v>3.1396421443037101</c:v>
                </c:pt>
                <c:pt idx="73">
                  <c:v>3.1414185252803684</c:v>
                </c:pt>
                <c:pt idx="74">
                  <c:v>-3.1398998660005035</c:v>
                </c:pt>
                <c:pt idx="75">
                  <c:v>-3.1378111205317198</c:v>
                </c:pt>
                <c:pt idx="76">
                  <c:v>-3.1356430133417152</c:v>
                </c:pt>
                <c:pt idx="77">
                  <c:v>-3.1333677296397502</c:v>
                </c:pt>
                <c:pt idx="78">
                  <c:v>-3.1309483275744068</c:v>
                </c:pt>
                <c:pt idx="79">
                  <c:v>-3.1283346885831844</c:v>
                </c:pt>
                <c:pt idx="80">
                  <c:v>-3.1254571225126226</c:v>
                </c:pt>
                <c:pt idx="81">
                  <c:v>-3.1222158272648248</c:v>
                </c:pt>
                <c:pt idx="82">
                  <c:v>-3.1184625678587441</c:v>
                </c:pt>
                <c:pt idx="83">
                  <c:v>-3.113966600667446</c:v>
                </c:pt>
                <c:pt idx="84">
                  <c:v>-3.1083454120279113</c:v>
                </c:pt>
                <c:pt idx="85">
                  <c:v>-3.1009058717971785</c:v>
                </c:pt>
                <c:pt idx="86">
                  <c:v>-3.0913373719920871</c:v>
                </c:pt>
                <c:pt idx="87">
                  <c:v>-3.081014626314631</c:v>
                </c:pt>
                <c:pt idx="88">
                  <c:v>-3.0697054485337398</c:v>
                </c:pt>
                <c:pt idx="89">
                  <c:v>-3.0613478841210795</c:v>
                </c:pt>
                <c:pt idx="90">
                  <c:v>-3.0560093403172526</c:v>
                </c:pt>
                <c:pt idx="91">
                  <c:v>-3.0528284328014599</c:v>
                </c:pt>
                <c:pt idx="92">
                  <c:v>-3.0531165821425539</c:v>
                </c:pt>
                <c:pt idx="93">
                  <c:v>-3.0664773782051706</c:v>
                </c:pt>
                <c:pt idx="94">
                  <c:v>-3.0865335126992459</c:v>
                </c:pt>
                <c:pt idx="95">
                  <c:v>-3.1070151190532145</c:v>
                </c:pt>
                <c:pt idx="96">
                  <c:v>-3.1255732857796894</c:v>
                </c:pt>
                <c:pt idx="97">
                  <c:v>3.1414121909475621</c:v>
                </c:pt>
                <c:pt idx="98">
                  <c:v>3.1274307154132135</c:v>
                </c:pt>
                <c:pt idx="99">
                  <c:v>3.1153671803025174</c:v>
                </c:pt>
                <c:pt idx="100">
                  <c:v>3.1049098758735685</c:v>
                </c:pt>
                <c:pt idx="101">
                  <c:v>3.0957831366405593</c:v>
                </c:pt>
                <c:pt idx="102">
                  <c:v>3.0877570619395094</c:v>
                </c:pt>
                <c:pt idx="103">
                  <c:v>3.0806443597293169</c:v>
                </c:pt>
                <c:pt idx="104">
                  <c:v>3.0742936663946452</c:v>
                </c:pt>
                <c:pt idx="105">
                  <c:v>3.0685827088942998</c:v>
                </c:pt>
                <c:pt idx="106">
                  <c:v>3.063412372372623</c:v>
                </c:pt>
                <c:pt idx="107">
                  <c:v>3.0579132256217187</c:v>
                </c:pt>
                <c:pt idx="108">
                  <c:v>3.0505553054636541</c:v>
                </c:pt>
                <c:pt idx="109">
                  <c:v>3.0436728501629049</c:v>
                </c:pt>
                <c:pt idx="110">
                  <c:v>3.0372058289380761</c:v>
                </c:pt>
                <c:pt idx="111">
                  <c:v>3.031103300174276</c:v>
                </c:pt>
                <c:pt idx="112">
                  <c:v>3.025321808240875</c:v>
                </c:pt>
                <c:pt idx="113">
                  <c:v>3.0198240799598346</c:v>
                </c:pt>
                <c:pt idx="114">
                  <c:v>3.0145779653651537</c:v>
                </c:pt>
                <c:pt idx="115">
                  <c:v>3.0095555770442344</c:v>
                </c:pt>
                <c:pt idx="116">
                  <c:v>3.0047325873473079</c:v>
                </c:pt>
                <c:pt idx="117">
                  <c:v>3.0000876535097221</c:v>
                </c:pt>
                <c:pt idx="118">
                  <c:v>2.9956019443488988</c:v>
                </c:pt>
                <c:pt idx="119">
                  <c:v>2.9912587494953535</c:v>
                </c:pt>
                <c:pt idx="120">
                  <c:v>2.9870431547509488</c:v>
                </c:pt>
                <c:pt idx="121">
                  <c:v>2.9829417702489294</c:v>
                </c:pt>
                <c:pt idx="122">
                  <c:v>2.9789425031012491</c:v>
                </c:pt>
                <c:pt idx="123">
                  <c:v>2.9750343638646508</c:v>
                </c:pt>
                <c:pt idx="124">
                  <c:v>2.9712073023856469</c:v>
                </c:pt>
                <c:pt idx="125">
                  <c:v>2.9674520671591051</c:v>
                </c:pt>
                <c:pt idx="126">
                  <c:v>2.9637600828992321</c:v>
                </c:pt>
                <c:pt idx="127">
                  <c:v>2.9601233442226174</c:v>
                </c:pt>
                <c:pt idx="128">
                  <c:v>2.9565343215596034</c:v>
                </c:pt>
                <c:pt idx="129">
                  <c:v>2.9529858772495827</c:v>
                </c:pt>
                <c:pt idx="130">
                  <c:v>2.9494711894612493</c:v>
                </c:pt>
                <c:pt idx="131">
                  <c:v>2.9459836824745489</c:v>
                </c:pt>
                <c:pt idx="132">
                  <c:v>2.9425169611670063</c:v>
                </c:pt>
                <c:pt idx="133">
                  <c:v>2.9390647491388493</c:v>
                </c:pt>
                <c:pt idx="134">
                  <c:v>2.9356208282620901</c:v>
                </c:pt>
                <c:pt idx="135">
                  <c:v>2.9321789786782309</c:v>
                </c:pt>
                <c:pt idx="136">
                  <c:v>2.9287329179839143</c:v>
                </c:pt>
                <c:pt idx="137">
                  <c:v>2.9252762388076228</c:v>
                </c:pt>
                <c:pt idx="138">
                  <c:v>2.9218023418209671</c:v>
                </c:pt>
                <c:pt idx="139">
                  <c:v>2.9183043644892921</c:v>
                </c:pt>
                <c:pt idx="140">
                  <c:v>2.9147751024999224</c:v>
                </c:pt>
                <c:pt idx="141">
                  <c:v>2.9112069219279118</c:v>
                </c:pt>
                <c:pt idx="142">
                  <c:v>2.9075916604834475</c:v>
                </c:pt>
                <c:pt idx="143">
                  <c:v>2.9039205137292008</c:v>
                </c:pt>
                <c:pt idx="144">
                  <c:v>2.9001839034298404</c:v>
                </c:pt>
                <c:pt idx="145">
                  <c:v>2.8963713234633075</c:v>
                </c:pt>
                <c:pt idx="146">
                  <c:v>2.8924711573041448</c:v>
                </c:pt>
                <c:pt idx="147">
                  <c:v>2.8884704602120501</c:v>
                </c:pt>
                <c:pt idx="148">
                  <c:v>2.8843546977602919</c:v>
                </c:pt>
                <c:pt idx="149">
                  <c:v>2.8801074279294525</c:v>
                </c:pt>
                <c:pt idx="150">
                  <c:v>2.8757099134851862</c:v>
                </c:pt>
                <c:pt idx="151">
                  <c:v>2.8711406439749934</c:v>
                </c:pt>
                <c:pt idx="152">
                  <c:v>2.8663747430598421</c:v>
                </c:pt>
                <c:pt idx="153">
                  <c:v>2.8613832268264265</c:v>
                </c:pt>
                <c:pt idx="154">
                  <c:v>2.8561320687253171</c:v>
                </c:pt>
                <c:pt idx="155">
                  <c:v>2.8505810101531188</c:v>
                </c:pt>
                <c:pt idx="156">
                  <c:v>2.8446820341152352</c:v>
                </c:pt>
                <c:pt idx="157">
                  <c:v>2.8383773882783143</c:v>
                </c:pt>
                <c:pt idx="158">
                  <c:v>2.8315969984370972</c:v>
                </c:pt>
                <c:pt idx="159">
                  <c:v>2.8242550488374381</c:v>
                </c:pt>
                <c:pt idx="160">
                  <c:v>2.8162454098544574</c:v>
                </c:pt>
                <c:pt idx="161">
                  <c:v>2.8074354513093542</c:v>
                </c:pt>
                <c:pt idx="162">
                  <c:v>2.7976575644413315</c:v>
                </c:pt>
                <c:pt idx="163">
                  <c:v>2.7866973865255109</c:v>
                </c:pt>
                <c:pt idx="164">
                  <c:v>2.7773225955097094</c:v>
                </c:pt>
                <c:pt idx="165">
                  <c:v>2.7676126129013841</c:v>
                </c:pt>
                <c:pt idx="166">
                  <c:v>2.7562519280190463</c:v>
                </c:pt>
                <c:pt idx="167">
                  <c:v>2.7427670289094994</c:v>
                </c:pt>
                <c:pt idx="168">
                  <c:v>2.7265036726553755</c:v>
                </c:pt>
                <c:pt idx="169">
                  <c:v>2.7065396286925103</c:v>
                </c:pt>
                <c:pt idx="170">
                  <c:v>2.6815469016005822</c:v>
                </c:pt>
                <c:pt idx="171">
                  <c:v>2.6495709291483713</c:v>
                </c:pt>
                <c:pt idx="172">
                  <c:v>2.6082207603661063</c:v>
                </c:pt>
                <c:pt idx="173">
                  <c:v>2.5637458248225551</c:v>
                </c:pt>
                <c:pt idx="174">
                  <c:v>2.5191865035515564</c:v>
                </c:pt>
                <c:pt idx="175">
                  <c:v>2.4747565460155854</c:v>
                </c:pt>
                <c:pt idx="176">
                  <c:v>2.4306679030703751</c:v>
                </c:pt>
                <c:pt idx="177">
                  <c:v>2.3871251657273627</c:v>
                </c:pt>
                <c:pt idx="178">
                  <c:v>2.3443204694104915</c:v>
                </c:pt>
                <c:pt idx="179">
                  <c:v>2.3024291674201209</c:v>
                </c:pt>
                <c:pt idx="180">
                  <c:v>2.2616064878584181</c:v>
                </c:pt>
                <c:pt idx="181">
                  <c:v>2.2626545972252119</c:v>
                </c:pt>
                <c:pt idx="182">
                  <c:v>2.2628667462301637</c:v>
                </c:pt>
                <c:pt idx="183">
                  <c:v>2.262451342257874</c:v>
                </c:pt>
                <c:pt idx="184">
                  <c:v>2.2615639768998301</c:v>
                </c:pt>
                <c:pt idx="185">
                  <c:v>2.2603230135448875</c:v>
                </c:pt>
                <c:pt idx="186">
                  <c:v>2.2588199685470651</c:v>
                </c:pt>
                <c:pt idx="187">
                  <c:v>2.2571266135458421</c:v>
                </c:pt>
                <c:pt idx="188">
                  <c:v>2.2552999523655837</c:v>
                </c:pt>
                <c:pt idx="189">
                  <c:v>2.2533857792459133</c:v>
                </c:pt>
                <c:pt idx="190">
                  <c:v>2.251421272999766</c:v>
                </c:pt>
                <c:pt idx="191">
                  <c:v>2.2494369167020434</c:v>
                </c:pt>
                <c:pt idx="192">
                  <c:v>2.2474794686800146</c:v>
                </c:pt>
                <c:pt idx="193">
                  <c:v>2.2456078294948147</c:v>
                </c:pt>
                <c:pt idx="194">
                  <c:v>2.2437422625681567</c:v>
                </c:pt>
                <c:pt idx="195">
                  <c:v>2.2418316813607326</c:v>
                </c:pt>
                <c:pt idx="196">
                  <c:v>2.239851579553525</c:v>
                </c:pt>
                <c:pt idx="197">
                  <c:v>2.237792398930126</c:v>
                </c:pt>
                <c:pt idx="198">
                  <c:v>2.2356529765369544</c:v>
                </c:pt>
                <c:pt idx="199">
                  <c:v>2.2334367756307358</c:v>
                </c:pt>
                <c:pt idx="200">
                  <c:v>2.2314237237740744</c:v>
                </c:pt>
                <c:pt idx="201">
                  <c:v>2.2300573819444987</c:v>
                </c:pt>
                <c:pt idx="202">
                  <c:v>2.2285573617110397</c:v>
                </c:pt>
                <c:pt idx="203">
                  <c:v>2.2269365116437601</c:v>
                </c:pt>
                <c:pt idx="204">
                  <c:v>2.2252068555469364</c:v>
                </c:pt>
                <c:pt idx="205">
                  <c:v>2.2233795152515601</c:v>
                </c:pt>
                <c:pt idx="206">
                  <c:v>2.2214647100774121</c:v>
                </c:pt>
                <c:pt idx="207">
                  <c:v>2.2194717961794121</c:v>
                </c:pt>
                <c:pt idx="208">
                  <c:v>2.2174093303462366</c:v>
                </c:pt>
                <c:pt idx="209">
                  <c:v>2.2152851430090181</c:v>
                </c:pt>
                <c:pt idx="210">
                  <c:v>2.2131064164233085</c:v>
                </c:pt>
                <c:pt idx="211">
                  <c:v>2.2108797604009571</c:v>
                </c:pt>
                <c:pt idx="212">
                  <c:v>2.208611287634608</c:v>
                </c:pt>
                <c:pt idx="213">
                  <c:v>2.206306683120685</c:v>
                </c:pt>
                <c:pt idx="214">
                  <c:v>2.2039712725905654</c:v>
                </c:pt>
                <c:pt idx="215">
                  <c:v>2.2016100840547503</c:v>
                </c:pt>
                <c:pt idx="216">
                  <c:v>2.1992279082034898</c:v>
                </c:pt>
                <c:pt idx="217">
                  <c:v>2.1968293556145899</c:v>
                </c:pt>
                <c:pt idx="218">
                  <c:v>2.1944189100663052</c:v>
                </c:pt>
                <c:pt idx="219">
                  <c:v>2.1920009829742222</c:v>
                </c:pt>
                <c:pt idx="220">
                  <c:v>2.18957996407587</c:v>
                </c:pt>
                <c:pt idx="221">
                  <c:v>2.1871602750707897</c:v>
                </c:pt>
                <c:pt idx="222">
                  <c:v>2.1847464208744469</c:v>
                </c:pt>
                <c:pt idx="223">
                  <c:v>2.1823430439812705</c:v>
                </c:pt>
                <c:pt idx="224">
                  <c:v>2.1799549814569135</c:v>
                </c:pt>
                <c:pt idx="225">
                  <c:v>2.1775873238345773</c:v>
                </c:pt>
                <c:pt idx="226">
                  <c:v>2.1752454795337295</c:v>
                </c:pt>
                <c:pt idx="227">
                  <c:v>2.1729352437507954</c:v>
                </c:pt>
                <c:pt idx="228">
                  <c:v>2.1706628742127152</c:v>
                </c:pt>
                <c:pt idx="229">
                  <c:v>2.1684351754798517</c:v>
                </c:pt>
                <c:pt idx="230">
                  <c:v>2.1662595930148365</c:v>
                </c:pt>
                <c:pt idx="231">
                  <c:v>2.1641443181248672</c:v>
                </c:pt>
                <c:pt idx="232">
                  <c:v>2.1620984076948542</c:v>
                </c:pt>
                <c:pt idx="233">
                  <c:v>2.1601319208050893</c:v>
                </c:pt>
                <c:pt idx="234">
                  <c:v>2.1582560743488761</c:v>
                </c:pt>
                <c:pt idx="235">
                  <c:v>2.1564834238511841</c:v>
                </c:pt>
                <c:pt idx="236">
                  <c:v>2.1548280709591863</c:v>
                </c:pt>
                <c:pt idx="237">
                  <c:v>2.1535226775877674</c:v>
                </c:pt>
                <c:pt idx="238">
                  <c:v>2.1523930051780877</c:v>
                </c:pt>
                <c:pt idx="239">
                  <c:v>2.1513994498841456</c:v>
                </c:pt>
                <c:pt idx="240">
                  <c:v>2.1505618230287542</c:v>
                </c:pt>
                <c:pt idx="241">
                  <c:v>2.1499028150443271</c:v>
                </c:pt>
                <c:pt idx="242">
                  <c:v>2.1494484977032142</c:v>
                </c:pt>
                <c:pt idx="243">
                  <c:v>2.1492289284107517</c:v>
                </c:pt>
                <c:pt idx="244">
                  <c:v>2.1492788779356795</c:v>
                </c:pt>
                <c:pt idx="245">
                  <c:v>2.1496387132285579</c:v>
                </c:pt>
                <c:pt idx="246">
                  <c:v>2.150355473763252</c:v>
                </c:pt>
                <c:pt idx="247">
                  <c:v>2.1514841907101512</c:v>
                </c:pt>
                <c:pt idx="248">
                  <c:v>2.1530895136728931</c:v>
                </c:pt>
                <c:pt idx="249">
                  <c:v>2.1552477269075538</c:v>
                </c:pt>
                <c:pt idx="250">
                  <c:v>2.1584708111546926</c:v>
                </c:pt>
                <c:pt idx="251">
                  <c:v>2.1624003965911385</c:v>
                </c:pt>
                <c:pt idx="252">
                  <c:v>2.1671121920454475</c:v>
                </c:pt>
                <c:pt idx="253">
                  <c:v>2.1727371961116986</c:v>
                </c:pt>
                <c:pt idx="254">
                  <c:v>2.1794341340278591</c:v>
                </c:pt>
                <c:pt idx="255">
                  <c:v>2.1859372579589333</c:v>
                </c:pt>
                <c:pt idx="256">
                  <c:v>2.1921122914762075</c:v>
                </c:pt>
                <c:pt idx="257">
                  <c:v>2.1994513226251708</c:v>
                </c:pt>
                <c:pt idx="258">
                  <c:v>2.2082022427045724</c:v>
                </c:pt>
                <c:pt idx="259">
                  <c:v>2.2186846884601832</c:v>
                </c:pt>
                <c:pt idx="260">
                  <c:v>2.2313175058885562</c:v>
                </c:pt>
                <c:pt idx="261">
                  <c:v>2.2475598333891371</c:v>
                </c:pt>
                <c:pt idx="262">
                  <c:v>2.2708032926900841</c:v>
                </c:pt>
                <c:pt idx="263">
                  <c:v>2.2977258626872676</c:v>
                </c:pt>
                <c:pt idx="264">
                  <c:v>2.3292039907595354</c:v>
                </c:pt>
                <c:pt idx="265">
                  <c:v>2.3608340259763896</c:v>
                </c:pt>
                <c:pt idx="266">
                  <c:v>2.390696468436476</c:v>
                </c:pt>
                <c:pt idx="267">
                  <c:v>2.4189936432243702</c:v>
                </c:pt>
                <c:pt idx="268">
                  <c:v>2.4459018480413723</c:v>
                </c:pt>
                <c:pt idx="269">
                  <c:v>2.4715750963452416</c:v>
                </c:pt>
                <c:pt idx="270">
                  <c:v>2.496148331373452</c:v>
                </c:pt>
                <c:pt idx="271">
                  <c:v>2.5197401695794208</c:v>
                </c:pt>
                <c:pt idx="272">
                  <c:v>2.5424552341165381</c:v>
                </c:pt>
                <c:pt idx="273">
                  <c:v>2.5643861361747304</c:v>
                </c:pt>
                <c:pt idx="274">
                  <c:v>2.5856151568501446</c:v>
                </c:pt>
                <c:pt idx="275">
                  <c:v>2.6062156758302701</c:v>
                </c:pt>
                <c:pt idx="276">
                  <c:v>2.6262533861561561</c:v>
                </c:pt>
                <c:pt idx="277">
                  <c:v>2.6445994791749805</c:v>
                </c:pt>
                <c:pt idx="278">
                  <c:v>2.6592519580226757</c:v>
                </c:pt>
                <c:pt idx="279">
                  <c:v>2.6712930243399189</c:v>
                </c:pt>
                <c:pt idx="280">
                  <c:v>2.6814691382958467</c:v>
                </c:pt>
                <c:pt idx="281">
                  <c:v>2.6902600531160852</c:v>
                </c:pt>
                <c:pt idx="282">
                  <c:v>2.6979896712472775</c:v>
                </c:pt>
                <c:pt idx="283">
                  <c:v>2.7048855035102211</c:v>
                </c:pt>
                <c:pt idx="284">
                  <c:v>2.7111126417931768</c:v>
                </c:pt>
                <c:pt idx="285">
                  <c:v>2.7167941958372084</c:v>
                </c:pt>
                <c:pt idx="286">
                  <c:v>2.7220241247863415</c:v>
                </c:pt>
                <c:pt idx="287">
                  <c:v>2.726875590298365</c:v>
                </c:pt>
                <c:pt idx="288">
                  <c:v>2.7314065654765867</c:v>
                </c:pt>
                <c:pt idx="289">
                  <c:v>2.7356637034118201</c:v>
                </c:pt>
                <c:pt idx="290">
                  <c:v>2.7396850689433925</c:v>
                </c:pt>
                <c:pt idx="291">
                  <c:v>2.74350210807079</c:v>
                </c:pt>
                <c:pt idx="292">
                  <c:v>2.747141094334689</c:v>
                </c:pt>
                <c:pt idx="293">
                  <c:v>2.750624208781395</c:v>
                </c:pt>
                <c:pt idx="294">
                  <c:v>2.7539703585437074</c:v>
                </c:pt>
                <c:pt idx="295">
                  <c:v>2.7571958058678643</c:v>
                </c:pt>
                <c:pt idx="296">
                  <c:v>2.7603146575502144</c:v>
                </c:pt>
                <c:pt idx="297">
                  <c:v>2.7633392501744809</c:v>
                </c:pt>
                <c:pt idx="298">
                  <c:v>2.7662804566849672</c:v>
                </c:pt>
                <c:pt idx="299">
                  <c:v>2.7691479327810686</c:v>
                </c:pt>
                <c:pt idx="300">
                  <c:v>2.7719503169449364</c:v>
                </c:pt>
                <c:pt idx="301">
                  <c:v>2.7746953942737242</c:v>
                </c:pt>
                <c:pt idx="302">
                  <c:v>2.7773902319406725</c:v>
                </c:pt>
                <c:pt idx="303">
                  <c:v>2.7800412922028377</c:v>
                </c:pt>
                <c:pt idx="304">
                  <c:v>2.7826545275251595</c:v>
                </c:pt>
                <c:pt idx="305">
                  <c:v>2.7852354614241484</c:v>
                </c:pt>
                <c:pt idx="306">
                  <c:v>2.7877892578307186</c:v>
                </c:pt>
                <c:pt idx="307">
                  <c:v>2.7903207812341155</c:v>
                </c:pt>
                <c:pt idx="308">
                  <c:v>2.7928346494068688</c:v>
                </c:pt>
                <c:pt idx="309">
                  <c:v>2.7953352801872722</c:v>
                </c:pt>
                <c:pt idx="310">
                  <c:v>2.7978269335401729</c:v>
                </c:pt>
                <c:pt idx="311">
                  <c:v>2.8003137499062176</c:v>
                </c:pt>
                <c:pt idx="312">
                  <c:v>2.8027997857131659</c:v>
                </c:pt>
                <c:pt idx="313">
                  <c:v>2.8052890467992722</c:v>
                </c:pt>
                <c:pt idx="314">
                  <c:v>2.8077855204366147</c:v>
                </c:pt>
                <c:pt idx="315">
                  <c:v>2.8102932065429651</c:v>
                </c:pt>
                <c:pt idx="316">
                  <c:v>2.812816148680763</c:v>
                </c:pt>
                <c:pt idx="317">
                  <c:v>2.8153584654125678</c:v>
                </c:pt>
                <c:pt idx="318">
                  <c:v>2.817924382523437</c:v>
                </c:pt>
                <c:pt idx="319">
                  <c:v>2.8205182668012556</c:v>
                </c:pt>
                <c:pt idx="320">
                  <c:v>2.823144661885145</c:v>
                </c:pt>
                <c:pt idx="321">
                  <c:v>2.8258083269521173</c:v>
                </c:pt>
                <c:pt idx="322">
                  <c:v>2.8285142789634041</c:v>
                </c:pt>
                <c:pt idx="323">
                  <c:v>2.8312678393881914</c:v>
                </c:pt>
                <c:pt idx="324">
                  <c:v>2.8340746864300512</c:v>
                </c:pt>
                <c:pt idx="325">
                  <c:v>2.836940913928323</c:v>
                </c:pt>
                <c:pt idx="326">
                  <c:v>2.8398730984636082</c:v>
                </c:pt>
                <c:pt idx="327">
                  <c:v>2.8428783764020564</c:v>
                </c:pt>
                <c:pt idx="328">
                  <c:v>2.8459645330016827</c:v>
                </c:pt>
                <c:pt idx="329">
                  <c:v>2.8491401062294428</c:v>
                </c:pt>
                <c:pt idx="330">
                  <c:v>2.8524145087307176</c:v>
                </c:pt>
                <c:pt idx="331">
                  <c:v>2.8557981717988872</c:v>
                </c:pt>
                <c:pt idx="332">
                  <c:v>2.8593027168646499</c:v>
                </c:pt>
                <c:pt idx="333">
                  <c:v>2.8629411609697413</c:v>
                </c:pt>
                <c:pt idx="334">
                  <c:v>2.8667281648075198</c:v>
                </c:pt>
                <c:pt idx="335">
                  <c:v>2.8706803344038554</c:v>
                </c:pt>
                <c:pt idx="336">
                  <c:v>2.8748165910673391</c:v>
                </c:pt>
                <c:pt idx="337">
                  <c:v>2.8790917277870198</c:v>
                </c:pt>
                <c:pt idx="338">
                  <c:v>2.8832957803809114</c:v>
                </c:pt>
                <c:pt idx="339">
                  <c:v>2.8874165682051038</c:v>
                </c:pt>
                <c:pt idx="340">
                  <c:v>2.8914595818597917</c:v>
                </c:pt>
                <c:pt idx="341">
                  <c:v>2.8954299830275976</c:v>
                </c:pt>
                <c:pt idx="342">
                  <c:v>2.8993326346727386</c:v>
                </c:pt>
                <c:pt idx="343">
                  <c:v>2.903172128250481</c:v>
                </c:pt>
                <c:pt idx="344">
                  <c:v>2.9069528085520142</c:v>
                </c:pt>
                <c:pt idx="345">
                  <c:v>2.91067879613145</c:v>
                </c:pt>
                <c:pt idx="346">
                  <c:v>2.9143540078370385</c:v>
                </c:pt>
                <c:pt idx="347">
                  <c:v>2.917982175605911</c:v>
                </c:pt>
                <c:pt idx="348">
                  <c:v>2.9215668636385064</c:v>
                </c:pt>
                <c:pt idx="349">
                  <c:v>2.9251114842647086</c:v>
                </c:pt>
                <c:pt idx="350">
                  <c:v>2.9286193125752895</c:v>
                </c:pt>
                <c:pt idx="351">
                  <c:v>2.9320934999884734</c:v>
                </c:pt>
                <c:pt idx="352">
                  <c:v>2.9355370868775559</c:v>
                </c:pt>
                <c:pt idx="353">
                  <c:v>2.9389530143234359</c:v>
                </c:pt>
                <c:pt idx="354">
                  <c:v>2.9423441352559396</c:v>
                </c:pt>
                <c:pt idx="355">
                  <c:v>2.9457132248504241</c:v>
                </c:pt>
                <c:pt idx="356">
                  <c:v>2.9490629903882422</c:v>
                </c:pt>
                <c:pt idx="357">
                  <c:v>2.9523960807659533</c:v>
                </c:pt>
                <c:pt idx="358">
                  <c:v>2.955715095468904</c:v>
                </c:pt>
                <c:pt idx="359">
                  <c:v>2.9590225932699497</c:v>
                </c:pt>
                <c:pt idx="360">
                  <c:v>2.9623211007271202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1.0099863245265237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2.152534772359934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0.000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0.000</c:formatCode>
                <c:ptCount val="181"/>
                <c:pt idx="0">
                  <c:v>2.9623211007271268</c:v>
                </c:pt>
                <c:pt idx="1">
                  <c:v>2.9656131204037521</c:v>
                </c:pt>
                <c:pt idx="2">
                  <c:v>2.968901138963195</c:v>
                </c:pt>
                <c:pt idx="3">
                  <c:v>2.972187635213539</c:v>
                </c:pt>
                <c:pt idx="4">
                  <c:v>2.975475088137653</c:v>
                </c:pt>
                <c:pt idx="5">
                  <c:v>2.9787659848859889</c:v>
                </c:pt>
                <c:pt idx="6">
                  <c:v>2.9820628289189566</c:v>
                </c:pt>
                <c:pt idx="7">
                  <c:v>2.9853681483387287</c:v>
                </c:pt>
                <c:pt idx="8">
                  <c:v>2.9886845043184107</c:v>
                </c:pt>
                <c:pt idx="9">
                  <c:v>2.9920144999084459</c:v>
                </c:pt>
                <c:pt idx="10">
                  <c:v>2.9953607891928709</c:v>
                </c:pt>
                <c:pt idx="11">
                  <c:v>2.9987260867860064</c:v>
                </c:pt>
                <c:pt idx="12">
                  <c:v>3.0021131779177059</c:v>
                </c:pt>
                <c:pt idx="13">
                  <c:v>3.0055249290745536</c:v>
                </c:pt>
                <c:pt idx="14">
                  <c:v>3.0089642993323515</c:v>
                </c:pt>
                <c:pt idx="15">
                  <c:v>3.0124343524871398</c:v>
                </c:pt>
                <c:pt idx="16">
                  <c:v>3.0159382700882476</c:v>
                </c:pt>
                <c:pt idx="17">
                  <c:v>3.0194793655563945</c:v>
                </c:pt>
                <c:pt idx="18">
                  <c:v>3.0230610994610556</c:v>
                </c:pt>
                <c:pt idx="19">
                  <c:v>3.0266870961812957</c:v>
                </c:pt>
                <c:pt idx="20">
                  <c:v>3.0303611621745299</c:v>
                </c:pt>
                <c:pt idx="21">
                  <c:v>3.0340873059481615</c:v>
                </c:pt>
                <c:pt idx="22">
                  <c:v>3.0378697601621916</c:v>
                </c:pt>
                <c:pt idx="23">
                  <c:v>3.0417130060171313</c:v>
                </c:pt>
                <c:pt idx="24">
                  <c:v>3.0456054011187756</c:v>
                </c:pt>
                <c:pt idx="25">
                  <c:v>3.0493558085646577</c:v>
                </c:pt>
                <c:pt idx="26">
                  <c:v>3.0529237207480047</c:v>
                </c:pt>
                <c:pt idx="27">
                  <c:v>3.0563269597909271</c:v>
                </c:pt>
                <c:pt idx="28">
                  <c:v>3.0595811589631254</c:v>
                </c:pt>
                <c:pt idx="29">
                  <c:v>3.0627001037644921</c:v>
                </c:pt>
                <c:pt idx="30">
                  <c:v>3.065696010860373</c:v>
                </c:pt>
                <c:pt idx="31">
                  <c:v>3.0685797578355052</c:v>
                </c:pt>
                <c:pt idx="32">
                  <c:v>3.0713610737455954</c:v>
                </c:pt>
                <c:pt idx="33">
                  <c:v>3.0740486981384114</c:v>
                </c:pt>
                <c:pt idx="34">
                  <c:v>3.0766505147556273</c:v>
                </c:pt>
                <c:pt idx="35">
                  <c:v>3.0791736643540615</c:v>
                </c:pt>
                <c:pt idx="36">
                  <c:v>3.0816246406861172</c:v>
                </c:pt>
                <c:pt idx="37">
                  <c:v>3.0840093725042768</c:v>
                </c:pt>
                <c:pt idx="38">
                  <c:v>3.0863332939895156</c:v>
                </c:pt>
                <c:pt idx="39">
                  <c:v>3.0886014055908024</c:v>
                </c:pt>
                <c:pt idx="40">
                  <c:v>3.0908183269325544</c:v>
                </c:pt>
                <c:pt idx="41">
                  <c:v>3.0929883429784262</c:v>
                </c:pt>
                <c:pt idx="42">
                  <c:v>3.095115444600459</c:v>
                </c:pt>
                <c:pt idx="43">
                  <c:v>3.0972033644783683</c:v>
                </c:pt>
                <c:pt idx="44">
                  <c:v>3.0990918530855831</c:v>
                </c:pt>
                <c:pt idx="45">
                  <c:v>3.1007602660649347</c:v>
                </c:pt>
                <c:pt idx="46">
                  <c:v>3.1023846741994445</c:v>
                </c:pt>
                <c:pt idx="47">
                  <c:v>3.1039682319814039</c:v>
                </c:pt>
                <c:pt idx="48">
                  <c:v>3.1055139076625835</c:v>
                </c:pt>
                <c:pt idx="49">
                  <c:v>3.1070245073984237</c:v>
                </c:pt>
                <c:pt idx="50">
                  <c:v>3.1085026976541812</c:v>
                </c:pt>
                <c:pt idx="51">
                  <c:v>3.1099510265071646</c:v>
                </c:pt>
                <c:pt idx="52">
                  <c:v>3.1113719439370988</c:v>
                </c:pt>
                <c:pt idx="53">
                  <c:v>3.1127678215430334</c:v>
                </c:pt>
                <c:pt idx="54">
                  <c:v>3.1141409723447211</c:v>
                </c:pt>
                <c:pt idx="55">
                  <c:v>3.1154936706162499</c:v>
                </c:pt>
                <c:pt idx="56">
                  <c:v>3.1168281725598752</c:v>
                </c:pt>
                <c:pt idx="57">
                  <c:v>3.1181467381578369</c:v>
                </c:pt>
                <c:pt idx="58">
                  <c:v>3.1194516547881816</c:v>
                </c:pt>
                <c:pt idx="59">
                  <c:v>3.1207452631991432</c:v>
                </c:pt>
                <c:pt idx="60">
                  <c:v>3.1220299869325725</c:v>
                </c:pt>
                <c:pt idx="61">
                  <c:v>3.1233083657691916</c:v>
                </c:pt>
                <c:pt idx="62">
                  <c:v>3.1245830949123117</c:v>
                </c:pt>
                <c:pt idx="63">
                  <c:v>3.1258570711551434</c:v>
                </c:pt>
                <c:pt idx="64">
                  <c:v>3.1271334483942743</c:v>
                </c:pt>
                <c:pt idx="65">
                  <c:v>3.1284157049608305</c:v>
                </c:pt>
                <c:pt idx="66">
                  <c:v>3.1297077264729518</c:v>
                </c:pt>
                <c:pt idx="67">
                  <c:v>3.1311283509978316</c:v>
                </c:pt>
                <c:pt idx="68">
                  <c:v>3.1328099197479364</c:v>
                </c:pt>
                <c:pt idx="69">
                  <c:v>3.1344951718394958</c:v>
                </c:pt>
                <c:pt idx="70">
                  <c:v>3.1361904073383293</c:v>
                </c:pt>
                <c:pt idx="71">
                  <c:v>3.1379030798138268</c:v>
                </c:pt>
                <c:pt idx="72">
                  <c:v>3.1396421443037101</c:v>
                </c:pt>
                <c:pt idx="73">
                  <c:v>3.1414185252803684</c:v>
                </c:pt>
                <c:pt idx="74">
                  <c:v>-3.1398998660005035</c:v>
                </c:pt>
                <c:pt idx="75">
                  <c:v>-3.1378111205317198</c:v>
                </c:pt>
                <c:pt idx="76">
                  <c:v>-3.1356430133417152</c:v>
                </c:pt>
                <c:pt idx="77">
                  <c:v>-3.1333677296397502</c:v>
                </c:pt>
                <c:pt idx="78">
                  <c:v>-3.1309483275744068</c:v>
                </c:pt>
                <c:pt idx="79">
                  <c:v>-3.1283346885831844</c:v>
                </c:pt>
                <c:pt idx="80">
                  <c:v>-3.1254571225126226</c:v>
                </c:pt>
                <c:pt idx="81">
                  <c:v>-3.1222158272648248</c:v>
                </c:pt>
                <c:pt idx="82">
                  <c:v>-3.1184625678587441</c:v>
                </c:pt>
                <c:pt idx="83">
                  <c:v>-3.113966600667446</c:v>
                </c:pt>
                <c:pt idx="84">
                  <c:v>-3.1083454120279113</c:v>
                </c:pt>
                <c:pt idx="85">
                  <c:v>-3.1009058717971785</c:v>
                </c:pt>
                <c:pt idx="86">
                  <c:v>-3.0913373719920871</c:v>
                </c:pt>
                <c:pt idx="87">
                  <c:v>-3.081014626314631</c:v>
                </c:pt>
                <c:pt idx="88">
                  <c:v>-3.0697054485337398</c:v>
                </c:pt>
                <c:pt idx="89">
                  <c:v>-3.0613478841210795</c:v>
                </c:pt>
                <c:pt idx="90">
                  <c:v>-3.0560093403172526</c:v>
                </c:pt>
                <c:pt idx="91">
                  <c:v>-3.0528284328014599</c:v>
                </c:pt>
                <c:pt idx="92">
                  <c:v>-3.0531165821425539</c:v>
                </c:pt>
                <c:pt idx="93">
                  <c:v>-3.0664773782051706</c:v>
                </c:pt>
                <c:pt idx="94">
                  <c:v>-3.0865335126992459</c:v>
                </c:pt>
                <c:pt idx="95">
                  <c:v>-3.1070151190532145</c:v>
                </c:pt>
                <c:pt idx="96">
                  <c:v>-3.1255732857796894</c:v>
                </c:pt>
                <c:pt idx="97">
                  <c:v>3.1414121909475621</c:v>
                </c:pt>
                <c:pt idx="98">
                  <c:v>3.1274307154132135</c:v>
                </c:pt>
                <c:pt idx="99">
                  <c:v>3.1153671803025174</c:v>
                </c:pt>
                <c:pt idx="100">
                  <c:v>3.1049098758735685</c:v>
                </c:pt>
                <c:pt idx="101">
                  <c:v>3.0957831366405593</c:v>
                </c:pt>
                <c:pt idx="102">
                  <c:v>3.0877570619395094</c:v>
                </c:pt>
                <c:pt idx="103">
                  <c:v>3.0806443597293169</c:v>
                </c:pt>
                <c:pt idx="104">
                  <c:v>3.0742936663946452</c:v>
                </c:pt>
                <c:pt idx="105">
                  <c:v>3.0685827088942998</c:v>
                </c:pt>
                <c:pt idx="106">
                  <c:v>3.063412372372623</c:v>
                </c:pt>
                <c:pt idx="107">
                  <c:v>3.0579132256217187</c:v>
                </c:pt>
                <c:pt idx="108">
                  <c:v>3.0505553054636541</c:v>
                </c:pt>
                <c:pt idx="109">
                  <c:v>3.0436728501629049</c:v>
                </c:pt>
                <c:pt idx="110">
                  <c:v>3.0372058289380761</c:v>
                </c:pt>
                <c:pt idx="111">
                  <c:v>3.031103300174276</c:v>
                </c:pt>
                <c:pt idx="112">
                  <c:v>3.025321808240875</c:v>
                </c:pt>
                <c:pt idx="113">
                  <c:v>3.0198240799598346</c:v>
                </c:pt>
                <c:pt idx="114">
                  <c:v>3.0145779653651537</c:v>
                </c:pt>
                <c:pt idx="115">
                  <c:v>3.0095555770442344</c:v>
                </c:pt>
                <c:pt idx="116">
                  <c:v>3.0047325873473079</c:v>
                </c:pt>
                <c:pt idx="117">
                  <c:v>3.0000876535097221</c:v>
                </c:pt>
                <c:pt idx="118">
                  <c:v>2.9956019443488988</c:v>
                </c:pt>
                <c:pt idx="119">
                  <c:v>2.9912587494953535</c:v>
                </c:pt>
                <c:pt idx="120">
                  <c:v>2.9870431547509488</c:v>
                </c:pt>
                <c:pt idx="121">
                  <c:v>2.9829417702489294</c:v>
                </c:pt>
                <c:pt idx="122">
                  <c:v>2.9789425031012491</c:v>
                </c:pt>
                <c:pt idx="123">
                  <c:v>2.9750343638646508</c:v>
                </c:pt>
                <c:pt idx="124">
                  <c:v>2.9712073023856469</c:v>
                </c:pt>
                <c:pt idx="125">
                  <c:v>2.9674520671591051</c:v>
                </c:pt>
                <c:pt idx="126">
                  <c:v>2.9637600828992321</c:v>
                </c:pt>
                <c:pt idx="127">
                  <c:v>2.9601233442226174</c:v>
                </c:pt>
                <c:pt idx="128">
                  <c:v>2.9565343215596034</c:v>
                </c:pt>
                <c:pt idx="129">
                  <c:v>2.9529858772495827</c:v>
                </c:pt>
                <c:pt idx="130">
                  <c:v>2.9494711894612493</c:v>
                </c:pt>
                <c:pt idx="131">
                  <c:v>2.9459836824745489</c:v>
                </c:pt>
                <c:pt idx="132">
                  <c:v>2.9425169611670063</c:v>
                </c:pt>
                <c:pt idx="133">
                  <c:v>2.9390647491388493</c:v>
                </c:pt>
                <c:pt idx="134">
                  <c:v>2.9356208282620901</c:v>
                </c:pt>
                <c:pt idx="135">
                  <c:v>2.9321789786782309</c:v>
                </c:pt>
                <c:pt idx="136">
                  <c:v>2.9287329179839143</c:v>
                </c:pt>
                <c:pt idx="137">
                  <c:v>2.9252762388076228</c:v>
                </c:pt>
                <c:pt idx="138">
                  <c:v>2.9218023418209671</c:v>
                </c:pt>
                <c:pt idx="139">
                  <c:v>2.9183043644892921</c:v>
                </c:pt>
                <c:pt idx="140">
                  <c:v>2.9147751024999224</c:v>
                </c:pt>
                <c:pt idx="141">
                  <c:v>2.9112069219279118</c:v>
                </c:pt>
                <c:pt idx="142">
                  <c:v>2.9075916604834475</c:v>
                </c:pt>
                <c:pt idx="143">
                  <c:v>2.9039205137292008</c:v>
                </c:pt>
                <c:pt idx="144">
                  <c:v>2.9001839034298404</c:v>
                </c:pt>
                <c:pt idx="145">
                  <c:v>2.8963713234633075</c:v>
                </c:pt>
                <c:pt idx="146">
                  <c:v>2.8924711573041448</c:v>
                </c:pt>
                <c:pt idx="147">
                  <c:v>2.8884704602120501</c:v>
                </c:pt>
                <c:pt idx="148">
                  <c:v>2.8843546977602919</c:v>
                </c:pt>
                <c:pt idx="149">
                  <c:v>2.8801074279294525</c:v>
                </c:pt>
                <c:pt idx="150">
                  <c:v>2.8757099134851862</c:v>
                </c:pt>
                <c:pt idx="151">
                  <c:v>2.8711406439749934</c:v>
                </c:pt>
                <c:pt idx="152">
                  <c:v>2.8663747430598421</c:v>
                </c:pt>
                <c:pt idx="153">
                  <c:v>2.8613832268264265</c:v>
                </c:pt>
                <c:pt idx="154">
                  <c:v>2.8561320687253171</c:v>
                </c:pt>
                <c:pt idx="155">
                  <c:v>2.8505810101531188</c:v>
                </c:pt>
                <c:pt idx="156">
                  <c:v>2.8446820341152352</c:v>
                </c:pt>
                <c:pt idx="157">
                  <c:v>2.8383773882783143</c:v>
                </c:pt>
                <c:pt idx="158">
                  <c:v>2.8315969984370972</c:v>
                </c:pt>
                <c:pt idx="159">
                  <c:v>2.8242550488374381</c:v>
                </c:pt>
                <c:pt idx="160">
                  <c:v>2.8162454098544574</c:v>
                </c:pt>
                <c:pt idx="161">
                  <c:v>2.8074354513093542</c:v>
                </c:pt>
                <c:pt idx="162">
                  <c:v>2.7976575644413315</c:v>
                </c:pt>
                <c:pt idx="163">
                  <c:v>2.7866973865255109</c:v>
                </c:pt>
                <c:pt idx="164">
                  <c:v>2.7773225955097094</c:v>
                </c:pt>
                <c:pt idx="165">
                  <c:v>2.7676126129013841</c:v>
                </c:pt>
                <c:pt idx="166">
                  <c:v>2.7562519280190463</c:v>
                </c:pt>
                <c:pt idx="167">
                  <c:v>2.7427670289094994</c:v>
                </c:pt>
                <c:pt idx="168">
                  <c:v>2.7265036726553755</c:v>
                </c:pt>
                <c:pt idx="169">
                  <c:v>2.7065396286925103</c:v>
                </c:pt>
                <c:pt idx="170">
                  <c:v>2.6815469016005822</c:v>
                </c:pt>
                <c:pt idx="171">
                  <c:v>2.6495709291483713</c:v>
                </c:pt>
                <c:pt idx="172">
                  <c:v>2.6082207603661063</c:v>
                </c:pt>
                <c:pt idx="173">
                  <c:v>2.5637458248225551</c:v>
                </c:pt>
                <c:pt idx="174">
                  <c:v>2.5191865035515564</c:v>
                </c:pt>
                <c:pt idx="175">
                  <c:v>2.4747565460155854</c:v>
                </c:pt>
                <c:pt idx="176">
                  <c:v>2.4306679030703751</c:v>
                </c:pt>
                <c:pt idx="177">
                  <c:v>2.3871251657273627</c:v>
                </c:pt>
                <c:pt idx="178">
                  <c:v>2.3443204694104915</c:v>
                </c:pt>
                <c:pt idx="179">
                  <c:v>2.3024291674201209</c:v>
                </c:pt>
                <c:pt idx="180">
                  <c:v>2.2616064878584181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ser>
          <c:idx val="4"/>
          <c:order val="4"/>
          <c:tx>
            <c:v>alpha_vs_tan (guess center)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L_Section_Capacity!$BG$15:$BG$375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L_Section_Capacity!$BM$15:$BM$375</c:f>
              <c:numCache>
                <c:formatCode>0.000</c:formatCode>
                <c:ptCount val="361"/>
                <c:pt idx="0">
                  <c:v>3.0810611914613788</c:v>
                </c:pt>
                <c:pt idx="1">
                  <c:v>3.0871400479873725</c:v>
                </c:pt>
                <c:pt idx="2">
                  <c:v>3.093222143976627</c:v>
                </c:pt>
                <c:pt idx="3">
                  <c:v>3.0993126866515555</c:v>
                </c:pt>
                <c:pt idx="4">
                  <c:v>3.1054169190146181</c:v>
                </c:pt>
                <c:pt idx="5">
                  <c:v>3.1115401392475288</c:v>
                </c:pt>
                <c:pt idx="6">
                  <c:v>3.1176877206165052</c:v>
                </c:pt>
                <c:pt idx="7">
                  <c:v>3.1238651320199784</c:v>
                </c:pt>
                <c:pt idx="8">
                  <c:v>3.1300779593125552</c:v>
                </c:pt>
                <c:pt idx="9">
                  <c:v>3.1363319276608665</c:v>
                </c:pt>
                <c:pt idx="10">
                  <c:v>-3.14055238209452</c:v>
                </c:pt>
                <c:pt idx="11">
                  <c:v>-3.1341982797707431</c:v>
                </c:pt>
                <c:pt idx="12">
                  <c:v>-3.1277847823059108</c:v>
                </c:pt>
                <c:pt idx="13">
                  <c:v>-3.121305356514156</c:v>
                </c:pt>
                <c:pt idx="14">
                  <c:v>-3.1147531955255374</c:v>
                </c:pt>
                <c:pt idx="15">
                  <c:v>-3.1081211855057513</c:v>
                </c:pt>
                <c:pt idx="16">
                  <c:v>-3.1014018694575127</c:v>
                </c:pt>
                <c:pt idx="17">
                  <c:v>-3.0945874077084179</c:v>
                </c:pt>
                <c:pt idx="18">
                  <c:v>-3.0876695345757397</c:v>
                </c:pt>
                <c:pt idx="19">
                  <c:v>-3.080639510682273</c:v>
                </c:pt>
                <c:pt idx="20">
                  <c:v>-3.0734880703449066</c:v>
                </c:pt>
                <c:pt idx="21">
                  <c:v>-3.0662053632064907</c:v>
                </c:pt>
                <c:pt idx="22">
                  <c:v>-3.0587808894466777</c:v>
                </c:pt>
                <c:pt idx="23">
                  <c:v>-3.0512034274969939</c:v>
                </c:pt>
                <c:pt idx="24">
                  <c:v>-3.0434934982805357</c:v>
                </c:pt>
                <c:pt idx="25">
                  <c:v>-3.0360292456428155</c:v>
                </c:pt>
                <c:pt idx="26">
                  <c:v>-3.028893039876877</c:v>
                </c:pt>
                <c:pt idx="27">
                  <c:v>-3.022051495102843</c:v>
                </c:pt>
                <c:pt idx="28">
                  <c:v>-3.0154752237227846</c:v>
                </c:pt>
                <c:pt idx="29">
                  <c:v>-3.009138208355246</c:v>
                </c:pt>
                <c:pt idx="30">
                  <c:v>-3.003017287053412</c:v>
                </c:pt>
                <c:pt idx="31">
                  <c:v>-2.9970917281003664</c:v>
                </c:pt>
                <c:pt idx="32">
                  <c:v>-2.9913428762236967</c:v>
                </c:pt>
                <c:pt idx="33">
                  <c:v>-2.985753856124497</c:v>
                </c:pt>
                <c:pt idx="34">
                  <c:v>-2.9803093223659372</c:v>
                </c:pt>
                <c:pt idx="35">
                  <c:v>-2.97499524678644</c:v>
                </c:pt>
                <c:pt idx="36">
                  <c:v>-2.9697987366259584</c:v>
                </c:pt>
                <c:pt idx="37">
                  <c:v>-2.9647078777374727</c:v>
                </c:pt>
                <c:pt idx="38">
                  <c:v>-2.95971159839086</c:v>
                </c:pt>
                <c:pt idx="39">
                  <c:v>-2.9547995500038686</c:v>
                </c:pt>
                <c:pt idx="40">
                  <c:v>-2.9499620017653094</c:v>
                </c:pt>
                <c:pt idx="41">
                  <c:v>-2.9451897466156871</c:v>
                </c:pt>
                <c:pt idx="42">
                  <c:v>-2.9404740164643437</c:v>
                </c:pt>
                <c:pt idx="43">
                  <c:v>-2.9358064048136399</c:v>
                </c:pt>
                <c:pt idx="44">
                  <c:v>-2.9294530058951684</c:v>
                </c:pt>
                <c:pt idx="45">
                  <c:v>-2.9212126506051734</c:v>
                </c:pt>
                <c:pt idx="46">
                  <c:v>-2.9129159520851893</c:v>
                </c:pt>
                <c:pt idx="47">
                  <c:v>-2.9045514611890773</c:v>
                </c:pt>
                <c:pt idx="48">
                  <c:v>-2.8961074951685011</c:v>
                </c:pt>
                <c:pt idx="49">
                  <c:v>-2.8875720653678378</c:v>
                </c:pt>
                <c:pt idx="50">
                  <c:v>-2.8789328024007541</c:v>
                </c:pt>
                <c:pt idx="51">
                  <c:v>-2.8701768772941398</c:v>
                </c:pt>
                <c:pt idx="52">
                  <c:v>-2.8612909180112207</c:v>
                </c:pt>
                <c:pt idx="53">
                  <c:v>-2.852260919998701</c:v>
                </c:pt>
                <c:pt idx="54">
                  <c:v>-2.8430721488142803</c:v>
                </c:pt>
                <c:pt idx="55">
                  <c:v>-2.8337090341550835</c:v>
                </c:pt>
                <c:pt idx="56">
                  <c:v>-2.824155052731474</c:v>
                </c:pt>
                <c:pt idx="57">
                  <c:v>-2.8143925981564255</c:v>
                </c:pt>
                <c:pt idx="58">
                  <c:v>-2.8044028352877639</c:v>
                </c:pt>
                <c:pt idx="59">
                  <c:v>-2.7941655361588809</c:v>
                </c:pt>
                <c:pt idx="60">
                  <c:v>-2.7836588932191328</c:v>
                </c:pt>
                <c:pt idx="61">
                  <c:v>-2.7728593062644902</c:v>
                </c:pt>
                <c:pt idx="62">
                  <c:v>-2.7617411364101971</c:v>
                </c:pt>
                <c:pt idx="63">
                  <c:v>-2.7502764207122978</c:v>
                </c:pt>
                <c:pt idx="64">
                  <c:v>-2.7384345375855794</c:v>
                </c:pt>
                <c:pt idx="65">
                  <c:v>-2.7261818115339702</c:v>
                </c:pt>
                <c:pt idx="66">
                  <c:v>-2.7134810410075301</c:v>
                </c:pt>
                <c:pt idx="67">
                  <c:v>-2.6992023610695441</c:v>
                </c:pt>
                <c:pt idx="68">
                  <c:v>-2.6818493645545898</c:v>
                </c:pt>
                <c:pt idx="69">
                  <c:v>-2.6637379007237416</c:v>
                </c:pt>
                <c:pt idx="70">
                  <c:v>-2.6448039377334345</c:v>
                </c:pt>
                <c:pt idx="71">
                  <c:v>-2.6249779997554734</c:v>
                </c:pt>
                <c:pt idx="72">
                  <c:v>-2.6041846999764156</c:v>
                </c:pt>
                <c:pt idx="73">
                  <c:v>-2.5823421988565598</c:v>
                </c:pt>
                <c:pt idx="74">
                  <c:v>-2.558564015421477</c:v>
                </c:pt>
                <c:pt idx="75">
                  <c:v>-2.5301157425242877</c:v>
                </c:pt>
                <c:pt idx="76">
                  <c:v>-2.4999493013276757</c:v>
                </c:pt>
                <c:pt idx="77">
                  <c:v>-2.4679468981278694</c:v>
                </c:pt>
                <c:pt idx="78">
                  <c:v>-2.4339944602578085</c:v>
                </c:pt>
                <c:pt idx="79">
                  <c:v>-2.3979833428973132</c:v>
                </c:pt>
                <c:pt idx="80">
                  <c:v>-2.3598070547289853</c:v>
                </c:pt>
                <c:pt idx="81">
                  <c:v>-2.3193435417060435</c:v>
                </c:pt>
                <c:pt idx="82">
                  <c:v>-2.2763993368027973</c:v>
                </c:pt>
                <c:pt idx="83">
                  <c:v>-2.2305540994726649</c:v>
                </c:pt>
                <c:pt idx="84">
                  <c:v>-2.1807345798867153</c:v>
                </c:pt>
                <c:pt idx="85">
                  <c:v>-2.1239885643972638</c:v>
                </c:pt>
                <c:pt idx="86">
                  <c:v>-2.0592250371530323</c:v>
                </c:pt>
                <c:pt idx="87">
                  <c:v>-1.9974619661620523</c:v>
                </c:pt>
                <c:pt idx="88">
                  <c:v>-1.9415002804092487</c:v>
                </c:pt>
                <c:pt idx="89">
                  <c:v>-1.8481476313492671</c:v>
                </c:pt>
                <c:pt idx="90">
                  <c:v>-1.7199067421811984</c:v>
                </c:pt>
                <c:pt idx="91">
                  <c:v>-1.3913003700279574</c:v>
                </c:pt>
                <c:pt idx="92">
                  <c:v>-1.0809080396321025</c:v>
                </c:pt>
                <c:pt idx="93">
                  <c:v>-0.81068127440530569</c:v>
                </c:pt>
                <c:pt idx="94">
                  <c:v>-0.64830030296998398</c:v>
                </c:pt>
                <c:pt idx="95">
                  <c:v>-0.57432040093133829</c:v>
                </c:pt>
                <c:pt idx="96">
                  <c:v>-0.53350277774283794</c:v>
                </c:pt>
                <c:pt idx="97">
                  <c:v>-0.50774485403322978</c:v>
                </c:pt>
                <c:pt idx="98">
                  <c:v>-0.49002309556975626</c:v>
                </c:pt>
                <c:pt idx="99">
                  <c:v>-0.47707086467513027</c:v>
                </c:pt>
                <c:pt idx="100">
                  <c:v>-0.46717118111562045</c:v>
                </c:pt>
                <c:pt idx="101">
                  <c:v>-0.4593384047185391</c:v>
                </c:pt>
                <c:pt idx="102">
                  <c:v>-0.45296770970534705</c:v>
                </c:pt>
                <c:pt idx="103">
                  <c:v>-0.44766802996990401</c:v>
                </c:pt>
                <c:pt idx="104">
                  <c:v>-0.44317562077903144</c:v>
                </c:pt>
                <c:pt idx="105">
                  <c:v>-0.43930631025879152</c:v>
                </c:pt>
                <c:pt idx="106">
                  <c:v>-0.435927677770785</c:v>
                </c:pt>
                <c:pt idx="107">
                  <c:v>-0.43251016154656163</c:v>
                </c:pt>
                <c:pt idx="108">
                  <c:v>-0.4282109412881111</c:v>
                </c:pt>
                <c:pt idx="109">
                  <c:v>-0.42429104556393005</c:v>
                </c:pt>
                <c:pt idx="110">
                  <c:v>-0.42068800310847532</c:v>
                </c:pt>
                <c:pt idx="111">
                  <c:v>-0.41735240813734975</c:v>
                </c:pt>
                <c:pt idx="112">
                  <c:v>-0.41424464325187543</c:v>
                </c:pt>
                <c:pt idx="113">
                  <c:v>-0.41133253950921156</c:v>
                </c:pt>
                <c:pt idx="114">
                  <c:v>-0.40858967565904619</c:v>
                </c:pt>
                <c:pt idx="115">
                  <c:v>-0.40599412169771776</c:v>
                </c:pt>
                <c:pt idx="116">
                  <c:v>-0.40352749725786557</c:v>
                </c:pt>
                <c:pt idx="117">
                  <c:v>-0.40117425626748354</c:v>
                </c:pt>
                <c:pt idx="118">
                  <c:v>-0.39892113695239273</c:v>
                </c:pt>
                <c:pt idx="119">
                  <c:v>-0.39675673399504507</c:v>
                </c:pt>
                <c:pt idx="120">
                  <c:v>-0.39467116221862647</c:v>
                </c:pt>
                <c:pt idx="121">
                  <c:v>-0.39265578966468373</c:v>
                </c:pt>
                <c:pt idx="122">
                  <c:v>-0.39070302346676472</c:v>
                </c:pt>
                <c:pt idx="123">
                  <c:v>-0.38880613684665494</c:v>
                </c:pt>
                <c:pt idx="124">
                  <c:v>-0.38695912781934255</c:v>
                </c:pt>
                <c:pt idx="125">
                  <c:v>-0.38515660283072256</c:v>
                </c:pt>
                <c:pt idx="126">
                  <c:v>-0.38339368021163522</c:v>
                </c:pt>
                <c:pt idx="127">
                  <c:v>-0.38166590915026072</c:v>
                </c:pt>
                <c:pt idx="128">
                  <c:v>-0.37996920114537519</c:v>
                </c:pt>
                <c:pt idx="129">
                  <c:v>-0.37829977136138226</c:v>
                </c:pt>
                <c:pt idx="130">
                  <c:v>-0.37665408791413107</c:v>
                </c:pt>
                <c:pt idx="131">
                  <c:v>-0.3750288274121914</c:v>
                </c:pt>
                <c:pt idx="132">
                  <c:v>-0.37342083549492106</c:v>
                </c:pt>
                <c:pt idx="133">
                  <c:v>-0.37182709113146956</c:v>
                </c:pt>
                <c:pt idx="134">
                  <c:v>-0.37024467384593474</c:v>
                </c:pt>
                <c:pt idx="135">
                  <c:v>-0.36867073298696112</c:v>
                </c:pt>
                <c:pt idx="136">
                  <c:v>-0.36710245828246668</c:v>
                </c:pt>
                <c:pt idx="137">
                  <c:v>-0.3655370509122241</c:v>
                </c:pt>
                <c:pt idx="138">
                  <c:v>-0.36397169459165557</c:v>
                </c:pt>
                <c:pt idx="139">
                  <c:v>-0.36240352574717793</c:v>
                </c:pt>
                <c:pt idx="140">
                  <c:v>-0.36082960220162397</c:v>
                </c:pt>
                <c:pt idx="141">
                  <c:v>-0.35924686954371743</c:v>
                </c:pt>
                <c:pt idx="142">
                  <c:v>-0.35765212419252496</c:v>
                </c:pt>
                <c:pt idx="143">
                  <c:v>-0.35604197222147965</c:v>
                </c:pt>
                <c:pt idx="144">
                  <c:v>-0.35441278260657211</c:v>
                </c:pt>
                <c:pt idx="145">
                  <c:v>-0.35276063339589525</c:v>
                </c:pt>
                <c:pt idx="146">
                  <c:v>-0.35108124896866477</c:v>
                </c:pt>
                <c:pt idx="147">
                  <c:v>-0.34936992603619699</c:v>
                </c:pt>
                <c:pt idx="148">
                  <c:v>-0.34762144541110945</c:v>
                </c:pt>
                <c:pt idx="149">
                  <c:v>-0.34582996590005266</c:v>
                </c:pt>
                <c:pt idx="150">
                  <c:v>-0.34398889540058802</c:v>
                </c:pt>
                <c:pt idx="151">
                  <c:v>-0.34209073304404558</c:v>
                </c:pt>
                <c:pt idx="152">
                  <c:v>-0.34012687412508052</c:v>
                </c:pt>
                <c:pt idx="153">
                  <c:v>-0.33808736701255965</c:v>
                </c:pt>
                <c:pt idx="154">
                  <c:v>-0.33596060751137213</c:v>
                </c:pt>
                <c:pt idx="155">
                  <c:v>-0.33373295109489004</c:v>
                </c:pt>
                <c:pt idx="156">
                  <c:v>-0.33138821622931874</c:v>
                </c:pt>
                <c:pt idx="157">
                  <c:v>-0.32890704179050595</c:v>
                </c:pt>
                <c:pt idx="158">
                  <c:v>-0.32626604678334836</c:v>
                </c:pt>
                <c:pt idx="159">
                  <c:v>-0.3234367188801075</c:v>
                </c:pt>
                <c:pt idx="160">
                  <c:v>-0.32038392596022963</c:v>
                </c:pt>
                <c:pt idx="161">
                  <c:v>-0.31706389585043093</c:v>
                </c:pt>
                <c:pt idx="162">
                  <c:v>-0.31342143376737158</c:v>
                </c:pt>
                <c:pt idx="163">
                  <c:v>-0.30938602767632778</c:v>
                </c:pt>
                <c:pt idx="164">
                  <c:v>-0.30595509754840938</c:v>
                </c:pt>
                <c:pt idx="165">
                  <c:v>-0.30241553685702882</c:v>
                </c:pt>
                <c:pt idx="166">
                  <c:v>-0.29829398526569101</c:v>
                </c:pt>
                <c:pt idx="167">
                  <c:v>-0.2934219362210202</c:v>
                </c:pt>
                <c:pt idx="168">
                  <c:v>-0.28756400967527673</c:v>
                </c:pt>
                <c:pt idx="169">
                  <c:v>-0.28038282066927572</c:v>
                </c:pt>
                <c:pt idx="170">
                  <c:v>-0.27138001664297212</c:v>
                </c:pt>
                <c:pt idx="171">
                  <c:v>-0.25979286362087073</c:v>
                </c:pt>
                <c:pt idx="172">
                  <c:v>-0.2446105351226297</c:v>
                </c:pt>
                <c:pt idx="173">
                  <c:v>-0.22800331723445844</c:v>
                </c:pt>
                <c:pt idx="174">
                  <c:v>-0.21099659014204597</c:v>
                </c:pt>
                <c:pt idx="175">
                  <c:v>-0.19355683281701411</c:v>
                </c:pt>
                <c:pt idx="176">
                  <c:v>-0.17564816966899552</c:v>
                </c:pt>
                <c:pt idx="177">
                  <c:v>-0.1572321021533718</c:v>
                </c:pt>
                <c:pt idx="178">
                  <c:v>-0.13826721249726484</c:v>
                </c:pt>
                <c:pt idx="179">
                  <c:v>-0.11870883628617576</c:v>
                </c:pt>
                <c:pt idx="180">
                  <c:v>-9.8508700450340367E-2</c:v>
                </c:pt>
                <c:pt idx="181">
                  <c:v>-9.3480222894954945E-2</c:v>
                </c:pt>
                <c:pt idx="182">
                  <c:v>-8.8371545704286361E-2</c:v>
                </c:pt>
                <c:pt idx="183">
                  <c:v>-8.3182324239423303E-2</c:v>
                </c:pt>
                <c:pt idx="184">
                  <c:v>-7.7912253880086449E-2</c:v>
                </c:pt>
                <c:pt idx="185">
                  <c:v>-7.256072071020235E-2</c:v>
                </c:pt>
                <c:pt idx="186">
                  <c:v>-6.7126638429849714E-2</c:v>
                </c:pt>
                <c:pt idx="187">
                  <c:v>-6.160837922589131E-2</c:v>
                </c:pt>
                <c:pt idx="188">
                  <c:v>-5.6003750420052692E-2</c:v>
                </c:pt>
                <c:pt idx="189">
                  <c:v>-5.0309992357372914E-2</c:v>
                </c:pt>
                <c:pt idx="190">
                  <c:v>-4.4523783618892525E-2</c:v>
                </c:pt>
                <c:pt idx="191">
                  <c:v>-3.8641247243228052E-2</c:v>
                </c:pt>
                <c:pt idx="192">
                  <c:v>-3.2768189134038936E-2</c:v>
                </c:pt>
                <c:pt idx="193">
                  <c:v>-2.7329910414986735E-2</c:v>
                </c:pt>
                <c:pt idx="194">
                  <c:v>-2.2227257275842939E-2</c:v>
                </c:pt>
                <c:pt idx="195">
                  <c:v>-1.7345400151243896E-2</c:v>
                </c:pt>
                <c:pt idx="196">
                  <c:v>-1.2605944076954862E-2</c:v>
                </c:pt>
                <c:pt idx="197">
                  <c:v>-7.9540430898221298E-3</c:v>
                </c:pt>
                <c:pt idx="198">
                  <c:v>-3.3504106946100642E-3</c:v>
                </c:pt>
                <c:pt idx="199">
                  <c:v>1.2337684675705241E-3</c:v>
                </c:pt>
                <c:pt idx="200">
                  <c:v>5.8427794292435862E-3</c:v>
                </c:pt>
                <c:pt idx="201">
                  <c:v>1.0516093402512538E-2</c:v>
                </c:pt>
                <c:pt idx="202">
                  <c:v>1.5197978734252399E-2</c:v>
                </c:pt>
                <c:pt idx="203">
                  <c:v>1.9903789057383842E-2</c:v>
                </c:pt>
                <c:pt idx="204">
                  <c:v>2.4646250114461553E-2</c:v>
                </c:pt>
                <c:pt idx="205">
                  <c:v>2.9436208179894948E-2</c:v>
                </c:pt>
                <c:pt idx="206">
                  <c:v>3.4283176320248229E-2</c:v>
                </c:pt>
                <c:pt idx="207">
                  <c:v>3.919573895879986E-2</c:v>
                </c:pt>
                <c:pt idx="208">
                  <c:v>4.4181857514479672E-2</c:v>
                </c:pt>
                <c:pt idx="209">
                  <c:v>4.924910521992925E-2</c:v>
                </c:pt>
                <c:pt idx="210">
                  <c:v>5.440485209471984E-2</c:v>
                </c:pt>
                <c:pt idx="211">
                  <c:v>5.9656413627060596E-2</c:v>
                </c:pt>
                <c:pt idx="212">
                  <c:v>6.5011174651036771E-2</c:v>
                </c:pt>
                <c:pt idx="213">
                  <c:v>7.0476694980055557E-2</c:v>
                </c:pt>
                <c:pt idx="214">
                  <c:v>7.6060803931533652E-2</c:v>
                </c:pt>
                <c:pt idx="215">
                  <c:v>8.1771686612421124E-2</c:v>
                </c:pt>
                <c:pt idx="216">
                  <c:v>8.761796691969477E-2</c:v>
                </c:pt>
                <c:pt idx="217">
                  <c:v>9.3608789497384104E-2</c:v>
                </c:pt>
                <c:pt idx="218">
                  <c:v>9.9753902738570419E-2</c:v>
                </c:pt>
                <c:pt idx="219">
                  <c:v>0.10606374635275462</c:v>
                </c:pt>
                <c:pt idx="220">
                  <c:v>0.11254954400403816</c:v>
                </c:pt>
                <c:pt idx="221">
                  <c:v>0.11922340494809762</c:v>
                </c:pt>
                <c:pt idx="222">
                  <c:v>0.12609843503170143</c:v>
                </c:pt>
                <c:pt idx="223">
                  <c:v>0.13318886090409091</c:v>
                </c:pt>
                <c:pt idx="224">
                  <c:v>0.14051016976453309</c:v>
                </c:pt>
                <c:pt idx="225">
                  <c:v>0.14807926716267475</c:v>
                </c:pt>
                <c:pt idx="226">
                  <c:v>0.15591465732003229</c:v>
                </c:pt>
                <c:pt idx="227">
                  <c:v>0.16403664946971916</c:v>
                </c:pt>
                <c:pt idx="228">
                  <c:v>0.17246759564479122</c:v>
                </c:pt>
                <c:pt idx="229">
                  <c:v>0.18123216610827808</c:v>
                </c:pt>
                <c:pt idx="230">
                  <c:v>0.19035766965007772</c:v>
                </c:pt>
                <c:pt idx="231">
                  <c:v>0.19987442739983441</c:v>
                </c:pt>
                <c:pt idx="232">
                  <c:v>0.20981621186099444</c:v>
                </c:pt>
                <c:pt idx="233">
                  <c:v>0.22022076462704812</c:v>
                </c:pt>
                <c:pt idx="234">
                  <c:v>0.23113040926790665</c:v>
                </c:pt>
                <c:pt idx="235">
                  <c:v>0.24259278167516035</c:v>
                </c:pt>
                <c:pt idx="236">
                  <c:v>0.25466170312815589</c:v>
                </c:pt>
                <c:pt idx="237">
                  <c:v>0.26575719260351349</c:v>
                </c:pt>
                <c:pt idx="238">
                  <c:v>0.27706531719538302</c:v>
                </c:pt>
                <c:pt idx="239">
                  <c:v>0.2890465819608381</c:v>
                </c:pt>
                <c:pt idx="240">
                  <c:v>0.30177496010752064</c:v>
                </c:pt>
                <c:pt idx="241">
                  <c:v>0.3153358110975179</c:v>
                </c:pt>
                <c:pt idx="242">
                  <c:v>0.32982817756780219</c:v>
                </c:pt>
                <c:pt idx="243">
                  <c:v>0.34536765741235659</c:v>
                </c:pt>
                <c:pt idx="244">
                  <c:v>0.36209002166524917</c:v>
                </c:pt>
                <c:pt idx="245">
                  <c:v>0.3801558101433225</c:v>
                </c:pt>
                <c:pt idx="246">
                  <c:v>0.39975621870494338</c:v>
                </c:pt>
                <c:pt idx="247">
                  <c:v>0.42112070731111795</c:v>
                </c:pt>
                <c:pt idx="248">
                  <c:v>0.44452692066949451</c:v>
                </c:pt>
                <c:pt idx="249">
                  <c:v>0.4703137396385319</c:v>
                </c:pt>
                <c:pt idx="250">
                  <c:v>0.49760630834433894</c:v>
                </c:pt>
                <c:pt idx="251">
                  <c:v>0.52785241153856599</c:v>
                </c:pt>
                <c:pt idx="252">
                  <c:v>0.56171873398043004</c:v>
                </c:pt>
                <c:pt idx="253">
                  <c:v>0.59993709849532195</c:v>
                </c:pt>
                <c:pt idx="254">
                  <c:v>0.64343954243217016</c:v>
                </c:pt>
                <c:pt idx="255">
                  <c:v>0.68819354367937957</c:v>
                </c:pt>
                <c:pt idx="256">
                  <c:v>0.73390060122053913</c:v>
                </c:pt>
                <c:pt idx="257">
                  <c:v>0.78632794712247289</c:v>
                </c:pt>
                <c:pt idx="258">
                  <c:v>0.84706422273019488</c:v>
                </c:pt>
                <c:pt idx="259">
                  <c:v>0.91816177440273261</c:v>
                </c:pt>
                <c:pt idx="260">
                  <c:v>1.0022565010231008</c:v>
                </c:pt>
                <c:pt idx="261">
                  <c:v>1.0927264437989377</c:v>
                </c:pt>
                <c:pt idx="262">
                  <c:v>1.1545713705921357</c:v>
                </c:pt>
                <c:pt idx="263">
                  <c:v>1.2314284080659186</c:v>
                </c:pt>
                <c:pt idx="264">
                  <c:v>1.3288068247876275</c:v>
                </c:pt>
                <c:pt idx="265">
                  <c:v>1.4346983825923667</c:v>
                </c:pt>
                <c:pt idx="266">
                  <c:v>1.5411140465025606</c:v>
                </c:pt>
                <c:pt idx="267">
                  <c:v>1.6463225422287933</c:v>
                </c:pt>
                <c:pt idx="268">
                  <c:v>1.7487185753045895</c:v>
                </c:pt>
                <c:pt idx="269">
                  <c:v>1.8469742293194245</c:v>
                </c:pt>
                <c:pt idx="270">
                  <c:v>1.9401266748748236</c:v>
                </c:pt>
                <c:pt idx="271">
                  <c:v>2.0275951379878574</c:v>
                </c:pt>
                <c:pt idx="272">
                  <c:v>2.1091419262287081</c:v>
                </c:pt>
                <c:pt idx="273">
                  <c:v>2.1848021568381362</c:v>
                </c:pt>
                <c:pt idx="274">
                  <c:v>2.2548051501113462</c:v>
                </c:pt>
                <c:pt idx="275">
                  <c:v>2.3195028550520993</c:v>
                </c:pt>
                <c:pt idx="276">
                  <c:v>2.3793125536786595</c:v>
                </c:pt>
                <c:pt idx="277">
                  <c:v>2.4313840112748508</c:v>
                </c:pt>
                <c:pt idx="278">
                  <c:v>2.4711275352249897</c:v>
                </c:pt>
                <c:pt idx="279">
                  <c:v>2.5025697143401979</c:v>
                </c:pt>
                <c:pt idx="280">
                  <c:v>2.5283004726014746</c:v>
                </c:pt>
                <c:pt idx="281">
                  <c:v>2.5499228819525777</c:v>
                </c:pt>
                <c:pt idx="282">
                  <c:v>2.5684837157196045</c:v>
                </c:pt>
                <c:pt idx="283">
                  <c:v>2.5846967389828377</c:v>
                </c:pt>
                <c:pt idx="284">
                  <c:v>2.5990663346702023</c:v>
                </c:pt>
                <c:pt idx="285">
                  <c:v>2.6119597490758206</c:v>
                </c:pt>
                <c:pt idx="286">
                  <c:v>2.6236512656871245</c:v>
                </c:pt>
                <c:pt idx="287">
                  <c:v>2.6343502726703121</c:v>
                </c:pt>
                <c:pt idx="288">
                  <c:v>2.6442196950290522</c:v>
                </c:pt>
                <c:pt idx="289">
                  <c:v>2.6533884505013341</c:v>
                </c:pt>
                <c:pt idx="290">
                  <c:v>2.6619600808174386</c:v>
                </c:pt>
                <c:pt idx="291">
                  <c:v>2.6700188665321849</c:v>
                </c:pt>
                <c:pt idx="292">
                  <c:v>2.6776342453996236</c:v>
                </c:pt>
                <c:pt idx="293">
                  <c:v>2.684864061751032</c:v>
                </c:pt>
                <c:pt idx="294">
                  <c:v>2.6917569945679301</c:v>
                </c:pt>
                <c:pt idx="295">
                  <c:v>2.6983543983094957</c:v>
                </c:pt>
                <c:pt idx="296">
                  <c:v>2.704691717063616</c:v>
                </c:pt>
                <c:pt idx="297">
                  <c:v>2.710799584192523</c:v>
                </c:pt>
                <c:pt idx="298">
                  <c:v>2.7167046871536735</c:v>
                </c:pt>
                <c:pt idx="299">
                  <c:v>2.7224304547795333</c:v>
                </c:pt>
                <c:pt idx="300">
                  <c:v>2.7279976089499223</c:v>
                </c:pt>
                <c:pt idx="301">
                  <c:v>2.7334246115642471</c:v>
                </c:pt>
                <c:pt idx="302">
                  <c:v>2.738728030017485</c:v>
                </c:pt>
                <c:pt idx="303">
                  <c:v>2.7439228386805596</c:v>
                </c:pt>
                <c:pt idx="304">
                  <c:v>2.7490226697957616</c:v>
                </c:pt>
                <c:pt idx="305">
                  <c:v>2.7540400241093845</c:v>
                </c:pt>
                <c:pt idx="306">
                  <c:v>2.7589864493368124</c:v>
                </c:pt>
                <c:pt idx="307">
                  <c:v>2.7638726927946924</c:v>
                </c:pt>
                <c:pt idx="308">
                  <c:v>2.7687088332478798</c:v>
                </c:pt>
                <c:pt idx="309">
                  <c:v>2.7735043960494856</c:v>
                </c:pt>
                <c:pt idx="310">
                  <c:v>2.7782684548788792</c:v>
                </c:pt>
                <c:pt idx="311">
                  <c:v>2.7830097227706254</c:v>
                </c:pt>
                <c:pt idx="312">
                  <c:v>2.7877366347269943</c:v>
                </c:pt>
                <c:pt idx="313">
                  <c:v>2.7924574238274498</c:v>
                </c:pt>
                <c:pt idx="314">
                  <c:v>2.7971801925420445</c:v>
                </c:pt>
                <c:pt idx="315">
                  <c:v>2.8019129806682272</c:v>
                </c:pt>
                <c:pt idx="316">
                  <c:v>2.8066638312873455</c:v>
                </c:pt>
                <c:pt idx="317">
                  <c:v>2.8114408560135389</c:v>
                </c:pt>
                <c:pt idx="318">
                  <c:v>2.8162523006507008</c:v>
                </c:pt>
                <c:pt idx="319">
                  <c:v>2.8211066126912603</c:v>
                </c:pt>
                <c:pt idx="320">
                  <c:v>2.8260125116928956</c:v>
                </c:pt>
                <c:pt idx="321">
                  <c:v>2.8309790640488832</c:v>
                </c:pt>
                <c:pt idx="322">
                  <c:v>2.8360157635378767</c:v>
                </c:pt>
                <c:pt idx="323">
                  <c:v>2.8411326193816211</c:v>
                </c:pt>
                <c:pt idx="324">
                  <c:v>2.8463402537107241</c:v>
                </c:pt>
                <c:pt idx="325">
                  <c:v>2.8516500105926532</c:v>
                </c:pt>
                <c:pt idx="326">
                  <c:v>2.8570740793940868</c:v>
                </c:pt>
                <c:pt idx="327">
                  <c:v>2.8626256356031048</c:v>
                </c:pt>
                <c:pt idx="328">
                  <c:v>2.8683190029197703</c:v>
                </c:pt>
                <c:pt idx="329">
                  <c:v>2.8741698413414261</c:v>
                </c:pt>
                <c:pt idx="330">
                  <c:v>2.8801953673306677</c:v>
                </c:pt>
                <c:pt idx="331">
                  <c:v>2.8864146129097308</c:v>
                </c:pt>
                <c:pt idx="332">
                  <c:v>2.8928487333694042</c:v>
                </c:pt>
                <c:pt idx="333">
                  <c:v>2.8995213749674447</c:v>
                </c:pt>
                <c:pt idx="334">
                  <c:v>2.9064591176323904</c:v>
                </c:pt>
                <c:pt idx="335">
                  <c:v>2.9136920119810781</c:v>
                </c:pt>
                <c:pt idx="336">
                  <c:v>2.9212542360298968</c:v>
                </c:pt>
                <c:pt idx="337">
                  <c:v>2.9290627920807348</c:v>
                </c:pt>
                <c:pt idx="338">
                  <c:v>2.936734764209846</c:v>
                </c:pt>
                <c:pt idx="339">
                  <c:v>2.9442492005554164</c:v>
                </c:pt>
                <c:pt idx="340">
                  <c:v>2.9516173228642635</c:v>
                </c:pt>
                <c:pt idx="341">
                  <c:v>2.9588496455680451</c:v>
                </c:pt>
                <c:pt idx="342">
                  <c:v>2.965956044675607</c:v>
                </c:pt>
                <c:pt idx="343">
                  <c:v>2.9729458196675616</c:v>
                </c:pt>
                <c:pt idx="344">
                  <c:v>2.9798277496214678</c:v>
                </c:pt>
                <c:pt idx="345">
                  <c:v>2.9866101438267108</c:v>
                </c:pt>
                <c:pt idx="346">
                  <c:v>2.9933008878849252</c:v>
                </c:pt>
                <c:pt idx="347">
                  <c:v>2.9999074857557577</c:v>
                </c:pt>
                <c:pt idx="348">
                  <c:v>3.0064370981406618</c:v>
                </c:pt>
                <c:pt idx="349">
                  <c:v>3.0128965778035144</c:v>
                </c:pt>
                <c:pt idx="350">
                  <c:v>3.0192925021084656</c:v>
                </c:pt>
                <c:pt idx="351">
                  <c:v>3.0256312031529271</c:v>
                </c:pt>
                <c:pt idx="352">
                  <c:v>3.0319187958005172</c:v>
                </c:pt>
                <c:pt idx="353">
                  <c:v>3.0381612038416943</c:v>
                </c:pt>
                <c:pt idx="354">
                  <c:v>3.0443641846883973</c:v>
                </c:pt>
                <c:pt idx="355">
                  <c:v>3.0505333526029941</c:v>
                </c:pt>
                <c:pt idx="356">
                  <c:v>3.056674200801484</c:v>
                </c:pt>
                <c:pt idx="357">
                  <c:v>3.0627921227016786</c:v>
                </c:pt>
                <c:pt idx="358">
                  <c:v>3.0688924322744167</c:v>
                </c:pt>
                <c:pt idx="359">
                  <c:v>3.0749803838401166</c:v>
                </c:pt>
                <c:pt idx="360">
                  <c:v>3.0810611914613699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E-48A4-91D5-BD0F45E5A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Tan-1 @ alphs vs req res Tan-1 -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0.000</c:formatCode>
                <c:ptCount val="361"/>
                <c:pt idx="0">
                  <c:v>0.6094186302114073</c:v>
                </c:pt>
                <c:pt idx="1">
                  <c:v>0.61270664877085013</c:v>
                </c:pt>
                <c:pt idx="2">
                  <c:v>0.61599314502119418</c:v>
                </c:pt>
                <c:pt idx="3">
                  <c:v>0.61928059794530821</c:v>
                </c:pt>
                <c:pt idx="4">
                  <c:v>0.62257149469364403</c:v>
                </c:pt>
                <c:pt idx="5">
                  <c:v>0.62586833872661174</c:v>
                </c:pt>
                <c:pt idx="6">
                  <c:v>0.62917365814638382</c:v>
                </c:pt>
                <c:pt idx="7">
                  <c:v>0.63249001412606587</c:v>
                </c:pt>
                <c:pt idx="8">
                  <c:v>0.63582000971610109</c:v>
                </c:pt>
                <c:pt idx="9">
                  <c:v>0.63916629900052602</c:v>
                </c:pt>
                <c:pt idx="10">
                  <c:v>0.64253159659366155</c:v>
                </c:pt>
                <c:pt idx="11">
                  <c:v>0.6459186877253611</c:v>
                </c:pt>
                <c:pt idx="12">
                  <c:v>0.64933043888220876</c:v>
                </c:pt>
                <c:pt idx="13">
                  <c:v>0.65276980914000671</c:v>
                </c:pt>
                <c:pt idx="14">
                  <c:v>0.65623986229479492</c:v>
                </c:pt>
                <c:pt idx="15">
                  <c:v>0.65974377989590272</c:v>
                </c:pt>
                <c:pt idx="16">
                  <c:v>0.66328487536404968</c:v>
                </c:pt>
                <c:pt idx="17">
                  <c:v>0.66686660926871077</c:v>
                </c:pt>
                <c:pt idx="18">
                  <c:v>0.67049260598895088</c:v>
                </c:pt>
                <c:pt idx="19">
                  <c:v>0.67416667198218505</c:v>
                </c:pt>
                <c:pt idx="20">
                  <c:v>0.67789281575581661</c:v>
                </c:pt>
                <c:pt idx="21">
                  <c:v>0.68167526996984673</c:v>
                </c:pt>
                <c:pt idx="22">
                  <c:v>0.68551851582478651</c:v>
                </c:pt>
                <c:pt idx="23">
                  <c:v>0.68941091092643081</c:v>
                </c:pt>
                <c:pt idx="24">
                  <c:v>0.69316131837231287</c:v>
                </c:pt>
                <c:pt idx="25">
                  <c:v>0.69672923055565983</c:v>
                </c:pt>
                <c:pt idx="26">
                  <c:v>0.70013246959858222</c:v>
                </c:pt>
                <c:pt idx="27">
                  <c:v>0.7033866687707806</c:v>
                </c:pt>
                <c:pt idx="28">
                  <c:v>0.70650561357214725</c:v>
                </c:pt>
                <c:pt idx="29">
                  <c:v>0.70950152066802818</c:v>
                </c:pt>
                <c:pt idx="30">
                  <c:v>0.71238526764316035</c:v>
                </c:pt>
                <c:pt idx="31">
                  <c:v>0.71516658355325058</c:v>
                </c:pt>
                <c:pt idx="32">
                  <c:v>0.71785420794606658</c:v>
                </c:pt>
                <c:pt idx="33">
                  <c:v>0.7204560245632825</c:v>
                </c:pt>
                <c:pt idx="34">
                  <c:v>0.72297917416171664</c:v>
                </c:pt>
                <c:pt idx="35">
                  <c:v>0.72543015049377235</c:v>
                </c:pt>
                <c:pt idx="36">
                  <c:v>0.72781488231193192</c:v>
                </c:pt>
                <c:pt idx="37">
                  <c:v>0.73013880379717078</c:v>
                </c:pt>
                <c:pt idx="38">
                  <c:v>0.73240691539845759</c:v>
                </c:pt>
                <c:pt idx="39">
                  <c:v>0.73462383674020959</c:v>
                </c:pt>
                <c:pt idx="40">
                  <c:v>0.73679385278608134</c:v>
                </c:pt>
                <c:pt idx="41">
                  <c:v>0.73892095440811412</c:v>
                </c:pt>
                <c:pt idx="42">
                  <c:v>0.74100887428602347</c:v>
                </c:pt>
                <c:pt idx="43">
                  <c:v>0.74289736289323827</c:v>
                </c:pt>
                <c:pt idx="44">
                  <c:v>0.74456577587258987</c:v>
                </c:pt>
                <c:pt idx="45">
                  <c:v>0.74619018400709969</c:v>
                </c:pt>
                <c:pt idx="46">
                  <c:v>0.74777374178905909</c:v>
                </c:pt>
                <c:pt idx="47">
                  <c:v>0.74931941747023867</c:v>
                </c:pt>
                <c:pt idx="48">
                  <c:v>0.75083001720607889</c:v>
                </c:pt>
                <c:pt idx="49">
                  <c:v>0.75230820746183635</c:v>
                </c:pt>
                <c:pt idx="50">
                  <c:v>0.75375653631481976</c:v>
                </c:pt>
                <c:pt idx="51">
                  <c:v>0.75517745374475398</c:v>
                </c:pt>
                <c:pt idx="52">
                  <c:v>0.7565733313506886</c:v>
                </c:pt>
                <c:pt idx="53">
                  <c:v>0.75794648215237626</c:v>
                </c:pt>
                <c:pt idx="54">
                  <c:v>0.7592991804239051</c:v>
                </c:pt>
                <c:pt idx="55">
                  <c:v>0.76063368236753037</c:v>
                </c:pt>
                <c:pt idx="56">
                  <c:v>0.7619522479654921</c:v>
                </c:pt>
                <c:pt idx="57">
                  <c:v>0.76325716459583681</c:v>
                </c:pt>
                <c:pt idx="58">
                  <c:v>0.76455077300679841</c:v>
                </c:pt>
                <c:pt idx="59">
                  <c:v>0.76583549674022766</c:v>
                </c:pt>
                <c:pt idx="60">
                  <c:v>0.76711387557684674</c:v>
                </c:pt>
                <c:pt idx="61">
                  <c:v>0.76838860471996684</c:v>
                </c:pt>
                <c:pt idx="62">
                  <c:v>0.7696625809627986</c:v>
                </c:pt>
                <c:pt idx="63">
                  <c:v>0.77093895820192948</c:v>
                </c:pt>
                <c:pt idx="64">
                  <c:v>0.77222121476848571</c:v>
                </c:pt>
                <c:pt idx="65">
                  <c:v>0.77351323628060698</c:v>
                </c:pt>
                <c:pt idx="66">
                  <c:v>0.77493386080548676</c:v>
                </c:pt>
                <c:pt idx="67">
                  <c:v>0.7766154295555916</c:v>
                </c:pt>
                <c:pt idx="68">
                  <c:v>0.77830068164715094</c:v>
                </c:pt>
                <c:pt idx="69">
                  <c:v>0.77999591714598449</c:v>
                </c:pt>
                <c:pt idx="70">
                  <c:v>0.78170858962148193</c:v>
                </c:pt>
                <c:pt idx="71">
                  <c:v>0.7834476541113653</c:v>
                </c:pt>
                <c:pt idx="72">
                  <c:v>0.78522403508802352</c:v>
                </c:pt>
                <c:pt idx="73">
                  <c:v>5.4960943561928488</c:v>
                </c:pt>
                <c:pt idx="74">
                  <c:v>5.4940056107240647</c:v>
                </c:pt>
                <c:pt idx="75">
                  <c:v>5.4918375035340601</c:v>
                </c:pt>
                <c:pt idx="76">
                  <c:v>5.489562219832095</c:v>
                </c:pt>
                <c:pt idx="77">
                  <c:v>5.4871428177667516</c:v>
                </c:pt>
                <c:pt idx="78">
                  <c:v>5.4845291787755297</c:v>
                </c:pt>
                <c:pt idx="79">
                  <c:v>5.481651612704967</c:v>
                </c:pt>
                <c:pt idx="80">
                  <c:v>5.4784103174571701</c:v>
                </c:pt>
                <c:pt idx="81">
                  <c:v>5.4746570580510889</c:v>
                </c:pt>
                <c:pt idx="82">
                  <c:v>5.4701610908597909</c:v>
                </c:pt>
                <c:pt idx="83">
                  <c:v>5.4645399022202561</c:v>
                </c:pt>
                <c:pt idx="84">
                  <c:v>5.4571003619895233</c:v>
                </c:pt>
                <c:pt idx="85">
                  <c:v>5.447531862184432</c:v>
                </c:pt>
                <c:pt idx="86">
                  <c:v>5.4372091165069758</c:v>
                </c:pt>
                <c:pt idx="87">
                  <c:v>5.4258999387260847</c:v>
                </c:pt>
                <c:pt idx="88">
                  <c:v>5.4175423743134239</c:v>
                </c:pt>
                <c:pt idx="89">
                  <c:v>5.412203830509597</c:v>
                </c:pt>
                <c:pt idx="90">
                  <c:v>5.4090229229938043</c:v>
                </c:pt>
                <c:pt idx="91">
                  <c:v>5.4093110723348987</c:v>
                </c:pt>
                <c:pt idx="92">
                  <c:v>5.422671868397515</c:v>
                </c:pt>
                <c:pt idx="93">
                  <c:v>5.4427280028915908</c:v>
                </c:pt>
                <c:pt idx="94">
                  <c:v>5.4632096092455598</c:v>
                </c:pt>
                <c:pt idx="95">
                  <c:v>5.4817677759720347</c:v>
                </c:pt>
                <c:pt idx="96">
                  <c:v>0.78521770075521724</c:v>
                </c:pt>
                <c:pt idx="97">
                  <c:v>0.77123622522086865</c:v>
                </c:pt>
                <c:pt idx="98">
                  <c:v>0.75917269011017252</c:v>
                </c:pt>
                <c:pt idx="99">
                  <c:v>0.74871538568122364</c:v>
                </c:pt>
                <c:pt idx="100">
                  <c:v>0.73958864644821443</c:v>
                </c:pt>
                <c:pt idx="101">
                  <c:v>0.73156257174716455</c:v>
                </c:pt>
                <c:pt idx="102">
                  <c:v>0.7244498695369721</c:v>
                </c:pt>
                <c:pt idx="103">
                  <c:v>0.71809917620230035</c:v>
                </c:pt>
                <c:pt idx="104">
                  <c:v>0.71238821870195501</c:v>
                </c:pt>
                <c:pt idx="105">
                  <c:v>0.70721788218027815</c:v>
                </c:pt>
                <c:pt idx="106">
                  <c:v>0.70171873542937391</c:v>
                </c:pt>
                <c:pt idx="107">
                  <c:v>0.69436081527130922</c:v>
                </c:pt>
                <c:pt idx="108">
                  <c:v>0.68747835997056006</c:v>
                </c:pt>
                <c:pt idx="109">
                  <c:v>0.68101133874573128</c:v>
                </c:pt>
                <c:pt idx="110">
                  <c:v>0.67490880998193115</c:v>
                </c:pt>
                <c:pt idx="111">
                  <c:v>0.66912731804853021</c:v>
                </c:pt>
                <c:pt idx="112">
                  <c:v>0.66362958976748976</c:v>
                </c:pt>
                <c:pt idx="113">
                  <c:v>0.65838347517280882</c:v>
                </c:pt>
                <c:pt idx="114">
                  <c:v>0.65336108685188954</c:v>
                </c:pt>
                <c:pt idx="115">
                  <c:v>0.64853809715496302</c:v>
                </c:pt>
                <c:pt idx="116">
                  <c:v>0.64389316331737723</c:v>
                </c:pt>
                <c:pt idx="117">
                  <c:v>0.63940745415655398</c:v>
                </c:pt>
                <c:pt idx="118">
                  <c:v>0.63506425930300869</c:v>
                </c:pt>
                <c:pt idx="119">
                  <c:v>0.630848664558604</c:v>
                </c:pt>
                <c:pt idx="120">
                  <c:v>0.62674728005658453</c:v>
                </c:pt>
                <c:pt idx="121">
                  <c:v>0.62274801290890425</c:v>
                </c:pt>
                <c:pt idx="122">
                  <c:v>0.61883987367230597</c:v>
                </c:pt>
                <c:pt idx="123">
                  <c:v>0.61501281219330206</c:v>
                </c:pt>
                <c:pt idx="124">
                  <c:v>0.61125757696676031</c:v>
                </c:pt>
                <c:pt idx="125">
                  <c:v>0.60756559270688726</c:v>
                </c:pt>
                <c:pt idx="126">
                  <c:v>0.60392885403027252</c:v>
                </c:pt>
                <c:pt idx="127">
                  <c:v>0.60033983136725855</c:v>
                </c:pt>
                <c:pt idx="128">
                  <c:v>0.59679138705723789</c:v>
                </c:pt>
                <c:pt idx="129">
                  <c:v>0.59327669926890447</c:v>
                </c:pt>
                <c:pt idx="130">
                  <c:v>0.58978919228220406</c:v>
                </c:pt>
                <c:pt idx="131">
                  <c:v>0.5863224709746615</c:v>
                </c:pt>
                <c:pt idx="132">
                  <c:v>0.58287025894650446</c:v>
                </c:pt>
                <c:pt idx="133">
                  <c:v>0.57942633806974531</c:v>
                </c:pt>
                <c:pt idx="134">
                  <c:v>0.57598448848588601</c:v>
                </c:pt>
                <c:pt idx="135">
                  <c:v>0.57253842779156949</c:v>
                </c:pt>
                <c:pt idx="136">
                  <c:v>0.56908174861527794</c:v>
                </c:pt>
                <c:pt idx="137">
                  <c:v>0.56560785162862226</c:v>
                </c:pt>
                <c:pt idx="138">
                  <c:v>0.56210987429694725</c:v>
                </c:pt>
                <c:pt idx="139">
                  <c:v>0.55858061230757761</c:v>
                </c:pt>
                <c:pt idx="140">
                  <c:v>0.55501243173556691</c:v>
                </c:pt>
                <c:pt idx="141">
                  <c:v>0.55139717029110269</c:v>
                </c:pt>
                <c:pt idx="142">
                  <c:v>0.54772602353685595</c:v>
                </c:pt>
                <c:pt idx="143">
                  <c:v>0.54398941323749561</c:v>
                </c:pt>
                <c:pt idx="144">
                  <c:v>0.54017683327096266</c:v>
                </c:pt>
                <c:pt idx="145">
                  <c:v>0.5362766671118</c:v>
                </c:pt>
                <c:pt idx="146">
                  <c:v>0.53227597001970528</c:v>
                </c:pt>
                <c:pt idx="147">
                  <c:v>0.52816020756794702</c:v>
                </c:pt>
                <c:pt idx="148">
                  <c:v>0.52391293773710768</c:v>
                </c:pt>
                <c:pt idx="149">
                  <c:v>0.51951542329284139</c:v>
                </c:pt>
                <c:pt idx="150">
                  <c:v>0.51494615378264852</c:v>
                </c:pt>
                <c:pt idx="151">
                  <c:v>0.51018025286749724</c:v>
                </c:pt>
                <c:pt idx="152">
                  <c:v>0.5051887366340817</c:v>
                </c:pt>
                <c:pt idx="153">
                  <c:v>0.49993757853297227</c:v>
                </c:pt>
                <c:pt idx="154">
                  <c:v>0.49438651996077398</c:v>
                </c:pt>
                <c:pt idx="155">
                  <c:v>0.4884875439228904</c:v>
                </c:pt>
                <c:pt idx="156">
                  <c:v>0.48218289808596948</c:v>
                </c:pt>
                <c:pt idx="157">
                  <c:v>0.47540250824475239</c:v>
                </c:pt>
                <c:pt idx="158">
                  <c:v>0.46806055864509322</c:v>
                </c:pt>
                <c:pt idx="159">
                  <c:v>0.46005091966211253</c:v>
                </c:pt>
                <c:pt idx="160">
                  <c:v>0.4512409611170094</c:v>
                </c:pt>
                <c:pt idx="161">
                  <c:v>0.44146307424898668</c:v>
                </c:pt>
                <c:pt idx="162">
                  <c:v>0.43050289633316607</c:v>
                </c:pt>
                <c:pt idx="163">
                  <c:v>0.42112810531736455</c:v>
                </c:pt>
                <c:pt idx="164">
                  <c:v>0.41141812270903921</c:v>
                </c:pt>
                <c:pt idx="165">
                  <c:v>0.40005743782670145</c:v>
                </c:pt>
                <c:pt idx="166">
                  <c:v>0.38657253871715458</c:v>
                </c:pt>
                <c:pt idx="167">
                  <c:v>0.37030918246303068</c:v>
                </c:pt>
                <c:pt idx="168">
                  <c:v>0.35034513850016546</c:v>
                </c:pt>
                <c:pt idx="169">
                  <c:v>0.32535241140823734</c:v>
                </c:pt>
                <c:pt idx="170">
                  <c:v>0.2933764389560265</c:v>
                </c:pt>
                <c:pt idx="171">
                  <c:v>0.25202627017376145</c:v>
                </c:pt>
                <c:pt idx="172">
                  <c:v>0.20755133463021025</c:v>
                </c:pt>
                <c:pt idx="173">
                  <c:v>0.16299201335921154</c:v>
                </c:pt>
                <c:pt idx="174">
                  <c:v>0.11856205582324053</c:v>
                </c:pt>
                <c:pt idx="175">
                  <c:v>7.4473412878030221E-2</c:v>
                </c:pt>
                <c:pt idx="176">
                  <c:v>3.0930675535017826E-2</c:v>
                </c:pt>
                <c:pt idx="177">
                  <c:v>1.1874020781853289E-2</c:v>
                </c:pt>
                <c:pt idx="178">
                  <c:v>5.37653227722239E-2</c:v>
                </c:pt>
                <c:pt idx="179">
                  <c:v>9.4588002333926724E-2</c:v>
                </c:pt>
                <c:pt idx="180">
                  <c:v>9.3539892967132943E-2</c:v>
                </c:pt>
                <c:pt idx="181">
                  <c:v>9.3327743962181131E-2</c:v>
                </c:pt>
                <c:pt idx="182">
                  <c:v>9.3743147934470805E-2</c:v>
                </c:pt>
                <c:pt idx="183">
                  <c:v>9.4630513292514706E-2</c:v>
                </c:pt>
                <c:pt idx="184">
                  <c:v>9.5871476647457321E-2</c:v>
                </c:pt>
                <c:pt idx="185">
                  <c:v>9.737452164527971E-2</c:v>
                </c:pt>
                <c:pt idx="186">
                  <c:v>9.9067876646502739E-2</c:v>
                </c:pt>
                <c:pt idx="187">
                  <c:v>0.10089453782676117</c:v>
                </c:pt>
                <c:pt idx="188">
                  <c:v>0.10280871094643151</c:v>
                </c:pt>
                <c:pt idx="189">
                  <c:v>0.10477321719257882</c:v>
                </c:pt>
                <c:pt idx="190">
                  <c:v>0.10675757349030146</c:v>
                </c:pt>
                <c:pt idx="191">
                  <c:v>0.10871502151233026</c:v>
                </c:pt>
                <c:pt idx="192">
                  <c:v>0.11058666069753009</c:v>
                </c:pt>
                <c:pt idx="193">
                  <c:v>0.11245222762418816</c:v>
                </c:pt>
                <c:pt idx="194">
                  <c:v>0.11436280883161221</c:v>
                </c:pt>
                <c:pt idx="195">
                  <c:v>0.11634291063881985</c:v>
                </c:pt>
                <c:pt idx="196">
                  <c:v>0.11840209126221879</c:v>
                </c:pt>
                <c:pt idx="197">
                  <c:v>0.12054151365539045</c:v>
                </c:pt>
                <c:pt idx="198">
                  <c:v>0.122757714561609</c:v>
                </c:pt>
                <c:pt idx="199">
                  <c:v>0.12477076641827045</c:v>
                </c:pt>
                <c:pt idx="200">
                  <c:v>0.12613710824784619</c:v>
                </c:pt>
                <c:pt idx="201">
                  <c:v>0.12763712848130515</c:v>
                </c:pt>
                <c:pt idx="202">
                  <c:v>0.12925797854858478</c:v>
                </c:pt>
                <c:pt idx="203">
                  <c:v>0.13098763464540841</c:v>
                </c:pt>
                <c:pt idx="204">
                  <c:v>0.13281497494078476</c:v>
                </c:pt>
                <c:pt idx="205">
                  <c:v>0.13472978011493275</c:v>
                </c:pt>
                <c:pt idx="206">
                  <c:v>0.13672269401293269</c:v>
                </c:pt>
                <c:pt idx="207">
                  <c:v>0.13878515984610829</c:v>
                </c:pt>
                <c:pt idx="208">
                  <c:v>0.14090934718332671</c:v>
                </c:pt>
                <c:pt idx="209">
                  <c:v>0.14308807376903632</c:v>
                </c:pt>
                <c:pt idx="210">
                  <c:v>0.14531472979138771</c:v>
                </c:pt>
                <c:pt idx="211">
                  <c:v>0.14758320255773683</c:v>
                </c:pt>
                <c:pt idx="212">
                  <c:v>0.14988780707165983</c:v>
                </c:pt>
                <c:pt idx="213">
                  <c:v>0.15222321760177948</c:v>
                </c:pt>
                <c:pt idx="214">
                  <c:v>0.1545844061375945</c:v>
                </c:pt>
                <c:pt idx="215">
                  <c:v>0.15696658198885505</c:v>
                </c:pt>
                <c:pt idx="216">
                  <c:v>0.15936513457775492</c:v>
                </c:pt>
                <c:pt idx="217">
                  <c:v>0.16177558012603965</c:v>
                </c:pt>
                <c:pt idx="218">
                  <c:v>0.16419350721812265</c:v>
                </c:pt>
                <c:pt idx="219">
                  <c:v>0.16661452611647487</c:v>
                </c:pt>
                <c:pt idx="220">
                  <c:v>0.16903421512155514</c:v>
                </c:pt>
                <c:pt idx="221">
                  <c:v>0.17144806931789791</c:v>
                </c:pt>
                <c:pt idx="222">
                  <c:v>0.17385144621107429</c:v>
                </c:pt>
                <c:pt idx="223">
                  <c:v>0.17623950873543137</c:v>
                </c:pt>
                <c:pt idx="224">
                  <c:v>0.17860716635776752</c:v>
                </c:pt>
                <c:pt idx="225">
                  <c:v>0.18094901065861535</c:v>
                </c:pt>
                <c:pt idx="226">
                  <c:v>0.18325924644154945</c:v>
                </c:pt>
                <c:pt idx="227">
                  <c:v>0.18553161597962964</c:v>
                </c:pt>
                <c:pt idx="228">
                  <c:v>0.18775931471249319</c:v>
                </c:pt>
                <c:pt idx="229">
                  <c:v>0.18993489717750833</c:v>
                </c:pt>
                <c:pt idx="230">
                  <c:v>0.19205017206747765</c:v>
                </c:pt>
                <c:pt idx="231">
                  <c:v>0.19409608249749066</c:v>
                </c:pt>
                <c:pt idx="232">
                  <c:v>0.19606256938725553</c:v>
                </c:pt>
                <c:pt idx="233">
                  <c:v>0.19793841584346872</c:v>
                </c:pt>
                <c:pt idx="234">
                  <c:v>0.19971106634116076</c:v>
                </c:pt>
                <c:pt idx="235">
                  <c:v>0.20136641923315857</c:v>
                </c:pt>
                <c:pt idx="236">
                  <c:v>0.20267181260457745</c:v>
                </c:pt>
                <c:pt idx="237">
                  <c:v>0.2038014850142571</c:v>
                </c:pt>
                <c:pt idx="238">
                  <c:v>0.20479504030819928</c:v>
                </c:pt>
                <c:pt idx="239">
                  <c:v>0.20563266716359063</c:v>
                </c:pt>
                <c:pt idx="240">
                  <c:v>0.20629167514801772</c:v>
                </c:pt>
                <c:pt idx="241">
                  <c:v>0.20674599248913061</c:v>
                </c:pt>
                <c:pt idx="242">
                  <c:v>0.20696556178159309</c:v>
                </c:pt>
                <c:pt idx="243">
                  <c:v>0.20691561225666533</c:v>
                </c:pt>
                <c:pt idx="244">
                  <c:v>0.20655577696378691</c:v>
                </c:pt>
                <c:pt idx="245">
                  <c:v>0.20583901642909286</c:v>
                </c:pt>
                <c:pt idx="246">
                  <c:v>0.20471029948219366</c:v>
                </c:pt>
                <c:pt idx="247">
                  <c:v>0.2031049765194517</c:v>
                </c:pt>
                <c:pt idx="248">
                  <c:v>0.200946763284791</c:v>
                </c:pt>
                <c:pt idx="249">
                  <c:v>0.1977236790376522</c:v>
                </c:pt>
                <c:pt idx="250">
                  <c:v>0.19379409360120636</c:v>
                </c:pt>
                <c:pt idx="251">
                  <c:v>0.18908229814689737</c:v>
                </c:pt>
                <c:pt idx="252">
                  <c:v>0.18345729408064626</c:v>
                </c:pt>
                <c:pt idx="253">
                  <c:v>0.17676035616448571</c:v>
                </c:pt>
                <c:pt idx="254">
                  <c:v>0.17025723223341149</c:v>
                </c:pt>
                <c:pt idx="255">
                  <c:v>0.16408219871613738</c:v>
                </c:pt>
                <c:pt idx="256">
                  <c:v>0.15674316756717399</c:v>
                </c:pt>
                <c:pt idx="257">
                  <c:v>0.1479922474877724</c:v>
                </c:pt>
                <c:pt idx="258">
                  <c:v>0.13750980173216165</c:v>
                </c:pt>
                <c:pt idx="259">
                  <c:v>0.12487698430378869</c:v>
                </c:pt>
                <c:pt idx="260">
                  <c:v>0.10863465680320772</c:v>
                </c:pt>
                <c:pt idx="261">
                  <c:v>8.5391197502260763E-2</c:v>
                </c:pt>
                <c:pt idx="262">
                  <c:v>5.8468627505077198E-2</c:v>
                </c:pt>
                <c:pt idx="263">
                  <c:v>2.6990499432809401E-2</c:v>
                </c:pt>
                <c:pt idx="264">
                  <c:v>4.639535784044746E-3</c:v>
                </c:pt>
                <c:pt idx="265">
                  <c:v>3.4501978244131148E-2</c:v>
                </c:pt>
                <c:pt idx="266">
                  <c:v>6.2799153032025323E-2</c:v>
                </c:pt>
                <c:pt idx="267">
                  <c:v>8.9707357849027503E-2</c:v>
                </c:pt>
                <c:pt idx="268">
                  <c:v>0.1153806061528968</c:v>
                </c:pt>
                <c:pt idx="269">
                  <c:v>0.13995384118110721</c:v>
                </c:pt>
                <c:pt idx="270">
                  <c:v>0.16354567938707598</c:v>
                </c:pt>
                <c:pt idx="271">
                  <c:v>0.18626074392419323</c:v>
                </c:pt>
                <c:pt idx="272">
                  <c:v>0.2081916459823856</c:v>
                </c:pt>
                <c:pt idx="273">
                  <c:v>0.22942066665779981</c:v>
                </c:pt>
                <c:pt idx="274">
                  <c:v>0.2500211856379253</c:v>
                </c:pt>
                <c:pt idx="275">
                  <c:v>0.27005889596381127</c:v>
                </c:pt>
                <c:pt idx="276">
                  <c:v>0.28840498898263567</c:v>
                </c:pt>
                <c:pt idx="277">
                  <c:v>0.30305746783033083</c:v>
                </c:pt>
                <c:pt idx="278">
                  <c:v>0.31509853414757405</c:v>
                </c:pt>
                <c:pt idx="279">
                  <c:v>0.32527464810350182</c:v>
                </c:pt>
                <c:pt idx="280">
                  <c:v>0.33406556292374034</c:v>
                </c:pt>
                <c:pt idx="281">
                  <c:v>0.34179518105493267</c:v>
                </c:pt>
                <c:pt idx="282">
                  <c:v>0.34869101331787622</c:v>
                </c:pt>
                <c:pt idx="283">
                  <c:v>0.35491815160083195</c:v>
                </c:pt>
                <c:pt idx="284">
                  <c:v>0.36059970564486354</c:v>
                </c:pt>
                <c:pt idx="285">
                  <c:v>0.36582963459399664</c:v>
                </c:pt>
                <c:pt idx="286">
                  <c:v>0.37068110010602018</c:v>
                </c:pt>
                <c:pt idx="287">
                  <c:v>0.37521207528424183</c:v>
                </c:pt>
                <c:pt idx="288">
                  <c:v>0.37946921321947524</c:v>
                </c:pt>
                <c:pt idx="289">
                  <c:v>0.38349057875104764</c:v>
                </c:pt>
                <c:pt idx="290">
                  <c:v>0.38730761787844514</c:v>
                </c:pt>
                <c:pt idx="291">
                  <c:v>0.39094660414234417</c:v>
                </c:pt>
                <c:pt idx="292">
                  <c:v>0.39442971858905018</c:v>
                </c:pt>
                <c:pt idx="293">
                  <c:v>0.39777586835136258</c:v>
                </c:pt>
                <c:pt idx="294">
                  <c:v>0.40100131567551944</c:v>
                </c:pt>
                <c:pt idx="295">
                  <c:v>0.4041201673578696</c:v>
                </c:pt>
                <c:pt idx="296">
                  <c:v>0.40714475998213606</c:v>
                </c:pt>
                <c:pt idx="297">
                  <c:v>0.41008596649262241</c:v>
                </c:pt>
                <c:pt idx="298">
                  <c:v>0.4129534425887238</c:v>
                </c:pt>
                <c:pt idx="299">
                  <c:v>0.4157558267525916</c:v>
                </c:pt>
                <c:pt idx="300">
                  <c:v>0.41850090408137941</c:v>
                </c:pt>
                <c:pt idx="301">
                  <c:v>0.42119574174832763</c:v>
                </c:pt>
                <c:pt idx="302">
                  <c:v>0.42384680201049285</c:v>
                </c:pt>
                <c:pt idx="303">
                  <c:v>0.42646003733281468</c:v>
                </c:pt>
                <c:pt idx="304">
                  <c:v>0.42904097123180351</c:v>
                </c:pt>
                <c:pt idx="305">
                  <c:v>0.43159476763837379</c:v>
                </c:pt>
                <c:pt idx="306">
                  <c:v>0.4341262910417707</c:v>
                </c:pt>
                <c:pt idx="307">
                  <c:v>0.43664015921452393</c:v>
                </c:pt>
                <c:pt idx="308">
                  <c:v>0.43914078999492734</c:v>
                </c:pt>
                <c:pt idx="309">
                  <c:v>0.44163244334782803</c:v>
                </c:pt>
                <c:pt idx="310">
                  <c:v>0.44411925971387278</c:v>
                </c:pt>
                <c:pt idx="311">
                  <c:v>0.44660529552082107</c:v>
                </c:pt>
                <c:pt idx="312">
                  <c:v>0.44909455660692732</c:v>
                </c:pt>
                <c:pt idx="313">
                  <c:v>0.45159103024426983</c:v>
                </c:pt>
                <c:pt idx="314">
                  <c:v>0.45409871635062027</c:v>
                </c:pt>
                <c:pt idx="315">
                  <c:v>0.45662165848841818</c:v>
                </c:pt>
                <c:pt idx="316">
                  <c:v>0.45916397522022301</c:v>
                </c:pt>
                <c:pt idx="317">
                  <c:v>0.46172989233109218</c:v>
                </c:pt>
                <c:pt idx="318">
                  <c:v>0.46432377660891078</c:v>
                </c:pt>
                <c:pt idx="319">
                  <c:v>0.46695017169280018</c:v>
                </c:pt>
                <c:pt idx="320">
                  <c:v>0.46961383675977242</c:v>
                </c:pt>
                <c:pt idx="321">
                  <c:v>0.47231978877105929</c:v>
                </c:pt>
                <c:pt idx="322">
                  <c:v>0.47507334919584654</c:v>
                </c:pt>
                <c:pt idx="323">
                  <c:v>0.47788019623770639</c:v>
                </c:pt>
                <c:pt idx="324">
                  <c:v>0.4807464237359782</c:v>
                </c:pt>
                <c:pt idx="325">
                  <c:v>0.48367860827126341</c:v>
                </c:pt>
                <c:pt idx="326">
                  <c:v>0.48668388620971159</c:v>
                </c:pt>
                <c:pt idx="327">
                  <c:v>0.48977004280933789</c:v>
                </c:pt>
                <c:pt idx="328">
                  <c:v>0.49294561603709797</c:v>
                </c:pt>
                <c:pt idx="329">
                  <c:v>0.49622001853837272</c:v>
                </c:pt>
                <c:pt idx="330">
                  <c:v>0.49960368160654234</c:v>
                </c:pt>
                <c:pt idx="331">
                  <c:v>0.50310822667230504</c:v>
                </c:pt>
                <c:pt idx="332">
                  <c:v>0.50674667077739644</c:v>
                </c:pt>
                <c:pt idx="333">
                  <c:v>0.51053367461517496</c:v>
                </c:pt>
                <c:pt idx="334">
                  <c:v>0.51448584421151056</c:v>
                </c:pt>
                <c:pt idx="335">
                  <c:v>0.51862210087499427</c:v>
                </c:pt>
                <c:pt idx="336">
                  <c:v>0.52289723759467499</c:v>
                </c:pt>
                <c:pt idx="337">
                  <c:v>0.52710129018856655</c:v>
                </c:pt>
                <c:pt idx="338">
                  <c:v>0.531222078012759</c:v>
                </c:pt>
                <c:pt idx="339">
                  <c:v>0.53526509166744685</c:v>
                </c:pt>
                <c:pt idx="340">
                  <c:v>0.53923549283525274</c:v>
                </c:pt>
                <c:pt idx="341">
                  <c:v>0.54313814448039377</c:v>
                </c:pt>
                <c:pt idx="342">
                  <c:v>0.54697763805813615</c:v>
                </c:pt>
                <c:pt idx="343">
                  <c:v>0.55075831835966937</c:v>
                </c:pt>
                <c:pt idx="344">
                  <c:v>0.55448430593910514</c:v>
                </c:pt>
                <c:pt idx="345">
                  <c:v>0.55815951764469363</c:v>
                </c:pt>
                <c:pt idx="346">
                  <c:v>0.56178768541356616</c:v>
                </c:pt>
                <c:pt idx="347">
                  <c:v>0.56537237344616154</c:v>
                </c:pt>
                <c:pt idx="348">
                  <c:v>0.56891699407236374</c:v>
                </c:pt>
                <c:pt idx="349">
                  <c:v>0.57242482238294468</c:v>
                </c:pt>
                <c:pt idx="350">
                  <c:v>0.57589900979612851</c:v>
                </c:pt>
                <c:pt idx="351">
                  <c:v>0.57934259668521104</c:v>
                </c:pt>
                <c:pt idx="352">
                  <c:v>0.58275852413109108</c:v>
                </c:pt>
                <c:pt idx="353">
                  <c:v>0.58614964506359479</c:v>
                </c:pt>
                <c:pt idx="354">
                  <c:v>0.58951873465807925</c:v>
                </c:pt>
                <c:pt idx="355">
                  <c:v>0.59286850019589732</c:v>
                </c:pt>
                <c:pt idx="356">
                  <c:v>0.59620159057360844</c:v>
                </c:pt>
                <c:pt idx="357">
                  <c:v>0.59952060527655915</c:v>
                </c:pt>
                <c:pt idx="358">
                  <c:v>0.60282810307760482</c:v>
                </c:pt>
                <c:pt idx="359">
                  <c:v>0.60612661053477535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</c:formatCode>
                <c:ptCount val="361"/>
                <c:pt idx="0">
                  <c:v>0.60612661053478201</c:v>
                </c:pt>
                <c:pt idx="1">
                  <c:v>0.6094186302114073</c:v>
                </c:pt>
                <c:pt idx="2">
                  <c:v>0.61270664877085013</c:v>
                </c:pt>
                <c:pt idx="3">
                  <c:v>0.61599314502119418</c:v>
                </c:pt>
                <c:pt idx="4">
                  <c:v>0.61928059794530821</c:v>
                </c:pt>
                <c:pt idx="5">
                  <c:v>0.62257149469364403</c:v>
                </c:pt>
                <c:pt idx="6">
                  <c:v>0.62586833872661174</c:v>
                </c:pt>
                <c:pt idx="7">
                  <c:v>0.62917365814638382</c:v>
                </c:pt>
                <c:pt idx="8">
                  <c:v>0.63249001412606587</c:v>
                </c:pt>
                <c:pt idx="9">
                  <c:v>0.63582000971610109</c:v>
                </c:pt>
                <c:pt idx="10">
                  <c:v>0.63916629900052602</c:v>
                </c:pt>
                <c:pt idx="11">
                  <c:v>0.64253159659366155</c:v>
                </c:pt>
                <c:pt idx="12">
                  <c:v>0.6459186877253611</c:v>
                </c:pt>
                <c:pt idx="13">
                  <c:v>0.64933043888220876</c:v>
                </c:pt>
                <c:pt idx="14">
                  <c:v>0.65276980914000671</c:v>
                </c:pt>
                <c:pt idx="15">
                  <c:v>0.65623986229479492</c:v>
                </c:pt>
                <c:pt idx="16">
                  <c:v>0.65974377989590272</c:v>
                </c:pt>
                <c:pt idx="17">
                  <c:v>0.66328487536404968</c:v>
                </c:pt>
                <c:pt idx="18">
                  <c:v>0.66686660926871077</c:v>
                </c:pt>
                <c:pt idx="19">
                  <c:v>0.67049260598895088</c:v>
                </c:pt>
                <c:pt idx="20">
                  <c:v>0.67416667198218505</c:v>
                </c:pt>
                <c:pt idx="21">
                  <c:v>0.67789281575581661</c:v>
                </c:pt>
                <c:pt idx="22">
                  <c:v>0.68167526996984673</c:v>
                </c:pt>
                <c:pt idx="23">
                  <c:v>0.68551851582478651</c:v>
                </c:pt>
                <c:pt idx="24">
                  <c:v>0.68941091092643081</c:v>
                </c:pt>
                <c:pt idx="25">
                  <c:v>0.69316131837231287</c:v>
                </c:pt>
                <c:pt idx="26">
                  <c:v>0.69672923055565983</c:v>
                </c:pt>
                <c:pt idx="27">
                  <c:v>0.70013246959858222</c:v>
                </c:pt>
                <c:pt idx="28">
                  <c:v>0.7033866687707806</c:v>
                </c:pt>
                <c:pt idx="29">
                  <c:v>0.70650561357214725</c:v>
                </c:pt>
                <c:pt idx="30">
                  <c:v>0.70950152066802818</c:v>
                </c:pt>
                <c:pt idx="31">
                  <c:v>0.71238526764316035</c:v>
                </c:pt>
                <c:pt idx="32">
                  <c:v>0.71516658355325058</c:v>
                </c:pt>
                <c:pt idx="33">
                  <c:v>0.71785420794606658</c:v>
                </c:pt>
                <c:pt idx="34">
                  <c:v>0.7204560245632825</c:v>
                </c:pt>
                <c:pt idx="35">
                  <c:v>0.72297917416171664</c:v>
                </c:pt>
                <c:pt idx="36">
                  <c:v>0.72543015049377235</c:v>
                </c:pt>
                <c:pt idx="37">
                  <c:v>0.72781488231193192</c:v>
                </c:pt>
                <c:pt idx="38">
                  <c:v>0.73013880379717078</c:v>
                </c:pt>
                <c:pt idx="39">
                  <c:v>0.73240691539845759</c:v>
                </c:pt>
                <c:pt idx="40">
                  <c:v>0.73462383674020959</c:v>
                </c:pt>
                <c:pt idx="41">
                  <c:v>0.73679385278608134</c:v>
                </c:pt>
                <c:pt idx="42">
                  <c:v>0.73892095440811412</c:v>
                </c:pt>
                <c:pt idx="43">
                  <c:v>0.74100887428602347</c:v>
                </c:pt>
                <c:pt idx="44">
                  <c:v>0.74289736289323827</c:v>
                </c:pt>
                <c:pt idx="45">
                  <c:v>0.74456577587258987</c:v>
                </c:pt>
                <c:pt idx="46">
                  <c:v>0.74619018400709969</c:v>
                </c:pt>
                <c:pt idx="47">
                  <c:v>0.74777374178905909</c:v>
                </c:pt>
                <c:pt idx="48">
                  <c:v>0.74931941747023867</c:v>
                </c:pt>
                <c:pt idx="49">
                  <c:v>0.75083001720607889</c:v>
                </c:pt>
                <c:pt idx="50">
                  <c:v>0.75230820746183635</c:v>
                </c:pt>
                <c:pt idx="51">
                  <c:v>0.75375653631481976</c:v>
                </c:pt>
                <c:pt idx="52">
                  <c:v>0.75517745374475398</c:v>
                </c:pt>
                <c:pt idx="53">
                  <c:v>0.7565733313506886</c:v>
                </c:pt>
                <c:pt idx="54">
                  <c:v>0.75794648215237626</c:v>
                </c:pt>
                <c:pt idx="55">
                  <c:v>0.7592991804239051</c:v>
                </c:pt>
                <c:pt idx="56">
                  <c:v>0.76063368236753037</c:v>
                </c:pt>
                <c:pt idx="57">
                  <c:v>0.7619522479654921</c:v>
                </c:pt>
                <c:pt idx="58">
                  <c:v>0.76325716459583681</c:v>
                </c:pt>
                <c:pt idx="59">
                  <c:v>0.76455077300679841</c:v>
                </c:pt>
                <c:pt idx="60">
                  <c:v>0.76583549674022766</c:v>
                </c:pt>
                <c:pt idx="61">
                  <c:v>0.76711387557684674</c:v>
                </c:pt>
                <c:pt idx="62">
                  <c:v>0.76838860471996684</c:v>
                </c:pt>
                <c:pt idx="63">
                  <c:v>0.7696625809627986</c:v>
                </c:pt>
                <c:pt idx="64">
                  <c:v>0.77093895820192948</c:v>
                </c:pt>
                <c:pt idx="65">
                  <c:v>0.77222121476848571</c:v>
                </c:pt>
                <c:pt idx="66">
                  <c:v>0.77351323628060698</c:v>
                </c:pt>
                <c:pt idx="67">
                  <c:v>0.77493386080548676</c:v>
                </c:pt>
                <c:pt idx="68">
                  <c:v>0.7766154295555916</c:v>
                </c:pt>
                <c:pt idx="69">
                  <c:v>0.77830068164715094</c:v>
                </c:pt>
                <c:pt idx="70">
                  <c:v>0.77999591714598449</c:v>
                </c:pt>
                <c:pt idx="71">
                  <c:v>0.78170858962148193</c:v>
                </c:pt>
                <c:pt idx="72">
                  <c:v>0.7834476541113653</c:v>
                </c:pt>
                <c:pt idx="73">
                  <c:v>0.78522403508802352</c:v>
                </c:pt>
                <c:pt idx="74">
                  <c:v>-5.4960943561928488</c:v>
                </c:pt>
                <c:pt idx="75">
                  <c:v>-5.4940056107240647</c:v>
                </c:pt>
                <c:pt idx="76">
                  <c:v>-5.4918375035340601</c:v>
                </c:pt>
                <c:pt idx="77">
                  <c:v>-5.489562219832095</c:v>
                </c:pt>
                <c:pt idx="78">
                  <c:v>-5.4871428177667516</c:v>
                </c:pt>
                <c:pt idx="79">
                  <c:v>-5.4845291787755297</c:v>
                </c:pt>
                <c:pt idx="80">
                  <c:v>-5.481651612704967</c:v>
                </c:pt>
                <c:pt idx="81">
                  <c:v>-5.4784103174571701</c:v>
                </c:pt>
                <c:pt idx="82">
                  <c:v>-5.4746570580510889</c:v>
                </c:pt>
                <c:pt idx="83">
                  <c:v>-5.4701610908597909</c:v>
                </c:pt>
                <c:pt idx="84">
                  <c:v>-5.4645399022202561</c:v>
                </c:pt>
                <c:pt idx="85">
                  <c:v>-5.4571003619895233</c:v>
                </c:pt>
                <c:pt idx="86">
                  <c:v>-5.447531862184432</c:v>
                </c:pt>
                <c:pt idx="87">
                  <c:v>-5.4372091165069758</c:v>
                </c:pt>
                <c:pt idx="88">
                  <c:v>-5.4258999387260847</c:v>
                </c:pt>
                <c:pt idx="89">
                  <c:v>-5.4175423743134239</c:v>
                </c:pt>
                <c:pt idx="90">
                  <c:v>-5.412203830509597</c:v>
                </c:pt>
                <c:pt idx="91">
                  <c:v>-5.4090229229938043</c:v>
                </c:pt>
                <c:pt idx="92">
                  <c:v>-5.4093110723348987</c:v>
                </c:pt>
                <c:pt idx="93">
                  <c:v>-5.422671868397515</c:v>
                </c:pt>
                <c:pt idx="94">
                  <c:v>-5.4427280028915908</c:v>
                </c:pt>
                <c:pt idx="95">
                  <c:v>-5.4632096092455598</c:v>
                </c:pt>
                <c:pt idx="96">
                  <c:v>-5.4817677759720347</c:v>
                </c:pt>
                <c:pt idx="97">
                  <c:v>0.78521770075521724</c:v>
                </c:pt>
                <c:pt idx="98">
                  <c:v>0.77123622522086865</c:v>
                </c:pt>
                <c:pt idx="99">
                  <c:v>0.75917269011017252</c:v>
                </c:pt>
                <c:pt idx="100">
                  <c:v>0.74871538568122364</c:v>
                </c:pt>
                <c:pt idx="101">
                  <c:v>0.73958864644821443</c:v>
                </c:pt>
                <c:pt idx="102">
                  <c:v>0.73156257174716455</c:v>
                </c:pt>
                <c:pt idx="103">
                  <c:v>0.7244498695369721</c:v>
                </c:pt>
                <c:pt idx="104">
                  <c:v>0.71809917620230035</c:v>
                </c:pt>
                <c:pt idx="105">
                  <c:v>0.71238821870195501</c:v>
                </c:pt>
                <c:pt idx="106">
                  <c:v>0.70721788218027815</c:v>
                </c:pt>
                <c:pt idx="107">
                  <c:v>0.70171873542937391</c:v>
                </c:pt>
                <c:pt idx="108">
                  <c:v>0.69436081527130922</c:v>
                </c:pt>
                <c:pt idx="109">
                  <c:v>0.68747835997056006</c:v>
                </c:pt>
                <c:pt idx="110">
                  <c:v>0.68101133874573128</c:v>
                </c:pt>
                <c:pt idx="111">
                  <c:v>0.67490880998193115</c:v>
                </c:pt>
                <c:pt idx="112">
                  <c:v>0.66912731804853021</c:v>
                </c:pt>
                <c:pt idx="113">
                  <c:v>0.66362958976748976</c:v>
                </c:pt>
                <c:pt idx="114">
                  <c:v>0.65838347517280882</c:v>
                </c:pt>
                <c:pt idx="115">
                  <c:v>0.65336108685188954</c:v>
                </c:pt>
                <c:pt idx="116">
                  <c:v>0.64853809715496302</c:v>
                </c:pt>
                <c:pt idx="117">
                  <c:v>0.64389316331737723</c:v>
                </c:pt>
                <c:pt idx="118">
                  <c:v>0.63940745415655398</c:v>
                </c:pt>
                <c:pt idx="119">
                  <c:v>0.63506425930300869</c:v>
                </c:pt>
                <c:pt idx="120">
                  <c:v>0.630848664558604</c:v>
                </c:pt>
                <c:pt idx="121">
                  <c:v>0.62674728005658453</c:v>
                </c:pt>
                <c:pt idx="122">
                  <c:v>0.62274801290890425</c:v>
                </c:pt>
                <c:pt idx="123">
                  <c:v>0.61883987367230597</c:v>
                </c:pt>
                <c:pt idx="124">
                  <c:v>0.61501281219330206</c:v>
                </c:pt>
                <c:pt idx="125">
                  <c:v>0.61125757696676031</c:v>
                </c:pt>
                <c:pt idx="126">
                  <c:v>0.60756559270688726</c:v>
                </c:pt>
                <c:pt idx="127">
                  <c:v>0.60392885403027252</c:v>
                </c:pt>
                <c:pt idx="128">
                  <c:v>0.60033983136725855</c:v>
                </c:pt>
                <c:pt idx="129">
                  <c:v>0.59679138705723789</c:v>
                </c:pt>
                <c:pt idx="130">
                  <c:v>0.59327669926890447</c:v>
                </c:pt>
                <c:pt idx="131">
                  <c:v>0.58978919228220406</c:v>
                </c:pt>
                <c:pt idx="132">
                  <c:v>0.5863224709746615</c:v>
                </c:pt>
                <c:pt idx="133">
                  <c:v>0.58287025894650446</c:v>
                </c:pt>
                <c:pt idx="134">
                  <c:v>0.57942633806974531</c:v>
                </c:pt>
                <c:pt idx="135">
                  <c:v>0.57598448848588601</c:v>
                </c:pt>
                <c:pt idx="136">
                  <c:v>0.57253842779156949</c:v>
                </c:pt>
                <c:pt idx="137">
                  <c:v>0.56908174861527794</c:v>
                </c:pt>
                <c:pt idx="138">
                  <c:v>0.56560785162862226</c:v>
                </c:pt>
                <c:pt idx="139">
                  <c:v>0.56210987429694725</c:v>
                </c:pt>
                <c:pt idx="140">
                  <c:v>0.55858061230757761</c:v>
                </c:pt>
                <c:pt idx="141">
                  <c:v>0.55501243173556691</c:v>
                </c:pt>
                <c:pt idx="142">
                  <c:v>0.55139717029110269</c:v>
                </c:pt>
                <c:pt idx="143">
                  <c:v>0.54772602353685595</c:v>
                </c:pt>
                <c:pt idx="144">
                  <c:v>0.54398941323749561</c:v>
                </c:pt>
                <c:pt idx="145">
                  <c:v>0.54017683327096266</c:v>
                </c:pt>
                <c:pt idx="146">
                  <c:v>0.5362766671118</c:v>
                </c:pt>
                <c:pt idx="147">
                  <c:v>0.53227597001970528</c:v>
                </c:pt>
                <c:pt idx="148">
                  <c:v>0.52816020756794702</c:v>
                </c:pt>
                <c:pt idx="149">
                  <c:v>0.52391293773710768</c:v>
                </c:pt>
                <c:pt idx="150">
                  <c:v>0.51951542329284139</c:v>
                </c:pt>
                <c:pt idx="151">
                  <c:v>0.51494615378264852</c:v>
                </c:pt>
                <c:pt idx="152">
                  <c:v>0.51018025286749724</c:v>
                </c:pt>
                <c:pt idx="153">
                  <c:v>0.5051887366340817</c:v>
                </c:pt>
                <c:pt idx="154">
                  <c:v>0.49993757853297227</c:v>
                </c:pt>
                <c:pt idx="155">
                  <c:v>0.49438651996077398</c:v>
                </c:pt>
                <c:pt idx="156">
                  <c:v>0.4884875439228904</c:v>
                </c:pt>
                <c:pt idx="157">
                  <c:v>0.48218289808596948</c:v>
                </c:pt>
                <c:pt idx="158">
                  <c:v>0.47540250824475239</c:v>
                </c:pt>
                <c:pt idx="159">
                  <c:v>0.46806055864509322</c:v>
                </c:pt>
                <c:pt idx="160">
                  <c:v>0.46005091966211253</c:v>
                </c:pt>
                <c:pt idx="161">
                  <c:v>0.4512409611170094</c:v>
                </c:pt>
                <c:pt idx="162">
                  <c:v>0.44146307424898668</c:v>
                </c:pt>
                <c:pt idx="163">
                  <c:v>0.43050289633316607</c:v>
                </c:pt>
                <c:pt idx="164">
                  <c:v>0.42112810531736455</c:v>
                </c:pt>
                <c:pt idx="165">
                  <c:v>0.41141812270903921</c:v>
                </c:pt>
                <c:pt idx="166">
                  <c:v>0.40005743782670145</c:v>
                </c:pt>
                <c:pt idx="167">
                  <c:v>0.38657253871715458</c:v>
                </c:pt>
                <c:pt idx="168">
                  <c:v>0.37030918246303068</c:v>
                </c:pt>
                <c:pt idx="169">
                  <c:v>0.35034513850016546</c:v>
                </c:pt>
                <c:pt idx="170">
                  <c:v>0.32535241140823734</c:v>
                </c:pt>
                <c:pt idx="171">
                  <c:v>0.2933764389560265</c:v>
                </c:pt>
                <c:pt idx="172">
                  <c:v>0.25202627017376145</c:v>
                </c:pt>
                <c:pt idx="173">
                  <c:v>0.20755133463021025</c:v>
                </c:pt>
                <c:pt idx="174">
                  <c:v>0.16299201335921154</c:v>
                </c:pt>
                <c:pt idx="175">
                  <c:v>0.11856205582324053</c:v>
                </c:pt>
                <c:pt idx="176">
                  <c:v>7.4473412878030221E-2</c:v>
                </c:pt>
                <c:pt idx="177">
                  <c:v>3.0930675535017826E-2</c:v>
                </c:pt>
                <c:pt idx="178">
                  <c:v>-1.1874020781853289E-2</c:v>
                </c:pt>
                <c:pt idx="179">
                  <c:v>-5.37653227722239E-2</c:v>
                </c:pt>
                <c:pt idx="180">
                  <c:v>-9.4588002333926724E-2</c:v>
                </c:pt>
                <c:pt idx="181">
                  <c:v>-9.3539892967132943E-2</c:v>
                </c:pt>
                <c:pt idx="182">
                  <c:v>-9.3327743962181131E-2</c:v>
                </c:pt>
                <c:pt idx="183">
                  <c:v>-9.3743147934470805E-2</c:v>
                </c:pt>
                <c:pt idx="184">
                  <c:v>-9.4630513292514706E-2</c:v>
                </c:pt>
                <c:pt idx="185">
                  <c:v>-9.5871476647457321E-2</c:v>
                </c:pt>
                <c:pt idx="186">
                  <c:v>-9.737452164527971E-2</c:v>
                </c:pt>
                <c:pt idx="187">
                  <c:v>-9.9067876646502739E-2</c:v>
                </c:pt>
                <c:pt idx="188">
                  <c:v>-0.10089453782676117</c:v>
                </c:pt>
                <c:pt idx="189">
                  <c:v>-0.10280871094643151</c:v>
                </c:pt>
                <c:pt idx="190">
                  <c:v>-0.10477321719257882</c:v>
                </c:pt>
                <c:pt idx="191">
                  <c:v>-0.10675757349030146</c:v>
                </c:pt>
                <c:pt idx="192">
                  <c:v>-0.10871502151233026</c:v>
                </c:pt>
                <c:pt idx="193">
                  <c:v>-0.11058666069753009</c:v>
                </c:pt>
                <c:pt idx="194">
                  <c:v>-0.11245222762418816</c:v>
                </c:pt>
                <c:pt idx="195">
                  <c:v>-0.11436280883161221</c:v>
                </c:pt>
                <c:pt idx="196">
                  <c:v>-0.11634291063881985</c:v>
                </c:pt>
                <c:pt idx="197">
                  <c:v>-0.11840209126221879</c:v>
                </c:pt>
                <c:pt idx="198">
                  <c:v>-0.12054151365539045</c:v>
                </c:pt>
                <c:pt idx="199">
                  <c:v>-0.122757714561609</c:v>
                </c:pt>
                <c:pt idx="200">
                  <c:v>-0.12477076641827045</c:v>
                </c:pt>
                <c:pt idx="201">
                  <c:v>-0.12613710824784619</c:v>
                </c:pt>
                <c:pt idx="202">
                  <c:v>-0.12763712848130515</c:v>
                </c:pt>
                <c:pt idx="203">
                  <c:v>-0.12925797854858478</c:v>
                </c:pt>
                <c:pt idx="204">
                  <c:v>-0.13098763464540841</c:v>
                </c:pt>
                <c:pt idx="205">
                  <c:v>-0.13281497494078476</c:v>
                </c:pt>
                <c:pt idx="206">
                  <c:v>-0.13472978011493275</c:v>
                </c:pt>
                <c:pt idx="207">
                  <c:v>-0.13672269401293269</c:v>
                </c:pt>
                <c:pt idx="208">
                  <c:v>-0.13878515984610829</c:v>
                </c:pt>
                <c:pt idx="209">
                  <c:v>-0.14090934718332671</c:v>
                </c:pt>
                <c:pt idx="210">
                  <c:v>-0.14308807376903632</c:v>
                </c:pt>
                <c:pt idx="211">
                  <c:v>-0.14531472979138771</c:v>
                </c:pt>
                <c:pt idx="212">
                  <c:v>-0.14758320255773683</c:v>
                </c:pt>
                <c:pt idx="213">
                  <c:v>-0.14988780707165983</c:v>
                </c:pt>
                <c:pt idx="214">
                  <c:v>-0.15222321760177948</c:v>
                </c:pt>
                <c:pt idx="215">
                  <c:v>-0.1545844061375945</c:v>
                </c:pt>
                <c:pt idx="216">
                  <c:v>-0.15696658198885505</c:v>
                </c:pt>
                <c:pt idx="217">
                  <c:v>-0.15936513457775492</c:v>
                </c:pt>
                <c:pt idx="218">
                  <c:v>-0.16177558012603965</c:v>
                </c:pt>
                <c:pt idx="219">
                  <c:v>-0.16419350721812265</c:v>
                </c:pt>
                <c:pt idx="220">
                  <c:v>-0.16661452611647487</c:v>
                </c:pt>
                <c:pt idx="221">
                  <c:v>-0.16903421512155514</c:v>
                </c:pt>
                <c:pt idx="222">
                  <c:v>-0.17144806931789791</c:v>
                </c:pt>
                <c:pt idx="223">
                  <c:v>-0.17385144621107429</c:v>
                </c:pt>
                <c:pt idx="224">
                  <c:v>-0.17623950873543137</c:v>
                </c:pt>
                <c:pt idx="225">
                  <c:v>-0.17860716635776752</c:v>
                </c:pt>
                <c:pt idx="226">
                  <c:v>-0.18094901065861535</c:v>
                </c:pt>
                <c:pt idx="227">
                  <c:v>-0.18325924644154945</c:v>
                </c:pt>
                <c:pt idx="228">
                  <c:v>-0.18553161597962964</c:v>
                </c:pt>
                <c:pt idx="229">
                  <c:v>-0.18775931471249319</c:v>
                </c:pt>
                <c:pt idx="230">
                  <c:v>-0.18993489717750833</c:v>
                </c:pt>
                <c:pt idx="231">
                  <c:v>-0.19205017206747765</c:v>
                </c:pt>
                <c:pt idx="232">
                  <c:v>-0.19409608249749066</c:v>
                </c:pt>
                <c:pt idx="233">
                  <c:v>-0.19606256938725553</c:v>
                </c:pt>
                <c:pt idx="234">
                  <c:v>-0.19793841584346872</c:v>
                </c:pt>
                <c:pt idx="235">
                  <c:v>-0.19971106634116076</c:v>
                </c:pt>
                <c:pt idx="236">
                  <c:v>-0.20136641923315857</c:v>
                </c:pt>
                <c:pt idx="237">
                  <c:v>-0.20267181260457745</c:v>
                </c:pt>
                <c:pt idx="238">
                  <c:v>-0.2038014850142571</c:v>
                </c:pt>
                <c:pt idx="239">
                  <c:v>-0.20479504030819928</c:v>
                </c:pt>
                <c:pt idx="240">
                  <c:v>-0.20563266716359063</c:v>
                </c:pt>
                <c:pt idx="241">
                  <c:v>-0.20629167514801772</c:v>
                </c:pt>
                <c:pt idx="242">
                  <c:v>-0.20674599248913061</c:v>
                </c:pt>
                <c:pt idx="243">
                  <c:v>-0.20696556178159309</c:v>
                </c:pt>
                <c:pt idx="244">
                  <c:v>-0.20691561225666533</c:v>
                </c:pt>
                <c:pt idx="245">
                  <c:v>-0.20655577696378691</c:v>
                </c:pt>
                <c:pt idx="246">
                  <c:v>-0.20583901642909286</c:v>
                </c:pt>
                <c:pt idx="247">
                  <c:v>-0.20471029948219366</c:v>
                </c:pt>
                <c:pt idx="248">
                  <c:v>-0.2031049765194517</c:v>
                </c:pt>
                <c:pt idx="249">
                  <c:v>-0.200946763284791</c:v>
                </c:pt>
                <c:pt idx="250">
                  <c:v>-0.1977236790376522</c:v>
                </c:pt>
                <c:pt idx="251">
                  <c:v>-0.19379409360120636</c:v>
                </c:pt>
                <c:pt idx="252">
                  <c:v>-0.18908229814689737</c:v>
                </c:pt>
                <c:pt idx="253">
                  <c:v>-0.18345729408064626</c:v>
                </c:pt>
                <c:pt idx="254">
                  <c:v>-0.17676035616448571</c:v>
                </c:pt>
                <c:pt idx="255">
                  <c:v>-0.17025723223341149</c:v>
                </c:pt>
                <c:pt idx="256">
                  <c:v>-0.16408219871613738</c:v>
                </c:pt>
                <c:pt idx="257">
                  <c:v>-0.15674316756717399</c:v>
                </c:pt>
                <c:pt idx="258">
                  <c:v>-0.1479922474877724</c:v>
                </c:pt>
                <c:pt idx="259">
                  <c:v>-0.13750980173216165</c:v>
                </c:pt>
                <c:pt idx="260">
                  <c:v>-0.12487698430378869</c:v>
                </c:pt>
                <c:pt idx="261">
                  <c:v>-0.10863465680320772</c:v>
                </c:pt>
                <c:pt idx="262">
                  <c:v>-8.5391197502260763E-2</c:v>
                </c:pt>
                <c:pt idx="263">
                  <c:v>-5.8468627505077198E-2</c:v>
                </c:pt>
                <c:pt idx="264">
                  <c:v>-2.6990499432809401E-2</c:v>
                </c:pt>
                <c:pt idx="265">
                  <c:v>4.639535784044746E-3</c:v>
                </c:pt>
                <c:pt idx="266">
                  <c:v>3.4501978244131148E-2</c:v>
                </c:pt>
                <c:pt idx="267">
                  <c:v>6.2799153032025323E-2</c:v>
                </c:pt>
                <c:pt idx="268">
                  <c:v>8.9707357849027503E-2</c:v>
                </c:pt>
                <c:pt idx="269">
                  <c:v>0.1153806061528968</c:v>
                </c:pt>
                <c:pt idx="270">
                  <c:v>0.13995384118110721</c:v>
                </c:pt>
                <c:pt idx="271">
                  <c:v>0.16354567938707598</c:v>
                </c:pt>
                <c:pt idx="272">
                  <c:v>0.18626074392419323</c:v>
                </c:pt>
                <c:pt idx="273">
                  <c:v>0.2081916459823856</c:v>
                </c:pt>
                <c:pt idx="274">
                  <c:v>0.22942066665779981</c:v>
                </c:pt>
                <c:pt idx="275">
                  <c:v>0.2500211856379253</c:v>
                </c:pt>
                <c:pt idx="276">
                  <c:v>0.27005889596381127</c:v>
                </c:pt>
                <c:pt idx="277">
                  <c:v>0.28840498898263567</c:v>
                </c:pt>
                <c:pt idx="278">
                  <c:v>0.30305746783033083</c:v>
                </c:pt>
                <c:pt idx="279">
                  <c:v>0.31509853414757405</c:v>
                </c:pt>
                <c:pt idx="280">
                  <c:v>0.32527464810350182</c:v>
                </c:pt>
                <c:pt idx="281">
                  <c:v>0.33406556292374034</c:v>
                </c:pt>
                <c:pt idx="282">
                  <c:v>0.34179518105493267</c:v>
                </c:pt>
                <c:pt idx="283">
                  <c:v>0.34869101331787622</c:v>
                </c:pt>
                <c:pt idx="284">
                  <c:v>0.35491815160083195</c:v>
                </c:pt>
                <c:pt idx="285">
                  <c:v>0.36059970564486354</c:v>
                </c:pt>
                <c:pt idx="286">
                  <c:v>0.36582963459399664</c:v>
                </c:pt>
                <c:pt idx="287">
                  <c:v>0.37068110010602018</c:v>
                </c:pt>
                <c:pt idx="288">
                  <c:v>0.37521207528424183</c:v>
                </c:pt>
                <c:pt idx="289">
                  <c:v>0.37946921321947524</c:v>
                </c:pt>
                <c:pt idx="290">
                  <c:v>0.38349057875104764</c:v>
                </c:pt>
                <c:pt idx="291">
                  <c:v>0.38730761787844514</c:v>
                </c:pt>
                <c:pt idx="292">
                  <c:v>0.39094660414234417</c:v>
                </c:pt>
                <c:pt idx="293">
                  <c:v>0.39442971858905018</c:v>
                </c:pt>
                <c:pt idx="294">
                  <c:v>0.39777586835136258</c:v>
                </c:pt>
                <c:pt idx="295">
                  <c:v>0.40100131567551944</c:v>
                </c:pt>
                <c:pt idx="296">
                  <c:v>0.4041201673578696</c:v>
                </c:pt>
                <c:pt idx="297">
                  <c:v>0.40714475998213606</c:v>
                </c:pt>
                <c:pt idx="298">
                  <c:v>0.41008596649262241</c:v>
                </c:pt>
                <c:pt idx="299">
                  <c:v>0.4129534425887238</c:v>
                </c:pt>
                <c:pt idx="300">
                  <c:v>0.4157558267525916</c:v>
                </c:pt>
                <c:pt idx="301">
                  <c:v>0.41850090408137941</c:v>
                </c:pt>
                <c:pt idx="302">
                  <c:v>0.42119574174832763</c:v>
                </c:pt>
                <c:pt idx="303">
                  <c:v>0.42384680201049285</c:v>
                </c:pt>
                <c:pt idx="304">
                  <c:v>0.42646003733281468</c:v>
                </c:pt>
                <c:pt idx="305">
                  <c:v>0.42904097123180351</c:v>
                </c:pt>
                <c:pt idx="306">
                  <c:v>0.43159476763837379</c:v>
                </c:pt>
                <c:pt idx="307">
                  <c:v>0.4341262910417707</c:v>
                </c:pt>
                <c:pt idx="308">
                  <c:v>0.43664015921452393</c:v>
                </c:pt>
                <c:pt idx="309">
                  <c:v>0.43914078999492734</c:v>
                </c:pt>
                <c:pt idx="310">
                  <c:v>0.44163244334782803</c:v>
                </c:pt>
                <c:pt idx="311">
                  <c:v>0.44411925971387278</c:v>
                </c:pt>
                <c:pt idx="312">
                  <c:v>0.44660529552082107</c:v>
                </c:pt>
                <c:pt idx="313">
                  <c:v>0.44909455660692732</c:v>
                </c:pt>
                <c:pt idx="314">
                  <c:v>0.45159103024426983</c:v>
                </c:pt>
                <c:pt idx="315">
                  <c:v>0.45409871635062027</c:v>
                </c:pt>
                <c:pt idx="316">
                  <c:v>0.45662165848841818</c:v>
                </c:pt>
                <c:pt idx="317">
                  <c:v>0.45916397522022301</c:v>
                </c:pt>
                <c:pt idx="318">
                  <c:v>0.46172989233109218</c:v>
                </c:pt>
                <c:pt idx="319">
                  <c:v>0.46432377660891078</c:v>
                </c:pt>
                <c:pt idx="320">
                  <c:v>0.46695017169280018</c:v>
                </c:pt>
                <c:pt idx="321">
                  <c:v>0.46961383675977242</c:v>
                </c:pt>
                <c:pt idx="322">
                  <c:v>0.47231978877105929</c:v>
                </c:pt>
                <c:pt idx="323">
                  <c:v>0.47507334919584654</c:v>
                </c:pt>
                <c:pt idx="324">
                  <c:v>0.47788019623770639</c:v>
                </c:pt>
                <c:pt idx="325">
                  <c:v>0.4807464237359782</c:v>
                </c:pt>
                <c:pt idx="326">
                  <c:v>0.48367860827126341</c:v>
                </c:pt>
                <c:pt idx="327">
                  <c:v>0.48668388620971159</c:v>
                </c:pt>
                <c:pt idx="328">
                  <c:v>0.48977004280933789</c:v>
                </c:pt>
                <c:pt idx="329">
                  <c:v>0.49294561603709797</c:v>
                </c:pt>
                <c:pt idx="330">
                  <c:v>0.49622001853837272</c:v>
                </c:pt>
                <c:pt idx="331">
                  <c:v>0.49960368160654234</c:v>
                </c:pt>
                <c:pt idx="332">
                  <c:v>0.50310822667230504</c:v>
                </c:pt>
                <c:pt idx="333">
                  <c:v>0.50674667077739644</c:v>
                </c:pt>
                <c:pt idx="334">
                  <c:v>0.51053367461517496</c:v>
                </c:pt>
                <c:pt idx="335">
                  <c:v>0.51448584421151056</c:v>
                </c:pt>
                <c:pt idx="336">
                  <c:v>0.51862210087499427</c:v>
                </c:pt>
                <c:pt idx="337">
                  <c:v>0.52289723759467499</c:v>
                </c:pt>
                <c:pt idx="338">
                  <c:v>0.52710129018856655</c:v>
                </c:pt>
                <c:pt idx="339">
                  <c:v>0.531222078012759</c:v>
                </c:pt>
                <c:pt idx="340">
                  <c:v>0.53526509166744685</c:v>
                </c:pt>
                <c:pt idx="341">
                  <c:v>0.53923549283525274</c:v>
                </c:pt>
                <c:pt idx="342">
                  <c:v>0.54313814448039377</c:v>
                </c:pt>
                <c:pt idx="343">
                  <c:v>0.54697763805813615</c:v>
                </c:pt>
                <c:pt idx="344">
                  <c:v>0.55075831835966937</c:v>
                </c:pt>
                <c:pt idx="345">
                  <c:v>0.55448430593910514</c:v>
                </c:pt>
                <c:pt idx="346">
                  <c:v>0.55815951764469363</c:v>
                </c:pt>
                <c:pt idx="347">
                  <c:v>0.56178768541356616</c:v>
                </c:pt>
                <c:pt idx="348">
                  <c:v>0.56537237344616154</c:v>
                </c:pt>
                <c:pt idx="349">
                  <c:v>0.56891699407236374</c:v>
                </c:pt>
                <c:pt idx="350">
                  <c:v>0.57242482238294468</c:v>
                </c:pt>
                <c:pt idx="351">
                  <c:v>0.57589900979612851</c:v>
                </c:pt>
                <c:pt idx="352">
                  <c:v>0.57934259668521104</c:v>
                </c:pt>
                <c:pt idx="353">
                  <c:v>0.58275852413109108</c:v>
                </c:pt>
                <c:pt idx="354">
                  <c:v>0.58614964506359479</c:v>
                </c:pt>
                <c:pt idx="355">
                  <c:v>0.58951873465807925</c:v>
                </c:pt>
                <c:pt idx="356">
                  <c:v>0.59286850019589732</c:v>
                </c:pt>
                <c:pt idx="357">
                  <c:v>0.59620159057360844</c:v>
                </c:pt>
                <c:pt idx="358">
                  <c:v>0.59952060527655915</c:v>
                </c:pt>
                <c:pt idx="359">
                  <c:v>0.60282810307760482</c:v>
                </c:pt>
                <c:pt idx="360">
                  <c:v>0.60612661053477535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1.0099863245265237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-0.20365971783241088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2.3561944901923448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3.9269908169872414</c:v>
                </c:pt>
                <c:pt idx="1">
                  <c:v>0.78539816339744828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0.000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0.000</c:formatCode>
                <c:ptCount val="181"/>
                <c:pt idx="0">
                  <c:v>0.60612661053478201</c:v>
                </c:pt>
                <c:pt idx="1">
                  <c:v>0.6094186302114073</c:v>
                </c:pt>
                <c:pt idx="2">
                  <c:v>0.61270664877085013</c:v>
                </c:pt>
                <c:pt idx="3">
                  <c:v>0.61599314502119418</c:v>
                </c:pt>
                <c:pt idx="4">
                  <c:v>0.61928059794530821</c:v>
                </c:pt>
                <c:pt idx="5">
                  <c:v>0.62257149469364403</c:v>
                </c:pt>
                <c:pt idx="6">
                  <c:v>0.62586833872661174</c:v>
                </c:pt>
                <c:pt idx="7">
                  <c:v>0.62917365814638382</c:v>
                </c:pt>
                <c:pt idx="8">
                  <c:v>0.63249001412606587</c:v>
                </c:pt>
                <c:pt idx="9">
                  <c:v>0.63582000971610109</c:v>
                </c:pt>
                <c:pt idx="10">
                  <c:v>0.63916629900052602</c:v>
                </c:pt>
                <c:pt idx="11">
                  <c:v>0.64253159659366155</c:v>
                </c:pt>
                <c:pt idx="12">
                  <c:v>0.6459186877253611</c:v>
                </c:pt>
                <c:pt idx="13">
                  <c:v>0.64933043888220876</c:v>
                </c:pt>
                <c:pt idx="14">
                  <c:v>0.65276980914000671</c:v>
                </c:pt>
                <c:pt idx="15">
                  <c:v>0.65623986229479492</c:v>
                </c:pt>
                <c:pt idx="16">
                  <c:v>0.65974377989590272</c:v>
                </c:pt>
                <c:pt idx="17">
                  <c:v>0.66328487536404968</c:v>
                </c:pt>
                <c:pt idx="18">
                  <c:v>0.66686660926871077</c:v>
                </c:pt>
                <c:pt idx="19">
                  <c:v>0.67049260598895088</c:v>
                </c:pt>
                <c:pt idx="20">
                  <c:v>0.67416667198218505</c:v>
                </c:pt>
                <c:pt idx="21">
                  <c:v>0.67789281575581661</c:v>
                </c:pt>
                <c:pt idx="22">
                  <c:v>0.68167526996984673</c:v>
                </c:pt>
                <c:pt idx="23">
                  <c:v>0.68551851582478651</c:v>
                </c:pt>
                <c:pt idx="24">
                  <c:v>0.68941091092643081</c:v>
                </c:pt>
                <c:pt idx="25">
                  <c:v>0.69316131837231287</c:v>
                </c:pt>
                <c:pt idx="26">
                  <c:v>0.69672923055565983</c:v>
                </c:pt>
                <c:pt idx="27">
                  <c:v>0.70013246959858222</c:v>
                </c:pt>
                <c:pt idx="28">
                  <c:v>0.7033866687707806</c:v>
                </c:pt>
                <c:pt idx="29">
                  <c:v>0.70650561357214725</c:v>
                </c:pt>
                <c:pt idx="30">
                  <c:v>0.70950152066802818</c:v>
                </c:pt>
                <c:pt idx="31">
                  <c:v>0.71238526764316035</c:v>
                </c:pt>
                <c:pt idx="32">
                  <c:v>0.71516658355325058</c:v>
                </c:pt>
                <c:pt idx="33">
                  <c:v>0.71785420794606658</c:v>
                </c:pt>
                <c:pt idx="34">
                  <c:v>0.7204560245632825</c:v>
                </c:pt>
                <c:pt idx="35">
                  <c:v>0.72297917416171664</c:v>
                </c:pt>
                <c:pt idx="36">
                  <c:v>0.72543015049377235</c:v>
                </c:pt>
                <c:pt idx="37">
                  <c:v>0.72781488231193192</c:v>
                </c:pt>
                <c:pt idx="38">
                  <c:v>0.73013880379717078</c:v>
                </c:pt>
                <c:pt idx="39">
                  <c:v>0.73240691539845759</c:v>
                </c:pt>
                <c:pt idx="40">
                  <c:v>0.73462383674020959</c:v>
                </c:pt>
                <c:pt idx="41">
                  <c:v>0.73679385278608134</c:v>
                </c:pt>
                <c:pt idx="42">
                  <c:v>0.73892095440811412</c:v>
                </c:pt>
                <c:pt idx="43">
                  <c:v>0.74100887428602347</c:v>
                </c:pt>
                <c:pt idx="44">
                  <c:v>0.74289736289323827</c:v>
                </c:pt>
                <c:pt idx="45">
                  <c:v>0.74456577587258987</c:v>
                </c:pt>
                <c:pt idx="46">
                  <c:v>0.74619018400709969</c:v>
                </c:pt>
                <c:pt idx="47">
                  <c:v>0.74777374178905909</c:v>
                </c:pt>
                <c:pt idx="48">
                  <c:v>0.74931941747023867</c:v>
                </c:pt>
                <c:pt idx="49">
                  <c:v>0.75083001720607889</c:v>
                </c:pt>
                <c:pt idx="50">
                  <c:v>0.75230820746183635</c:v>
                </c:pt>
                <c:pt idx="51">
                  <c:v>0.75375653631481976</c:v>
                </c:pt>
                <c:pt idx="52">
                  <c:v>0.75517745374475398</c:v>
                </c:pt>
                <c:pt idx="53">
                  <c:v>0.7565733313506886</c:v>
                </c:pt>
                <c:pt idx="54">
                  <c:v>0.75794648215237626</c:v>
                </c:pt>
                <c:pt idx="55">
                  <c:v>0.7592991804239051</c:v>
                </c:pt>
                <c:pt idx="56">
                  <c:v>0.76063368236753037</c:v>
                </c:pt>
                <c:pt idx="57">
                  <c:v>0.7619522479654921</c:v>
                </c:pt>
                <c:pt idx="58">
                  <c:v>0.76325716459583681</c:v>
                </c:pt>
                <c:pt idx="59">
                  <c:v>0.76455077300679841</c:v>
                </c:pt>
                <c:pt idx="60">
                  <c:v>0.76583549674022766</c:v>
                </c:pt>
                <c:pt idx="61">
                  <c:v>0.76711387557684674</c:v>
                </c:pt>
                <c:pt idx="62">
                  <c:v>0.76838860471996684</c:v>
                </c:pt>
                <c:pt idx="63">
                  <c:v>0.7696625809627986</c:v>
                </c:pt>
                <c:pt idx="64">
                  <c:v>0.77093895820192948</c:v>
                </c:pt>
                <c:pt idx="65">
                  <c:v>0.77222121476848571</c:v>
                </c:pt>
                <c:pt idx="66">
                  <c:v>0.77351323628060698</c:v>
                </c:pt>
                <c:pt idx="67">
                  <c:v>0.77493386080548676</c:v>
                </c:pt>
                <c:pt idx="68">
                  <c:v>0.7766154295555916</c:v>
                </c:pt>
                <c:pt idx="69">
                  <c:v>0.77830068164715094</c:v>
                </c:pt>
                <c:pt idx="70">
                  <c:v>0.77999591714598449</c:v>
                </c:pt>
                <c:pt idx="71">
                  <c:v>0.78170858962148193</c:v>
                </c:pt>
                <c:pt idx="72">
                  <c:v>0.7834476541113653</c:v>
                </c:pt>
                <c:pt idx="73">
                  <c:v>0.78522403508802352</c:v>
                </c:pt>
                <c:pt idx="74">
                  <c:v>-5.4960943561928488</c:v>
                </c:pt>
                <c:pt idx="75">
                  <c:v>-5.4940056107240647</c:v>
                </c:pt>
                <c:pt idx="76">
                  <c:v>-5.4918375035340601</c:v>
                </c:pt>
                <c:pt idx="77">
                  <c:v>-5.489562219832095</c:v>
                </c:pt>
                <c:pt idx="78">
                  <c:v>-5.4871428177667516</c:v>
                </c:pt>
                <c:pt idx="79">
                  <c:v>-5.4845291787755297</c:v>
                </c:pt>
                <c:pt idx="80">
                  <c:v>-5.481651612704967</c:v>
                </c:pt>
                <c:pt idx="81">
                  <c:v>-5.4784103174571701</c:v>
                </c:pt>
                <c:pt idx="82">
                  <c:v>-5.4746570580510889</c:v>
                </c:pt>
                <c:pt idx="83">
                  <c:v>-5.4701610908597909</c:v>
                </c:pt>
                <c:pt idx="84">
                  <c:v>-5.4645399022202561</c:v>
                </c:pt>
                <c:pt idx="85">
                  <c:v>-5.4571003619895233</c:v>
                </c:pt>
                <c:pt idx="86">
                  <c:v>-5.447531862184432</c:v>
                </c:pt>
                <c:pt idx="87">
                  <c:v>-5.4372091165069758</c:v>
                </c:pt>
                <c:pt idx="88">
                  <c:v>-5.4258999387260847</c:v>
                </c:pt>
                <c:pt idx="89">
                  <c:v>-5.4175423743134239</c:v>
                </c:pt>
                <c:pt idx="90">
                  <c:v>-5.412203830509597</c:v>
                </c:pt>
                <c:pt idx="91">
                  <c:v>-5.4090229229938043</c:v>
                </c:pt>
                <c:pt idx="92">
                  <c:v>-5.4093110723348987</c:v>
                </c:pt>
                <c:pt idx="93">
                  <c:v>-5.422671868397515</c:v>
                </c:pt>
                <c:pt idx="94">
                  <c:v>-5.4427280028915908</c:v>
                </c:pt>
                <c:pt idx="95">
                  <c:v>-5.4632096092455598</c:v>
                </c:pt>
                <c:pt idx="96">
                  <c:v>-5.4817677759720347</c:v>
                </c:pt>
                <c:pt idx="97">
                  <c:v>0.78521770075521724</c:v>
                </c:pt>
                <c:pt idx="98">
                  <c:v>0.77123622522086865</c:v>
                </c:pt>
                <c:pt idx="99">
                  <c:v>0.75917269011017252</c:v>
                </c:pt>
                <c:pt idx="100">
                  <c:v>0.74871538568122364</c:v>
                </c:pt>
                <c:pt idx="101">
                  <c:v>0.73958864644821443</c:v>
                </c:pt>
                <c:pt idx="102">
                  <c:v>0.73156257174716455</c:v>
                </c:pt>
                <c:pt idx="103">
                  <c:v>0.7244498695369721</c:v>
                </c:pt>
                <c:pt idx="104">
                  <c:v>0.71809917620230035</c:v>
                </c:pt>
                <c:pt idx="105">
                  <c:v>0.71238821870195501</c:v>
                </c:pt>
                <c:pt idx="106">
                  <c:v>0.70721788218027815</c:v>
                </c:pt>
                <c:pt idx="107">
                  <c:v>0.70171873542937391</c:v>
                </c:pt>
                <c:pt idx="108">
                  <c:v>0.69436081527130922</c:v>
                </c:pt>
                <c:pt idx="109">
                  <c:v>0.68747835997056006</c:v>
                </c:pt>
                <c:pt idx="110">
                  <c:v>0.68101133874573128</c:v>
                </c:pt>
                <c:pt idx="111">
                  <c:v>0.67490880998193115</c:v>
                </c:pt>
                <c:pt idx="112">
                  <c:v>0.66912731804853021</c:v>
                </c:pt>
                <c:pt idx="113">
                  <c:v>0.66362958976748976</c:v>
                </c:pt>
                <c:pt idx="114">
                  <c:v>0.65838347517280882</c:v>
                </c:pt>
                <c:pt idx="115">
                  <c:v>0.65336108685188954</c:v>
                </c:pt>
                <c:pt idx="116">
                  <c:v>0.64853809715496302</c:v>
                </c:pt>
                <c:pt idx="117">
                  <c:v>0.64389316331737723</c:v>
                </c:pt>
                <c:pt idx="118">
                  <c:v>0.63940745415655398</c:v>
                </c:pt>
                <c:pt idx="119">
                  <c:v>0.63506425930300869</c:v>
                </c:pt>
                <c:pt idx="120">
                  <c:v>0.630848664558604</c:v>
                </c:pt>
                <c:pt idx="121">
                  <c:v>0.62674728005658453</c:v>
                </c:pt>
                <c:pt idx="122">
                  <c:v>0.62274801290890425</c:v>
                </c:pt>
                <c:pt idx="123">
                  <c:v>0.61883987367230597</c:v>
                </c:pt>
                <c:pt idx="124">
                  <c:v>0.61501281219330206</c:v>
                </c:pt>
                <c:pt idx="125">
                  <c:v>0.61125757696676031</c:v>
                </c:pt>
                <c:pt idx="126">
                  <c:v>0.60756559270688726</c:v>
                </c:pt>
                <c:pt idx="127">
                  <c:v>0.60392885403027252</c:v>
                </c:pt>
                <c:pt idx="128">
                  <c:v>0.60033983136725855</c:v>
                </c:pt>
                <c:pt idx="129">
                  <c:v>0.59679138705723789</c:v>
                </c:pt>
                <c:pt idx="130">
                  <c:v>0.59327669926890447</c:v>
                </c:pt>
                <c:pt idx="131">
                  <c:v>0.58978919228220406</c:v>
                </c:pt>
                <c:pt idx="132">
                  <c:v>0.5863224709746615</c:v>
                </c:pt>
                <c:pt idx="133">
                  <c:v>0.58287025894650446</c:v>
                </c:pt>
                <c:pt idx="134">
                  <c:v>0.57942633806974531</c:v>
                </c:pt>
                <c:pt idx="135">
                  <c:v>0.57598448848588601</c:v>
                </c:pt>
                <c:pt idx="136">
                  <c:v>0.57253842779156949</c:v>
                </c:pt>
                <c:pt idx="137">
                  <c:v>0.56908174861527794</c:v>
                </c:pt>
                <c:pt idx="138">
                  <c:v>0.56560785162862226</c:v>
                </c:pt>
                <c:pt idx="139">
                  <c:v>0.56210987429694725</c:v>
                </c:pt>
                <c:pt idx="140">
                  <c:v>0.55858061230757761</c:v>
                </c:pt>
                <c:pt idx="141">
                  <c:v>0.55501243173556691</c:v>
                </c:pt>
                <c:pt idx="142">
                  <c:v>0.55139717029110269</c:v>
                </c:pt>
                <c:pt idx="143">
                  <c:v>0.54772602353685595</c:v>
                </c:pt>
                <c:pt idx="144">
                  <c:v>0.54398941323749561</c:v>
                </c:pt>
                <c:pt idx="145">
                  <c:v>0.54017683327096266</c:v>
                </c:pt>
                <c:pt idx="146">
                  <c:v>0.5362766671118</c:v>
                </c:pt>
                <c:pt idx="147">
                  <c:v>0.53227597001970528</c:v>
                </c:pt>
                <c:pt idx="148">
                  <c:v>0.52816020756794702</c:v>
                </c:pt>
                <c:pt idx="149">
                  <c:v>0.52391293773710768</c:v>
                </c:pt>
                <c:pt idx="150">
                  <c:v>0.51951542329284139</c:v>
                </c:pt>
                <c:pt idx="151">
                  <c:v>0.51494615378264852</c:v>
                </c:pt>
                <c:pt idx="152">
                  <c:v>0.51018025286749724</c:v>
                </c:pt>
                <c:pt idx="153">
                  <c:v>0.5051887366340817</c:v>
                </c:pt>
                <c:pt idx="154">
                  <c:v>0.49993757853297227</c:v>
                </c:pt>
                <c:pt idx="155">
                  <c:v>0.49438651996077398</c:v>
                </c:pt>
                <c:pt idx="156">
                  <c:v>0.4884875439228904</c:v>
                </c:pt>
                <c:pt idx="157">
                  <c:v>0.48218289808596948</c:v>
                </c:pt>
                <c:pt idx="158">
                  <c:v>0.47540250824475239</c:v>
                </c:pt>
                <c:pt idx="159">
                  <c:v>0.46806055864509322</c:v>
                </c:pt>
                <c:pt idx="160">
                  <c:v>0.46005091966211253</c:v>
                </c:pt>
                <c:pt idx="161">
                  <c:v>0.4512409611170094</c:v>
                </c:pt>
                <c:pt idx="162">
                  <c:v>0.44146307424898668</c:v>
                </c:pt>
                <c:pt idx="163">
                  <c:v>0.43050289633316607</c:v>
                </c:pt>
                <c:pt idx="164">
                  <c:v>0.42112810531736455</c:v>
                </c:pt>
                <c:pt idx="165">
                  <c:v>0.41141812270903921</c:v>
                </c:pt>
                <c:pt idx="166">
                  <c:v>0.40005743782670145</c:v>
                </c:pt>
                <c:pt idx="167">
                  <c:v>0.38657253871715458</c:v>
                </c:pt>
                <c:pt idx="168">
                  <c:v>0.37030918246303068</c:v>
                </c:pt>
                <c:pt idx="169">
                  <c:v>0.35034513850016546</c:v>
                </c:pt>
                <c:pt idx="170">
                  <c:v>0.32535241140823734</c:v>
                </c:pt>
                <c:pt idx="171">
                  <c:v>0.2933764389560265</c:v>
                </c:pt>
                <c:pt idx="172">
                  <c:v>0.25202627017376145</c:v>
                </c:pt>
                <c:pt idx="173">
                  <c:v>0.20755133463021025</c:v>
                </c:pt>
                <c:pt idx="174">
                  <c:v>0.16299201335921154</c:v>
                </c:pt>
                <c:pt idx="175">
                  <c:v>0.11856205582324053</c:v>
                </c:pt>
                <c:pt idx="176">
                  <c:v>7.4473412878030221E-2</c:v>
                </c:pt>
                <c:pt idx="177">
                  <c:v>3.0930675535017826E-2</c:v>
                </c:pt>
                <c:pt idx="178">
                  <c:v>-1.1874020781853289E-2</c:v>
                </c:pt>
                <c:pt idx="179">
                  <c:v>-5.37653227722239E-2</c:v>
                </c:pt>
                <c:pt idx="180">
                  <c:v>-9.4588002333926724E-2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0.000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0.000</c:formatCode>
                <c:ptCount val="181"/>
                <c:pt idx="0">
                  <c:v>0.60612661053478201</c:v>
                </c:pt>
                <c:pt idx="1">
                  <c:v>0.6094186302114073</c:v>
                </c:pt>
                <c:pt idx="2">
                  <c:v>0.61270664877085013</c:v>
                </c:pt>
                <c:pt idx="3">
                  <c:v>0.61599314502119418</c:v>
                </c:pt>
                <c:pt idx="4">
                  <c:v>0.61928059794530821</c:v>
                </c:pt>
                <c:pt idx="5">
                  <c:v>0.62257149469364403</c:v>
                </c:pt>
                <c:pt idx="6">
                  <c:v>0.62586833872661174</c:v>
                </c:pt>
                <c:pt idx="7">
                  <c:v>0.62917365814638382</c:v>
                </c:pt>
                <c:pt idx="8">
                  <c:v>0.63249001412606587</c:v>
                </c:pt>
                <c:pt idx="9">
                  <c:v>0.63582000971610109</c:v>
                </c:pt>
                <c:pt idx="10">
                  <c:v>0.63916629900052602</c:v>
                </c:pt>
                <c:pt idx="11">
                  <c:v>0.64253159659366155</c:v>
                </c:pt>
                <c:pt idx="12">
                  <c:v>0.6459186877253611</c:v>
                </c:pt>
                <c:pt idx="13">
                  <c:v>0.64933043888220876</c:v>
                </c:pt>
                <c:pt idx="14">
                  <c:v>0.65276980914000671</c:v>
                </c:pt>
                <c:pt idx="15">
                  <c:v>0.65623986229479492</c:v>
                </c:pt>
                <c:pt idx="16">
                  <c:v>0.65974377989590272</c:v>
                </c:pt>
                <c:pt idx="17">
                  <c:v>0.66328487536404968</c:v>
                </c:pt>
                <c:pt idx="18">
                  <c:v>0.66686660926871077</c:v>
                </c:pt>
                <c:pt idx="19">
                  <c:v>0.67049260598895088</c:v>
                </c:pt>
                <c:pt idx="20">
                  <c:v>0.67416667198218505</c:v>
                </c:pt>
                <c:pt idx="21">
                  <c:v>0.67789281575581661</c:v>
                </c:pt>
                <c:pt idx="22">
                  <c:v>0.68167526996984673</c:v>
                </c:pt>
                <c:pt idx="23">
                  <c:v>0.68551851582478651</c:v>
                </c:pt>
                <c:pt idx="24">
                  <c:v>0.68941091092643081</c:v>
                </c:pt>
                <c:pt idx="25">
                  <c:v>0.69316131837231287</c:v>
                </c:pt>
                <c:pt idx="26">
                  <c:v>0.69672923055565983</c:v>
                </c:pt>
                <c:pt idx="27">
                  <c:v>0.70013246959858222</c:v>
                </c:pt>
                <c:pt idx="28">
                  <c:v>0.7033866687707806</c:v>
                </c:pt>
                <c:pt idx="29">
                  <c:v>0.70650561357214725</c:v>
                </c:pt>
                <c:pt idx="30">
                  <c:v>0.70950152066802818</c:v>
                </c:pt>
                <c:pt idx="31">
                  <c:v>0.71238526764316035</c:v>
                </c:pt>
                <c:pt idx="32">
                  <c:v>0.71516658355325058</c:v>
                </c:pt>
                <c:pt idx="33">
                  <c:v>0.71785420794606658</c:v>
                </c:pt>
                <c:pt idx="34">
                  <c:v>0.7204560245632825</c:v>
                </c:pt>
                <c:pt idx="35">
                  <c:v>0.72297917416171664</c:v>
                </c:pt>
                <c:pt idx="36">
                  <c:v>0.72543015049377235</c:v>
                </c:pt>
                <c:pt idx="37">
                  <c:v>0.72781488231193192</c:v>
                </c:pt>
                <c:pt idx="38">
                  <c:v>0.73013880379717078</c:v>
                </c:pt>
                <c:pt idx="39">
                  <c:v>0.73240691539845759</c:v>
                </c:pt>
                <c:pt idx="40">
                  <c:v>0.73462383674020959</c:v>
                </c:pt>
                <c:pt idx="41">
                  <c:v>0.73679385278608134</c:v>
                </c:pt>
                <c:pt idx="42">
                  <c:v>0.73892095440811412</c:v>
                </c:pt>
                <c:pt idx="43">
                  <c:v>0.74100887428602347</c:v>
                </c:pt>
                <c:pt idx="44">
                  <c:v>0.74289736289323827</c:v>
                </c:pt>
                <c:pt idx="45">
                  <c:v>0.74456577587258987</c:v>
                </c:pt>
                <c:pt idx="46">
                  <c:v>0.74619018400709969</c:v>
                </c:pt>
                <c:pt idx="47">
                  <c:v>0.74777374178905909</c:v>
                </c:pt>
                <c:pt idx="48">
                  <c:v>0.74931941747023867</c:v>
                </c:pt>
                <c:pt idx="49">
                  <c:v>0.75083001720607889</c:v>
                </c:pt>
                <c:pt idx="50">
                  <c:v>0.75230820746183635</c:v>
                </c:pt>
                <c:pt idx="51">
                  <c:v>0.75375653631481976</c:v>
                </c:pt>
                <c:pt idx="52">
                  <c:v>0.75517745374475398</c:v>
                </c:pt>
                <c:pt idx="53">
                  <c:v>0.7565733313506886</c:v>
                </c:pt>
                <c:pt idx="54">
                  <c:v>0.75794648215237626</c:v>
                </c:pt>
                <c:pt idx="55">
                  <c:v>0.7592991804239051</c:v>
                </c:pt>
                <c:pt idx="56">
                  <c:v>0.76063368236753037</c:v>
                </c:pt>
                <c:pt idx="57">
                  <c:v>0.7619522479654921</c:v>
                </c:pt>
                <c:pt idx="58">
                  <c:v>0.76325716459583681</c:v>
                </c:pt>
                <c:pt idx="59">
                  <c:v>0.76455077300679841</c:v>
                </c:pt>
                <c:pt idx="60">
                  <c:v>0.76583549674022766</c:v>
                </c:pt>
                <c:pt idx="61">
                  <c:v>0.76711387557684674</c:v>
                </c:pt>
                <c:pt idx="62">
                  <c:v>0.76838860471996684</c:v>
                </c:pt>
                <c:pt idx="63">
                  <c:v>0.7696625809627986</c:v>
                </c:pt>
                <c:pt idx="64">
                  <c:v>0.77093895820192948</c:v>
                </c:pt>
                <c:pt idx="65">
                  <c:v>0.77222121476848571</c:v>
                </c:pt>
                <c:pt idx="66">
                  <c:v>0.77351323628060698</c:v>
                </c:pt>
                <c:pt idx="67">
                  <c:v>0.77493386080548676</c:v>
                </c:pt>
                <c:pt idx="68">
                  <c:v>0.7766154295555916</c:v>
                </c:pt>
                <c:pt idx="69">
                  <c:v>0.77830068164715094</c:v>
                </c:pt>
                <c:pt idx="70">
                  <c:v>0.77999591714598449</c:v>
                </c:pt>
                <c:pt idx="71">
                  <c:v>0.78170858962148193</c:v>
                </c:pt>
                <c:pt idx="72">
                  <c:v>0.7834476541113653</c:v>
                </c:pt>
                <c:pt idx="73">
                  <c:v>0.78522403508802352</c:v>
                </c:pt>
                <c:pt idx="74">
                  <c:v>5.4960943561928488</c:v>
                </c:pt>
                <c:pt idx="75">
                  <c:v>5.4940056107240647</c:v>
                </c:pt>
                <c:pt idx="76">
                  <c:v>5.4918375035340601</c:v>
                </c:pt>
                <c:pt idx="77">
                  <c:v>5.489562219832095</c:v>
                </c:pt>
                <c:pt idx="78">
                  <c:v>5.4871428177667516</c:v>
                </c:pt>
                <c:pt idx="79">
                  <c:v>5.4845291787755297</c:v>
                </c:pt>
                <c:pt idx="80">
                  <c:v>5.481651612704967</c:v>
                </c:pt>
                <c:pt idx="81">
                  <c:v>5.4784103174571701</c:v>
                </c:pt>
                <c:pt idx="82">
                  <c:v>5.4746570580510889</c:v>
                </c:pt>
                <c:pt idx="83">
                  <c:v>5.4701610908597909</c:v>
                </c:pt>
                <c:pt idx="84">
                  <c:v>5.4645399022202561</c:v>
                </c:pt>
                <c:pt idx="85">
                  <c:v>5.4571003619895233</c:v>
                </c:pt>
                <c:pt idx="86">
                  <c:v>5.447531862184432</c:v>
                </c:pt>
                <c:pt idx="87">
                  <c:v>5.4372091165069758</c:v>
                </c:pt>
                <c:pt idx="88">
                  <c:v>5.4258999387260847</c:v>
                </c:pt>
                <c:pt idx="89">
                  <c:v>5.4175423743134239</c:v>
                </c:pt>
                <c:pt idx="90">
                  <c:v>5.412203830509597</c:v>
                </c:pt>
                <c:pt idx="91">
                  <c:v>5.4090229229938043</c:v>
                </c:pt>
                <c:pt idx="92">
                  <c:v>5.4093110723348987</c:v>
                </c:pt>
                <c:pt idx="93">
                  <c:v>5.422671868397515</c:v>
                </c:pt>
                <c:pt idx="94">
                  <c:v>5.4427280028915908</c:v>
                </c:pt>
                <c:pt idx="95">
                  <c:v>5.4632096092455598</c:v>
                </c:pt>
                <c:pt idx="96">
                  <c:v>5.4817677759720347</c:v>
                </c:pt>
                <c:pt idx="97">
                  <c:v>0.78521770075521724</c:v>
                </c:pt>
                <c:pt idx="98">
                  <c:v>0.77123622522086865</c:v>
                </c:pt>
                <c:pt idx="99">
                  <c:v>0.75917269011017252</c:v>
                </c:pt>
                <c:pt idx="100">
                  <c:v>0.74871538568122364</c:v>
                </c:pt>
                <c:pt idx="101">
                  <c:v>0.73958864644821443</c:v>
                </c:pt>
                <c:pt idx="102">
                  <c:v>0.73156257174716455</c:v>
                </c:pt>
                <c:pt idx="103">
                  <c:v>0.7244498695369721</c:v>
                </c:pt>
                <c:pt idx="104">
                  <c:v>0.71809917620230035</c:v>
                </c:pt>
                <c:pt idx="105">
                  <c:v>0.71238821870195501</c:v>
                </c:pt>
                <c:pt idx="106">
                  <c:v>0.70721788218027815</c:v>
                </c:pt>
                <c:pt idx="107">
                  <c:v>0.70171873542937391</c:v>
                </c:pt>
                <c:pt idx="108">
                  <c:v>0.69436081527130922</c:v>
                </c:pt>
                <c:pt idx="109">
                  <c:v>0.68747835997056006</c:v>
                </c:pt>
                <c:pt idx="110">
                  <c:v>0.68101133874573128</c:v>
                </c:pt>
                <c:pt idx="111">
                  <c:v>0.67490880998193115</c:v>
                </c:pt>
                <c:pt idx="112">
                  <c:v>0.66912731804853021</c:v>
                </c:pt>
                <c:pt idx="113">
                  <c:v>0.66362958976748976</c:v>
                </c:pt>
                <c:pt idx="114">
                  <c:v>0.65838347517280882</c:v>
                </c:pt>
                <c:pt idx="115">
                  <c:v>0.65336108685188954</c:v>
                </c:pt>
                <c:pt idx="116">
                  <c:v>0.64853809715496302</c:v>
                </c:pt>
                <c:pt idx="117">
                  <c:v>0.64389316331737723</c:v>
                </c:pt>
                <c:pt idx="118">
                  <c:v>0.63940745415655398</c:v>
                </c:pt>
                <c:pt idx="119">
                  <c:v>0.63506425930300869</c:v>
                </c:pt>
                <c:pt idx="120">
                  <c:v>0.630848664558604</c:v>
                </c:pt>
                <c:pt idx="121">
                  <c:v>0.62674728005658453</c:v>
                </c:pt>
                <c:pt idx="122">
                  <c:v>0.62274801290890425</c:v>
                </c:pt>
                <c:pt idx="123">
                  <c:v>0.61883987367230597</c:v>
                </c:pt>
                <c:pt idx="124">
                  <c:v>0.61501281219330206</c:v>
                </c:pt>
                <c:pt idx="125">
                  <c:v>0.61125757696676031</c:v>
                </c:pt>
                <c:pt idx="126">
                  <c:v>0.60756559270688726</c:v>
                </c:pt>
                <c:pt idx="127">
                  <c:v>0.60392885403027252</c:v>
                </c:pt>
                <c:pt idx="128">
                  <c:v>0.60033983136725855</c:v>
                </c:pt>
                <c:pt idx="129">
                  <c:v>0.59679138705723789</c:v>
                </c:pt>
                <c:pt idx="130">
                  <c:v>0.59327669926890447</c:v>
                </c:pt>
                <c:pt idx="131">
                  <c:v>0.58978919228220406</c:v>
                </c:pt>
                <c:pt idx="132">
                  <c:v>0.5863224709746615</c:v>
                </c:pt>
                <c:pt idx="133">
                  <c:v>0.58287025894650446</c:v>
                </c:pt>
                <c:pt idx="134">
                  <c:v>0.57942633806974531</c:v>
                </c:pt>
                <c:pt idx="135">
                  <c:v>0.57598448848588601</c:v>
                </c:pt>
                <c:pt idx="136">
                  <c:v>0.57253842779156949</c:v>
                </c:pt>
                <c:pt idx="137">
                  <c:v>0.56908174861527794</c:v>
                </c:pt>
                <c:pt idx="138">
                  <c:v>0.56560785162862226</c:v>
                </c:pt>
                <c:pt idx="139">
                  <c:v>0.56210987429694725</c:v>
                </c:pt>
                <c:pt idx="140">
                  <c:v>0.55858061230757761</c:v>
                </c:pt>
                <c:pt idx="141">
                  <c:v>0.55501243173556691</c:v>
                </c:pt>
                <c:pt idx="142">
                  <c:v>0.55139717029110269</c:v>
                </c:pt>
                <c:pt idx="143">
                  <c:v>0.54772602353685595</c:v>
                </c:pt>
                <c:pt idx="144">
                  <c:v>0.54398941323749561</c:v>
                </c:pt>
                <c:pt idx="145">
                  <c:v>0.54017683327096266</c:v>
                </c:pt>
                <c:pt idx="146">
                  <c:v>0.5362766671118</c:v>
                </c:pt>
                <c:pt idx="147">
                  <c:v>0.53227597001970528</c:v>
                </c:pt>
                <c:pt idx="148">
                  <c:v>0.52816020756794702</c:v>
                </c:pt>
                <c:pt idx="149">
                  <c:v>0.52391293773710768</c:v>
                </c:pt>
                <c:pt idx="150">
                  <c:v>0.51951542329284139</c:v>
                </c:pt>
                <c:pt idx="151">
                  <c:v>0.51494615378264852</c:v>
                </c:pt>
                <c:pt idx="152">
                  <c:v>0.51018025286749724</c:v>
                </c:pt>
                <c:pt idx="153">
                  <c:v>0.5051887366340817</c:v>
                </c:pt>
                <c:pt idx="154">
                  <c:v>0.49993757853297227</c:v>
                </c:pt>
                <c:pt idx="155">
                  <c:v>0.49438651996077398</c:v>
                </c:pt>
                <c:pt idx="156">
                  <c:v>0.4884875439228904</c:v>
                </c:pt>
                <c:pt idx="157">
                  <c:v>0.48218289808596948</c:v>
                </c:pt>
                <c:pt idx="158">
                  <c:v>0.47540250824475239</c:v>
                </c:pt>
                <c:pt idx="159">
                  <c:v>0.46806055864509322</c:v>
                </c:pt>
                <c:pt idx="160">
                  <c:v>0.46005091966211253</c:v>
                </c:pt>
                <c:pt idx="161">
                  <c:v>0.4512409611170094</c:v>
                </c:pt>
                <c:pt idx="162">
                  <c:v>0.44146307424898668</c:v>
                </c:pt>
                <c:pt idx="163">
                  <c:v>0.43050289633316607</c:v>
                </c:pt>
                <c:pt idx="164">
                  <c:v>0.42112810531736455</c:v>
                </c:pt>
                <c:pt idx="165">
                  <c:v>0.41141812270903921</c:v>
                </c:pt>
                <c:pt idx="166">
                  <c:v>0.40005743782670145</c:v>
                </c:pt>
                <c:pt idx="167">
                  <c:v>0.38657253871715458</c:v>
                </c:pt>
                <c:pt idx="168">
                  <c:v>0.37030918246303068</c:v>
                </c:pt>
                <c:pt idx="169">
                  <c:v>0.35034513850016546</c:v>
                </c:pt>
                <c:pt idx="170">
                  <c:v>0.32535241140823734</c:v>
                </c:pt>
                <c:pt idx="171">
                  <c:v>0.2933764389560265</c:v>
                </c:pt>
                <c:pt idx="172">
                  <c:v>0.25202627017376145</c:v>
                </c:pt>
                <c:pt idx="173">
                  <c:v>0.20755133463021025</c:v>
                </c:pt>
                <c:pt idx="174">
                  <c:v>0.16299201335921154</c:v>
                </c:pt>
                <c:pt idx="175">
                  <c:v>0.11856205582324053</c:v>
                </c:pt>
                <c:pt idx="176">
                  <c:v>7.4473412878030221E-2</c:v>
                </c:pt>
                <c:pt idx="177">
                  <c:v>3.0930675535017826E-2</c:v>
                </c:pt>
                <c:pt idx="178">
                  <c:v>1.1874020781853289E-2</c:v>
                </c:pt>
                <c:pt idx="179">
                  <c:v>5.37653227722239E-2</c:v>
                </c:pt>
                <c:pt idx="180">
                  <c:v>9.4588002333926724E-2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ser>
          <c:idx val="7"/>
          <c:order val="7"/>
          <c:tx>
            <c:v>based on new axis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L_Section_Capacity!$BG$15:$BG$375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L_Section_Capacity!$BN$15:$BN$375</c:f>
              <c:numCache>
                <c:formatCode>0.000</c:formatCode>
                <c:ptCount val="361"/>
                <c:pt idx="0">
                  <c:v>2.8055261633291879</c:v>
                </c:pt>
                <c:pt idx="1">
                  <c:v>2.8116050198551816</c:v>
                </c:pt>
                <c:pt idx="2">
                  <c:v>2.8176871158444365</c:v>
                </c:pt>
                <c:pt idx="3">
                  <c:v>2.823777658519365</c:v>
                </c:pt>
                <c:pt idx="4">
                  <c:v>2.8298818908824277</c:v>
                </c:pt>
                <c:pt idx="5">
                  <c:v>2.8360051111153384</c:v>
                </c:pt>
                <c:pt idx="6">
                  <c:v>2.8421526924843148</c:v>
                </c:pt>
                <c:pt idx="7">
                  <c:v>2.848330103887788</c:v>
                </c:pt>
                <c:pt idx="8">
                  <c:v>2.8545429311803643</c:v>
                </c:pt>
                <c:pt idx="9">
                  <c:v>2.8607968995286761</c:v>
                </c:pt>
                <c:pt idx="10">
                  <c:v>-3.4160874102267105</c:v>
                </c:pt>
                <c:pt idx="11">
                  <c:v>-3.4097333079029335</c:v>
                </c:pt>
                <c:pt idx="12">
                  <c:v>-3.4033198104381013</c:v>
                </c:pt>
                <c:pt idx="13">
                  <c:v>-3.3968403846463469</c:v>
                </c:pt>
                <c:pt idx="14">
                  <c:v>-3.3902882236577279</c:v>
                </c:pt>
                <c:pt idx="15">
                  <c:v>-3.3836562136379422</c:v>
                </c:pt>
                <c:pt idx="16">
                  <c:v>-3.3769368975897036</c:v>
                </c:pt>
                <c:pt idx="17">
                  <c:v>-3.3701224358406083</c:v>
                </c:pt>
                <c:pt idx="18">
                  <c:v>-3.3632045627079306</c:v>
                </c:pt>
                <c:pt idx="19">
                  <c:v>-3.3561745388144635</c:v>
                </c:pt>
                <c:pt idx="20">
                  <c:v>-3.3490230984770974</c:v>
                </c:pt>
                <c:pt idx="21">
                  <c:v>-3.3417403913386812</c:v>
                </c:pt>
                <c:pt idx="22">
                  <c:v>-3.3343159175788681</c:v>
                </c:pt>
                <c:pt idx="23">
                  <c:v>-3.3267384556291848</c:v>
                </c:pt>
                <c:pt idx="24">
                  <c:v>-3.3190285264127262</c:v>
                </c:pt>
                <c:pt idx="25">
                  <c:v>-3.311564273775006</c:v>
                </c:pt>
                <c:pt idx="26">
                  <c:v>-3.3044280680090674</c:v>
                </c:pt>
                <c:pt idx="27">
                  <c:v>-3.2975865232350339</c:v>
                </c:pt>
                <c:pt idx="28">
                  <c:v>-3.2910102518549751</c:v>
                </c:pt>
                <c:pt idx="29">
                  <c:v>-3.2846732364874365</c:v>
                </c:pt>
                <c:pt idx="30">
                  <c:v>-3.2785523151856024</c:v>
                </c:pt>
                <c:pt idx="31">
                  <c:v>-3.2726267562325573</c:v>
                </c:pt>
                <c:pt idx="32">
                  <c:v>-3.2668779043558871</c:v>
                </c:pt>
                <c:pt idx="33">
                  <c:v>-3.2612888842566878</c:v>
                </c:pt>
                <c:pt idx="34">
                  <c:v>-3.255844350498128</c:v>
                </c:pt>
                <c:pt idx="35">
                  <c:v>-3.2505302749186304</c:v>
                </c:pt>
                <c:pt idx="36">
                  <c:v>-3.2453337647581488</c:v>
                </c:pt>
                <c:pt idx="37">
                  <c:v>-3.2402429058696631</c:v>
                </c:pt>
                <c:pt idx="38">
                  <c:v>-3.2352466265230504</c:v>
                </c:pt>
                <c:pt idx="39">
                  <c:v>-3.2303345781360591</c:v>
                </c:pt>
                <c:pt idx="40">
                  <c:v>-3.2254970298975003</c:v>
                </c:pt>
                <c:pt idx="41">
                  <c:v>-3.220724774747878</c:v>
                </c:pt>
                <c:pt idx="42">
                  <c:v>-3.2160090445965341</c:v>
                </c:pt>
                <c:pt idx="43">
                  <c:v>-3.2113414329458303</c:v>
                </c:pt>
                <c:pt idx="44">
                  <c:v>-3.2049880340273589</c:v>
                </c:pt>
                <c:pt idx="45">
                  <c:v>-3.1967476787373643</c:v>
                </c:pt>
                <c:pt idx="46">
                  <c:v>-3.1884509802173797</c:v>
                </c:pt>
                <c:pt idx="47">
                  <c:v>-3.1800864893212681</c:v>
                </c:pt>
                <c:pt idx="48">
                  <c:v>-3.171642523300692</c:v>
                </c:pt>
                <c:pt idx="49">
                  <c:v>-3.1631070935000283</c:v>
                </c:pt>
                <c:pt idx="50">
                  <c:v>-3.154467830532945</c:v>
                </c:pt>
                <c:pt idx="51">
                  <c:v>-3.1457119054263307</c:v>
                </c:pt>
                <c:pt idx="52">
                  <c:v>-3.1368259461434116</c:v>
                </c:pt>
                <c:pt idx="53">
                  <c:v>-3.1277959481308919</c:v>
                </c:pt>
                <c:pt idx="54">
                  <c:v>-3.1186071769464707</c:v>
                </c:pt>
                <c:pt idx="55">
                  <c:v>-3.1092440622872743</c:v>
                </c:pt>
                <c:pt idx="56">
                  <c:v>-3.0996900808636649</c:v>
                </c:pt>
                <c:pt idx="57">
                  <c:v>-3.0899276262886159</c:v>
                </c:pt>
                <c:pt idx="58">
                  <c:v>-3.0799378634199543</c:v>
                </c:pt>
                <c:pt idx="59">
                  <c:v>-3.0697005642910717</c:v>
                </c:pt>
                <c:pt idx="60">
                  <c:v>-3.0591939213513237</c:v>
                </c:pt>
                <c:pt idx="61">
                  <c:v>-3.0483943343966811</c:v>
                </c:pt>
                <c:pt idx="62">
                  <c:v>-3.037276164542388</c:v>
                </c:pt>
                <c:pt idx="63">
                  <c:v>-3.0258114488444887</c:v>
                </c:pt>
                <c:pt idx="64">
                  <c:v>-3.0139695657177699</c:v>
                </c:pt>
                <c:pt idx="65">
                  <c:v>-3.0017168396661607</c:v>
                </c:pt>
                <c:pt idx="66">
                  <c:v>-2.989016069139721</c:v>
                </c:pt>
                <c:pt idx="67">
                  <c:v>-2.974737389201735</c:v>
                </c:pt>
                <c:pt idx="68">
                  <c:v>-2.9573843926867802</c:v>
                </c:pt>
                <c:pt idx="69">
                  <c:v>-2.9392729288559325</c:v>
                </c:pt>
                <c:pt idx="70">
                  <c:v>-2.9203389658656249</c:v>
                </c:pt>
                <c:pt idx="71">
                  <c:v>-2.9005130278876639</c:v>
                </c:pt>
                <c:pt idx="72">
                  <c:v>-2.879719728108606</c:v>
                </c:pt>
                <c:pt idx="73">
                  <c:v>-2.8578772269887507</c:v>
                </c:pt>
                <c:pt idx="74">
                  <c:v>-2.8340990435536675</c:v>
                </c:pt>
                <c:pt idx="75">
                  <c:v>-2.8056507706564782</c:v>
                </c:pt>
                <c:pt idx="76">
                  <c:v>-2.7754843294598661</c:v>
                </c:pt>
                <c:pt idx="77">
                  <c:v>-2.7434819262600598</c:v>
                </c:pt>
                <c:pt idx="78">
                  <c:v>-2.7095294883899994</c:v>
                </c:pt>
                <c:pt idx="79">
                  <c:v>-2.6735183710295036</c:v>
                </c:pt>
                <c:pt idx="80">
                  <c:v>-2.6353420828611762</c:v>
                </c:pt>
                <c:pt idx="81">
                  <c:v>-2.594878569838234</c:v>
                </c:pt>
                <c:pt idx="82">
                  <c:v>-2.5519343649349882</c:v>
                </c:pt>
                <c:pt idx="83">
                  <c:v>-2.5060891276048558</c:v>
                </c:pt>
                <c:pt idx="84">
                  <c:v>-2.4562696080189061</c:v>
                </c:pt>
                <c:pt idx="85">
                  <c:v>-2.3995235925294542</c:v>
                </c:pt>
                <c:pt idx="86">
                  <c:v>-2.3347600652852227</c:v>
                </c:pt>
                <c:pt idx="87">
                  <c:v>-2.272996994294243</c:v>
                </c:pt>
                <c:pt idx="88">
                  <c:v>-2.2170353085414396</c:v>
                </c:pt>
                <c:pt idx="89">
                  <c:v>-2.1236826594814575</c:v>
                </c:pt>
                <c:pt idx="90">
                  <c:v>-1.9954417703133891</c:v>
                </c:pt>
                <c:pt idx="91">
                  <c:v>-1.666835398160148</c:v>
                </c:pt>
                <c:pt idx="92">
                  <c:v>-1.3564430677642931</c:v>
                </c:pt>
                <c:pt idx="93">
                  <c:v>-1.0862163025374962</c:v>
                </c:pt>
                <c:pt idx="94">
                  <c:v>-0.92383533110217464</c:v>
                </c:pt>
                <c:pt idx="95">
                  <c:v>-0.84985542906352896</c:v>
                </c:pt>
                <c:pt idx="96">
                  <c:v>-0.8090378058750286</c:v>
                </c:pt>
                <c:pt idx="97">
                  <c:v>-0.78327988216542044</c:v>
                </c:pt>
                <c:pt idx="98">
                  <c:v>-0.76555812370194687</c:v>
                </c:pt>
                <c:pt idx="99">
                  <c:v>-0.75260589280732093</c:v>
                </c:pt>
                <c:pt idx="100">
                  <c:v>-0.74270620924781117</c:v>
                </c:pt>
                <c:pt idx="101">
                  <c:v>-0.73487343285072981</c:v>
                </c:pt>
                <c:pt idx="102">
                  <c:v>-0.72850273783753772</c:v>
                </c:pt>
                <c:pt idx="103">
                  <c:v>-0.72320305810209473</c:v>
                </c:pt>
                <c:pt idx="104">
                  <c:v>-0.71871064891122205</c:v>
                </c:pt>
                <c:pt idx="105">
                  <c:v>-0.71484133839098218</c:v>
                </c:pt>
                <c:pt idx="106">
                  <c:v>-0.71146270590297567</c:v>
                </c:pt>
                <c:pt idx="107">
                  <c:v>-0.7080451896787523</c:v>
                </c:pt>
                <c:pt idx="108">
                  <c:v>-0.70374596942030176</c:v>
                </c:pt>
                <c:pt idx="109">
                  <c:v>-0.69982607369612071</c:v>
                </c:pt>
                <c:pt idx="110">
                  <c:v>-0.69622303124066598</c:v>
                </c:pt>
                <c:pt idx="111">
                  <c:v>-0.69288743626954041</c:v>
                </c:pt>
                <c:pt idx="112">
                  <c:v>-0.68977967138406604</c:v>
                </c:pt>
                <c:pt idx="113">
                  <c:v>-0.68686756764140222</c:v>
                </c:pt>
                <c:pt idx="114">
                  <c:v>-0.6841247037912368</c:v>
                </c:pt>
                <c:pt idx="115">
                  <c:v>-0.68152914982990842</c:v>
                </c:pt>
                <c:pt idx="116">
                  <c:v>-0.67906252539005618</c:v>
                </c:pt>
                <c:pt idx="117">
                  <c:v>-0.67670928439967426</c:v>
                </c:pt>
                <c:pt idx="118">
                  <c:v>-0.67445616508458339</c:v>
                </c:pt>
                <c:pt idx="119">
                  <c:v>-0.67229176212723574</c:v>
                </c:pt>
                <c:pt idx="120">
                  <c:v>-0.67020619035081719</c:v>
                </c:pt>
                <c:pt idx="121">
                  <c:v>-0.66819081779687439</c:v>
                </c:pt>
                <c:pt idx="122">
                  <c:v>-0.66623805159895544</c:v>
                </c:pt>
                <c:pt idx="123">
                  <c:v>-0.66434116497884554</c:v>
                </c:pt>
                <c:pt idx="124">
                  <c:v>-0.66249415595153316</c:v>
                </c:pt>
                <c:pt idx="125">
                  <c:v>-0.66069163096291317</c:v>
                </c:pt>
                <c:pt idx="126">
                  <c:v>-0.65892870834382589</c:v>
                </c:pt>
                <c:pt idx="127">
                  <c:v>-0.65720093728245144</c:v>
                </c:pt>
                <c:pt idx="128">
                  <c:v>-0.65550422927756591</c:v>
                </c:pt>
                <c:pt idx="129">
                  <c:v>-0.65383479949357293</c:v>
                </c:pt>
                <c:pt idx="130">
                  <c:v>-0.65218911604632179</c:v>
                </c:pt>
                <c:pt idx="131">
                  <c:v>-0.65056385554438201</c:v>
                </c:pt>
                <c:pt idx="132">
                  <c:v>-0.64895586362711177</c:v>
                </c:pt>
                <c:pt idx="133">
                  <c:v>-0.64736211926366027</c:v>
                </c:pt>
                <c:pt idx="134">
                  <c:v>-0.6457797019781254</c:v>
                </c:pt>
                <c:pt idx="135">
                  <c:v>-0.64420576111915184</c:v>
                </c:pt>
                <c:pt idx="136">
                  <c:v>-0.64263748641465734</c:v>
                </c:pt>
                <c:pt idx="137">
                  <c:v>-0.64107207904441477</c:v>
                </c:pt>
                <c:pt idx="138">
                  <c:v>-0.63950672272384623</c:v>
                </c:pt>
                <c:pt idx="139">
                  <c:v>-0.6379385538793686</c:v>
                </c:pt>
                <c:pt idx="140">
                  <c:v>-0.63636463033381463</c:v>
                </c:pt>
                <c:pt idx="141">
                  <c:v>-0.63478189767590809</c:v>
                </c:pt>
                <c:pt idx="142">
                  <c:v>-0.63318715232471567</c:v>
                </c:pt>
                <c:pt idx="143">
                  <c:v>-0.63157700035367026</c:v>
                </c:pt>
                <c:pt idx="144">
                  <c:v>-0.62994781073876283</c:v>
                </c:pt>
                <c:pt idx="145">
                  <c:v>-0.62829566152808591</c:v>
                </c:pt>
                <c:pt idx="146">
                  <c:v>-0.62661627710085543</c:v>
                </c:pt>
                <c:pt idx="147">
                  <c:v>-0.62490495416838765</c:v>
                </c:pt>
                <c:pt idx="148">
                  <c:v>-0.62315647354330017</c:v>
                </c:pt>
                <c:pt idx="149">
                  <c:v>-0.62136499403224332</c:v>
                </c:pt>
                <c:pt idx="150">
                  <c:v>-0.61952392353277874</c:v>
                </c:pt>
                <c:pt idx="151">
                  <c:v>-0.61762576117623624</c:v>
                </c:pt>
                <c:pt idx="152">
                  <c:v>-0.61566190225727113</c:v>
                </c:pt>
                <c:pt idx="153">
                  <c:v>-0.61362239514475037</c:v>
                </c:pt>
                <c:pt idx="154">
                  <c:v>-0.6114956356435628</c:v>
                </c:pt>
                <c:pt idx="155">
                  <c:v>-0.60926797922708076</c:v>
                </c:pt>
                <c:pt idx="156">
                  <c:v>-0.60692324436150935</c:v>
                </c:pt>
                <c:pt idx="157">
                  <c:v>-0.60444206992269667</c:v>
                </c:pt>
                <c:pt idx="158">
                  <c:v>-0.60180107491553902</c:v>
                </c:pt>
                <c:pt idx="159">
                  <c:v>-0.59897174701229816</c:v>
                </c:pt>
                <c:pt idx="160">
                  <c:v>-0.59591895409242035</c:v>
                </c:pt>
                <c:pt idx="161">
                  <c:v>-0.59259892398262159</c:v>
                </c:pt>
                <c:pt idx="162">
                  <c:v>-0.58895646189956219</c:v>
                </c:pt>
                <c:pt idx="163">
                  <c:v>-0.5849210558085185</c:v>
                </c:pt>
                <c:pt idx="164">
                  <c:v>-0.58149012568059999</c:v>
                </c:pt>
                <c:pt idx="165">
                  <c:v>-0.57795056498921948</c:v>
                </c:pt>
                <c:pt idx="166">
                  <c:v>-0.57382901339788162</c:v>
                </c:pt>
                <c:pt idx="167">
                  <c:v>-0.56895696435321086</c:v>
                </c:pt>
                <c:pt idx="168">
                  <c:v>-0.5630990378074674</c:v>
                </c:pt>
                <c:pt idx="169">
                  <c:v>-0.55591784880146644</c:v>
                </c:pt>
                <c:pt idx="170">
                  <c:v>-0.54691504477516273</c:v>
                </c:pt>
                <c:pt idx="171">
                  <c:v>-0.53532789175306139</c:v>
                </c:pt>
                <c:pt idx="172">
                  <c:v>-0.52014556325482042</c:v>
                </c:pt>
                <c:pt idx="173">
                  <c:v>-0.5035383453666491</c:v>
                </c:pt>
                <c:pt idx="174">
                  <c:v>-0.48653161827423663</c:v>
                </c:pt>
                <c:pt idx="175">
                  <c:v>-0.46909186094920474</c:v>
                </c:pt>
                <c:pt idx="176">
                  <c:v>-0.45118319780118621</c:v>
                </c:pt>
                <c:pt idx="177">
                  <c:v>-0.43276713028556246</c:v>
                </c:pt>
                <c:pt idx="178">
                  <c:v>-0.41380224062945548</c:v>
                </c:pt>
                <c:pt idx="179">
                  <c:v>-0.39424386441836645</c:v>
                </c:pt>
                <c:pt idx="180">
                  <c:v>-0.37404372858253104</c:v>
                </c:pt>
                <c:pt idx="181">
                  <c:v>-0.36901525102714561</c:v>
                </c:pt>
                <c:pt idx="182">
                  <c:v>-0.36390657383647701</c:v>
                </c:pt>
                <c:pt idx="183">
                  <c:v>-0.35871735237161395</c:v>
                </c:pt>
                <c:pt idx="184">
                  <c:v>-0.3534472820122771</c:v>
                </c:pt>
                <c:pt idx="185">
                  <c:v>-0.34809574884239303</c:v>
                </c:pt>
                <c:pt idx="186">
                  <c:v>-0.34266166656204039</c:v>
                </c:pt>
                <c:pt idx="187">
                  <c:v>-0.33714340735808196</c:v>
                </c:pt>
                <c:pt idx="188">
                  <c:v>-0.33153877855224334</c:v>
                </c:pt>
                <c:pt idx="189">
                  <c:v>-0.3258450204895636</c:v>
                </c:pt>
                <c:pt idx="190">
                  <c:v>-0.32005881175108319</c:v>
                </c:pt>
                <c:pt idx="191">
                  <c:v>-0.3141762753754187</c:v>
                </c:pt>
                <c:pt idx="192">
                  <c:v>-0.30830321726622961</c:v>
                </c:pt>
                <c:pt idx="193">
                  <c:v>-0.30286493854717739</c:v>
                </c:pt>
                <c:pt idx="194">
                  <c:v>-0.29776228540803362</c:v>
                </c:pt>
                <c:pt idx="195">
                  <c:v>-0.29288042828343458</c:v>
                </c:pt>
                <c:pt idx="196">
                  <c:v>-0.28814097220914553</c:v>
                </c:pt>
                <c:pt idx="197">
                  <c:v>-0.28348907122201278</c:v>
                </c:pt>
                <c:pt idx="198">
                  <c:v>-0.27888543882680072</c:v>
                </c:pt>
                <c:pt idx="199">
                  <c:v>-0.27430125966462016</c:v>
                </c:pt>
                <c:pt idx="200">
                  <c:v>-0.26969224870294706</c:v>
                </c:pt>
                <c:pt idx="201">
                  <c:v>-0.26501893472967814</c:v>
                </c:pt>
                <c:pt idx="202">
                  <c:v>-0.26033704939793828</c:v>
                </c:pt>
                <c:pt idx="203">
                  <c:v>-0.25563123907480684</c:v>
                </c:pt>
                <c:pt idx="204">
                  <c:v>-0.25088877801772913</c:v>
                </c:pt>
                <c:pt idx="205">
                  <c:v>-0.24609881995229571</c:v>
                </c:pt>
                <c:pt idx="206">
                  <c:v>-0.24125185181194242</c:v>
                </c:pt>
                <c:pt idx="207">
                  <c:v>-0.23633928917339081</c:v>
                </c:pt>
                <c:pt idx="208">
                  <c:v>-0.23135317061771099</c:v>
                </c:pt>
                <c:pt idx="209">
                  <c:v>-0.22628592291226141</c:v>
                </c:pt>
                <c:pt idx="210">
                  <c:v>-0.22113017603747082</c:v>
                </c:pt>
                <c:pt idx="211">
                  <c:v>-0.21587861450513007</c:v>
                </c:pt>
                <c:pt idx="212">
                  <c:v>-0.21052385348115388</c:v>
                </c:pt>
                <c:pt idx="213">
                  <c:v>-0.20505833315213512</c:v>
                </c:pt>
                <c:pt idx="214">
                  <c:v>-0.19947422420065702</c:v>
                </c:pt>
                <c:pt idx="215">
                  <c:v>-0.19376334151976954</c:v>
                </c:pt>
                <c:pt idx="216">
                  <c:v>-0.18791706121249591</c:v>
                </c:pt>
                <c:pt idx="217">
                  <c:v>-0.18192623863480656</c:v>
                </c:pt>
                <c:pt idx="218">
                  <c:v>-0.17578112539362023</c:v>
                </c:pt>
                <c:pt idx="219">
                  <c:v>-0.16947128177943604</c:v>
                </c:pt>
                <c:pt idx="220">
                  <c:v>-0.1629854841281525</c:v>
                </c:pt>
                <c:pt idx="221">
                  <c:v>-0.15631162318409303</c:v>
                </c:pt>
                <c:pt idx="222">
                  <c:v>-0.14943659310048923</c:v>
                </c:pt>
                <c:pt idx="223">
                  <c:v>-0.14234616722809976</c:v>
                </c:pt>
                <c:pt idx="224">
                  <c:v>-0.13502485836765757</c:v>
                </c:pt>
                <c:pt idx="225">
                  <c:v>-0.12745576096951591</c:v>
                </c:pt>
                <c:pt idx="226">
                  <c:v>-0.11962037081215837</c:v>
                </c:pt>
                <c:pt idx="227">
                  <c:v>-0.1114983786624715</c:v>
                </c:pt>
                <c:pt idx="228">
                  <c:v>-0.10306743248739944</c:v>
                </c:pt>
                <c:pt idx="229">
                  <c:v>-9.4302862023912581E-2</c:v>
                </c:pt>
                <c:pt idx="230">
                  <c:v>-8.5177358482112941E-2</c:v>
                </c:pt>
                <c:pt idx="231">
                  <c:v>-7.5660600732356253E-2</c:v>
                </c:pt>
                <c:pt idx="232">
                  <c:v>-6.5718816271196218E-2</c:v>
                </c:pt>
                <c:pt idx="233">
                  <c:v>-5.5314263505142541E-2</c:v>
                </c:pt>
                <c:pt idx="234">
                  <c:v>-4.4404618864284012E-2</c:v>
                </c:pt>
                <c:pt idx="235">
                  <c:v>-3.2942246457030311E-2</c:v>
                </c:pt>
                <c:pt idx="236">
                  <c:v>-2.0873325004034771E-2</c:v>
                </c:pt>
                <c:pt idx="237">
                  <c:v>-9.7778355286771701E-3</c:v>
                </c:pt>
                <c:pt idx="238">
                  <c:v>1.5302890631923582E-3</c:v>
                </c:pt>
                <c:pt idx="239">
                  <c:v>1.3511553828647438E-2</c:v>
                </c:pt>
                <c:pt idx="240">
                  <c:v>2.6239931975329978E-2</c:v>
                </c:pt>
                <c:pt idx="241">
                  <c:v>3.9800782965327242E-2</c:v>
                </c:pt>
                <c:pt idx="242">
                  <c:v>5.4293149435611532E-2</c:v>
                </c:pt>
                <c:pt idx="243">
                  <c:v>6.9832629280165925E-2</c:v>
                </c:pt>
                <c:pt idx="244">
                  <c:v>8.6554993533058511E-2</c:v>
                </c:pt>
                <c:pt idx="245">
                  <c:v>0.10462078201113184</c:v>
                </c:pt>
                <c:pt idx="246">
                  <c:v>0.12422119057275272</c:v>
                </c:pt>
                <c:pt idx="247">
                  <c:v>0.14558567917892729</c:v>
                </c:pt>
                <c:pt idx="248">
                  <c:v>0.16899189253730384</c:v>
                </c:pt>
                <c:pt idx="249">
                  <c:v>0.19477871150634124</c:v>
                </c:pt>
                <c:pt idx="250">
                  <c:v>0.22207128021214828</c:v>
                </c:pt>
                <c:pt idx="251">
                  <c:v>0.25231738340637533</c:v>
                </c:pt>
                <c:pt idx="252">
                  <c:v>0.28618370584823938</c:v>
                </c:pt>
                <c:pt idx="253">
                  <c:v>0.32440207036313129</c:v>
                </c:pt>
                <c:pt idx="254">
                  <c:v>0.3679045142999795</c:v>
                </c:pt>
                <c:pt idx="255">
                  <c:v>0.41265851554718891</c:v>
                </c:pt>
                <c:pt idx="256">
                  <c:v>0.45836557308834847</c:v>
                </c:pt>
                <c:pt idx="257">
                  <c:v>0.51079291899028223</c:v>
                </c:pt>
                <c:pt idx="258">
                  <c:v>0.57152919459800422</c:v>
                </c:pt>
                <c:pt idx="259">
                  <c:v>0.64262674627054195</c:v>
                </c:pt>
                <c:pt idx="260">
                  <c:v>0.72672147289091016</c:v>
                </c:pt>
                <c:pt idx="261">
                  <c:v>0.81719141566674702</c:v>
                </c:pt>
                <c:pt idx="262">
                  <c:v>0.879036342459945</c:v>
                </c:pt>
                <c:pt idx="263">
                  <c:v>0.95589337993372792</c:v>
                </c:pt>
                <c:pt idx="264">
                  <c:v>1.0532717966554368</c:v>
                </c:pt>
                <c:pt idx="265">
                  <c:v>1.159163354460176</c:v>
                </c:pt>
                <c:pt idx="266">
                  <c:v>1.2655790183703699</c:v>
                </c:pt>
                <c:pt idx="267">
                  <c:v>1.3707875140966026</c:v>
                </c:pt>
                <c:pt idx="268">
                  <c:v>1.4731835471723989</c:v>
                </c:pt>
                <c:pt idx="269">
                  <c:v>1.5714392011872338</c:v>
                </c:pt>
                <c:pt idx="270">
                  <c:v>1.6645916467426329</c:v>
                </c:pt>
                <c:pt idx="271">
                  <c:v>1.7520601098556667</c:v>
                </c:pt>
                <c:pt idx="272">
                  <c:v>1.8336068980965174</c:v>
                </c:pt>
                <c:pt idx="273">
                  <c:v>1.9092671287059455</c:v>
                </c:pt>
                <c:pt idx="274">
                  <c:v>1.9792701219791555</c:v>
                </c:pt>
                <c:pt idx="275">
                  <c:v>2.0439678269199089</c:v>
                </c:pt>
                <c:pt idx="276">
                  <c:v>2.1037775255464686</c:v>
                </c:pt>
                <c:pt idx="277">
                  <c:v>2.1558489831426604</c:v>
                </c:pt>
                <c:pt idx="278">
                  <c:v>2.1955925070927993</c:v>
                </c:pt>
                <c:pt idx="279">
                  <c:v>2.2270346862080075</c:v>
                </c:pt>
                <c:pt idx="280">
                  <c:v>2.2527654444692837</c:v>
                </c:pt>
                <c:pt idx="281">
                  <c:v>2.2743878538203868</c:v>
                </c:pt>
                <c:pt idx="282">
                  <c:v>2.2929486875874137</c:v>
                </c:pt>
                <c:pt idx="283">
                  <c:v>2.3091617108506473</c:v>
                </c:pt>
                <c:pt idx="284">
                  <c:v>2.3235313065380119</c:v>
                </c:pt>
                <c:pt idx="285">
                  <c:v>2.3364247209436302</c:v>
                </c:pt>
                <c:pt idx="286">
                  <c:v>2.348116237554934</c:v>
                </c:pt>
                <c:pt idx="287">
                  <c:v>2.3588152445381212</c:v>
                </c:pt>
                <c:pt idx="288">
                  <c:v>2.3686846668968613</c:v>
                </c:pt>
                <c:pt idx="289">
                  <c:v>2.3778534223691432</c:v>
                </c:pt>
                <c:pt idx="290">
                  <c:v>2.3864250526852482</c:v>
                </c:pt>
                <c:pt idx="291">
                  <c:v>2.394483838399994</c:v>
                </c:pt>
                <c:pt idx="292">
                  <c:v>2.4020992172674331</c:v>
                </c:pt>
                <c:pt idx="293">
                  <c:v>2.4093290336188415</c:v>
                </c:pt>
                <c:pt idx="294">
                  <c:v>2.4162219664357396</c:v>
                </c:pt>
                <c:pt idx="295">
                  <c:v>2.4228193701773053</c:v>
                </c:pt>
                <c:pt idx="296">
                  <c:v>2.4291566889314256</c:v>
                </c:pt>
                <c:pt idx="297">
                  <c:v>2.4352645560603321</c:v>
                </c:pt>
                <c:pt idx="298">
                  <c:v>2.4411696590214831</c:v>
                </c:pt>
                <c:pt idx="299">
                  <c:v>2.4468954266473428</c:v>
                </c:pt>
                <c:pt idx="300">
                  <c:v>2.4524625808177314</c:v>
                </c:pt>
                <c:pt idx="301">
                  <c:v>2.4578895834320562</c:v>
                </c:pt>
                <c:pt idx="302">
                  <c:v>2.4631930018852941</c:v>
                </c:pt>
                <c:pt idx="303">
                  <c:v>2.4683878105483688</c:v>
                </c:pt>
                <c:pt idx="304">
                  <c:v>2.4734876416635707</c:v>
                </c:pt>
                <c:pt idx="305">
                  <c:v>2.4785049959771941</c:v>
                </c:pt>
                <c:pt idx="306">
                  <c:v>2.4834514212046219</c:v>
                </c:pt>
                <c:pt idx="307">
                  <c:v>2.4883376646625015</c:v>
                </c:pt>
                <c:pt idx="308">
                  <c:v>2.4931738051156893</c:v>
                </c:pt>
                <c:pt idx="309">
                  <c:v>2.4979693679172952</c:v>
                </c:pt>
                <c:pt idx="310">
                  <c:v>2.5027334267466887</c:v>
                </c:pt>
                <c:pt idx="311">
                  <c:v>2.507474694638435</c:v>
                </c:pt>
                <c:pt idx="312">
                  <c:v>2.5122016065948038</c:v>
                </c:pt>
                <c:pt idx="313">
                  <c:v>2.5169223956952589</c:v>
                </c:pt>
                <c:pt idx="314">
                  <c:v>2.5216451644098541</c:v>
                </c:pt>
                <c:pt idx="315">
                  <c:v>2.5263779525360368</c:v>
                </c:pt>
                <c:pt idx="316">
                  <c:v>2.5311288031551546</c:v>
                </c:pt>
                <c:pt idx="317">
                  <c:v>2.535905827881348</c:v>
                </c:pt>
                <c:pt idx="318">
                  <c:v>2.5407172725185099</c:v>
                </c:pt>
                <c:pt idx="319">
                  <c:v>2.5455715845590694</c:v>
                </c:pt>
                <c:pt idx="320">
                  <c:v>2.5504774835607051</c:v>
                </c:pt>
                <c:pt idx="321">
                  <c:v>2.5554440359166923</c:v>
                </c:pt>
                <c:pt idx="322">
                  <c:v>2.5604807354056858</c:v>
                </c:pt>
                <c:pt idx="323">
                  <c:v>2.5655975912494302</c:v>
                </c:pt>
                <c:pt idx="324">
                  <c:v>2.5708052255785336</c:v>
                </c:pt>
                <c:pt idx="325">
                  <c:v>2.5761149824604628</c:v>
                </c:pt>
                <c:pt idx="326">
                  <c:v>2.5815390512618963</c:v>
                </c:pt>
                <c:pt idx="327">
                  <c:v>2.5870906074709143</c:v>
                </c:pt>
                <c:pt idx="328">
                  <c:v>2.5927839747875794</c:v>
                </c:pt>
                <c:pt idx="329">
                  <c:v>2.5986348132092356</c:v>
                </c:pt>
                <c:pt idx="330">
                  <c:v>2.6046603391984773</c:v>
                </c:pt>
                <c:pt idx="331">
                  <c:v>2.6108795847775399</c:v>
                </c:pt>
                <c:pt idx="332">
                  <c:v>2.6173137052372137</c:v>
                </c:pt>
                <c:pt idx="333">
                  <c:v>2.6239863468352542</c:v>
                </c:pt>
                <c:pt idx="334">
                  <c:v>2.6309240895001995</c:v>
                </c:pt>
                <c:pt idx="335">
                  <c:v>2.6381569838488872</c:v>
                </c:pt>
                <c:pt idx="336">
                  <c:v>2.6457192078977059</c:v>
                </c:pt>
                <c:pt idx="337">
                  <c:v>2.6535277639485439</c:v>
                </c:pt>
                <c:pt idx="338">
                  <c:v>2.6611997360776556</c:v>
                </c:pt>
                <c:pt idx="339">
                  <c:v>2.6687141724232255</c:v>
                </c:pt>
                <c:pt idx="340">
                  <c:v>2.6760822947320726</c:v>
                </c:pt>
                <c:pt idx="341">
                  <c:v>2.6833146174358546</c:v>
                </c:pt>
                <c:pt idx="342">
                  <c:v>2.6904210165434161</c:v>
                </c:pt>
                <c:pt idx="343">
                  <c:v>2.6974107915353711</c:v>
                </c:pt>
                <c:pt idx="344">
                  <c:v>2.7042927214892769</c:v>
                </c:pt>
                <c:pt idx="345">
                  <c:v>2.7110751156945199</c:v>
                </c:pt>
                <c:pt idx="346">
                  <c:v>2.7177658597527348</c:v>
                </c:pt>
                <c:pt idx="347">
                  <c:v>2.7243724576235673</c:v>
                </c:pt>
                <c:pt idx="348">
                  <c:v>2.7309020700084714</c:v>
                </c:pt>
                <c:pt idx="349">
                  <c:v>2.7373615496713235</c:v>
                </c:pt>
                <c:pt idx="350">
                  <c:v>2.7437574739762747</c:v>
                </c:pt>
                <c:pt idx="351">
                  <c:v>2.7500961750207367</c:v>
                </c:pt>
                <c:pt idx="352">
                  <c:v>2.7563837676683267</c:v>
                </c:pt>
                <c:pt idx="353">
                  <c:v>2.7626261757095039</c:v>
                </c:pt>
                <c:pt idx="354">
                  <c:v>2.7688291565562064</c:v>
                </c:pt>
                <c:pt idx="355">
                  <c:v>2.7749983244708032</c:v>
                </c:pt>
                <c:pt idx="356">
                  <c:v>2.7811391726692936</c:v>
                </c:pt>
                <c:pt idx="357">
                  <c:v>2.7872570945694877</c:v>
                </c:pt>
                <c:pt idx="358">
                  <c:v>2.7933574041422258</c:v>
                </c:pt>
                <c:pt idx="359">
                  <c:v>2.7994453557079257</c:v>
                </c:pt>
                <c:pt idx="360">
                  <c:v>2.805526163329179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6-48B6-BC9C-5126558AD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CK378"/>
  <sheetViews>
    <sheetView tabSelected="1" topLeftCell="P1" zoomScale="80" zoomScaleNormal="80" workbookViewId="0">
      <selection activeCell="BP22" sqref="BP22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6" bestFit="1" customWidth="1"/>
    <col min="53" max="53" width="19.42578125" style="6" bestFit="1" customWidth="1"/>
    <col min="54" max="54" width="19.140625" style="6" bestFit="1" customWidth="1"/>
    <col min="55" max="56" width="24.28515625" style="6" bestFit="1" customWidth="1"/>
    <col min="57" max="57" width="10.7109375" bestFit="1" customWidth="1"/>
    <col min="58" max="58" width="10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</cols>
  <sheetData>
    <row r="1" spans="1:89" x14ac:dyDescent="0.25">
      <c r="K1" s="8" t="s">
        <v>71</v>
      </c>
      <c r="L1" s="14">
        <v>1E-8</v>
      </c>
      <c r="P1" s="8" t="s">
        <v>144</v>
      </c>
      <c r="Q1" s="4">
        <v>1</v>
      </c>
      <c r="T1" t="s">
        <v>163</v>
      </c>
      <c r="U1" s="4">
        <v>0</v>
      </c>
      <c r="AS1" s="6" t="s">
        <v>111</v>
      </c>
      <c r="AT1" s="6" t="s">
        <v>100</v>
      </c>
      <c r="AU1" s="6" t="s">
        <v>101</v>
      </c>
      <c r="AV1" s="6" t="s">
        <v>112</v>
      </c>
      <c r="AW1" s="6" t="s">
        <v>145</v>
      </c>
      <c r="AX1" s="6" t="s">
        <v>146</v>
      </c>
      <c r="AY1" s="6" t="s">
        <v>147</v>
      </c>
      <c r="AZ1" s="47" t="s">
        <v>148</v>
      </c>
      <c r="BA1" s="47" t="s">
        <v>112</v>
      </c>
      <c r="BB1" s="47" t="s">
        <v>145</v>
      </c>
      <c r="BC1" s="47" t="s">
        <v>146</v>
      </c>
      <c r="BD1" s="47" t="s">
        <v>147</v>
      </c>
      <c r="BG1" s="48" t="s">
        <v>149</v>
      </c>
      <c r="BW1" t="s">
        <v>113</v>
      </c>
      <c r="CE1" t="s">
        <v>136</v>
      </c>
      <c r="CK1" t="s">
        <v>143</v>
      </c>
    </row>
    <row r="2" spans="1:89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200</v>
      </c>
      <c r="M2">
        <v>1410</v>
      </c>
      <c r="N2">
        <v>12</v>
      </c>
      <c r="O2">
        <v>0</v>
      </c>
      <c r="AS2" s="6">
        <v>-3.1415926535897931</v>
      </c>
      <c r="AT2" s="6">
        <v>-235.40829919722148</v>
      </c>
      <c r="AU2" s="6">
        <v>42.659999999999982</v>
      </c>
      <c r="AV2" s="6">
        <f>ATAN2(AT2,AU2)</f>
        <v>2.9623211007271268</v>
      </c>
      <c r="AW2" s="6">
        <f>ABS(AS2-AV2)</f>
        <v>6.1039137543169204</v>
      </c>
      <c r="AX2" s="6">
        <f>AV2-$U$13</f>
        <v>0.60612661053478201</v>
      </c>
      <c r="AY2" s="6">
        <f>ABS(AX2)</f>
        <v>0.60612661053478201</v>
      </c>
      <c r="AZ2" s="47">
        <f>AS2+(2*PI())</f>
        <v>3.1415926535897931</v>
      </c>
      <c r="BA2" s="47">
        <f>AV2</f>
        <v>2.9623211007271268</v>
      </c>
      <c r="BB2" s="47">
        <f t="shared" ref="BB2:BD2" si="0">AW2</f>
        <v>6.1039137543169204</v>
      </c>
      <c r="BC2" s="47">
        <f t="shared" si="0"/>
        <v>0.60612661053478201</v>
      </c>
      <c r="BD2" s="47">
        <f t="shared" si="0"/>
        <v>0.60612661053478201</v>
      </c>
      <c r="BE2" s="40"/>
      <c r="BF2" s="40"/>
      <c r="BT2">
        <v>2.3561944901923448</v>
      </c>
      <c r="BW2" s="1" t="s">
        <v>114</v>
      </c>
      <c r="BX2" s="1" t="s">
        <v>33</v>
      </c>
      <c r="BY2" s="1" t="s">
        <v>115</v>
      </c>
      <c r="BZ2" s="1" t="s">
        <v>116</v>
      </c>
      <c r="CA2" s="1" t="s">
        <v>117</v>
      </c>
      <c r="CB2" s="1" t="s">
        <v>118</v>
      </c>
      <c r="CE2" s="1" t="s">
        <v>137</v>
      </c>
      <c r="CF2">
        <v>3.1415926535897931</v>
      </c>
    </row>
    <row r="3" spans="1:89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0.70923512089729657</v>
      </c>
      <c r="V3" s="16"/>
      <c r="W3" s="30" t="s">
        <v>95</v>
      </c>
      <c r="X3" t="s">
        <v>79</v>
      </c>
      <c r="AA3" t="s">
        <v>110</v>
      </c>
      <c r="AS3" s="6">
        <v>-3.12413936106985</v>
      </c>
      <c r="AT3" s="6">
        <v>-235.40130681248903</v>
      </c>
      <c r="AU3" s="6">
        <v>41.85881251979481</v>
      </c>
      <c r="AV3" s="6">
        <f t="shared" ref="AV3:AV66" si="1">ATAN2(AT3,AU3)</f>
        <v>2.9656131204037521</v>
      </c>
      <c r="AW3" s="6">
        <f t="shared" ref="AW3:AW66" si="2">ABS(AS3-AV3)</f>
        <v>6.0897524814736022</v>
      </c>
      <c r="AX3" s="6">
        <f t="shared" ref="AX3:AX66" si="3">AV3-$U$13</f>
        <v>0.6094186302114073</v>
      </c>
      <c r="AY3" s="6">
        <f t="shared" ref="AY3:AY66" si="4">ABS(AX3)</f>
        <v>0.6094186302114073</v>
      </c>
      <c r="AZ3" s="47">
        <f t="shared" ref="AZ3:AZ66" si="5">AS3+(2*PI())</f>
        <v>3.1590459461097362</v>
      </c>
      <c r="BA3" s="47">
        <f t="shared" ref="BA3:BA66" si="6">AV3</f>
        <v>2.9656131204037521</v>
      </c>
      <c r="BB3" s="47">
        <f t="shared" ref="BB3:BB66" si="7">AW3</f>
        <v>6.0897524814736022</v>
      </c>
      <c r="BC3" s="47">
        <f t="shared" ref="BC3:BC66" si="8">AX3</f>
        <v>0.6094186302114073</v>
      </c>
      <c r="BD3" s="47">
        <f t="shared" ref="BD3:BD66" si="9">AY3</f>
        <v>0.6094186302114073</v>
      </c>
      <c r="BE3" s="40"/>
      <c r="BF3" s="40"/>
      <c r="BG3" t="s">
        <v>150</v>
      </c>
      <c r="CE3" t="s">
        <v>138</v>
      </c>
      <c r="CF3" t="s">
        <v>139</v>
      </c>
      <c r="CG3" t="s">
        <v>141</v>
      </c>
      <c r="CH3" t="s">
        <v>142</v>
      </c>
      <c r="CI3" t="s">
        <v>140</v>
      </c>
    </row>
    <row r="4" spans="1:89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-50.000000001975415</v>
      </c>
      <c r="V4" s="17" t="s">
        <v>68</v>
      </c>
      <c r="W4" s="31">
        <f ca="1">U4-U10</f>
        <v>-1.9754153868234425E-9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 s="6">
        <v>-3.1066860685499069</v>
      </c>
      <c r="AT4" s="6">
        <v>-235.38031259618248</v>
      </c>
      <c r="AU4" s="6">
        <v>41.057136680328824</v>
      </c>
      <c r="AV4" s="6">
        <f t="shared" si="1"/>
        <v>2.968901138963195</v>
      </c>
      <c r="AW4" s="6">
        <f t="shared" si="2"/>
        <v>6.0755872075131023</v>
      </c>
      <c r="AX4" s="6">
        <f t="shared" si="3"/>
        <v>0.61270664877085013</v>
      </c>
      <c r="AY4" s="6">
        <f t="shared" si="4"/>
        <v>0.61270664877085013</v>
      </c>
      <c r="AZ4" s="47">
        <f t="shared" si="5"/>
        <v>3.1764992386296793</v>
      </c>
      <c r="BA4" s="47">
        <f t="shared" si="6"/>
        <v>2.968901138963195</v>
      </c>
      <c r="BB4" s="47">
        <f t="shared" si="7"/>
        <v>6.0755872075131023</v>
      </c>
      <c r="BC4" s="47">
        <f t="shared" si="8"/>
        <v>0.61270664877085013</v>
      </c>
      <c r="BD4" s="47">
        <f t="shared" si="9"/>
        <v>0.61270664877085013</v>
      </c>
      <c r="BE4" s="40"/>
      <c r="BF4" s="40"/>
      <c r="BG4" s="1" t="s">
        <v>100</v>
      </c>
      <c r="BH4" s="1" t="s">
        <v>101</v>
      </c>
    </row>
    <row r="5" spans="1:89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16</v>
      </c>
      <c r="G5">
        <f t="shared" ref="G5:G11" si="10">((E4*F5)-(E5*F4))*0.5</f>
        <v>96</v>
      </c>
      <c r="T5" s="27" t="s">
        <v>77</v>
      </c>
      <c r="U5" s="10">
        <f ca="1">U3*B79*(1/12)</f>
        <v>-35.566512002037868</v>
      </c>
      <c r="V5" s="17" t="s">
        <v>70</v>
      </c>
      <c r="W5" s="32"/>
      <c r="X5">
        <f>X4</f>
        <v>34</v>
      </c>
      <c r="Y5">
        <f>X5</f>
        <v>34</v>
      </c>
      <c r="AA5">
        <v>0</v>
      </c>
      <c r="AB5">
        <v>0</v>
      </c>
      <c r="AS5" s="6">
        <v>-3.0892327760299638</v>
      </c>
      <c r="AT5" s="6">
        <v>-235.34526529431406</v>
      </c>
      <c r="AU5" s="6">
        <v>40.254482930908431</v>
      </c>
      <c r="AV5" s="6">
        <f t="shared" si="1"/>
        <v>2.972187635213539</v>
      </c>
      <c r="AW5" s="6">
        <f t="shared" si="2"/>
        <v>6.0614204112435033</v>
      </c>
      <c r="AX5" s="6">
        <f t="shared" si="3"/>
        <v>0.61599314502119418</v>
      </c>
      <c r="AY5" s="6">
        <f t="shared" si="4"/>
        <v>0.61599314502119418</v>
      </c>
      <c r="AZ5" s="47">
        <f t="shared" si="5"/>
        <v>3.1939525311496224</v>
      </c>
      <c r="BA5" s="47">
        <f t="shared" si="6"/>
        <v>2.972187635213539</v>
      </c>
      <c r="BB5" s="47">
        <f t="shared" si="7"/>
        <v>6.0614204112435033</v>
      </c>
      <c r="BC5" s="47">
        <f t="shared" si="8"/>
        <v>0.61599314502119418</v>
      </c>
      <c r="BD5" s="47">
        <f t="shared" si="9"/>
        <v>0.61599314502119418</v>
      </c>
      <c r="BE5" s="40"/>
      <c r="BF5" s="40"/>
      <c r="BG5">
        <f ca="1">B132</f>
        <v>-104.10731408405546</v>
      </c>
      <c r="BH5">
        <f ca="1">B133</f>
        <v>34.702438028018484</v>
      </c>
    </row>
    <row r="6" spans="1:89" x14ac:dyDescent="0.25">
      <c r="A6" s="8" t="s">
        <v>92</v>
      </c>
      <c r="B6" s="46">
        <v>0</v>
      </c>
      <c r="C6" t="s">
        <v>4</v>
      </c>
      <c r="E6" s="5">
        <f>B7+B5</f>
        <v>12</v>
      </c>
      <c r="F6">
        <f>F5</f>
        <v>16</v>
      </c>
      <c r="G6">
        <f t="shared" si="10"/>
        <v>0</v>
      </c>
      <c r="T6" s="27" t="s">
        <v>76</v>
      </c>
      <c r="U6" s="10">
        <f ca="1">U3*B80*(1/12)</f>
        <v>54.080727141957524</v>
      </c>
      <c r="V6" s="17" t="s">
        <v>70</v>
      </c>
      <c r="W6" s="31">
        <f t="shared" ref="W6" ca="1" si="11">U6</f>
        <v>54.080727141957524</v>
      </c>
      <c r="X6">
        <f>IF(B6=0,0,-1*X5)</f>
        <v>0</v>
      </c>
      <c r="Y6">
        <f>IF(B6=0,0,Y5)</f>
        <v>0</v>
      </c>
      <c r="AA6">
        <f>U14</f>
        <v>70.710678118654755</v>
      </c>
      <c r="AB6">
        <f>U10</f>
        <v>-50</v>
      </c>
      <c r="AS6" s="6">
        <v>-3.0717794835100207</v>
      </c>
      <c r="AT6" s="6">
        <v>-235.29607923089998</v>
      </c>
      <c r="AU6" s="6">
        <v>39.45035933179291</v>
      </c>
      <c r="AV6" s="6">
        <f t="shared" si="1"/>
        <v>2.975475088137653</v>
      </c>
      <c r="AW6" s="6">
        <f t="shared" si="2"/>
        <v>6.0472545716476738</v>
      </c>
      <c r="AX6" s="6">
        <f t="shared" si="3"/>
        <v>0.61928059794530821</v>
      </c>
      <c r="AY6" s="6">
        <f t="shared" si="4"/>
        <v>0.61928059794530821</v>
      </c>
      <c r="AZ6" s="47">
        <f t="shared" si="5"/>
        <v>3.2114058236695655</v>
      </c>
      <c r="BA6" s="47">
        <f t="shared" si="6"/>
        <v>2.975475088137653</v>
      </c>
      <c r="BB6" s="47">
        <f t="shared" si="7"/>
        <v>6.0472545716476738</v>
      </c>
      <c r="BC6" s="47">
        <f t="shared" si="8"/>
        <v>0.61928059794530821</v>
      </c>
      <c r="BD6" s="47">
        <f t="shared" si="9"/>
        <v>0.61928059794530821</v>
      </c>
      <c r="BE6" s="40"/>
      <c r="BF6" s="40"/>
    </row>
    <row r="7" spans="1:89" ht="15.75" thickBot="1" x14ac:dyDescent="0.3">
      <c r="A7" s="8" t="s">
        <v>91</v>
      </c>
      <c r="B7" s="46">
        <v>0</v>
      </c>
      <c r="C7" t="s">
        <v>4</v>
      </c>
      <c r="E7" s="5">
        <f>E6</f>
        <v>12</v>
      </c>
      <c r="F7">
        <f>B8</f>
        <v>24</v>
      </c>
      <c r="G7">
        <f t="shared" si="10"/>
        <v>48</v>
      </c>
      <c r="T7" s="28" t="s">
        <v>96</v>
      </c>
      <c r="U7" s="29">
        <f ca="1">IF(AND(U5=0,U6=0),0,ATAN2(U5,U6))</f>
        <v>2.152534772359934</v>
      </c>
      <c r="V7" s="18" t="s">
        <v>97</v>
      </c>
      <c r="W7" s="33">
        <f ca="1">U7-U13</f>
        <v>-0.20365971783241088</v>
      </c>
      <c r="AA7">
        <f ca="1">U8</f>
        <v>64.727906069901294</v>
      </c>
      <c r="AB7" s="9">
        <f ca="1">U4</f>
        <v>-50.000000001975415</v>
      </c>
      <c r="AS7" s="6">
        <v>-3.0543261909900776</v>
      </c>
      <c r="AT7" s="6">
        <v>-235.2326337971387</v>
      </c>
      <c r="AU7" s="6">
        <v>38.644270344160134</v>
      </c>
      <c r="AV7" s="6">
        <f t="shared" si="1"/>
        <v>2.9787659848859889</v>
      </c>
      <c r="AW7" s="6">
        <f t="shared" si="2"/>
        <v>6.0330921758760665</v>
      </c>
      <c r="AX7" s="6">
        <f t="shared" si="3"/>
        <v>0.62257149469364403</v>
      </c>
      <c r="AY7" s="6">
        <f t="shared" si="4"/>
        <v>0.62257149469364403</v>
      </c>
      <c r="AZ7" s="47">
        <f t="shared" si="5"/>
        <v>3.2288591161895086</v>
      </c>
      <c r="BA7" s="47">
        <f t="shared" si="6"/>
        <v>2.9787659848859889</v>
      </c>
      <c r="BB7" s="47">
        <f t="shared" si="7"/>
        <v>6.0330921758760665</v>
      </c>
      <c r="BC7" s="47">
        <f t="shared" si="8"/>
        <v>0.62257149469364403</v>
      </c>
      <c r="BD7" s="47">
        <f t="shared" si="9"/>
        <v>0.62257149469364403</v>
      </c>
      <c r="BE7" s="40"/>
      <c r="BF7" s="40"/>
      <c r="BG7" t="s">
        <v>151</v>
      </c>
    </row>
    <row r="8" spans="1:89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10"/>
        <v>144</v>
      </c>
      <c r="T8" s="37" t="s">
        <v>109</v>
      </c>
      <c r="U8" s="6">
        <f ca="1">SQRT(POWER(U5,2)+POWER(U6,2))</f>
        <v>64.727906069901294</v>
      </c>
      <c r="V8" s="42" t="s">
        <v>70</v>
      </c>
      <c r="AS8" s="6">
        <v>-3.0368728984701345</v>
      </c>
      <c r="AT8" s="6">
        <v>-235.15477283484734</v>
      </c>
      <c r="AU8" s="6">
        <v>37.835715601305502</v>
      </c>
      <c r="AV8" s="6">
        <f t="shared" si="1"/>
        <v>2.9820628289189566</v>
      </c>
      <c r="AW8" s="6">
        <f t="shared" si="2"/>
        <v>6.0189357273890911</v>
      </c>
      <c r="AX8" s="6">
        <f t="shared" si="3"/>
        <v>0.62586833872661174</v>
      </c>
      <c r="AY8" s="6">
        <f t="shared" si="4"/>
        <v>0.62586833872661174</v>
      </c>
      <c r="AZ8" s="47">
        <f t="shared" si="5"/>
        <v>3.2463124087094517</v>
      </c>
      <c r="BA8" s="47">
        <f t="shared" si="6"/>
        <v>2.9820628289189566</v>
      </c>
      <c r="BB8" s="47">
        <f t="shared" si="7"/>
        <v>6.0189357273890911</v>
      </c>
      <c r="BC8" s="47">
        <f t="shared" si="8"/>
        <v>0.62586833872661174</v>
      </c>
      <c r="BD8" s="47">
        <f t="shared" si="9"/>
        <v>0.62586833872661174</v>
      </c>
      <c r="BE8" s="40"/>
      <c r="BF8" s="40"/>
      <c r="BG8" s="1" t="s">
        <v>100</v>
      </c>
      <c r="BH8" s="1" t="s">
        <v>101</v>
      </c>
      <c r="BO8" t="s">
        <v>100</v>
      </c>
      <c r="BP8" t="s">
        <v>101</v>
      </c>
      <c r="BQ8" s="1" t="s">
        <v>156</v>
      </c>
      <c r="BR8" s="1" t="s">
        <v>157</v>
      </c>
      <c r="BS8" s="1" t="s">
        <v>158</v>
      </c>
      <c r="BT8" s="1" t="s">
        <v>159</v>
      </c>
      <c r="BU8" s="1" t="s">
        <v>160</v>
      </c>
    </row>
    <row r="9" spans="1:89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10"/>
        <v>0</v>
      </c>
      <c r="T9" s="35" t="s">
        <v>98</v>
      </c>
      <c r="U9" s="36"/>
      <c r="V9" s="16"/>
      <c r="AA9" s="9">
        <f ca="1">U5-U11</f>
        <v>14.433487997962132</v>
      </c>
      <c r="AB9" s="9">
        <f ca="1">U6-U12</f>
        <v>4.0807271419575244</v>
      </c>
      <c r="AC9" s="9">
        <f ca="1">AA9+AB9</f>
        <v>18.514215139919656</v>
      </c>
      <c r="AS9" s="6">
        <v>-3.0194196059501914</v>
      </c>
      <c r="AT9" s="6">
        <v>-235.0623038888499</v>
      </c>
      <c r="AU9" s="6">
        <v>37.024188654556738</v>
      </c>
      <c r="AV9" s="6">
        <f t="shared" si="1"/>
        <v>2.9853681483387287</v>
      </c>
      <c r="AW9" s="6">
        <f t="shared" si="2"/>
        <v>6.0047877542889196</v>
      </c>
      <c r="AX9" s="6">
        <f t="shared" si="3"/>
        <v>0.62917365814638382</v>
      </c>
      <c r="AY9" s="6">
        <f t="shared" si="4"/>
        <v>0.62917365814638382</v>
      </c>
      <c r="AZ9" s="47">
        <f t="shared" si="5"/>
        <v>3.2637657012293948</v>
      </c>
      <c r="BA9" s="47">
        <f t="shared" si="6"/>
        <v>2.9853681483387287</v>
      </c>
      <c r="BB9" s="47">
        <f t="shared" si="7"/>
        <v>6.0047877542889196</v>
      </c>
      <c r="BC9" s="47">
        <f t="shared" si="8"/>
        <v>0.62917365814638382</v>
      </c>
      <c r="BD9" s="47">
        <f t="shared" si="9"/>
        <v>0.62917365814638382</v>
      </c>
      <c r="BE9" s="40"/>
      <c r="BF9" s="40" t="s">
        <v>152</v>
      </c>
      <c r="BG9">
        <f ca="1">(U11-BG5)</f>
        <v>54.10731408405546</v>
      </c>
      <c r="BH9">
        <f ca="1">(U12 -BH5)</f>
        <v>15.297561971981516</v>
      </c>
      <c r="BO9" s="9">
        <f ca="1">U5-BG5</f>
        <v>68.540802082017592</v>
      </c>
      <c r="BP9" s="9">
        <f ca="1">U6-BH5</f>
        <v>19.37828911393904</v>
      </c>
      <c r="BQ9">
        <f ca="1">SQRT(POWER(BO9,2)+POWER(BP9,2))</f>
        <v>71.227520236420659</v>
      </c>
      <c r="BR9">
        <f ca="1">BO9/BQ9</f>
        <v>0.9622797740889304</v>
      </c>
      <c r="BS9">
        <f ca="1">BP9/BQ9</f>
        <v>0.27206182455345918</v>
      </c>
      <c r="BT9">
        <f ca="1">ATAN2(BR9,BS9)</f>
        <v>0.27553503013981873</v>
      </c>
      <c r="BU9" s="40">
        <f ca="1">BT9-BJ11</f>
        <v>2.0076280637937316E-9</v>
      </c>
    </row>
    <row r="10" spans="1:89" x14ac:dyDescent="0.25">
      <c r="E10">
        <v>0</v>
      </c>
      <c r="F10">
        <f>F9</f>
        <v>16</v>
      </c>
      <c r="G10">
        <f t="shared" si="10"/>
        <v>0</v>
      </c>
      <c r="T10" s="37" t="s">
        <v>99</v>
      </c>
      <c r="U10" s="38">
        <v>-50</v>
      </c>
      <c r="V10" s="17" t="s">
        <v>68</v>
      </c>
      <c r="W10" t="str">
        <f>"+ Compression"</f>
        <v>+ Compression</v>
      </c>
      <c r="AS10" s="6">
        <v>-3.0019663134302483</v>
      </c>
      <c r="AT10" s="6">
        <v>-234.95499708866669</v>
      </c>
      <c r="AU10" s="6">
        <v>36.209175687160297</v>
      </c>
      <c r="AV10" s="6">
        <f t="shared" si="1"/>
        <v>2.9886845043184107</v>
      </c>
      <c r="AW10" s="6">
        <f t="shared" si="2"/>
        <v>5.9906508177486586</v>
      </c>
      <c r="AX10" s="6">
        <f t="shared" si="3"/>
        <v>0.63249001412606587</v>
      </c>
      <c r="AY10" s="6">
        <f t="shared" si="4"/>
        <v>0.63249001412606587</v>
      </c>
      <c r="AZ10" s="47">
        <f t="shared" si="5"/>
        <v>3.2812189937493379</v>
      </c>
      <c r="BA10" s="47">
        <f t="shared" si="6"/>
        <v>2.9886845043184107</v>
      </c>
      <c r="BB10" s="47">
        <f t="shared" si="7"/>
        <v>5.9906508177486586</v>
      </c>
      <c r="BC10" s="47">
        <f t="shared" si="8"/>
        <v>0.63249001412606587</v>
      </c>
      <c r="BD10" s="47">
        <f t="shared" si="9"/>
        <v>0.63249001412606587</v>
      </c>
      <c r="BE10" s="40"/>
      <c r="BF10" s="40" t="s">
        <v>153</v>
      </c>
      <c r="BG10">
        <f ca="1">SQRT(POWER(BG9,2)+POWER(BH9,2))</f>
        <v>56.228256594680595</v>
      </c>
      <c r="BJ10" s="1" t="s">
        <v>159</v>
      </c>
    </row>
    <row r="11" spans="1:89" x14ac:dyDescent="0.25">
      <c r="A11" t="s">
        <v>10</v>
      </c>
      <c r="E11">
        <v>0</v>
      </c>
      <c r="F11">
        <v>0</v>
      </c>
      <c r="G11">
        <f t="shared" si="10"/>
        <v>0</v>
      </c>
      <c r="T11" s="37" t="s">
        <v>100</v>
      </c>
      <c r="U11" s="38">
        <v>-50</v>
      </c>
      <c r="V11" s="17" t="s">
        <v>70</v>
      </c>
      <c r="W11" t="str">
        <f>"+ Puts Top of Section in Compression"</f>
        <v>+ Puts Top of Section in Compression</v>
      </c>
      <c r="AS11" s="6">
        <v>-2.9845130209103052</v>
      </c>
      <c r="AT11" s="6">
        <v>-234.83258396672471</v>
      </c>
      <c r="AU11" s="6">
        <v>35.390154189103882</v>
      </c>
      <c r="AV11" s="6">
        <f t="shared" si="1"/>
        <v>2.9920144999084459</v>
      </c>
      <c r="AW11" s="6">
        <f t="shared" si="2"/>
        <v>5.9765275208187507</v>
      </c>
      <c r="AX11" s="6">
        <f t="shared" si="3"/>
        <v>0.63582000971610109</v>
      </c>
      <c r="AY11" s="6">
        <f t="shared" si="4"/>
        <v>0.63582000971610109</v>
      </c>
      <c r="AZ11" s="47">
        <f t="shared" si="5"/>
        <v>3.298672286269281</v>
      </c>
      <c r="BA11" s="47">
        <f t="shared" si="6"/>
        <v>2.9920144999084459</v>
      </c>
      <c r="BB11" s="47">
        <f t="shared" si="7"/>
        <v>5.9765275208187507</v>
      </c>
      <c r="BC11" s="47">
        <f t="shared" si="8"/>
        <v>0.63582000971610109</v>
      </c>
      <c r="BD11" s="47">
        <f t="shared" si="9"/>
        <v>0.63582000971610109</v>
      </c>
      <c r="BE11" s="40"/>
      <c r="BF11" s="40" t="s">
        <v>154</v>
      </c>
      <c r="BG11">
        <f ca="1">BG9/BG10</f>
        <v>0.96227977463512926</v>
      </c>
      <c r="BH11">
        <f ca="1">BH9/BG10</f>
        <v>0.27206182262155931</v>
      </c>
      <c r="BJ11">
        <f ca="1">ATAN2(BG11,BH11)</f>
        <v>0.27553502813219066</v>
      </c>
      <c r="BO11" s="9"/>
      <c r="BP11" s="9"/>
    </row>
    <row r="12" spans="1:89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7" t="s">
        <v>101</v>
      </c>
      <c r="U12" s="38">
        <v>50</v>
      </c>
      <c r="V12" s="17" t="s">
        <v>70</v>
      </c>
      <c r="W12" t="str">
        <f>"+ Puts Left of Section in Compression"</f>
        <v>+ Puts Left of Section in Compression</v>
      </c>
      <c r="AS12" s="6">
        <v>-2.9670597283903621</v>
      </c>
      <c r="AT12" s="6">
        <v>-234.69475606578163</v>
      </c>
      <c r="AU12" s="6">
        <v>34.566591585481547</v>
      </c>
      <c r="AV12" s="6">
        <f t="shared" si="1"/>
        <v>2.9953607891928709</v>
      </c>
      <c r="AW12" s="6">
        <f t="shared" si="2"/>
        <v>5.962420517583233</v>
      </c>
      <c r="AX12" s="6">
        <f t="shared" si="3"/>
        <v>0.63916629900052602</v>
      </c>
      <c r="AY12" s="6">
        <f t="shared" si="4"/>
        <v>0.63916629900052602</v>
      </c>
      <c r="AZ12" s="47">
        <f t="shared" si="5"/>
        <v>3.3161255787892241</v>
      </c>
      <c r="BA12" s="47">
        <f t="shared" si="6"/>
        <v>2.9953607891928709</v>
      </c>
      <c r="BB12" s="47">
        <f t="shared" si="7"/>
        <v>5.962420517583233</v>
      </c>
      <c r="BC12" s="47">
        <f t="shared" si="8"/>
        <v>0.63916629900052602</v>
      </c>
      <c r="BD12" s="47">
        <f t="shared" si="9"/>
        <v>0.63916629900052602</v>
      </c>
      <c r="BE12" s="40"/>
      <c r="BF12" s="40"/>
      <c r="BV12" t="s">
        <v>161</v>
      </c>
      <c r="BX12" s="1" t="s">
        <v>156</v>
      </c>
      <c r="BY12" s="1" t="s">
        <v>157</v>
      </c>
      <c r="BZ12" s="1" t="s">
        <v>158</v>
      </c>
      <c r="CA12" s="1" t="s">
        <v>159</v>
      </c>
    </row>
    <row r="13" spans="1:89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2.3561944901923448</v>
      </c>
      <c r="V13" s="18" t="s">
        <v>97</v>
      </c>
      <c r="AS13" s="6">
        <v>-2.949606435870419</v>
      </c>
      <c r="AT13" s="6">
        <v>-234.54116318382665</v>
      </c>
      <c r="AU13" s="6">
        <v>33.737943810578827</v>
      </c>
      <c r="AV13" s="6">
        <f t="shared" si="1"/>
        <v>2.9987260867860064</v>
      </c>
      <c r="AW13" s="6">
        <f t="shared" si="2"/>
        <v>5.9483325226564254</v>
      </c>
      <c r="AX13" s="6">
        <f t="shared" si="3"/>
        <v>0.64253159659366155</v>
      </c>
      <c r="AY13" s="6">
        <f t="shared" si="4"/>
        <v>0.64253159659366155</v>
      </c>
      <c r="AZ13" s="47">
        <f t="shared" si="5"/>
        <v>3.3335788713091672</v>
      </c>
      <c r="BA13" s="47">
        <f t="shared" si="6"/>
        <v>2.9987260867860064</v>
      </c>
      <c r="BB13" s="47">
        <f t="shared" si="7"/>
        <v>5.9483325226564254</v>
      </c>
      <c r="BC13" s="47">
        <f t="shared" si="8"/>
        <v>0.64253159659366155</v>
      </c>
      <c r="BD13" s="47">
        <f t="shared" si="9"/>
        <v>0.64253159659366155</v>
      </c>
      <c r="BE13" s="40"/>
      <c r="BF13" s="40"/>
      <c r="BG13" t="s">
        <v>155</v>
      </c>
      <c r="BV13">
        <f ca="1">BG5</f>
        <v>-104.10731408405546</v>
      </c>
      <c r="BW13">
        <f ca="1">BH5</f>
        <v>34.702438028018484</v>
      </c>
      <c r="BX13">
        <f ca="1">SQRT(POWER(BV13,2)+POWER(BW13,2))</f>
        <v>109.73874452938048</v>
      </c>
      <c r="BY13">
        <f ca="1">BV13/BX13</f>
        <v>-0.94868329805051388</v>
      </c>
      <c r="BZ13">
        <f ca="1">BW13/BX13</f>
        <v>0.31622776601683794</v>
      </c>
      <c r="CA13">
        <f ca="1">ATAN2(BY13,BZ13)</f>
        <v>2.819842099193151</v>
      </c>
    </row>
    <row r="14" spans="1:89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70.710678118654755</v>
      </c>
      <c r="V14" s="45" t="s">
        <v>70</v>
      </c>
      <c r="AS14" s="6">
        <v>-2.9321531433504759</v>
      </c>
      <c r="AT14" s="6">
        <v>-234.37141150505136</v>
      </c>
      <c r="AU14" s="6">
        <v>32.903653819346104</v>
      </c>
      <c r="AV14" s="6">
        <f t="shared" si="1"/>
        <v>3.0021131779177059</v>
      </c>
      <c r="AW14" s="6">
        <f t="shared" si="2"/>
        <v>5.9342663212681819</v>
      </c>
      <c r="AX14" s="6">
        <f t="shared" si="3"/>
        <v>0.6459186877253611</v>
      </c>
      <c r="AY14" s="6">
        <f t="shared" si="4"/>
        <v>0.6459186877253611</v>
      </c>
      <c r="AZ14" s="47">
        <f t="shared" si="5"/>
        <v>3.3510321638291103</v>
      </c>
      <c r="BA14" s="47">
        <f t="shared" si="6"/>
        <v>3.0021131779177059</v>
      </c>
      <c r="BB14" s="47">
        <f t="shared" si="7"/>
        <v>5.9342663212681819</v>
      </c>
      <c r="BC14" s="47">
        <f t="shared" si="8"/>
        <v>0.6459186877253611</v>
      </c>
      <c r="BD14" s="47">
        <f t="shared" si="9"/>
        <v>0.6459186877253611</v>
      </c>
      <c r="BE14" s="40"/>
      <c r="BF14" s="40"/>
      <c r="BG14" t="s">
        <v>111</v>
      </c>
      <c r="BH14" s="1" t="s">
        <v>100</v>
      </c>
      <c r="BI14" s="1" t="s">
        <v>101</v>
      </c>
      <c r="BJ14" s="1" t="s">
        <v>156</v>
      </c>
      <c r="BK14" s="1" t="s">
        <v>157</v>
      </c>
      <c r="BL14" s="1" t="s">
        <v>158</v>
      </c>
      <c r="BM14" s="1" t="s">
        <v>159</v>
      </c>
      <c r="BN14" s="1" t="s">
        <v>160</v>
      </c>
      <c r="BO14" s="1"/>
      <c r="BQ14" s="1" t="s">
        <v>156</v>
      </c>
      <c r="BR14" s="1" t="s">
        <v>157</v>
      </c>
      <c r="BS14" s="1" t="s">
        <v>158</v>
      </c>
      <c r="BT14" s="1" t="s">
        <v>159</v>
      </c>
      <c r="BV14" s="1"/>
      <c r="BW14" s="1"/>
      <c r="BX14" s="1"/>
      <c r="BY14" s="1"/>
      <c r="BZ14" s="1"/>
    </row>
    <row r="15" spans="1:89" x14ac:dyDescent="0.25">
      <c r="A15">
        <v>1</v>
      </c>
      <c r="B15" s="20">
        <v>0</v>
      </c>
      <c r="C15" s="6">
        <f ca="1">OFFSET($G$14,MATCH(B15,$G$14:$G$29,0)-1,2)</f>
        <v>0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 t="e">
        <f t="shared" ref="K15:K24" si="12">IF($B15=0,NA(),D15)</f>
        <v>#N/A</v>
      </c>
      <c r="L15" s="1" t="e">
        <f t="shared" ref="L15:L24" si="13">IF($B15=0,NA(),E15)</f>
        <v>#N/A</v>
      </c>
      <c r="T15" s="39" t="s">
        <v>103</v>
      </c>
      <c r="U15" s="6">
        <f>SQRT(POWER(U12,2)+POWER(U11,2)+POWER(U10,2))</f>
        <v>86.602540378443862</v>
      </c>
      <c r="AS15" s="6">
        <v>-2.9146998508305328</v>
      </c>
      <c r="AT15" s="6">
        <v>-234.18506141016985</v>
      </c>
      <c r="AU15" s="6">
        <v>32.063150027336789</v>
      </c>
      <c r="AV15" s="6">
        <f t="shared" si="1"/>
        <v>3.0055249290745536</v>
      </c>
      <c r="AW15" s="6">
        <f t="shared" si="2"/>
        <v>5.9202247799050864</v>
      </c>
      <c r="AX15" s="6">
        <f t="shared" si="3"/>
        <v>0.64933043888220876</v>
      </c>
      <c r="AY15" s="6">
        <f t="shared" si="4"/>
        <v>0.64933043888220876</v>
      </c>
      <c r="AZ15" s="47">
        <f t="shared" si="5"/>
        <v>3.3684854563490534</v>
      </c>
      <c r="BA15" s="47">
        <f t="shared" si="6"/>
        <v>3.0055249290745536</v>
      </c>
      <c r="BB15" s="47">
        <f t="shared" si="7"/>
        <v>5.9202247799050864</v>
      </c>
      <c r="BC15" s="47">
        <f t="shared" si="8"/>
        <v>0.64933043888220876</v>
      </c>
      <c r="BD15" s="47">
        <f t="shared" si="9"/>
        <v>0.64933043888220876</v>
      </c>
      <c r="BE15" s="40"/>
      <c r="BF15" s="40"/>
      <c r="BG15" s="6">
        <f>AS2</f>
        <v>-3.1415926535897931</v>
      </c>
      <c r="BH15" s="9">
        <f ca="1">AT2-$BG$5</f>
        <v>-131.30098511316601</v>
      </c>
      <c r="BI15" s="9">
        <f ca="1">AU2-$BH$5</f>
        <v>7.9575619719814981</v>
      </c>
      <c r="BJ15">
        <f ca="1">SQRT(POWER(BH15,2)+POWER(BI15,2))</f>
        <v>131.54190010877053</v>
      </c>
      <c r="BK15" s="6">
        <f t="shared" ref="BK15" ca="1" si="14">BH15/BJ15</f>
        <v>-0.99816853036632958</v>
      </c>
      <c r="BL15" s="6">
        <f t="shared" ref="BL15" ca="1" si="15">BI15/BJ15</f>
        <v>6.0494503769532589E-2</v>
      </c>
      <c r="BM15" s="6">
        <f t="shared" ref="BM15" ca="1" si="16">ATAN2(BK15,BL15)</f>
        <v>3.0810611914613788</v>
      </c>
      <c r="BN15" s="6">
        <f ca="1">BM15-$BJ$11</f>
        <v>2.8055261633291879</v>
      </c>
      <c r="BO15" s="9">
        <f ca="1">BH15+BG5</f>
        <v>-235.40829919722148</v>
      </c>
      <c r="BP15" s="9">
        <f ca="1">BI15+BH5</f>
        <v>42.659999999999982</v>
      </c>
      <c r="BQ15">
        <f ca="1">SQRT(POWER(BO15,2)+POWER(BP15,2))</f>
        <v>239.24243547274079</v>
      </c>
      <c r="BR15">
        <f ca="1">BO15/BQ15</f>
        <v>-0.98397384532579646</v>
      </c>
      <c r="BS15">
        <f ca="1">BP15/BQ15</f>
        <v>0.17831284786791368</v>
      </c>
      <c r="BT15">
        <f ca="1">ATAN2(BR15,BS15)</f>
        <v>2.9623211007271268</v>
      </c>
      <c r="BV15" s="9" t="s">
        <v>162</v>
      </c>
      <c r="BW15" s="9"/>
      <c r="BX15" s="1" t="s">
        <v>156</v>
      </c>
      <c r="BY15" s="1" t="s">
        <v>157</v>
      </c>
      <c r="BZ15" s="1" t="s">
        <v>158</v>
      </c>
      <c r="CA15" s="1" t="s">
        <v>159</v>
      </c>
    </row>
    <row r="16" spans="1:89" x14ac:dyDescent="0.25">
      <c r="A16">
        <v>2</v>
      </c>
      <c r="B16" s="20">
        <v>0</v>
      </c>
      <c r="C16" s="6">
        <f t="shared" ref="C16:C24" ca="1" si="17">OFFSET($G$14,MATCH(B16,$G$14:$G$29,0)-1,2)</f>
        <v>0</v>
      </c>
      <c r="D16" s="2">
        <v>10</v>
      </c>
      <c r="E16" s="2">
        <v>2</v>
      </c>
      <c r="G16" s="1">
        <v>4</v>
      </c>
      <c r="H16" s="6">
        <v>0.5</v>
      </c>
      <c r="I16" s="6">
        <v>0.2</v>
      </c>
      <c r="K16" s="1" t="e">
        <f t="shared" si="12"/>
        <v>#N/A</v>
      </c>
      <c r="L16" s="1" t="e">
        <f t="shared" si="13"/>
        <v>#N/A</v>
      </c>
      <c r="T16" s="39" t="s">
        <v>104</v>
      </c>
      <c r="U16" s="41">
        <f>U10/U15</f>
        <v>-0.57735026918962573</v>
      </c>
      <c r="V16" s="41">
        <f>U11/U15</f>
        <v>-0.57735026918962573</v>
      </c>
      <c r="W16" s="41">
        <f>U12/U15</f>
        <v>0.57735026918962573</v>
      </c>
      <c r="X16" s="40"/>
      <c r="AS16" s="6">
        <v>-2.8972465583105897</v>
      </c>
      <c r="AT16" s="6">
        <v>-233.98162500444846</v>
      </c>
      <c r="AU16" s="6">
        <v>31.215844669498154</v>
      </c>
      <c r="AV16" s="6">
        <f t="shared" si="1"/>
        <v>3.0089642993323515</v>
      </c>
      <c r="AW16" s="6">
        <f t="shared" si="2"/>
        <v>5.9062108576429413</v>
      </c>
      <c r="AX16" s="6">
        <f t="shared" si="3"/>
        <v>0.65276980914000671</v>
      </c>
      <c r="AY16" s="6">
        <f t="shared" si="4"/>
        <v>0.65276980914000671</v>
      </c>
      <c r="AZ16" s="47">
        <f t="shared" si="5"/>
        <v>3.3859387488689965</v>
      </c>
      <c r="BA16" s="47">
        <f t="shared" si="6"/>
        <v>3.0089642993323515</v>
      </c>
      <c r="BB16" s="47">
        <f t="shared" si="7"/>
        <v>5.9062108576429413</v>
      </c>
      <c r="BC16" s="47">
        <f t="shared" si="8"/>
        <v>0.65276980914000671</v>
      </c>
      <c r="BD16" s="47">
        <f t="shared" si="9"/>
        <v>0.65276980914000671</v>
      </c>
      <c r="BE16" s="40"/>
      <c r="BF16" s="40"/>
      <c r="BG16" s="6">
        <f t="shared" ref="BG16:BG79" si="18">AS3</f>
        <v>-3.12413936106985</v>
      </c>
      <c r="BH16" s="9">
        <f t="shared" ref="BH16:BH79" ca="1" si="19">AT3-$BG$5</f>
        <v>-131.29399272843358</v>
      </c>
      <c r="BI16" s="9">
        <f t="shared" ref="BI16:BI79" ca="1" si="20">AU3-$BH$5</f>
        <v>7.1563744917763259</v>
      </c>
      <c r="BJ16">
        <f t="shared" ref="BJ16:BJ79" ca="1" si="21">SQRT(POWER(BH16,2)+POWER(BI16,2))</f>
        <v>131.488882505102</v>
      </c>
      <c r="BK16" s="6">
        <f t="shared" ref="BK16:BK79" ca="1" si="22">BH16/BJ16</f>
        <v>-0.99851782315770421</v>
      </c>
      <c r="BL16" s="6">
        <f t="shared" ref="BL16:BL79" ca="1" si="23">BI16/BJ16</f>
        <v>5.4425700146159856E-2</v>
      </c>
      <c r="BM16" s="6">
        <f t="shared" ref="BM16:BM79" ca="1" si="24">ATAN2(BK16,BL16)</f>
        <v>3.0871400479873725</v>
      </c>
      <c r="BN16" s="6">
        <f t="shared" ref="BN16:BN79" ca="1" si="25">BM16-$BJ$11</f>
        <v>2.8116050198551816</v>
      </c>
      <c r="BO16" s="9"/>
      <c r="BV16">
        <f ca="1">BG9+BV13</f>
        <v>-50</v>
      </c>
      <c r="BW16">
        <f ca="1">BW13+BH9</f>
        <v>50</v>
      </c>
      <c r="BX16">
        <f ca="1">SQRT(POWER(BV16,2)+POWER(BW16,2))</f>
        <v>70.710678118654755</v>
      </c>
      <c r="BY16">
        <f ca="1">BV16/BX16</f>
        <v>-0.70710678118654746</v>
      </c>
      <c r="BZ16">
        <f ca="1">BW16/BX16</f>
        <v>0.70710678118654746</v>
      </c>
      <c r="CA16">
        <f ca="1">ATAN2(BY16,BZ16)</f>
        <v>2.3561944901923448</v>
      </c>
    </row>
    <row r="17" spans="1:72" x14ac:dyDescent="0.25">
      <c r="A17">
        <v>3</v>
      </c>
      <c r="B17" s="20">
        <v>0</v>
      </c>
      <c r="C17" s="6">
        <f t="shared" ca="1" si="17"/>
        <v>0</v>
      </c>
      <c r="D17" s="2">
        <v>2</v>
      </c>
      <c r="E17" s="2">
        <v>22</v>
      </c>
      <c r="G17" s="1">
        <v>5</v>
      </c>
      <c r="H17" s="6">
        <v>0.625</v>
      </c>
      <c r="I17" s="6">
        <v>0.31</v>
      </c>
      <c r="K17" s="1" t="e">
        <f t="shared" si="12"/>
        <v>#N/A</v>
      </c>
      <c r="L17" s="1" t="e">
        <f t="shared" si="13"/>
        <v>#N/A</v>
      </c>
      <c r="AS17" s="6">
        <v>-2.8797932657906467</v>
      </c>
      <c r="AT17" s="6">
        <v>-233.76056333983777</v>
      </c>
      <c r="AU17" s="6">
        <v>30.361132067411592</v>
      </c>
      <c r="AV17" s="6">
        <f t="shared" si="1"/>
        <v>3.0124343524871398</v>
      </c>
      <c r="AW17" s="6">
        <f t="shared" si="2"/>
        <v>5.8922276182777864</v>
      </c>
      <c r="AX17" s="6">
        <f t="shared" si="3"/>
        <v>0.65623986229479492</v>
      </c>
      <c r="AY17" s="6">
        <f t="shared" si="4"/>
        <v>0.65623986229479492</v>
      </c>
      <c r="AZ17" s="47">
        <f t="shared" si="5"/>
        <v>3.4033920413889396</v>
      </c>
      <c r="BA17" s="47">
        <f t="shared" si="6"/>
        <v>3.0124343524871398</v>
      </c>
      <c r="BB17" s="47">
        <f t="shared" si="7"/>
        <v>5.8922276182777864</v>
      </c>
      <c r="BC17" s="47">
        <f t="shared" si="8"/>
        <v>0.65623986229479492</v>
      </c>
      <c r="BD17" s="47">
        <f t="shared" si="9"/>
        <v>0.65623986229479492</v>
      </c>
      <c r="BE17" s="40"/>
      <c r="BF17" s="40"/>
      <c r="BG17" s="6">
        <f t="shared" si="18"/>
        <v>-3.1066860685499069</v>
      </c>
      <c r="BH17" s="9">
        <f t="shared" ca="1" si="19"/>
        <v>-131.272998512127</v>
      </c>
      <c r="BI17" s="9">
        <f t="shared" ca="1" si="20"/>
        <v>6.3546986523103399</v>
      </c>
      <c r="BJ17">
        <f t="shared" ca="1" si="21"/>
        <v>131.42671849105332</v>
      </c>
      <c r="BK17" s="6">
        <f t="shared" ca="1" si="22"/>
        <v>-0.99883037497480553</v>
      </c>
      <c r="BL17" s="6">
        <f t="shared" ca="1" si="23"/>
        <v>4.8351649689426936E-2</v>
      </c>
      <c r="BM17" s="6">
        <f t="shared" ca="1" si="24"/>
        <v>3.093222143976627</v>
      </c>
      <c r="BN17" s="6">
        <f t="shared" ca="1" si="25"/>
        <v>2.8176871158444365</v>
      </c>
      <c r="BO17" s="9"/>
      <c r="BT17" s="40"/>
    </row>
    <row r="18" spans="1:72" x14ac:dyDescent="0.25">
      <c r="A18">
        <v>4</v>
      </c>
      <c r="B18" s="20">
        <v>8</v>
      </c>
      <c r="C18" s="6">
        <f t="shared" ca="1" si="17"/>
        <v>0.79</v>
      </c>
      <c r="D18" s="2">
        <v>10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2"/>
        <v>10</v>
      </c>
      <c r="L18" s="1">
        <f t="shared" si="13"/>
        <v>22</v>
      </c>
      <c r="T18" s="8" t="s">
        <v>105</v>
      </c>
      <c r="U18" s="6">
        <f ca="1">SQRT(POWER(U6,2)+POWER(U5,2)+POWER(U4,2))</f>
        <v>81.79059740820766</v>
      </c>
      <c r="AS18" s="6">
        <v>-2.8623399732707036</v>
      </c>
      <c r="AT18" s="6">
        <v>-233.52128327406842</v>
      </c>
      <c r="AU18" s="6">
        <v>29.498386793670875</v>
      </c>
      <c r="AV18" s="6">
        <f t="shared" si="1"/>
        <v>3.0159382700882476</v>
      </c>
      <c r="AW18" s="6">
        <f t="shared" si="2"/>
        <v>5.8782782433589507</v>
      </c>
      <c r="AX18" s="6">
        <f t="shared" si="3"/>
        <v>0.65974377989590272</v>
      </c>
      <c r="AY18" s="6">
        <f t="shared" si="4"/>
        <v>0.65974377989590272</v>
      </c>
      <c r="AZ18" s="47">
        <f t="shared" si="5"/>
        <v>3.4208453339088827</v>
      </c>
      <c r="BA18" s="47">
        <f t="shared" si="6"/>
        <v>3.0159382700882476</v>
      </c>
      <c r="BB18" s="47">
        <f t="shared" si="7"/>
        <v>5.8782782433589507</v>
      </c>
      <c r="BC18" s="47">
        <f t="shared" si="8"/>
        <v>0.65974377989590272</v>
      </c>
      <c r="BD18" s="47">
        <f t="shared" si="9"/>
        <v>0.65974377989590272</v>
      </c>
      <c r="BE18" s="40"/>
      <c r="BF18" s="40"/>
      <c r="BG18" s="6">
        <f t="shared" si="18"/>
        <v>-3.0892327760299638</v>
      </c>
      <c r="BH18" s="9">
        <f t="shared" ca="1" si="19"/>
        <v>-131.23795121025859</v>
      </c>
      <c r="BI18" s="9">
        <f t="shared" ca="1" si="20"/>
        <v>5.5520449028899463</v>
      </c>
      <c r="BJ18">
        <f t="shared" ca="1" si="21"/>
        <v>131.35533883504667</v>
      </c>
      <c r="BK18" s="6">
        <f t="shared" ca="1" si="22"/>
        <v>-0.99910633533566917</v>
      </c>
      <c r="BL18" s="6">
        <f t="shared" ca="1" si="23"/>
        <v>4.2267371483561016E-2</v>
      </c>
      <c r="BM18" s="6">
        <f t="shared" ca="1" si="24"/>
        <v>3.0993126866515555</v>
      </c>
      <c r="BN18" s="6">
        <f t="shared" ca="1" si="25"/>
        <v>2.823777658519365</v>
      </c>
      <c r="BO18" s="9"/>
      <c r="BT18" s="40"/>
    </row>
    <row r="19" spans="1:72" x14ac:dyDescent="0.25">
      <c r="A19">
        <v>5</v>
      </c>
      <c r="B19" s="20">
        <v>8</v>
      </c>
      <c r="C19" s="6">
        <f t="shared" ca="1" si="17"/>
        <v>0.79</v>
      </c>
      <c r="D19" s="2">
        <v>8</v>
      </c>
      <c r="E19" s="2">
        <v>22</v>
      </c>
      <c r="G19" s="1">
        <v>7</v>
      </c>
      <c r="H19" s="6">
        <v>0.875</v>
      </c>
      <c r="I19" s="6">
        <v>0.6</v>
      </c>
      <c r="K19" s="1">
        <f t="shared" si="12"/>
        <v>8</v>
      </c>
      <c r="L19" s="1">
        <f t="shared" si="13"/>
        <v>22</v>
      </c>
      <c r="T19" s="8" t="s">
        <v>106</v>
      </c>
      <c r="U19" s="41">
        <f ca="1">U4/U18</f>
        <v>-0.61131721232492098</v>
      </c>
      <c r="V19" s="41">
        <f ca="1">U5/U18</f>
        <v>-0.43484841936695257</v>
      </c>
      <c r="W19" s="41">
        <f ca="1">U6/U18</f>
        <v>0.66120958711240008</v>
      </c>
      <c r="X19" s="40"/>
      <c r="AS19" s="6">
        <v>-2.8448866807507605</v>
      </c>
      <c r="AT19" s="6">
        <v>-233.2631340247101</v>
      </c>
      <c r="AU19" s="6">
        <v>28.626961721047653</v>
      </c>
      <c r="AV19" s="6">
        <f t="shared" si="1"/>
        <v>3.0194793655563945</v>
      </c>
      <c r="AW19" s="6">
        <f t="shared" si="2"/>
        <v>5.864366046307155</v>
      </c>
      <c r="AX19" s="6">
        <f t="shared" si="3"/>
        <v>0.66328487536404968</v>
      </c>
      <c r="AY19" s="6">
        <f t="shared" si="4"/>
        <v>0.66328487536404968</v>
      </c>
      <c r="AZ19" s="47">
        <f t="shared" si="5"/>
        <v>3.4382986264288258</v>
      </c>
      <c r="BA19" s="47">
        <f t="shared" si="6"/>
        <v>3.0194793655563945</v>
      </c>
      <c r="BB19" s="47">
        <f t="shared" si="7"/>
        <v>5.864366046307155</v>
      </c>
      <c r="BC19" s="47">
        <f t="shared" si="8"/>
        <v>0.66328487536404968</v>
      </c>
      <c r="BD19" s="47">
        <f t="shared" si="9"/>
        <v>0.66328487536404968</v>
      </c>
      <c r="BE19" s="40"/>
      <c r="BF19" s="40"/>
      <c r="BG19" s="6">
        <f t="shared" si="18"/>
        <v>-3.0717794835100207</v>
      </c>
      <c r="BH19" s="9">
        <f t="shared" ca="1" si="19"/>
        <v>-131.1887651468445</v>
      </c>
      <c r="BI19" s="9">
        <f t="shared" ca="1" si="20"/>
        <v>4.7479213037744259</v>
      </c>
      <c r="BJ19">
        <f t="shared" ca="1" si="21"/>
        <v>131.27465428429343</v>
      </c>
      <c r="BK19" s="6">
        <f t="shared" ca="1" si="22"/>
        <v>-0.99934572947141098</v>
      </c>
      <c r="BL19" s="6">
        <f t="shared" ca="1" si="23"/>
        <v>3.6167844658666133E-2</v>
      </c>
      <c r="BM19" s="6">
        <f t="shared" ca="1" si="24"/>
        <v>3.1054169190146181</v>
      </c>
      <c r="BN19" s="6">
        <f t="shared" ca="1" si="25"/>
        <v>2.8298818908824277</v>
      </c>
      <c r="BO19" s="9"/>
      <c r="BT19" s="40"/>
    </row>
    <row r="20" spans="1:72" x14ac:dyDescent="0.25">
      <c r="A20">
        <v>6</v>
      </c>
      <c r="B20" s="20">
        <v>8</v>
      </c>
      <c r="C20" s="6">
        <f t="shared" ca="1" si="17"/>
        <v>0.79</v>
      </c>
      <c r="D20" s="2">
        <v>10</v>
      </c>
      <c r="E20" s="2">
        <v>20</v>
      </c>
      <c r="G20" s="1">
        <v>8</v>
      </c>
      <c r="H20" s="6">
        <v>1</v>
      </c>
      <c r="I20" s="6">
        <v>0.79</v>
      </c>
      <c r="K20" s="1">
        <f t="shared" si="12"/>
        <v>10</v>
      </c>
      <c r="L20" s="1">
        <f t="shared" si="13"/>
        <v>20</v>
      </c>
      <c r="AS20" s="6">
        <v>-2.8274333882308174</v>
      </c>
      <c r="AT20" s="6">
        <v>-232.98540324222293</v>
      </c>
      <c r="AU20" s="6">
        <v>27.746185942909776</v>
      </c>
      <c r="AV20" s="6">
        <f t="shared" si="1"/>
        <v>3.0230610994610556</v>
      </c>
      <c r="AW20" s="6">
        <f t="shared" si="2"/>
        <v>5.850494487691873</v>
      </c>
      <c r="AX20" s="6">
        <f t="shared" si="3"/>
        <v>0.66686660926871077</v>
      </c>
      <c r="AY20" s="6">
        <f t="shared" si="4"/>
        <v>0.66686660926871077</v>
      </c>
      <c r="AZ20" s="47">
        <f t="shared" si="5"/>
        <v>3.4557519189487689</v>
      </c>
      <c r="BA20" s="47">
        <f t="shared" si="6"/>
        <v>3.0230610994610556</v>
      </c>
      <c r="BB20" s="47">
        <f t="shared" si="7"/>
        <v>5.850494487691873</v>
      </c>
      <c r="BC20" s="47">
        <f t="shared" si="8"/>
        <v>0.66686660926871077</v>
      </c>
      <c r="BD20" s="47">
        <f t="shared" si="9"/>
        <v>0.66686660926871077</v>
      </c>
      <c r="BE20" s="40"/>
      <c r="BF20" s="40"/>
      <c r="BG20" s="6">
        <f t="shared" si="18"/>
        <v>-3.0543261909900776</v>
      </c>
      <c r="BH20" s="9">
        <f t="shared" ca="1" si="19"/>
        <v>-131.12531971308323</v>
      </c>
      <c r="BI20" s="9">
        <f t="shared" ca="1" si="20"/>
        <v>3.9418323161416495</v>
      </c>
      <c r="BJ20">
        <f t="shared" ca="1" si="21"/>
        <v>131.18455515748366</v>
      </c>
      <c r="BK20" s="6">
        <f t="shared" ca="1" si="22"/>
        <v>-0.99954845717676655</v>
      </c>
      <c r="BL20" s="6">
        <f t="shared" ca="1" si="23"/>
        <v>3.0047990873693798E-2</v>
      </c>
      <c r="BM20" s="6">
        <f t="shared" ca="1" si="24"/>
        <v>3.1115401392475288</v>
      </c>
      <c r="BN20" s="6">
        <f t="shared" ca="1" si="25"/>
        <v>2.8360051111153384</v>
      </c>
      <c r="BO20" s="9"/>
      <c r="BT20" s="40"/>
    </row>
    <row r="21" spans="1:72" x14ac:dyDescent="0.25">
      <c r="A21">
        <v>7</v>
      </c>
      <c r="B21" s="20">
        <v>8</v>
      </c>
      <c r="C21" s="6">
        <f t="shared" ca="1" si="17"/>
        <v>0.79</v>
      </c>
      <c r="D21" s="2">
        <v>8</v>
      </c>
      <c r="E21" s="2">
        <v>20</v>
      </c>
      <c r="G21" s="1">
        <v>9</v>
      </c>
      <c r="H21" s="6">
        <v>1.1279999999999999</v>
      </c>
      <c r="I21" s="6">
        <v>1</v>
      </c>
      <c r="K21" s="1">
        <f t="shared" si="12"/>
        <v>8</v>
      </c>
      <c r="L21" s="1">
        <f t="shared" si="13"/>
        <v>20</v>
      </c>
      <c r="T21" s="8" t="s">
        <v>107</v>
      </c>
      <c r="U21" s="41">
        <f ca="1">U16-U19</f>
        <v>3.3966943135295247E-2</v>
      </c>
      <c r="V21" s="41">
        <f t="shared" ref="V21:W21" ca="1" si="26">V16-V19</f>
        <v>-0.14250184982267317</v>
      </c>
      <c r="W21" s="41">
        <f t="shared" ca="1" si="26"/>
        <v>-8.3859317922774346E-2</v>
      </c>
      <c r="AS21" s="6">
        <v>-2.8099800957108743</v>
      </c>
      <c r="AT21" s="6">
        <v>-232.68731265407729</v>
      </c>
      <c r="AU21" s="6">
        <v>26.855362550004557</v>
      </c>
      <c r="AV21" s="6">
        <f t="shared" si="1"/>
        <v>3.0266870961812957</v>
      </c>
      <c r="AW21" s="6">
        <f t="shared" si="2"/>
        <v>5.83666719189217</v>
      </c>
      <c r="AX21" s="6">
        <f t="shared" si="3"/>
        <v>0.67049260598895088</v>
      </c>
      <c r="AY21" s="6">
        <f t="shared" si="4"/>
        <v>0.67049260598895088</v>
      </c>
      <c r="AZ21" s="47">
        <f t="shared" si="5"/>
        <v>3.473205211468712</v>
      </c>
      <c r="BA21" s="47">
        <f t="shared" si="6"/>
        <v>3.0266870961812957</v>
      </c>
      <c r="BB21" s="47">
        <f t="shared" si="7"/>
        <v>5.83666719189217</v>
      </c>
      <c r="BC21" s="47">
        <f t="shared" si="8"/>
        <v>0.67049260598895088</v>
      </c>
      <c r="BD21" s="47">
        <f t="shared" si="9"/>
        <v>0.67049260598895088</v>
      </c>
      <c r="BE21" s="40"/>
      <c r="BF21" s="40"/>
      <c r="BG21" s="6">
        <f t="shared" si="18"/>
        <v>-3.0368728984701345</v>
      </c>
      <c r="BH21" s="9">
        <f t="shared" ca="1" si="19"/>
        <v>-131.04745875079186</v>
      </c>
      <c r="BI21" s="9">
        <f t="shared" ca="1" si="20"/>
        <v>3.1332775732870175</v>
      </c>
      <c r="BJ21">
        <f t="shared" ca="1" si="21"/>
        <v>131.08491092948782</v>
      </c>
      <c r="BK21" s="6">
        <f t="shared" ca="1" si="22"/>
        <v>-0.99971429069577578</v>
      </c>
      <c r="BL21" s="6">
        <f t="shared" ca="1" si="23"/>
        <v>2.390265630933255E-2</v>
      </c>
      <c r="BM21" s="6">
        <f t="shared" ca="1" si="24"/>
        <v>3.1176877206165052</v>
      </c>
      <c r="BN21" s="6">
        <f t="shared" ca="1" si="25"/>
        <v>2.8421526924843148</v>
      </c>
      <c r="BO21" s="9"/>
      <c r="BT21" s="40"/>
    </row>
    <row r="22" spans="1:72" x14ac:dyDescent="0.25">
      <c r="A22">
        <v>8</v>
      </c>
      <c r="B22" s="20">
        <v>0</v>
      </c>
      <c r="C22" s="6">
        <f t="shared" ca="1" si="17"/>
        <v>0</v>
      </c>
      <c r="D22" s="2">
        <v>2</v>
      </c>
      <c r="E22" s="2">
        <v>2</v>
      </c>
      <c r="G22" s="1">
        <v>10</v>
      </c>
      <c r="H22" s="6">
        <v>1.27</v>
      </c>
      <c r="I22" s="6">
        <v>1.27</v>
      </c>
      <c r="K22" s="1" t="e">
        <f t="shared" si="12"/>
        <v>#N/A</v>
      </c>
      <c r="L22" s="1" t="e">
        <f t="shared" si="13"/>
        <v>#N/A</v>
      </c>
      <c r="U22" s="1" t="s">
        <v>99</v>
      </c>
      <c r="V22" s="1" t="s">
        <v>100</v>
      </c>
      <c r="W22" s="1" t="s">
        <v>101</v>
      </c>
      <c r="AS22" s="6">
        <v>-2.7925268031909312</v>
      </c>
      <c r="AT22" s="6">
        <v>-232.3680132996125</v>
      </c>
      <c r="AU22" s="6">
        <v>25.95376624718152</v>
      </c>
      <c r="AV22" s="6">
        <f t="shared" si="1"/>
        <v>3.0303611621745299</v>
      </c>
      <c r="AW22" s="6">
        <f t="shared" si="2"/>
        <v>5.822887965365461</v>
      </c>
      <c r="AX22" s="6">
        <f t="shared" si="3"/>
        <v>0.67416667198218505</v>
      </c>
      <c r="AY22" s="6">
        <f t="shared" si="4"/>
        <v>0.67416667198218505</v>
      </c>
      <c r="AZ22" s="47">
        <f t="shared" si="5"/>
        <v>3.4906585039886551</v>
      </c>
      <c r="BA22" s="47">
        <f t="shared" si="6"/>
        <v>3.0303611621745299</v>
      </c>
      <c r="BB22" s="47">
        <f t="shared" si="7"/>
        <v>5.822887965365461</v>
      </c>
      <c r="BC22" s="47">
        <f t="shared" si="8"/>
        <v>0.67416667198218505</v>
      </c>
      <c r="BD22" s="47">
        <f t="shared" si="9"/>
        <v>0.67416667198218505</v>
      </c>
      <c r="BE22" s="40"/>
      <c r="BF22" s="40"/>
      <c r="BG22" s="6">
        <f t="shared" si="18"/>
        <v>-3.0194196059501914</v>
      </c>
      <c r="BH22" s="9">
        <f t="shared" ca="1" si="19"/>
        <v>-130.95498980479442</v>
      </c>
      <c r="BI22" s="9">
        <f t="shared" ca="1" si="20"/>
        <v>2.3217506265382539</v>
      </c>
      <c r="BJ22">
        <f t="shared" ca="1" si="21"/>
        <v>130.97556978591712</v>
      </c>
      <c r="BK22" s="6">
        <f t="shared" ca="1" si="22"/>
        <v>-0.99984287160455698</v>
      </c>
      <c r="BL22" s="6">
        <f t="shared" ca="1" si="23"/>
        <v>1.7726593061081652E-2</v>
      </c>
      <c r="BM22" s="6">
        <f t="shared" ca="1" si="24"/>
        <v>3.1238651320199784</v>
      </c>
      <c r="BN22" s="6">
        <f t="shared" ca="1" si="25"/>
        <v>2.848330103887788</v>
      </c>
      <c r="BO22" s="9"/>
      <c r="BT22" s="40"/>
    </row>
    <row r="23" spans="1:72" x14ac:dyDescent="0.25">
      <c r="A23">
        <v>9</v>
      </c>
      <c r="B23" s="20">
        <v>0</v>
      </c>
      <c r="C23" s="6">
        <f t="shared" ca="1" si="17"/>
        <v>0</v>
      </c>
      <c r="D23" s="2">
        <v>6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12"/>
        <v>#N/A</v>
      </c>
      <c r="L23" s="1" t="e">
        <f t="shared" si="13"/>
        <v>#N/A</v>
      </c>
      <c r="T23" s="8" t="s">
        <v>108</v>
      </c>
      <c r="U23" s="41">
        <f ca="1">SQRT(POWER(U21,2)+POWER(V21,2)+POWER(W21,2))</f>
        <v>0.16879844676807018</v>
      </c>
      <c r="V23" t="str">
        <f ca="1">IF(ABS(U23)&lt;=L1,"","NG")</f>
        <v>NG</v>
      </c>
      <c r="AS23" s="6">
        <v>-2.7750735106709881</v>
      </c>
      <c r="AT23" s="6">
        <v>-232.02658004449782</v>
      </c>
      <c r="AU23" s="6">
        <v>25.040640791874623</v>
      </c>
      <c r="AV23" s="6">
        <f t="shared" si="1"/>
        <v>3.0340873059481615</v>
      </c>
      <c r="AW23" s="6">
        <f t="shared" si="2"/>
        <v>5.8091608166191495</v>
      </c>
      <c r="AX23" s="6">
        <f t="shared" si="3"/>
        <v>0.67789281575581661</v>
      </c>
      <c r="AY23" s="6">
        <f t="shared" si="4"/>
        <v>0.67789281575581661</v>
      </c>
      <c r="AZ23" s="47">
        <f t="shared" si="5"/>
        <v>3.5081117965085982</v>
      </c>
      <c r="BA23" s="47">
        <f t="shared" si="6"/>
        <v>3.0340873059481615</v>
      </c>
      <c r="BB23" s="47">
        <f t="shared" si="7"/>
        <v>5.8091608166191495</v>
      </c>
      <c r="BC23" s="47">
        <f t="shared" si="8"/>
        <v>0.67789281575581661</v>
      </c>
      <c r="BD23" s="47">
        <f t="shared" si="9"/>
        <v>0.67789281575581661</v>
      </c>
      <c r="BE23" s="40"/>
      <c r="BF23" s="40"/>
      <c r="BG23" s="6">
        <f t="shared" si="18"/>
        <v>-3.0019663134302483</v>
      </c>
      <c r="BH23" s="9">
        <f t="shared" ca="1" si="19"/>
        <v>-130.84768300461121</v>
      </c>
      <c r="BI23" s="9">
        <f t="shared" ca="1" si="20"/>
        <v>1.5067376591418125</v>
      </c>
      <c r="BJ23">
        <f t="shared" ca="1" si="21"/>
        <v>130.85635791221111</v>
      </c>
      <c r="BK23" s="6">
        <f t="shared" ca="1" si="22"/>
        <v>-0.99993370664033221</v>
      </c>
      <c r="BL23" s="6">
        <f t="shared" ca="1" si="23"/>
        <v>1.1514439826856959E-2</v>
      </c>
      <c r="BM23" s="6">
        <f t="shared" ca="1" si="24"/>
        <v>3.1300779593125552</v>
      </c>
      <c r="BN23" s="6">
        <f t="shared" ca="1" si="25"/>
        <v>2.8545429311803643</v>
      </c>
      <c r="BO23" s="9"/>
      <c r="BT23" s="40"/>
    </row>
    <row r="24" spans="1:72" ht="15.75" thickBot="1" x14ac:dyDescent="0.3">
      <c r="A24">
        <v>10</v>
      </c>
      <c r="B24" s="20">
        <v>0</v>
      </c>
      <c r="C24" s="11">
        <f t="shared" ca="1" si="17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12"/>
        <v>#N/A</v>
      </c>
      <c r="L24" s="1" t="e">
        <f t="shared" si="13"/>
        <v>#N/A</v>
      </c>
      <c r="AS24" s="6">
        <v>-2.757620218151045</v>
      </c>
      <c r="AT24" s="6">
        <v>-231.66200566301825</v>
      </c>
      <c r="AU24" s="6">
        <v>24.115196234166536</v>
      </c>
      <c r="AV24" s="6">
        <f t="shared" si="1"/>
        <v>3.0378697601621916</v>
      </c>
      <c r="AW24" s="6">
        <f t="shared" si="2"/>
        <v>5.7954899783132365</v>
      </c>
      <c r="AX24" s="6">
        <f t="shared" si="3"/>
        <v>0.68167526996984673</v>
      </c>
      <c r="AY24" s="6">
        <f t="shared" si="4"/>
        <v>0.68167526996984673</v>
      </c>
      <c r="AZ24" s="47">
        <f t="shared" si="5"/>
        <v>3.5255650890285413</v>
      </c>
      <c r="BA24" s="47">
        <f t="shared" si="6"/>
        <v>3.0378697601621916</v>
      </c>
      <c r="BB24" s="47">
        <f t="shared" si="7"/>
        <v>5.7954899783132365</v>
      </c>
      <c r="BC24" s="47">
        <f t="shared" si="8"/>
        <v>0.68167526996984673</v>
      </c>
      <c r="BD24" s="47">
        <f t="shared" si="9"/>
        <v>0.68167526996984673</v>
      </c>
      <c r="BE24" s="40"/>
      <c r="BF24" s="40"/>
      <c r="BG24" s="6">
        <f t="shared" si="18"/>
        <v>-2.9845130209103052</v>
      </c>
      <c r="BH24" s="9">
        <f t="shared" ca="1" si="19"/>
        <v>-130.72526988266924</v>
      </c>
      <c r="BI24" s="9">
        <f t="shared" ca="1" si="20"/>
        <v>0.68771616108539746</v>
      </c>
      <c r="BJ24">
        <f t="shared" ca="1" si="21"/>
        <v>130.72707882996136</v>
      </c>
      <c r="BK24" s="6">
        <f t="shared" ca="1" si="22"/>
        <v>-0.99998616241326355</v>
      </c>
      <c r="BL24" s="6">
        <f t="shared" ca="1" si="23"/>
        <v>5.2607016636539395E-3</v>
      </c>
      <c r="BM24" s="6">
        <f t="shared" ca="1" si="24"/>
        <v>3.1363319276608665</v>
      </c>
      <c r="BN24" s="6">
        <f t="shared" ca="1" si="25"/>
        <v>2.8607968995286761</v>
      </c>
      <c r="BO24" s="9"/>
      <c r="BT24" s="40"/>
    </row>
    <row r="25" spans="1:72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 s="6">
        <v>-2.7401669256311019</v>
      </c>
      <c r="AT25" s="6">
        <v>-231.27319413816298</v>
      </c>
      <c r="AU25" s="6">
        <v>23.176605935979399</v>
      </c>
      <c r="AV25" s="6">
        <f t="shared" si="1"/>
        <v>3.0417130060171313</v>
      </c>
      <c r="AW25" s="6">
        <f t="shared" si="2"/>
        <v>5.7818799316482332</v>
      </c>
      <c r="AX25" s="6">
        <f t="shared" si="3"/>
        <v>0.68551851582478651</v>
      </c>
      <c r="AY25" s="6">
        <f t="shared" si="4"/>
        <v>0.68551851582478651</v>
      </c>
      <c r="AZ25" s="47">
        <f t="shared" si="5"/>
        <v>3.5430183815484844</v>
      </c>
      <c r="BA25" s="47">
        <f t="shared" si="6"/>
        <v>3.0417130060171313</v>
      </c>
      <c r="BB25" s="47">
        <f t="shared" si="7"/>
        <v>5.7818799316482332</v>
      </c>
      <c r="BC25" s="47">
        <f t="shared" si="8"/>
        <v>0.68551851582478651</v>
      </c>
      <c r="BD25" s="47">
        <f t="shared" si="9"/>
        <v>0.68551851582478651</v>
      </c>
      <c r="BE25" s="40"/>
      <c r="BF25" s="40"/>
      <c r="BG25" s="6">
        <f t="shared" si="18"/>
        <v>-2.9670597283903621</v>
      </c>
      <c r="BH25" s="9">
        <f t="shared" ca="1" si="19"/>
        <v>-130.58744198172616</v>
      </c>
      <c r="BI25" s="9">
        <f t="shared" ca="1" si="20"/>
        <v>-0.13584644253693767</v>
      </c>
      <c r="BJ25">
        <f t="shared" ca="1" si="21"/>
        <v>130.5875126403235</v>
      </c>
      <c r="BK25" s="6">
        <f t="shared" ca="1" si="22"/>
        <v>-0.99999945891765674</v>
      </c>
      <c r="BL25" s="6">
        <f t="shared" ca="1" si="23"/>
        <v>-1.0402713076486786E-3</v>
      </c>
      <c r="BM25" s="6">
        <f t="shared" ca="1" si="24"/>
        <v>-3.14055238209452</v>
      </c>
      <c r="BN25" s="6">
        <f t="shared" ca="1" si="25"/>
        <v>-3.4160874102267105</v>
      </c>
      <c r="BO25" s="9"/>
      <c r="BT25" s="40"/>
    </row>
    <row r="26" spans="1:72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 s="6">
        <v>-2.7227136331111588</v>
      </c>
      <c r="AT26" s="6">
        <v>-230.8607206407693</v>
      </c>
      <c r="AU26" s="6">
        <v>22.227994512087193</v>
      </c>
      <c r="AV26" s="6">
        <f t="shared" si="1"/>
        <v>3.0456054011187756</v>
      </c>
      <c r="AW26" s="6">
        <f t="shared" si="2"/>
        <v>5.7683190342299344</v>
      </c>
      <c r="AX26" s="6">
        <f t="shared" si="3"/>
        <v>0.68941091092643081</v>
      </c>
      <c r="AY26" s="6">
        <f t="shared" si="4"/>
        <v>0.68941091092643081</v>
      </c>
      <c r="AZ26" s="47">
        <f t="shared" si="5"/>
        <v>3.5604716740684275</v>
      </c>
      <c r="BA26" s="47">
        <f t="shared" si="6"/>
        <v>3.0456054011187756</v>
      </c>
      <c r="BB26" s="47">
        <f t="shared" si="7"/>
        <v>5.7683190342299344</v>
      </c>
      <c r="BC26" s="47">
        <f t="shared" si="8"/>
        <v>0.68941091092643081</v>
      </c>
      <c r="BD26" s="47">
        <f t="shared" si="9"/>
        <v>0.68941091092643081</v>
      </c>
      <c r="BE26" s="40"/>
      <c r="BF26" s="40"/>
      <c r="BG26" s="6">
        <f t="shared" si="18"/>
        <v>-2.949606435870419</v>
      </c>
      <c r="BH26" s="9">
        <f t="shared" ca="1" si="19"/>
        <v>-130.43384909977118</v>
      </c>
      <c r="BI26" s="9">
        <f t="shared" ca="1" si="20"/>
        <v>-0.96449421743965758</v>
      </c>
      <c r="BJ26">
        <f t="shared" ca="1" si="21"/>
        <v>130.43741503141402</v>
      </c>
      <c r="BK26" s="6">
        <f t="shared" ca="1" si="22"/>
        <v>-0.99997266174247645</v>
      </c>
      <c r="BL26" s="6">
        <f t="shared" ca="1" si="23"/>
        <v>-7.3943064358288051E-3</v>
      </c>
      <c r="BM26" s="6">
        <f t="shared" ca="1" si="24"/>
        <v>-3.1341982797707431</v>
      </c>
      <c r="BN26" s="6">
        <f t="shared" ca="1" si="25"/>
        <v>-3.4097333079029335</v>
      </c>
      <c r="BO26" s="9"/>
      <c r="BT26" s="40"/>
    </row>
    <row r="27" spans="1:72" x14ac:dyDescent="0.25">
      <c r="A27" s="8" t="s">
        <v>15</v>
      </c>
      <c r="B27" s="34">
        <v>1.0099863245265237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 s="6">
        <v>-2.7052603405912157</v>
      </c>
      <c r="AT27" s="6">
        <v>-230.44518310844751</v>
      </c>
      <c r="AU27" s="6">
        <v>21.316020599630342</v>
      </c>
      <c r="AV27" s="6">
        <f t="shared" si="1"/>
        <v>3.0493558085646577</v>
      </c>
      <c r="AW27" s="6">
        <f t="shared" si="2"/>
        <v>5.7546161491558738</v>
      </c>
      <c r="AX27" s="6">
        <f t="shared" si="3"/>
        <v>0.69316131837231287</v>
      </c>
      <c r="AY27" s="6">
        <f t="shared" si="4"/>
        <v>0.69316131837231287</v>
      </c>
      <c r="AZ27" s="47">
        <f t="shared" si="5"/>
        <v>3.5779249665883706</v>
      </c>
      <c r="BA27" s="47">
        <f t="shared" si="6"/>
        <v>3.0493558085646577</v>
      </c>
      <c r="BB27" s="47">
        <f t="shared" si="7"/>
        <v>5.7546161491558738</v>
      </c>
      <c r="BC27" s="47">
        <f t="shared" si="8"/>
        <v>0.69316131837231287</v>
      </c>
      <c r="BD27" s="47">
        <f t="shared" si="9"/>
        <v>0.69316131837231287</v>
      </c>
      <c r="BE27" s="40"/>
      <c r="BF27" s="40"/>
      <c r="BG27" s="6">
        <f t="shared" si="18"/>
        <v>-2.9321531433504759</v>
      </c>
      <c r="BH27" s="9">
        <f t="shared" ca="1" si="19"/>
        <v>-130.26409742099588</v>
      </c>
      <c r="BI27" s="9">
        <f t="shared" ca="1" si="20"/>
        <v>-1.7987842086723802</v>
      </c>
      <c r="BJ27">
        <f t="shared" ca="1" si="21"/>
        <v>130.27651630871955</v>
      </c>
      <c r="BK27" s="6">
        <f t="shared" ca="1" si="22"/>
        <v>-0.99990467285988638</v>
      </c>
      <c r="BL27" s="6">
        <f t="shared" ca="1" si="23"/>
        <v>-1.3807432526133534E-2</v>
      </c>
      <c r="BM27" s="6">
        <f t="shared" ca="1" si="24"/>
        <v>-3.1277847823059108</v>
      </c>
      <c r="BN27" s="6">
        <f t="shared" ca="1" si="25"/>
        <v>-3.4033198104381013</v>
      </c>
      <c r="BO27" s="9"/>
      <c r="BT27" s="40"/>
    </row>
    <row r="28" spans="1:72" x14ac:dyDescent="0.25">
      <c r="A28" s="8" t="s">
        <v>17</v>
      </c>
      <c r="B28" s="34">
        <v>5.5661352806415429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 s="6">
        <v>-2.6878070480712726</v>
      </c>
      <c r="AT28" s="6">
        <v>-230.03234268106553</v>
      </c>
      <c r="AU28" s="6">
        <v>20.450345219804092</v>
      </c>
      <c r="AV28" s="6">
        <f t="shared" si="1"/>
        <v>3.0529237207480047</v>
      </c>
      <c r="AW28" s="6">
        <f t="shared" si="2"/>
        <v>5.7407307688192777</v>
      </c>
      <c r="AX28" s="6">
        <f t="shared" si="3"/>
        <v>0.69672923055565983</v>
      </c>
      <c r="AY28" s="6">
        <f t="shared" si="4"/>
        <v>0.69672923055565983</v>
      </c>
      <c r="AZ28" s="47">
        <f t="shared" si="5"/>
        <v>3.5953782591083137</v>
      </c>
      <c r="BA28" s="47">
        <f t="shared" si="6"/>
        <v>3.0529237207480047</v>
      </c>
      <c r="BB28" s="47">
        <f t="shared" si="7"/>
        <v>5.7407307688192777</v>
      </c>
      <c r="BC28" s="47">
        <f t="shared" si="8"/>
        <v>0.69672923055565983</v>
      </c>
      <c r="BD28" s="47">
        <f t="shared" si="9"/>
        <v>0.69672923055565983</v>
      </c>
      <c r="BE28" s="40"/>
      <c r="BF28" s="40"/>
      <c r="BG28" s="6">
        <f t="shared" si="18"/>
        <v>-2.9146998508305328</v>
      </c>
      <c r="BH28" s="9">
        <f t="shared" ca="1" si="19"/>
        <v>-130.07774732611438</v>
      </c>
      <c r="BI28" s="9">
        <f t="shared" ca="1" si="20"/>
        <v>-2.6392880006816952</v>
      </c>
      <c r="BJ28">
        <f t="shared" ca="1" si="21"/>
        <v>130.10452025424402</v>
      </c>
      <c r="BK28" s="6">
        <f t="shared" ca="1" si="22"/>
        <v>-0.99979421984664851</v>
      </c>
      <c r="BL28" s="6">
        <f t="shared" ca="1" si="23"/>
        <v>-2.0285905482177905E-2</v>
      </c>
      <c r="BM28" s="6">
        <f t="shared" ca="1" si="24"/>
        <v>-3.121305356514156</v>
      </c>
      <c r="BN28" s="6">
        <f t="shared" ca="1" si="25"/>
        <v>-3.3968403846463469</v>
      </c>
      <c r="BO28" s="9"/>
      <c r="BT28" s="40"/>
    </row>
    <row r="29" spans="1:72" x14ac:dyDescent="0.25">
      <c r="A29" s="8" t="s">
        <v>18</v>
      </c>
      <c r="B29" s="6">
        <f>B28*B4</f>
        <v>4.4529082245132336</v>
      </c>
      <c r="C29" t="s">
        <v>4</v>
      </c>
      <c r="G29" s="1" t="s">
        <v>84</v>
      </c>
      <c r="H29" s="22" t="s">
        <v>85</v>
      </c>
      <c r="I29" s="7">
        <v>5</v>
      </c>
      <c r="AS29" s="6">
        <v>-2.6703537555513295</v>
      </c>
      <c r="AT29" s="6">
        <v>-229.62161385589786</v>
      </c>
      <c r="AU29" s="6">
        <v>19.626432233546307</v>
      </c>
      <c r="AV29" s="6">
        <f t="shared" si="1"/>
        <v>3.0563269597909271</v>
      </c>
      <c r="AW29" s="6">
        <f t="shared" si="2"/>
        <v>5.7266807153422565</v>
      </c>
      <c r="AX29" s="6">
        <f t="shared" si="3"/>
        <v>0.70013246959858222</v>
      </c>
      <c r="AY29" s="6">
        <f t="shared" si="4"/>
        <v>0.70013246959858222</v>
      </c>
      <c r="AZ29" s="47">
        <f t="shared" si="5"/>
        <v>3.6128315516282568</v>
      </c>
      <c r="BA29" s="47">
        <f t="shared" si="6"/>
        <v>3.0563269597909271</v>
      </c>
      <c r="BB29" s="47">
        <f t="shared" si="7"/>
        <v>5.7266807153422565</v>
      </c>
      <c r="BC29" s="47">
        <f t="shared" si="8"/>
        <v>0.70013246959858222</v>
      </c>
      <c r="BD29" s="47">
        <f t="shared" si="9"/>
        <v>0.70013246959858222</v>
      </c>
      <c r="BE29" s="40"/>
      <c r="BF29" s="40"/>
      <c r="BG29" s="6">
        <f t="shared" si="18"/>
        <v>-2.8972465583105897</v>
      </c>
      <c r="BH29" s="9">
        <f t="shared" ca="1" si="19"/>
        <v>-129.87431092039299</v>
      </c>
      <c r="BI29" s="9">
        <f t="shared" ca="1" si="20"/>
        <v>-3.4865933585203308</v>
      </c>
      <c r="BJ29">
        <f t="shared" ca="1" si="21"/>
        <v>129.92110286745026</v>
      </c>
      <c r="BK29" s="6">
        <f t="shared" ca="1" si="22"/>
        <v>-0.99963984336628509</v>
      </c>
      <c r="BL29" s="6">
        <f t="shared" ca="1" si="23"/>
        <v>-2.6836235850595164E-2</v>
      </c>
      <c r="BM29" s="6">
        <f t="shared" ca="1" si="24"/>
        <v>-3.1147531955255374</v>
      </c>
      <c r="BN29" s="6">
        <f t="shared" ca="1" si="25"/>
        <v>-3.3902882236577279</v>
      </c>
      <c r="BO29" s="9"/>
      <c r="BT29" s="40"/>
    </row>
    <row r="30" spans="1:72" x14ac:dyDescent="0.25">
      <c r="A30" s="8" t="s">
        <v>102</v>
      </c>
      <c r="B30" s="1">
        <v>3.0000000000000001E-3</v>
      </c>
      <c r="AS30" s="6">
        <v>-2.6529004630313864</v>
      </c>
      <c r="AT30" s="6">
        <v>-229.21243934590873</v>
      </c>
      <c r="AU30" s="6">
        <v>18.840312950683209</v>
      </c>
      <c r="AV30" s="6">
        <f t="shared" si="1"/>
        <v>3.0595811589631254</v>
      </c>
      <c r="AW30" s="6">
        <f t="shared" si="2"/>
        <v>5.7124816219945114</v>
      </c>
      <c r="AX30" s="6">
        <f t="shared" si="3"/>
        <v>0.7033866687707806</v>
      </c>
      <c r="AY30" s="6">
        <f t="shared" si="4"/>
        <v>0.7033866687707806</v>
      </c>
      <c r="AZ30" s="47">
        <f t="shared" si="5"/>
        <v>3.6302848441481999</v>
      </c>
      <c r="BA30" s="47">
        <f t="shared" si="6"/>
        <v>3.0595811589631254</v>
      </c>
      <c r="BB30" s="47">
        <f t="shared" si="7"/>
        <v>5.7124816219945114</v>
      </c>
      <c r="BC30" s="47">
        <f t="shared" si="8"/>
        <v>0.7033866687707806</v>
      </c>
      <c r="BD30" s="47">
        <f t="shared" si="9"/>
        <v>0.7033866687707806</v>
      </c>
      <c r="BE30" s="40"/>
      <c r="BF30" s="40"/>
      <c r="BG30" s="6">
        <f t="shared" si="18"/>
        <v>-2.8797932657906467</v>
      </c>
      <c r="BH30" s="9">
        <f t="shared" ca="1" si="19"/>
        <v>-129.65324925578233</v>
      </c>
      <c r="BI30" s="9">
        <f t="shared" ca="1" si="20"/>
        <v>-4.341305960606892</v>
      </c>
      <c r="BJ30">
        <f t="shared" ca="1" si="21"/>
        <v>129.72591098167561</v>
      </c>
      <c r="BK30" s="6">
        <f t="shared" ca="1" si="22"/>
        <v>-0.99943988270852424</v>
      </c>
      <c r="BL30" s="6">
        <f t="shared" ca="1" si="23"/>
        <v>-3.3465218534638942E-2</v>
      </c>
      <c r="BM30" s="6">
        <f t="shared" ca="1" si="24"/>
        <v>-3.1081211855057513</v>
      </c>
      <c r="BN30" s="6">
        <f t="shared" ca="1" si="25"/>
        <v>-3.3836562136379422</v>
      </c>
      <c r="BO30" s="9"/>
      <c r="BT30" s="40"/>
    </row>
    <row r="31" spans="1:72" x14ac:dyDescent="0.25">
      <c r="A31" s="8" t="s">
        <v>49</v>
      </c>
      <c r="B31" s="1">
        <f>B2*0.85</f>
        <v>4.25</v>
      </c>
      <c r="C31" t="s">
        <v>1</v>
      </c>
      <c r="AS31" s="6">
        <v>-2.6354471705114433</v>
      </c>
      <c r="AT31" s="6">
        <v>-228.80428464145689</v>
      </c>
      <c r="AU31" s="6">
        <v>18.088496816096907</v>
      </c>
      <c r="AV31" s="6">
        <f t="shared" si="1"/>
        <v>3.0627001037644921</v>
      </c>
      <c r="AW31" s="6">
        <f t="shared" si="2"/>
        <v>5.6981472742759358</v>
      </c>
      <c r="AX31" s="6">
        <f t="shared" si="3"/>
        <v>0.70650561357214725</v>
      </c>
      <c r="AY31" s="6">
        <f t="shared" si="4"/>
        <v>0.70650561357214725</v>
      </c>
      <c r="AZ31" s="47">
        <f t="shared" si="5"/>
        <v>3.6477381366681429</v>
      </c>
      <c r="BA31" s="47">
        <f t="shared" si="6"/>
        <v>3.0627001037644921</v>
      </c>
      <c r="BB31" s="47">
        <f t="shared" si="7"/>
        <v>5.6981472742759358</v>
      </c>
      <c r="BC31" s="47">
        <f t="shared" si="8"/>
        <v>0.70650561357214725</v>
      </c>
      <c r="BD31" s="47">
        <f t="shared" si="9"/>
        <v>0.70650561357214725</v>
      </c>
      <c r="BE31" s="40"/>
      <c r="BF31" s="40"/>
      <c r="BG31" s="6">
        <f t="shared" si="18"/>
        <v>-2.8623399732707036</v>
      </c>
      <c r="BH31" s="9">
        <f t="shared" ca="1" si="19"/>
        <v>-129.41396919001295</v>
      </c>
      <c r="BI31" s="9">
        <f t="shared" ca="1" si="20"/>
        <v>-5.2040512343476095</v>
      </c>
      <c r="BJ31">
        <f t="shared" ca="1" si="21"/>
        <v>129.51856071916231</v>
      </c>
      <c r="BK31" s="6">
        <f t="shared" ca="1" si="22"/>
        <v>-0.99919245914586596</v>
      </c>
      <c r="BL31" s="6">
        <f t="shared" ca="1" si="23"/>
        <v>-4.0179964983024001E-2</v>
      </c>
      <c r="BM31" s="6">
        <f t="shared" ca="1" si="24"/>
        <v>-3.1014018694575127</v>
      </c>
      <c r="BN31" s="6">
        <f t="shared" ca="1" si="25"/>
        <v>-3.3769368975897036</v>
      </c>
      <c r="BO31" s="9"/>
      <c r="BT31" s="40"/>
    </row>
    <row r="32" spans="1:72" x14ac:dyDescent="0.25">
      <c r="J32" t="s">
        <v>88</v>
      </c>
      <c r="N32" t="s">
        <v>89</v>
      </c>
      <c r="AS32" s="6">
        <v>-2.6179938779915002</v>
      </c>
      <c r="AT32" s="6">
        <v>-228.39663331527993</v>
      </c>
      <c r="AU32" s="6">
        <v>17.367898596983743</v>
      </c>
      <c r="AV32" s="6">
        <f t="shared" si="1"/>
        <v>3.065696010860373</v>
      </c>
      <c r="AW32" s="6">
        <f t="shared" si="2"/>
        <v>5.6836898888518732</v>
      </c>
      <c r="AX32" s="6">
        <f t="shared" si="3"/>
        <v>0.70950152066802818</v>
      </c>
      <c r="AY32" s="6">
        <f t="shared" si="4"/>
        <v>0.70950152066802818</v>
      </c>
      <c r="AZ32" s="47">
        <f t="shared" si="5"/>
        <v>3.665191429188086</v>
      </c>
      <c r="BA32" s="47">
        <f t="shared" si="6"/>
        <v>3.065696010860373</v>
      </c>
      <c r="BB32" s="47">
        <f t="shared" si="7"/>
        <v>5.6836898888518732</v>
      </c>
      <c r="BC32" s="47">
        <f t="shared" si="8"/>
        <v>0.70950152066802818</v>
      </c>
      <c r="BD32" s="47">
        <f t="shared" si="9"/>
        <v>0.70950152066802818</v>
      </c>
      <c r="BE32" s="40"/>
      <c r="BF32" s="40"/>
      <c r="BG32" s="6">
        <f t="shared" si="18"/>
        <v>-2.8448866807507605</v>
      </c>
      <c r="BH32" s="9">
        <f t="shared" ca="1" si="19"/>
        <v>-129.15581994065462</v>
      </c>
      <c r="BI32" s="9">
        <f t="shared" ca="1" si="20"/>
        <v>-6.0754763069708311</v>
      </c>
      <c r="BJ32">
        <f t="shared" ca="1" si="21"/>
        <v>129.2986358663515</v>
      </c>
      <c r="BK32" s="6">
        <f t="shared" ca="1" si="22"/>
        <v>-0.99889545682566594</v>
      </c>
      <c r="BL32" s="6">
        <f t="shared" ca="1" si="23"/>
        <v>-4.6987938165493862E-2</v>
      </c>
      <c r="BM32" s="6">
        <f t="shared" ca="1" si="24"/>
        <v>-3.0945874077084179</v>
      </c>
      <c r="BN32" s="6">
        <f t="shared" ca="1" si="25"/>
        <v>-3.3701224358406083</v>
      </c>
      <c r="BO32" s="9"/>
      <c r="BT32" s="40"/>
    </row>
    <row r="33" spans="1:72" x14ac:dyDescent="0.25">
      <c r="A33" t="s">
        <v>19</v>
      </c>
      <c r="J33">
        <f>(J38*COS(-1*$B$27))+(K38*SIN(-1*$B$27))+$I$2</f>
        <v>-6.6279929999538254</v>
      </c>
      <c r="K33">
        <f>(-1*J38*SIN(-1*$B$27))+(K38*COS(-1*$B$27))+$I$3</f>
        <v>2.9820177422003713</v>
      </c>
      <c r="N33">
        <f>(N38*COS(-1*$B$27))+(O38*SIN(-1*$B$27))+$I$2</f>
        <v>-7.5707010242872901</v>
      </c>
      <c r="O33">
        <f>(-1*N38*SIN(-1*$B$27))+(O38*COS(-1*$B$27))+$I$3</f>
        <v>3.574112379360173</v>
      </c>
      <c r="AS33" s="6">
        <v>-2.6005405854715571</v>
      </c>
      <c r="AT33" s="6">
        <v>-227.9889828224583</v>
      </c>
      <c r="AU33" s="6">
        <v>16.675778580231182</v>
      </c>
      <c r="AV33" s="6">
        <f t="shared" si="1"/>
        <v>3.0685797578355052</v>
      </c>
      <c r="AW33" s="6">
        <f t="shared" si="2"/>
        <v>5.6691203433070623</v>
      </c>
      <c r="AX33" s="6">
        <f t="shared" si="3"/>
        <v>0.71238526764316035</v>
      </c>
      <c r="AY33" s="6">
        <f t="shared" si="4"/>
        <v>0.71238526764316035</v>
      </c>
      <c r="AZ33" s="47">
        <f t="shared" si="5"/>
        <v>3.6826447217080291</v>
      </c>
      <c r="BA33" s="47">
        <f t="shared" si="6"/>
        <v>3.0685797578355052</v>
      </c>
      <c r="BB33" s="47">
        <f t="shared" si="7"/>
        <v>5.6691203433070623</v>
      </c>
      <c r="BC33" s="47">
        <f t="shared" si="8"/>
        <v>0.71238526764316035</v>
      </c>
      <c r="BD33" s="47">
        <f t="shared" si="9"/>
        <v>0.71238526764316035</v>
      </c>
      <c r="BE33" s="40"/>
      <c r="BF33" s="40"/>
      <c r="BG33" s="6">
        <f t="shared" si="18"/>
        <v>-2.8274333882308174</v>
      </c>
      <c r="BH33" s="9">
        <f t="shared" ca="1" si="19"/>
        <v>-128.87808915816748</v>
      </c>
      <c r="BI33" s="9">
        <f t="shared" ca="1" si="20"/>
        <v>-6.9562520851087086</v>
      </c>
      <c r="BJ33">
        <f t="shared" ca="1" si="21"/>
        <v>129.06568602123551</v>
      </c>
      <c r="BK33" s="6">
        <f t="shared" ca="1" si="22"/>
        <v>-0.99854650086439589</v>
      </c>
      <c r="BL33" s="6">
        <f t="shared" ca="1" si="23"/>
        <v>-5.3896990745969292E-2</v>
      </c>
      <c r="BM33" s="6">
        <f t="shared" ca="1" si="24"/>
        <v>-3.0876695345757397</v>
      </c>
      <c r="BN33" s="6">
        <f t="shared" ca="1" si="25"/>
        <v>-3.3632045627079306</v>
      </c>
      <c r="BO33" s="9"/>
      <c r="BT33" s="40"/>
    </row>
    <row r="34" spans="1:72" x14ac:dyDescent="0.25">
      <c r="J34">
        <f>(J39*COS(-1*$B$27))+(K39*SIN(-1*$B$27))+$I$2</f>
        <v>8.6400701733638829</v>
      </c>
      <c r="K34">
        <f>(-1*J39*SIN(-1*$B$27))+(K39*COS(-1*$B$27))+$I$3</f>
        <v>27.291181795027683</v>
      </c>
      <c r="N34">
        <f>(N39*COS(-1*$B$27))+(O39*SIN(-1*$B$27))+$I$2</f>
        <v>7.6973621490304183</v>
      </c>
      <c r="O34">
        <f>(-1*N39*SIN(-1*$B$27))+(O39*COS(-1*$B$27))+$I$3</f>
        <v>27.883276432187486</v>
      </c>
      <c r="AS34" s="6">
        <v>-2.583087292951614</v>
      </c>
      <c r="AT34" s="6">
        <v>-227.58084069027939</v>
      </c>
      <c r="AU34" s="6">
        <v>16.009693112996239</v>
      </c>
      <c r="AV34" s="6">
        <f t="shared" si="1"/>
        <v>3.0713610737455954</v>
      </c>
      <c r="AW34" s="6">
        <f t="shared" si="2"/>
        <v>5.6544483666972098</v>
      </c>
      <c r="AX34" s="6">
        <f t="shared" si="3"/>
        <v>0.71516658355325058</v>
      </c>
      <c r="AY34" s="6">
        <f t="shared" si="4"/>
        <v>0.71516658355325058</v>
      </c>
      <c r="AZ34" s="47">
        <f t="shared" si="5"/>
        <v>3.7000980142279722</v>
      </c>
      <c r="BA34" s="47">
        <f t="shared" si="6"/>
        <v>3.0713610737455954</v>
      </c>
      <c r="BB34" s="47">
        <f t="shared" si="7"/>
        <v>5.6544483666972098</v>
      </c>
      <c r="BC34" s="47">
        <f t="shared" si="8"/>
        <v>0.71516658355325058</v>
      </c>
      <c r="BD34" s="47">
        <f t="shared" si="9"/>
        <v>0.71516658355325058</v>
      </c>
      <c r="BE34" s="40"/>
      <c r="BF34" s="40"/>
      <c r="BG34" s="6">
        <f t="shared" si="18"/>
        <v>-2.8099800957108743</v>
      </c>
      <c r="BH34" s="9">
        <f t="shared" ca="1" si="19"/>
        <v>-128.57999857002181</v>
      </c>
      <c r="BI34" s="9">
        <f t="shared" ca="1" si="20"/>
        <v>-7.8470754780139274</v>
      </c>
      <c r="BJ34">
        <f t="shared" ca="1" si="21"/>
        <v>128.81922459720235</v>
      </c>
      <c r="BK34" s="6">
        <f t="shared" ca="1" si="22"/>
        <v>-0.99814293225309692</v>
      </c>
      <c r="BL34" s="6">
        <f t="shared" ca="1" si="23"/>
        <v>-6.0915406862217268E-2</v>
      </c>
      <c r="BM34" s="6">
        <f t="shared" ca="1" si="24"/>
        <v>-3.080639510682273</v>
      </c>
      <c r="BN34" s="6">
        <f t="shared" ca="1" si="25"/>
        <v>-3.3561745388144635</v>
      </c>
      <c r="BO34" s="9"/>
      <c r="BT34" s="40"/>
    </row>
    <row r="35" spans="1:72" x14ac:dyDescent="0.25">
      <c r="A35" s="8" t="s">
        <v>20</v>
      </c>
      <c r="AD35" t="s">
        <v>135</v>
      </c>
      <c r="AS35" s="6">
        <v>-2.5656340004316709</v>
      </c>
      <c r="AT35" s="6">
        <v>-227.17172095250021</v>
      </c>
      <c r="AU35" s="6">
        <v>15.367453437277321</v>
      </c>
      <c r="AV35" s="6">
        <f t="shared" si="1"/>
        <v>3.0740486981384114</v>
      </c>
      <c r="AW35" s="6">
        <f t="shared" si="2"/>
        <v>5.6396826985700823</v>
      </c>
      <c r="AX35" s="6">
        <f t="shared" si="3"/>
        <v>0.71785420794606658</v>
      </c>
      <c r="AY35" s="6">
        <f t="shared" si="4"/>
        <v>0.71785420794606658</v>
      </c>
      <c r="AZ35" s="47">
        <f t="shared" si="5"/>
        <v>3.7175513067479153</v>
      </c>
      <c r="BA35" s="47">
        <f t="shared" si="6"/>
        <v>3.0740486981384114</v>
      </c>
      <c r="BB35" s="47">
        <f t="shared" si="7"/>
        <v>5.6396826985700823</v>
      </c>
      <c r="BC35" s="47">
        <f t="shared" si="8"/>
        <v>0.71785420794606658</v>
      </c>
      <c r="BD35" s="47">
        <f t="shared" si="9"/>
        <v>0.71785420794606658</v>
      </c>
      <c r="BE35" s="40"/>
      <c r="BF35" s="40"/>
      <c r="BG35" s="6">
        <f t="shared" si="18"/>
        <v>-2.7925268031909312</v>
      </c>
      <c r="BH35" s="9">
        <f t="shared" ca="1" si="19"/>
        <v>-128.26069921555705</v>
      </c>
      <c r="BI35" s="9">
        <f t="shared" ca="1" si="20"/>
        <v>-8.7486717808369647</v>
      </c>
      <c r="BJ35">
        <f t="shared" ca="1" si="21"/>
        <v>128.55872674070946</v>
      </c>
      <c r="BK35" s="6">
        <f t="shared" ca="1" si="22"/>
        <v>-0.99768177911598721</v>
      </c>
      <c r="BL35" s="6">
        <f t="shared" ca="1" si="23"/>
        <v>-6.805194795124403E-2</v>
      </c>
      <c r="BM35" s="6">
        <f t="shared" ca="1" si="24"/>
        <v>-3.0734880703449066</v>
      </c>
      <c r="BN35" s="6">
        <f t="shared" ca="1" si="25"/>
        <v>-3.3490230984770974</v>
      </c>
      <c r="BO35" s="9"/>
      <c r="BT35" s="40"/>
    </row>
    <row r="36" spans="1:72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64.990406043216268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 s="6">
        <v>-2.5481807079117278</v>
      </c>
      <c r="AT36" s="6">
        <v>-226.76114098755431</v>
      </c>
      <c r="AU36" s="6">
        <v>14.747091192550709</v>
      </c>
      <c r="AV36" s="6">
        <f t="shared" si="1"/>
        <v>3.0766505147556273</v>
      </c>
      <c r="AW36" s="6">
        <f t="shared" si="2"/>
        <v>5.6248312226673551</v>
      </c>
      <c r="AX36" s="6">
        <f t="shared" si="3"/>
        <v>0.7204560245632825</v>
      </c>
      <c r="AY36" s="6">
        <f t="shared" si="4"/>
        <v>0.7204560245632825</v>
      </c>
      <c r="AZ36" s="47">
        <f t="shared" si="5"/>
        <v>3.7350045992678584</v>
      </c>
      <c r="BA36" s="47">
        <f t="shared" si="6"/>
        <v>3.0766505147556273</v>
      </c>
      <c r="BB36" s="47">
        <f t="shared" si="7"/>
        <v>5.6248312226673551</v>
      </c>
      <c r="BC36" s="47">
        <f t="shared" si="8"/>
        <v>0.7204560245632825</v>
      </c>
      <c r="BD36" s="47">
        <f t="shared" si="9"/>
        <v>0.7204560245632825</v>
      </c>
      <c r="BE36" s="40"/>
      <c r="BF36" s="40"/>
      <c r="BG36" s="6">
        <f t="shared" si="18"/>
        <v>-2.7750735106709881</v>
      </c>
      <c r="BH36" s="9">
        <f t="shared" ca="1" si="19"/>
        <v>-127.91926596044236</v>
      </c>
      <c r="BI36" s="9">
        <f t="shared" ca="1" si="20"/>
        <v>-9.6617972361438618</v>
      </c>
      <c r="BJ36">
        <f t="shared" ca="1" si="21"/>
        <v>128.28362689638433</v>
      </c>
      <c r="BK36" s="6">
        <f t="shared" ca="1" si="22"/>
        <v>-0.99715972377179307</v>
      </c>
      <c r="BL36" s="6">
        <f t="shared" ca="1" si="23"/>
        <v>-7.5315903283181801E-2</v>
      </c>
      <c r="BM36" s="6">
        <f t="shared" ca="1" si="24"/>
        <v>-3.0662053632064907</v>
      </c>
      <c r="BN36" s="6">
        <f t="shared" ca="1" si="25"/>
        <v>-3.3417403913386812</v>
      </c>
      <c r="BO36" s="9"/>
      <c r="BT36" s="40"/>
    </row>
    <row r="37" spans="1:72" x14ac:dyDescent="0.25">
      <c r="A37" s="3">
        <f t="shared" ref="A37:A43" si="27">E3-$I$2</f>
        <v>-6</v>
      </c>
      <c r="B37" s="6">
        <f t="shared" ref="B37:B43" si="28">F3-$I$3</f>
        <v>-12</v>
      </c>
      <c r="C37" s="6">
        <f>A37*COS($B$27)+B37*SIN($B$27)</f>
        <v>-13.353128666005993</v>
      </c>
      <c r="D37" s="6">
        <f>-1*A37*SIN($B$27)+B37*COS($B$27)</f>
        <v>-1.3015201992627707</v>
      </c>
      <c r="F37" s="8" t="s">
        <v>23</v>
      </c>
      <c r="G37" s="1">
        <f>MAX(D37:D41)-MIN(D37:D41)</f>
        <v>12.764935251625229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 s="6">
        <v>-2.5307274153917847</v>
      </c>
      <c r="AT37" s="6">
        <v>-226.34861831196841</v>
      </c>
      <c r="AU37" s="6">
        <v>14.146829373652901</v>
      </c>
      <c r="AV37" s="6">
        <f t="shared" si="1"/>
        <v>3.0791736643540615</v>
      </c>
      <c r="AW37" s="6">
        <f t="shared" si="2"/>
        <v>5.6099010797458462</v>
      </c>
      <c r="AX37" s="6">
        <f t="shared" si="3"/>
        <v>0.72297917416171664</v>
      </c>
      <c r="AY37" s="6">
        <f t="shared" si="4"/>
        <v>0.72297917416171664</v>
      </c>
      <c r="AZ37" s="47">
        <f t="shared" si="5"/>
        <v>3.7524578917878015</v>
      </c>
      <c r="BA37" s="47">
        <f t="shared" si="6"/>
        <v>3.0791736643540615</v>
      </c>
      <c r="BB37" s="47">
        <f t="shared" si="7"/>
        <v>5.6099010797458462</v>
      </c>
      <c r="BC37" s="47">
        <f t="shared" si="8"/>
        <v>0.72297917416171664</v>
      </c>
      <c r="BD37" s="47">
        <f t="shared" si="9"/>
        <v>0.72297917416171664</v>
      </c>
      <c r="BE37" s="40"/>
      <c r="BF37" s="40"/>
      <c r="BG37" s="6">
        <f t="shared" si="18"/>
        <v>-2.757620218151045</v>
      </c>
      <c r="BH37" s="9">
        <f t="shared" ca="1" si="19"/>
        <v>-127.55469157896279</v>
      </c>
      <c r="BI37" s="9">
        <f t="shared" ca="1" si="20"/>
        <v>-10.587241793851948</v>
      </c>
      <c r="BJ37">
        <f t="shared" ca="1" si="21"/>
        <v>127.99331635912012</v>
      </c>
      <c r="BK37" s="6">
        <f t="shared" ca="1" si="22"/>
        <v>-0.9965730649643717</v>
      </c>
      <c r="BL37" s="6">
        <f t="shared" ca="1" si="23"/>
        <v>-8.2717145668345343E-2</v>
      </c>
      <c r="BM37" s="6">
        <f t="shared" ca="1" si="24"/>
        <v>-3.0587808894466777</v>
      </c>
      <c r="BN37" s="6">
        <f t="shared" ca="1" si="25"/>
        <v>-3.3343159175788681</v>
      </c>
      <c r="BO37" s="9"/>
      <c r="BT37" s="40"/>
    </row>
    <row r="38" spans="1:72" x14ac:dyDescent="0.25">
      <c r="A38" s="3">
        <f t="shared" si="27"/>
        <v>6</v>
      </c>
      <c r="B38" s="6">
        <f t="shared" si="28"/>
        <v>-12</v>
      </c>
      <c r="C38" s="6">
        <f t="shared" ref="C38:C41" si="29">A38*COS($B$27)+B38*SIN($B$27)</f>
        <v>-6.97066104019338</v>
      </c>
      <c r="D38" s="6">
        <f t="shared" ref="D38:D41" si="30">-1*A38*SIN($B$27)+B38*COS($B$27)</f>
        <v>-11.463415052362457</v>
      </c>
      <c r="F38" s="8" t="s">
        <v>24</v>
      </c>
      <c r="G38" s="6">
        <f>MAX(D37:D43)</f>
        <v>11.463415052362457</v>
      </c>
      <c r="H38" t="s">
        <v>4</v>
      </c>
      <c r="J38" s="9">
        <f>MIN(C37:C43,A37:A43)-1</f>
        <v>-14.353128666005993</v>
      </c>
      <c r="K38" s="9">
        <f>G40</f>
        <v>5.897279771720914</v>
      </c>
      <c r="N38" s="9">
        <f>J38</f>
        <v>-14.353128666005993</v>
      </c>
      <c r="O38" s="9">
        <f>G41</f>
        <v>7.0105068278492233</v>
      </c>
      <c r="AD38">
        <f>AE37</f>
        <v>-3.1415926535897931</v>
      </c>
      <c r="AE38">
        <f>AE37</f>
        <v>-3.1415926535897931</v>
      </c>
      <c r="AS38" s="6">
        <v>-2.5132741228718416</v>
      </c>
      <c r="AT38" s="6">
        <v>-225.933667632001</v>
      </c>
      <c r="AU38" s="6">
        <v>13.565057713288724</v>
      </c>
      <c r="AV38" s="6">
        <f t="shared" si="1"/>
        <v>3.0816246406861172</v>
      </c>
      <c r="AW38" s="6">
        <f t="shared" si="2"/>
        <v>5.5948987635579588</v>
      </c>
      <c r="AX38" s="6">
        <f t="shared" si="3"/>
        <v>0.72543015049377235</v>
      </c>
      <c r="AY38" s="6">
        <f t="shared" si="4"/>
        <v>0.72543015049377235</v>
      </c>
      <c r="AZ38" s="47">
        <f t="shared" si="5"/>
        <v>3.7699111843077446</v>
      </c>
      <c r="BA38" s="47">
        <f t="shared" si="6"/>
        <v>3.0816246406861172</v>
      </c>
      <c r="BB38" s="47">
        <f t="shared" si="7"/>
        <v>5.5948987635579588</v>
      </c>
      <c r="BC38" s="47">
        <f t="shared" si="8"/>
        <v>0.72543015049377235</v>
      </c>
      <c r="BD38" s="47">
        <f t="shared" si="9"/>
        <v>0.72543015049377235</v>
      </c>
      <c r="BE38" s="40"/>
      <c r="BF38" s="40"/>
      <c r="BG38" s="6">
        <f t="shared" si="18"/>
        <v>-2.7401669256311019</v>
      </c>
      <c r="BH38" s="9">
        <f t="shared" ca="1" si="19"/>
        <v>-127.16588005410752</v>
      </c>
      <c r="BI38" s="9">
        <f t="shared" ca="1" si="20"/>
        <v>-11.525832092039085</v>
      </c>
      <c r="BJ38">
        <f t="shared" ca="1" si="21"/>
        <v>127.68714052460233</v>
      </c>
      <c r="BK38" s="6">
        <f t="shared" ca="1" si="22"/>
        <v>-0.99591767449444624</v>
      </c>
      <c r="BL38" s="6">
        <f t="shared" ca="1" si="23"/>
        <v>-9.0266193170942907E-2</v>
      </c>
      <c r="BM38" s="6">
        <f t="shared" ca="1" si="24"/>
        <v>-3.0512034274969939</v>
      </c>
      <c r="BN38" s="6">
        <f t="shared" ca="1" si="25"/>
        <v>-3.3267384556291848</v>
      </c>
      <c r="BO38" s="9"/>
      <c r="BT38" s="40"/>
    </row>
    <row r="39" spans="1:72" x14ac:dyDescent="0.25">
      <c r="A39" s="3">
        <f t="shared" si="27"/>
        <v>6</v>
      </c>
      <c r="B39" s="6">
        <f t="shared" si="28"/>
        <v>4</v>
      </c>
      <c r="C39" s="6">
        <f t="shared" si="29"/>
        <v>6.5785320972728698</v>
      </c>
      <c r="D39" s="6">
        <f t="shared" si="30"/>
        <v>-2.9534582179456388</v>
      </c>
      <c r="J39" s="9">
        <f>MAX(C37:C43,A37:A43)+1</f>
        <v>14.353128666005993</v>
      </c>
      <c r="K39" s="9">
        <f>K38</f>
        <v>5.897279771720914</v>
      </c>
      <c r="N39" s="9">
        <f>J39</f>
        <v>14.353128666005993</v>
      </c>
      <c r="O39" s="9">
        <f>G41</f>
        <v>7.0105068278492233</v>
      </c>
      <c r="AD39">
        <f>AD38</f>
        <v>-3.1415926535897931</v>
      </c>
      <c r="AE39">
        <f>-1*(AD39)</f>
        <v>3.1415926535897931</v>
      </c>
      <c r="AS39" s="6">
        <v>-2.4958208303518985</v>
      </c>
      <c r="AT39" s="6">
        <v>-225.51579792279256</v>
      </c>
      <c r="AU39" s="6">
        <v>13.000311718019548</v>
      </c>
      <c r="AV39" s="6">
        <f t="shared" si="1"/>
        <v>3.0840093725042768</v>
      </c>
      <c r="AW39" s="6">
        <f t="shared" si="2"/>
        <v>5.5798302028561757</v>
      </c>
      <c r="AX39" s="6">
        <f t="shared" si="3"/>
        <v>0.72781488231193192</v>
      </c>
      <c r="AY39" s="6">
        <f t="shared" si="4"/>
        <v>0.72781488231193192</v>
      </c>
      <c r="AZ39" s="47">
        <f t="shared" si="5"/>
        <v>3.7873644768276877</v>
      </c>
      <c r="BA39" s="47">
        <f t="shared" si="6"/>
        <v>3.0840093725042768</v>
      </c>
      <c r="BB39" s="47">
        <f t="shared" si="7"/>
        <v>5.5798302028561757</v>
      </c>
      <c r="BC39" s="47">
        <f t="shared" si="8"/>
        <v>0.72781488231193192</v>
      </c>
      <c r="BD39" s="47">
        <f t="shared" si="9"/>
        <v>0.72781488231193192</v>
      </c>
      <c r="BE39" s="40"/>
      <c r="BF39" s="40"/>
      <c r="BG39" s="6">
        <f t="shared" si="18"/>
        <v>-2.7227136331111588</v>
      </c>
      <c r="BH39" s="9">
        <f t="shared" ca="1" si="19"/>
        <v>-126.75340655671384</v>
      </c>
      <c r="BI39" s="9">
        <f t="shared" ca="1" si="20"/>
        <v>-12.474443515931291</v>
      </c>
      <c r="BJ39">
        <f t="shared" ca="1" si="21"/>
        <v>127.36576390366348</v>
      </c>
      <c r="BK39" s="6">
        <f t="shared" ca="1" si="22"/>
        <v>-0.99519213540451257</v>
      </c>
      <c r="BL39" s="6">
        <f t="shared" ca="1" si="23"/>
        <v>-9.794188904144345E-2</v>
      </c>
      <c r="BM39" s="6">
        <f t="shared" ca="1" si="24"/>
        <v>-3.0434934982805357</v>
      </c>
      <c r="BN39" s="6">
        <f t="shared" ca="1" si="25"/>
        <v>-3.3190285264127262</v>
      </c>
      <c r="BO39" s="9"/>
      <c r="BT39" s="40"/>
    </row>
    <row r="40" spans="1:72" x14ac:dyDescent="0.25">
      <c r="A40" s="3">
        <f t="shared" si="27"/>
        <v>6</v>
      </c>
      <c r="B40" s="6">
        <f t="shared" si="28"/>
        <v>4</v>
      </c>
      <c r="C40" s="6">
        <f t="shared" si="29"/>
        <v>6.5785320972728698</v>
      </c>
      <c r="D40" s="6">
        <f t="shared" si="30"/>
        <v>-2.9534582179456388</v>
      </c>
      <c r="F40" s="8" t="s">
        <v>50</v>
      </c>
      <c r="G40" s="9">
        <f>G38-B28</f>
        <v>5.897279771720914</v>
      </c>
      <c r="AD40">
        <f>AE39</f>
        <v>3.1415926535897931</v>
      </c>
      <c r="AE40">
        <f>AE39</f>
        <v>3.1415926535897931</v>
      </c>
      <c r="AS40" s="6">
        <v>-2.4783675378319554</v>
      </c>
      <c r="AT40" s="6">
        <v>-225.0945094830129</v>
      </c>
      <c r="AU40" s="6">
        <v>12.451254728307925</v>
      </c>
      <c r="AV40" s="6">
        <f t="shared" si="1"/>
        <v>3.0863332939895156</v>
      </c>
      <c r="AW40" s="6">
        <f t="shared" si="2"/>
        <v>5.5647008318214706</v>
      </c>
      <c r="AX40" s="6">
        <f t="shared" si="3"/>
        <v>0.73013880379717078</v>
      </c>
      <c r="AY40" s="6">
        <f t="shared" si="4"/>
        <v>0.73013880379717078</v>
      </c>
      <c r="AZ40" s="47">
        <f t="shared" si="5"/>
        <v>3.8048177693476308</v>
      </c>
      <c r="BA40" s="47">
        <f t="shared" si="6"/>
        <v>3.0863332939895156</v>
      </c>
      <c r="BB40" s="47">
        <f t="shared" si="7"/>
        <v>5.5647008318214706</v>
      </c>
      <c r="BC40" s="47">
        <f t="shared" si="8"/>
        <v>0.73013880379717078</v>
      </c>
      <c r="BD40" s="47">
        <f t="shared" si="9"/>
        <v>0.73013880379717078</v>
      </c>
      <c r="BE40" s="40"/>
      <c r="BF40" s="40"/>
      <c r="BG40" s="6">
        <f t="shared" si="18"/>
        <v>-2.7052603405912157</v>
      </c>
      <c r="BH40" s="9">
        <f t="shared" ca="1" si="19"/>
        <v>-126.33786902439205</v>
      </c>
      <c r="BI40" s="9">
        <f t="shared" ca="1" si="20"/>
        <v>-13.386417428388143</v>
      </c>
      <c r="BJ40">
        <f t="shared" ca="1" si="21"/>
        <v>127.04508381354823</v>
      </c>
      <c r="BK40" s="6">
        <f t="shared" ca="1" si="22"/>
        <v>-0.99443335571965863</v>
      </c>
      <c r="BL40" s="6">
        <f t="shared" ca="1" si="23"/>
        <v>-0.10536745717791088</v>
      </c>
      <c r="BM40" s="6">
        <f t="shared" ca="1" si="24"/>
        <v>-3.0360292456428155</v>
      </c>
      <c r="BN40" s="6">
        <f t="shared" ca="1" si="25"/>
        <v>-3.311564273775006</v>
      </c>
      <c r="BO40" s="9"/>
      <c r="BT40" s="40"/>
    </row>
    <row r="41" spans="1:72" x14ac:dyDescent="0.25">
      <c r="A41" s="3">
        <f t="shared" si="27"/>
        <v>6</v>
      </c>
      <c r="B41" s="6">
        <f t="shared" si="28"/>
        <v>12</v>
      </c>
      <c r="C41" s="6">
        <f t="shared" si="29"/>
        <v>13.353128666005993</v>
      </c>
      <c r="D41" s="6">
        <f t="shared" si="30"/>
        <v>1.3015201992627707</v>
      </c>
      <c r="F41" s="8" t="s">
        <v>51</v>
      </c>
      <c r="G41" s="9">
        <f>G38-B29</f>
        <v>7.0105068278492233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 s="6">
        <v>-2.4609142453120123</v>
      </c>
      <c r="AT41" s="6">
        <v>-224.66929095984858</v>
      </c>
      <c r="AU41" s="6">
        <v>11.91666248724083</v>
      </c>
      <c r="AV41" s="6">
        <f t="shared" si="1"/>
        <v>3.0886014055908024</v>
      </c>
      <c r="AW41" s="6">
        <f t="shared" si="2"/>
        <v>5.5495156509028147</v>
      </c>
      <c r="AX41" s="6">
        <f t="shared" si="3"/>
        <v>0.73240691539845759</v>
      </c>
      <c r="AY41" s="6">
        <f t="shared" si="4"/>
        <v>0.73240691539845759</v>
      </c>
      <c r="AZ41" s="47">
        <f t="shared" si="5"/>
        <v>3.8222710618675739</v>
      </c>
      <c r="BA41" s="47">
        <f t="shared" si="6"/>
        <v>3.0886014055908024</v>
      </c>
      <c r="BB41" s="47">
        <f t="shared" si="7"/>
        <v>5.5495156509028147</v>
      </c>
      <c r="BC41" s="47">
        <f t="shared" si="8"/>
        <v>0.73240691539845759</v>
      </c>
      <c r="BD41" s="47">
        <f t="shared" si="9"/>
        <v>0.73240691539845759</v>
      </c>
      <c r="BE41" s="40"/>
      <c r="BF41" s="40"/>
      <c r="BG41" s="6">
        <f t="shared" si="18"/>
        <v>-2.6878070480712726</v>
      </c>
      <c r="BH41" s="9">
        <f t="shared" ca="1" si="19"/>
        <v>-125.92502859701007</v>
      </c>
      <c r="BI41" s="9">
        <f t="shared" ca="1" si="20"/>
        <v>-14.252092808214393</v>
      </c>
      <c r="BJ41">
        <f t="shared" ca="1" si="21"/>
        <v>126.7289823859237</v>
      </c>
      <c r="BK41" s="6">
        <f t="shared" ca="1" si="22"/>
        <v>-0.99365611737916926</v>
      </c>
      <c r="BL41" s="6">
        <f t="shared" ca="1" si="23"/>
        <v>-0.11246119506280695</v>
      </c>
      <c r="BM41" s="6">
        <f t="shared" ca="1" si="24"/>
        <v>-3.028893039876877</v>
      </c>
      <c r="BN41" s="6">
        <f t="shared" ca="1" si="25"/>
        <v>-3.3044280680090674</v>
      </c>
      <c r="BO41" s="9"/>
      <c r="BT41" s="40"/>
    </row>
    <row r="42" spans="1:72" x14ac:dyDescent="0.25">
      <c r="A42" s="3">
        <f t="shared" si="27"/>
        <v>-6</v>
      </c>
      <c r="B42" s="6">
        <f t="shared" si="28"/>
        <v>12</v>
      </c>
      <c r="C42" s="6">
        <f t="shared" ref="C42:C43" si="31">A42*COS($B$27)+B42*SIN($B$27)</f>
        <v>6.97066104019338</v>
      </c>
      <c r="D42" s="6">
        <f t="shared" ref="D42:D43" si="32">-1*A42*SIN($B$27)+B42*COS($B$27)</f>
        <v>11.463415052362457</v>
      </c>
      <c r="J42" s="9"/>
      <c r="K42" s="9"/>
      <c r="N42" s="9"/>
      <c r="O42" s="9"/>
      <c r="AS42" s="6">
        <v>-2.4434609527920692</v>
      </c>
      <c r="AT42" s="6">
        <v>-224.23961635633231</v>
      </c>
      <c r="AU42" s="6">
        <v>11.395409791794641</v>
      </c>
      <c r="AV42" s="6">
        <f t="shared" si="1"/>
        <v>3.0908183269325544</v>
      </c>
      <c r="AW42" s="6">
        <f t="shared" si="2"/>
        <v>5.5342792797246236</v>
      </c>
      <c r="AX42" s="6">
        <f t="shared" si="3"/>
        <v>0.73462383674020959</v>
      </c>
      <c r="AY42" s="6">
        <f t="shared" si="4"/>
        <v>0.73462383674020959</v>
      </c>
      <c r="AZ42" s="47">
        <f t="shared" si="5"/>
        <v>3.839724354387517</v>
      </c>
      <c r="BA42" s="47">
        <f t="shared" si="6"/>
        <v>3.0908183269325544</v>
      </c>
      <c r="BB42" s="47">
        <f t="shared" si="7"/>
        <v>5.5342792797246236</v>
      </c>
      <c r="BC42" s="47">
        <f t="shared" si="8"/>
        <v>0.73462383674020959</v>
      </c>
      <c r="BD42" s="47">
        <f t="shared" si="9"/>
        <v>0.73462383674020959</v>
      </c>
      <c r="BE42" s="40"/>
      <c r="BF42" s="40"/>
      <c r="BG42" s="6">
        <f t="shared" si="18"/>
        <v>-2.6703537555513295</v>
      </c>
      <c r="BH42" s="9">
        <f t="shared" ca="1" si="19"/>
        <v>-125.5142997718424</v>
      </c>
      <c r="BI42" s="9">
        <f t="shared" ca="1" si="20"/>
        <v>-15.076005794472177</v>
      </c>
      <c r="BJ42">
        <f t="shared" ca="1" si="21"/>
        <v>126.41647597497281</v>
      </c>
      <c r="BK42" s="6">
        <f t="shared" ca="1" si="22"/>
        <v>-0.9928634602715154</v>
      </c>
      <c r="BL42" s="6">
        <f t="shared" ca="1" si="23"/>
        <v>-0.11925665288642309</v>
      </c>
      <c r="BM42" s="6">
        <f t="shared" ca="1" si="24"/>
        <v>-3.022051495102843</v>
      </c>
      <c r="BN42" s="6">
        <f t="shared" ca="1" si="25"/>
        <v>-3.2975865232350339</v>
      </c>
      <c r="BO42" s="9"/>
      <c r="BT42" s="40"/>
    </row>
    <row r="43" spans="1:72" x14ac:dyDescent="0.25">
      <c r="A43" s="3">
        <f t="shared" si="27"/>
        <v>-6</v>
      </c>
      <c r="B43" s="6">
        <f t="shared" si="28"/>
        <v>4</v>
      </c>
      <c r="C43" s="6">
        <f t="shared" si="31"/>
        <v>0.19606447146025507</v>
      </c>
      <c r="D43" s="6">
        <f t="shared" si="32"/>
        <v>7.2084366351540483</v>
      </c>
      <c r="AD43" t="s">
        <v>134</v>
      </c>
      <c r="AS43" s="6">
        <v>-2.4260076602721261</v>
      </c>
      <c r="AT43" s="6">
        <v>-223.80494185833689</v>
      </c>
      <c r="AU43" s="6">
        <v>10.886458908207494</v>
      </c>
      <c r="AV43" s="6">
        <f t="shared" si="1"/>
        <v>3.0929883429784262</v>
      </c>
      <c r="AW43" s="6">
        <f t="shared" si="2"/>
        <v>5.5189960032505523</v>
      </c>
      <c r="AX43" s="6">
        <f t="shared" si="3"/>
        <v>0.73679385278608134</v>
      </c>
      <c r="AY43" s="6">
        <f t="shared" si="4"/>
        <v>0.73679385278608134</v>
      </c>
      <c r="AZ43" s="47">
        <f t="shared" si="5"/>
        <v>3.8571776469074601</v>
      </c>
      <c r="BA43" s="47">
        <f t="shared" si="6"/>
        <v>3.0929883429784262</v>
      </c>
      <c r="BB43" s="47">
        <f t="shared" si="7"/>
        <v>5.5189960032505523</v>
      </c>
      <c r="BC43" s="47">
        <f t="shared" si="8"/>
        <v>0.73679385278608134</v>
      </c>
      <c r="BD43" s="47">
        <f t="shared" si="9"/>
        <v>0.73679385278608134</v>
      </c>
      <c r="BE43" s="40"/>
      <c r="BF43" s="40"/>
      <c r="BG43" s="6">
        <f t="shared" si="18"/>
        <v>-2.6529004630313864</v>
      </c>
      <c r="BH43" s="9">
        <f t="shared" ca="1" si="19"/>
        <v>-125.10512526185327</v>
      </c>
      <c r="BI43" s="9">
        <f t="shared" ca="1" si="20"/>
        <v>-15.862125077335275</v>
      </c>
      <c r="BJ43">
        <f t="shared" ca="1" si="21"/>
        <v>126.10669838970897</v>
      </c>
      <c r="BK43" s="6">
        <f t="shared" ca="1" si="22"/>
        <v>-0.99205773253407592</v>
      </c>
      <c r="BL43" s="6">
        <f t="shared" ca="1" si="23"/>
        <v>-0.12578336662431974</v>
      </c>
      <c r="BM43" s="6">
        <f t="shared" ca="1" si="24"/>
        <v>-3.0154752237227846</v>
      </c>
      <c r="BN43" s="6">
        <f t="shared" ca="1" si="25"/>
        <v>-3.2910102518549751</v>
      </c>
      <c r="BO43" s="9"/>
      <c r="BT43" s="40"/>
    </row>
    <row r="44" spans="1:72" x14ac:dyDescent="0.25">
      <c r="A44" s="3">
        <f t="shared" ref="A44:A45" si="33">E10-$I$2</f>
        <v>-6</v>
      </c>
      <c r="B44" s="6">
        <f t="shared" ref="B44:B45" si="34">F10-$I$3</f>
        <v>4</v>
      </c>
      <c r="C44" s="6">
        <f t="shared" ref="C44:C45" si="35">A44*COS($B$27)+B44*SIN($B$27)</f>
        <v>0.19606447146025507</v>
      </c>
      <c r="D44" s="6">
        <f t="shared" ref="D44:D45" si="36">-1*A44*SIN($B$27)+B44*COS($B$27)</f>
        <v>7.2084366351540483</v>
      </c>
      <c r="AD44" t="s">
        <v>8</v>
      </c>
      <c r="AE44" t="s">
        <v>9</v>
      </c>
      <c r="AS44" s="6">
        <v>-2.408554367752183</v>
      </c>
      <c r="AT44" s="6">
        <v>-223.36470250638664</v>
      </c>
      <c r="AU44" s="6">
        <v>10.388849461802556</v>
      </c>
      <c r="AV44" s="6">
        <f t="shared" si="1"/>
        <v>3.095115444600459</v>
      </c>
      <c r="AW44" s="6">
        <f t="shared" si="2"/>
        <v>5.5036698123526424</v>
      </c>
      <c r="AX44" s="6">
        <f t="shared" si="3"/>
        <v>0.73892095440811412</v>
      </c>
      <c r="AY44" s="6">
        <f t="shared" si="4"/>
        <v>0.73892095440811412</v>
      </c>
      <c r="AZ44" s="47">
        <f t="shared" si="5"/>
        <v>3.8746309394274032</v>
      </c>
      <c r="BA44" s="47">
        <f t="shared" si="6"/>
        <v>3.095115444600459</v>
      </c>
      <c r="BB44" s="47">
        <f t="shared" si="7"/>
        <v>5.5036698123526424</v>
      </c>
      <c r="BC44" s="47">
        <f t="shared" si="8"/>
        <v>0.73892095440811412</v>
      </c>
      <c r="BD44" s="47">
        <f t="shared" si="9"/>
        <v>0.73892095440811412</v>
      </c>
      <c r="BE44" s="40"/>
      <c r="BF44" s="40"/>
      <c r="BG44" s="6">
        <f t="shared" si="18"/>
        <v>-2.6354471705114433</v>
      </c>
      <c r="BH44" s="9">
        <f t="shared" ca="1" si="19"/>
        <v>-124.69697055740143</v>
      </c>
      <c r="BI44" s="9">
        <f t="shared" ca="1" si="20"/>
        <v>-16.613941211921578</v>
      </c>
      <c r="BJ44">
        <f t="shared" ca="1" si="21"/>
        <v>125.79887721592202</v>
      </c>
      <c r="BK44" s="6">
        <f t="shared" ca="1" si="22"/>
        <v>-0.99124072739831159</v>
      </c>
      <c r="BL44" s="6">
        <f t="shared" ca="1" si="23"/>
        <v>-0.13206748406351274</v>
      </c>
      <c r="BM44" s="6">
        <f t="shared" ca="1" si="24"/>
        <v>-3.009138208355246</v>
      </c>
      <c r="BN44" s="6">
        <f t="shared" ca="1" si="25"/>
        <v>-3.2846732364874365</v>
      </c>
      <c r="BO44" s="9"/>
      <c r="BT44" s="40"/>
    </row>
    <row r="45" spans="1:72" x14ac:dyDescent="0.25">
      <c r="A45" s="3">
        <f t="shared" si="33"/>
        <v>-6</v>
      </c>
      <c r="B45" s="6">
        <f t="shared" si="34"/>
        <v>-12</v>
      </c>
      <c r="C45" s="6">
        <f t="shared" si="35"/>
        <v>-13.353128666005993</v>
      </c>
      <c r="D45" s="6">
        <f t="shared" si="36"/>
        <v>-1.3015201992627707</v>
      </c>
      <c r="AD45" s="40">
        <f>U13+PI()/2</f>
        <v>3.9269908169872414</v>
      </c>
      <c r="AE45">
        <v>0</v>
      </c>
      <c r="AS45" s="6">
        <v>-2.3911010752322399</v>
      </c>
      <c r="AT45" s="6">
        <v>-222.91830868127749</v>
      </c>
      <c r="AU45" s="6">
        <v>9.9016895661136566</v>
      </c>
      <c r="AV45" s="6">
        <f t="shared" si="1"/>
        <v>3.0972033644783683</v>
      </c>
      <c r="AW45" s="6">
        <f t="shared" si="2"/>
        <v>5.4883044397106087</v>
      </c>
      <c r="AX45" s="6">
        <f t="shared" si="3"/>
        <v>0.74100887428602347</v>
      </c>
      <c r="AY45" s="6">
        <f t="shared" si="4"/>
        <v>0.74100887428602347</v>
      </c>
      <c r="AZ45" s="47">
        <f t="shared" si="5"/>
        <v>3.8920842319473463</v>
      </c>
      <c r="BA45" s="47">
        <f t="shared" si="6"/>
        <v>3.0972033644783683</v>
      </c>
      <c r="BB45" s="47">
        <f t="shared" si="7"/>
        <v>5.4883044397106087</v>
      </c>
      <c r="BC45" s="47">
        <f t="shared" si="8"/>
        <v>0.74100887428602347</v>
      </c>
      <c r="BD45" s="47">
        <f t="shared" si="9"/>
        <v>0.74100887428602347</v>
      </c>
      <c r="BE45" s="40"/>
      <c r="BF45" s="40"/>
      <c r="BG45" s="6">
        <f t="shared" si="18"/>
        <v>-2.6179938779915002</v>
      </c>
      <c r="BH45" s="9">
        <f t="shared" ca="1" si="19"/>
        <v>-124.28931923122447</v>
      </c>
      <c r="BI45" s="9">
        <f t="shared" ca="1" si="20"/>
        <v>-17.334539431034742</v>
      </c>
      <c r="BJ45">
        <f t="shared" ca="1" si="21"/>
        <v>125.49231503262391</v>
      </c>
      <c r="BK45" s="6">
        <f t="shared" ca="1" si="22"/>
        <v>-0.99041378907475963</v>
      </c>
      <c r="BL45" s="6">
        <f t="shared" ca="1" si="23"/>
        <v>-0.1381322786700391</v>
      </c>
      <c r="BM45" s="6">
        <f t="shared" ca="1" si="24"/>
        <v>-3.003017287053412</v>
      </c>
      <c r="BN45" s="6">
        <f t="shared" ca="1" si="25"/>
        <v>-3.2785523151856024</v>
      </c>
      <c r="BO45" s="9"/>
      <c r="BT45" s="40"/>
    </row>
    <row r="46" spans="1:72" x14ac:dyDescent="0.25">
      <c r="AD46" s="40">
        <f>U13-PI()/2</f>
        <v>0.78539816339744828</v>
      </c>
      <c r="AE46">
        <f>AE45</f>
        <v>0</v>
      </c>
      <c r="AS46" s="6">
        <v>-2.3736477827122968</v>
      </c>
      <c r="AT46" s="6">
        <v>-221.49520842569194</v>
      </c>
      <c r="AU46" s="6">
        <v>9.4193958239005902</v>
      </c>
      <c r="AV46" s="6">
        <f t="shared" si="1"/>
        <v>3.0990918530855831</v>
      </c>
      <c r="AW46" s="6">
        <f t="shared" si="2"/>
        <v>5.4727396357978799</v>
      </c>
      <c r="AX46" s="6">
        <f t="shared" si="3"/>
        <v>0.74289736289323827</v>
      </c>
      <c r="AY46" s="6">
        <f t="shared" si="4"/>
        <v>0.74289736289323827</v>
      </c>
      <c r="AZ46" s="47">
        <f t="shared" si="5"/>
        <v>3.9095375244672894</v>
      </c>
      <c r="BA46" s="47">
        <f t="shared" si="6"/>
        <v>3.0990918530855831</v>
      </c>
      <c r="BB46" s="47">
        <f t="shared" si="7"/>
        <v>5.4727396357978799</v>
      </c>
      <c r="BC46" s="47">
        <f t="shared" si="8"/>
        <v>0.74289736289323827</v>
      </c>
      <c r="BD46" s="47">
        <f t="shared" si="9"/>
        <v>0.74289736289323827</v>
      </c>
      <c r="BE46" s="40"/>
      <c r="BF46" s="40"/>
      <c r="BG46" s="6">
        <f t="shared" si="18"/>
        <v>-2.6005405854715571</v>
      </c>
      <c r="BH46" s="9">
        <f t="shared" ca="1" si="19"/>
        <v>-123.88166873840284</v>
      </c>
      <c r="BI46" s="9">
        <f t="shared" ca="1" si="20"/>
        <v>-18.026659447787303</v>
      </c>
      <c r="BJ46">
        <f t="shared" ca="1" si="21"/>
        <v>125.18637425957297</v>
      </c>
      <c r="BK46" s="6">
        <f t="shared" ca="1" si="22"/>
        <v>-0.98957789512726968</v>
      </c>
      <c r="BL46" s="6">
        <f t="shared" ca="1" si="23"/>
        <v>-0.14399857456059206</v>
      </c>
      <c r="BM46" s="6">
        <f t="shared" ca="1" si="24"/>
        <v>-2.9970917281003664</v>
      </c>
      <c r="BN46" s="6">
        <f t="shared" ca="1" si="25"/>
        <v>-3.2726267562325573</v>
      </c>
      <c r="BO46" s="9"/>
      <c r="BT46" s="40"/>
    </row>
    <row r="47" spans="1:72" x14ac:dyDescent="0.25">
      <c r="A47" t="s">
        <v>27</v>
      </c>
      <c r="AS47" s="6">
        <v>-2.3561944901923537</v>
      </c>
      <c r="AT47" s="6">
        <v>-219.0645191459468</v>
      </c>
      <c r="AU47" s="6">
        <v>8.9499019007028195</v>
      </c>
      <c r="AV47" s="6">
        <f t="shared" si="1"/>
        <v>3.1007602660649347</v>
      </c>
      <c r="AW47" s="6">
        <f t="shared" si="2"/>
        <v>5.4569547562572884</v>
      </c>
      <c r="AX47" s="6">
        <f t="shared" si="3"/>
        <v>0.74456577587258987</v>
      </c>
      <c r="AY47" s="6">
        <f t="shared" si="4"/>
        <v>0.74456577587258987</v>
      </c>
      <c r="AZ47" s="47">
        <f t="shared" si="5"/>
        <v>3.9269908169872325</v>
      </c>
      <c r="BA47" s="47">
        <f t="shared" si="6"/>
        <v>3.1007602660649347</v>
      </c>
      <c r="BB47" s="47">
        <f t="shared" si="7"/>
        <v>5.4569547562572884</v>
      </c>
      <c r="BC47" s="47">
        <f t="shared" si="8"/>
        <v>0.74456577587258987</v>
      </c>
      <c r="BD47" s="47">
        <f t="shared" si="9"/>
        <v>0.74456577587258987</v>
      </c>
      <c r="BE47" s="40"/>
      <c r="BF47" s="40"/>
      <c r="BG47" s="6">
        <f t="shared" si="18"/>
        <v>-2.583087292951614</v>
      </c>
      <c r="BH47" s="9">
        <f t="shared" ca="1" si="19"/>
        <v>-123.47352660622393</v>
      </c>
      <c r="BI47" s="9">
        <f t="shared" ca="1" si="20"/>
        <v>-18.692744915022246</v>
      </c>
      <c r="BJ47">
        <f t="shared" ca="1" si="21"/>
        <v>124.88046478547386</v>
      </c>
      <c r="BK47" s="6">
        <f t="shared" ca="1" si="22"/>
        <v>-0.98873372082921984</v>
      </c>
      <c r="BL47" s="6">
        <f t="shared" ca="1" si="23"/>
        <v>-0.14968510044492236</v>
      </c>
      <c r="BM47" s="6">
        <f t="shared" ca="1" si="24"/>
        <v>-2.9913428762236967</v>
      </c>
      <c r="BN47" s="6">
        <f t="shared" ca="1" si="25"/>
        <v>-3.2668779043558871</v>
      </c>
      <c r="BO47" s="9"/>
      <c r="BT47" s="40"/>
    </row>
    <row r="48" spans="1:72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 s="6">
        <v>-2.3387411976724106</v>
      </c>
      <c r="AT48" s="6">
        <v>-216.68527766215192</v>
      </c>
      <c r="AU48" s="6">
        <v>8.500148009067626</v>
      </c>
      <c r="AV48" s="6">
        <f t="shared" si="1"/>
        <v>3.1023846741994445</v>
      </c>
      <c r="AW48" s="6">
        <f t="shared" si="2"/>
        <v>5.4411258718718551</v>
      </c>
      <c r="AX48" s="6">
        <f t="shared" si="3"/>
        <v>0.74619018400709969</v>
      </c>
      <c r="AY48" s="6">
        <f t="shared" si="4"/>
        <v>0.74619018400709969</v>
      </c>
      <c r="AZ48" s="47">
        <f t="shared" si="5"/>
        <v>3.9444441095071756</v>
      </c>
      <c r="BA48" s="47">
        <f t="shared" si="6"/>
        <v>3.1023846741994445</v>
      </c>
      <c r="BB48" s="47">
        <f t="shared" si="7"/>
        <v>5.4411258718718551</v>
      </c>
      <c r="BC48" s="47">
        <f t="shared" si="8"/>
        <v>0.74619018400709969</v>
      </c>
      <c r="BD48" s="47">
        <f t="shared" si="9"/>
        <v>0.74619018400709969</v>
      </c>
      <c r="BE48" s="40"/>
      <c r="BF48" s="40"/>
      <c r="BG48" s="6">
        <f t="shared" si="18"/>
        <v>-2.5656340004316709</v>
      </c>
      <c r="BH48" s="9">
        <f t="shared" ca="1" si="19"/>
        <v>-123.06440686844475</v>
      </c>
      <c r="BI48" s="9">
        <f t="shared" ca="1" si="20"/>
        <v>-19.334984590741165</v>
      </c>
      <c r="BJ48">
        <f t="shared" ca="1" si="21"/>
        <v>124.57403367879805</v>
      </c>
      <c r="BK48" s="6">
        <f t="shared" ca="1" si="22"/>
        <v>-0.98788168958030431</v>
      </c>
      <c r="BL48" s="6">
        <f t="shared" ca="1" si="23"/>
        <v>-0.15520878645219541</v>
      </c>
      <c r="BM48" s="6">
        <f t="shared" ca="1" si="24"/>
        <v>-2.985753856124497</v>
      </c>
      <c r="BN48" s="6">
        <f t="shared" ca="1" si="25"/>
        <v>-3.2612888842566878</v>
      </c>
      <c r="BO48" s="9"/>
      <c r="BT48" s="40"/>
    </row>
    <row r="49" spans="1:72" x14ac:dyDescent="0.25">
      <c r="A49" t="s">
        <v>43</v>
      </c>
      <c r="B49" s="6">
        <f>C37</f>
        <v>-13.353128666005993</v>
      </c>
      <c r="C49" s="6">
        <f>D37</f>
        <v>-1.3015201992627707</v>
      </c>
      <c r="D49" s="6">
        <f t="shared" ref="D49:E56" si="37">C38</f>
        <v>-6.97066104019338</v>
      </c>
      <c r="E49" s="6">
        <f t="shared" si="37"/>
        <v>-11.463415052362457</v>
      </c>
      <c r="F49" s="6">
        <f t="shared" ref="F49:F54" si="38">IF(B49=D49,"V",(C49-E49)/(B49-D49))</f>
        <v>-1.5921576808320868</v>
      </c>
      <c r="G49" s="6">
        <f t="shared" ref="G49:G54" si="39">IF(F49="V",0,(-1*B49*F49)+C49)</f>
        <v>-22.561806567983329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S49" s="6">
        <v>-2.3212879051524675</v>
      </c>
      <c r="AT49" s="6">
        <v>-214.35387099284145</v>
      </c>
      <c r="AU49" s="6">
        <v>8.0687481404795385</v>
      </c>
      <c r="AV49" s="6">
        <f t="shared" si="1"/>
        <v>3.1039682319814039</v>
      </c>
      <c r="AW49" s="6">
        <f t="shared" si="2"/>
        <v>5.4252561371338714</v>
      </c>
      <c r="AX49" s="6">
        <f t="shared" si="3"/>
        <v>0.74777374178905909</v>
      </c>
      <c r="AY49" s="6">
        <f t="shared" si="4"/>
        <v>0.74777374178905909</v>
      </c>
      <c r="AZ49" s="47">
        <f t="shared" si="5"/>
        <v>3.9618974020271187</v>
      </c>
      <c r="BA49" s="47">
        <f t="shared" si="6"/>
        <v>3.1039682319814039</v>
      </c>
      <c r="BB49" s="47">
        <f t="shared" si="7"/>
        <v>5.4252561371338714</v>
      </c>
      <c r="BC49" s="47">
        <f t="shared" si="8"/>
        <v>0.74777374178905909</v>
      </c>
      <c r="BD49" s="47">
        <f t="shared" si="9"/>
        <v>0.74777374178905909</v>
      </c>
      <c r="BE49" s="40"/>
      <c r="BF49" s="40"/>
      <c r="BG49" s="6">
        <f t="shared" si="18"/>
        <v>-2.5481807079117278</v>
      </c>
      <c r="BH49" s="9">
        <f t="shared" ca="1" si="19"/>
        <v>-122.65382690349885</v>
      </c>
      <c r="BI49" s="9">
        <f t="shared" ca="1" si="20"/>
        <v>-19.955346835467775</v>
      </c>
      <c r="BJ49">
        <f t="shared" ca="1" si="21"/>
        <v>124.26655672946472</v>
      </c>
      <c r="BK49" s="6">
        <f t="shared" ca="1" si="22"/>
        <v>-0.98702201245121102</v>
      </c>
      <c r="BL49" s="6">
        <f t="shared" ca="1" si="23"/>
        <v>-0.16058501467061398</v>
      </c>
      <c r="BM49" s="6">
        <f t="shared" ca="1" si="24"/>
        <v>-2.9803093223659372</v>
      </c>
      <c r="BN49" s="6">
        <f t="shared" ca="1" si="25"/>
        <v>-3.255844350498128</v>
      </c>
      <c r="BO49" s="9"/>
      <c r="BT49" s="40"/>
    </row>
    <row r="50" spans="1:72" x14ac:dyDescent="0.25">
      <c r="A50" t="s">
        <v>44</v>
      </c>
      <c r="B50" s="6">
        <f t="shared" ref="B50:C54" si="40">D49</f>
        <v>-6.97066104019338</v>
      </c>
      <c r="C50" s="6">
        <f t="shared" si="40"/>
        <v>-11.463415052362457</v>
      </c>
      <c r="D50" s="6">
        <f t="shared" si="37"/>
        <v>6.5785320972728698</v>
      </c>
      <c r="E50" s="6">
        <f t="shared" si="37"/>
        <v>-2.9534582179456388</v>
      </c>
      <c r="F50" s="6">
        <f t="shared" si="38"/>
        <v>0.62807849501274526</v>
      </c>
      <c r="G50" s="6">
        <f t="shared" si="39"/>
        <v>-7.0852927569938213</v>
      </c>
      <c r="H50" s="6">
        <f t="shared" ref="H50:H54" si="41">IF(AND(C50&lt;$G$41,E50&lt;$G$41),0,IF(AND(C50&lt;$G$41,E50&gt;$G$41),IF(F50="V",B50,($G$41-G50)/F50),B50))</f>
        <v>0</v>
      </c>
      <c r="I50" s="6">
        <f t="shared" ref="I50:I54" si="42">IF(AND(C50&lt;$G$41,E50&lt;$G$41),0,IF(AND(C50&lt;$G$41,E50&gt;$G$41),$G$41,C50))</f>
        <v>0</v>
      </c>
      <c r="J50" s="6">
        <f t="shared" ref="J50:J54" si="43">IF(AND(C50&lt;$G$41,E50&lt;$G$41),0,IF(E50&gt;=$G$41,D50,IF(F50="V",D50,($G$41-G50)/F50)))</f>
        <v>0</v>
      </c>
      <c r="K50" s="6">
        <f t="shared" ref="K50:K54" si="44">IF(AND(C50&lt;$G$41,E50&lt;$G$41),0,IF(E50&gt;=$G$41,E50,$G$41))</f>
        <v>0</v>
      </c>
      <c r="L50" s="6">
        <f t="shared" ref="L50:L54" si="45">IF(AND(I50=0,K50=0,H50=0,J50=0),0,$B$31)</f>
        <v>0</v>
      </c>
      <c r="M50" s="6">
        <f t="shared" ref="M50:M54" si="46">IF(AND(I50=0,K50=0,H50=0,J50=0),0,$B$31)</f>
        <v>0</v>
      </c>
      <c r="N50" s="10">
        <f t="shared" ref="N50:N54" si="47">(1/6)*(K50-I50)*((L50*((2*H50)+J50))+(M50*(H50+(2*J50))))</f>
        <v>0</v>
      </c>
      <c r="O50" s="10">
        <f t="shared" ref="O50:O54" si="48">((1/12)*(K50-I50)*(L50*H50*((3*I50)+K50)+L50*J50*(I50+K50)+M50*H50*(I50+K50)+M50*J50*(I50+(3*K50))))</f>
        <v>0</v>
      </c>
      <c r="P50" s="10">
        <f t="shared" ref="P50:P54" si="49">((-1/24)*(K50-I50)*(H50*H50*((3*L50)+M50)+2*H50*J50*(L50+M50)+J50*J50*(L50+(3*M50))))</f>
        <v>0</v>
      </c>
      <c r="S50" t="e">
        <f t="shared" ref="S50:S55" si="50">IF(AND(I50=0,K50=0,H50=0,J50=0),NA(),H50)</f>
        <v>#N/A</v>
      </c>
      <c r="T50" t="e">
        <f t="shared" ref="T50:T55" si="51">IF(AND(I50=0,K50=0,H50=0,J50=0),NA(),I50)</f>
        <v>#N/A</v>
      </c>
      <c r="V50" t="e">
        <f t="shared" ref="V50:V55" si="52">IF(AND(I50=0,K50=0,H50=0,J50=0),NA(),J50)</f>
        <v>#N/A</v>
      </c>
      <c r="W50" t="e">
        <f t="shared" ref="W50:W55" si="53">IF(AND(I50=0,K50=0,H50=0,J50=0),NA(),K50)</f>
        <v>#N/A</v>
      </c>
      <c r="AS50" s="6">
        <v>-2.3038346126325244</v>
      </c>
      <c r="AT50" s="6">
        <v>-212.0669220212491</v>
      </c>
      <c r="AU50" s="6">
        <v>7.6544300831558871</v>
      </c>
      <c r="AV50" s="6">
        <f t="shared" si="1"/>
        <v>3.1055139076625835</v>
      </c>
      <c r="AW50" s="6">
        <f t="shared" si="2"/>
        <v>5.4093485202951079</v>
      </c>
      <c r="AX50" s="6">
        <f t="shared" si="3"/>
        <v>0.74931941747023867</v>
      </c>
      <c r="AY50" s="6">
        <f t="shared" si="4"/>
        <v>0.74931941747023867</v>
      </c>
      <c r="AZ50" s="47">
        <f t="shared" si="5"/>
        <v>3.9793506945470618</v>
      </c>
      <c r="BA50" s="47">
        <f t="shared" si="6"/>
        <v>3.1055139076625835</v>
      </c>
      <c r="BB50" s="47">
        <f t="shared" si="7"/>
        <v>5.4093485202951079</v>
      </c>
      <c r="BC50" s="47">
        <f t="shared" si="8"/>
        <v>0.74931941747023867</v>
      </c>
      <c r="BD50" s="47">
        <f t="shared" si="9"/>
        <v>0.74931941747023867</v>
      </c>
      <c r="BE50" s="40"/>
      <c r="BF50" s="40"/>
      <c r="BG50" s="6">
        <f t="shared" si="18"/>
        <v>-2.5307274153917847</v>
      </c>
      <c r="BH50" s="9">
        <f t="shared" ca="1" si="19"/>
        <v>-122.24130422791295</v>
      </c>
      <c r="BI50" s="9">
        <f t="shared" ca="1" si="20"/>
        <v>-20.555608654365585</v>
      </c>
      <c r="BJ50">
        <f t="shared" ca="1" si="21"/>
        <v>123.95753106000699</v>
      </c>
      <c r="BK50" s="6">
        <f t="shared" ca="1" si="22"/>
        <v>-0.98615471914116115</v>
      </c>
      <c r="BL50" s="6">
        <f t="shared" ca="1" si="23"/>
        <v>-0.1658278321501479</v>
      </c>
      <c r="BM50" s="6">
        <f t="shared" ca="1" si="24"/>
        <v>-2.97499524678644</v>
      </c>
      <c r="BN50" s="6">
        <f t="shared" ca="1" si="25"/>
        <v>-3.2505302749186304</v>
      </c>
      <c r="BO50" s="9"/>
      <c r="BT50" s="40"/>
    </row>
    <row r="51" spans="1:72" x14ac:dyDescent="0.25">
      <c r="A51" t="s">
        <v>45</v>
      </c>
      <c r="B51" s="6">
        <f t="shared" si="40"/>
        <v>6.5785320972728698</v>
      </c>
      <c r="C51" s="6">
        <f t="shared" si="40"/>
        <v>-2.9534582179456388</v>
      </c>
      <c r="D51" s="6">
        <f t="shared" si="37"/>
        <v>6.5785320972728698</v>
      </c>
      <c r="E51" s="6">
        <f t="shared" si="37"/>
        <v>-2.9534582179456388</v>
      </c>
      <c r="F51" s="6" t="str">
        <f t="shared" si="38"/>
        <v>V</v>
      </c>
      <c r="G51" s="6">
        <f t="shared" si="39"/>
        <v>0</v>
      </c>
      <c r="H51" s="6">
        <f t="shared" si="41"/>
        <v>0</v>
      </c>
      <c r="I51" s="6">
        <f t="shared" si="42"/>
        <v>0</v>
      </c>
      <c r="J51" s="6">
        <f t="shared" si="43"/>
        <v>0</v>
      </c>
      <c r="K51" s="6">
        <f t="shared" si="44"/>
        <v>0</v>
      </c>
      <c r="L51" s="6">
        <f t="shared" si="45"/>
        <v>0</v>
      </c>
      <c r="M51" s="6">
        <f t="shared" si="46"/>
        <v>0</v>
      </c>
      <c r="N51" s="10">
        <f t="shared" si="47"/>
        <v>0</v>
      </c>
      <c r="O51" s="10">
        <f t="shared" si="48"/>
        <v>0</v>
      </c>
      <c r="P51" s="10">
        <f t="shared" si="49"/>
        <v>0</v>
      </c>
      <c r="S51" t="e">
        <f t="shared" si="50"/>
        <v>#N/A</v>
      </c>
      <c r="T51" t="e">
        <f t="shared" si="51"/>
        <v>#N/A</v>
      </c>
      <c r="V51" t="e">
        <f t="shared" si="52"/>
        <v>#N/A</v>
      </c>
      <c r="W51" t="e">
        <f t="shared" si="53"/>
        <v>#N/A</v>
      </c>
      <c r="AS51" s="6">
        <v>-2.2863813201125813</v>
      </c>
      <c r="AT51" s="6">
        <v>-209.82126575126063</v>
      </c>
      <c r="AU51" s="6">
        <v>7.2560226298466528</v>
      </c>
      <c r="AV51" s="6">
        <f t="shared" si="1"/>
        <v>3.1070245073984237</v>
      </c>
      <c r="AW51" s="6">
        <f t="shared" si="2"/>
        <v>5.3934058275110051</v>
      </c>
      <c r="AX51" s="6">
        <f t="shared" si="3"/>
        <v>0.75083001720607889</v>
      </c>
      <c r="AY51" s="6">
        <f t="shared" si="4"/>
        <v>0.75083001720607889</v>
      </c>
      <c r="AZ51" s="47">
        <f t="shared" si="5"/>
        <v>3.9968039870670049</v>
      </c>
      <c r="BA51" s="47">
        <f t="shared" si="6"/>
        <v>3.1070245073984237</v>
      </c>
      <c r="BB51" s="47">
        <f t="shared" si="7"/>
        <v>5.3934058275110051</v>
      </c>
      <c r="BC51" s="47">
        <f t="shared" si="8"/>
        <v>0.75083001720607889</v>
      </c>
      <c r="BD51" s="47">
        <f t="shared" si="9"/>
        <v>0.75083001720607889</v>
      </c>
      <c r="BE51" s="40"/>
      <c r="BF51" s="40"/>
      <c r="BG51" s="6">
        <f t="shared" si="18"/>
        <v>-2.5132741228718416</v>
      </c>
      <c r="BH51" s="9">
        <f t="shared" ca="1" si="19"/>
        <v>-121.82635354794554</v>
      </c>
      <c r="BI51" s="9">
        <f t="shared" ca="1" si="20"/>
        <v>-21.137380314729761</v>
      </c>
      <c r="BJ51">
        <f t="shared" ca="1" si="21"/>
        <v>123.64646887541329</v>
      </c>
      <c r="BK51" s="6">
        <f t="shared" ca="1" si="22"/>
        <v>-0.98527968211286565</v>
      </c>
      <c r="BL51" s="6">
        <f t="shared" ca="1" si="23"/>
        <v>-0.17095013312533716</v>
      </c>
      <c r="BM51" s="6">
        <f t="shared" ca="1" si="24"/>
        <v>-2.9697987366259584</v>
      </c>
      <c r="BN51" s="6">
        <f t="shared" ca="1" si="25"/>
        <v>-3.2453337647581488</v>
      </c>
      <c r="BO51" s="9"/>
      <c r="BT51" s="40"/>
    </row>
    <row r="52" spans="1:72" x14ac:dyDescent="0.25">
      <c r="A52" t="s">
        <v>46</v>
      </c>
      <c r="B52" s="6">
        <f t="shared" si="40"/>
        <v>6.5785320972728698</v>
      </c>
      <c r="C52" s="6">
        <f t="shared" si="40"/>
        <v>-2.9534582179456388</v>
      </c>
      <c r="D52" s="6">
        <f t="shared" si="37"/>
        <v>13.353128666005993</v>
      </c>
      <c r="E52" s="6">
        <f t="shared" si="37"/>
        <v>1.3015201992627707</v>
      </c>
      <c r="F52" s="6">
        <f t="shared" si="38"/>
        <v>0.62807849501274549</v>
      </c>
      <c r="G52" s="6">
        <f t="shared" si="39"/>
        <v>-7.0852927569938231</v>
      </c>
      <c r="H52" s="6">
        <f t="shared" si="41"/>
        <v>0</v>
      </c>
      <c r="I52" s="6">
        <f t="shared" si="42"/>
        <v>0</v>
      </c>
      <c r="J52" s="6">
        <f t="shared" si="43"/>
        <v>0</v>
      </c>
      <c r="K52" s="6">
        <f t="shared" si="44"/>
        <v>0</v>
      </c>
      <c r="L52" s="6">
        <f t="shared" si="45"/>
        <v>0</v>
      </c>
      <c r="M52" s="6">
        <f t="shared" si="46"/>
        <v>0</v>
      </c>
      <c r="N52" s="10">
        <f t="shared" si="47"/>
        <v>0</v>
      </c>
      <c r="O52" s="10">
        <f t="shared" si="48"/>
        <v>0</v>
      </c>
      <c r="P52" s="10">
        <f t="shared" si="49"/>
        <v>0</v>
      </c>
      <c r="S52" t="e">
        <f t="shared" si="50"/>
        <v>#N/A</v>
      </c>
      <c r="T52" t="e">
        <f t="shared" si="51"/>
        <v>#N/A</v>
      </c>
      <c r="V52" t="e">
        <f t="shared" si="52"/>
        <v>#N/A</v>
      </c>
      <c r="W52" t="e">
        <f t="shared" si="53"/>
        <v>#N/A</v>
      </c>
      <c r="AS52" s="6">
        <v>-2.2689280275926382</v>
      </c>
      <c r="AT52" s="6">
        <v>-207.61392805704412</v>
      </c>
      <c r="AU52" s="6">
        <v>6.872444230714426</v>
      </c>
      <c r="AV52" s="6">
        <f t="shared" si="1"/>
        <v>3.1085026976541812</v>
      </c>
      <c r="AW52" s="6">
        <f t="shared" si="2"/>
        <v>5.3774307252468194</v>
      </c>
      <c r="AX52" s="6">
        <f t="shared" si="3"/>
        <v>0.75230820746183635</v>
      </c>
      <c r="AY52" s="6">
        <f t="shared" si="4"/>
        <v>0.75230820746183635</v>
      </c>
      <c r="AZ52" s="47">
        <f t="shared" si="5"/>
        <v>4.014257279586948</v>
      </c>
      <c r="BA52" s="47">
        <f t="shared" si="6"/>
        <v>3.1085026976541812</v>
      </c>
      <c r="BB52" s="47">
        <f t="shared" si="7"/>
        <v>5.3774307252468194</v>
      </c>
      <c r="BC52" s="47">
        <f t="shared" si="8"/>
        <v>0.75230820746183635</v>
      </c>
      <c r="BD52" s="47">
        <f t="shared" si="9"/>
        <v>0.75230820746183635</v>
      </c>
      <c r="BE52" s="40"/>
      <c r="BF52" s="40"/>
      <c r="BG52" s="6">
        <f t="shared" si="18"/>
        <v>-2.4958208303518985</v>
      </c>
      <c r="BH52" s="9">
        <f t="shared" ca="1" si="19"/>
        <v>-121.4084838387371</v>
      </c>
      <c r="BI52" s="9">
        <f t="shared" ca="1" si="20"/>
        <v>-21.702126309998938</v>
      </c>
      <c r="BJ52">
        <f t="shared" ca="1" si="21"/>
        <v>123.33289194045534</v>
      </c>
      <c r="BK52" s="6">
        <f t="shared" ca="1" si="22"/>
        <v>-0.98439663522487297</v>
      </c>
      <c r="BL52" s="6">
        <f t="shared" ca="1" si="23"/>
        <v>-0.17596381604735778</v>
      </c>
      <c r="BM52" s="6">
        <f t="shared" ca="1" si="24"/>
        <v>-2.9647078777374727</v>
      </c>
      <c r="BN52" s="6">
        <f t="shared" ca="1" si="25"/>
        <v>-3.2402429058696631</v>
      </c>
      <c r="BO52" s="9"/>
      <c r="BT52" s="40"/>
    </row>
    <row r="53" spans="1:72" x14ac:dyDescent="0.25">
      <c r="A53" t="s">
        <v>47</v>
      </c>
      <c r="B53" s="6">
        <f t="shared" si="40"/>
        <v>13.353128666005993</v>
      </c>
      <c r="C53" s="6">
        <f t="shared" si="40"/>
        <v>1.3015201992627707</v>
      </c>
      <c r="D53" s="6">
        <f t="shared" si="37"/>
        <v>6.97066104019338</v>
      </c>
      <c r="E53" s="6">
        <f t="shared" si="37"/>
        <v>11.463415052362457</v>
      </c>
      <c r="F53" s="6">
        <f t="shared" si="38"/>
        <v>-1.5921576808320868</v>
      </c>
      <c r="G53" s="6">
        <f t="shared" si="39"/>
        <v>22.561806567983329</v>
      </c>
      <c r="H53" s="6">
        <f t="shared" si="41"/>
        <v>9.7674369362755264</v>
      </c>
      <c r="I53" s="6">
        <f t="shared" si="42"/>
        <v>7.0105068278492233</v>
      </c>
      <c r="J53" s="6">
        <f t="shared" si="43"/>
        <v>6.97066104019338</v>
      </c>
      <c r="K53" s="6">
        <f t="shared" si="44"/>
        <v>11.463415052362457</v>
      </c>
      <c r="L53" s="6">
        <f t="shared" si="45"/>
        <v>4.25</v>
      </c>
      <c r="M53" s="6">
        <f t="shared" si="46"/>
        <v>4.25</v>
      </c>
      <c r="N53" s="10">
        <f t="shared" si="47"/>
        <v>158.38308005201927</v>
      </c>
      <c r="O53" s="10">
        <f t="shared" si="48"/>
        <v>1443.3378104036615</v>
      </c>
      <c r="P53" s="10">
        <f t="shared" si="49"/>
        <v>-668.92577004628311</v>
      </c>
      <c r="S53">
        <f t="shared" si="50"/>
        <v>9.7674369362755264</v>
      </c>
      <c r="T53">
        <f t="shared" si="51"/>
        <v>7.0105068278492233</v>
      </c>
      <c r="V53">
        <f t="shared" si="52"/>
        <v>6.97066104019338</v>
      </c>
      <c r="W53">
        <f t="shared" si="53"/>
        <v>11.463415052362457</v>
      </c>
      <c r="AS53" s="6">
        <v>-2.2514747350726951</v>
      </c>
      <c r="AT53" s="6">
        <v>-205.44210658285709</v>
      </c>
      <c r="AU53" s="6">
        <v>6.5026928176599741</v>
      </c>
      <c r="AV53" s="6">
        <f t="shared" si="1"/>
        <v>3.1099510265071646</v>
      </c>
      <c r="AW53" s="6">
        <f t="shared" si="2"/>
        <v>5.3614257615798593</v>
      </c>
      <c r="AX53" s="6">
        <f t="shared" si="3"/>
        <v>0.75375653631481976</v>
      </c>
      <c r="AY53" s="6">
        <f t="shared" si="4"/>
        <v>0.75375653631481976</v>
      </c>
      <c r="AZ53" s="47">
        <f t="shared" si="5"/>
        <v>4.0317105721068911</v>
      </c>
      <c r="BA53" s="47">
        <f t="shared" si="6"/>
        <v>3.1099510265071646</v>
      </c>
      <c r="BB53" s="47">
        <f t="shared" si="7"/>
        <v>5.3614257615798593</v>
      </c>
      <c r="BC53" s="47">
        <f t="shared" si="8"/>
        <v>0.75375653631481976</v>
      </c>
      <c r="BD53" s="47">
        <f t="shared" si="9"/>
        <v>0.75375653631481976</v>
      </c>
      <c r="BE53" s="40"/>
      <c r="BF53" s="40"/>
      <c r="BG53" s="6">
        <f t="shared" si="18"/>
        <v>-2.4783675378319554</v>
      </c>
      <c r="BH53" s="9">
        <f t="shared" ca="1" si="19"/>
        <v>-120.98719539895744</v>
      </c>
      <c r="BI53" s="9">
        <f t="shared" ca="1" si="20"/>
        <v>-22.251183299710561</v>
      </c>
      <c r="BJ53">
        <f t="shared" ca="1" si="21"/>
        <v>123.01632659424857</v>
      </c>
      <c r="BK53" s="6">
        <f t="shared" ca="1" si="22"/>
        <v>-0.98350518787653352</v>
      </c>
      <c r="BL53" s="6">
        <f t="shared" ca="1" si="23"/>
        <v>-0.18087991989146976</v>
      </c>
      <c r="BM53" s="6">
        <f t="shared" ca="1" si="24"/>
        <v>-2.95971159839086</v>
      </c>
      <c r="BN53" s="6">
        <f t="shared" ca="1" si="25"/>
        <v>-3.2352466265230504</v>
      </c>
      <c r="BO53" s="9"/>
      <c r="BT53" s="40"/>
    </row>
    <row r="54" spans="1:72" x14ac:dyDescent="0.25">
      <c r="A54" t="s">
        <v>48</v>
      </c>
      <c r="B54" s="6">
        <f t="shared" si="40"/>
        <v>6.97066104019338</v>
      </c>
      <c r="C54" s="6">
        <f t="shared" si="40"/>
        <v>11.463415052362457</v>
      </c>
      <c r="D54" s="6">
        <f t="shared" si="37"/>
        <v>0.19606447146025507</v>
      </c>
      <c r="E54" s="6">
        <f t="shared" si="37"/>
        <v>7.2084366351540483</v>
      </c>
      <c r="F54" s="6">
        <f t="shared" si="38"/>
        <v>0.62807849501274515</v>
      </c>
      <c r="G54" s="6">
        <f t="shared" si="39"/>
        <v>7.0852927569938222</v>
      </c>
      <c r="H54" s="6">
        <f t="shared" si="41"/>
        <v>6.97066104019338</v>
      </c>
      <c r="I54" s="6">
        <f t="shared" si="42"/>
        <v>11.463415052362457</v>
      </c>
      <c r="J54" s="6">
        <f t="shared" si="43"/>
        <v>0.19606447146025507</v>
      </c>
      <c r="K54" s="6">
        <f t="shared" si="44"/>
        <v>7.2084366351540483</v>
      </c>
      <c r="L54" s="6">
        <f t="shared" si="45"/>
        <v>4.25</v>
      </c>
      <c r="M54" s="6">
        <f t="shared" si="46"/>
        <v>4.25</v>
      </c>
      <c r="N54" s="10">
        <f t="shared" si="47"/>
        <v>-64.800307545054096</v>
      </c>
      <c r="O54" s="10">
        <f t="shared" si="48"/>
        <v>-648.4104686284204</v>
      </c>
      <c r="P54" s="10">
        <f t="shared" si="49"/>
        <v>150.68285288500095</v>
      </c>
      <c r="S54">
        <f t="shared" si="50"/>
        <v>6.97066104019338</v>
      </c>
      <c r="T54">
        <f t="shared" si="51"/>
        <v>11.463415052362457</v>
      </c>
      <c r="V54">
        <f t="shared" si="52"/>
        <v>0.19606447146025507</v>
      </c>
      <c r="W54">
        <f t="shared" si="53"/>
        <v>7.2084366351540483</v>
      </c>
      <c r="AS54" s="6">
        <v>-2.234021442552752</v>
      </c>
      <c r="AT54" s="6">
        <v>-203.30315350703543</v>
      </c>
      <c r="AU54" s="6">
        <v>6.145836667243036</v>
      </c>
      <c r="AV54" s="6">
        <f t="shared" si="1"/>
        <v>3.1113719439370988</v>
      </c>
      <c r="AW54" s="6">
        <f t="shared" si="2"/>
        <v>5.3453933864898513</v>
      </c>
      <c r="AX54" s="6">
        <f t="shared" si="3"/>
        <v>0.75517745374475398</v>
      </c>
      <c r="AY54" s="6">
        <f t="shared" si="4"/>
        <v>0.75517745374475398</v>
      </c>
      <c r="AZ54" s="47">
        <f t="shared" si="5"/>
        <v>4.0491638646268342</v>
      </c>
      <c r="BA54" s="47">
        <f t="shared" si="6"/>
        <v>3.1113719439370988</v>
      </c>
      <c r="BB54" s="47">
        <f t="shared" si="7"/>
        <v>5.3453933864898513</v>
      </c>
      <c r="BC54" s="47">
        <f t="shared" si="8"/>
        <v>0.75517745374475398</v>
      </c>
      <c r="BD54" s="47">
        <f t="shared" si="9"/>
        <v>0.75517745374475398</v>
      </c>
      <c r="BE54" s="40"/>
      <c r="BF54" s="40"/>
      <c r="BG54" s="6">
        <f t="shared" si="18"/>
        <v>-2.4609142453120123</v>
      </c>
      <c r="BH54" s="9">
        <f t="shared" ca="1" si="19"/>
        <v>-120.56197687579312</v>
      </c>
      <c r="BI54" s="9">
        <f t="shared" ca="1" si="20"/>
        <v>-22.785775540777657</v>
      </c>
      <c r="BJ54">
        <f t="shared" ca="1" si="21"/>
        <v>122.69629919110835</v>
      </c>
      <c r="BK54" s="6">
        <f t="shared" ca="1" si="22"/>
        <v>-0.98260483544013932</v>
      </c>
      <c r="BL54" s="6">
        <f t="shared" ca="1" si="23"/>
        <v>-0.1857087433850565</v>
      </c>
      <c r="BM54" s="6">
        <f t="shared" ca="1" si="24"/>
        <v>-2.9547995500038686</v>
      </c>
      <c r="BN54" s="6">
        <f t="shared" ca="1" si="25"/>
        <v>-3.2303345781360591</v>
      </c>
      <c r="BO54" s="9"/>
      <c r="BT54" s="40"/>
    </row>
    <row r="55" spans="1:72" x14ac:dyDescent="0.25">
      <c r="A55" t="s">
        <v>93</v>
      </c>
      <c r="B55" s="6">
        <f>D54</f>
        <v>0.19606447146025507</v>
      </c>
      <c r="C55" s="6">
        <f>E54</f>
        <v>7.2084366351540483</v>
      </c>
      <c r="D55" s="6">
        <f t="shared" si="37"/>
        <v>0.19606447146025507</v>
      </c>
      <c r="E55" s="6">
        <f t="shared" si="37"/>
        <v>7.2084366351540483</v>
      </c>
      <c r="F55" s="6" t="str">
        <f t="shared" ref="F55:F56" si="54">IF(B55=D55,"V",(C55-E55)/(B55-D55))</f>
        <v>V</v>
      </c>
      <c r="G55" s="6">
        <f t="shared" ref="G55:G56" si="55">IF(F55="V",0,(-1*B55*F55)+C55)</f>
        <v>0</v>
      </c>
      <c r="H55" s="6">
        <f t="shared" ref="H55:H56" si="56">IF(AND(C55&lt;$G$41,E55&lt;$G$41),0,IF(AND(C55&lt;$G$41,E55&gt;$G$41),IF(F55="V",B55,($G$41-G55)/F55),B55))</f>
        <v>0.19606447146025507</v>
      </c>
      <c r="I55" s="6">
        <f t="shared" ref="I55:I56" si="57">IF(AND(C55&lt;$G$41,E55&lt;$G$41),0,IF(AND(C55&lt;$G$41,E55&gt;$G$41),$G$41,C55))</f>
        <v>7.2084366351540483</v>
      </c>
      <c r="J55" s="6">
        <f t="shared" ref="J55:J56" si="58">IF(AND(C55&lt;$G$41,E55&lt;$G$41),0,IF(E55&gt;=$G$41,D55,IF(F55="V",D55,($G$41-G55)/F55)))</f>
        <v>0.19606447146025507</v>
      </c>
      <c r="K55" s="6">
        <f t="shared" ref="K55:K56" si="59">IF(AND(C55&lt;$G$41,E55&lt;$G$41),0,IF(E55&gt;=$G$41,E55,$G$41))</f>
        <v>7.2084366351540483</v>
      </c>
      <c r="L55" s="6">
        <f t="shared" ref="L55:L56" si="60">IF(AND(I55=0,K55=0,H55=0,J55=0),0,$B$31)</f>
        <v>4.25</v>
      </c>
      <c r="M55" s="6">
        <f t="shared" ref="M55:M56" si="61">IF(AND(I55=0,K55=0,H55=0,J55=0),0,$B$31)</f>
        <v>4.25</v>
      </c>
      <c r="N55" s="10">
        <f t="shared" ref="N55:N56" si="62">(1/6)*(K55-I55)*((L55*((2*H55)+J55))+(M55*(H55+(2*J55))))</f>
        <v>0</v>
      </c>
      <c r="O55" s="10">
        <f t="shared" ref="O55:O56" si="63">((1/12)*(K55-I55)*(L55*H55*((3*I55)+K55)+L55*J55*(I55+K55)+M55*H55*(I55+K55)+M55*J55*(I55+(3*K55))))</f>
        <v>0</v>
      </c>
      <c r="P55" s="10">
        <f t="shared" ref="P55:P56" si="64">((-1/24)*(K55-I55)*(H55*H55*((3*L55)+M55)+2*H55*J55*(L55+M55)+J55*J55*(L55+(3*M55))))</f>
        <v>0</v>
      </c>
      <c r="S55">
        <f t="shared" si="50"/>
        <v>0.19606447146025507</v>
      </c>
      <c r="T55">
        <f t="shared" si="51"/>
        <v>7.2084366351540483</v>
      </c>
      <c r="V55">
        <f t="shared" si="52"/>
        <v>0.19606447146025507</v>
      </c>
      <c r="W55">
        <f t="shared" si="53"/>
        <v>7.2084366351540483</v>
      </c>
      <c r="AS55" s="6">
        <v>-2.2165681500328089</v>
      </c>
      <c r="AT55" s="6">
        <v>-201.19455991531896</v>
      </c>
      <c r="AU55" s="6">
        <v>5.8010061164210711</v>
      </c>
      <c r="AV55" s="6">
        <f t="shared" si="1"/>
        <v>3.1127678215430334</v>
      </c>
      <c r="AW55" s="6">
        <f t="shared" si="2"/>
        <v>5.3293359715758424</v>
      </c>
      <c r="AX55" s="6">
        <f t="shared" si="3"/>
        <v>0.7565733313506886</v>
      </c>
      <c r="AY55" s="6">
        <f t="shared" si="4"/>
        <v>0.7565733313506886</v>
      </c>
      <c r="AZ55" s="47">
        <f t="shared" si="5"/>
        <v>4.0666171571467773</v>
      </c>
      <c r="BA55" s="47">
        <f t="shared" si="6"/>
        <v>3.1127678215430334</v>
      </c>
      <c r="BB55" s="47">
        <f t="shared" si="7"/>
        <v>5.3293359715758424</v>
      </c>
      <c r="BC55" s="47">
        <f t="shared" si="8"/>
        <v>0.7565733313506886</v>
      </c>
      <c r="BD55" s="47">
        <f t="shared" si="9"/>
        <v>0.7565733313506886</v>
      </c>
      <c r="BE55" s="40"/>
      <c r="BF55" s="40"/>
      <c r="BG55" s="6">
        <f t="shared" si="18"/>
        <v>-2.4434609527920692</v>
      </c>
      <c r="BH55" s="9">
        <f t="shared" ca="1" si="19"/>
        <v>-120.13230227227685</v>
      </c>
      <c r="BI55" s="9">
        <f t="shared" ca="1" si="20"/>
        <v>-23.307028236223843</v>
      </c>
      <c r="BJ55">
        <f t="shared" ca="1" si="21"/>
        <v>122.37233189917494</v>
      </c>
      <c r="BK55" s="6">
        <f t="shared" ca="1" si="22"/>
        <v>-0.98169496656528787</v>
      </c>
      <c r="BL55" s="6">
        <f t="shared" ca="1" si="23"/>
        <v>-0.19045995017425163</v>
      </c>
      <c r="BM55" s="6">
        <f t="shared" ca="1" si="24"/>
        <v>-2.9499620017653094</v>
      </c>
      <c r="BN55" s="6">
        <f t="shared" ca="1" si="25"/>
        <v>-3.2254970298975003</v>
      </c>
      <c r="BO55" s="9"/>
      <c r="BT55" s="40"/>
    </row>
    <row r="56" spans="1:72" ht="15.75" thickBot="1" x14ac:dyDescent="0.3">
      <c r="A56" t="s">
        <v>94</v>
      </c>
      <c r="B56" s="6">
        <f>D55</f>
        <v>0.19606447146025507</v>
      </c>
      <c r="C56" s="6">
        <f>E55</f>
        <v>7.2084366351540483</v>
      </c>
      <c r="D56" s="6">
        <f t="shared" si="37"/>
        <v>-13.353128666005993</v>
      </c>
      <c r="E56" s="6">
        <f t="shared" si="37"/>
        <v>-1.3015201992627707</v>
      </c>
      <c r="F56" s="6">
        <f t="shared" si="54"/>
        <v>0.62807849501274537</v>
      </c>
      <c r="G56" s="6">
        <f t="shared" si="55"/>
        <v>7.0852927569938222</v>
      </c>
      <c r="H56" s="6">
        <f t="shared" si="56"/>
        <v>0.19606447146025507</v>
      </c>
      <c r="I56" s="6">
        <f t="shared" si="57"/>
        <v>7.2084366351540483</v>
      </c>
      <c r="J56" s="6">
        <f t="shared" si="58"/>
        <v>-0.11907099150573737</v>
      </c>
      <c r="K56" s="6">
        <f t="shared" si="59"/>
        <v>7.0105068278492233</v>
      </c>
      <c r="L56" s="6">
        <f t="shared" si="60"/>
        <v>4.25</v>
      </c>
      <c r="M56" s="6">
        <f t="shared" si="61"/>
        <v>4.25</v>
      </c>
      <c r="N56" s="11">
        <f t="shared" si="62"/>
        <v>-3.2383522383641887E-2</v>
      </c>
      <c r="O56" s="11">
        <f t="shared" si="63"/>
        <v>-0.2346022122631754</v>
      </c>
      <c r="P56" s="11">
        <f t="shared" si="64"/>
        <v>4.1041650950854394E-3</v>
      </c>
      <c r="S56">
        <f t="shared" ref="S56" si="65">IF(AND(I56=0,K56=0,H56=0,J56=0),NA(),H56)</f>
        <v>0.19606447146025507</v>
      </c>
      <c r="T56">
        <f t="shared" ref="T56" si="66">IF(AND(I56=0,K56=0,H56=0,J56=0),NA(),I56)</f>
        <v>7.2084366351540483</v>
      </c>
      <c r="V56">
        <f t="shared" ref="V56" si="67">IF(AND(I56=0,K56=0,H56=0,J56=0),NA(),J56)</f>
        <v>-0.11907099150573737</v>
      </c>
      <c r="W56">
        <f t="shared" ref="W56" si="68">IF(AND(I56=0,K56=0,H56=0,J56=0),NA(),K56)</f>
        <v>7.0105068278492233</v>
      </c>
      <c r="AS56" s="6">
        <v>-2.1991148575128658</v>
      </c>
      <c r="AT56" s="6">
        <v>-199.11394154927692</v>
      </c>
      <c r="AU56" s="6">
        <v>5.4673859217372041</v>
      </c>
      <c r="AV56" s="6">
        <f t="shared" si="1"/>
        <v>3.1141409723447211</v>
      </c>
      <c r="AW56" s="6">
        <f t="shared" si="2"/>
        <v>5.3132558298575869</v>
      </c>
      <c r="AX56" s="6">
        <f t="shared" si="3"/>
        <v>0.75794648215237626</v>
      </c>
      <c r="AY56" s="6">
        <f t="shared" si="4"/>
        <v>0.75794648215237626</v>
      </c>
      <c r="AZ56" s="47">
        <f t="shared" si="5"/>
        <v>4.0840704496667204</v>
      </c>
      <c r="BA56" s="47">
        <f t="shared" si="6"/>
        <v>3.1141409723447211</v>
      </c>
      <c r="BB56" s="47">
        <f t="shared" si="7"/>
        <v>5.3132558298575869</v>
      </c>
      <c r="BC56" s="47">
        <f t="shared" si="8"/>
        <v>0.75794648215237626</v>
      </c>
      <c r="BD56" s="47">
        <f t="shared" si="9"/>
        <v>0.75794648215237626</v>
      </c>
      <c r="BE56" s="40"/>
      <c r="BF56" s="40"/>
      <c r="BG56" s="6">
        <f t="shared" si="18"/>
        <v>-2.4260076602721261</v>
      </c>
      <c r="BH56" s="9">
        <f t="shared" ca="1" si="19"/>
        <v>-119.69762777428143</v>
      </c>
      <c r="BI56" s="9">
        <f t="shared" ca="1" si="20"/>
        <v>-23.81597911981099</v>
      </c>
      <c r="BJ56">
        <f t="shared" ca="1" si="21"/>
        <v>122.04393862960053</v>
      </c>
      <c r="BK56" s="6">
        <f t="shared" ca="1" si="22"/>
        <v>-0.98077486779216394</v>
      </c>
      <c r="BL56" s="6">
        <f t="shared" ca="1" si="23"/>
        <v>-0.19514266244792156</v>
      </c>
      <c r="BM56" s="6">
        <f t="shared" ca="1" si="24"/>
        <v>-2.9451897466156871</v>
      </c>
      <c r="BN56" s="6">
        <f t="shared" ca="1" si="25"/>
        <v>-3.220724774747878</v>
      </c>
      <c r="BO56" s="9"/>
      <c r="BT56" s="40"/>
    </row>
    <row r="57" spans="1:72" ht="15.75" thickTop="1" x14ac:dyDescent="0.25">
      <c r="N57" s="6">
        <f>SUM(N49:N56)</f>
        <v>93.550388984581531</v>
      </c>
      <c r="O57" s="6">
        <f t="shared" ref="O57:P57" si="69">SUM(O49:O56)</f>
        <v>794.69273956297786</v>
      </c>
      <c r="P57" s="6">
        <f t="shared" si="69"/>
        <v>-518.23881299618699</v>
      </c>
      <c r="AS57" s="6">
        <v>-2.1816615649929227</v>
      </c>
      <c r="AT57" s="6">
        <v>-197.05902574304861</v>
      </c>
      <c r="AU57" s="6">
        <v>5.144208215021818</v>
      </c>
      <c r="AV57" s="6">
        <f t="shared" si="1"/>
        <v>3.1154936706162499</v>
      </c>
      <c r="AW57" s="6">
        <f t="shared" si="2"/>
        <v>5.2971552356091731</v>
      </c>
      <c r="AX57" s="6">
        <f t="shared" si="3"/>
        <v>0.7592991804239051</v>
      </c>
      <c r="AY57" s="6">
        <f t="shared" si="4"/>
        <v>0.7592991804239051</v>
      </c>
      <c r="AZ57" s="47">
        <f t="shared" si="5"/>
        <v>4.1015237421866635</v>
      </c>
      <c r="BA57" s="47">
        <f t="shared" si="6"/>
        <v>3.1154936706162499</v>
      </c>
      <c r="BB57" s="47">
        <f t="shared" si="7"/>
        <v>5.2971552356091731</v>
      </c>
      <c r="BC57" s="47">
        <f t="shared" si="8"/>
        <v>0.7592991804239051</v>
      </c>
      <c r="BD57" s="47">
        <f t="shared" si="9"/>
        <v>0.7592991804239051</v>
      </c>
      <c r="BE57" s="40"/>
      <c r="BF57" s="40"/>
      <c r="BG57" s="6">
        <f t="shared" si="18"/>
        <v>-2.408554367752183</v>
      </c>
      <c r="BH57" s="9">
        <f t="shared" ca="1" si="19"/>
        <v>-119.25738842233118</v>
      </c>
      <c r="BI57" s="9">
        <f t="shared" ca="1" si="20"/>
        <v>-24.313588566215927</v>
      </c>
      <c r="BJ57">
        <f t="shared" ca="1" si="21"/>
        <v>121.71062107425956</v>
      </c>
      <c r="BK57" s="6">
        <f t="shared" ca="1" si="22"/>
        <v>-0.97984372579586465</v>
      </c>
      <c r="BL57" s="6">
        <f t="shared" ca="1" si="23"/>
        <v>-0.19976554512347303</v>
      </c>
      <c r="BM57" s="6">
        <f t="shared" ca="1" si="24"/>
        <v>-2.9404740164643437</v>
      </c>
      <c r="BN57" s="6">
        <f t="shared" ca="1" si="25"/>
        <v>-3.2160090445965341</v>
      </c>
      <c r="BO57" s="9"/>
      <c r="BT57" s="40"/>
    </row>
    <row r="58" spans="1:72" x14ac:dyDescent="0.25">
      <c r="O58" s="6">
        <f>O57/N57</f>
        <v>8.4948095693536327</v>
      </c>
      <c r="P58" s="6">
        <f>-1*P57/N57</f>
        <v>5.5396756616543872</v>
      </c>
      <c r="S58">
        <f>(P58*COS(-1*$B$27))+(O58*SIN(-1*$B$27))+$I$2</f>
        <v>1.7527865772612135</v>
      </c>
      <c r="T58">
        <f>(-1*P58*SIN(-1*$B$27))+(O58*COS(-1*$B$27))+$I$3</f>
        <v>21.209287388154173</v>
      </c>
      <c r="AS58" s="6">
        <v>-2.1642082724729796</v>
      </c>
      <c r="AT58" s="6">
        <v>-195.02763935367688</v>
      </c>
      <c r="AU58" s="6">
        <v>4.830745847961154</v>
      </c>
      <c r="AV58" s="6">
        <f t="shared" si="1"/>
        <v>3.1168281725598752</v>
      </c>
      <c r="AW58" s="6">
        <f t="shared" si="2"/>
        <v>5.2810364450328553</v>
      </c>
      <c r="AX58" s="6">
        <f t="shared" si="3"/>
        <v>0.76063368236753037</v>
      </c>
      <c r="AY58" s="6">
        <f t="shared" si="4"/>
        <v>0.76063368236753037</v>
      </c>
      <c r="AZ58" s="47">
        <f t="shared" si="5"/>
        <v>4.1189770347066066</v>
      </c>
      <c r="BA58" s="47">
        <f t="shared" si="6"/>
        <v>3.1168281725598752</v>
      </c>
      <c r="BB58" s="47">
        <f t="shared" si="7"/>
        <v>5.2810364450328553</v>
      </c>
      <c r="BC58" s="47">
        <f t="shared" si="8"/>
        <v>0.76063368236753037</v>
      </c>
      <c r="BD58" s="47">
        <f t="shared" si="9"/>
        <v>0.76063368236753037</v>
      </c>
      <c r="BE58" s="40"/>
      <c r="BF58" s="40"/>
      <c r="BG58" s="6">
        <f t="shared" si="18"/>
        <v>-2.3911010752322399</v>
      </c>
      <c r="BH58" s="9">
        <f t="shared" ca="1" si="19"/>
        <v>-118.81099459722203</v>
      </c>
      <c r="BI58" s="9">
        <f t="shared" ca="1" si="20"/>
        <v>-24.800748461904828</v>
      </c>
      <c r="BJ58">
        <f t="shared" ca="1" si="21"/>
        <v>121.37186478526149</v>
      </c>
      <c r="BK58" s="6">
        <f t="shared" ca="1" si="22"/>
        <v>-0.97890062748421713</v>
      </c>
      <c r="BL58" s="6">
        <f t="shared" ca="1" si="23"/>
        <v>-0.20433688240502709</v>
      </c>
      <c r="BM58" s="6">
        <f t="shared" ca="1" si="24"/>
        <v>-2.9358064048136399</v>
      </c>
      <c r="BN58" s="6">
        <f t="shared" ca="1" si="25"/>
        <v>-3.2113414329458303</v>
      </c>
      <c r="BO58" s="9"/>
      <c r="BT58" s="40"/>
    </row>
    <row r="59" spans="1:72" x14ac:dyDescent="0.25">
      <c r="A59" t="s">
        <v>54</v>
      </c>
      <c r="AS59" s="6">
        <v>-2.1467549799530365</v>
      </c>
      <c r="AT59" s="6">
        <v>-193.01769751875673</v>
      </c>
      <c r="AU59" s="6">
        <v>4.5263060299553324</v>
      </c>
      <c r="AV59" s="6">
        <f t="shared" si="1"/>
        <v>3.1181467381578369</v>
      </c>
      <c r="AW59" s="6">
        <f t="shared" si="2"/>
        <v>5.2649017181108739</v>
      </c>
      <c r="AX59" s="6">
        <f t="shared" si="3"/>
        <v>0.7619522479654921</v>
      </c>
      <c r="AY59" s="6">
        <f t="shared" si="4"/>
        <v>0.7619522479654921</v>
      </c>
      <c r="AZ59" s="47">
        <f t="shared" si="5"/>
        <v>4.1364303272265497</v>
      </c>
      <c r="BA59" s="47">
        <f t="shared" si="6"/>
        <v>3.1181467381578369</v>
      </c>
      <c r="BB59" s="47">
        <f t="shared" si="7"/>
        <v>5.2649017181108739</v>
      </c>
      <c r="BC59" s="47">
        <f t="shared" si="8"/>
        <v>0.7619522479654921</v>
      </c>
      <c r="BD59" s="47">
        <f t="shared" si="9"/>
        <v>0.7619522479654921</v>
      </c>
      <c r="BE59" s="40"/>
      <c r="BF59" s="40"/>
      <c r="BG59" s="6">
        <f t="shared" si="18"/>
        <v>-2.3736477827122968</v>
      </c>
      <c r="BH59" s="9">
        <f t="shared" ca="1" si="19"/>
        <v>-117.38789434163648</v>
      </c>
      <c r="BI59" s="9">
        <f t="shared" ca="1" si="20"/>
        <v>-25.283042204117894</v>
      </c>
      <c r="BJ59">
        <f t="shared" ca="1" si="21"/>
        <v>120.07976499418383</v>
      </c>
      <c r="BK59" s="6">
        <f t="shared" ca="1" si="22"/>
        <v>-0.97758264556332419</v>
      </c>
      <c r="BL59" s="6">
        <f t="shared" ca="1" si="23"/>
        <v>-0.21055206266719875</v>
      </c>
      <c r="BM59" s="6">
        <f t="shared" ca="1" si="24"/>
        <v>-2.9294530058951684</v>
      </c>
      <c r="BN59" s="6">
        <f t="shared" ca="1" si="25"/>
        <v>-3.2049880340273589</v>
      </c>
      <c r="BO59" s="9"/>
      <c r="BT59" s="40"/>
    </row>
    <row r="60" spans="1:72" x14ac:dyDescent="0.25">
      <c r="AS60" s="6">
        <v>-2.1293016874330934</v>
      </c>
      <c r="AT60" s="6">
        <v>-191.02719307660132</v>
      </c>
      <c r="AU60" s="6">
        <v>4.2302241277981398</v>
      </c>
      <c r="AV60" s="6">
        <f t="shared" si="1"/>
        <v>3.1194516547881816</v>
      </c>
      <c r="AW60" s="6">
        <f t="shared" si="2"/>
        <v>5.2487533422212751</v>
      </c>
      <c r="AX60" s="6">
        <f t="shared" si="3"/>
        <v>0.76325716459583681</v>
      </c>
      <c r="AY60" s="6">
        <f t="shared" si="4"/>
        <v>0.76325716459583681</v>
      </c>
      <c r="AZ60" s="47">
        <f t="shared" si="5"/>
        <v>4.1538836197464928</v>
      </c>
      <c r="BA60" s="47">
        <f t="shared" si="6"/>
        <v>3.1194516547881816</v>
      </c>
      <c r="BB60" s="47">
        <f t="shared" si="7"/>
        <v>5.2487533422212751</v>
      </c>
      <c r="BC60" s="47">
        <f t="shared" si="8"/>
        <v>0.76325716459583681</v>
      </c>
      <c r="BD60" s="47">
        <f t="shared" si="9"/>
        <v>0.76325716459583681</v>
      </c>
      <c r="BE60" s="40"/>
      <c r="BF60" s="40"/>
      <c r="BG60" s="6">
        <f t="shared" si="18"/>
        <v>-2.3561944901923537</v>
      </c>
      <c r="BH60" s="9">
        <f t="shared" ca="1" si="19"/>
        <v>-114.95720506189134</v>
      </c>
      <c r="BI60" s="9">
        <f t="shared" ca="1" si="20"/>
        <v>-25.752536127315665</v>
      </c>
      <c r="BJ60">
        <f t="shared" ca="1" si="21"/>
        <v>117.8064179602726</v>
      </c>
      <c r="BK60" s="6">
        <f t="shared" ca="1" si="22"/>
        <v>-0.9758144509635962</v>
      </c>
      <c r="BL60" s="6">
        <f t="shared" ca="1" si="23"/>
        <v>-0.21860045125894664</v>
      </c>
      <c r="BM60" s="6">
        <f t="shared" ca="1" si="24"/>
        <v>-2.9212126506051734</v>
      </c>
      <c r="BN60" s="6">
        <f t="shared" ca="1" si="25"/>
        <v>-3.1967476787373643</v>
      </c>
      <c r="BO60" s="9"/>
      <c r="BT60" s="40"/>
    </row>
    <row r="61" spans="1:72" x14ac:dyDescent="0.25">
      <c r="A61">
        <f t="shared" ref="A61:A71" si="70">A14</f>
        <v>0</v>
      </c>
      <c r="B61" s="1" t="str">
        <f t="shared" ref="B61:D61" si="71">B14</f>
        <v>Bar #</v>
      </c>
      <c r="C61" s="1" t="str">
        <f t="shared" si="71"/>
        <v>As (in^2)</v>
      </c>
      <c r="D61" s="1" t="str">
        <f t="shared" si="71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 s="6">
        <v>-2.1118483949131504</v>
      </c>
      <c r="AT61" s="6">
        <v>-189.05418648874331</v>
      </c>
      <c r="AU61" s="6">
        <v>3.9418575090049779</v>
      </c>
      <c r="AV61" s="6">
        <f t="shared" si="1"/>
        <v>3.1207452631991432</v>
      </c>
      <c r="AW61" s="6">
        <f t="shared" si="2"/>
        <v>5.2325936581122932</v>
      </c>
      <c r="AX61" s="6">
        <f t="shared" si="3"/>
        <v>0.76455077300679841</v>
      </c>
      <c r="AY61" s="6">
        <f t="shared" si="4"/>
        <v>0.76455077300679841</v>
      </c>
      <c r="AZ61" s="47">
        <f t="shared" si="5"/>
        <v>4.1713369122664359</v>
      </c>
      <c r="BA61" s="47">
        <f t="shared" si="6"/>
        <v>3.1207452631991432</v>
      </c>
      <c r="BB61" s="47">
        <f t="shared" si="7"/>
        <v>5.2325936581122932</v>
      </c>
      <c r="BC61" s="47">
        <f t="shared" si="8"/>
        <v>0.76455077300679841</v>
      </c>
      <c r="BD61" s="47">
        <f t="shared" si="9"/>
        <v>0.76455077300679841</v>
      </c>
      <c r="BE61" s="40"/>
      <c r="BF61" s="40"/>
      <c r="BG61" s="6">
        <f t="shared" si="18"/>
        <v>-2.3387411976724106</v>
      </c>
      <c r="BH61" s="9">
        <f t="shared" ca="1" si="19"/>
        <v>-112.57796357809646</v>
      </c>
      <c r="BI61" s="9">
        <f t="shared" ca="1" si="20"/>
        <v>-26.202290018950858</v>
      </c>
      <c r="BJ61">
        <f t="shared" ca="1" si="21"/>
        <v>115.58701434689117</v>
      </c>
      <c r="BK61" s="6">
        <f t="shared" ca="1" si="22"/>
        <v>-0.97396722472851349</v>
      </c>
      <c r="BL61" s="6">
        <f t="shared" ca="1" si="23"/>
        <v>-0.22668887302785148</v>
      </c>
      <c r="BM61" s="6">
        <f t="shared" ca="1" si="24"/>
        <v>-2.9129159520851893</v>
      </c>
      <c r="BN61" s="6">
        <f t="shared" ca="1" si="25"/>
        <v>-3.1884509802173797</v>
      </c>
      <c r="BO61" s="9"/>
      <c r="BT61" s="40"/>
    </row>
    <row r="62" spans="1:72" x14ac:dyDescent="0.25">
      <c r="A62">
        <f t="shared" si="70"/>
        <v>1</v>
      </c>
      <c r="B62" s="1">
        <f t="shared" ref="B62:D67" si="72">B15</f>
        <v>0</v>
      </c>
      <c r="C62" s="1">
        <f t="shared" ca="1" si="72"/>
        <v>0</v>
      </c>
      <c r="D62" s="1">
        <f t="shared" si="72"/>
        <v>2</v>
      </c>
      <c r="E62" s="1">
        <f t="shared" ref="E62" si="73">E15</f>
        <v>2</v>
      </c>
      <c r="F62" s="1">
        <f>D62-$I$2</f>
        <v>-4</v>
      </c>
      <c r="G62" s="1">
        <f>E62-$I$3</f>
        <v>-10</v>
      </c>
      <c r="H62" s="6">
        <f>F62*COS($B$27)+G62*SIN($B$27)</f>
        <v>-10.595734919520611</v>
      </c>
      <c r="I62" s="6">
        <f>-1*F62*SIN($B$27)+G62*COS($B$27)</f>
        <v>-1.9314247371439497</v>
      </c>
      <c r="J62" s="6">
        <f>$G$38-I62</f>
        <v>13.394839789506406</v>
      </c>
      <c r="K62">
        <f ca="1">IF($B$28=0,-1,IF(C62=0,0,(($B$28-J62)/$B$28)*$B$30)*IF($B$28&lt;0,-1,1))</f>
        <v>0</v>
      </c>
      <c r="L62">
        <f ca="1">IF(AND(K62&gt;0,J62&lt;=$B$29),MIN((K62*B$13),B$12)-$B$31,MAX(K62*B$13,-1*B$12))</f>
        <v>0</v>
      </c>
      <c r="M62" s="6">
        <f ca="1">L62*C62</f>
        <v>0</v>
      </c>
      <c r="N62" s="6">
        <f ca="1">M62*I62</f>
        <v>0</v>
      </c>
      <c r="O62" s="6">
        <f ca="1">M62*H62*-1</f>
        <v>0</v>
      </c>
      <c r="Q62" t="e">
        <f>IF($B62=0,NA(),H62)</f>
        <v>#N/A</v>
      </c>
      <c r="R62" t="e">
        <f>IF($B62=0,NA(),I62)</f>
        <v>#N/A</v>
      </c>
      <c r="AS62" s="6">
        <v>-2.0943951023932073</v>
      </c>
      <c r="AT62" s="6">
        <v>-187.09679608020417</v>
      </c>
      <c r="AU62" s="6">
        <v>3.6605792316260652</v>
      </c>
      <c r="AV62" s="6">
        <f t="shared" si="1"/>
        <v>3.1220299869325725</v>
      </c>
      <c r="AW62" s="6">
        <f t="shared" si="2"/>
        <v>5.2164250893257798</v>
      </c>
      <c r="AX62" s="6">
        <f t="shared" si="3"/>
        <v>0.76583549674022766</v>
      </c>
      <c r="AY62" s="6">
        <f t="shared" si="4"/>
        <v>0.76583549674022766</v>
      </c>
      <c r="AZ62" s="47">
        <f t="shared" si="5"/>
        <v>4.188790204786379</v>
      </c>
      <c r="BA62" s="47">
        <f t="shared" si="6"/>
        <v>3.1220299869325725</v>
      </c>
      <c r="BB62" s="47">
        <f t="shared" si="7"/>
        <v>5.2164250893257798</v>
      </c>
      <c r="BC62" s="47">
        <f t="shared" si="8"/>
        <v>0.76583549674022766</v>
      </c>
      <c r="BD62" s="47">
        <f t="shared" si="9"/>
        <v>0.76583549674022766</v>
      </c>
      <c r="BE62" s="40"/>
      <c r="BF62" s="40"/>
      <c r="BG62" s="6">
        <f t="shared" si="18"/>
        <v>-2.3212879051524675</v>
      </c>
      <c r="BH62" s="9">
        <f t="shared" ca="1" si="19"/>
        <v>-110.24655690878599</v>
      </c>
      <c r="BI62" s="9">
        <f t="shared" ca="1" si="20"/>
        <v>-26.633689887538946</v>
      </c>
      <c r="BJ62">
        <f t="shared" ca="1" si="21"/>
        <v>113.41806182115697</v>
      </c>
      <c r="BK62" s="6">
        <f t="shared" ca="1" si="22"/>
        <v>-0.97203703835662469</v>
      </c>
      <c r="BL62" s="6">
        <f t="shared" ca="1" si="23"/>
        <v>-0.2348275879509934</v>
      </c>
      <c r="BM62" s="6">
        <f t="shared" ca="1" si="24"/>
        <v>-2.9045514611890773</v>
      </c>
      <c r="BN62" s="6">
        <f t="shared" ca="1" si="25"/>
        <v>-3.1800864893212681</v>
      </c>
      <c r="BO62" s="9"/>
      <c r="BT62" s="40"/>
    </row>
    <row r="63" spans="1:72" x14ac:dyDescent="0.25">
      <c r="A63">
        <f t="shared" si="70"/>
        <v>2</v>
      </c>
      <c r="B63" s="1">
        <f t="shared" si="72"/>
        <v>0</v>
      </c>
      <c r="C63" s="1">
        <f t="shared" ca="1" si="72"/>
        <v>0</v>
      </c>
      <c r="D63" s="1">
        <f t="shared" si="72"/>
        <v>10</v>
      </c>
      <c r="E63" s="1">
        <f t="shared" ref="E63" si="74">E16</f>
        <v>2</v>
      </c>
      <c r="F63" s="1">
        <f t="shared" ref="F63:F71" si="75">D63-$I$2</f>
        <v>4</v>
      </c>
      <c r="G63" s="1">
        <f t="shared" ref="G63:G71" si="76">E63-$I$3</f>
        <v>-10</v>
      </c>
      <c r="H63" s="6">
        <f t="shared" ref="H63:H71" si="77">F63*COS($B$27)+G63*SIN($B$27)</f>
        <v>-6.3407565023122014</v>
      </c>
      <c r="I63" s="6">
        <f t="shared" ref="I63:I71" si="78">-1*F63*SIN($B$27)+G63*COS($B$27)</f>
        <v>-8.7060213058770746</v>
      </c>
      <c r="J63" s="6">
        <f t="shared" ref="J63:J71" si="79">$G$38-I63</f>
        <v>20.16943635823953</v>
      </c>
      <c r="K63">
        <f t="shared" ref="K63:K71" ca="1" si="80">IF($B$28=0,-1,IF(C63=0,0,(($B$28-J63)/$B$28)*$B$30)*IF($B$28&lt;0,-1,1))</f>
        <v>0</v>
      </c>
      <c r="L63">
        <f t="shared" ref="L63:L71" ca="1" si="81">IF(AND(K63&gt;0,J63&lt;=$B$29),MIN((K63*B$13),B$12)-$B$31,MAX(K63*B$13,-1*B$12))</f>
        <v>0</v>
      </c>
      <c r="M63" s="6">
        <f t="shared" ref="M63:M71" ca="1" si="82">L63*C63</f>
        <v>0</v>
      </c>
      <c r="N63" s="6">
        <f t="shared" ref="N63:N71" ca="1" si="83">M63*I63</f>
        <v>0</v>
      </c>
      <c r="O63" s="6">
        <f t="shared" ref="O63:O71" ca="1" si="84">M63*H63*-1</f>
        <v>0</v>
      </c>
      <c r="Q63" t="e">
        <f t="shared" ref="Q63:Q71" si="85">IF($B63=0,NA(),H63)</f>
        <v>#N/A</v>
      </c>
      <c r="R63" t="e">
        <f t="shared" ref="R63:R71" si="86">IF($B63=0,NA(),I63)</f>
        <v>#N/A</v>
      </c>
      <c r="AS63" s="6">
        <v>-2.0769418098732642</v>
      </c>
      <c r="AT63" s="6">
        <v>-185.15318842965115</v>
      </c>
      <c r="AU63" s="6">
        <v>3.3857715014968925</v>
      </c>
      <c r="AV63" s="6">
        <f t="shared" si="1"/>
        <v>3.1233083657691916</v>
      </c>
      <c r="AW63" s="6">
        <f t="shared" si="2"/>
        <v>5.2002501756424557</v>
      </c>
      <c r="AX63" s="6">
        <f t="shared" si="3"/>
        <v>0.76711387557684674</v>
      </c>
      <c r="AY63" s="6">
        <f t="shared" si="4"/>
        <v>0.76711387557684674</v>
      </c>
      <c r="AZ63" s="47">
        <f t="shared" si="5"/>
        <v>4.2062434973063221</v>
      </c>
      <c r="BA63" s="47">
        <f t="shared" si="6"/>
        <v>3.1233083657691916</v>
      </c>
      <c r="BB63" s="47">
        <f t="shared" si="7"/>
        <v>5.2002501756424557</v>
      </c>
      <c r="BC63" s="47">
        <f t="shared" si="8"/>
        <v>0.76711387557684674</v>
      </c>
      <c r="BD63" s="47">
        <f t="shared" si="9"/>
        <v>0.76711387557684674</v>
      </c>
      <c r="BE63" s="40"/>
      <c r="BF63" s="40"/>
      <c r="BG63" s="6">
        <f t="shared" si="18"/>
        <v>-2.3038346126325244</v>
      </c>
      <c r="BH63" s="9">
        <f t="shared" ca="1" si="19"/>
        <v>-107.95960793719364</v>
      </c>
      <c r="BI63" s="9">
        <f t="shared" ca="1" si="20"/>
        <v>-27.048007944862597</v>
      </c>
      <c r="BJ63">
        <f t="shared" ca="1" si="21"/>
        <v>111.2963237476329</v>
      </c>
      <c r="BK63" s="6">
        <f t="shared" ca="1" si="22"/>
        <v>-0.97001953255881712</v>
      </c>
      <c r="BL63" s="6">
        <f t="shared" ca="1" si="23"/>
        <v>-0.24302696651683312</v>
      </c>
      <c r="BM63" s="6">
        <f t="shared" ca="1" si="24"/>
        <v>-2.8961074951685011</v>
      </c>
      <c r="BN63" s="6">
        <f t="shared" ca="1" si="25"/>
        <v>-3.171642523300692</v>
      </c>
      <c r="BO63" s="9"/>
      <c r="BT63" s="40"/>
    </row>
    <row r="64" spans="1:72" x14ac:dyDescent="0.25">
      <c r="A64">
        <f t="shared" si="70"/>
        <v>3</v>
      </c>
      <c r="B64" s="1">
        <f t="shared" si="72"/>
        <v>0</v>
      </c>
      <c r="C64" s="1">
        <f t="shared" ca="1" si="72"/>
        <v>0</v>
      </c>
      <c r="D64" s="1">
        <f t="shared" si="72"/>
        <v>2</v>
      </c>
      <c r="E64" s="1">
        <f t="shared" ref="E64" si="87">E17</f>
        <v>22</v>
      </c>
      <c r="F64" s="1">
        <f t="shared" si="75"/>
        <v>-4</v>
      </c>
      <c r="G64" s="1">
        <f t="shared" si="76"/>
        <v>10</v>
      </c>
      <c r="H64" s="6">
        <f t="shared" si="77"/>
        <v>6.3407565023122014</v>
      </c>
      <c r="I64" s="6">
        <f t="shared" si="78"/>
        <v>8.7060213058770746</v>
      </c>
      <c r="J64" s="6">
        <f t="shared" si="79"/>
        <v>2.7573937464853824</v>
      </c>
      <c r="K64">
        <f t="shared" ca="1" si="80"/>
        <v>0</v>
      </c>
      <c r="L64">
        <f t="shared" ca="1" si="81"/>
        <v>0</v>
      </c>
      <c r="M64" s="6">
        <f t="shared" ca="1" si="82"/>
        <v>0</v>
      </c>
      <c r="N64" s="6">
        <f t="shared" ca="1" si="83"/>
        <v>0</v>
      </c>
      <c r="O64" s="6">
        <f t="shared" ca="1" si="84"/>
        <v>0</v>
      </c>
      <c r="Q64" t="e">
        <f t="shared" si="85"/>
        <v>#N/A</v>
      </c>
      <c r="R64" t="e">
        <f t="shared" si="86"/>
        <v>#N/A</v>
      </c>
      <c r="AS64" s="6">
        <v>-2.0594885173533211</v>
      </c>
      <c r="AT64" s="6">
        <v>-183.22156866991924</v>
      </c>
      <c r="AU64" s="6">
        <v>3.1168186203414425</v>
      </c>
      <c r="AV64" s="6">
        <f t="shared" si="1"/>
        <v>3.1245830949123117</v>
      </c>
      <c r="AW64" s="6">
        <f t="shared" si="2"/>
        <v>5.1840716122656332</v>
      </c>
      <c r="AX64" s="6">
        <f t="shared" si="3"/>
        <v>0.76838860471996684</v>
      </c>
      <c r="AY64" s="6">
        <f t="shared" si="4"/>
        <v>0.76838860471996684</v>
      </c>
      <c r="AZ64" s="47">
        <f t="shared" si="5"/>
        <v>4.2236967898262652</v>
      </c>
      <c r="BA64" s="47">
        <f t="shared" si="6"/>
        <v>3.1245830949123117</v>
      </c>
      <c r="BB64" s="47">
        <f t="shared" si="7"/>
        <v>5.1840716122656332</v>
      </c>
      <c r="BC64" s="47">
        <f t="shared" si="8"/>
        <v>0.76838860471996684</v>
      </c>
      <c r="BD64" s="47">
        <f t="shared" si="9"/>
        <v>0.76838860471996684</v>
      </c>
      <c r="BE64" s="40"/>
      <c r="BF64" s="40"/>
      <c r="BG64" s="6">
        <f t="shared" si="18"/>
        <v>-2.2863813201125813</v>
      </c>
      <c r="BH64" s="9">
        <f t="shared" ca="1" si="19"/>
        <v>-105.71395166720517</v>
      </c>
      <c r="BI64" s="9">
        <f t="shared" ca="1" si="20"/>
        <v>-27.44641539817183</v>
      </c>
      <c r="BJ64">
        <f t="shared" ca="1" si="21"/>
        <v>109.2187955221316</v>
      </c>
      <c r="BK64" s="6">
        <f t="shared" ca="1" si="22"/>
        <v>-0.96790988365902431</v>
      </c>
      <c r="BL64" s="6">
        <f t="shared" ca="1" si="23"/>
        <v>-0.25129754697404821</v>
      </c>
      <c r="BM64" s="6">
        <f t="shared" ca="1" si="24"/>
        <v>-2.8875720653678378</v>
      </c>
      <c r="BN64" s="6">
        <f t="shared" ca="1" si="25"/>
        <v>-3.1631070935000283</v>
      </c>
      <c r="BO64" s="9"/>
      <c r="BT64" s="40"/>
    </row>
    <row r="65" spans="1:72" x14ac:dyDescent="0.25">
      <c r="A65">
        <f t="shared" si="70"/>
        <v>4</v>
      </c>
      <c r="B65" s="1">
        <f t="shared" si="72"/>
        <v>8</v>
      </c>
      <c r="C65" s="1">
        <f t="shared" ca="1" si="72"/>
        <v>0.79</v>
      </c>
      <c r="D65" s="1">
        <f t="shared" si="72"/>
        <v>10</v>
      </c>
      <c r="E65" s="1">
        <f t="shared" ref="E65" si="88">E18</f>
        <v>22</v>
      </c>
      <c r="F65" s="1">
        <f t="shared" si="75"/>
        <v>4</v>
      </c>
      <c r="G65" s="1">
        <f t="shared" si="76"/>
        <v>10</v>
      </c>
      <c r="H65" s="6">
        <f t="shared" si="77"/>
        <v>10.595734919520611</v>
      </c>
      <c r="I65" s="6">
        <f t="shared" si="78"/>
        <v>1.9314247371439497</v>
      </c>
      <c r="J65" s="6">
        <f t="shared" si="79"/>
        <v>9.5319903152185077</v>
      </c>
      <c r="K65">
        <f t="shared" ca="1" si="80"/>
        <v>-2.1374911862292361E-3</v>
      </c>
      <c r="L65">
        <f t="shared" ca="1" si="81"/>
        <v>-60</v>
      </c>
      <c r="M65" s="6">
        <f t="shared" ca="1" si="82"/>
        <v>-47.400000000000006</v>
      </c>
      <c r="N65" s="6">
        <f t="shared" ca="1" si="83"/>
        <v>-91.549532540623233</v>
      </c>
      <c r="O65" s="6">
        <f t="shared" ca="1" si="84"/>
        <v>502.23783518527699</v>
      </c>
      <c r="Q65">
        <f t="shared" si="85"/>
        <v>10.595734919520611</v>
      </c>
      <c r="R65">
        <f t="shared" si="86"/>
        <v>1.9314247371439497</v>
      </c>
      <c r="AS65" s="6">
        <v>-2.042035224833378</v>
      </c>
      <c r="AT65" s="6">
        <v>-181.30017045299945</v>
      </c>
      <c r="AU65" s="6">
        <v>2.8530992653948521</v>
      </c>
      <c r="AV65" s="6">
        <f t="shared" si="1"/>
        <v>3.1258570711551434</v>
      </c>
      <c r="AW65" s="6">
        <f t="shared" si="2"/>
        <v>5.167892295988521</v>
      </c>
      <c r="AX65" s="6">
        <f t="shared" si="3"/>
        <v>0.7696625809627986</v>
      </c>
      <c r="AY65" s="6">
        <f t="shared" si="4"/>
        <v>0.7696625809627986</v>
      </c>
      <c r="AZ65" s="47">
        <f t="shared" si="5"/>
        <v>4.2411500823462083</v>
      </c>
      <c r="BA65" s="47">
        <f t="shared" si="6"/>
        <v>3.1258570711551434</v>
      </c>
      <c r="BB65" s="47">
        <f t="shared" si="7"/>
        <v>5.167892295988521</v>
      </c>
      <c r="BC65" s="47">
        <f t="shared" si="8"/>
        <v>0.7696625809627986</v>
      </c>
      <c r="BD65" s="47">
        <f t="shared" si="9"/>
        <v>0.7696625809627986</v>
      </c>
      <c r="BE65" s="40"/>
      <c r="BF65" s="40"/>
      <c r="BG65" s="6">
        <f t="shared" si="18"/>
        <v>-2.2689280275926382</v>
      </c>
      <c r="BH65" s="9">
        <f t="shared" ca="1" si="19"/>
        <v>-103.50661397298866</v>
      </c>
      <c r="BI65" s="9">
        <f t="shared" ca="1" si="20"/>
        <v>-27.829993797304059</v>
      </c>
      <c r="BJ65">
        <f t="shared" ca="1" si="21"/>
        <v>107.18268372694945</v>
      </c>
      <c r="BK65" s="6">
        <f t="shared" ca="1" si="22"/>
        <v>-0.96570276441924452</v>
      </c>
      <c r="BL65" s="6">
        <f t="shared" ca="1" si="23"/>
        <v>-0.25965009299638048</v>
      </c>
      <c r="BM65" s="6">
        <f t="shared" ca="1" si="24"/>
        <v>-2.8789328024007541</v>
      </c>
      <c r="BN65" s="6">
        <f t="shared" ca="1" si="25"/>
        <v>-3.154467830532945</v>
      </c>
      <c r="BO65" s="9"/>
      <c r="BT65" s="40"/>
    </row>
    <row r="66" spans="1:72" x14ac:dyDescent="0.25">
      <c r="A66">
        <f t="shared" si="70"/>
        <v>5</v>
      </c>
      <c r="B66" s="1">
        <f t="shared" si="72"/>
        <v>8</v>
      </c>
      <c r="C66" s="1">
        <f t="shared" ca="1" si="72"/>
        <v>0.79</v>
      </c>
      <c r="D66" s="1">
        <f t="shared" si="72"/>
        <v>8</v>
      </c>
      <c r="E66" s="1">
        <f t="shared" ref="E66" si="89">E19</f>
        <v>22</v>
      </c>
      <c r="F66" s="1">
        <f t="shared" si="75"/>
        <v>2</v>
      </c>
      <c r="G66" s="1">
        <f t="shared" si="76"/>
        <v>10</v>
      </c>
      <c r="H66" s="6">
        <f t="shared" si="77"/>
        <v>9.5319903152185077</v>
      </c>
      <c r="I66" s="6">
        <f t="shared" si="78"/>
        <v>3.625073879327231</v>
      </c>
      <c r="J66" s="6">
        <f t="shared" si="79"/>
        <v>7.8383411730352259</v>
      </c>
      <c r="K66">
        <f t="shared" ca="1" si="80"/>
        <v>-1.2246590018910532E-3</v>
      </c>
      <c r="L66">
        <f t="shared" ca="1" si="81"/>
        <v>-35.515111054840546</v>
      </c>
      <c r="M66" s="6">
        <f t="shared" ca="1" si="82"/>
        <v>-28.056937733324034</v>
      </c>
      <c r="N66" s="6">
        <f t="shared" ca="1" si="83"/>
        <v>-101.70847211098352</v>
      </c>
      <c r="O66" s="6">
        <f t="shared" ca="1" si="84"/>
        <v>267.43845874873341</v>
      </c>
      <c r="Q66">
        <f t="shared" si="85"/>
        <v>9.5319903152185077</v>
      </c>
      <c r="R66">
        <f t="shared" si="86"/>
        <v>3.625073879327231</v>
      </c>
      <c r="AS66" s="6">
        <v>-2.0245819323134349</v>
      </c>
      <c r="AT66" s="6">
        <v>-179.38724522979794</v>
      </c>
      <c r="AU66" s="6">
        <v>2.5939777638688346</v>
      </c>
      <c r="AV66" s="6">
        <f t="shared" si="1"/>
        <v>3.1271334483942743</v>
      </c>
      <c r="AW66" s="6">
        <f t="shared" si="2"/>
        <v>5.1517153807077092</v>
      </c>
      <c r="AX66" s="6">
        <f t="shared" si="3"/>
        <v>0.77093895820192948</v>
      </c>
      <c r="AY66" s="6">
        <f t="shared" si="4"/>
        <v>0.77093895820192948</v>
      </c>
      <c r="AZ66" s="47">
        <f t="shared" si="5"/>
        <v>4.2586033748661514</v>
      </c>
      <c r="BA66" s="47">
        <f t="shared" si="6"/>
        <v>3.1271334483942743</v>
      </c>
      <c r="BB66" s="47">
        <f t="shared" si="7"/>
        <v>5.1517153807077092</v>
      </c>
      <c r="BC66" s="47">
        <f t="shared" si="8"/>
        <v>0.77093895820192948</v>
      </c>
      <c r="BD66" s="47">
        <f t="shared" si="9"/>
        <v>0.77093895820192948</v>
      </c>
      <c r="BE66" s="40"/>
      <c r="BF66" s="40"/>
      <c r="BG66" s="6">
        <f t="shared" si="18"/>
        <v>-2.2514747350726951</v>
      </c>
      <c r="BH66" s="9">
        <f t="shared" ca="1" si="19"/>
        <v>-101.33479249880163</v>
      </c>
      <c r="BI66" s="9">
        <f t="shared" ca="1" si="20"/>
        <v>-28.199745210358511</v>
      </c>
      <c r="BJ66">
        <f t="shared" ca="1" si="21"/>
        <v>105.18538777180184</v>
      </c>
      <c r="BK66" s="6">
        <f t="shared" ca="1" si="22"/>
        <v>-0.96339229854479391</v>
      </c>
      <c r="BL66" s="6">
        <f t="shared" ca="1" si="23"/>
        <v>-0.26809565290130838</v>
      </c>
      <c r="BM66" s="6">
        <f t="shared" ca="1" si="24"/>
        <v>-2.8701768772941398</v>
      </c>
      <c r="BN66" s="6">
        <f t="shared" ca="1" si="25"/>
        <v>-3.1457119054263307</v>
      </c>
      <c r="BO66" s="9"/>
      <c r="BT66" s="40"/>
    </row>
    <row r="67" spans="1:72" x14ac:dyDescent="0.25">
      <c r="A67">
        <f t="shared" si="70"/>
        <v>6</v>
      </c>
      <c r="B67" s="1">
        <f t="shared" si="72"/>
        <v>8</v>
      </c>
      <c r="C67" s="1">
        <f t="shared" ca="1" si="72"/>
        <v>0.79</v>
      </c>
      <c r="D67" s="1">
        <f t="shared" si="72"/>
        <v>10</v>
      </c>
      <c r="E67" s="1">
        <f t="shared" ref="E67" si="90">E20</f>
        <v>20</v>
      </c>
      <c r="F67" s="1">
        <f t="shared" si="75"/>
        <v>4</v>
      </c>
      <c r="G67" s="1">
        <f t="shared" si="76"/>
        <v>8</v>
      </c>
      <c r="H67" s="6">
        <f t="shared" si="77"/>
        <v>8.9020857773373301</v>
      </c>
      <c r="I67" s="6">
        <f t="shared" si="78"/>
        <v>0.86768013284184731</v>
      </c>
      <c r="J67" s="6">
        <f t="shared" si="79"/>
        <v>10.595734919520609</v>
      </c>
      <c r="K67">
        <f t="shared" ca="1" si="80"/>
        <v>-2.7108214507675587E-3</v>
      </c>
      <c r="L67">
        <f t="shared" ca="1" si="81"/>
        <v>-60</v>
      </c>
      <c r="M67" s="6">
        <f t="shared" ca="1" si="82"/>
        <v>-47.400000000000006</v>
      </c>
      <c r="N67" s="6">
        <f t="shared" ca="1" si="83"/>
        <v>-41.128038296703565</v>
      </c>
      <c r="O67" s="6">
        <f t="shared" ca="1" si="84"/>
        <v>421.95886584578949</v>
      </c>
      <c r="Q67">
        <f t="shared" si="85"/>
        <v>8.9020857773373301</v>
      </c>
      <c r="R67">
        <f t="shared" si="86"/>
        <v>0.86768013284184731</v>
      </c>
      <c r="AS67" s="6">
        <v>-2.0071286397934918</v>
      </c>
      <c r="AT67" s="6">
        <v>-177.48105041830027</v>
      </c>
      <c r="AU67" s="6">
        <v>2.3387940486865624</v>
      </c>
      <c r="AV67" s="6">
        <f t="shared" ref="AV67:AV130" si="91">ATAN2(AT67,AU67)</f>
        <v>3.1284157049608305</v>
      </c>
      <c r="AW67" s="6">
        <f t="shared" ref="AW67:AW130" si="92">ABS(AS67-AV67)</f>
        <v>5.1355443447543223</v>
      </c>
      <c r="AX67" s="6">
        <f t="shared" ref="AX67:AX130" si="93">AV67-$U$13</f>
        <v>0.77222121476848571</v>
      </c>
      <c r="AY67" s="6">
        <f t="shared" ref="AY67:AY130" si="94">ABS(AX67)</f>
        <v>0.77222121476848571</v>
      </c>
      <c r="AZ67" s="47">
        <f t="shared" ref="AZ67:AZ130" si="95">AS67+(2*PI())</f>
        <v>4.2760566673860945</v>
      </c>
      <c r="BA67" s="47">
        <f t="shared" ref="BA67:BA130" si="96">AV67</f>
        <v>3.1284157049608305</v>
      </c>
      <c r="BB67" s="47">
        <f t="shared" ref="BB67:BB130" si="97">AW67</f>
        <v>5.1355443447543223</v>
      </c>
      <c r="BC67" s="47">
        <f t="shared" ref="BC67:BC130" si="98">AX67</f>
        <v>0.77222121476848571</v>
      </c>
      <c r="BD67" s="47">
        <f t="shared" ref="BD67:BD130" si="99">AY67</f>
        <v>0.77222121476848571</v>
      </c>
      <c r="BE67" s="40"/>
      <c r="BF67" s="40"/>
      <c r="BG67" s="6">
        <f t="shared" si="18"/>
        <v>-2.234021442552752</v>
      </c>
      <c r="BH67" s="9">
        <f t="shared" ca="1" si="19"/>
        <v>-99.195839422979972</v>
      </c>
      <c r="BI67" s="9">
        <f t="shared" ca="1" si="20"/>
        <v>-28.556601360775449</v>
      </c>
      <c r="BJ67">
        <f t="shared" ca="1" si="21"/>
        <v>103.22448372410429</v>
      </c>
      <c r="BK67" s="6">
        <f t="shared" ca="1" si="22"/>
        <v>-0.960972008231187</v>
      </c>
      <c r="BL67" s="6">
        <f t="shared" ca="1" si="23"/>
        <v>-0.27664562059812081</v>
      </c>
      <c r="BM67" s="6">
        <f t="shared" ca="1" si="24"/>
        <v>-2.8612909180112207</v>
      </c>
      <c r="BN67" s="6">
        <f t="shared" ca="1" si="25"/>
        <v>-3.1368259461434116</v>
      </c>
      <c r="BO67" s="9"/>
      <c r="BT67" s="40"/>
    </row>
    <row r="68" spans="1:72" x14ac:dyDescent="0.25">
      <c r="A68">
        <f t="shared" si="70"/>
        <v>7</v>
      </c>
      <c r="B68" s="1">
        <f t="shared" ref="B68:D68" si="100">B21</f>
        <v>8</v>
      </c>
      <c r="C68" s="1">
        <f t="shared" ca="1" si="100"/>
        <v>0.79</v>
      </c>
      <c r="D68" s="1">
        <f t="shared" si="100"/>
        <v>8</v>
      </c>
      <c r="E68" s="1">
        <f>E21</f>
        <v>20</v>
      </c>
      <c r="F68" s="1">
        <f t="shared" si="75"/>
        <v>2</v>
      </c>
      <c r="G68" s="1">
        <f t="shared" si="76"/>
        <v>8</v>
      </c>
      <c r="H68" s="6">
        <f t="shared" si="77"/>
        <v>7.8383411730352268</v>
      </c>
      <c r="I68" s="6">
        <f t="shared" si="78"/>
        <v>2.5613292750251286</v>
      </c>
      <c r="J68" s="6">
        <f t="shared" si="79"/>
        <v>8.9020857773373283</v>
      </c>
      <c r="K68">
        <f t="shared" ca="1" si="80"/>
        <v>-1.7979892664293758E-3</v>
      </c>
      <c r="L68">
        <f t="shared" ca="1" si="81"/>
        <v>-52.141688726451896</v>
      </c>
      <c r="M68" s="6">
        <f t="shared" ca="1" si="82"/>
        <v>-41.191934093896997</v>
      </c>
      <c r="N68" s="6">
        <f t="shared" ca="1" si="83"/>
        <v>-105.50610668960407</v>
      </c>
      <c r="O68" s="6">
        <f t="shared" ca="1" si="84"/>
        <v>322.87643300514634</v>
      </c>
      <c r="Q68">
        <f t="shared" si="85"/>
        <v>7.8383411730352268</v>
      </c>
      <c r="R68">
        <f t="shared" si="86"/>
        <v>2.5613292750251286</v>
      </c>
      <c r="AS68" s="6">
        <v>-1.9896753472735484</v>
      </c>
      <c r="AT68" s="6">
        <v>-175.5798358579913</v>
      </c>
      <c r="AU68" s="6">
        <v>2.0868518102620905</v>
      </c>
      <c r="AV68" s="6">
        <f t="shared" si="91"/>
        <v>3.1297077264729518</v>
      </c>
      <c r="AW68" s="6">
        <f t="shared" si="92"/>
        <v>5.1193830737465005</v>
      </c>
      <c r="AX68" s="6">
        <f t="shared" si="93"/>
        <v>0.77351323628060698</v>
      </c>
      <c r="AY68" s="6">
        <f t="shared" si="94"/>
        <v>0.77351323628060698</v>
      </c>
      <c r="AZ68" s="47">
        <f t="shared" si="95"/>
        <v>4.2935099599060376</v>
      </c>
      <c r="BA68" s="47">
        <f t="shared" si="96"/>
        <v>3.1297077264729518</v>
      </c>
      <c r="BB68" s="47">
        <f t="shared" si="97"/>
        <v>5.1193830737465005</v>
      </c>
      <c r="BC68" s="47">
        <f t="shared" si="98"/>
        <v>0.77351323628060698</v>
      </c>
      <c r="BD68" s="47">
        <f t="shared" si="99"/>
        <v>0.77351323628060698</v>
      </c>
      <c r="BE68" s="40"/>
      <c r="BF68" s="40"/>
      <c r="BG68" s="6">
        <f t="shared" si="18"/>
        <v>-2.2165681500328089</v>
      </c>
      <c r="BH68" s="9">
        <f t="shared" ca="1" si="19"/>
        <v>-97.087245831263502</v>
      </c>
      <c r="BI68" s="9">
        <f t="shared" ca="1" si="20"/>
        <v>-28.901431911597413</v>
      </c>
      <c r="BJ68">
        <f t="shared" ca="1" si="21"/>
        <v>101.29771009080557</v>
      </c>
      <c r="BK68" s="6">
        <f t="shared" ca="1" si="22"/>
        <v>-0.9584347537988005</v>
      </c>
      <c r="BL68" s="6">
        <f t="shared" ca="1" si="23"/>
        <v>-0.28531179910868187</v>
      </c>
      <c r="BM68" s="6">
        <f t="shared" ca="1" si="24"/>
        <v>-2.852260919998701</v>
      </c>
      <c r="BN68" s="6">
        <f t="shared" ca="1" si="25"/>
        <v>-3.1277959481308919</v>
      </c>
      <c r="BO68" s="9"/>
      <c r="BT68" s="40"/>
    </row>
    <row r="69" spans="1:72" x14ac:dyDescent="0.25">
      <c r="A69">
        <f t="shared" si="70"/>
        <v>8</v>
      </c>
      <c r="B69" s="1">
        <f t="shared" ref="B69:D71" si="101">B22</f>
        <v>0</v>
      </c>
      <c r="C69" s="1">
        <f t="shared" ca="1" si="101"/>
        <v>0</v>
      </c>
      <c r="D69" s="1">
        <f t="shared" si="101"/>
        <v>2</v>
      </c>
      <c r="E69" s="1">
        <f t="shared" ref="E69" si="102">E22</f>
        <v>2</v>
      </c>
      <c r="F69" s="1">
        <f t="shared" si="75"/>
        <v>-4</v>
      </c>
      <c r="G69" s="1">
        <f t="shared" si="76"/>
        <v>-10</v>
      </c>
      <c r="H69" s="6">
        <f t="shared" si="77"/>
        <v>-10.595734919520611</v>
      </c>
      <c r="I69" s="6">
        <f t="shared" si="78"/>
        <v>-1.9314247371439497</v>
      </c>
      <c r="J69" s="6">
        <f t="shared" si="79"/>
        <v>13.394839789506406</v>
      </c>
      <c r="K69">
        <f t="shared" ca="1" si="80"/>
        <v>0</v>
      </c>
      <c r="L69">
        <f t="shared" ca="1" si="81"/>
        <v>0</v>
      </c>
      <c r="M69" s="6">
        <f t="shared" ca="1" si="82"/>
        <v>0</v>
      </c>
      <c r="N69" s="6">
        <f t="shared" ca="1" si="83"/>
        <v>0</v>
      </c>
      <c r="O69" s="6">
        <f t="shared" ca="1" si="84"/>
        <v>0</v>
      </c>
      <c r="Q69" t="e">
        <f t="shared" si="85"/>
        <v>#N/A</v>
      </c>
      <c r="R69" t="e">
        <f t="shared" si="86"/>
        <v>#N/A</v>
      </c>
      <c r="AS69" s="6">
        <v>-1.9722220547536051</v>
      </c>
      <c r="AT69" s="6">
        <v>-173.53145658249241</v>
      </c>
      <c r="AU69" s="6">
        <v>1.8159519546191936</v>
      </c>
      <c r="AV69" s="6">
        <f t="shared" si="91"/>
        <v>3.1311283509978316</v>
      </c>
      <c r="AW69" s="6">
        <f t="shared" si="92"/>
        <v>5.1033504057514367</v>
      </c>
      <c r="AX69" s="6">
        <f t="shared" si="93"/>
        <v>0.77493386080548676</v>
      </c>
      <c r="AY69" s="6">
        <f t="shared" si="94"/>
        <v>0.77493386080548676</v>
      </c>
      <c r="AZ69" s="47">
        <f t="shared" si="95"/>
        <v>4.3109632524259816</v>
      </c>
      <c r="BA69" s="47">
        <f t="shared" si="96"/>
        <v>3.1311283509978316</v>
      </c>
      <c r="BB69" s="47">
        <f t="shared" si="97"/>
        <v>5.1033504057514367</v>
      </c>
      <c r="BC69" s="47">
        <f t="shared" si="98"/>
        <v>0.77493386080548676</v>
      </c>
      <c r="BD69" s="47">
        <f t="shared" si="99"/>
        <v>0.77493386080548676</v>
      </c>
      <c r="BE69" s="40"/>
      <c r="BF69" s="40"/>
      <c r="BG69" s="6">
        <f t="shared" si="18"/>
        <v>-2.1991148575128658</v>
      </c>
      <c r="BH69" s="9">
        <f t="shared" ca="1" si="19"/>
        <v>-95.006627465221456</v>
      </c>
      <c r="BI69" s="9">
        <f t="shared" ca="1" si="20"/>
        <v>-29.23505210628128</v>
      </c>
      <c r="BJ69">
        <f t="shared" ca="1" si="21"/>
        <v>99.402955358341103</v>
      </c>
      <c r="BK69" s="6">
        <f t="shared" ca="1" si="22"/>
        <v>-0.9557726641298423</v>
      </c>
      <c r="BL69" s="6">
        <f t="shared" ca="1" si="23"/>
        <v>-0.29410646797060352</v>
      </c>
      <c r="BM69" s="6">
        <f t="shared" ca="1" si="24"/>
        <v>-2.8430721488142803</v>
      </c>
      <c r="BN69" s="6">
        <f t="shared" ca="1" si="25"/>
        <v>-3.1186071769464707</v>
      </c>
      <c r="BO69" s="9"/>
      <c r="BT69" s="40"/>
    </row>
    <row r="70" spans="1:72" x14ac:dyDescent="0.25">
      <c r="A70">
        <f t="shared" si="70"/>
        <v>9</v>
      </c>
      <c r="B70" s="1">
        <f t="shared" si="101"/>
        <v>0</v>
      </c>
      <c r="C70" s="1">
        <f t="shared" ca="1" si="101"/>
        <v>0</v>
      </c>
      <c r="D70" s="1">
        <f t="shared" si="101"/>
        <v>6</v>
      </c>
      <c r="E70" s="1">
        <f t="shared" ref="E70" si="103">E23</f>
        <v>2</v>
      </c>
      <c r="F70" s="1">
        <f t="shared" si="75"/>
        <v>0</v>
      </c>
      <c r="G70" s="1">
        <f t="shared" si="76"/>
        <v>-10</v>
      </c>
      <c r="H70" s="6">
        <f t="shared" si="77"/>
        <v>-8.4682457109164062</v>
      </c>
      <c r="I70" s="6">
        <f t="shared" si="78"/>
        <v>-5.3187230215105119</v>
      </c>
      <c r="J70" s="6">
        <f t="shared" si="79"/>
        <v>16.782138073872968</v>
      </c>
      <c r="K70">
        <f t="shared" ca="1" si="80"/>
        <v>0</v>
      </c>
      <c r="L70">
        <f t="shared" ca="1" si="81"/>
        <v>0</v>
      </c>
      <c r="M70" s="6">
        <f t="shared" ca="1" si="82"/>
        <v>0</v>
      </c>
      <c r="N70" s="6">
        <f t="shared" ca="1" si="83"/>
        <v>0</v>
      </c>
      <c r="O70" s="6">
        <f t="shared" ca="1" si="84"/>
        <v>0</v>
      </c>
      <c r="Q70" t="e">
        <f t="shared" si="85"/>
        <v>#N/A</v>
      </c>
      <c r="R70" t="e">
        <f t="shared" si="86"/>
        <v>#N/A</v>
      </c>
      <c r="AS70" s="6">
        <v>-1.9547687622336618</v>
      </c>
      <c r="AT70" s="6">
        <v>-171.15883250780109</v>
      </c>
      <c r="AU70" s="6">
        <v>1.503281123369278</v>
      </c>
      <c r="AV70" s="6">
        <f t="shared" si="91"/>
        <v>3.1328099197479364</v>
      </c>
      <c r="AW70" s="6">
        <f t="shared" si="92"/>
        <v>5.087578681981598</v>
      </c>
      <c r="AX70" s="6">
        <f t="shared" si="93"/>
        <v>0.7766154295555916</v>
      </c>
      <c r="AY70" s="6">
        <f t="shared" si="94"/>
        <v>0.7766154295555916</v>
      </c>
      <c r="AZ70" s="47">
        <f t="shared" si="95"/>
        <v>4.3284165449459246</v>
      </c>
      <c r="BA70" s="47">
        <f t="shared" si="96"/>
        <v>3.1328099197479364</v>
      </c>
      <c r="BB70" s="47">
        <f t="shared" si="97"/>
        <v>5.087578681981598</v>
      </c>
      <c r="BC70" s="47">
        <f t="shared" si="98"/>
        <v>0.7766154295555916</v>
      </c>
      <c r="BD70" s="47">
        <f t="shared" si="99"/>
        <v>0.7766154295555916</v>
      </c>
      <c r="BE70" s="40"/>
      <c r="BF70" s="40"/>
      <c r="BG70" s="6">
        <f t="shared" si="18"/>
        <v>-2.1816615649929227</v>
      </c>
      <c r="BH70" s="9">
        <f t="shared" ca="1" si="19"/>
        <v>-92.951711658993148</v>
      </c>
      <c r="BI70" s="9">
        <f t="shared" ca="1" si="20"/>
        <v>-29.558229812996665</v>
      </c>
      <c r="BJ70">
        <f t="shared" ca="1" si="21"/>
        <v>97.538247113706774</v>
      </c>
      <c r="BK70" s="6">
        <f t="shared" ca="1" si="22"/>
        <v>-0.95297705679120115</v>
      </c>
      <c r="BL70" s="6">
        <f t="shared" ca="1" si="23"/>
        <v>-0.30304245450032219</v>
      </c>
      <c r="BM70" s="6">
        <f t="shared" ca="1" si="24"/>
        <v>-2.8337090341550835</v>
      </c>
      <c r="BN70" s="6">
        <f t="shared" ca="1" si="25"/>
        <v>-3.1092440622872743</v>
      </c>
      <c r="BO70" s="9"/>
      <c r="BT70" s="40"/>
    </row>
    <row r="71" spans="1:72" ht="15.75" thickBot="1" x14ac:dyDescent="0.3">
      <c r="A71">
        <f t="shared" si="70"/>
        <v>10</v>
      </c>
      <c r="B71" s="1">
        <f t="shared" si="101"/>
        <v>0</v>
      </c>
      <c r="C71" s="1">
        <f t="shared" ca="1" si="101"/>
        <v>0</v>
      </c>
      <c r="D71" s="1">
        <f t="shared" si="101"/>
        <v>10</v>
      </c>
      <c r="E71" s="1">
        <f t="shared" ref="E71" si="104">E24</f>
        <v>2</v>
      </c>
      <c r="F71" s="1">
        <f t="shared" si="75"/>
        <v>4</v>
      </c>
      <c r="G71" s="1">
        <f t="shared" si="76"/>
        <v>-10</v>
      </c>
      <c r="H71" s="6">
        <f t="shared" si="77"/>
        <v>-6.3407565023122014</v>
      </c>
      <c r="I71" s="6">
        <f t="shared" si="78"/>
        <v>-8.7060213058770746</v>
      </c>
      <c r="J71" s="6">
        <f t="shared" si="79"/>
        <v>20.16943635823953</v>
      </c>
      <c r="K71" s="12">
        <f t="shared" ca="1" si="80"/>
        <v>0</v>
      </c>
      <c r="L71">
        <f t="shared" ca="1" si="81"/>
        <v>0</v>
      </c>
      <c r="M71" s="11">
        <f t="shared" ca="1" si="82"/>
        <v>0</v>
      </c>
      <c r="N71" s="11">
        <f t="shared" ca="1" si="83"/>
        <v>0</v>
      </c>
      <c r="O71" s="11">
        <f t="shared" ca="1" si="84"/>
        <v>0</v>
      </c>
      <c r="Q71" t="e">
        <f t="shared" si="85"/>
        <v>#N/A</v>
      </c>
      <c r="R71" t="e">
        <f t="shared" si="86"/>
        <v>#N/A</v>
      </c>
      <c r="AS71" s="6">
        <v>-1.9373154697137185</v>
      </c>
      <c r="AT71" s="6">
        <v>-168.80161768666775</v>
      </c>
      <c r="AU71" s="6">
        <v>1.1980865185881702</v>
      </c>
      <c r="AV71" s="6">
        <f t="shared" si="91"/>
        <v>3.1344951718394958</v>
      </c>
      <c r="AW71" s="6">
        <f t="shared" si="92"/>
        <v>5.0718106415532143</v>
      </c>
      <c r="AX71" s="6">
        <f t="shared" si="93"/>
        <v>0.77830068164715094</v>
      </c>
      <c r="AY71" s="6">
        <f t="shared" si="94"/>
        <v>0.77830068164715094</v>
      </c>
      <c r="AZ71" s="47">
        <f t="shared" si="95"/>
        <v>4.3458698374658677</v>
      </c>
      <c r="BA71" s="47">
        <f t="shared" si="96"/>
        <v>3.1344951718394958</v>
      </c>
      <c r="BB71" s="47">
        <f t="shared" si="97"/>
        <v>5.0718106415532143</v>
      </c>
      <c r="BC71" s="47">
        <f t="shared" si="98"/>
        <v>0.77830068164715094</v>
      </c>
      <c r="BD71" s="47">
        <f t="shared" si="99"/>
        <v>0.77830068164715094</v>
      </c>
      <c r="BE71" s="40"/>
      <c r="BF71" s="40"/>
      <c r="BG71" s="6">
        <f t="shared" si="18"/>
        <v>-2.1642082724729796</v>
      </c>
      <c r="BH71" s="9">
        <f t="shared" ca="1" si="19"/>
        <v>-90.920325269621415</v>
      </c>
      <c r="BI71" s="9">
        <f t="shared" ca="1" si="20"/>
        <v>-29.87169218005733</v>
      </c>
      <c r="BJ71">
        <f t="shared" ca="1" si="21"/>
        <v>95.701742621719575</v>
      </c>
      <c r="BK71" s="6">
        <f t="shared" ca="1" si="22"/>
        <v>-0.95003834599963688</v>
      </c>
      <c r="BL71" s="6">
        <f t="shared" ca="1" si="23"/>
        <v>-0.31213321055324156</v>
      </c>
      <c r="BM71" s="6">
        <f t="shared" ca="1" si="24"/>
        <v>-2.824155052731474</v>
      </c>
      <c r="BN71" s="6">
        <f t="shared" ca="1" si="25"/>
        <v>-3.0996900808636649</v>
      </c>
      <c r="BO71" s="9"/>
      <c r="BT71" s="40"/>
    </row>
    <row r="72" spans="1:72" ht="15.75" thickTop="1" x14ac:dyDescent="0.25">
      <c r="K72" s="13">
        <f ca="1">MIN(K62:K71)</f>
        <v>-2.7108214507675587E-3</v>
      </c>
      <c r="M72" s="9">
        <f ca="1">SUM(M62:M71)</f>
        <v>-164.04887182722103</v>
      </c>
      <c r="N72" s="9">
        <f t="shared" ref="N72:O72" ca="1" si="105">SUM(N62:N71)</f>
        <v>-339.89214963791437</v>
      </c>
      <c r="O72" s="9">
        <f t="shared" ca="1" si="105"/>
        <v>1514.5115927849461</v>
      </c>
      <c r="AS72" s="6">
        <v>-1.9198621771937752</v>
      </c>
      <c r="AT72" s="6">
        <v>-166.45868531462406</v>
      </c>
      <c r="AU72" s="6">
        <v>0.89925955685781311</v>
      </c>
      <c r="AV72" s="6">
        <f t="shared" si="91"/>
        <v>3.1361904073383293</v>
      </c>
      <c r="AW72" s="6">
        <f t="shared" si="92"/>
        <v>5.0560525845321047</v>
      </c>
      <c r="AX72" s="6">
        <f t="shared" si="93"/>
        <v>0.77999591714598449</v>
      </c>
      <c r="AY72" s="6">
        <f t="shared" si="94"/>
        <v>0.77999591714598449</v>
      </c>
      <c r="AZ72" s="47">
        <f t="shared" si="95"/>
        <v>4.3633231299858108</v>
      </c>
      <c r="BA72" s="47">
        <f t="shared" si="96"/>
        <v>3.1361904073383293</v>
      </c>
      <c r="BB72" s="47">
        <f t="shared" si="97"/>
        <v>5.0560525845321047</v>
      </c>
      <c r="BC72" s="47">
        <f t="shared" si="98"/>
        <v>0.77999591714598449</v>
      </c>
      <c r="BD72" s="47">
        <f t="shared" si="99"/>
        <v>0.77999591714598449</v>
      </c>
      <c r="BE72" s="40"/>
      <c r="BF72" s="40"/>
      <c r="BG72" s="6">
        <f t="shared" si="18"/>
        <v>-2.1467549799530365</v>
      </c>
      <c r="BH72" s="9">
        <f t="shared" ca="1" si="19"/>
        <v>-88.910383434701274</v>
      </c>
      <c r="BI72" s="9">
        <f t="shared" ca="1" si="20"/>
        <v>-30.176131998063152</v>
      </c>
      <c r="BJ72">
        <f t="shared" ca="1" si="21"/>
        <v>93.891720747199713</v>
      </c>
      <c r="BK72" s="6">
        <f t="shared" ca="1" si="22"/>
        <v>-0.94694593652287484</v>
      </c>
      <c r="BL72" s="6">
        <f t="shared" ca="1" si="23"/>
        <v>-0.32139289553880229</v>
      </c>
      <c r="BM72" s="6">
        <f t="shared" ca="1" si="24"/>
        <v>-2.8143925981564255</v>
      </c>
      <c r="BN72" s="6">
        <f t="shared" ca="1" si="25"/>
        <v>-3.0899276262886159</v>
      </c>
      <c r="BO72" s="9"/>
      <c r="BT72" s="40"/>
    </row>
    <row r="73" spans="1:72" x14ac:dyDescent="0.25">
      <c r="AS73" s="6">
        <v>-1.9024088846738318</v>
      </c>
      <c r="AT73" s="6">
        <v>-164.1290501672909</v>
      </c>
      <c r="AU73" s="6">
        <v>0.60556898723503794</v>
      </c>
      <c r="AV73" s="6">
        <f t="shared" si="91"/>
        <v>3.1379030798138268</v>
      </c>
      <c r="AW73" s="6">
        <f t="shared" si="92"/>
        <v>5.0403119644876586</v>
      </c>
      <c r="AX73" s="6">
        <f t="shared" si="93"/>
        <v>0.78170858962148193</v>
      </c>
      <c r="AY73" s="6">
        <f t="shared" si="94"/>
        <v>0.78170858962148193</v>
      </c>
      <c r="AZ73" s="47">
        <f t="shared" si="95"/>
        <v>4.3807764225057539</v>
      </c>
      <c r="BA73" s="47">
        <f t="shared" si="96"/>
        <v>3.1379030798138268</v>
      </c>
      <c r="BB73" s="47">
        <f t="shared" si="97"/>
        <v>5.0403119644876586</v>
      </c>
      <c r="BC73" s="47">
        <f t="shared" si="98"/>
        <v>0.78170858962148193</v>
      </c>
      <c r="BD73" s="47">
        <f t="shared" si="99"/>
        <v>0.78170858962148193</v>
      </c>
      <c r="BE73" s="40"/>
      <c r="BF73" s="40"/>
      <c r="BG73" s="6">
        <f t="shared" si="18"/>
        <v>-2.1293016874330934</v>
      </c>
      <c r="BH73" s="9">
        <f t="shared" ca="1" si="19"/>
        <v>-86.919878992545861</v>
      </c>
      <c r="BI73" s="9">
        <f t="shared" ca="1" si="20"/>
        <v>-30.472213900220346</v>
      </c>
      <c r="BJ73">
        <f t="shared" ca="1" si="21"/>
        <v>92.106575140212428</v>
      </c>
      <c r="BK73" s="6">
        <f t="shared" ca="1" si="22"/>
        <v>-0.94368810109624701</v>
      </c>
      <c r="BL73" s="6">
        <f t="shared" ca="1" si="23"/>
        <v>-0.33083646692793606</v>
      </c>
      <c r="BM73" s="6">
        <f t="shared" ca="1" si="24"/>
        <v>-2.8044028352877639</v>
      </c>
      <c r="BN73" s="6">
        <f t="shared" ca="1" si="25"/>
        <v>-3.0799378634199543</v>
      </c>
      <c r="BO73" s="9"/>
      <c r="BT73" s="40"/>
    </row>
    <row r="74" spans="1:72" x14ac:dyDescent="0.25">
      <c r="AS74" s="6">
        <v>-1.8849555921538885</v>
      </c>
      <c r="AT74" s="6">
        <v>-161.81187619472482</v>
      </c>
      <c r="AU74" s="6">
        <v>0.31561596736866154</v>
      </c>
      <c r="AV74" s="6">
        <f t="shared" si="91"/>
        <v>3.1396421443037101</v>
      </c>
      <c r="AW74" s="6">
        <f t="shared" si="92"/>
        <v>5.0245977364575989</v>
      </c>
      <c r="AX74" s="6">
        <f t="shared" si="93"/>
        <v>0.7834476541113653</v>
      </c>
      <c r="AY74" s="6">
        <f t="shared" si="94"/>
        <v>0.7834476541113653</v>
      </c>
      <c r="AZ74" s="47">
        <f t="shared" si="95"/>
        <v>4.3982297150256979</v>
      </c>
      <c r="BA74" s="47">
        <f t="shared" si="96"/>
        <v>3.1396421443037101</v>
      </c>
      <c r="BB74" s="47">
        <f t="shared" si="97"/>
        <v>5.0245977364575989</v>
      </c>
      <c r="BC74" s="47">
        <f t="shared" si="98"/>
        <v>0.7834476541113653</v>
      </c>
      <c r="BD74" s="47">
        <f t="shared" si="99"/>
        <v>0.7834476541113653</v>
      </c>
      <c r="BE74" s="40"/>
      <c r="BF74" s="40"/>
      <c r="BG74" s="6">
        <f t="shared" si="18"/>
        <v>-2.1118483949131504</v>
      </c>
      <c r="BH74" s="9">
        <f t="shared" ca="1" si="19"/>
        <v>-84.946872404687852</v>
      </c>
      <c r="BI74" s="9">
        <f t="shared" ca="1" si="20"/>
        <v>-30.760580519013505</v>
      </c>
      <c r="BJ74">
        <f t="shared" ca="1" si="21"/>
        <v>90.344808623434645</v>
      </c>
      <c r="BK74" s="6">
        <f t="shared" ca="1" si="22"/>
        <v>-0.94025183847313376</v>
      </c>
      <c r="BL74" s="6">
        <f t="shared" ca="1" si="23"/>
        <v>-0.34047977949930019</v>
      </c>
      <c r="BM74" s="6">
        <f t="shared" ca="1" si="24"/>
        <v>-2.7941655361588809</v>
      </c>
      <c r="BN74" s="6">
        <f t="shared" ca="1" si="25"/>
        <v>-3.0697005642910717</v>
      </c>
      <c r="BO74" s="9"/>
      <c r="BT74" s="40"/>
    </row>
    <row r="75" spans="1:72" x14ac:dyDescent="0.25">
      <c r="A75" s="8" t="s">
        <v>63</v>
      </c>
      <c r="B75" s="9">
        <f ca="1">N57+M72</f>
        <v>-70.498482842639504</v>
      </c>
      <c r="C75" t="s">
        <v>68</v>
      </c>
      <c r="AS75" s="6">
        <v>-1.8675022996339452</v>
      </c>
      <c r="AT75" s="6">
        <v>-159.50648139959472</v>
      </c>
      <c r="AU75" s="6">
        <v>2.7774594229152367E-2</v>
      </c>
      <c r="AV75" s="6">
        <f t="shared" si="91"/>
        <v>3.1414185252803684</v>
      </c>
      <c r="AW75" s="6">
        <f t="shared" si="92"/>
        <v>5.0089208249143136</v>
      </c>
      <c r="AX75" s="6">
        <f t="shared" si="93"/>
        <v>0.78522403508802352</v>
      </c>
      <c r="AY75" s="6">
        <f t="shared" si="94"/>
        <v>0.78522403508802352</v>
      </c>
      <c r="AZ75" s="47">
        <f t="shared" si="95"/>
        <v>4.415683007545641</v>
      </c>
      <c r="BA75" s="47">
        <f t="shared" si="96"/>
        <v>3.1414185252803684</v>
      </c>
      <c r="BB75" s="47">
        <f t="shared" si="97"/>
        <v>5.0089208249143136</v>
      </c>
      <c r="BC75" s="47">
        <f t="shared" si="98"/>
        <v>0.78522403508802352</v>
      </c>
      <c r="BD75" s="47">
        <f t="shared" si="99"/>
        <v>0.78522403508802352</v>
      </c>
      <c r="BE75" s="40"/>
      <c r="BF75" s="40"/>
      <c r="BG75" s="6">
        <f t="shared" si="18"/>
        <v>-2.0943951023932073</v>
      </c>
      <c r="BH75" s="9">
        <f t="shared" ca="1" si="19"/>
        <v>-82.989481996148712</v>
      </c>
      <c r="BI75" s="9">
        <f t="shared" ca="1" si="20"/>
        <v>-31.041858796392418</v>
      </c>
      <c r="BJ75">
        <f t="shared" ca="1" si="21"/>
        <v>88.605028748509852</v>
      </c>
      <c r="BK75" s="6">
        <f t="shared" ca="1" si="22"/>
        <v>-0.93662270830812655</v>
      </c>
      <c r="BL75" s="6">
        <f t="shared" ca="1" si="23"/>
        <v>-0.35033969555497124</v>
      </c>
      <c r="BM75" s="6">
        <f t="shared" ca="1" si="24"/>
        <v>-2.7836588932191328</v>
      </c>
      <c r="BN75" s="6">
        <f t="shared" ca="1" si="25"/>
        <v>-3.0591939213513237</v>
      </c>
      <c r="BO75" s="9"/>
      <c r="BT75" s="40"/>
    </row>
    <row r="76" spans="1:72" x14ac:dyDescent="0.25">
      <c r="A76" s="8" t="s">
        <v>66</v>
      </c>
      <c r="B76" s="9">
        <f ca="1">O57+N72</f>
        <v>454.80058992506349</v>
      </c>
      <c r="C76" t="s">
        <v>69</v>
      </c>
      <c r="AS76" s="6">
        <v>-1.8500490071140019</v>
      </c>
      <c r="AT76" s="6">
        <v>-157.12948385535287</v>
      </c>
      <c r="AU76" s="6">
        <v>-0.26598709424650835</v>
      </c>
      <c r="AV76" s="6">
        <f t="shared" si="91"/>
        <v>-3.1398998660005035</v>
      </c>
      <c r="AW76" s="6">
        <f t="shared" si="92"/>
        <v>1.2898508588865016</v>
      </c>
      <c r="AX76" s="6">
        <f t="shared" si="93"/>
        <v>-5.4960943561928488</v>
      </c>
      <c r="AY76" s="6">
        <f t="shared" si="94"/>
        <v>5.4960943561928488</v>
      </c>
      <c r="AZ76" s="47">
        <f t="shared" si="95"/>
        <v>4.4331363000655841</v>
      </c>
      <c r="BA76" s="47">
        <f t="shared" si="96"/>
        <v>-3.1398998660005035</v>
      </c>
      <c r="BB76" s="47">
        <f t="shared" si="97"/>
        <v>1.2898508588865016</v>
      </c>
      <c r="BC76" s="47">
        <f t="shared" si="98"/>
        <v>-5.4960943561928488</v>
      </c>
      <c r="BD76" s="47">
        <f t="shared" si="99"/>
        <v>5.4960943561928488</v>
      </c>
      <c r="BE76" s="40"/>
      <c r="BF76" s="40"/>
      <c r="BG76" s="6">
        <f t="shared" si="18"/>
        <v>-2.0769418098732642</v>
      </c>
      <c r="BH76" s="9">
        <f t="shared" ca="1" si="19"/>
        <v>-81.045874345595692</v>
      </c>
      <c r="BI76" s="9">
        <f t="shared" ca="1" si="20"/>
        <v>-31.31666652652159</v>
      </c>
      <c r="BJ76">
        <f t="shared" ca="1" si="21"/>
        <v>86.885944494926477</v>
      </c>
      <c r="BK76" s="6">
        <f t="shared" ca="1" si="22"/>
        <v>-0.93278463872057227</v>
      </c>
      <c r="BL76" s="6">
        <f t="shared" ca="1" si="23"/>
        <v>-0.36043420726525294</v>
      </c>
      <c r="BM76" s="6">
        <f t="shared" ca="1" si="24"/>
        <v>-2.7728593062644902</v>
      </c>
      <c r="BN76" s="6">
        <f t="shared" ca="1" si="25"/>
        <v>-3.0483943343966811</v>
      </c>
      <c r="BO76" s="9"/>
      <c r="BT76" s="40"/>
    </row>
    <row r="77" spans="1:72" x14ac:dyDescent="0.25">
      <c r="A77" s="8" t="s">
        <v>67</v>
      </c>
      <c r="B77" s="9">
        <f ca="1">P57+O72</f>
        <v>996.27277978875907</v>
      </c>
      <c r="C77" t="s">
        <v>69</v>
      </c>
      <c r="AS77" s="6">
        <v>-1.8325957145940586</v>
      </c>
      <c r="AT77" s="6">
        <v>-154.43603238673393</v>
      </c>
      <c r="AU77" s="6">
        <v>-0.58400774559951873</v>
      </c>
      <c r="AV77" s="6">
        <f t="shared" si="91"/>
        <v>-3.1378111205317198</v>
      </c>
      <c r="AW77" s="6">
        <f t="shared" si="92"/>
        <v>1.3052154059376613</v>
      </c>
      <c r="AX77" s="6">
        <f t="shared" si="93"/>
        <v>-5.4940056107240647</v>
      </c>
      <c r="AY77" s="6">
        <f t="shared" si="94"/>
        <v>5.4940056107240647</v>
      </c>
      <c r="AZ77" s="47">
        <f t="shared" si="95"/>
        <v>4.4505895925855281</v>
      </c>
      <c r="BA77" s="47">
        <f t="shared" si="96"/>
        <v>-3.1378111205317198</v>
      </c>
      <c r="BB77" s="47">
        <f t="shared" si="97"/>
        <v>1.3052154059376613</v>
      </c>
      <c r="BC77" s="47">
        <f t="shared" si="98"/>
        <v>-5.4940056107240647</v>
      </c>
      <c r="BD77" s="47">
        <f t="shared" si="99"/>
        <v>5.4940056107240647</v>
      </c>
      <c r="BE77" s="40"/>
      <c r="BF77" s="40"/>
      <c r="BG77" s="6">
        <f t="shared" si="18"/>
        <v>-2.0594885173533211</v>
      </c>
      <c r="BH77" s="9">
        <f t="shared" ca="1" si="19"/>
        <v>-79.114254585863776</v>
      </c>
      <c r="BI77" s="9">
        <f t="shared" ca="1" si="20"/>
        <v>-31.585619407677044</v>
      </c>
      <c r="BJ77">
        <f t="shared" ca="1" si="21"/>
        <v>85.186364120342006</v>
      </c>
      <c r="BK77" s="6">
        <f t="shared" ca="1" si="22"/>
        <v>-0.92871970065654852</v>
      </c>
      <c r="BL77" s="6">
        <f t="shared" ca="1" si="23"/>
        <v>-0.37078257458032043</v>
      </c>
      <c r="BM77" s="6">
        <f t="shared" ca="1" si="24"/>
        <v>-2.7617411364101971</v>
      </c>
      <c r="BN77" s="6">
        <f t="shared" ca="1" si="25"/>
        <v>-3.037276164542388</v>
      </c>
      <c r="BO77" s="9"/>
      <c r="BT77" s="40"/>
    </row>
    <row r="78" spans="1:72" x14ac:dyDescent="0.25">
      <c r="AS78" s="6">
        <v>-1.8151424220741152</v>
      </c>
      <c r="AT78" s="6">
        <v>-151.76537396562026</v>
      </c>
      <c r="AU78" s="6">
        <v>-0.90296003162792582</v>
      </c>
      <c r="AV78" s="6">
        <f t="shared" si="91"/>
        <v>-3.1356430133417152</v>
      </c>
      <c r="AW78" s="6">
        <f t="shared" si="92"/>
        <v>1.3205005912676</v>
      </c>
      <c r="AX78" s="6">
        <f t="shared" si="93"/>
        <v>-5.4918375035340601</v>
      </c>
      <c r="AY78" s="6">
        <f t="shared" si="94"/>
        <v>5.4918375035340601</v>
      </c>
      <c r="AZ78" s="47">
        <f t="shared" si="95"/>
        <v>4.4680428851054712</v>
      </c>
      <c r="BA78" s="47">
        <f t="shared" si="96"/>
        <v>-3.1356430133417152</v>
      </c>
      <c r="BB78" s="47">
        <f t="shared" si="97"/>
        <v>1.3205005912676</v>
      </c>
      <c r="BC78" s="47">
        <f t="shared" si="98"/>
        <v>-5.4918375035340601</v>
      </c>
      <c r="BD78" s="47">
        <f t="shared" si="99"/>
        <v>5.4918375035340601</v>
      </c>
      <c r="BE78" s="40"/>
      <c r="BF78" s="40"/>
      <c r="BG78" s="6">
        <f t="shared" si="18"/>
        <v>-2.042035224833378</v>
      </c>
      <c r="BH78" s="9">
        <f t="shared" ca="1" si="19"/>
        <v>-77.192856368943993</v>
      </c>
      <c r="BI78" s="9">
        <f t="shared" ca="1" si="20"/>
        <v>-31.849338762623631</v>
      </c>
      <c r="BJ78">
        <f t="shared" ca="1" si="21"/>
        <v>83.505194173852303</v>
      </c>
      <c r="BK78" s="6">
        <f t="shared" ca="1" si="22"/>
        <v>-0.92440784232216211</v>
      </c>
      <c r="BL78" s="6">
        <f t="shared" ca="1" si="23"/>
        <v>-0.38140548115265033</v>
      </c>
      <c r="BM78" s="6">
        <f t="shared" ca="1" si="24"/>
        <v>-2.7502764207122978</v>
      </c>
      <c r="BN78" s="6">
        <f t="shared" ca="1" si="25"/>
        <v>-3.0258114488444887</v>
      </c>
      <c r="BO78" s="9"/>
      <c r="BT78" s="40"/>
    </row>
    <row r="79" spans="1:72" x14ac:dyDescent="0.25">
      <c r="A79" s="8" t="s">
        <v>64</v>
      </c>
      <c r="B79">
        <f ca="1">((B76*COS(-1*B27))+(B77*SIN(-1*B27)))</f>
        <v>-601.77243265179277</v>
      </c>
      <c r="C79" t="s">
        <v>69</v>
      </c>
      <c r="AS79" s="6">
        <v>-1.7976891295541719</v>
      </c>
      <c r="AT79" s="6">
        <v>-149.11948662111104</v>
      </c>
      <c r="AU79" s="6">
        <v>-1.2265240949152383</v>
      </c>
      <c r="AV79" s="6">
        <f t="shared" si="91"/>
        <v>-3.1333677296397502</v>
      </c>
      <c r="AW79" s="6">
        <f t="shared" si="92"/>
        <v>1.3356786000855783</v>
      </c>
      <c r="AX79" s="6">
        <f t="shared" si="93"/>
        <v>-5.489562219832095</v>
      </c>
      <c r="AY79" s="6">
        <f t="shared" si="94"/>
        <v>5.489562219832095</v>
      </c>
      <c r="AZ79" s="47">
        <f t="shared" si="95"/>
        <v>4.4854961776254143</v>
      </c>
      <c r="BA79" s="47">
        <f t="shared" si="96"/>
        <v>-3.1333677296397502</v>
      </c>
      <c r="BB79" s="47">
        <f t="shared" si="97"/>
        <v>1.3356786000855783</v>
      </c>
      <c r="BC79" s="47">
        <f t="shared" si="98"/>
        <v>-5.489562219832095</v>
      </c>
      <c r="BD79" s="47">
        <f t="shared" si="99"/>
        <v>5.489562219832095</v>
      </c>
      <c r="BE79" s="40"/>
      <c r="BF79" s="40"/>
      <c r="BG79" s="6">
        <f t="shared" si="18"/>
        <v>-2.0245819323134349</v>
      </c>
      <c r="BH79" s="9">
        <f t="shared" ca="1" si="19"/>
        <v>-75.279931145742481</v>
      </c>
      <c r="BI79" s="9">
        <f t="shared" ca="1" si="20"/>
        <v>-32.108460264149649</v>
      </c>
      <c r="BJ79">
        <f t="shared" ca="1" si="21"/>
        <v>81.841439710223852</v>
      </c>
      <c r="BK79" s="6">
        <f t="shared" ca="1" si="22"/>
        <v>-0.91982657456034844</v>
      </c>
      <c r="BL79" s="6">
        <f t="shared" ca="1" si="23"/>
        <v>-0.39232521297079009</v>
      </c>
      <c r="BM79" s="6">
        <f t="shared" ca="1" si="24"/>
        <v>-2.7384345375855794</v>
      </c>
      <c r="BN79" s="6">
        <f t="shared" ca="1" si="25"/>
        <v>-3.0139695657177699</v>
      </c>
      <c r="BO79" s="9"/>
      <c r="BT79" s="40"/>
    </row>
    <row r="80" spans="1:72" x14ac:dyDescent="0.25">
      <c r="A80" s="8" t="s">
        <v>65</v>
      </c>
      <c r="B80">
        <f ca="1">(-1*(B76)*SIN(-1*B27))+((B77)*COS(-1*B27))</f>
        <v>915.02621145219155</v>
      </c>
      <c r="C80" t="s">
        <v>69</v>
      </c>
      <c r="AS80" s="6">
        <v>-1.7802358370342286</v>
      </c>
      <c r="AT80" s="6">
        <v>-146.50099373176371</v>
      </c>
      <c r="AU80" s="6">
        <v>-1.5594632359034604</v>
      </c>
      <c r="AV80" s="6">
        <f t="shared" si="91"/>
        <v>-3.1309483275744068</v>
      </c>
      <c r="AW80" s="6">
        <f t="shared" si="92"/>
        <v>1.3507124905401782</v>
      </c>
      <c r="AX80" s="6">
        <f t="shared" si="93"/>
        <v>-5.4871428177667516</v>
      </c>
      <c r="AY80" s="6">
        <f t="shared" si="94"/>
        <v>5.4871428177667516</v>
      </c>
      <c r="AZ80" s="47">
        <f t="shared" si="95"/>
        <v>4.5029494701453574</v>
      </c>
      <c r="BA80" s="47">
        <f t="shared" si="96"/>
        <v>-3.1309483275744068</v>
      </c>
      <c r="BB80" s="47">
        <f t="shared" si="97"/>
        <v>1.3507124905401782</v>
      </c>
      <c r="BC80" s="47">
        <f t="shared" si="98"/>
        <v>-5.4871428177667516</v>
      </c>
      <c r="BD80" s="47">
        <f t="shared" si="99"/>
        <v>5.4871428177667516</v>
      </c>
      <c r="BE80" s="40"/>
      <c r="BF80" s="40"/>
      <c r="BG80" s="6">
        <f t="shared" ref="BG80:BG143" si="106">AS67</f>
        <v>-2.0071286397934918</v>
      </c>
      <c r="BH80" s="9">
        <f t="shared" ref="BH80:BH143" ca="1" si="107">AT67-$BG$5</f>
        <v>-73.373736334244811</v>
      </c>
      <c r="BI80" s="9">
        <f t="shared" ref="BI80:BI143" ca="1" si="108">AU67-$BH$5</f>
        <v>-32.363643979331925</v>
      </c>
      <c r="BJ80">
        <f t="shared" ref="BJ80:BJ143" ca="1" si="109">SQRT(POWER(BH80,2)+POWER(BI80,2))</f>
        <v>80.19420574622724</v>
      </c>
      <c r="BK80" s="6">
        <f t="shared" ref="BK80:BK143" ca="1" si="110">BH80/BJ80</f>
        <v>-0.91495059588761751</v>
      </c>
      <c r="BL80" s="6">
        <f t="shared" ref="BL80:BL143" ca="1" si="111">BI80/BJ80</f>
        <v>-0.40356586461802424</v>
      </c>
      <c r="BM80" s="6">
        <f t="shared" ref="BM80:BM143" ca="1" si="112">ATAN2(BK80,BL80)</f>
        <v>-2.7261818115339702</v>
      </c>
      <c r="BN80" s="6">
        <f t="shared" ref="BN80:BN143" ca="1" si="113">BM80-$BJ$11</f>
        <v>-3.0017168396661607</v>
      </c>
      <c r="BO80" s="9"/>
      <c r="BT80" s="40"/>
    </row>
    <row r="81" spans="1:72" x14ac:dyDescent="0.25">
      <c r="AS81" s="6">
        <v>-1.7627825445142853</v>
      </c>
      <c r="AT81" s="6">
        <v>-143.9130679112518</v>
      </c>
      <c r="AU81" s="6">
        <v>-1.9081062179272092</v>
      </c>
      <c r="AV81" s="6">
        <f t="shared" si="91"/>
        <v>-3.1283346885831844</v>
      </c>
      <c r="AW81" s="6">
        <f t="shared" si="92"/>
        <v>1.3655521440688991</v>
      </c>
      <c r="AX81" s="6">
        <f t="shared" si="93"/>
        <v>-5.4845291787755297</v>
      </c>
      <c r="AY81" s="6">
        <f t="shared" si="94"/>
        <v>5.4845291787755297</v>
      </c>
      <c r="AZ81" s="47">
        <f t="shared" si="95"/>
        <v>4.5204027626653005</v>
      </c>
      <c r="BA81" s="47">
        <f t="shared" si="96"/>
        <v>-3.1283346885831844</v>
      </c>
      <c r="BB81" s="47">
        <f t="shared" si="97"/>
        <v>1.3655521440688991</v>
      </c>
      <c r="BC81" s="47">
        <f t="shared" si="98"/>
        <v>-5.4845291787755297</v>
      </c>
      <c r="BD81" s="47">
        <f t="shared" si="99"/>
        <v>5.4845291787755297</v>
      </c>
      <c r="BE81" s="40"/>
      <c r="BF81" s="40"/>
      <c r="BG81" s="6">
        <f t="shared" si="106"/>
        <v>-1.9896753472735484</v>
      </c>
      <c r="BH81" s="9">
        <f t="shared" ca="1" si="107"/>
        <v>-71.472521773935838</v>
      </c>
      <c r="BI81" s="9">
        <f t="shared" ca="1" si="108"/>
        <v>-32.615586217756395</v>
      </c>
      <c r="BJ81">
        <f t="shared" ca="1" si="109"/>
        <v>78.562700011224365</v>
      </c>
      <c r="BK81" s="6">
        <f t="shared" ca="1" si="110"/>
        <v>-0.90975134209649688</v>
      </c>
      <c r="BL81" s="6">
        <f t="shared" ca="1" si="111"/>
        <v>-0.41515358068264657</v>
      </c>
      <c r="BM81" s="6">
        <f t="shared" ca="1" si="112"/>
        <v>-2.7134810410075301</v>
      </c>
      <c r="BN81" s="6">
        <f t="shared" ca="1" si="113"/>
        <v>-2.989016069139721</v>
      </c>
      <c r="BO81" s="9"/>
      <c r="BT81" s="40"/>
    </row>
    <row r="82" spans="1:72" x14ac:dyDescent="0.25">
      <c r="B82">
        <f>ATAN2(1,0)</f>
        <v>0</v>
      </c>
      <c r="AS82" s="6">
        <v>-1.745329251994342</v>
      </c>
      <c r="AT82" s="6">
        <v>-141.35903399791789</v>
      </c>
      <c r="AU82" s="6">
        <v>-2.2811010551795712</v>
      </c>
      <c r="AV82" s="6">
        <f t="shared" si="91"/>
        <v>-3.1254571225126226</v>
      </c>
      <c r="AW82" s="6">
        <f t="shared" si="92"/>
        <v>1.3801278705182807</v>
      </c>
      <c r="AX82" s="6">
        <f t="shared" si="93"/>
        <v>-5.481651612704967</v>
      </c>
      <c r="AY82" s="6">
        <f t="shared" si="94"/>
        <v>5.481651612704967</v>
      </c>
      <c r="AZ82" s="47">
        <f t="shared" si="95"/>
        <v>4.5378560551852445</v>
      </c>
      <c r="BA82" s="47">
        <f t="shared" si="96"/>
        <v>-3.1254571225126226</v>
      </c>
      <c r="BB82" s="47">
        <f t="shared" si="97"/>
        <v>1.3801278705182807</v>
      </c>
      <c r="BC82" s="47">
        <f t="shared" si="98"/>
        <v>-5.481651612704967</v>
      </c>
      <c r="BD82" s="47">
        <f t="shared" si="99"/>
        <v>5.481651612704967</v>
      </c>
      <c r="BE82" s="40"/>
      <c r="BF82" s="40"/>
      <c r="BG82" s="6">
        <f t="shared" si="106"/>
        <v>-1.9722220547536051</v>
      </c>
      <c r="BH82" s="9">
        <f t="shared" ca="1" si="107"/>
        <v>-69.42414249843695</v>
      </c>
      <c r="BI82" s="9">
        <f t="shared" ca="1" si="108"/>
        <v>-32.88648607339929</v>
      </c>
      <c r="BJ82">
        <f t="shared" ca="1" si="109"/>
        <v>76.819480132966049</v>
      </c>
      <c r="BK82" s="6">
        <f t="shared" ca="1" si="110"/>
        <v>-0.90373095962471262</v>
      </c>
      <c r="BL82" s="6">
        <f t="shared" ca="1" si="111"/>
        <v>-0.42810086733828984</v>
      </c>
      <c r="BM82" s="6">
        <f t="shared" ca="1" si="112"/>
        <v>-2.6992023610695441</v>
      </c>
      <c r="BN82" s="6">
        <f t="shared" ca="1" si="113"/>
        <v>-2.974737389201735</v>
      </c>
      <c r="BO82" s="9"/>
      <c r="BT82" s="40"/>
    </row>
    <row r="83" spans="1:72" x14ac:dyDescent="0.25">
      <c r="A83" t="s">
        <v>74</v>
      </c>
      <c r="B83">
        <f ca="1">ATAN2(B79,B80)</f>
        <v>2.152534772359934</v>
      </c>
      <c r="AS83" s="6">
        <v>-1.7278759594743986</v>
      </c>
      <c r="AT83" s="6">
        <v>-138.8412391788259</v>
      </c>
      <c r="AU83" s="6">
        <v>-2.6906393304759666</v>
      </c>
      <c r="AV83" s="6">
        <f t="shared" si="91"/>
        <v>-3.1222158272648248</v>
      </c>
      <c r="AW83" s="6">
        <f t="shared" si="92"/>
        <v>1.3943398677904262</v>
      </c>
      <c r="AX83" s="6">
        <f t="shared" si="93"/>
        <v>-5.4784103174571701</v>
      </c>
      <c r="AY83" s="6">
        <f t="shared" si="94"/>
        <v>5.4784103174571701</v>
      </c>
      <c r="AZ83" s="47">
        <f t="shared" si="95"/>
        <v>4.5553093477051876</v>
      </c>
      <c r="BA83" s="47">
        <f t="shared" si="96"/>
        <v>-3.1222158272648248</v>
      </c>
      <c r="BB83" s="47">
        <f t="shared" si="97"/>
        <v>1.3943398677904262</v>
      </c>
      <c r="BC83" s="47">
        <f t="shared" si="98"/>
        <v>-5.4784103174571701</v>
      </c>
      <c r="BD83" s="47">
        <f t="shared" si="99"/>
        <v>5.4784103174571701</v>
      </c>
      <c r="BE83" s="40"/>
      <c r="BF83" s="40"/>
      <c r="BG83" s="6">
        <f t="shared" si="106"/>
        <v>-1.9547687622336618</v>
      </c>
      <c r="BH83" s="9">
        <f t="shared" ca="1" si="107"/>
        <v>-67.051518423745634</v>
      </c>
      <c r="BI83" s="9">
        <f t="shared" ca="1" si="108"/>
        <v>-33.199156904649207</v>
      </c>
      <c r="BJ83">
        <f t="shared" ca="1" si="109"/>
        <v>74.820385872497468</v>
      </c>
      <c r="BK83" s="6">
        <f t="shared" ca="1" si="110"/>
        <v>-0.89616643434596988</v>
      </c>
      <c r="BL83" s="6">
        <f t="shared" ca="1" si="111"/>
        <v>-0.44371806583869244</v>
      </c>
      <c r="BM83" s="6">
        <f t="shared" ca="1" si="112"/>
        <v>-2.6818493645545898</v>
      </c>
      <c r="BN83" s="6">
        <f t="shared" ca="1" si="113"/>
        <v>-2.9573843926867802</v>
      </c>
      <c r="BO83" s="9"/>
      <c r="BT83" s="40"/>
    </row>
    <row r="84" spans="1:72" x14ac:dyDescent="0.25">
      <c r="AS84" s="6">
        <v>-1.7104226669544553</v>
      </c>
      <c r="AT84" s="6">
        <v>-136.3581245476586</v>
      </c>
      <c r="AU84" s="6">
        <v>-3.154537691110241</v>
      </c>
      <c r="AV84" s="6">
        <f t="shared" si="91"/>
        <v>-3.1184625678587441</v>
      </c>
      <c r="AW84" s="6">
        <f t="shared" si="92"/>
        <v>1.4080399009042888</v>
      </c>
      <c r="AX84" s="6">
        <f t="shared" si="93"/>
        <v>-5.4746570580510889</v>
      </c>
      <c r="AY84" s="6">
        <f t="shared" si="94"/>
        <v>5.4746570580510889</v>
      </c>
      <c r="AZ84" s="47">
        <f t="shared" si="95"/>
        <v>4.5727626402251307</v>
      </c>
      <c r="BA84" s="47">
        <f t="shared" si="96"/>
        <v>-3.1184625678587441</v>
      </c>
      <c r="BB84" s="47">
        <f t="shared" si="97"/>
        <v>1.4080399009042888</v>
      </c>
      <c r="BC84" s="47">
        <f t="shared" si="98"/>
        <v>-5.4746570580510889</v>
      </c>
      <c r="BD84" s="47">
        <f t="shared" si="99"/>
        <v>5.4746570580510889</v>
      </c>
      <c r="BE84" s="40"/>
      <c r="BF84" s="40"/>
      <c r="BG84" s="6">
        <f t="shared" si="106"/>
        <v>-1.9373154697137185</v>
      </c>
      <c r="BH84" s="9">
        <f t="shared" ca="1" si="107"/>
        <v>-64.694303602612294</v>
      </c>
      <c r="BI84" s="9">
        <f t="shared" ca="1" si="108"/>
        <v>-33.504351509430315</v>
      </c>
      <c r="BJ84">
        <f t="shared" ca="1" si="109"/>
        <v>72.855298288418524</v>
      </c>
      <c r="BK84" s="6">
        <f t="shared" ca="1" si="110"/>
        <v>-0.88798351145995447</v>
      </c>
      <c r="BL84" s="6">
        <f t="shared" ca="1" si="111"/>
        <v>-0.45987529111189362</v>
      </c>
      <c r="BM84" s="6">
        <f t="shared" ca="1" si="112"/>
        <v>-2.6637379007237416</v>
      </c>
      <c r="BN84" s="6">
        <f t="shared" ca="1" si="113"/>
        <v>-2.9392729288559325</v>
      </c>
      <c r="BO84" s="9"/>
      <c r="BT84" s="40"/>
    </row>
    <row r="85" spans="1:72" x14ac:dyDescent="0.25">
      <c r="AS85" s="6">
        <v>-1.692969374434512</v>
      </c>
      <c r="AT85" s="6">
        <v>-133.89671633825481</v>
      </c>
      <c r="AU85" s="6">
        <v>-3.6999790927858136</v>
      </c>
      <c r="AV85" s="6">
        <f t="shared" si="91"/>
        <v>-3.113966600667446</v>
      </c>
      <c r="AW85" s="6">
        <f t="shared" si="92"/>
        <v>1.420997226232934</v>
      </c>
      <c r="AX85" s="6">
        <f t="shared" si="93"/>
        <v>-5.4701610908597909</v>
      </c>
      <c r="AY85" s="6">
        <f t="shared" si="94"/>
        <v>5.4701610908597909</v>
      </c>
      <c r="AZ85" s="47">
        <f t="shared" si="95"/>
        <v>4.5902159327450747</v>
      </c>
      <c r="BA85" s="47">
        <f t="shared" si="96"/>
        <v>-3.113966600667446</v>
      </c>
      <c r="BB85" s="47">
        <f t="shared" si="97"/>
        <v>1.420997226232934</v>
      </c>
      <c r="BC85" s="47">
        <f t="shared" si="98"/>
        <v>-5.4701610908597909</v>
      </c>
      <c r="BD85" s="47">
        <f t="shared" si="99"/>
        <v>5.4701610908597909</v>
      </c>
      <c r="BE85" s="40"/>
      <c r="BF85" s="40"/>
      <c r="BG85" s="6">
        <f t="shared" si="106"/>
        <v>-1.9198621771937752</v>
      </c>
      <c r="BH85" s="9">
        <f t="shared" ca="1" si="107"/>
        <v>-62.351371230568603</v>
      </c>
      <c r="BI85" s="9">
        <f t="shared" ca="1" si="108"/>
        <v>-33.80317847116067</v>
      </c>
      <c r="BJ85">
        <f t="shared" ca="1" si="109"/>
        <v>70.924948847957012</v>
      </c>
      <c r="BK85" s="6">
        <f t="shared" ca="1" si="110"/>
        <v>-0.87911760591089416</v>
      </c>
      <c r="BL85" s="6">
        <f t="shared" ca="1" si="111"/>
        <v>-0.47660490448326026</v>
      </c>
      <c r="BM85" s="6">
        <f t="shared" ca="1" si="112"/>
        <v>-2.6448039377334345</v>
      </c>
      <c r="BN85" s="6">
        <f t="shared" ca="1" si="113"/>
        <v>-2.9203389658656249</v>
      </c>
      <c r="BO85" s="9"/>
      <c r="BT85" s="40"/>
    </row>
    <row r="86" spans="1:72" x14ac:dyDescent="0.25">
      <c r="AS86" s="6">
        <v>-1.6755160819145687</v>
      </c>
      <c r="AT86" s="6">
        <v>-131.41269020475875</v>
      </c>
      <c r="AU86" s="6">
        <v>-4.3707200083643762</v>
      </c>
      <c r="AV86" s="6">
        <f t="shared" si="91"/>
        <v>-3.1083454120279113</v>
      </c>
      <c r="AW86" s="6">
        <f t="shared" si="92"/>
        <v>1.4328293301133426</v>
      </c>
      <c r="AX86" s="6">
        <f t="shared" si="93"/>
        <v>-5.4645399022202561</v>
      </c>
      <c r="AY86" s="6">
        <f t="shared" si="94"/>
        <v>5.4645399022202561</v>
      </c>
      <c r="AZ86" s="47">
        <f t="shared" si="95"/>
        <v>4.6076692252650178</v>
      </c>
      <c r="BA86" s="47">
        <f t="shared" si="96"/>
        <v>-3.1083454120279113</v>
      </c>
      <c r="BB86" s="47">
        <f t="shared" si="97"/>
        <v>1.4328293301133426</v>
      </c>
      <c r="BC86" s="47">
        <f t="shared" si="98"/>
        <v>-5.4645399022202561</v>
      </c>
      <c r="BD86" s="47">
        <f t="shared" si="99"/>
        <v>5.4645399022202561</v>
      </c>
      <c r="BE86" s="40"/>
      <c r="BF86" s="40"/>
      <c r="BG86" s="6">
        <f t="shared" si="106"/>
        <v>-1.9024088846738318</v>
      </c>
      <c r="BH86" s="9">
        <f t="shared" ca="1" si="107"/>
        <v>-60.021736083235439</v>
      </c>
      <c r="BI86" s="9">
        <f t="shared" ca="1" si="108"/>
        <v>-34.096869040783446</v>
      </c>
      <c r="BJ86">
        <f t="shared" ca="1" si="109"/>
        <v>69.030466323427831</v>
      </c>
      <c r="BK86" s="6">
        <f t="shared" ca="1" si="110"/>
        <v>-0.86949631488821377</v>
      </c>
      <c r="BL86" s="6">
        <f t="shared" ca="1" si="111"/>
        <v>-0.49393942786116624</v>
      </c>
      <c r="BM86" s="6">
        <f t="shared" ca="1" si="112"/>
        <v>-2.6249779997554734</v>
      </c>
      <c r="BN86" s="6">
        <f t="shared" ca="1" si="113"/>
        <v>-2.9005130278876639</v>
      </c>
      <c r="BO86" s="9"/>
      <c r="BT86" s="40"/>
    </row>
    <row r="87" spans="1:72" x14ac:dyDescent="0.25">
      <c r="A87" t="s">
        <v>119</v>
      </c>
      <c r="AS87" s="6">
        <v>-1.6580627893946254</v>
      </c>
      <c r="AT87" s="6">
        <v>-128.77341156094815</v>
      </c>
      <c r="AU87" s="6">
        <v>-5.2422687248811446</v>
      </c>
      <c r="AV87" s="6">
        <f t="shared" si="91"/>
        <v>-3.1009058717971785</v>
      </c>
      <c r="AW87" s="6">
        <f t="shared" si="92"/>
        <v>1.4428430824025531</v>
      </c>
      <c r="AX87" s="6">
        <f t="shared" si="93"/>
        <v>-5.4571003619895233</v>
      </c>
      <c r="AY87" s="6">
        <f t="shared" si="94"/>
        <v>5.4571003619895233</v>
      </c>
      <c r="AZ87" s="47">
        <f t="shared" si="95"/>
        <v>4.6251225177849609</v>
      </c>
      <c r="BA87" s="47">
        <f t="shared" si="96"/>
        <v>-3.1009058717971785</v>
      </c>
      <c r="BB87" s="47">
        <f t="shared" si="97"/>
        <v>1.4428430824025531</v>
      </c>
      <c r="BC87" s="47">
        <f t="shared" si="98"/>
        <v>-5.4571003619895233</v>
      </c>
      <c r="BD87" s="47">
        <f t="shared" si="99"/>
        <v>5.4571003619895233</v>
      </c>
      <c r="BE87" s="40"/>
      <c r="BF87" s="40"/>
      <c r="BG87" s="6">
        <f t="shared" si="106"/>
        <v>-1.8849555921538885</v>
      </c>
      <c r="BH87" s="9">
        <f t="shared" ca="1" si="107"/>
        <v>-57.704562110669357</v>
      </c>
      <c r="BI87" s="9">
        <f t="shared" ca="1" si="108"/>
        <v>-34.38682206064982</v>
      </c>
      <c r="BJ87">
        <f t="shared" ca="1" si="109"/>
        <v>67.173432395664364</v>
      </c>
      <c r="BK87" s="6">
        <f t="shared" ca="1" si="110"/>
        <v>-0.85903846286696284</v>
      </c>
      <c r="BL87" s="6">
        <f t="shared" ca="1" si="111"/>
        <v>-0.51191104629140971</v>
      </c>
      <c r="BM87" s="6">
        <f t="shared" ca="1" si="112"/>
        <v>-2.6041846999764156</v>
      </c>
      <c r="BN87" s="6">
        <f t="shared" ca="1" si="113"/>
        <v>-2.879719728108606</v>
      </c>
      <c r="BO87" s="9"/>
      <c r="BT87" s="40"/>
    </row>
    <row r="88" spans="1:72" x14ac:dyDescent="0.25">
      <c r="A88" t="s">
        <v>120</v>
      </c>
      <c r="AS88" s="6">
        <v>-1.640609496874682</v>
      </c>
      <c r="AT88" s="6">
        <v>-125.91242827993491</v>
      </c>
      <c r="AU88" s="6">
        <v>-6.3330970469902832</v>
      </c>
      <c r="AV88" s="6">
        <f t="shared" si="91"/>
        <v>-3.0913373719920871</v>
      </c>
      <c r="AW88" s="6">
        <f t="shared" si="92"/>
        <v>1.4507278751174051</v>
      </c>
      <c r="AX88" s="6">
        <f t="shared" si="93"/>
        <v>-5.447531862184432</v>
      </c>
      <c r="AY88" s="6">
        <f t="shared" si="94"/>
        <v>5.447531862184432</v>
      </c>
      <c r="AZ88" s="47">
        <f t="shared" si="95"/>
        <v>4.642575810304904</v>
      </c>
      <c r="BA88" s="47">
        <f t="shared" si="96"/>
        <v>-3.0913373719920871</v>
      </c>
      <c r="BB88" s="47">
        <f t="shared" si="97"/>
        <v>1.4507278751174051</v>
      </c>
      <c r="BC88" s="47">
        <f t="shared" si="98"/>
        <v>-5.447531862184432</v>
      </c>
      <c r="BD88" s="47">
        <f t="shared" si="99"/>
        <v>5.447531862184432</v>
      </c>
      <c r="BE88" s="40"/>
      <c r="BF88" s="40"/>
      <c r="BG88" s="6">
        <f t="shared" si="106"/>
        <v>-1.8675022996339452</v>
      </c>
      <c r="BH88" s="9">
        <f t="shared" ca="1" si="107"/>
        <v>-55.399167315539259</v>
      </c>
      <c r="BI88" s="9">
        <f t="shared" ca="1" si="108"/>
        <v>-34.674663433789334</v>
      </c>
      <c r="BJ88">
        <f t="shared" ca="1" si="109"/>
        <v>65.355948646635682</v>
      </c>
      <c r="BK88" s="6">
        <f t="shared" ca="1" si="110"/>
        <v>-0.84765302107493823</v>
      </c>
      <c r="BL88" s="6">
        <f t="shared" ca="1" si="111"/>
        <v>-0.53055099270713868</v>
      </c>
      <c r="BM88" s="6">
        <f t="shared" ca="1" si="112"/>
        <v>-2.5823421988565598</v>
      </c>
      <c r="BN88" s="6">
        <f t="shared" ca="1" si="113"/>
        <v>-2.8578772269887507</v>
      </c>
      <c r="BO88" s="9"/>
      <c r="BT88" s="40"/>
    </row>
    <row r="89" spans="1:72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 s="6">
        <v>-1.6231562043547387</v>
      </c>
      <c r="AT89" s="6">
        <v>-123.28187349289216</v>
      </c>
      <c r="AU89" s="6">
        <v>-7.4773214357429456</v>
      </c>
      <c r="AV89" s="6">
        <f t="shared" si="91"/>
        <v>-3.081014626314631</v>
      </c>
      <c r="AW89" s="6">
        <f t="shared" si="92"/>
        <v>1.4578584219598922</v>
      </c>
      <c r="AX89" s="6">
        <f t="shared" si="93"/>
        <v>-5.4372091165069758</v>
      </c>
      <c r="AY89" s="6">
        <f t="shared" si="94"/>
        <v>5.4372091165069758</v>
      </c>
      <c r="AZ89" s="47">
        <f t="shared" si="95"/>
        <v>4.6600291028248471</v>
      </c>
      <c r="BA89" s="47">
        <f t="shared" si="96"/>
        <v>-3.081014626314631</v>
      </c>
      <c r="BB89" s="47">
        <f t="shared" si="97"/>
        <v>1.4578584219598922</v>
      </c>
      <c r="BC89" s="47">
        <f t="shared" si="98"/>
        <v>-5.4372091165069758</v>
      </c>
      <c r="BD89" s="47">
        <f t="shared" si="99"/>
        <v>5.4372091165069758</v>
      </c>
      <c r="BE89" s="40"/>
      <c r="BF89" s="40"/>
      <c r="BG89" s="6">
        <f t="shared" si="106"/>
        <v>-1.8500490071140019</v>
      </c>
      <c r="BH89" s="9">
        <f t="shared" ca="1" si="107"/>
        <v>-53.022169771297413</v>
      </c>
      <c r="BI89" s="9">
        <f t="shared" ca="1" si="108"/>
        <v>-34.968425122264989</v>
      </c>
      <c r="BJ89">
        <f t="shared" ca="1" si="109"/>
        <v>63.514889929745912</v>
      </c>
      <c r="BK89" s="6">
        <f t="shared" ca="1" si="110"/>
        <v>-0.83479904995419907</v>
      </c>
      <c r="BL89" s="6">
        <f t="shared" ca="1" si="111"/>
        <v>-0.55055476221313948</v>
      </c>
      <c r="BM89" s="6">
        <f t="shared" ca="1" si="112"/>
        <v>-2.558564015421477</v>
      </c>
      <c r="BN89" s="6">
        <f t="shared" ca="1" si="113"/>
        <v>-2.8340990435536675</v>
      </c>
      <c r="BO89" s="9"/>
      <c r="BT89" s="40"/>
    </row>
    <row r="90" spans="1:72" x14ac:dyDescent="0.25">
      <c r="A90" s="6">
        <f>E3-$I$2</f>
        <v>-6</v>
      </c>
      <c r="B90" s="1">
        <f>F3-$I$3</f>
        <v>-12</v>
      </c>
      <c r="C90" s="1"/>
      <c r="AS90" s="6">
        <v>-1.6057029118347954</v>
      </c>
      <c r="AT90" s="6">
        <v>-120.98135352703946</v>
      </c>
      <c r="AU90" s="6">
        <v>-8.7120237875541306</v>
      </c>
      <c r="AV90" s="6">
        <f t="shared" si="91"/>
        <v>-3.0697054485337398</v>
      </c>
      <c r="AW90" s="6">
        <f t="shared" si="92"/>
        <v>1.4640025366989444</v>
      </c>
      <c r="AX90" s="6">
        <f t="shared" si="93"/>
        <v>-5.4258999387260847</v>
      </c>
      <c r="AY90" s="6">
        <f t="shared" si="94"/>
        <v>5.4258999387260847</v>
      </c>
      <c r="AZ90" s="47">
        <f t="shared" si="95"/>
        <v>4.677482395344791</v>
      </c>
      <c r="BA90" s="47">
        <f t="shared" si="96"/>
        <v>-3.0697054485337398</v>
      </c>
      <c r="BB90" s="47">
        <f t="shared" si="97"/>
        <v>1.4640025366989444</v>
      </c>
      <c r="BC90" s="47">
        <f t="shared" si="98"/>
        <v>-5.4258999387260847</v>
      </c>
      <c r="BD90" s="47">
        <f t="shared" si="99"/>
        <v>5.4258999387260847</v>
      </c>
      <c r="BE90" s="40"/>
      <c r="BF90" s="40"/>
      <c r="BG90" s="6">
        <f t="shared" si="106"/>
        <v>-1.8325957145940586</v>
      </c>
      <c r="BH90" s="9">
        <f t="shared" ca="1" si="107"/>
        <v>-50.328718302678467</v>
      </c>
      <c r="BI90" s="9">
        <f t="shared" ca="1" si="108"/>
        <v>-35.286445773618006</v>
      </c>
      <c r="BJ90">
        <f t="shared" ca="1" si="109"/>
        <v>61.466357801034924</v>
      </c>
      <c r="BK90" s="6">
        <f t="shared" ca="1" si="110"/>
        <v>-0.81880104992703939</v>
      </c>
      <c r="BL90" s="6">
        <f t="shared" ca="1" si="111"/>
        <v>-0.57407738209964154</v>
      </c>
      <c r="BM90" s="6">
        <f t="shared" ca="1" si="112"/>
        <v>-2.5301157425242877</v>
      </c>
      <c r="BN90" s="6">
        <f t="shared" ca="1" si="113"/>
        <v>-2.8056507706564782</v>
      </c>
      <c r="BO90" s="9"/>
      <c r="BT90" s="40"/>
    </row>
    <row r="91" spans="1:72" x14ac:dyDescent="0.25">
      <c r="A91" s="6">
        <f t="shared" ref="A91:A98" si="114">E4-$I$2</f>
        <v>6</v>
      </c>
      <c r="B91" s="1">
        <f t="shared" ref="B91:B98" si="115">F4-$I$3</f>
        <v>-12</v>
      </c>
      <c r="C91" s="1">
        <f>((A90*B91)-(A91*B90))*0.5</f>
        <v>72</v>
      </c>
      <c r="D91" s="6">
        <f>(A91+A90)*((A90*B91)-(A91*B90))*(1/6)</f>
        <v>0</v>
      </c>
      <c r="E91" s="6">
        <f>(B91+B90)*((A90*B91)-(A91*B90))*(1/6)</f>
        <v>-576</v>
      </c>
      <c r="AS91" s="6">
        <v>-1.5882496193148521</v>
      </c>
      <c r="AT91" s="6">
        <v>-116.65745897368232</v>
      </c>
      <c r="AU91" s="6">
        <v>-9.3812956364650617</v>
      </c>
      <c r="AV91" s="6">
        <f t="shared" si="91"/>
        <v>-3.0613478841210795</v>
      </c>
      <c r="AW91" s="6">
        <f t="shared" si="92"/>
        <v>1.4730982648062274</v>
      </c>
      <c r="AX91" s="6">
        <f t="shared" si="93"/>
        <v>-5.4175423743134239</v>
      </c>
      <c r="AY91" s="6">
        <f t="shared" si="94"/>
        <v>5.4175423743134239</v>
      </c>
      <c r="AZ91" s="47">
        <f t="shared" si="95"/>
        <v>4.6949356878647341</v>
      </c>
      <c r="BA91" s="47">
        <f t="shared" si="96"/>
        <v>-3.0613478841210795</v>
      </c>
      <c r="BB91" s="47">
        <f t="shared" si="97"/>
        <v>1.4730982648062274</v>
      </c>
      <c r="BC91" s="47">
        <f t="shared" si="98"/>
        <v>-5.4175423743134239</v>
      </c>
      <c r="BD91" s="47">
        <f t="shared" si="99"/>
        <v>5.4175423743134239</v>
      </c>
      <c r="BE91" s="40"/>
      <c r="BF91" s="40"/>
      <c r="BG91" s="6">
        <f t="shared" si="106"/>
        <v>-1.8151424220741152</v>
      </c>
      <c r="BH91" s="9">
        <f t="shared" ca="1" si="107"/>
        <v>-47.658059881564796</v>
      </c>
      <c r="BI91" s="9">
        <f t="shared" ca="1" si="108"/>
        <v>-35.605398059646411</v>
      </c>
      <c r="BJ91">
        <f t="shared" ca="1" si="109"/>
        <v>59.489789398355484</v>
      </c>
      <c r="BK91" s="6">
        <f t="shared" ca="1" si="110"/>
        <v>-0.80111327277420552</v>
      </c>
      <c r="BL91" s="6">
        <f t="shared" ca="1" si="111"/>
        <v>-0.59851276025244549</v>
      </c>
      <c r="BM91" s="6">
        <f t="shared" ca="1" si="112"/>
        <v>-2.4999493013276757</v>
      </c>
      <c r="BN91" s="6">
        <f t="shared" ca="1" si="113"/>
        <v>-2.7754843294598661</v>
      </c>
      <c r="BO91" s="9"/>
      <c r="BT91" s="40"/>
    </row>
    <row r="92" spans="1:72" x14ac:dyDescent="0.25">
      <c r="A92" s="6">
        <f t="shared" si="114"/>
        <v>6</v>
      </c>
      <c r="B92" s="1">
        <f t="shared" si="115"/>
        <v>4</v>
      </c>
      <c r="C92" s="1">
        <f t="shared" ref="C92:C98" si="116">((A91*B92)-(A92*B91))*0.5</f>
        <v>48</v>
      </c>
      <c r="D92" s="6">
        <f t="shared" ref="D92:D98" si="117">(A92+A91)*((A91*B92)-(A92*B91))*(1/6)</f>
        <v>192</v>
      </c>
      <c r="E92" s="6">
        <f t="shared" ref="E92:E98" si="118">(B92+B91)*((A91*B92)-(A92*B91))*(1/6)</f>
        <v>-128</v>
      </c>
      <c r="AS92" s="6">
        <v>-1.5707963267949088</v>
      </c>
      <c r="AT92" s="6">
        <v>-110.74785146259046</v>
      </c>
      <c r="AU92" s="6">
        <v>-9.501377024419881</v>
      </c>
      <c r="AV92" s="6">
        <f t="shared" si="91"/>
        <v>-3.0560093403172526</v>
      </c>
      <c r="AW92" s="6">
        <f t="shared" si="92"/>
        <v>1.4852130135223438</v>
      </c>
      <c r="AX92" s="6">
        <f t="shared" si="93"/>
        <v>-5.412203830509597</v>
      </c>
      <c r="AY92" s="6">
        <f t="shared" si="94"/>
        <v>5.412203830509597</v>
      </c>
      <c r="AZ92" s="47">
        <f t="shared" si="95"/>
        <v>4.7123889803846772</v>
      </c>
      <c r="BA92" s="47">
        <f t="shared" si="96"/>
        <v>-3.0560093403172526</v>
      </c>
      <c r="BB92" s="47">
        <f t="shared" si="97"/>
        <v>1.4852130135223438</v>
      </c>
      <c r="BC92" s="47">
        <f t="shared" si="98"/>
        <v>-5.412203830509597</v>
      </c>
      <c r="BD92" s="47">
        <f t="shared" si="99"/>
        <v>5.412203830509597</v>
      </c>
      <c r="BE92" s="40"/>
      <c r="BF92" s="40"/>
      <c r="BG92" s="6">
        <f t="shared" si="106"/>
        <v>-1.7976891295541719</v>
      </c>
      <c r="BH92" s="9">
        <f t="shared" ca="1" si="107"/>
        <v>-45.012172537055577</v>
      </c>
      <c r="BI92" s="9">
        <f t="shared" ca="1" si="108"/>
        <v>-35.928962122933726</v>
      </c>
      <c r="BJ92">
        <f t="shared" ca="1" si="109"/>
        <v>57.593280821089422</v>
      </c>
      <c r="BK92" s="6">
        <f t="shared" ca="1" si="110"/>
        <v>-0.78155249875213018</v>
      </c>
      <c r="BL92" s="6">
        <f t="shared" ca="1" si="111"/>
        <v>-0.62383947590249644</v>
      </c>
      <c r="BM92" s="6">
        <f t="shared" ca="1" si="112"/>
        <v>-2.4679468981278694</v>
      </c>
      <c r="BN92" s="6">
        <f t="shared" ca="1" si="113"/>
        <v>-2.7434819262600598</v>
      </c>
      <c r="BO92" s="9"/>
      <c r="BT92" s="40"/>
    </row>
    <row r="93" spans="1:72" x14ac:dyDescent="0.25">
      <c r="A93" s="6">
        <f t="shared" si="114"/>
        <v>6</v>
      </c>
      <c r="B93" s="1">
        <f t="shared" si="115"/>
        <v>4</v>
      </c>
      <c r="C93" s="1">
        <f t="shared" si="116"/>
        <v>0</v>
      </c>
      <c r="D93" s="6">
        <f t="shared" si="117"/>
        <v>0</v>
      </c>
      <c r="E93" s="6">
        <f t="shared" si="118"/>
        <v>0</v>
      </c>
      <c r="AS93" s="6">
        <v>-1.5533430342749655</v>
      </c>
      <c r="AT93" s="6">
        <v>-96.256194115688302</v>
      </c>
      <c r="AU93" s="6">
        <v>-8.5666169334609386</v>
      </c>
      <c r="AV93" s="6">
        <f t="shared" si="91"/>
        <v>-3.0528284328014599</v>
      </c>
      <c r="AW93" s="6">
        <f t="shared" si="92"/>
        <v>1.4994853985264944</v>
      </c>
      <c r="AX93" s="6">
        <f t="shared" si="93"/>
        <v>-5.4090229229938043</v>
      </c>
      <c r="AY93" s="6">
        <f t="shared" si="94"/>
        <v>5.4090229229938043</v>
      </c>
      <c r="AZ93" s="47">
        <f t="shared" si="95"/>
        <v>4.7298422729046212</v>
      </c>
      <c r="BA93" s="47">
        <f t="shared" si="96"/>
        <v>-3.0528284328014599</v>
      </c>
      <c r="BB93" s="47">
        <f t="shared" si="97"/>
        <v>1.4994853985264944</v>
      </c>
      <c r="BC93" s="47">
        <f t="shared" si="98"/>
        <v>-5.4090229229938043</v>
      </c>
      <c r="BD93" s="47">
        <f t="shared" si="99"/>
        <v>5.4090229229938043</v>
      </c>
      <c r="BE93" s="40"/>
      <c r="BF93" s="40"/>
      <c r="BG93" s="6">
        <f t="shared" si="106"/>
        <v>-1.7802358370342286</v>
      </c>
      <c r="BH93" s="9">
        <f t="shared" ca="1" si="107"/>
        <v>-42.393679647708254</v>
      </c>
      <c r="BI93" s="9">
        <f t="shared" ca="1" si="108"/>
        <v>-36.261901263921942</v>
      </c>
      <c r="BJ93">
        <f t="shared" ca="1" si="109"/>
        <v>55.786643180486642</v>
      </c>
      <c r="BK93" s="6">
        <f t="shared" ca="1" si="110"/>
        <v>-0.75992526581231812</v>
      </c>
      <c r="BL93" s="6">
        <f t="shared" ca="1" si="111"/>
        <v>-0.65001045405445412</v>
      </c>
      <c r="BM93" s="6">
        <f t="shared" ca="1" si="112"/>
        <v>-2.4339944602578085</v>
      </c>
      <c r="BN93" s="6">
        <f t="shared" ca="1" si="113"/>
        <v>-2.7095294883899994</v>
      </c>
      <c r="BO93" s="9"/>
      <c r="BT93" s="40"/>
    </row>
    <row r="94" spans="1:72" x14ac:dyDescent="0.25">
      <c r="A94" s="6">
        <f t="shared" si="114"/>
        <v>6</v>
      </c>
      <c r="B94" s="1">
        <f t="shared" si="115"/>
        <v>12</v>
      </c>
      <c r="C94" s="1">
        <f t="shared" si="116"/>
        <v>24</v>
      </c>
      <c r="D94" s="6">
        <f t="shared" si="117"/>
        <v>96</v>
      </c>
      <c r="E94" s="6">
        <f t="shared" si="118"/>
        <v>128</v>
      </c>
      <c r="AS94" s="6">
        <v>-1.5358897417550221</v>
      </c>
      <c r="AT94" s="6">
        <v>-81.736072195629774</v>
      </c>
      <c r="AU94" s="6">
        <v>-7.2506157542970051</v>
      </c>
      <c r="AV94" s="6">
        <f t="shared" si="91"/>
        <v>-3.0531165821425539</v>
      </c>
      <c r="AW94" s="6">
        <f t="shared" si="92"/>
        <v>1.5172268403875317</v>
      </c>
      <c r="AX94" s="6">
        <f t="shared" si="93"/>
        <v>-5.4093110723348987</v>
      </c>
      <c r="AY94" s="6">
        <f t="shared" si="94"/>
        <v>5.4093110723348987</v>
      </c>
      <c r="AZ94" s="47">
        <f t="shared" si="95"/>
        <v>4.7472955654245643</v>
      </c>
      <c r="BA94" s="47">
        <f t="shared" si="96"/>
        <v>-3.0531165821425539</v>
      </c>
      <c r="BB94" s="47">
        <f t="shared" si="97"/>
        <v>1.5172268403875317</v>
      </c>
      <c r="BC94" s="47">
        <f t="shared" si="98"/>
        <v>-5.4093110723348987</v>
      </c>
      <c r="BD94" s="47">
        <f t="shared" si="99"/>
        <v>5.4093110723348987</v>
      </c>
      <c r="BE94" s="40"/>
      <c r="BF94" s="40"/>
      <c r="BG94" s="6">
        <f t="shared" si="106"/>
        <v>-1.7627825445142853</v>
      </c>
      <c r="BH94" s="9">
        <f t="shared" ca="1" si="107"/>
        <v>-39.805753827196341</v>
      </c>
      <c r="BI94" s="9">
        <f t="shared" ca="1" si="108"/>
        <v>-36.610544245945697</v>
      </c>
      <c r="BJ94">
        <f t="shared" ca="1" si="109"/>
        <v>54.081697345180501</v>
      </c>
      <c r="BK94" s="6">
        <f t="shared" ca="1" si="110"/>
        <v>-0.73603003938898448</v>
      </c>
      <c r="BL94" s="6">
        <f t="shared" ca="1" si="111"/>
        <v>-0.67694887629499023</v>
      </c>
      <c r="BM94" s="6">
        <f t="shared" ca="1" si="112"/>
        <v>-2.3979833428973132</v>
      </c>
      <c r="BN94" s="6">
        <f t="shared" ca="1" si="113"/>
        <v>-2.6735183710295036</v>
      </c>
      <c r="BO94" s="9"/>
      <c r="BT94" s="40"/>
    </row>
    <row r="95" spans="1:72" x14ac:dyDescent="0.25">
      <c r="A95" s="6">
        <f t="shared" si="114"/>
        <v>-6</v>
      </c>
      <c r="B95" s="1">
        <f t="shared" si="115"/>
        <v>12</v>
      </c>
      <c r="C95" s="1">
        <f t="shared" si="116"/>
        <v>72</v>
      </c>
      <c r="D95" s="6">
        <f t="shared" si="117"/>
        <v>0</v>
      </c>
      <c r="E95" s="6">
        <f t="shared" si="118"/>
        <v>576</v>
      </c>
      <c r="AS95" s="6">
        <v>-1.5184364492350788</v>
      </c>
      <c r="AT95" s="6">
        <v>-66.368435560955021</v>
      </c>
      <c r="AU95" s="6">
        <v>-4.9946806860303363</v>
      </c>
      <c r="AV95" s="6">
        <f t="shared" si="91"/>
        <v>-3.0664773782051706</v>
      </c>
      <c r="AW95" s="6">
        <f t="shared" si="92"/>
        <v>1.5480409289700918</v>
      </c>
      <c r="AX95" s="6">
        <f t="shared" si="93"/>
        <v>-5.422671868397515</v>
      </c>
      <c r="AY95" s="6">
        <f t="shared" si="94"/>
        <v>5.422671868397515</v>
      </c>
      <c r="AZ95" s="47">
        <f t="shared" si="95"/>
        <v>4.7647488579445074</v>
      </c>
      <c r="BA95" s="47">
        <f t="shared" si="96"/>
        <v>-3.0664773782051706</v>
      </c>
      <c r="BB95" s="47">
        <f t="shared" si="97"/>
        <v>1.5480409289700918</v>
      </c>
      <c r="BC95" s="47">
        <f t="shared" si="98"/>
        <v>-5.422671868397515</v>
      </c>
      <c r="BD95" s="47">
        <f t="shared" si="99"/>
        <v>5.422671868397515</v>
      </c>
      <c r="BE95" s="40"/>
      <c r="BF95" s="40"/>
      <c r="BG95" s="6">
        <f t="shared" si="106"/>
        <v>-1.745329251994342</v>
      </c>
      <c r="BH95" s="9">
        <f t="shared" ca="1" si="107"/>
        <v>-37.251719913862431</v>
      </c>
      <c r="BI95" s="9">
        <f t="shared" ca="1" si="108"/>
        <v>-36.983539083198053</v>
      </c>
      <c r="BJ95">
        <f t="shared" ca="1" si="109"/>
        <v>52.492597570126904</v>
      </c>
      <c r="BK95" s="6">
        <f t="shared" ca="1" si="110"/>
        <v>-0.70965663042482152</v>
      </c>
      <c r="BL95" s="6">
        <f t="shared" ca="1" si="111"/>
        <v>-0.70454770377461895</v>
      </c>
      <c r="BM95" s="6">
        <f t="shared" ca="1" si="112"/>
        <v>-2.3598070547289853</v>
      </c>
      <c r="BN95" s="6">
        <f t="shared" ca="1" si="113"/>
        <v>-2.6353420828611762</v>
      </c>
      <c r="BO95" s="9"/>
      <c r="BT95" s="40"/>
    </row>
    <row r="96" spans="1:72" x14ac:dyDescent="0.25">
      <c r="A96" s="6">
        <f t="shared" si="114"/>
        <v>-6</v>
      </c>
      <c r="B96" s="1">
        <f t="shared" si="115"/>
        <v>4</v>
      </c>
      <c r="C96" s="1">
        <f t="shared" si="116"/>
        <v>24</v>
      </c>
      <c r="D96" s="6">
        <f t="shared" si="117"/>
        <v>-96</v>
      </c>
      <c r="E96" s="6">
        <f t="shared" si="118"/>
        <v>128</v>
      </c>
      <c r="AS96" s="6">
        <v>-1.5009831567151355</v>
      </c>
      <c r="AT96" s="6">
        <v>-54.343260984675403</v>
      </c>
      <c r="AU96" s="6">
        <v>-2.9951204530557267</v>
      </c>
      <c r="AV96" s="6">
        <f t="shared" si="91"/>
        <v>-3.0865335126992459</v>
      </c>
      <c r="AW96" s="6">
        <f t="shared" si="92"/>
        <v>1.5855503559841104</v>
      </c>
      <c r="AX96" s="6">
        <f t="shared" si="93"/>
        <v>-5.4427280028915908</v>
      </c>
      <c r="AY96" s="6">
        <f t="shared" si="94"/>
        <v>5.4427280028915908</v>
      </c>
      <c r="AZ96" s="47">
        <f t="shared" si="95"/>
        <v>4.7822021504644505</v>
      </c>
      <c r="BA96" s="47">
        <f t="shared" si="96"/>
        <v>-3.0865335126992459</v>
      </c>
      <c r="BB96" s="47">
        <f t="shared" si="97"/>
        <v>1.5855503559841104</v>
      </c>
      <c r="BC96" s="47">
        <f t="shared" si="98"/>
        <v>-5.4427280028915908</v>
      </c>
      <c r="BD96" s="47">
        <f t="shared" si="99"/>
        <v>5.4427280028915908</v>
      </c>
      <c r="BE96" s="40"/>
      <c r="BF96" s="40"/>
      <c r="BG96" s="6">
        <f t="shared" si="106"/>
        <v>-1.7278759594743986</v>
      </c>
      <c r="BH96" s="9">
        <f t="shared" ca="1" si="107"/>
        <v>-34.733925094770441</v>
      </c>
      <c r="BI96" s="9">
        <f t="shared" ca="1" si="108"/>
        <v>-37.393077358494452</v>
      </c>
      <c r="BJ96">
        <f t="shared" ca="1" si="109"/>
        <v>51.036141966526763</v>
      </c>
      <c r="BK96" s="6">
        <f t="shared" ca="1" si="110"/>
        <v>-0.68057505439089594</v>
      </c>
      <c r="BL96" s="6">
        <f t="shared" ca="1" si="111"/>
        <v>-0.73267837100656175</v>
      </c>
      <c r="BM96" s="6">
        <f t="shared" ca="1" si="112"/>
        <v>-2.3193435417060435</v>
      </c>
      <c r="BN96" s="6">
        <f t="shared" ca="1" si="113"/>
        <v>-2.594878569838234</v>
      </c>
      <c r="BO96" s="9"/>
      <c r="BT96" s="40"/>
    </row>
    <row r="97" spans="1:72" x14ac:dyDescent="0.25">
      <c r="A97" s="6">
        <f t="shared" si="114"/>
        <v>-6</v>
      </c>
      <c r="B97" s="1">
        <f t="shared" si="115"/>
        <v>4</v>
      </c>
      <c r="C97" s="1">
        <f t="shared" si="116"/>
        <v>0</v>
      </c>
      <c r="D97" s="6">
        <f t="shared" si="117"/>
        <v>0</v>
      </c>
      <c r="E97" s="6">
        <f t="shared" si="118"/>
        <v>0</v>
      </c>
      <c r="AS97" s="6">
        <v>-1.4835298641951922</v>
      </c>
      <c r="AT97" s="6">
        <v>-47.916603036961419</v>
      </c>
      <c r="AU97" s="6">
        <v>-1.6574986207513915</v>
      </c>
      <c r="AV97" s="6">
        <f t="shared" si="91"/>
        <v>-3.1070151190532145</v>
      </c>
      <c r="AW97" s="6">
        <f t="shared" si="92"/>
        <v>1.6234852548580223</v>
      </c>
      <c r="AX97" s="6">
        <f t="shared" si="93"/>
        <v>-5.4632096092455598</v>
      </c>
      <c r="AY97" s="6">
        <f t="shared" si="94"/>
        <v>5.4632096092455598</v>
      </c>
      <c r="AZ97" s="47">
        <f t="shared" si="95"/>
        <v>4.7996554429843936</v>
      </c>
      <c r="BA97" s="47">
        <f t="shared" si="96"/>
        <v>-3.1070151190532145</v>
      </c>
      <c r="BB97" s="47">
        <f t="shared" si="97"/>
        <v>1.6234852548580223</v>
      </c>
      <c r="BC97" s="47">
        <f t="shared" si="98"/>
        <v>-5.4632096092455598</v>
      </c>
      <c r="BD97" s="47">
        <f t="shared" si="99"/>
        <v>5.4632096092455598</v>
      </c>
      <c r="BE97" s="40"/>
      <c r="BF97" s="40"/>
      <c r="BG97" s="6">
        <f t="shared" si="106"/>
        <v>-1.7104226669544553</v>
      </c>
      <c r="BH97" s="9">
        <f t="shared" ca="1" si="107"/>
        <v>-32.250810463603145</v>
      </c>
      <c r="BI97" s="9">
        <f t="shared" ca="1" si="108"/>
        <v>-37.856975719128727</v>
      </c>
      <c r="BJ97">
        <f t="shared" ca="1" si="109"/>
        <v>49.731935274609569</v>
      </c>
      <c r="BK97" s="6">
        <f t="shared" ca="1" si="110"/>
        <v>-0.64849297107624648</v>
      </c>
      <c r="BL97" s="6">
        <f t="shared" ca="1" si="111"/>
        <v>-0.76122064243207621</v>
      </c>
      <c r="BM97" s="6">
        <f t="shared" ca="1" si="112"/>
        <v>-2.2763993368027973</v>
      </c>
      <c r="BN97" s="6">
        <f t="shared" ca="1" si="113"/>
        <v>-2.5519343649349882</v>
      </c>
      <c r="BO97" s="9"/>
      <c r="BT97" s="40"/>
    </row>
    <row r="98" spans="1:72" x14ac:dyDescent="0.25">
      <c r="A98" s="6">
        <f t="shared" si="114"/>
        <v>-6</v>
      </c>
      <c r="B98" s="1">
        <f t="shared" si="115"/>
        <v>-12</v>
      </c>
      <c r="C98" s="1">
        <f t="shared" si="116"/>
        <v>48</v>
      </c>
      <c r="D98" s="6">
        <f t="shared" si="117"/>
        <v>-192</v>
      </c>
      <c r="E98" s="6">
        <f t="shared" si="118"/>
        <v>-128</v>
      </c>
      <c r="AS98" s="6">
        <v>-1.4660765716752489</v>
      </c>
      <c r="AT98" s="6">
        <v>-44.154869084977634</v>
      </c>
      <c r="AU98" s="6">
        <v>-0.70739359999721041</v>
      </c>
      <c r="AV98" s="6">
        <f t="shared" si="91"/>
        <v>-3.1255732857796894</v>
      </c>
      <c r="AW98" s="6">
        <f t="shared" si="92"/>
        <v>1.6594967141044406</v>
      </c>
      <c r="AX98" s="6">
        <f t="shared" si="93"/>
        <v>-5.4817677759720347</v>
      </c>
      <c r="AY98" s="6">
        <f t="shared" si="94"/>
        <v>5.4817677759720347</v>
      </c>
      <c r="AZ98" s="47">
        <f t="shared" si="95"/>
        <v>4.8171087355043376</v>
      </c>
      <c r="BA98" s="47">
        <f t="shared" si="96"/>
        <v>-3.1255732857796894</v>
      </c>
      <c r="BB98" s="47">
        <f t="shared" si="97"/>
        <v>1.6594967141044406</v>
      </c>
      <c r="BC98" s="47">
        <f t="shared" si="98"/>
        <v>-5.4817677759720347</v>
      </c>
      <c r="BD98" s="47">
        <f t="shared" si="99"/>
        <v>5.4817677759720347</v>
      </c>
      <c r="BE98" s="40"/>
      <c r="BF98" s="40"/>
      <c r="BG98" s="6">
        <f t="shared" si="106"/>
        <v>-1.692969374434512</v>
      </c>
      <c r="BH98" s="9">
        <f t="shared" ca="1" si="107"/>
        <v>-29.789402254199345</v>
      </c>
      <c r="BI98" s="9">
        <f t="shared" ca="1" si="108"/>
        <v>-38.402417120804301</v>
      </c>
      <c r="BJ98">
        <f t="shared" ca="1" si="109"/>
        <v>48.601997154260445</v>
      </c>
      <c r="BK98" s="6">
        <f t="shared" ca="1" si="110"/>
        <v>-0.61292547628545357</v>
      </c>
      <c r="BL98" s="6">
        <f t="shared" ca="1" si="111"/>
        <v>-0.79014072197314944</v>
      </c>
      <c r="BM98" s="6">
        <f t="shared" ca="1" si="112"/>
        <v>-2.2305540994726649</v>
      </c>
      <c r="BN98" s="6">
        <f t="shared" ca="1" si="113"/>
        <v>-2.5060891276048558</v>
      </c>
      <c r="BO98" s="9"/>
      <c r="BT98" s="40"/>
    </row>
    <row r="99" spans="1:72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AS99" s="6">
        <v>-1.4486232791553055</v>
      </c>
      <c r="AT99" s="6">
        <v>-41.751459558580279</v>
      </c>
      <c r="AU99" s="6">
        <v>7.5345787907318421E-3</v>
      </c>
      <c r="AV99" s="6">
        <f t="shared" si="91"/>
        <v>3.1414121909475621</v>
      </c>
      <c r="AW99" s="6">
        <f t="shared" si="92"/>
        <v>4.5900354701028672</v>
      </c>
      <c r="AX99" s="6">
        <f t="shared" si="93"/>
        <v>0.78521770075521724</v>
      </c>
      <c r="AY99" s="6">
        <f t="shared" si="94"/>
        <v>0.78521770075521724</v>
      </c>
      <c r="AZ99" s="47">
        <f t="shared" si="95"/>
        <v>4.8345620280242807</v>
      </c>
      <c r="BA99" s="47">
        <f t="shared" si="96"/>
        <v>3.1414121909475621</v>
      </c>
      <c r="BB99" s="47">
        <f t="shared" si="97"/>
        <v>4.5900354701028672</v>
      </c>
      <c r="BC99" s="47">
        <f t="shared" si="98"/>
        <v>0.78521770075521724</v>
      </c>
      <c r="BD99" s="47">
        <f t="shared" si="99"/>
        <v>0.78521770075521724</v>
      </c>
      <c r="BE99" s="40"/>
      <c r="BF99" s="40"/>
      <c r="BG99" s="6">
        <f t="shared" si="106"/>
        <v>-1.6755160819145687</v>
      </c>
      <c r="BH99" s="9">
        <f t="shared" ca="1" si="107"/>
        <v>-27.305376120703286</v>
      </c>
      <c r="BI99" s="9">
        <f t="shared" ca="1" si="108"/>
        <v>-39.073158036382864</v>
      </c>
      <c r="BJ99">
        <f t="shared" ca="1" si="109"/>
        <v>47.668598091712575</v>
      </c>
      <c r="BK99" s="6">
        <f t="shared" ca="1" si="110"/>
        <v>-0.57281684827753432</v>
      </c>
      <c r="BL99" s="6">
        <f t="shared" ca="1" si="111"/>
        <v>-0.8196833890773878</v>
      </c>
      <c r="BM99" s="6">
        <f t="shared" ca="1" si="112"/>
        <v>-2.1807345798867153</v>
      </c>
      <c r="BN99" s="6">
        <f t="shared" ca="1" si="113"/>
        <v>-2.4562696080189061</v>
      </c>
      <c r="BO99" s="9"/>
      <c r="BT99" s="40"/>
    </row>
    <row r="100" spans="1:72" x14ac:dyDescent="0.25">
      <c r="A100" s="8" t="s">
        <v>124</v>
      </c>
      <c r="B100" s="1">
        <f>B31*C99*0.65</f>
        <v>795.6</v>
      </c>
      <c r="C100" t="s">
        <v>68</v>
      </c>
      <c r="AS100" s="6">
        <v>-1.4311699866353622</v>
      </c>
      <c r="AT100" s="6">
        <v>-40.115667020085723</v>
      </c>
      <c r="AU100" s="6">
        <v>0.56815357981258441</v>
      </c>
      <c r="AV100" s="6">
        <f t="shared" si="91"/>
        <v>3.1274307154132135</v>
      </c>
      <c r="AW100" s="6">
        <f t="shared" si="92"/>
        <v>4.5586007020485759</v>
      </c>
      <c r="AX100" s="6">
        <f t="shared" si="93"/>
        <v>0.77123622522086865</v>
      </c>
      <c r="AY100" s="6">
        <f t="shared" si="94"/>
        <v>0.77123622522086865</v>
      </c>
      <c r="AZ100" s="47">
        <f t="shared" si="95"/>
        <v>4.8520153205442238</v>
      </c>
      <c r="BA100" s="47">
        <f t="shared" si="96"/>
        <v>3.1274307154132135</v>
      </c>
      <c r="BB100" s="47">
        <f t="shared" si="97"/>
        <v>4.5586007020485759</v>
      </c>
      <c r="BC100" s="47">
        <f t="shared" si="98"/>
        <v>0.77123622522086865</v>
      </c>
      <c r="BD100" s="47">
        <f t="shared" si="99"/>
        <v>0.77123622522086865</v>
      </c>
      <c r="BE100" s="40"/>
      <c r="BF100" s="40"/>
      <c r="BG100" s="6">
        <f t="shared" si="106"/>
        <v>-1.6580627893946254</v>
      </c>
      <c r="BH100" s="9">
        <f t="shared" ca="1" si="107"/>
        <v>-24.666097476892688</v>
      </c>
      <c r="BI100" s="9">
        <f t="shared" ca="1" si="108"/>
        <v>-39.944706752899627</v>
      </c>
      <c r="BJ100">
        <f t="shared" ca="1" si="109"/>
        <v>46.94673537440827</v>
      </c>
      <c r="BK100" s="6">
        <f t="shared" ca="1" si="110"/>
        <v>-0.52540602195608122</v>
      </c>
      <c r="BL100" s="6">
        <f t="shared" ca="1" si="111"/>
        <v>-0.85085163929576224</v>
      </c>
      <c r="BM100" s="6">
        <f t="shared" ca="1" si="112"/>
        <v>-2.1239885643972638</v>
      </c>
      <c r="BN100" s="6">
        <f t="shared" ca="1" si="113"/>
        <v>-2.3995235925294542</v>
      </c>
      <c r="BO100" s="9"/>
      <c r="BT100" s="40"/>
    </row>
    <row r="101" spans="1:72" x14ac:dyDescent="0.25">
      <c r="A101" s="8" t="s">
        <v>77</v>
      </c>
      <c r="B101" s="1">
        <f>B100*E99</f>
        <v>0</v>
      </c>
      <c r="C101" t="s">
        <v>69</v>
      </c>
      <c r="AS101" s="6">
        <v>-1.4137166941154189</v>
      </c>
      <c r="AT101" s="6">
        <v>-38.94728606632043</v>
      </c>
      <c r="AU101" s="6">
        <v>1.0216452419226707</v>
      </c>
      <c r="AV101" s="6">
        <f t="shared" si="91"/>
        <v>3.1153671803025174</v>
      </c>
      <c r="AW101" s="6">
        <f t="shared" si="92"/>
        <v>4.5290838744179363</v>
      </c>
      <c r="AX101" s="6">
        <f t="shared" si="93"/>
        <v>0.75917269011017252</v>
      </c>
      <c r="AY101" s="6">
        <f t="shared" si="94"/>
        <v>0.75917269011017252</v>
      </c>
      <c r="AZ101" s="47">
        <f t="shared" si="95"/>
        <v>4.8694686130641678</v>
      </c>
      <c r="BA101" s="47">
        <f t="shared" si="96"/>
        <v>3.1153671803025174</v>
      </c>
      <c r="BB101" s="47">
        <f t="shared" si="97"/>
        <v>4.5290838744179363</v>
      </c>
      <c r="BC101" s="47">
        <f t="shared" si="98"/>
        <v>0.75917269011017252</v>
      </c>
      <c r="BD101" s="47">
        <f t="shared" si="99"/>
        <v>0.75917269011017252</v>
      </c>
      <c r="BE101" s="40"/>
      <c r="BF101" s="40"/>
      <c r="BG101" s="6">
        <f t="shared" si="106"/>
        <v>-1.640609496874682</v>
      </c>
      <c r="BH101" s="9">
        <f t="shared" ca="1" si="107"/>
        <v>-21.805114195879455</v>
      </c>
      <c r="BI101" s="9">
        <f t="shared" ca="1" si="108"/>
        <v>-41.035535075008767</v>
      </c>
      <c r="BJ101">
        <f t="shared" ca="1" si="109"/>
        <v>46.46910956740637</v>
      </c>
      <c r="BK101" s="6">
        <f t="shared" ca="1" si="110"/>
        <v>-0.46923890728419843</v>
      </c>
      <c r="BL101" s="6">
        <f t="shared" ca="1" si="111"/>
        <v>-0.88307125867097014</v>
      </c>
      <c r="BM101" s="6">
        <f t="shared" ca="1" si="112"/>
        <v>-2.0592250371530323</v>
      </c>
      <c r="BN101" s="6">
        <f t="shared" ca="1" si="113"/>
        <v>-2.3347600652852227</v>
      </c>
      <c r="BO101" s="9"/>
      <c r="BT101" s="40"/>
    </row>
    <row r="102" spans="1:72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AS102" s="6">
        <v>-1.3962634015954756</v>
      </c>
      <c r="AT102" s="6">
        <v>-38.080118781511445</v>
      </c>
      <c r="AU102" s="6">
        <v>1.3975114315667279</v>
      </c>
      <c r="AV102" s="6">
        <f t="shared" si="91"/>
        <v>3.1049098758735685</v>
      </c>
      <c r="AW102" s="6">
        <f t="shared" si="92"/>
        <v>4.5011732774690438</v>
      </c>
      <c r="AX102" s="6">
        <f t="shared" si="93"/>
        <v>0.74871538568122364</v>
      </c>
      <c r="AY102" s="6">
        <f t="shared" si="94"/>
        <v>0.74871538568122364</v>
      </c>
      <c r="AZ102" s="47">
        <f t="shared" si="95"/>
        <v>4.8869219055841109</v>
      </c>
      <c r="BA102" s="47">
        <f t="shared" si="96"/>
        <v>3.1049098758735685</v>
      </c>
      <c r="BB102" s="47">
        <f t="shared" si="97"/>
        <v>4.5011732774690438</v>
      </c>
      <c r="BC102" s="47">
        <f t="shared" si="98"/>
        <v>0.74871538568122364</v>
      </c>
      <c r="BD102" s="47">
        <f t="shared" si="99"/>
        <v>0.74871538568122364</v>
      </c>
      <c r="BE102" s="40"/>
      <c r="BF102" s="40"/>
      <c r="BG102" s="6">
        <f t="shared" si="106"/>
        <v>-1.6231562043547387</v>
      </c>
      <c r="BH102" s="9">
        <f t="shared" ca="1" si="107"/>
        <v>-19.1745594088367</v>
      </c>
      <c r="BI102" s="9">
        <f t="shared" ca="1" si="108"/>
        <v>-42.179759463761428</v>
      </c>
      <c r="BJ102">
        <f t="shared" ca="1" si="109"/>
        <v>46.333528216009839</v>
      </c>
      <c r="BK102" s="6">
        <f t="shared" ca="1" si="110"/>
        <v>-0.41383767105849767</v>
      </c>
      <c r="BL102" s="6">
        <f t="shared" ca="1" si="111"/>
        <v>-0.91035069177371342</v>
      </c>
      <c r="BM102" s="6">
        <f t="shared" ca="1" si="112"/>
        <v>-1.9974619661620523</v>
      </c>
      <c r="BN102" s="6">
        <f t="shared" ca="1" si="113"/>
        <v>-2.272996994294243</v>
      </c>
      <c r="BO102" s="9"/>
      <c r="BT102" s="40"/>
    </row>
    <row r="103" spans="1:72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 s="6">
        <v>-1.3788101090755323</v>
      </c>
      <c r="AT103" s="6">
        <v>-37.415921720518632</v>
      </c>
      <c r="AU103" s="6">
        <v>1.7152052609639927</v>
      </c>
      <c r="AV103" s="6">
        <f t="shared" si="91"/>
        <v>3.0957831366405593</v>
      </c>
      <c r="AW103" s="6">
        <f t="shared" si="92"/>
        <v>4.4745932457160915</v>
      </c>
      <c r="AX103" s="6">
        <f t="shared" si="93"/>
        <v>0.73958864644821443</v>
      </c>
      <c r="AY103" s="6">
        <f t="shared" si="94"/>
        <v>0.73958864644821443</v>
      </c>
      <c r="AZ103" s="47">
        <f t="shared" si="95"/>
        <v>4.904375198104054</v>
      </c>
      <c r="BA103" s="47">
        <f t="shared" si="96"/>
        <v>3.0957831366405593</v>
      </c>
      <c r="BB103" s="47">
        <f t="shared" si="97"/>
        <v>4.4745932457160915</v>
      </c>
      <c r="BC103" s="47">
        <f t="shared" si="98"/>
        <v>0.73958864644821443</v>
      </c>
      <c r="BD103" s="47">
        <f t="shared" si="99"/>
        <v>0.73958864644821443</v>
      </c>
      <c r="BE103" s="40"/>
      <c r="BF103" s="40"/>
      <c r="BG103" s="6">
        <f t="shared" si="106"/>
        <v>-1.6057029118347954</v>
      </c>
      <c r="BH103" s="9">
        <f t="shared" ca="1" si="107"/>
        <v>-16.874039442983999</v>
      </c>
      <c r="BI103" s="9">
        <f t="shared" ca="1" si="108"/>
        <v>-43.414461815572615</v>
      </c>
      <c r="BJ103">
        <f t="shared" ca="1" si="109"/>
        <v>46.578414548578102</v>
      </c>
      <c r="BK103" s="6">
        <f t="shared" ca="1" si="110"/>
        <v>-0.3622716575160696</v>
      </c>
      <c r="BL103" s="6">
        <f t="shared" ca="1" si="111"/>
        <v>-0.93207255412900103</v>
      </c>
      <c r="BM103" s="6">
        <f t="shared" ca="1" si="112"/>
        <v>-1.9415002804092487</v>
      </c>
      <c r="BN103" s="6">
        <f t="shared" ca="1" si="113"/>
        <v>-2.2170353085414396</v>
      </c>
      <c r="BO103" s="9"/>
      <c r="BT103" s="40"/>
    </row>
    <row r="104" spans="1:72" x14ac:dyDescent="0.25">
      <c r="A104">
        <f>A15</f>
        <v>1</v>
      </c>
      <c r="B104">
        <f t="shared" ref="B104:C104" si="119">B15</f>
        <v>0</v>
      </c>
      <c r="C104">
        <f t="shared" ca="1" si="119"/>
        <v>0</v>
      </c>
      <c r="D104" s="9">
        <f>D15-$I$2</f>
        <v>-4</v>
      </c>
      <c r="E104" s="5">
        <f>E15-$I$3</f>
        <v>-10</v>
      </c>
      <c r="F104" s="5">
        <f ca="1">($B$12-$B$31)*C104*0.65</f>
        <v>0</v>
      </c>
      <c r="G104">
        <f ca="1">E104*F104</f>
        <v>0</v>
      </c>
      <c r="H104">
        <f ca="1">D104*F104*-1</f>
        <v>0</v>
      </c>
      <c r="J104">
        <f ca="1">-1*C104*$B$12*0.9</f>
        <v>0</v>
      </c>
      <c r="K104">
        <f ca="1">E104*J104</f>
        <v>0</v>
      </c>
      <c r="L104">
        <f ca="1">D104*J104*-1</f>
        <v>0</v>
      </c>
      <c r="AS104" s="6">
        <v>-1.3613568165555889</v>
      </c>
      <c r="AT104" s="6">
        <v>-36.893522702663532</v>
      </c>
      <c r="AU104" s="6">
        <v>1.9881056836105544</v>
      </c>
      <c r="AV104" s="6">
        <f t="shared" si="91"/>
        <v>3.0877570619395094</v>
      </c>
      <c r="AW104" s="6">
        <f t="shared" si="92"/>
        <v>4.4491138784950985</v>
      </c>
      <c r="AX104" s="6">
        <f t="shared" si="93"/>
        <v>0.73156257174716455</v>
      </c>
      <c r="AY104" s="6">
        <f t="shared" si="94"/>
        <v>0.73156257174716455</v>
      </c>
      <c r="AZ104" s="47">
        <f t="shared" si="95"/>
        <v>4.9218284906239971</v>
      </c>
      <c r="BA104" s="47">
        <f t="shared" si="96"/>
        <v>3.0877570619395094</v>
      </c>
      <c r="BB104" s="47">
        <f t="shared" si="97"/>
        <v>4.4491138784950985</v>
      </c>
      <c r="BC104" s="47">
        <f t="shared" si="98"/>
        <v>0.73156257174716455</v>
      </c>
      <c r="BD104" s="47">
        <f t="shared" si="99"/>
        <v>0.73156257174716455</v>
      </c>
      <c r="BE104" s="40"/>
      <c r="BF104" s="40"/>
      <c r="BG104" s="6">
        <f t="shared" si="106"/>
        <v>-1.5882496193148521</v>
      </c>
      <c r="BH104" s="9">
        <f t="shared" ca="1" si="107"/>
        <v>-12.550144889626864</v>
      </c>
      <c r="BI104" s="9">
        <f t="shared" ca="1" si="108"/>
        <v>-44.083733664483546</v>
      </c>
      <c r="BJ104">
        <f t="shared" ca="1" si="109"/>
        <v>45.835376190795543</v>
      </c>
      <c r="BK104" s="6">
        <f t="shared" ca="1" si="110"/>
        <v>-0.27380913898001624</v>
      </c>
      <c r="BL104" s="6">
        <f t="shared" ca="1" si="111"/>
        <v>-0.96178404822029684</v>
      </c>
      <c r="BM104" s="6">
        <f t="shared" ca="1" si="112"/>
        <v>-1.8481476313492671</v>
      </c>
      <c r="BN104" s="6">
        <f t="shared" ca="1" si="113"/>
        <v>-2.1236826594814575</v>
      </c>
      <c r="BO104" s="9"/>
      <c r="BT104" s="40"/>
    </row>
    <row r="105" spans="1:72" x14ac:dyDescent="0.25">
      <c r="A105">
        <f t="shared" ref="A105:C113" si="120">A16</f>
        <v>2</v>
      </c>
      <c r="B105">
        <f t="shared" si="120"/>
        <v>0</v>
      </c>
      <c r="C105">
        <f t="shared" ca="1" si="120"/>
        <v>0</v>
      </c>
      <c r="D105" s="9">
        <f t="shared" ref="D105:D113" si="121">D16-$I$2</f>
        <v>4</v>
      </c>
      <c r="E105" s="5">
        <f t="shared" ref="E105:E113" si="122">E16-$I$3</f>
        <v>-10</v>
      </c>
      <c r="F105" s="5">
        <f t="shared" ref="F105:F113" ca="1" si="123">($B$12-$B$31)*C105*0.65</f>
        <v>0</v>
      </c>
      <c r="G105">
        <f t="shared" ref="G105:G113" ca="1" si="124">E105*F105</f>
        <v>0</v>
      </c>
      <c r="H105">
        <f t="shared" ref="H105:H113" ca="1" si="125">D105*F105*-1</f>
        <v>0</v>
      </c>
      <c r="J105">
        <f t="shared" ref="J105:J113" ca="1" si="126">-1*C105*$B$12*0.9</f>
        <v>0</v>
      </c>
      <c r="K105">
        <f t="shared" ref="K105:K113" ca="1" si="127">E105*J105</f>
        <v>0</v>
      </c>
      <c r="L105">
        <f t="shared" ref="L105:L113" ca="1" si="128">D105*J105*-1</f>
        <v>0</v>
      </c>
      <c r="AS105" s="6">
        <v>-1.3439035240356456</v>
      </c>
      <c r="AT105" s="6">
        <v>-36.473186301771648</v>
      </c>
      <c r="AU105" s="6">
        <v>2.2257351348697529</v>
      </c>
      <c r="AV105" s="6">
        <f t="shared" si="91"/>
        <v>3.0806443597293169</v>
      </c>
      <c r="AW105" s="6">
        <f t="shared" si="92"/>
        <v>4.4245478837649621</v>
      </c>
      <c r="AX105" s="6">
        <f t="shared" si="93"/>
        <v>0.7244498695369721</v>
      </c>
      <c r="AY105" s="6">
        <f t="shared" si="94"/>
        <v>0.7244498695369721</v>
      </c>
      <c r="AZ105" s="47">
        <f t="shared" si="95"/>
        <v>4.9392817831439402</v>
      </c>
      <c r="BA105" s="47">
        <f t="shared" si="96"/>
        <v>3.0806443597293169</v>
      </c>
      <c r="BB105" s="47">
        <f t="shared" si="97"/>
        <v>4.4245478837649621</v>
      </c>
      <c r="BC105" s="47">
        <f t="shared" si="98"/>
        <v>0.7244498695369721</v>
      </c>
      <c r="BD105" s="47">
        <f t="shared" si="99"/>
        <v>0.7244498695369721</v>
      </c>
      <c r="BE105" s="40"/>
      <c r="BF105" s="40"/>
      <c r="BG105" s="6">
        <f t="shared" si="106"/>
        <v>-1.5707963267949088</v>
      </c>
      <c r="BH105" s="9">
        <f t="shared" ca="1" si="107"/>
        <v>-6.6405373785350008</v>
      </c>
      <c r="BI105" s="9">
        <f t="shared" ca="1" si="108"/>
        <v>-44.203815052438365</v>
      </c>
      <c r="BJ105">
        <f t="shared" ca="1" si="109"/>
        <v>44.699821049595904</v>
      </c>
      <c r="BK105" s="6">
        <f t="shared" ca="1" si="110"/>
        <v>-0.14855847792247553</v>
      </c>
      <c r="BL105" s="6">
        <f t="shared" ca="1" si="111"/>
        <v>-0.9889036245445546</v>
      </c>
      <c r="BM105" s="6">
        <f t="shared" ca="1" si="112"/>
        <v>-1.7199067421811984</v>
      </c>
      <c r="BN105" s="6">
        <f t="shared" ca="1" si="113"/>
        <v>-1.9954417703133891</v>
      </c>
      <c r="BO105" s="9"/>
      <c r="BT105" s="40"/>
    </row>
    <row r="106" spans="1:72" x14ac:dyDescent="0.25">
      <c r="A106">
        <f t="shared" si="120"/>
        <v>3</v>
      </c>
      <c r="B106">
        <f t="shared" si="120"/>
        <v>0</v>
      </c>
      <c r="C106">
        <f t="shared" ca="1" si="120"/>
        <v>0</v>
      </c>
      <c r="D106" s="9">
        <f t="shared" si="121"/>
        <v>-4</v>
      </c>
      <c r="E106" s="5">
        <f t="shared" si="122"/>
        <v>10</v>
      </c>
      <c r="F106" s="5">
        <f t="shared" ca="1" si="123"/>
        <v>0</v>
      </c>
      <c r="G106">
        <f t="shared" ca="1" si="124"/>
        <v>0</v>
      </c>
      <c r="H106">
        <f t="shared" ca="1" si="125"/>
        <v>0</v>
      </c>
      <c r="J106">
        <f t="shared" ca="1" si="126"/>
        <v>0</v>
      </c>
      <c r="K106">
        <f t="shared" ca="1" si="127"/>
        <v>0</v>
      </c>
      <c r="L106">
        <f t="shared" ca="1" si="128"/>
        <v>0</v>
      </c>
      <c r="AS106" s="6">
        <v>-1.3264502315157023</v>
      </c>
      <c r="AT106" s="6">
        <v>-36.128177725833027</v>
      </c>
      <c r="AU106" s="6">
        <v>2.4350671450967085</v>
      </c>
      <c r="AV106" s="6">
        <f t="shared" si="91"/>
        <v>3.0742936663946452</v>
      </c>
      <c r="AW106" s="6">
        <f t="shared" si="92"/>
        <v>4.4007438979103473</v>
      </c>
      <c r="AX106" s="6">
        <f t="shared" si="93"/>
        <v>0.71809917620230035</v>
      </c>
      <c r="AY106" s="6">
        <f t="shared" si="94"/>
        <v>0.71809917620230035</v>
      </c>
      <c r="AZ106" s="47">
        <f t="shared" si="95"/>
        <v>4.9567350756638842</v>
      </c>
      <c r="BA106" s="47">
        <f t="shared" si="96"/>
        <v>3.0742936663946452</v>
      </c>
      <c r="BB106" s="47">
        <f t="shared" si="97"/>
        <v>4.4007438979103473</v>
      </c>
      <c r="BC106" s="47">
        <f t="shared" si="98"/>
        <v>0.71809917620230035</v>
      </c>
      <c r="BD106" s="47">
        <f t="shared" si="99"/>
        <v>0.71809917620230035</v>
      </c>
      <c r="BE106" s="40"/>
      <c r="BF106" s="40"/>
      <c r="BG106" s="6">
        <f t="shared" si="106"/>
        <v>-1.5533430342749655</v>
      </c>
      <c r="BH106" s="9">
        <f t="shared" ca="1" si="107"/>
        <v>7.8511199683671578</v>
      </c>
      <c r="BI106" s="9">
        <f t="shared" ca="1" si="108"/>
        <v>-43.269054961479426</v>
      </c>
      <c r="BJ106">
        <f t="shared" ca="1" si="109"/>
        <v>43.975575061813814</v>
      </c>
      <c r="BK106" s="6">
        <f t="shared" ca="1" si="110"/>
        <v>0.17853365094899412</v>
      </c>
      <c r="BL106" s="6">
        <f t="shared" ca="1" si="111"/>
        <v>-0.98393380645184803</v>
      </c>
      <c r="BM106" s="6">
        <f t="shared" ca="1" si="112"/>
        <v>-1.3913003700279574</v>
      </c>
      <c r="BN106" s="6">
        <f t="shared" ca="1" si="113"/>
        <v>-1.666835398160148</v>
      </c>
      <c r="BO106" s="9"/>
      <c r="BT106" s="40"/>
    </row>
    <row r="107" spans="1:72" x14ac:dyDescent="0.25">
      <c r="A107">
        <f t="shared" si="120"/>
        <v>4</v>
      </c>
      <c r="B107">
        <f t="shared" si="120"/>
        <v>8</v>
      </c>
      <c r="C107">
        <f t="shared" ca="1" si="120"/>
        <v>0.79</v>
      </c>
      <c r="D107" s="9">
        <f t="shared" si="121"/>
        <v>4</v>
      </c>
      <c r="E107" s="5">
        <f t="shared" si="122"/>
        <v>10</v>
      </c>
      <c r="F107" s="5">
        <f t="shared" ca="1" si="123"/>
        <v>28.627625000000002</v>
      </c>
      <c r="G107">
        <f t="shared" ca="1" si="124"/>
        <v>286.27625</v>
      </c>
      <c r="H107">
        <f t="shared" ca="1" si="125"/>
        <v>-114.51050000000001</v>
      </c>
      <c r="J107">
        <f t="shared" ca="1" si="126"/>
        <v>-42.660000000000004</v>
      </c>
      <c r="K107">
        <f t="shared" ca="1" si="127"/>
        <v>-426.6</v>
      </c>
      <c r="L107">
        <f t="shared" ca="1" si="128"/>
        <v>170.64000000000001</v>
      </c>
      <c r="AS107" s="6">
        <v>-1.308996938995759</v>
      </c>
      <c r="AT107" s="6">
        <v>-35.839966114990688</v>
      </c>
      <c r="AU107" s="6">
        <v>2.6213332302775481</v>
      </c>
      <c r="AV107" s="6">
        <f t="shared" si="91"/>
        <v>3.0685827088942998</v>
      </c>
      <c r="AW107" s="6">
        <f t="shared" si="92"/>
        <v>4.3775796478900588</v>
      </c>
      <c r="AX107" s="6">
        <f t="shared" si="93"/>
        <v>0.71238821870195501</v>
      </c>
      <c r="AY107" s="6">
        <f t="shared" si="94"/>
        <v>0.71238821870195501</v>
      </c>
      <c r="AZ107" s="47">
        <f t="shared" si="95"/>
        <v>4.9741883681838273</v>
      </c>
      <c r="BA107" s="47">
        <f t="shared" si="96"/>
        <v>3.0685827088942998</v>
      </c>
      <c r="BB107" s="47">
        <f t="shared" si="97"/>
        <v>4.3775796478900588</v>
      </c>
      <c r="BC107" s="47">
        <f t="shared" si="98"/>
        <v>0.71238821870195501</v>
      </c>
      <c r="BD107" s="47">
        <f t="shared" si="99"/>
        <v>0.71238821870195501</v>
      </c>
      <c r="BE107" s="40"/>
      <c r="BF107" s="40"/>
      <c r="BG107" s="6">
        <f t="shared" si="106"/>
        <v>-1.5358897417550221</v>
      </c>
      <c r="BH107" s="9">
        <f t="shared" ca="1" si="107"/>
        <v>22.371241888425686</v>
      </c>
      <c r="BI107" s="9">
        <f t="shared" ca="1" si="108"/>
        <v>-41.953053782315493</v>
      </c>
      <c r="BJ107">
        <f t="shared" ca="1" si="109"/>
        <v>47.545043751082069</v>
      </c>
      <c r="BK107" s="6">
        <f t="shared" ca="1" si="110"/>
        <v>0.47052731732771924</v>
      </c>
      <c r="BL107" s="6">
        <f t="shared" ca="1" si="111"/>
        <v>-0.88238542805759201</v>
      </c>
      <c r="BM107" s="6">
        <f t="shared" ca="1" si="112"/>
        <v>-1.0809080396321025</v>
      </c>
      <c r="BN107" s="6">
        <f t="shared" ca="1" si="113"/>
        <v>-1.3564430677642931</v>
      </c>
      <c r="BO107" s="9"/>
      <c r="BT107" s="40"/>
    </row>
    <row r="108" spans="1:72" x14ac:dyDescent="0.25">
      <c r="A108">
        <f t="shared" si="120"/>
        <v>5</v>
      </c>
      <c r="B108">
        <f t="shared" si="120"/>
        <v>8</v>
      </c>
      <c r="C108">
        <f t="shared" ca="1" si="120"/>
        <v>0.79</v>
      </c>
      <c r="D108" s="9">
        <f t="shared" si="121"/>
        <v>2</v>
      </c>
      <c r="E108" s="5">
        <f t="shared" si="122"/>
        <v>10</v>
      </c>
      <c r="F108" s="5">
        <f t="shared" ca="1" si="123"/>
        <v>28.627625000000002</v>
      </c>
      <c r="G108">
        <f t="shared" ca="1" si="124"/>
        <v>286.27625</v>
      </c>
      <c r="H108">
        <f t="shared" ca="1" si="125"/>
        <v>-57.255250000000004</v>
      </c>
      <c r="J108">
        <f t="shared" ca="1" si="126"/>
        <v>-42.660000000000004</v>
      </c>
      <c r="K108">
        <f t="shared" ca="1" si="127"/>
        <v>-426.6</v>
      </c>
      <c r="L108">
        <f t="shared" ca="1" si="128"/>
        <v>85.320000000000007</v>
      </c>
      <c r="AS108" s="6">
        <v>-1.2915436464758157</v>
      </c>
      <c r="AT108" s="6">
        <v>-35.595374775095422</v>
      </c>
      <c r="AU108" s="6">
        <v>2.7885400572672805</v>
      </c>
      <c r="AV108" s="6">
        <f t="shared" si="91"/>
        <v>3.063412372372623</v>
      </c>
      <c r="AW108" s="6">
        <f t="shared" si="92"/>
        <v>4.3549560188484389</v>
      </c>
      <c r="AX108" s="6">
        <f t="shared" si="93"/>
        <v>0.70721788218027815</v>
      </c>
      <c r="AY108" s="6">
        <f t="shared" si="94"/>
        <v>0.70721788218027815</v>
      </c>
      <c r="AZ108" s="47">
        <f t="shared" si="95"/>
        <v>4.9916416607037704</v>
      </c>
      <c r="BA108" s="47">
        <f t="shared" si="96"/>
        <v>3.063412372372623</v>
      </c>
      <c r="BB108" s="47">
        <f t="shared" si="97"/>
        <v>4.3549560188484389</v>
      </c>
      <c r="BC108" s="47">
        <f t="shared" si="98"/>
        <v>0.70721788218027815</v>
      </c>
      <c r="BD108" s="47">
        <f t="shared" si="99"/>
        <v>0.70721788218027815</v>
      </c>
      <c r="BE108" s="40"/>
      <c r="BF108" s="40"/>
      <c r="BG108" s="6">
        <f t="shared" si="106"/>
        <v>-1.5184364492350788</v>
      </c>
      <c r="BH108" s="9">
        <f t="shared" ca="1" si="107"/>
        <v>37.738878523100439</v>
      </c>
      <c r="BI108" s="9">
        <f t="shared" ca="1" si="108"/>
        <v>-39.69711871404882</v>
      </c>
      <c r="BJ108">
        <f t="shared" ca="1" si="109"/>
        <v>54.773024258101877</v>
      </c>
      <c r="BK108" s="6">
        <f t="shared" ca="1" si="110"/>
        <v>0.68900483466582008</v>
      </c>
      <c r="BL108" s="6">
        <f t="shared" ca="1" si="111"/>
        <v>-0.72475674388523348</v>
      </c>
      <c r="BM108" s="6">
        <f t="shared" ca="1" si="112"/>
        <v>-0.81068127440530569</v>
      </c>
      <c r="BN108" s="6">
        <f t="shared" ca="1" si="113"/>
        <v>-1.0862163025374962</v>
      </c>
      <c r="BO108" s="9"/>
      <c r="BT108" s="40"/>
    </row>
    <row r="109" spans="1:72" x14ac:dyDescent="0.25">
      <c r="A109">
        <f t="shared" si="120"/>
        <v>6</v>
      </c>
      <c r="B109">
        <f t="shared" si="120"/>
        <v>8</v>
      </c>
      <c r="C109">
        <f t="shared" ca="1" si="120"/>
        <v>0.79</v>
      </c>
      <c r="D109" s="9">
        <f t="shared" si="121"/>
        <v>4</v>
      </c>
      <c r="E109" s="5">
        <f t="shared" si="122"/>
        <v>8</v>
      </c>
      <c r="F109" s="5">
        <f t="shared" ca="1" si="123"/>
        <v>28.627625000000002</v>
      </c>
      <c r="G109">
        <f t="shared" ca="1" si="124"/>
        <v>229.02100000000002</v>
      </c>
      <c r="H109">
        <f t="shared" ca="1" si="125"/>
        <v>-114.51050000000001</v>
      </c>
      <c r="J109">
        <f t="shared" ca="1" si="126"/>
        <v>-42.660000000000004</v>
      </c>
      <c r="K109">
        <f t="shared" ca="1" si="127"/>
        <v>-341.28000000000003</v>
      </c>
      <c r="L109">
        <f t="shared" ca="1" si="128"/>
        <v>170.64000000000001</v>
      </c>
      <c r="AS109" s="6">
        <v>-1.2740903539558723</v>
      </c>
      <c r="AT109" s="6">
        <v>-35.363865648083681</v>
      </c>
      <c r="AU109" s="6">
        <v>2.9661545307715973</v>
      </c>
      <c r="AV109" s="6">
        <f t="shared" si="91"/>
        <v>3.0579132256217187</v>
      </c>
      <c r="AW109" s="6">
        <f t="shared" si="92"/>
        <v>4.3320035795775915</v>
      </c>
      <c r="AX109" s="6">
        <f t="shared" si="93"/>
        <v>0.70171873542937391</v>
      </c>
      <c r="AY109" s="6">
        <f t="shared" si="94"/>
        <v>0.70171873542937391</v>
      </c>
      <c r="AZ109" s="47">
        <f t="shared" si="95"/>
        <v>5.0090949532237143</v>
      </c>
      <c r="BA109" s="47">
        <f t="shared" si="96"/>
        <v>3.0579132256217187</v>
      </c>
      <c r="BB109" s="47">
        <f t="shared" si="97"/>
        <v>4.3320035795775915</v>
      </c>
      <c r="BC109" s="47">
        <f t="shared" si="98"/>
        <v>0.70171873542937391</v>
      </c>
      <c r="BD109" s="47">
        <f t="shared" si="99"/>
        <v>0.70171873542937391</v>
      </c>
      <c r="BE109" s="40"/>
      <c r="BF109" s="40"/>
      <c r="BG109" s="6">
        <f t="shared" si="106"/>
        <v>-1.5009831567151355</v>
      </c>
      <c r="BH109" s="9">
        <f t="shared" ca="1" si="107"/>
        <v>49.764053099380057</v>
      </c>
      <c r="BI109" s="9">
        <f t="shared" ca="1" si="108"/>
        <v>-37.697558481074211</v>
      </c>
      <c r="BJ109">
        <f t="shared" ca="1" si="109"/>
        <v>62.430496524630712</v>
      </c>
      <c r="BK109" s="6">
        <f t="shared" ca="1" si="110"/>
        <v>0.79711128165938328</v>
      </c>
      <c r="BL109" s="6">
        <f t="shared" ca="1" si="111"/>
        <v>-0.60383243093704031</v>
      </c>
      <c r="BM109" s="6">
        <f t="shared" ca="1" si="112"/>
        <v>-0.64830030296998398</v>
      </c>
      <c r="BN109" s="6">
        <f t="shared" ca="1" si="113"/>
        <v>-0.92383533110217464</v>
      </c>
      <c r="BO109" s="9"/>
      <c r="BT109" s="40"/>
    </row>
    <row r="110" spans="1:72" x14ac:dyDescent="0.25">
      <c r="A110">
        <f t="shared" si="120"/>
        <v>7</v>
      </c>
      <c r="B110">
        <f t="shared" si="120"/>
        <v>8</v>
      </c>
      <c r="C110">
        <f t="shared" ca="1" si="120"/>
        <v>0.79</v>
      </c>
      <c r="D110" s="9">
        <f t="shared" si="121"/>
        <v>2</v>
      </c>
      <c r="E110" s="5">
        <f t="shared" si="122"/>
        <v>8</v>
      </c>
      <c r="F110" s="5">
        <f t="shared" ca="1" si="123"/>
        <v>28.627625000000002</v>
      </c>
      <c r="G110">
        <f t="shared" ca="1" si="124"/>
        <v>229.02100000000002</v>
      </c>
      <c r="H110">
        <f t="shared" ca="1" si="125"/>
        <v>-57.255250000000004</v>
      </c>
      <c r="J110">
        <f t="shared" ca="1" si="126"/>
        <v>-42.660000000000004</v>
      </c>
      <c r="K110">
        <f t="shared" ca="1" si="127"/>
        <v>-341.28000000000003</v>
      </c>
      <c r="L110">
        <f t="shared" ca="1" si="128"/>
        <v>85.320000000000007</v>
      </c>
      <c r="AS110" s="6">
        <v>-1.256637061435929</v>
      </c>
      <c r="AT110" s="6">
        <v>-35.10200391662859</v>
      </c>
      <c r="AU110" s="6">
        <v>3.2044508602083619</v>
      </c>
      <c r="AV110" s="6">
        <f t="shared" si="91"/>
        <v>3.0505553054636541</v>
      </c>
      <c r="AW110" s="6">
        <f t="shared" si="92"/>
        <v>4.3071923668995833</v>
      </c>
      <c r="AX110" s="6">
        <f t="shared" si="93"/>
        <v>0.69436081527130922</v>
      </c>
      <c r="AY110" s="6">
        <f t="shared" si="94"/>
        <v>0.69436081527130922</v>
      </c>
      <c r="AZ110" s="47">
        <f t="shared" si="95"/>
        <v>5.0265482457436574</v>
      </c>
      <c r="BA110" s="47">
        <f t="shared" si="96"/>
        <v>3.0505553054636541</v>
      </c>
      <c r="BB110" s="47">
        <f t="shared" si="97"/>
        <v>4.3071923668995833</v>
      </c>
      <c r="BC110" s="47">
        <f t="shared" si="98"/>
        <v>0.69436081527130922</v>
      </c>
      <c r="BD110" s="47">
        <f t="shared" si="99"/>
        <v>0.69436081527130922</v>
      </c>
      <c r="BE110" s="40"/>
      <c r="BF110" s="40"/>
      <c r="BG110" s="6">
        <f t="shared" si="106"/>
        <v>-1.4835298641951922</v>
      </c>
      <c r="BH110" s="9">
        <f t="shared" ca="1" si="107"/>
        <v>56.190711047094041</v>
      </c>
      <c r="BI110" s="9">
        <f t="shared" ca="1" si="108"/>
        <v>-36.359936648769875</v>
      </c>
      <c r="BJ110">
        <f t="shared" ca="1" si="109"/>
        <v>66.928626170574987</v>
      </c>
      <c r="BK110" s="6">
        <f t="shared" ca="1" si="110"/>
        <v>0.83956169821693061</v>
      </c>
      <c r="BL110" s="6">
        <f t="shared" ca="1" si="111"/>
        <v>-0.54326435083401481</v>
      </c>
      <c r="BM110" s="6">
        <f t="shared" ca="1" si="112"/>
        <v>-0.57432040093133829</v>
      </c>
      <c r="BN110" s="6">
        <f t="shared" ca="1" si="113"/>
        <v>-0.84985542906352896</v>
      </c>
      <c r="BO110" s="9"/>
      <c r="BT110" s="40"/>
    </row>
    <row r="111" spans="1:72" x14ac:dyDescent="0.25">
      <c r="A111">
        <f t="shared" si="120"/>
        <v>8</v>
      </c>
      <c r="B111">
        <f t="shared" si="120"/>
        <v>0</v>
      </c>
      <c r="C111">
        <f t="shared" ca="1" si="120"/>
        <v>0</v>
      </c>
      <c r="D111" s="9">
        <f t="shared" si="121"/>
        <v>-4</v>
      </c>
      <c r="E111" s="5">
        <f t="shared" si="122"/>
        <v>-10</v>
      </c>
      <c r="F111" s="5">
        <f t="shared" ca="1" si="123"/>
        <v>0</v>
      </c>
      <c r="G111">
        <f t="shared" ca="1" si="124"/>
        <v>0</v>
      </c>
      <c r="H111">
        <f t="shared" ca="1" si="125"/>
        <v>0</v>
      </c>
      <c r="J111">
        <f t="shared" ca="1" si="126"/>
        <v>0</v>
      </c>
      <c r="K111">
        <f t="shared" ca="1" si="127"/>
        <v>0</v>
      </c>
      <c r="L111">
        <f t="shared" ca="1" si="128"/>
        <v>0</v>
      </c>
      <c r="AS111" s="6">
        <v>-1.2391837689159857</v>
      </c>
      <c r="AT111" s="6">
        <v>-34.868587932547726</v>
      </c>
      <c r="AU111" s="6">
        <v>3.4252798033592438</v>
      </c>
      <c r="AV111" s="6">
        <f t="shared" si="91"/>
        <v>3.0436728501629049</v>
      </c>
      <c r="AW111" s="6">
        <f t="shared" si="92"/>
        <v>4.2828566190788901</v>
      </c>
      <c r="AX111" s="6">
        <f t="shared" si="93"/>
        <v>0.68747835997056006</v>
      </c>
      <c r="AY111" s="6">
        <f t="shared" si="94"/>
        <v>0.68747835997056006</v>
      </c>
      <c r="AZ111" s="47">
        <f t="shared" si="95"/>
        <v>5.0440015382636005</v>
      </c>
      <c r="BA111" s="47">
        <f t="shared" si="96"/>
        <v>3.0436728501629049</v>
      </c>
      <c r="BB111" s="47">
        <f t="shared" si="97"/>
        <v>4.2828566190788901</v>
      </c>
      <c r="BC111" s="47">
        <f t="shared" si="98"/>
        <v>0.68747835997056006</v>
      </c>
      <c r="BD111" s="47">
        <f t="shared" si="99"/>
        <v>0.68747835997056006</v>
      </c>
      <c r="BE111" s="40"/>
      <c r="BF111" s="40"/>
      <c r="BG111" s="6">
        <f t="shared" si="106"/>
        <v>-1.4660765716752489</v>
      </c>
      <c r="BH111" s="9">
        <f t="shared" ca="1" si="107"/>
        <v>59.952444999077827</v>
      </c>
      <c r="BI111" s="9">
        <f t="shared" ca="1" si="108"/>
        <v>-35.409831628015695</v>
      </c>
      <c r="BJ111">
        <f t="shared" ca="1" si="109"/>
        <v>69.628671086642697</v>
      </c>
      <c r="BK111" s="6">
        <f t="shared" ca="1" si="110"/>
        <v>0.86103101012046857</v>
      </c>
      <c r="BL111" s="6">
        <f t="shared" ca="1" si="111"/>
        <v>-0.5085524551223064</v>
      </c>
      <c r="BM111" s="6">
        <f t="shared" ca="1" si="112"/>
        <v>-0.53350277774283794</v>
      </c>
      <c r="BN111" s="6">
        <f t="shared" ca="1" si="113"/>
        <v>-0.8090378058750286</v>
      </c>
      <c r="BO111" s="9"/>
      <c r="BT111" s="40"/>
    </row>
    <row r="112" spans="1:72" x14ac:dyDescent="0.25">
      <c r="A112">
        <f t="shared" si="120"/>
        <v>9</v>
      </c>
      <c r="B112">
        <f t="shared" si="120"/>
        <v>0</v>
      </c>
      <c r="C112">
        <f t="shared" ca="1" si="120"/>
        <v>0</v>
      </c>
      <c r="D112" s="9">
        <f t="shared" si="121"/>
        <v>0</v>
      </c>
      <c r="E112" s="5">
        <f t="shared" si="122"/>
        <v>-10</v>
      </c>
      <c r="F112" s="5">
        <f t="shared" ca="1" si="123"/>
        <v>0</v>
      </c>
      <c r="G112">
        <f t="shared" ca="1" si="124"/>
        <v>0</v>
      </c>
      <c r="H112">
        <f t="shared" ca="1" si="125"/>
        <v>0</v>
      </c>
      <c r="J112">
        <f t="shared" ca="1" si="126"/>
        <v>0</v>
      </c>
      <c r="K112">
        <f t="shared" ca="1" si="127"/>
        <v>0</v>
      </c>
      <c r="L112">
        <f t="shared" ca="1" si="128"/>
        <v>0</v>
      </c>
      <c r="AS112" s="6">
        <v>-1.2217304763960424</v>
      </c>
      <c r="AT112" s="6">
        <v>-34.658244232096735</v>
      </c>
      <c r="AU112" s="6">
        <v>3.6310624101679068</v>
      </c>
      <c r="AV112" s="6">
        <f t="shared" si="91"/>
        <v>3.0372058289380761</v>
      </c>
      <c r="AW112" s="6">
        <f t="shared" si="92"/>
        <v>4.2589363053341183</v>
      </c>
      <c r="AX112" s="6">
        <f t="shared" si="93"/>
        <v>0.68101133874573128</v>
      </c>
      <c r="AY112" s="6">
        <f t="shared" si="94"/>
        <v>0.68101133874573128</v>
      </c>
      <c r="AZ112" s="47">
        <f t="shared" si="95"/>
        <v>5.0614548307835436</v>
      </c>
      <c r="BA112" s="47">
        <f t="shared" si="96"/>
        <v>3.0372058289380761</v>
      </c>
      <c r="BB112" s="47">
        <f t="shared" si="97"/>
        <v>4.2589363053341183</v>
      </c>
      <c r="BC112" s="47">
        <f t="shared" si="98"/>
        <v>0.68101133874573128</v>
      </c>
      <c r="BD112" s="47">
        <f t="shared" si="99"/>
        <v>0.68101133874573128</v>
      </c>
      <c r="BE112" s="40"/>
      <c r="BF112" s="40"/>
      <c r="BG112" s="6">
        <f t="shared" si="106"/>
        <v>-1.4486232791553055</v>
      </c>
      <c r="BH112" s="9">
        <f t="shared" ca="1" si="107"/>
        <v>62.355854525475181</v>
      </c>
      <c r="BI112" s="9">
        <f t="shared" ca="1" si="108"/>
        <v>-34.694903449227752</v>
      </c>
      <c r="BJ112">
        <f t="shared" ca="1" si="109"/>
        <v>71.358173455837971</v>
      </c>
      <c r="BK112" s="6">
        <f t="shared" ca="1" si="110"/>
        <v>0.87384319841182412</v>
      </c>
      <c r="BL112" s="6">
        <f t="shared" ca="1" si="111"/>
        <v>-0.4862078409377964</v>
      </c>
      <c r="BM112" s="6">
        <f t="shared" ca="1" si="112"/>
        <v>-0.50774485403322978</v>
      </c>
      <c r="BN112" s="6">
        <f t="shared" ca="1" si="113"/>
        <v>-0.78327988216542044</v>
      </c>
      <c r="BO112" s="9"/>
      <c r="BT112" s="40"/>
    </row>
    <row r="113" spans="1:72" x14ac:dyDescent="0.25">
      <c r="A113">
        <f t="shared" si="120"/>
        <v>10</v>
      </c>
      <c r="B113">
        <f t="shared" si="120"/>
        <v>0</v>
      </c>
      <c r="C113">
        <f t="shared" ca="1" si="120"/>
        <v>0</v>
      </c>
      <c r="D113" s="9">
        <f t="shared" si="121"/>
        <v>4</v>
      </c>
      <c r="E113" s="5">
        <f t="shared" si="122"/>
        <v>-10</v>
      </c>
      <c r="F113" s="5">
        <f t="shared" ca="1" si="123"/>
        <v>0</v>
      </c>
      <c r="G113">
        <f t="shared" ca="1" si="124"/>
        <v>0</v>
      </c>
      <c r="H113">
        <f t="shared" ca="1" si="125"/>
        <v>0</v>
      </c>
      <c r="J113">
        <f t="shared" ca="1" si="126"/>
        <v>0</v>
      </c>
      <c r="K113">
        <f t="shared" ca="1" si="127"/>
        <v>0</v>
      </c>
      <c r="L113">
        <f t="shared" ca="1" si="128"/>
        <v>0</v>
      </c>
      <c r="AS113" s="6">
        <v>-1.2042771838760991</v>
      </c>
      <c r="AT113" s="6">
        <v>-34.466804910710145</v>
      </c>
      <c r="AU113" s="6">
        <v>3.8237878035576025</v>
      </c>
      <c r="AV113" s="6">
        <f t="shared" si="91"/>
        <v>3.031103300174276</v>
      </c>
      <c r="AW113" s="6">
        <f t="shared" si="92"/>
        <v>4.235380484050375</v>
      </c>
      <c r="AX113" s="6">
        <f t="shared" si="93"/>
        <v>0.67490880998193115</v>
      </c>
      <c r="AY113" s="6">
        <f t="shared" si="94"/>
        <v>0.67490880998193115</v>
      </c>
      <c r="AZ113" s="47">
        <f t="shared" si="95"/>
        <v>5.0789081233034867</v>
      </c>
      <c r="BA113" s="47">
        <f t="shared" si="96"/>
        <v>3.031103300174276</v>
      </c>
      <c r="BB113" s="47">
        <f t="shared" si="97"/>
        <v>4.235380484050375</v>
      </c>
      <c r="BC113" s="47">
        <f t="shared" si="98"/>
        <v>0.67490880998193115</v>
      </c>
      <c r="BD113" s="47">
        <f t="shared" si="99"/>
        <v>0.67490880998193115</v>
      </c>
      <c r="BE113" s="40"/>
      <c r="BF113" s="40"/>
      <c r="BG113" s="6">
        <f t="shared" si="106"/>
        <v>-1.4311699866353622</v>
      </c>
      <c r="BH113" s="9">
        <f t="shared" ca="1" si="107"/>
        <v>63.991647063969737</v>
      </c>
      <c r="BI113" s="9">
        <f t="shared" ca="1" si="108"/>
        <v>-34.134284448205896</v>
      </c>
      <c r="BJ113">
        <f t="shared" ca="1" si="109"/>
        <v>72.526410835989239</v>
      </c>
      <c r="BK113" s="6">
        <f t="shared" ca="1" si="110"/>
        <v>0.88232198900177261</v>
      </c>
      <c r="BL113" s="6">
        <f t="shared" ca="1" si="111"/>
        <v>-0.47064626602572335</v>
      </c>
      <c r="BM113" s="6">
        <f t="shared" ca="1" si="112"/>
        <v>-0.49002309556975626</v>
      </c>
      <c r="BN113" s="6">
        <f t="shared" ca="1" si="113"/>
        <v>-0.76555812370194687</v>
      </c>
      <c r="BO113" s="9"/>
      <c r="BT113" s="40"/>
    </row>
    <row r="114" spans="1:72" x14ac:dyDescent="0.25">
      <c r="F114" s="5">
        <f ca="1">SUM(F104:F113)</f>
        <v>114.51050000000001</v>
      </c>
      <c r="G114" s="5">
        <f t="shared" ref="G114:H114" ca="1" si="129">SUM(G104:G113)</f>
        <v>1030.5944999999999</v>
      </c>
      <c r="H114" s="5">
        <f t="shared" ca="1" si="129"/>
        <v>-343.53149999999999</v>
      </c>
      <c r="J114">
        <f ca="1">SUM(J104:J113)</f>
        <v>-170.64000000000001</v>
      </c>
      <c r="K114">
        <f t="shared" ref="K114:L114" ca="1" si="130">SUM(K104:K113)</f>
        <v>-1535.76</v>
      </c>
      <c r="L114">
        <f t="shared" ca="1" si="130"/>
        <v>511.92</v>
      </c>
      <c r="AS114" s="6">
        <v>-1.1868238913561557</v>
      </c>
      <c r="AT114" s="6">
        <v>-34.290994756587764</v>
      </c>
      <c r="AU114" s="6">
        <v>4.0051074637503783</v>
      </c>
      <c r="AV114" s="6">
        <f t="shared" si="91"/>
        <v>3.025321808240875</v>
      </c>
      <c r="AW114" s="6">
        <f t="shared" si="92"/>
        <v>4.2121456995970306</v>
      </c>
      <c r="AX114" s="6">
        <f t="shared" si="93"/>
        <v>0.66912731804853021</v>
      </c>
      <c r="AY114" s="6">
        <f t="shared" si="94"/>
        <v>0.66912731804853021</v>
      </c>
      <c r="AZ114" s="47">
        <f t="shared" si="95"/>
        <v>5.0963614158234307</v>
      </c>
      <c r="BA114" s="47">
        <f t="shared" si="96"/>
        <v>3.025321808240875</v>
      </c>
      <c r="BB114" s="47">
        <f t="shared" si="97"/>
        <v>4.2121456995970306</v>
      </c>
      <c r="BC114" s="47">
        <f t="shared" si="98"/>
        <v>0.66912731804853021</v>
      </c>
      <c r="BD114" s="47">
        <f t="shared" si="99"/>
        <v>0.66912731804853021</v>
      </c>
      <c r="BE114" s="40"/>
      <c r="BF114" s="40"/>
      <c r="BG114" s="6">
        <f t="shared" si="106"/>
        <v>-1.4137166941154189</v>
      </c>
      <c r="BH114" s="9">
        <f t="shared" ca="1" si="107"/>
        <v>65.16002801773503</v>
      </c>
      <c r="BI114" s="9">
        <f t="shared" ca="1" si="108"/>
        <v>-33.680792786095815</v>
      </c>
      <c r="BJ114">
        <f t="shared" ca="1" si="109"/>
        <v>73.35001740948627</v>
      </c>
      <c r="BK114" s="6">
        <f t="shared" ca="1" si="110"/>
        <v>0.88834372940868533</v>
      </c>
      <c r="BL114" s="6">
        <f t="shared" ca="1" si="111"/>
        <v>-0.45917907010257802</v>
      </c>
      <c r="BM114" s="6">
        <f t="shared" ca="1" si="112"/>
        <v>-0.47707086467513027</v>
      </c>
      <c r="BN114" s="6">
        <f t="shared" ca="1" si="113"/>
        <v>-0.75260589280732093</v>
      </c>
      <c r="BO114" s="9"/>
      <c r="BT114" s="40"/>
    </row>
    <row r="115" spans="1:72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AS115" s="6">
        <v>-1.1693705988362124</v>
      </c>
      <c r="AT115" s="6">
        <v>-34.128209077307631</v>
      </c>
      <c r="AU115" s="6">
        <v>4.1764057781044599</v>
      </c>
      <c r="AV115" s="6">
        <f t="shared" si="91"/>
        <v>3.0198240799598346</v>
      </c>
      <c r="AW115" s="6">
        <f t="shared" si="92"/>
        <v>4.1891946787960475</v>
      </c>
      <c r="AX115" s="6">
        <f t="shared" si="93"/>
        <v>0.66362958976748976</v>
      </c>
      <c r="AY115" s="6">
        <f t="shared" si="94"/>
        <v>0.66362958976748976</v>
      </c>
      <c r="AZ115" s="47">
        <f t="shared" si="95"/>
        <v>5.1138147083433738</v>
      </c>
      <c r="BA115" s="47">
        <f t="shared" si="96"/>
        <v>3.0198240799598346</v>
      </c>
      <c r="BB115" s="47">
        <f t="shared" si="97"/>
        <v>4.1891946787960475</v>
      </c>
      <c r="BC115" s="47">
        <f t="shared" si="98"/>
        <v>0.66362958976748976</v>
      </c>
      <c r="BD115" s="47">
        <f t="shared" si="99"/>
        <v>0.66362958976748976</v>
      </c>
      <c r="BE115" s="40"/>
      <c r="BF115" s="40"/>
      <c r="BG115" s="6">
        <f t="shared" si="106"/>
        <v>-1.3962634015954756</v>
      </c>
      <c r="BH115" s="9">
        <f t="shared" ca="1" si="107"/>
        <v>66.027195302544015</v>
      </c>
      <c r="BI115" s="9">
        <f t="shared" ca="1" si="108"/>
        <v>-33.304926596451757</v>
      </c>
      <c r="BJ115">
        <f t="shared" ca="1" si="109"/>
        <v>73.951393868644089</v>
      </c>
      <c r="BK115" s="6">
        <f t="shared" ca="1" si="110"/>
        <v>0.89284585250447879</v>
      </c>
      <c r="BL115" s="6">
        <f t="shared" ca="1" si="111"/>
        <v>-0.45036239148662321</v>
      </c>
      <c r="BM115" s="6">
        <f t="shared" ca="1" si="112"/>
        <v>-0.46717118111562045</v>
      </c>
      <c r="BN115" s="6">
        <f t="shared" ca="1" si="113"/>
        <v>-0.74270620924781117</v>
      </c>
      <c r="BO115" s="9"/>
      <c r="BT115" s="40"/>
    </row>
    <row r="116" spans="1:72" x14ac:dyDescent="0.25">
      <c r="A116" s="8" t="s">
        <v>100</v>
      </c>
      <c r="B116" s="5">
        <f ca="1">B101+G114</f>
        <v>1030.5944999999999</v>
      </c>
      <c r="C116">
        <f ca="1">B116/12</f>
        <v>85.882874999999999</v>
      </c>
      <c r="J116">
        <f ca="1">K114</f>
        <v>-1535.76</v>
      </c>
      <c r="K116">
        <f ca="1">J116/12</f>
        <v>-127.98</v>
      </c>
      <c r="AS116" s="6">
        <v>-1.1519173063162691</v>
      </c>
      <c r="AT116" s="6">
        <v>-33.976353418980082</v>
      </c>
      <c r="AU116" s="6">
        <v>4.3388535889265798</v>
      </c>
      <c r="AV116" s="6">
        <f t="shared" si="91"/>
        <v>3.0145779653651537</v>
      </c>
      <c r="AW116" s="6">
        <f t="shared" si="92"/>
        <v>4.1664952716814225</v>
      </c>
      <c r="AX116" s="6">
        <f t="shared" si="93"/>
        <v>0.65838347517280882</v>
      </c>
      <c r="AY116" s="6">
        <f t="shared" si="94"/>
        <v>0.65838347517280882</v>
      </c>
      <c r="AZ116" s="47">
        <f t="shared" si="95"/>
        <v>5.1312680008633169</v>
      </c>
      <c r="BA116" s="47">
        <f t="shared" si="96"/>
        <v>3.0145779653651537</v>
      </c>
      <c r="BB116" s="47">
        <f t="shared" si="97"/>
        <v>4.1664952716814225</v>
      </c>
      <c r="BC116" s="47">
        <f t="shared" si="98"/>
        <v>0.65838347517280882</v>
      </c>
      <c r="BD116" s="47">
        <f t="shared" si="99"/>
        <v>0.65838347517280882</v>
      </c>
      <c r="BE116" s="40"/>
      <c r="BF116" s="40"/>
      <c r="BG116" s="6">
        <f t="shared" si="106"/>
        <v>-1.3788101090755323</v>
      </c>
      <c r="BH116" s="9">
        <f t="shared" ca="1" si="107"/>
        <v>66.691392363536835</v>
      </c>
      <c r="BI116" s="9">
        <f t="shared" ca="1" si="108"/>
        <v>-32.987232767054493</v>
      </c>
      <c r="BJ116">
        <f t="shared" ca="1" si="109"/>
        <v>74.403624515308749</v>
      </c>
      <c r="BK116" s="6">
        <f t="shared" ca="1" si="110"/>
        <v>0.89634601537207237</v>
      </c>
      <c r="BL116" s="6">
        <f t="shared" ca="1" si="111"/>
        <v>-0.44335518574457727</v>
      </c>
      <c r="BM116" s="6">
        <f t="shared" ca="1" si="112"/>
        <v>-0.4593384047185391</v>
      </c>
      <c r="BN116" s="6">
        <f t="shared" ca="1" si="113"/>
        <v>-0.73487343285072981</v>
      </c>
      <c r="BO116" s="9"/>
      <c r="BT116" s="40"/>
    </row>
    <row r="117" spans="1:72" x14ac:dyDescent="0.25">
      <c r="A117" s="8" t="s">
        <v>101</v>
      </c>
      <c r="B117" s="5">
        <f ca="1">B102+H114</f>
        <v>-343.53149999999999</v>
      </c>
      <c r="C117">
        <f ca="1">B117/12</f>
        <v>-28.627624999999998</v>
      </c>
      <c r="J117">
        <f ca="1">L114</f>
        <v>511.92</v>
      </c>
      <c r="K117">
        <f ca="1">J117/12</f>
        <v>42.660000000000004</v>
      </c>
      <c r="AS117" s="6">
        <v>-1.1344640137963258</v>
      </c>
      <c r="AT117" s="6">
        <v>-33.833726041316353</v>
      </c>
      <c r="AU117" s="6">
        <v>4.4934492915584086</v>
      </c>
      <c r="AV117" s="6">
        <f t="shared" si="91"/>
        <v>3.0095555770442344</v>
      </c>
      <c r="AW117" s="6">
        <f t="shared" si="92"/>
        <v>4.1440195908405606</v>
      </c>
      <c r="AX117" s="6">
        <f t="shared" si="93"/>
        <v>0.65336108685188954</v>
      </c>
      <c r="AY117" s="6">
        <f t="shared" si="94"/>
        <v>0.65336108685188954</v>
      </c>
      <c r="AZ117" s="47">
        <f t="shared" si="95"/>
        <v>5.1487212933832609</v>
      </c>
      <c r="BA117" s="47">
        <f t="shared" si="96"/>
        <v>3.0095555770442344</v>
      </c>
      <c r="BB117" s="47">
        <f t="shared" si="97"/>
        <v>4.1440195908405606</v>
      </c>
      <c r="BC117" s="47">
        <f t="shared" si="98"/>
        <v>0.65336108685188954</v>
      </c>
      <c r="BD117" s="47">
        <f t="shared" si="99"/>
        <v>0.65336108685188954</v>
      </c>
      <c r="BE117" s="40"/>
      <c r="BF117" s="40"/>
      <c r="BG117" s="6">
        <f t="shared" si="106"/>
        <v>-1.3613568165555889</v>
      </c>
      <c r="BH117" s="9">
        <f t="shared" ca="1" si="107"/>
        <v>67.213791381391928</v>
      </c>
      <c r="BI117" s="9">
        <f t="shared" ca="1" si="108"/>
        <v>-32.714332344407929</v>
      </c>
      <c r="BJ117">
        <f t="shared" ca="1" si="109"/>
        <v>74.752399911987112</v>
      </c>
      <c r="BK117" s="6">
        <f t="shared" ca="1" si="110"/>
        <v>0.89915228755904719</v>
      </c>
      <c r="BL117" s="6">
        <f t="shared" ca="1" si="111"/>
        <v>-0.43763588035869788</v>
      </c>
      <c r="BM117" s="6">
        <f t="shared" ca="1" si="112"/>
        <v>-0.45296770970534705</v>
      </c>
      <c r="BN117" s="6">
        <f t="shared" ca="1" si="113"/>
        <v>-0.72850273783753772</v>
      </c>
      <c r="BO117" s="9"/>
      <c r="BT117" s="40"/>
    </row>
    <row r="118" spans="1:72" x14ac:dyDescent="0.25">
      <c r="AS118" s="6">
        <v>-1.1170107212763825</v>
      </c>
      <c r="AT118" s="6">
        <v>-33.698930793166532</v>
      </c>
      <c r="AU118" s="6">
        <v>4.6410508246178139</v>
      </c>
      <c r="AV118" s="6">
        <f t="shared" si="91"/>
        <v>3.0047325873473079</v>
      </c>
      <c r="AW118" s="6">
        <f t="shared" si="92"/>
        <v>4.1217433086236905</v>
      </c>
      <c r="AX118" s="6">
        <f t="shared" si="93"/>
        <v>0.64853809715496302</v>
      </c>
      <c r="AY118" s="6">
        <f t="shared" si="94"/>
        <v>0.64853809715496302</v>
      </c>
      <c r="AZ118" s="47">
        <f t="shared" si="95"/>
        <v>5.166174585903204</v>
      </c>
      <c r="BA118" s="47">
        <f t="shared" si="96"/>
        <v>3.0047325873473079</v>
      </c>
      <c r="BB118" s="47">
        <f t="shared" si="97"/>
        <v>4.1217433086236905</v>
      </c>
      <c r="BC118" s="47">
        <f t="shared" si="98"/>
        <v>0.64853809715496302</v>
      </c>
      <c r="BD118" s="47">
        <f t="shared" si="99"/>
        <v>0.64853809715496302</v>
      </c>
      <c r="BE118" s="40"/>
      <c r="BF118" s="40"/>
      <c r="BG118" s="6">
        <f t="shared" si="106"/>
        <v>-1.3439035240356456</v>
      </c>
      <c r="BH118" s="9">
        <f t="shared" ca="1" si="107"/>
        <v>67.634127782283812</v>
      </c>
      <c r="BI118" s="9">
        <f t="shared" ca="1" si="108"/>
        <v>-32.476702893148733</v>
      </c>
      <c r="BJ118">
        <f t="shared" ca="1" si="109"/>
        <v>75.027404804378975</v>
      </c>
      <c r="BK118" s="6">
        <f t="shared" ca="1" si="110"/>
        <v>0.9014589796705369</v>
      </c>
      <c r="BL118" s="6">
        <f t="shared" ca="1" si="111"/>
        <v>-0.43286453766895094</v>
      </c>
      <c r="BM118" s="6">
        <f t="shared" ca="1" si="112"/>
        <v>-0.44766802996990401</v>
      </c>
      <c r="BN118" s="6">
        <f t="shared" ca="1" si="113"/>
        <v>-0.72320305810209473</v>
      </c>
      <c r="BO118" s="9"/>
      <c r="BT118" s="40"/>
    </row>
    <row r="119" spans="1:72" x14ac:dyDescent="0.25">
      <c r="A119" s="8" t="s">
        <v>8</v>
      </c>
      <c r="B119">
        <f ca="1">B117/B115</f>
        <v>-0.37746130826971008</v>
      </c>
      <c r="J119">
        <f ca="1">J117/J115</f>
        <v>-3</v>
      </c>
      <c r="AS119" s="6">
        <v>-1.0995574287564391</v>
      </c>
      <c r="AT119" s="6">
        <v>-33.570811554139944</v>
      </c>
      <c r="AU119" s="6">
        <v>4.782400781090046</v>
      </c>
      <c r="AV119" s="6">
        <f t="shared" si="91"/>
        <v>3.0000876535097221</v>
      </c>
      <c r="AW119" s="6">
        <f t="shared" si="92"/>
        <v>4.0996450822661608</v>
      </c>
      <c r="AX119" s="6">
        <f t="shared" si="93"/>
        <v>0.64389316331737723</v>
      </c>
      <c r="AY119" s="6">
        <f t="shared" si="94"/>
        <v>0.64389316331737723</v>
      </c>
      <c r="AZ119" s="47">
        <f t="shared" si="95"/>
        <v>5.1836278784231471</v>
      </c>
      <c r="BA119" s="47">
        <f t="shared" si="96"/>
        <v>3.0000876535097221</v>
      </c>
      <c r="BB119" s="47">
        <f t="shared" si="97"/>
        <v>4.0996450822661608</v>
      </c>
      <c r="BC119" s="47">
        <f t="shared" si="98"/>
        <v>0.64389316331737723</v>
      </c>
      <c r="BD119" s="47">
        <f t="shared" si="99"/>
        <v>0.64389316331737723</v>
      </c>
      <c r="BE119" s="40"/>
      <c r="BF119" s="40"/>
      <c r="BG119" s="6">
        <f t="shared" si="106"/>
        <v>-1.3264502315157023</v>
      </c>
      <c r="BH119" s="9">
        <f t="shared" ca="1" si="107"/>
        <v>67.979136358222434</v>
      </c>
      <c r="BI119" s="9">
        <f t="shared" ca="1" si="108"/>
        <v>-32.267370882921774</v>
      </c>
      <c r="BJ119">
        <f t="shared" ca="1" si="109"/>
        <v>75.248562801596591</v>
      </c>
      <c r="BK119" s="6">
        <f t="shared" ca="1" si="110"/>
        <v>0.90339448126682464</v>
      </c>
      <c r="BL119" s="6">
        <f t="shared" ca="1" si="111"/>
        <v>-0.42881046071270801</v>
      </c>
      <c r="BM119" s="6">
        <f t="shared" ca="1" si="112"/>
        <v>-0.44317562077903144</v>
      </c>
      <c r="BN119" s="6">
        <f t="shared" ca="1" si="113"/>
        <v>-0.71871064891122205</v>
      </c>
      <c r="BO119" s="9"/>
      <c r="BT119" s="40"/>
    </row>
    <row r="120" spans="1:72" x14ac:dyDescent="0.25">
      <c r="A120" s="8" t="s">
        <v>9</v>
      </c>
      <c r="B120">
        <f ca="1">B116/B115</f>
        <v>1.1323839248091303</v>
      </c>
      <c r="J120">
        <f ca="1">J116/J115</f>
        <v>9</v>
      </c>
      <c r="AS120" s="6">
        <v>-1.0821041362364958</v>
      </c>
      <c r="AT120" s="6">
        <v>-33.448402485881076</v>
      </c>
      <c r="AU120" s="6">
        <v>4.9181463715233971</v>
      </c>
      <c r="AV120" s="6">
        <f t="shared" si="91"/>
        <v>2.9956019443488988</v>
      </c>
      <c r="AW120" s="6">
        <f t="shared" si="92"/>
        <v>4.0777060805853944</v>
      </c>
      <c r="AX120" s="6">
        <f t="shared" si="93"/>
        <v>0.63940745415655398</v>
      </c>
      <c r="AY120" s="6">
        <f t="shared" si="94"/>
        <v>0.63940745415655398</v>
      </c>
      <c r="AZ120" s="47">
        <f t="shared" si="95"/>
        <v>5.2010811709430902</v>
      </c>
      <c r="BA120" s="47">
        <f t="shared" si="96"/>
        <v>2.9956019443488988</v>
      </c>
      <c r="BB120" s="47">
        <f t="shared" si="97"/>
        <v>4.0777060805853944</v>
      </c>
      <c r="BC120" s="47">
        <f t="shared" si="98"/>
        <v>0.63940745415655398</v>
      </c>
      <c r="BD120" s="47">
        <f t="shared" si="99"/>
        <v>0.63940745415655398</v>
      </c>
      <c r="BE120" s="40"/>
      <c r="BF120" s="40"/>
      <c r="BG120" s="6">
        <f t="shared" si="106"/>
        <v>-1.308996938995759</v>
      </c>
      <c r="BH120" s="9">
        <f t="shared" ca="1" si="107"/>
        <v>68.267347969064772</v>
      </c>
      <c r="BI120" s="9">
        <f t="shared" ca="1" si="108"/>
        <v>-32.081104797740934</v>
      </c>
      <c r="BJ120">
        <f t="shared" ca="1" si="109"/>
        <v>75.429623383475857</v>
      </c>
      <c r="BK120" s="6">
        <f t="shared" ca="1" si="110"/>
        <v>0.90504691534784854</v>
      </c>
      <c r="BL120" s="6">
        <f t="shared" ca="1" si="111"/>
        <v>-0.42531174568702468</v>
      </c>
      <c r="BM120" s="6">
        <f t="shared" ca="1" si="112"/>
        <v>-0.43930631025879152</v>
      </c>
      <c r="BN120" s="6">
        <f t="shared" ca="1" si="113"/>
        <v>-0.71484133839098218</v>
      </c>
      <c r="BO120" s="9"/>
      <c r="BT120" s="40"/>
    </row>
    <row r="121" spans="1:72" x14ac:dyDescent="0.25">
      <c r="AS121" s="6">
        <v>-1.0646508437165525</v>
      </c>
      <c r="AT121" s="6">
        <v>-33.330889752852059</v>
      </c>
      <c r="AU121" s="6">
        <v>5.0488554006693578</v>
      </c>
      <c r="AV121" s="6">
        <f t="shared" si="91"/>
        <v>2.9912587494953535</v>
      </c>
      <c r="AW121" s="6">
        <f t="shared" si="92"/>
        <v>4.055909593211906</v>
      </c>
      <c r="AX121" s="6">
        <f t="shared" si="93"/>
        <v>0.63506425930300869</v>
      </c>
      <c r="AY121" s="6">
        <f t="shared" si="94"/>
        <v>0.63506425930300869</v>
      </c>
      <c r="AZ121" s="47">
        <f t="shared" si="95"/>
        <v>5.2185344634630333</v>
      </c>
      <c r="BA121" s="47">
        <f t="shared" si="96"/>
        <v>2.9912587494953535</v>
      </c>
      <c r="BB121" s="47">
        <f t="shared" si="97"/>
        <v>4.055909593211906</v>
      </c>
      <c r="BC121" s="47">
        <f t="shared" si="98"/>
        <v>0.63506425930300869</v>
      </c>
      <c r="BD121" s="47">
        <f t="shared" si="99"/>
        <v>0.63506425930300869</v>
      </c>
      <c r="BE121" s="40"/>
      <c r="BF121" s="40"/>
      <c r="BG121" s="6">
        <f t="shared" si="106"/>
        <v>-1.2915436464758157</v>
      </c>
      <c r="BH121" s="9">
        <f t="shared" ca="1" si="107"/>
        <v>68.511939308960038</v>
      </c>
      <c r="BI121" s="9">
        <f t="shared" ca="1" si="108"/>
        <v>-31.913897970751204</v>
      </c>
      <c r="BJ121">
        <f t="shared" ca="1" si="109"/>
        <v>75.580306373830879</v>
      </c>
      <c r="BK121" s="6">
        <f t="shared" ca="1" si="110"/>
        <v>0.90647871907385902</v>
      </c>
      <c r="BL121" s="6">
        <f t="shared" ca="1" si="111"/>
        <v>-0.42225150309527132</v>
      </c>
      <c r="BM121" s="6">
        <f t="shared" ca="1" si="112"/>
        <v>-0.435927677770785</v>
      </c>
      <c r="BN121" s="6">
        <f t="shared" ca="1" si="113"/>
        <v>-0.71146270590297567</v>
      </c>
      <c r="BO121" s="9"/>
      <c r="BT121" s="40"/>
    </row>
    <row r="122" spans="1:72" x14ac:dyDescent="0.25">
      <c r="AS122" s="6">
        <v>-1.0471975511966092</v>
      </c>
      <c r="AT122" s="6">
        <v>-33.217581815495144</v>
      </c>
      <c r="AU122" s="6">
        <v>5.1750291838830726</v>
      </c>
      <c r="AV122" s="6">
        <f t="shared" si="91"/>
        <v>2.9870431547509488</v>
      </c>
      <c r="AW122" s="6">
        <f t="shared" si="92"/>
        <v>4.0342407059475578</v>
      </c>
      <c r="AX122" s="6">
        <f t="shared" si="93"/>
        <v>0.630848664558604</v>
      </c>
      <c r="AY122" s="6">
        <f t="shared" si="94"/>
        <v>0.630848664558604</v>
      </c>
      <c r="AZ122" s="47">
        <f t="shared" si="95"/>
        <v>5.2359877559829773</v>
      </c>
      <c r="BA122" s="47">
        <f t="shared" si="96"/>
        <v>2.9870431547509488</v>
      </c>
      <c r="BB122" s="47">
        <f t="shared" si="97"/>
        <v>4.0342407059475578</v>
      </c>
      <c r="BC122" s="47">
        <f t="shared" si="98"/>
        <v>0.630848664558604</v>
      </c>
      <c r="BD122" s="47">
        <f t="shared" si="99"/>
        <v>0.630848664558604</v>
      </c>
      <c r="BE122" s="40"/>
      <c r="BF122" s="40"/>
      <c r="BG122" s="6">
        <f t="shared" si="106"/>
        <v>-1.2740903539558723</v>
      </c>
      <c r="BH122" s="9">
        <f t="shared" ca="1" si="107"/>
        <v>68.743448435971771</v>
      </c>
      <c r="BI122" s="9">
        <f t="shared" ca="1" si="108"/>
        <v>-31.736283497246887</v>
      </c>
      <c r="BJ122">
        <f t="shared" ca="1" si="109"/>
        <v>75.715608648988194</v>
      </c>
      <c r="BK122" s="6">
        <f t="shared" ca="1" si="110"/>
        <v>0.90791647406099807</v>
      </c>
      <c r="BL122" s="6">
        <f t="shared" ca="1" si="111"/>
        <v>-0.41915113757288652</v>
      </c>
      <c r="BM122" s="6">
        <f t="shared" ca="1" si="112"/>
        <v>-0.43251016154656163</v>
      </c>
      <c r="BN122" s="6">
        <f t="shared" ca="1" si="113"/>
        <v>-0.7080451896787523</v>
      </c>
      <c r="BO122" s="9"/>
      <c r="BT122" s="40"/>
    </row>
    <row r="123" spans="1:72" x14ac:dyDescent="0.25">
      <c r="A123" t="s">
        <v>128</v>
      </c>
      <c r="AS123" s="6">
        <v>-1.0297442586766659</v>
      </c>
      <c r="AT123" s="6">
        <v>-33.107886272591045</v>
      </c>
      <c r="AU123" s="6">
        <v>5.2971131180560782</v>
      </c>
      <c r="AV123" s="6">
        <f t="shared" si="91"/>
        <v>2.9829417702489294</v>
      </c>
      <c r="AW123" s="6">
        <f t="shared" si="92"/>
        <v>4.0126860289255948</v>
      </c>
      <c r="AX123" s="6">
        <f t="shared" si="93"/>
        <v>0.62674728005658453</v>
      </c>
      <c r="AY123" s="6">
        <f t="shared" si="94"/>
        <v>0.62674728005658453</v>
      </c>
      <c r="AZ123" s="47">
        <f t="shared" si="95"/>
        <v>5.2534410485029204</v>
      </c>
      <c r="BA123" s="47">
        <f t="shared" si="96"/>
        <v>2.9829417702489294</v>
      </c>
      <c r="BB123" s="47">
        <f t="shared" si="97"/>
        <v>4.0126860289255948</v>
      </c>
      <c r="BC123" s="47">
        <f t="shared" si="98"/>
        <v>0.62674728005658453</v>
      </c>
      <c r="BD123" s="47">
        <f t="shared" si="99"/>
        <v>0.62674728005658453</v>
      </c>
      <c r="BE123" s="40"/>
      <c r="BF123" s="40"/>
      <c r="BG123" s="6">
        <f t="shared" si="106"/>
        <v>-1.256637061435929</v>
      </c>
      <c r="BH123" s="9">
        <f t="shared" ca="1" si="107"/>
        <v>69.00531016742687</v>
      </c>
      <c r="BI123" s="9">
        <f t="shared" ca="1" si="108"/>
        <v>-31.497987167810123</v>
      </c>
      <c r="BJ123">
        <f t="shared" ca="1" si="109"/>
        <v>75.854176067809988</v>
      </c>
      <c r="BK123" s="6">
        <f t="shared" ca="1" si="110"/>
        <v>0.90971010094077664</v>
      </c>
      <c r="BL123" s="6">
        <f t="shared" ca="1" si="111"/>
        <v>-0.41524394305795947</v>
      </c>
      <c r="BM123" s="6">
        <f t="shared" ca="1" si="112"/>
        <v>-0.4282109412881111</v>
      </c>
      <c r="BN123" s="6">
        <f t="shared" ca="1" si="113"/>
        <v>-0.70374596942030176</v>
      </c>
      <c r="BO123" s="9"/>
      <c r="BT123" s="40"/>
    </row>
    <row r="124" spans="1:72" x14ac:dyDescent="0.25">
      <c r="AS124" s="6">
        <v>-1.0122909661567225</v>
      </c>
      <c r="AT124" s="6">
        <v>-33.001291362826208</v>
      </c>
      <c r="AU124" s="6">
        <v>5.4155053048305968</v>
      </c>
      <c r="AV124" s="6">
        <f t="shared" si="91"/>
        <v>2.9789425031012491</v>
      </c>
      <c r="AW124" s="6">
        <f t="shared" si="92"/>
        <v>3.9912334692579714</v>
      </c>
      <c r="AX124" s="6">
        <f t="shared" si="93"/>
        <v>0.62274801290890425</v>
      </c>
      <c r="AY124" s="6">
        <f t="shared" si="94"/>
        <v>0.62274801290890425</v>
      </c>
      <c r="AZ124" s="47">
        <f t="shared" si="95"/>
        <v>5.2708943410228635</v>
      </c>
      <c r="BA124" s="47">
        <f t="shared" si="96"/>
        <v>2.9789425031012491</v>
      </c>
      <c r="BB124" s="47">
        <f t="shared" si="97"/>
        <v>3.9912334692579714</v>
      </c>
      <c r="BC124" s="47">
        <f t="shared" si="98"/>
        <v>0.62274801290890425</v>
      </c>
      <c r="BD124" s="47">
        <f t="shared" si="99"/>
        <v>0.62274801290890425</v>
      </c>
      <c r="BE124" s="40"/>
      <c r="BF124" s="40"/>
      <c r="BG124" s="6">
        <f t="shared" si="106"/>
        <v>-1.2391837689159857</v>
      </c>
      <c r="BH124" s="9">
        <f t="shared" ca="1" si="107"/>
        <v>69.238726151507734</v>
      </c>
      <c r="BI124" s="9">
        <f t="shared" ca="1" si="108"/>
        <v>-31.277158224659239</v>
      </c>
      <c r="BJ124">
        <f t="shared" ca="1" si="109"/>
        <v>75.975402767565839</v>
      </c>
      <c r="BK124" s="6">
        <f t="shared" ca="1" si="110"/>
        <v>0.9113308206253562</v>
      </c>
      <c r="BL124" s="6">
        <f t="shared" ca="1" si="111"/>
        <v>-0.41167479322678319</v>
      </c>
      <c r="BM124" s="6">
        <f t="shared" ca="1" si="112"/>
        <v>-0.42429104556393005</v>
      </c>
      <c r="BN124" s="6">
        <f t="shared" ca="1" si="113"/>
        <v>-0.69982607369612071</v>
      </c>
      <c r="BO124" s="9"/>
      <c r="BT124" s="40"/>
    </row>
    <row r="125" spans="1:72" x14ac:dyDescent="0.25">
      <c r="A125" s="8" t="s">
        <v>77</v>
      </c>
      <c r="B125" s="3">
        <f ca="1">B116</f>
        <v>1030.5944999999999</v>
      </c>
      <c r="C125" s="1" t="str">
        <f>"+ t ( "</f>
        <v xml:space="preserve">+ t ( </v>
      </c>
      <c r="D125" s="1">
        <f ca="1">J116</f>
        <v>-1535.76</v>
      </c>
      <c r="E125" s="1" t="s">
        <v>129</v>
      </c>
      <c r="F125" s="3">
        <f ca="1">B116</f>
        <v>1030.5944999999999</v>
      </c>
      <c r="G125" s="1" t="s">
        <v>130</v>
      </c>
      <c r="AS125" s="6">
        <v>-0.99483767363677922</v>
      </c>
      <c r="AT125" s="6">
        <v>-32.89735143787594</v>
      </c>
      <c r="AU125" s="6">
        <v>5.5305637745877494</v>
      </c>
      <c r="AV125" s="6">
        <f t="shared" si="91"/>
        <v>2.9750343638646508</v>
      </c>
      <c r="AW125" s="6">
        <f t="shared" si="92"/>
        <v>3.96987203750143</v>
      </c>
      <c r="AX125" s="6">
        <f t="shared" si="93"/>
        <v>0.61883987367230597</v>
      </c>
      <c r="AY125" s="6">
        <f t="shared" si="94"/>
        <v>0.61883987367230597</v>
      </c>
      <c r="AZ125" s="47">
        <f t="shared" si="95"/>
        <v>5.2883476335428075</v>
      </c>
      <c r="BA125" s="47">
        <f t="shared" si="96"/>
        <v>2.9750343638646508</v>
      </c>
      <c r="BB125" s="47">
        <f t="shared" si="97"/>
        <v>3.96987203750143</v>
      </c>
      <c r="BC125" s="47">
        <f t="shared" si="98"/>
        <v>0.61883987367230597</v>
      </c>
      <c r="BD125" s="47">
        <f t="shared" si="99"/>
        <v>0.61883987367230597</v>
      </c>
      <c r="BE125" s="40"/>
      <c r="BF125" s="40"/>
      <c r="BG125" s="6">
        <f t="shared" si="106"/>
        <v>-1.2217304763960424</v>
      </c>
      <c r="BH125" s="9">
        <f t="shared" ca="1" si="107"/>
        <v>69.449069851958726</v>
      </c>
      <c r="BI125" s="9">
        <f t="shared" ca="1" si="108"/>
        <v>-31.071375617850578</v>
      </c>
      <c r="BJ125">
        <f t="shared" ca="1" si="109"/>
        <v>76.08287380276721</v>
      </c>
      <c r="BK125" s="6">
        <f t="shared" ca="1" si="110"/>
        <v>0.91280818377069239</v>
      </c>
      <c r="BL125" s="6">
        <f t="shared" ca="1" si="111"/>
        <v>-0.40838856453290912</v>
      </c>
      <c r="BM125" s="6">
        <f t="shared" ca="1" si="112"/>
        <v>-0.42068800310847532</v>
      </c>
      <c r="BN125" s="6">
        <f t="shared" ca="1" si="113"/>
        <v>-0.69622303124066598</v>
      </c>
      <c r="BO125" s="9"/>
      <c r="BT125" s="40"/>
    </row>
    <row r="126" spans="1:72" x14ac:dyDescent="0.25">
      <c r="A126" s="8" t="s">
        <v>125</v>
      </c>
      <c r="B126" s="3">
        <f ca="1">B117</f>
        <v>-343.53149999999999</v>
      </c>
      <c r="D126" s="1">
        <f ca="1">J117</f>
        <v>511.92</v>
      </c>
      <c r="F126" s="3">
        <f ca="1">B117</f>
        <v>-343.53149999999999</v>
      </c>
      <c r="AS126" s="6">
        <v>-0.9773843811168359</v>
      </c>
      <c r="AT126" s="6">
        <v>-32.795675171685609</v>
      </c>
      <c r="AU126" s="6">
        <v>5.6426124829089881</v>
      </c>
      <c r="AV126" s="6">
        <f t="shared" si="91"/>
        <v>2.9712073023856469</v>
      </c>
      <c r="AW126" s="6">
        <f t="shared" si="92"/>
        <v>3.9485916835024826</v>
      </c>
      <c r="AX126" s="6">
        <f t="shared" si="93"/>
        <v>0.61501281219330206</v>
      </c>
      <c r="AY126" s="6">
        <f t="shared" si="94"/>
        <v>0.61501281219330206</v>
      </c>
      <c r="AZ126" s="47">
        <f t="shared" si="95"/>
        <v>5.3058009260627506</v>
      </c>
      <c r="BA126" s="47">
        <f t="shared" si="96"/>
        <v>2.9712073023856469</v>
      </c>
      <c r="BB126" s="47">
        <f t="shared" si="97"/>
        <v>3.9485916835024826</v>
      </c>
      <c r="BC126" s="47">
        <f t="shared" si="98"/>
        <v>0.61501281219330206</v>
      </c>
      <c r="BD126" s="47">
        <f t="shared" si="99"/>
        <v>0.61501281219330206</v>
      </c>
      <c r="BE126" s="40"/>
      <c r="BF126" s="40"/>
      <c r="BG126" s="6">
        <f t="shared" si="106"/>
        <v>-1.2042771838760991</v>
      </c>
      <c r="BH126" s="9">
        <f t="shared" ca="1" si="107"/>
        <v>69.640509173345322</v>
      </c>
      <c r="BI126" s="9">
        <f t="shared" ca="1" si="108"/>
        <v>-30.87865022446088</v>
      </c>
      <c r="BJ126">
        <f t="shared" ca="1" si="109"/>
        <v>76.179338127916239</v>
      </c>
      <c r="BK126" s="6">
        <f t="shared" ca="1" si="110"/>
        <v>0.91416532205108858</v>
      </c>
      <c r="BL126" s="6">
        <f t="shared" ca="1" si="111"/>
        <v>-0.40534153988856025</v>
      </c>
      <c r="BM126" s="6">
        <f t="shared" ca="1" si="112"/>
        <v>-0.41735240813734975</v>
      </c>
      <c r="BN126" s="6">
        <f t="shared" ca="1" si="113"/>
        <v>-0.69288743626954041</v>
      </c>
      <c r="BO126" s="9"/>
      <c r="BT126" s="40"/>
    </row>
    <row r="127" spans="1:72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AS127" s="6">
        <v>-0.95993108859689258</v>
      </c>
      <c r="AT127" s="6">
        <v>-32.695915957888928</v>
      </c>
      <c r="AU127" s="6">
        <v>5.7519463471302155</v>
      </c>
      <c r="AV127" s="6">
        <f t="shared" si="91"/>
        <v>2.9674520671591051</v>
      </c>
      <c r="AW127" s="6">
        <f t="shared" si="92"/>
        <v>3.9273831557559977</v>
      </c>
      <c r="AX127" s="6">
        <f t="shared" si="93"/>
        <v>0.61125757696676031</v>
      </c>
      <c r="AY127" s="6">
        <f t="shared" si="94"/>
        <v>0.61125757696676031</v>
      </c>
      <c r="AZ127" s="47">
        <f t="shared" si="95"/>
        <v>5.3232542185826937</v>
      </c>
      <c r="BA127" s="47">
        <f t="shared" si="96"/>
        <v>2.9674520671591051</v>
      </c>
      <c r="BB127" s="47">
        <f t="shared" si="97"/>
        <v>3.9273831557559977</v>
      </c>
      <c r="BC127" s="47">
        <f t="shared" si="98"/>
        <v>0.61125757696676031</v>
      </c>
      <c r="BD127" s="47">
        <f t="shared" si="99"/>
        <v>0.61125757696676031</v>
      </c>
      <c r="BE127" s="40"/>
      <c r="BF127" s="40"/>
      <c r="BG127" s="6">
        <f t="shared" si="106"/>
        <v>-1.1868238913561557</v>
      </c>
      <c r="BH127" s="9">
        <f t="shared" ca="1" si="107"/>
        <v>69.816319327467696</v>
      </c>
      <c r="BI127" s="9">
        <f t="shared" ca="1" si="108"/>
        <v>-30.697330564268107</v>
      </c>
      <c r="BJ127">
        <f t="shared" ca="1" si="109"/>
        <v>76.266929584236493</v>
      </c>
      <c r="BK127" s="6">
        <f t="shared" ca="1" si="110"/>
        <v>0.91542061163424537</v>
      </c>
      <c r="BL127" s="6">
        <f t="shared" ca="1" si="111"/>
        <v>-0.40249857614056744</v>
      </c>
      <c r="BM127" s="6">
        <f t="shared" ca="1" si="112"/>
        <v>-0.41424464325187543</v>
      </c>
      <c r="BN127" s="6">
        <f t="shared" ca="1" si="113"/>
        <v>-0.68977967138406604</v>
      </c>
      <c r="BO127" s="9"/>
      <c r="BT127" s="40"/>
    </row>
    <row r="128" spans="1:72" x14ac:dyDescent="0.25">
      <c r="AS128" s="6">
        <v>-0.94247779607694926</v>
      </c>
      <c r="AT128" s="6">
        <v>-32.597764204606044</v>
      </c>
      <c r="AU128" s="6">
        <v>5.8588355758251129</v>
      </c>
      <c r="AV128" s="6">
        <f t="shared" si="91"/>
        <v>2.9637600828992321</v>
      </c>
      <c r="AW128" s="6">
        <f t="shared" si="92"/>
        <v>3.9062378789761816</v>
      </c>
      <c r="AX128" s="6">
        <f t="shared" si="93"/>
        <v>0.60756559270688726</v>
      </c>
      <c r="AY128" s="6">
        <f t="shared" si="94"/>
        <v>0.60756559270688726</v>
      </c>
      <c r="AZ128" s="47">
        <f t="shared" si="95"/>
        <v>5.3407075111026368</v>
      </c>
      <c r="BA128" s="47">
        <f t="shared" si="96"/>
        <v>2.9637600828992321</v>
      </c>
      <c r="BB128" s="47">
        <f t="shared" si="97"/>
        <v>3.9062378789761816</v>
      </c>
      <c r="BC128" s="47">
        <f t="shared" si="98"/>
        <v>0.60756559270688726</v>
      </c>
      <c r="BD128" s="47">
        <f t="shared" si="99"/>
        <v>0.60756559270688726</v>
      </c>
      <c r="BE128" s="40"/>
      <c r="BF128" s="40"/>
      <c r="BG128" s="6">
        <f t="shared" si="106"/>
        <v>-1.1693705988362124</v>
      </c>
      <c r="BH128" s="9">
        <f t="shared" ca="1" si="107"/>
        <v>69.97910500674783</v>
      </c>
      <c r="BI128" s="9">
        <f t="shared" ca="1" si="108"/>
        <v>-30.526032249914024</v>
      </c>
      <c r="BJ128">
        <f t="shared" ca="1" si="109"/>
        <v>76.347323348420218</v>
      </c>
      <c r="BK128" s="6">
        <f t="shared" ca="1" si="110"/>
        <v>0.9165888460475522</v>
      </c>
      <c r="BL128" s="6">
        <f t="shared" ca="1" si="111"/>
        <v>-0.39983107345629909</v>
      </c>
      <c r="BM128" s="6">
        <f t="shared" ca="1" si="112"/>
        <v>-0.41133253950921156</v>
      </c>
      <c r="BN128" s="6">
        <f t="shared" ca="1" si="113"/>
        <v>-0.68686756764140222</v>
      </c>
      <c r="BO128" s="9"/>
      <c r="BT128" s="40"/>
    </row>
    <row r="129" spans="1:72" x14ac:dyDescent="0.25">
      <c r="A129" s="15" t="s">
        <v>131</v>
      </c>
      <c r="AS129" s="6">
        <v>-0.92502450355700594</v>
      </c>
      <c r="AT129" s="6">
        <v>-32.50094087321969</v>
      </c>
      <c r="AU129" s="6">
        <v>5.9635293425011362</v>
      </c>
      <c r="AV129" s="6">
        <f t="shared" si="91"/>
        <v>2.9601233442226174</v>
      </c>
      <c r="AW129" s="6">
        <f t="shared" si="92"/>
        <v>3.8851478477796233</v>
      </c>
      <c r="AX129" s="6">
        <f t="shared" si="93"/>
        <v>0.60392885403027252</v>
      </c>
      <c r="AY129" s="6">
        <f t="shared" si="94"/>
        <v>0.60392885403027252</v>
      </c>
      <c r="AZ129" s="47">
        <f t="shared" si="95"/>
        <v>5.3581608036225798</v>
      </c>
      <c r="BA129" s="47">
        <f t="shared" si="96"/>
        <v>2.9601233442226174</v>
      </c>
      <c r="BB129" s="47">
        <f t="shared" si="97"/>
        <v>3.8851478477796233</v>
      </c>
      <c r="BC129" s="47">
        <f t="shared" si="98"/>
        <v>0.60392885403027252</v>
      </c>
      <c r="BD129" s="47">
        <f t="shared" si="99"/>
        <v>0.60392885403027252</v>
      </c>
      <c r="BE129" s="40"/>
      <c r="BF129" s="40"/>
      <c r="BG129" s="6">
        <f t="shared" si="106"/>
        <v>-1.1519173063162691</v>
      </c>
      <c r="BH129" s="9">
        <f t="shared" ca="1" si="107"/>
        <v>70.130960665075378</v>
      </c>
      <c r="BI129" s="9">
        <f t="shared" ca="1" si="108"/>
        <v>-30.363584439091905</v>
      </c>
      <c r="BJ129">
        <f t="shared" ca="1" si="109"/>
        <v>76.421848340616663</v>
      </c>
      <c r="BK129" s="6">
        <f t="shared" ca="1" si="110"/>
        <v>0.91768207898476328</v>
      </c>
      <c r="BL129" s="6">
        <f t="shared" ca="1" si="111"/>
        <v>-0.39731549417333678</v>
      </c>
      <c r="BM129" s="6">
        <f t="shared" ca="1" si="112"/>
        <v>-0.40858967565904619</v>
      </c>
      <c r="BN129" s="6">
        <f t="shared" ca="1" si="113"/>
        <v>-0.6841247037912368</v>
      </c>
      <c r="BO129" s="9"/>
      <c r="BT129" s="40"/>
    </row>
    <row r="130" spans="1:72" x14ac:dyDescent="0.25">
      <c r="A130" s="8" t="s">
        <v>133</v>
      </c>
      <c r="B130" s="1">
        <f>U10</f>
        <v>-50</v>
      </c>
      <c r="AS130" s="6">
        <v>-0.90757121103706262</v>
      </c>
      <c r="AT130" s="6">
        <v>-32.405192157012706</v>
      </c>
      <c r="AU130" s="6">
        <v>6.0662589850466802</v>
      </c>
      <c r="AV130" s="6">
        <f t="shared" si="91"/>
        <v>2.9565343215596034</v>
      </c>
      <c r="AW130" s="6">
        <f t="shared" si="92"/>
        <v>3.8641055325966658</v>
      </c>
      <c r="AX130" s="6">
        <f t="shared" si="93"/>
        <v>0.60033983136725855</v>
      </c>
      <c r="AY130" s="6">
        <f t="shared" si="94"/>
        <v>0.60033983136725855</v>
      </c>
      <c r="AZ130" s="47">
        <f t="shared" si="95"/>
        <v>5.3756140961425238</v>
      </c>
      <c r="BA130" s="47">
        <f t="shared" si="96"/>
        <v>2.9565343215596034</v>
      </c>
      <c r="BB130" s="47">
        <f t="shared" si="97"/>
        <v>3.8641055325966658</v>
      </c>
      <c r="BC130" s="47">
        <f t="shared" si="98"/>
        <v>0.60033983136725855</v>
      </c>
      <c r="BD130" s="47">
        <f t="shared" si="99"/>
        <v>0.60033983136725855</v>
      </c>
      <c r="BE130" s="40"/>
      <c r="BF130" s="40"/>
      <c r="BG130" s="6">
        <f t="shared" si="106"/>
        <v>-1.1344640137963258</v>
      </c>
      <c r="BH130" s="9">
        <f t="shared" ca="1" si="107"/>
        <v>70.273588042739107</v>
      </c>
      <c r="BI130" s="9">
        <f t="shared" ca="1" si="108"/>
        <v>-30.208988736460075</v>
      </c>
      <c r="BJ130">
        <f t="shared" ca="1" si="109"/>
        <v>76.491569318979046</v>
      </c>
      <c r="BK130" s="6">
        <f t="shared" ca="1" si="110"/>
        <v>0.91871024046702177</v>
      </c>
      <c r="BL130" s="6">
        <f t="shared" ca="1" si="111"/>
        <v>-0.39493226515571878</v>
      </c>
      <c r="BM130" s="6">
        <f t="shared" ca="1" si="112"/>
        <v>-0.40599412169771776</v>
      </c>
      <c r="BN130" s="6">
        <f t="shared" ca="1" si="113"/>
        <v>-0.68152914982990842</v>
      </c>
      <c r="BO130" s="9"/>
      <c r="BT130" s="40"/>
    </row>
    <row r="131" spans="1:72" x14ac:dyDescent="0.25">
      <c r="A131" s="8" t="s">
        <v>132</v>
      </c>
      <c r="B131">
        <f ca="1">(U10-B127)/(D127-F127)</f>
        <v>0.88837386612358715</v>
      </c>
      <c r="AS131" s="6">
        <v>-0.8901179185171193</v>
      </c>
      <c r="AT131" s="6">
        <v>-32.310284992729635</v>
      </c>
      <c r="AU131" s="6">
        <v>6.1672407989219469</v>
      </c>
      <c r="AV131" s="6">
        <f t="shared" ref="AV131:AV194" si="131">ATAN2(AT131,AU131)</f>
        <v>2.9529858772495827</v>
      </c>
      <c r="AW131" s="6">
        <f t="shared" ref="AW131:AW194" si="132">ABS(AS131-AV131)</f>
        <v>3.843103795766702</v>
      </c>
      <c r="AX131" s="6">
        <f t="shared" ref="AX131:AX194" si="133">AV131-$U$13</f>
        <v>0.59679138705723789</v>
      </c>
      <c r="AY131" s="6">
        <f t="shared" ref="AY131:AY194" si="134">ABS(AX131)</f>
        <v>0.59679138705723789</v>
      </c>
      <c r="AZ131" s="47">
        <f t="shared" ref="AZ131:AZ182" si="135">AS131+(2*PI())</f>
        <v>5.3930673886624669</v>
      </c>
      <c r="BA131" s="47">
        <f t="shared" ref="BA131:BA182" si="136">AV131</f>
        <v>2.9529858772495827</v>
      </c>
      <c r="BB131" s="47">
        <f t="shared" ref="BB131:BB182" si="137">AW131</f>
        <v>3.843103795766702</v>
      </c>
      <c r="BC131" s="47">
        <f t="shared" ref="BC131:BC182" si="138">AX131</f>
        <v>0.59679138705723789</v>
      </c>
      <c r="BD131" s="47">
        <f t="shared" ref="BD131:BD182" si="139">AY131</f>
        <v>0.59679138705723789</v>
      </c>
      <c r="BE131" s="40"/>
      <c r="BF131" s="40"/>
      <c r="BG131" s="6">
        <f t="shared" si="106"/>
        <v>-1.1170107212763825</v>
      </c>
      <c r="BH131" s="9">
        <f t="shared" ca="1" si="107"/>
        <v>70.408383290888935</v>
      </c>
      <c r="BI131" s="9">
        <f t="shared" ca="1" si="108"/>
        <v>-30.06138720340067</v>
      </c>
      <c r="BJ131">
        <f t="shared" ca="1" si="109"/>
        <v>76.557347382400266</v>
      </c>
      <c r="BK131" s="6">
        <f t="shared" ca="1" si="110"/>
        <v>0.91968159423291473</v>
      </c>
      <c r="BL131" s="6">
        <f t="shared" ca="1" si="111"/>
        <v>-0.39266495289139902</v>
      </c>
      <c r="BM131" s="6">
        <f t="shared" ca="1" si="112"/>
        <v>-0.40352749725786557</v>
      </c>
      <c r="BN131" s="6">
        <f t="shared" ca="1" si="113"/>
        <v>-0.67906252539005618</v>
      </c>
      <c r="BO131" s="9"/>
      <c r="BT131" s="40"/>
    </row>
    <row r="132" spans="1:72" x14ac:dyDescent="0.25">
      <c r="A132" s="8" t="s">
        <v>77</v>
      </c>
      <c r="B132">
        <f ca="1">(B125+(B131*(D125-F125)))/12</f>
        <v>-104.10731408405546</v>
      </c>
      <c r="AS132" s="6">
        <v>-0.87266462599717598</v>
      </c>
      <c r="AT132" s="6">
        <v>-32.216003284388805</v>
      </c>
      <c r="AU132" s="6">
        <v>6.2666785225990758</v>
      </c>
      <c r="AV132" s="6">
        <f t="shared" si="131"/>
        <v>2.9494711894612493</v>
      </c>
      <c r="AW132" s="6">
        <f t="shared" si="132"/>
        <v>3.8221358154584255</v>
      </c>
      <c r="AX132" s="6">
        <f t="shared" si="133"/>
        <v>0.59327669926890447</v>
      </c>
      <c r="AY132" s="6">
        <f t="shared" si="134"/>
        <v>0.59327669926890447</v>
      </c>
      <c r="AZ132" s="47">
        <f t="shared" si="135"/>
        <v>5.41052068118241</v>
      </c>
      <c r="BA132" s="47">
        <f t="shared" si="136"/>
        <v>2.9494711894612493</v>
      </c>
      <c r="BB132" s="47">
        <f t="shared" si="137"/>
        <v>3.8221358154584255</v>
      </c>
      <c r="BC132" s="47">
        <f t="shared" si="138"/>
        <v>0.59327669926890447</v>
      </c>
      <c r="BD132" s="47">
        <f t="shared" si="139"/>
        <v>0.59327669926890447</v>
      </c>
      <c r="BE132" s="40"/>
      <c r="BF132" s="40"/>
      <c r="BG132" s="6">
        <f t="shared" si="106"/>
        <v>-1.0995574287564391</v>
      </c>
      <c r="BH132" s="9">
        <f t="shared" ca="1" si="107"/>
        <v>70.536502529915509</v>
      </c>
      <c r="BI132" s="9">
        <f t="shared" ca="1" si="108"/>
        <v>-29.920037246928437</v>
      </c>
      <c r="BJ132">
        <f t="shared" ca="1" si="109"/>
        <v>76.6198852649256</v>
      </c>
      <c r="BK132" s="6">
        <f t="shared" ca="1" si="110"/>
        <v>0.92060308216364706</v>
      </c>
      <c r="BL132" s="6">
        <f t="shared" ca="1" si="111"/>
        <v>-0.39049963522491699</v>
      </c>
      <c r="BM132" s="6">
        <f t="shared" ca="1" si="112"/>
        <v>-0.40117425626748354</v>
      </c>
      <c r="BN132" s="6">
        <f t="shared" ca="1" si="113"/>
        <v>-0.67670928439967426</v>
      </c>
      <c r="BO132" s="9"/>
      <c r="BT132" s="40"/>
    </row>
    <row r="133" spans="1:72" x14ac:dyDescent="0.25">
      <c r="A133" s="8" t="s">
        <v>125</v>
      </c>
      <c r="B133">
        <f ca="1">(B126+(B131*(D126-F126)))/12</f>
        <v>34.702438028018484</v>
      </c>
      <c r="AS133" s="6">
        <v>-0.85521133347723266</v>
      </c>
      <c r="AT133" s="6">
        <v>-32.122144625436846</v>
      </c>
      <c r="AU133" s="6">
        <v>6.3647655561991074</v>
      </c>
      <c r="AV133" s="6">
        <f t="shared" si="131"/>
        <v>2.9459836824745489</v>
      </c>
      <c r="AW133" s="6">
        <f t="shared" si="132"/>
        <v>3.8011950159517816</v>
      </c>
      <c r="AX133" s="6">
        <f t="shared" si="133"/>
        <v>0.58978919228220406</v>
      </c>
      <c r="AY133" s="6">
        <f t="shared" si="134"/>
        <v>0.58978919228220406</v>
      </c>
      <c r="AZ133" s="47">
        <f t="shared" si="135"/>
        <v>5.427973973702354</v>
      </c>
      <c r="BA133" s="47">
        <f t="shared" si="136"/>
        <v>2.9459836824745489</v>
      </c>
      <c r="BB133" s="47">
        <f t="shared" si="137"/>
        <v>3.8011950159517816</v>
      </c>
      <c r="BC133" s="47">
        <f t="shared" si="138"/>
        <v>0.58978919228220406</v>
      </c>
      <c r="BD133" s="47">
        <f t="shared" si="139"/>
        <v>0.58978919228220406</v>
      </c>
      <c r="BE133" s="40"/>
      <c r="BF133" s="40"/>
      <c r="BG133" s="6">
        <f t="shared" si="106"/>
        <v>-1.0821041362364958</v>
      </c>
      <c r="BH133" s="9">
        <f t="shared" ca="1" si="107"/>
        <v>70.658911598174384</v>
      </c>
      <c r="BI133" s="9">
        <f t="shared" ca="1" si="108"/>
        <v>-29.784291656495085</v>
      </c>
      <c r="BJ133">
        <f t="shared" ca="1" si="109"/>
        <v>76.679761461012546</v>
      </c>
      <c r="BK133" s="6">
        <f t="shared" ca="1" si="110"/>
        <v>0.92148058694862489</v>
      </c>
      <c r="BL133" s="6">
        <f t="shared" ca="1" si="111"/>
        <v>-0.38842441719956006</v>
      </c>
      <c r="BM133" s="6">
        <f t="shared" ca="1" si="112"/>
        <v>-0.39892113695239273</v>
      </c>
      <c r="BN133" s="6">
        <f t="shared" ca="1" si="113"/>
        <v>-0.67445616508458339</v>
      </c>
      <c r="BO133" s="9"/>
      <c r="BT133" s="40"/>
    </row>
    <row r="134" spans="1:72" x14ac:dyDescent="0.25">
      <c r="AS134" s="6">
        <v>-0.83775804095728934</v>
      </c>
      <c r="AT134" s="6">
        <v>-32.02851753068488</v>
      </c>
      <c r="AU134" s="6">
        <v>6.4616870125449113</v>
      </c>
      <c r="AV134" s="6">
        <f t="shared" si="131"/>
        <v>2.9425169611670063</v>
      </c>
      <c r="AW134" s="6">
        <f t="shared" si="132"/>
        <v>3.7802750021242959</v>
      </c>
      <c r="AX134" s="6">
        <f t="shared" si="133"/>
        <v>0.5863224709746615</v>
      </c>
      <c r="AY134" s="6">
        <f t="shared" si="134"/>
        <v>0.5863224709746615</v>
      </c>
      <c r="AZ134" s="47">
        <f t="shared" si="135"/>
        <v>5.4454272662222971</v>
      </c>
      <c r="BA134" s="47">
        <f t="shared" si="136"/>
        <v>2.9425169611670063</v>
      </c>
      <c r="BB134" s="47">
        <f t="shared" si="137"/>
        <v>3.7802750021242959</v>
      </c>
      <c r="BC134" s="47">
        <f t="shared" si="138"/>
        <v>0.5863224709746615</v>
      </c>
      <c r="BD134" s="47">
        <f t="shared" si="139"/>
        <v>0.5863224709746615</v>
      </c>
      <c r="BE134" s="40"/>
      <c r="BF134" s="40"/>
      <c r="BG134" s="6">
        <f t="shared" si="106"/>
        <v>-1.0646508437165525</v>
      </c>
      <c r="BH134" s="9">
        <f t="shared" ca="1" si="107"/>
        <v>70.776424331203401</v>
      </c>
      <c r="BI134" s="9">
        <f t="shared" ca="1" si="108"/>
        <v>-29.653582627349127</v>
      </c>
      <c r="BJ134">
        <f t="shared" ca="1" si="109"/>
        <v>76.737456328364075</v>
      </c>
      <c r="BK134" s="6">
        <f t="shared" ca="1" si="110"/>
        <v>0.92231913484787575</v>
      </c>
      <c r="BL134" s="6">
        <f t="shared" ca="1" si="111"/>
        <v>-0.38642905363529001</v>
      </c>
      <c r="BM134" s="6">
        <f t="shared" ca="1" si="112"/>
        <v>-0.39675673399504507</v>
      </c>
      <c r="BN134" s="6">
        <f t="shared" ca="1" si="113"/>
        <v>-0.67229176212723574</v>
      </c>
      <c r="BO134" s="9"/>
      <c r="BT134" s="40"/>
    </row>
    <row r="135" spans="1:72" x14ac:dyDescent="0.25">
      <c r="A135" s="8"/>
      <c r="AS135" s="6">
        <v>-0.82030474843734602</v>
      </c>
      <c r="AT135" s="6">
        <v>-31.934938890673074</v>
      </c>
      <c r="AU135" s="6">
        <v>6.557621582302291</v>
      </c>
      <c r="AV135" s="6">
        <f t="shared" si="131"/>
        <v>2.9390647491388493</v>
      </c>
      <c r="AW135" s="6">
        <f t="shared" si="132"/>
        <v>3.7593694975761953</v>
      </c>
      <c r="AX135" s="6">
        <f t="shared" si="133"/>
        <v>0.58287025894650446</v>
      </c>
      <c r="AY135" s="6">
        <f t="shared" si="134"/>
        <v>0.58287025894650446</v>
      </c>
      <c r="AZ135" s="47">
        <f t="shared" si="135"/>
        <v>5.4628805587422402</v>
      </c>
      <c r="BA135" s="47">
        <f t="shared" si="136"/>
        <v>2.9390647491388493</v>
      </c>
      <c r="BB135" s="47">
        <f t="shared" si="137"/>
        <v>3.7593694975761953</v>
      </c>
      <c r="BC135" s="47">
        <f t="shared" si="138"/>
        <v>0.58287025894650446</v>
      </c>
      <c r="BD135" s="47">
        <f t="shared" si="139"/>
        <v>0.58287025894650446</v>
      </c>
      <c r="BE135" s="40"/>
      <c r="BF135" s="40"/>
      <c r="BG135" s="6">
        <f t="shared" si="106"/>
        <v>-1.0471975511966092</v>
      </c>
      <c r="BH135" s="9">
        <f t="shared" ca="1" si="107"/>
        <v>70.889732268560323</v>
      </c>
      <c r="BI135" s="9">
        <f t="shared" ca="1" si="108"/>
        <v>-29.527408844135412</v>
      </c>
      <c r="BJ135">
        <f t="shared" ca="1" si="109"/>
        <v>76.793372202012904</v>
      </c>
      <c r="BK135" s="6">
        <f t="shared" ca="1" si="110"/>
        <v>0.92312305392811189</v>
      </c>
      <c r="BL135" s="6">
        <f t="shared" ca="1" si="111"/>
        <v>-0.3845046518657953</v>
      </c>
      <c r="BM135" s="6">
        <f t="shared" ca="1" si="112"/>
        <v>-0.39467116221862647</v>
      </c>
      <c r="BN135" s="6">
        <f t="shared" ca="1" si="113"/>
        <v>-0.67020619035081719</v>
      </c>
      <c r="BO135" s="9"/>
      <c r="BT135" s="40"/>
    </row>
    <row r="136" spans="1:72" x14ac:dyDescent="0.25">
      <c r="A136" s="8"/>
      <c r="AS136" s="6">
        <v>-0.8028514559174027</v>
      </c>
      <c r="AT136" s="6">
        <v>-31.84123176592842</v>
      </c>
      <c r="AU136" s="6">
        <v>6.6527433237036444</v>
      </c>
      <c r="AV136" s="6">
        <f t="shared" si="131"/>
        <v>2.9356208282620901</v>
      </c>
      <c r="AW136" s="6">
        <f t="shared" si="132"/>
        <v>3.7384722841794931</v>
      </c>
      <c r="AX136" s="6">
        <f t="shared" si="133"/>
        <v>0.57942633806974531</v>
      </c>
      <c r="AY136" s="6">
        <f t="shared" si="134"/>
        <v>0.57942633806974531</v>
      </c>
      <c r="AZ136" s="47">
        <f t="shared" si="135"/>
        <v>5.4803338512621833</v>
      </c>
      <c r="BA136" s="47">
        <f t="shared" si="136"/>
        <v>2.9356208282620901</v>
      </c>
      <c r="BB136" s="47">
        <f t="shared" si="137"/>
        <v>3.7384722841794931</v>
      </c>
      <c r="BC136" s="47">
        <f t="shared" si="138"/>
        <v>0.57942633806974531</v>
      </c>
      <c r="BD136" s="47">
        <f t="shared" si="139"/>
        <v>0.57942633806974531</v>
      </c>
      <c r="BE136" s="40"/>
      <c r="BF136" s="40"/>
      <c r="BG136" s="6">
        <f t="shared" si="106"/>
        <v>-1.0297442586766659</v>
      </c>
      <c r="BH136" s="9">
        <f t="shared" ca="1" si="107"/>
        <v>70.999427811464415</v>
      </c>
      <c r="BI136" s="9">
        <f t="shared" ca="1" si="108"/>
        <v>-29.405324909962406</v>
      </c>
      <c r="BJ136">
        <f t="shared" ca="1" si="109"/>
        <v>76.847848913393804</v>
      </c>
      <c r="BK136" s="6">
        <f t="shared" ca="1" si="110"/>
        <v>0.9238960987896947</v>
      </c>
      <c r="BL136" s="6">
        <f t="shared" ca="1" si="111"/>
        <v>-0.38264343538231887</v>
      </c>
      <c r="BM136" s="6">
        <f t="shared" ca="1" si="112"/>
        <v>-0.39265578966468373</v>
      </c>
      <c r="BN136" s="6">
        <f t="shared" ca="1" si="113"/>
        <v>-0.66819081779687439</v>
      </c>
      <c r="BO136" s="9"/>
      <c r="BT136" s="40"/>
    </row>
    <row r="137" spans="1:72" x14ac:dyDescent="0.25">
      <c r="AS137" s="6">
        <v>-0.78539816339745938</v>
      </c>
      <c r="AT137" s="6">
        <v>-31.747223390933005</v>
      </c>
      <c r="AU137" s="6">
        <v>6.7472233944606241</v>
      </c>
      <c r="AV137" s="6">
        <f t="shared" si="131"/>
        <v>2.9321789786782309</v>
      </c>
      <c r="AW137" s="6">
        <f t="shared" si="132"/>
        <v>3.7175771420756902</v>
      </c>
      <c r="AX137" s="6">
        <f t="shared" si="133"/>
        <v>0.57598448848588601</v>
      </c>
      <c r="AY137" s="6">
        <f t="shared" si="134"/>
        <v>0.57598448848588601</v>
      </c>
      <c r="AZ137" s="47">
        <f t="shared" si="135"/>
        <v>5.4977871437821264</v>
      </c>
      <c r="BA137" s="47">
        <f t="shared" si="136"/>
        <v>2.9321789786782309</v>
      </c>
      <c r="BB137" s="47">
        <f t="shared" si="137"/>
        <v>3.7175771420756902</v>
      </c>
      <c r="BC137" s="47">
        <f t="shared" si="138"/>
        <v>0.57598448848588601</v>
      </c>
      <c r="BD137" s="47">
        <f t="shared" si="139"/>
        <v>0.57598448848588601</v>
      </c>
      <c r="BE137" s="40"/>
      <c r="BF137" s="40"/>
      <c r="BG137" s="6">
        <f t="shared" si="106"/>
        <v>-1.0122909661567225</v>
      </c>
      <c r="BH137" s="9">
        <f t="shared" ca="1" si="107"/>
        <v>71.106022721229252</v>
      </c>
      <c r="BI137" s="9">
        <f t="shared" ca="1" si="108"/>
        <v>-29.286932723187888</v>
      </c>
      <c r="BJ137">
        <f t="shared" ca="1" si="109"/>
        <v>76.901176165026925</v>
      </c>
      <c r="BK137" s="6">
        <f t="shared" ca="1" si="110"/>
        <v>0.92464154993726622</v>
      </c>
      <c r="BL137" s="6">
        <f t="shared" ca="1" si="111"/>
        <v>-0.38083855389076587</v>
      </c>
      <c r="BM137" s="6">
        <f t="shared" ca="1" si="112"/>
        <v>-0.39070302346676472</v>
      </c>
      <c r="BN137" s="6">
        <f t="shared" ca="1" si="113"/>
        <v>-0.66623805159895544</v>
      </c>
      <c r="BO137" s="9"/>
      <c r="BT137" s="40"/>
    </row>
    <row r="138" spans="1:72" x14ac:dyDescent="0.25">
      <c r="AS138" s="6">
        <v>-0.76794487087751606</v>
      </c>
      <c r="AT138" s="6">
        <v>-31.65274332739995</v>
      </c>
      <c r="AU138" s="6">
        <v>6.8412317625526606</v>
      </c>
      <c r="AV138" s="6">
        <f t="shared" si="131"/>
        <v>2.9287329179839143</v>
      </c>
      <c r="AW138" s="6">
        <f t="shared" si="132"/>
        <v>3.6966777888614306</v>
      </c>
      <c r="AX138" s="6">
        <f t="shared" si="133"/>
        <v>0.57253842779156949</v>
      </c>
      <c r="AY138" s="6">
        <f t="shared" si="134"/>
        <v>0.57253842779156949</v>
      </c>
      <c r="AZ138" s="47">
        <f t="shared" si="135"/>
        <v>5.5152404363020704</v>
      </c>
      <c r="BA138" s="47">
        <f t="shared" si="136"/>
        <v>2.9287329179839143</v>
      </c>
      <c r="BB138" s="47">
        <f t="shared" si="137"/>
        <v>3.6966777888614306</v>
      </c>
      <c r="BC138" s="47">
        <f t="shared" si="138"/>
        <v>0.57253842779156949</v>
      </c>
      <c r="BD138" s="47">
        <f t="shared" si="139"/>
        <v>0.57253842779156949</v>
      </c>
      <c r="BE138" s="40"/>
      <c r="BF138" s="40"/>
      <c r="BG138" s="6">
        <f t="shared" si="106"/>
        <v>-0.99483767363677922</v>
      </c>
      <c r="BH138" s="9">
        <f t="shared" ca="1" si="107"/>
        <v>71.20996264617952</v>
      </c>
      <c r="BI138" s="9">
        <f t="shared" ca="1" si="108"/>
        <v>-29.171874253430737</v>
      </c>
      <c r="BJ138">
        <f t="shared" ca="1" si="109"/>
        <v>76.953603083470099</v>
      </c>
      <c r="BK138" s="6">
        <f t="shared" ca="1" si="110"/>
        <v>0.92536229354900301</v>
      </c>
      <c r="BL138" s="6">
        <f t="shared" ca="1" si="111"/>
        <v>-0.37908392959571446</v>
      </c>
      <c r="BM138" s="6">
        <f t="shared" ca="1" si="112"/>
        <v>-0.38880613684665494</v>
      </c>
      <c r="BN138" s="6">
        <f t="shared" ca="1" si="113"/>
        <v>-0.66434116497884554</v>
      </c>
      <c r="BO138" s="9"/>
      <c r="BT138" s="40"/>
    </row>
    <row r="139" spans="1:72" x14ac:dyDescent="0.25">
      <c r="AS139" s="6">
        <v>-0.75049157835757274</v>
      </c>
      <c r="AT139" s="6">
        <v>-31.557621579691958</v>
      </c>
      <c r="AU139" s="6">
        <v>6.9349388860360452</v>
      </c>
      <c r="AV139" s="6">
        <f t="shared" si="131"/>
        <v>2.9252762388076228</v>
      </c>
      <c r="AW139" s="6">
        <f t="shared" si="132"/>
        <v>3.6757678171651955</v>
      </c>
      <c r="AX139" s="6">
        <f t="shared" si="133"/>
        <v>0.56908174861527794</v>
      </c>
      <c r="AY139" s="6">
        <f t="shared" si="134"/>
        <v>0.56908174861527794</v>
      </c>
      <c r="AZ139" s="47">
        <f t="shared" si="135"/>
        <v>5.5326937288220135</v>
      </c>
      <c r="BA139" s="47">
        <f t="shared" si="136"/>
        <v>2.9252762388076228</v>
      </c>
      <c r="BB139" s="47">
        <f t="shared" si="137"/>
        <v>3.6757678171651955</v>
      </c>
      <c r="BC139" s="47">
        <f t="shared" si="138"/>
        <v>0.56908174861527794</v>
      </c>
      <c r="BD139" s="47">
        <f t="shared" si="139"/>
        <v>0.56908174861527794</v>
      </c>
      <c r="BE139" s="40"/>
      <c r="BF139" s="40"/>
      <c r="BG139" s="6">
        <f t="shared" si="106"/>
        <v>-0.9773843811168359</v>
      </c>
      <c r="BH139" s="9">
        <f t="shared" ca="1" si="107"/>
        <v>71.311638912369858</v>
      </c>
      <c r="BI139" s="9">
        <f t="shared" ca="1" si="108"/>
        <v>-29.059825545109497</v>
      </c>
      <c r="BJ139">
        <f t="shared" ca="1" si="109"/>
        <v>77.005345951306666</v>
      </c>
      <c r="BK139" s="6">
        <f t="shared" ca="1" si="110"/>
        <v>0.92606088618136784</v>
      </c>
      <c r="BL139" s="6">
        <f t="shared" ca="1" si="111"/>
        <v>-0.37737413144647258</v>
      </c>
      <c r="BM139" s="6">
        <f t="shared" ca="1" si="112"/>
        <v>-0.38695912781934255</v>
      </c>
      <c r="BN139" s="6">
        <f t="shared" ca="1" si="113"/>
        <v>-0.66249415595153316</v>
      </c>
      <c r="BO139" s="9"/>
      <c r="BT139" s="40"/>
    </row>
    <row r="140" spans="1:72" x14ac:dyDescent="0.25">
      <c r="AS140" s="6">
        <v>-0.73303828583762942</v>
      </c>
      <c r="AT140" s="6">
        <v>-31.461687013247747</v>
      </c>
      <c r="AU140" s="6">
        <v>7.0285175345791098</v>
      </c>
      <c r="AV140" s="6">
        <f t="shared" si="131"/>
        <v>2.9218023418209671</v>
      </c>
      <c r="AW140" s="6">
        <f t="shared" si="132"/>
        <v>3.6548406276585963</v>
      </c>
      <c r="AX140" s="6">
        <f t="shared" si="133"/>
        <v>0.56560785162862226</v>
      </c>
      <c r="AY140" s="6">
        <f t="shared" si="134"/>
        <v>0.56560785162862226</v>
      </c>
      <c r="AZ140" s="47">
        <f t="shared" si="135"/>
        <v>5.5501470213419566</v>
      </c>
      <c r="BA140" s="47">
        <f t="shared" si="136"/>
        <v>2.9218023418209671</v>
      </c>
      <c r="BB140" s="47">
        <f t="shared" si="137"/>
        <v>3.6548406276585963</v>
      </c>
      <c r="BC140" s="47">
        <f t="shared" si="138"/>
        <v>0.56560785162862226</v>
      </c>
      <c r="BD140" s="47">
        <f t="shared" si="139"/>
        <v>0.56560785162862226</v>
      </c>
      <c r="BE140" s="40"/>
      <c r="BF140" s="40"/>
      <c r="BG140" s="6">
        <f t="shared" si="106"/>
        <v>-0.95993108859689258</v>
      </c>
      <c r="BH140" s="9">
        <f t="shared" ca="1" si="107"/>
        <v>71.411398126166532</v>
      </c>
      <c r="BI140" s="9">
        <f t="shared" ca="1" si="108"/>
        <v>-28.95049168088827</v>
      </c>
      <c r="BJ140">
        <f t="shared" ca="1" si="109"/>
        <v>77.056594467307221</v>
      </c>
      <c r="BK140" s="6">
        <f t="shared" ca="1" si="110"/>
        <v>0.92673960768489738</v>
      </c>
      <c r="BL140" s="6">
        <f t="shared" ca="1" si="111"/>
        <v>-0.3757042713997838</v>
      </c>
      <c r="BM140" s="6">
        <f t="shared" ca="1" si="112"/>
        <v>-0.38515660283072256</v>
      </c>
      <c r="BN140" s="6">
        <f t="shared" ca="1" si="113"/>
        <v>-0.66069163096291317</v>
      </c>
      <c r="BO140" s="9"/>
      <c r="BT140" s="40"/>
    </row>
    <row r="141" spans="1:72" x14ac:dyDescent="0.25">
      <c r="AS141" s="6">
        <v>-0.7155849933176861</v>
      </c>
      <c r="AT141" s="6">
        <v>-31.364765564793572</v>
      </c>
      <c r="AU141" s="6">
        <v>7.1221446322093094</v>
      </c>
      <c r="AV141" s="6">
        <f t="shared" si="131"/>
        <v>2.9183043644892921</v>
      </c>
      <c r="AW141" s="6">
        <f t="shared" si="132"/>
        <v>3.6338893578069782</v>
      </c>
      <c r="AX141" s="6">
        <f t="shared" si="133"/>
        <v>0.56210987429694725</v>
      </c>
      <c r="AY141" s="6">
        <f t="shared" si="134"/>
        <v>0.56210987429694725</v>
      </c>
      <c r="AZ141" s="47">
        <f t="shared" si="135"/>
        <v>5.5676003138619006</v>
      </c>
      <c r="BA141" s="47">
        <f t="shared" si="136"/>
        <v>2.9183043644892921</v>
      </c>
      <c r="BB141" s="47">
        <f t="shared" si="137"/>
        <v>3.6338893578069782</v>
      </c>
      <c r="BC141" s="47">
        <f t="shared" si="138"/>
        <v>0.56210987429694725</v>
      </c>
      <c r="BD141" s="47">
        <f t="shared" si="139"/>
        <v>0.56210987429694725</v>
      </c>
      <c r="BE141" s="40"/>
      <c r="BF141" s="40"/>
      <c r="BG141" s="6">
        <f t="shared" si="106"/>
        <v>-0.94247779607694926</v>
      </c>
      <c r="BH141" s="9">
        <f t="shared" ca="1" si="107"/>
        <v>71.509549879449423</v>
      </c>
      <c r="BI141" s="9">
        <f t="shared" ca="1" si="108"/>
        <v>-28.843602452193373</v>
      </c>
      <c r="BJ141">
        <f t="shared" ca="1" si="109"/>
        <v>77.107516665897364</v>
      </c>
      <c r="BK141" s="6">
        <f t="shared" ca="1" si="110"/>
        <v>0.92740050479509506</v>
      </c>
      <c r="BL141" s="6">
        <f t="shared" ca="1" si="111"/>
        <v>-0.37406991820487645</v>
      </c>
      <c r="BM141" s="6">
        <f t="shared" ca="1" si="112"/>
        <v>-0.38339368021163522</v>
      </c>
      <c r="BN141" s="6">
        <f t="shared" ca="1" si="113"/>
        <v>-0.65892870834382589</v>
      </c>
      <c r="BO141" s="9"/>
      <c r="BT141" s="40"/>
    </row>
    <row r="142" spans="1:72" x14ac:dyDescent="0.25">
      <c r="AS142" s="6">
        <v>-0.69813170079774278</v>
      </c>
      <c r="AT142" s="6">
        <v>-31.266678520957701</v>
      </c>
      <c r="AU142" s="6">
        <v>7.2160032776889658</v>
      </c>
      <c r="AV142" s="6">
        <f t="shared" si="131"/>
        <v>2.9147751024999224</v>
      </c>
      <c r="AW142" s="6">
        <f t="shared" si="132"/>
        <v>3.6129068032976654</v>
      </c>
      <c r="AX142" s="6">
        <f t="shared" si="133"/>
        <v>0.55858061230757761</v>
      </c>
      <c r="AY142" s="6">
        <f t="shared" si="134"/>
        <v>0.55858061230757761</v>
      </c>
      <c r="AZ142" s="47">
        <f t="shared" si="135"/>
        <v>5.5850536063818437</v>
      </c>
      <c r="BA142" s="47">
        <f t="shared" si="136"/>
        <v>2.9147751024999224</v>
      </c>
      <c r="BB142" s="47">
        <f t="shared" si="137"/>
        <v>3.6129068032976654</v>
      </c>
      <c r="BC142" s="47">
        <f t="shared" si="138"/>
        <v>0.55858061230757761</v>
      </c>
      <c r="BD142" s="47">
        <f t="shared" si="139"/>
        <v>0.55858061230757761</v>
      </c>
      <c r="BE142" s="40"/>
      <c r="BF142" s="40"/>
      <c r="BG142" s="6">
        <f t="shared" si="106"/>
        <v>-0.92502450355700594</v>
      </c>
      <c r="BH142" s="9">
        <f t="shared" ca="1" si="107"/>
        <v>71.60637321083577</v>
      </c>
      <c r="BI142" s="9">
        <f t="shared" ca="1" si="108"/>
        <v>-28.738908685517348</v>
      </c>
      <c r="BJ142">
        <f t="shared" ca="1" si="109"/>
        <v>77.158263049682517</v>
      </c>
      <c r="BK142" s="6">
        <f t="shared" ca="1" si="110"/>
        <v>0.92804542741881235</v>
      </c>
      <c r="BL142" s="6">
        <f t="shared" ca="1" si="111"/>
        <v>-0.37246702491231881</v>
      </c>
      <c r="BM142" s="6">
        <f t="shared" ca="1" si="112"/>
        <v>-0.38166590915026072</v>
      </c>
      <c r="BN142" s="6">
        <f t="shared" ca="1" si="113"/>
        <v>-0.65720093728245144</v>
      </c>
      <c r="BO142" s="9"/>
      <c r="BT142" s="40"/>
    </row>
    <row r="143" spans="1:72" x14ac:dyDescent="0.25">
      <c r="AS143" s="6">
        <v>-0.68067840827779946</v>
      </c>
      <c r="AT143" s="6">
        <v>-31.167240802872023</v>
      </c>
      <c r="AU143" s="6">
        <v>7.3102849884370551</v>
      </c>
      <c r="AV143" s="6">
        <f t="shared" si="131"/>
        <v>2.9112069219279118</v>
      </c>
      <c r="AW143" s="6">
        <f t="shared" si="132"/>
        <v>3.5918853302057112</v>
      </c>
      <c r="AX143" s="6">
        <f t="shared" si="133"/>
        <v>0.55501243173556691</v>
      </c>
      <c r="AY143" s="6">
        <f t="shared" si="134"/>
        <v>0.55501243173556691</v>
      </c>
      <c r="AZ143" s="47">
        <f t="shared" si="135"/>
        <v>5.6025068989017868</v>
      </c>
      <c r="BA143" s="47">
        <f t="shared" si="136"/>
        <v>2.9112069219279118</v>
      </c>
      <c r="BB143" s="47">
        <f t="shared" si="137"/>
        <v>3.5918853302057112</v>
      </c>
      <c r="BC143" s="47">
        <f t="shared" si="138"/>
        <v>0.55501243173556691</v>
      </c>
      <c r="BD143" s="47">
        <f t="shared" si="139"/>
        <v>0.55501243173556691</v>
      </c>
      <c r="BE143" s="40"/>
      <c r="BF143" s="40"/>
      <c r="BG143" s="6">
        <f t="shared" si="106"/>
        <v>-0.90757121103706262</v>
      </c>
      <c r="BH143" s="9">
        <f t="shared" ca="1" si="107"/>
        <v>71.702121927042754</v>
      </c>
      <c r="BI143" s="9">
        <f t="shared" ca="1" si="108"/>
        <v>-28.636179042971804</v>
      </c>
      <c r="BJ143">
        <f t="shared" ca="1" si="109"/>
        <v>77.208969938872016</v>
      </c>
      <c r="BK143" s="6">
        <f t="shared" ca="1" si="110"/>
        <v>0.92867605906167183</v>
      </c>
      <c r="BL143" s="6">
        <f t="shared" ca="1" si="111"/>
        <v>-0.37089186742995894</v>
      </c>
      <c r="BM143" s="6">
        <f t="shared" ca="1" si="112"/>
        <v>-0.37996920114537519</v>
      </c>
      <c r="BN143" s="6">
        <f t="shared" ca="1" si="113"/>
        <v>-0.65550422927756591</v>
      </c>
      <c r="BO143" s="9"/>
      <c r="BT143" s="40"/>
    </row>
    <row r="144" spans="1:72" x14ac:dyDescent="0.25">
      <c r="AS144" s="6">
        <v>-0.66322511575785614</v>
      </c>
      <c r="AT144" s="6">
        <v>-31.06625898742513</v>
      </c>
      <c r="AU144" s="6">
        <v>7.4051921515885697</v>
      </c>
      <c r="AV144" s="6">
        <f t="shared" si="131"/>
        <v>2.9075916604834475</v>
      </c>
      <c r="AW144" s="6">
        <f t="shared" si="132"/>
        <v>3.5708167762413039</v>
      </c>
      <c r="AX144" s="6">
        <f t="shared" si="133"/>
        <v>0.55139717029110269</v>
      </c>
      <c r="AY144" s="6">
        <f t="shared" si="134"/>
        <v>0.55139717029110269</v>
      </c>
      <c r="AZ144" s="47">
        <f t="shared" si="135"/>
        <v>5.6199601914217299</v>
      </c>
      <c r="BA144" s="47">
        <f t="shared" si="136"/>
        <v>2.9075916604834475</v>
      </c>
      <c r="BB144" s="47">
        <f t="shared" si="137"/>
        <v>3.5708167762413039</v>
      </c>
      <c r="BC144" s="47">
        <f t="shared" si="138"/>
        <v>0.55139717029110269</v>
      </c>
      <c r="BD144" s="47">
        <f t="shared" si="139"/>
        <v>0.55139717029110269</v>
      </c>
      <c r="BE144" s="40"/>
      <c r="BF144" s="40"/>
      <c r="BG144" s="6">
        <f t="shared" ref="BG144:BG207" si="140">AS131</f>
        <v>-0.8901179185171193</v>
      </c>
      <c r="BH144" s="9">
        <f t="shared" ref="BH144:BH207" ca="1" si="141">AT131-$BG$5</f>
        <v>71.797029091325825</v>
      </c>
      <c r="BI144" s="9">
        <f t="shared" ref="BI144:BI207" ca="1" si="142">AU131-$BH$5</f>
        <v>-28.535197229096539</v>
      </c>
      <c r="BJ144">
        <f t="shared" ref="BJ144:BJ207" ca="1" si="143">SQRT(POWER(BH144,2)+POWER(BI144,2))</f>
        <v>77.259762277942102</v>
      </c>
      <c r="BK144" s="6">
        <f t="shared" ref="BK144:BK207" ca="1" si="144">BH144/BJ144</f>
        <v>0.92929394259635323</v>
      </c>
      <c r="BL144" s="6">
        <f t="shared" ref="BL144:BL207" ca="1" si="145">BI144/BJ144</f>
        <v>-0.36934099184050201</v>
      </c>
      <c r="BM144" s="6">
        <f t="shared" ref="BM144:BM207" ca="1" si="146">ATAN2(BK144,BL144)</f>
        <v>-0.37829977136138226</v>
      </c>
      <c r="BN144" s="6">
        <f t="shared" ref="BN144:BN207" ca="1" si="147">BM144-$BJ$11</f>
        <v>-0.65383479949357293</v>
      </c>
      <c r="BO144" s="9"/>
      <c r="BT144" s="40"/>
    </row>
    <row r="145" spans="45:72" x14ac:dyDescent="0.25">
      <c r="AS145" s="6">
        <v>-0.64577182323791282</v>
      </c>
      <c r="AT145" s="6">
        <v>-30.963529337432867</v>
      </c>
      <c r="AU145" s="6">
        <v>7.5009408673107147</v>
      </c>
      <c r="AV145" s="6">
        <f t="shared" si="131"/>
        <v>2.9039205137292008</v>
      </c>
      <c r="AW145" s="6">
        <f t="shared" si="132"/>
        <v>3.5496923369671136</v>
      </c>
      <c r="AX145" s="6">
        <f t="shared" si="133"/>
        <v>0.54772602353685595</v>
      </c>
      <c r="AY145" s="6">
        <f t="shared" si="134"/>
        <v>0.54772602353685595</v>
      </c>
      <c r="AZ145" s="47">
        <f t="shared" si="135"/>
        <v>5.637413483941673</v>
      </c>
      <c r="BA145" s="47">
        <f t="shared" si="136"/>
        <v>2.9039205137292008</v>
      </c>
      <c r="BB145" s="47">
        <f t="shared" si="137"/>
        <v>3.5496923369671136</v>
      </c>
      <c r="BC145" s="47">
        <f t="shared" si="138"/>
        <v>0.54772602353685595</v>
      </c>
      <c r="BD145" s="47">
        <f t="shared" si="139"/>
        <v>0.54772602353685595</v>
      </c>
      <c r="BE145" s="40"/>
      <c r="BF145" s="40"/>
      <c r="BG145" s="6">
        <f t="shared" si="140"/>
        <v>-0.87266462599717598</v>
      </c>
      <c r="BH145" s="9">
        <f t="shared" ca="1" si="141"/>
        <v>71.891310799666655</v>
      </c>
      <c r="BI145" s="9">
        <f t="shared" ca="1" si="142"/>
        <v>-28.435759505419409</v>
      </c>
      <c r="BJ145">
        <f t="shared" ca="1" si="143"/>
        <v>77.310755960243455</v>
      </c>
      <c r="BK145" s="6">
        <f t="shared" ca="1" si="144"/>
        <v>0.92990050228762844</v>
      </c>
      <c r="BL145" s="6">
        <f t="shared" ca="1" si="145"/>
        <v>-0.36781116873365344</v>
      </c>
      <c r="BM145" s="6">
        <f t="shared" ca="1" si="146"/>
        <v>-0.37665408791413107</v>
      </c>
      <c r="BN145" s="6">
        <f t="shared" ca="1" si="147"/>
        <v>-0.65218911604632179</v>
      </c>
      <c r="BO145" s="9"/>
      <c r="BT145" s="40"/>
    </row>
    <row r="146" spans="45:72" x14ac:dyDescent="0.25">
      <c r="AS146" s="6">
        <v>-0.6283185307179695</v>
      </c>
      <c r="AT146" s="6">
        <v>-30.858835574255771</v>
      </c>
      <c r="AU146" s="6">
        <v>7.5977642002767469</v>
      </c>
      <c r="AV146" s="6">
        <f t="shared" si="131"/>
        <v>2.9001839034298404</v>
      </c>
      <c r="AW146" s="6">
        <f t="shared" si="132"/>
        <v>3.5285024341478097</v>
      </c>
      <c r="AX146" s="6">
        <f t="shared" si="133"/>
        <v>0.54398941323749561</v>
      </c>
      <c r="AY146" s="6">
        <f t="shared" si="134"/>
        <v>0.54398941323749561</v>
      </c>
      <c r="AZ146" s="47">
        <f t="shared" si="135"/>
        <v>5.654866776461617</v>
      </c>
      <c r="BA146" s="47">
        <f t="shared" si="136"/>
        <v>2.9001839034298404</v>
      </c>
      <c r="BB146" s="47">
        <f t="shared" si="137"/>
        <v>3.5285024341478097</v>
      </c>
      <c r="BC146" s="47">
        <f t="shared" si="138"/>
        <v>0.54398941323749561</v>
      </c>
      <c r="BD146" s="47">
        <f t="shared" si="139"/>
        <v>0.54398941323749561</v>
      </c>
      <c r="BE146" s="40"/>
      <c r="BF146" s="40"/>
      <c r="BG146" s="6">
        <f t="shared" si="140"/>
        <v>-0.85521133347723266</v>
      </c>
      <c r="BH146" s="9">
        <f t="shared" ca="1" si="141"/>
        <v>71.985169458618614</v>
      </c>
      <c r="BI146" s="9">
        <f t="shared" ca="1" si="142"/>
        <v>-28.337672471819378</v>
      </c>
      <c r="BJ146">
        <f t="shared" ca="1" si="143"/>
        <v>77.362059842704213</v>
      </c>
      <c r="BK146" s="6">
        <f t="shared" ca="1" si="144"/>
        <v>0.93049706283651035</v>
      </c>
      <c r="BL146" s="6">
        <f t="shared" ca="1" si="145"/>
        <v>-0.36629935306061812</v>
      </c>
      <c r="BM146" s="6">
        <f t="shared" ca="1" si="146"/>
        <v>-0.3750288274121914</v>
      </c>
      <c r="BN146" s="6">
        <f t="shared" ca="1" si="147"/>
        <v>-0.65056385554438201</v>
      </c>
      <c r="BO146" s="9"/>
      <c r="BT146" s="40"/>
    </row>
    <row r="147" spans="45:72" x14ac:dyDescent="0.25">
      <c r="AS147" s="6">
        <v>-0.61086523819802618</v>
      </c>
      <c r="AT147" s="6">
        <v>-30.751946350021541</v>
      </c>
      <c r="AU147" s="6">
        <v>7.695915956422926</v>
      </c>
      <c r="AV147" s="6">
        <f t="shared" si="131"/>
        <v>2.8963713234633075</v>
      </c>
      <c r="AW147" s="6">
        <f t="shared" si="132"/>
        <v>3.5072365616613337</v>
      </c>
      <c r="AX147" s="6">
        <f t="shared" si="133"/>
        <v>0.54017683327096266</v>
      </c>
      <c r="AY147" s="6">
        <f t="shared" si="134"/>
        <v>0.54017683327096266</v>
      </c>
      <c r="AZ147" s="47">
        <f t="shared" si="135"/>
        <v>5.67232006898156</v>
      </c>
      <c r="BA147" s="47">
        <f t="shared" si="136"/>
        <v>2.8963713234633075</v>
      </c>
      <c r="BB147" s="47">
        <f t="shared" si="137"/>
        <v>3.5072365616613337</v>
      </c>
      <c r="BC147" s="47">
        <f t="shared" si="138"/>
        <v>0.54017683327096266</v>
      </c>
      <c r="BD147" s="47">
        <f t="shared" si="139"/>
        <v>0.54017683327096266</v>
      </c>
      <c r="BE147" s="40"/>
      <c r="BF147" s="40"/>
      <c r="BG147" s="6">
        <f t="shared" si="140"/>
        <v>-0.83775804095728934</v>
      </c>
      <c r="BH147" s="9">
        <f t="shared" ca="1" si="141"/>
        <v>72.07879655337058</v>
      </c>
      <c r="BI147" s="9">
        <f t="shared" ca="1" si="142"/>
        <v>-28.240751015473574</v>
      </c>
      <c r="BJ147">
        <f t="shared" ca="1" si="143"/>
        <v>77.413777394596622</v>
      </c>
      <c r="BK147" s="6">
        <f t="shared" ca="1" si="144"/>
        <v>0.93108486601768103</v>
      </c>
      <c r="BL147" s="6">
        <f t="shared" ca="1" si="145"/>
        <v>-0.36480264839065635</v>
      </c>
      <c r="BM147" s="6">
        <f t="shared" ca="1" si="146"/>
        <v>-0.37342083549492106</v>
      </c>
      <c r="BN147" s="6">
        <f t="shared" ca="1" si="147"/>
        <v>-0.64895586362711177</v>
      </c>
      <c r="BO147" s="9"/>
      <c r="BT147" s="40"/>
    </row>
    <row r="148" spans="45:72" x14ac:dyDescent="0.25">
      <c r="AS148" s="6">
        <v>-0.59341194567808286</v>
      </c>
      <c r="AT148" s="6">
        <v>-30.642612475762224</v>
      </c>
      <c r="AU148" s="6">
        <v>7.7956751678370511</v>
      </c>
      <c r="AV148" s="6">
        <f t="shared" si="131"/>
        <v>2.8924711573041448</v>
      </c>
      <c r="AW148" s="6">
        <f t="shared" si="132"/>
        <v>3.4858831029822275</v>
      </c>
      <c r="AX148" s="6">
        <f t="shared" si="133"/>
        <v>0.5362766671118</v>
      </c>
      <c r="AY148" s="6">
        <f t="shared" si="134"/>
        <v>0.5362766671118</v>
      </c>
      <c r="AZ148" s="47">
        <f t="shared" si="135"/>
        <v>5.6897733615015031</v>
      </c>
      <c r="BA148" s="47">
        <f t="shared" si="136"/>
        <v>2.8924711573041448</v>
      </c>
      <c r="BB148" s="47">
        <f t="shared" si="137"/>
        <v>3.4858831029822275</v>
      </c>
      <c r="BC148" s="47">
        <f t="shared" si="138"/>
        <v>0.5362766671118</v>
      </c>
      <c r="BD148" s="47">
        <f t="shared" si="139"/>
        <v>0.5362766671118</v>
      </c>
      <c r="BE148" s="40"/>
      <c r="BF148" s="40"/>
      <c r="BG148" s="6">
        <f t="shared" si="140"/>
        <v>-0.82030474843734602</v>
      </c>
      <c r="BH148" s="9">
        <f t="shared" ca="1" si="141"/>
        <v>72.172375193382379</v>
      </c>
      <c r="BI148" s="9">
        <f t="shared" ca="1" si="142"/>
        <v>-28.144816445716195</v>
      </c>
      <c r="BJ148">
        <f t="shared" ca="1" si="143"/>
        <v>77.466008247601167</v>
      </c>
      <c r="BK148" s="6">
        <f t="shared" ca="1" si="144"/>
        <v>0.93166508544884641</v>
      </c>
      <c r="BL148" s="6">
        <f t="shared" ca="1" si="145"/>
        <v>-0.36331827445862663</v>
      </c>
      <c r="BM148" s="6">
        <f t="shared" ca="1" si="146"/>
        <v>-0.37182709113146956</v>
      </c>
      <c r="BN148" s="6">
        <f t="shared" ca="1" si="147"/>
        <v>-0.64736211926366027</v>
      </c>
      <c r="BO148" s="9"/>
      <c r="BT148" s="40"/>
    </row>
    <row r="149" spans="45:72" x14ac:dyDescent="0.25">
      <c r="AS149" s="6">
        <v>-0.57595865315813954</v>
      </c>
      <c r="AT149" s="6">
        <v>-30.530563782054656</v>
      </c>
      <c r="AU149" s="6">
        <v>7.8973514469872779</v>
      </c>
      <c r="AV149" s="6">
        <f t="shared" si="131"/>
        <v>2.8884704602120501</v>
      </c>
      <c r="AW149" s="6">
        <f t="shared" si="132"/>
        <v>3.4644291133701897</v>
      </c>
      <c r="AX149" s="6">
        <f t="shared" si="133"/>
        <v>0.53227597001970528</v>
      </c>
      <c r="AY149" s="6">
        <f t="shared" si="134"/>
        <v>0.53227597001970528</v>
      </c>
      <c r="AZ149" s="47">
        <f t="shared" si="135"/>
        <v>5.7072266540214471</v>
      </c>
      <c r="BA149" s="47">
        <f t="shared" si="136"/>
        <v>2.8884704602120501</v>
      </c>
      <c r="BB149" s="47">
        <f t="shared" si="137"/>
        <v>3.4644291133701897</v>
      </c>
      <c r="BC149" s="47">
        <f t="shared" si="138"/>
        <v>0.53227597001970528</v>
      </c>
      <c r="BD149" s="47">
        <f t="shared" si="139"/>
        <v>0.53227597001970528</v>
      </c>
      <c r="BE149" s="40"/>
      <c r="BF149" s="40"/>
      <c r="BG149" s="6">
        <f t="shared" si="140"/>
        <v>-0.8028514559174027</v>
      </c>
      <c r="BH149" s="9">
        <f t="shared" ca="1" si="141"/>
        <v>72.266082318127047</v>
      </c>
      <c r="BI149" s="9">
        <f t="shared" ca="1" si="142"/>
        <v>-28.049694704314838</v>
      </c>
      <c r="BJ149">
        <f t="shared" ca="1" si="143"/>
        <v>77.518849492336912</v>
      </c>
      <c r="BK149" s="6">
        <f t="shared" ca="1" si="144"/>
        <v>0.93223883986140521</v>
      </c>
      <c r="BL149" s="6">
        <f t="shared" ca="1" si="145"/>
        <v>-0.36184353725589902</v>
      </c>
      <c r="BM149" s="6">
        <f t="shared" ca="1" si="146"/>
        <v>-0.37024467384593474</v>
      </c>
      <c r="BN149" s="6">
        <f t="shared" ca="1" si="147"/>
        <v>-0.6457797019781254</v>
      </c>
      <c r="BO149" s="9"/>
      <c r="BT149" s="40"/>
    </row>
    <row r="150" spans="45:72" x14ac:dyDescent="0.25">
      <c r="AS150" s="6">
        <v>-0.55850536063819622</v>
      </c>
      <c r="AT150" s="6">
        <v>-30.415505303473196</v>
      </c>
      <c r="AU150" s="6">
        <v>8.0012913606817353</v>
      </c>
      <c r="AV150" s="6">
        <f t="shared" si="131"/>
        <v>2.8843546977602919</v>
      </c>
      <c r="AW150" s="6">
        <f t="shared" si="132"/>
        <v>3.4428600583984883</v>
      </c>
      <c r="AX150" s="6">
        <f t="shared" si="133"/>
        <v>0.52816020756794702</v>
      </c>
      <c r="AY150" s="6">
        <f t="shared" si="134"/>
        <v>0.52816020756794702</v>
      </c>
      <c r="AZ150" s="47">
        <f t="shared" si="135"/>
        <v>5.7246799465413902</v>
      </c>
      <c r="BA150" s="47">
        <f t="shared" si="136"/>
        <v>2.8843546977602919</v>
      </c>
      <c r="BB150" s="47">
        <f t="shared" si="137"/>
        <v>3.4428600583984883</v>
      </c>
      <c r="BC150" s="47">
        <f t="shared" si="138"/>
        <v>0.52816020756794702</v>
      </c>
      <c r="BD150" s="47">
        <f t="shared" si="139"/>
        <v>0.52816020756794702</v>
      </c>
      <c r="BE150" s="40"/>
      <c r="BF150" s="40"/>
      <c r="BG150" s="6">
        <f t="shared" si="140"/>
        <v>-0.78539816339745938</v>
      </c>
      <c r="BH150" s="9">
        <f t="shared" ca="1" si="141"/>
        <v>72.360090693122459</v>
      </c>
      <c r="BI150" s="9">
        <f t="shared" ca="1" si="142"/>
        <v>-27.955214633557858</v>
      </c>
      <c r="BJ150">
        <f t="shared" ca="1" si="143"/>
        <v>77.572396832411954</v>
      </c>
      <c r="BK150" s="6">
        <f t="shared" ca="1" si="144"/>
        <v>0.93280720524144423</v>
      </c>
      <c r="BL150" s="6">
        <f t="shared" ca="1" si="145"/>
        <v>-0.36037580086577103</v>
      </c>
      <c r="BM150" s="6">
        <f t="shared" ca="1" si="146"/>
        <v>-0.36867073298696112</v>
      </c>
      <c r="BN150" s="6">
        <f t="shared" ca="1" si="147"/>
        <v>-0.64420576111915184</v>
      </c>
      <c r="BO150" s="9"/>
      <c r="BT150" s="40"/>
    </row>
    <row r="151" spans="45:72" x14ac:dyDescent="0.25">
      <c r="AS151" s="6">
        <v>-0.5410520681182529</v>
      </c>
      <c r="AT151" s="6">
        <v>-30.297113123290266</v>
      </c>
      <c r="AU151" s="6">
        <v>8.1078862704433927</v>
      </c>
      <c r="AV151" s="6">
        <f t="shared" si="131"/>
        <v>2.8801074279294525</v>
      </c>
      <c r="AW151" s="6">
        <f t="shared" si="132"/>
        <v>3.4211594960477054</v>
      </c>
      <c r="AX151" s="6">
        <f t="shared" si="133"/>
        <v>0.52391293773710768</v>
      </c>
      <c r="AY151" s="6">
        <f t="shared" si="134"/>
        <v>0.52391293773710768</v>
      </c>
      <c r="AZ151" s="47">
        <f t="shared" si="135"/>
        <v>5.7421332390613333</v>
      </c>
      <c r="BA151" s="47">
        <f t="shared" si="136"/>
        <v>2.8801074279294525</v>
      </c>
      <c r="BB151" s="47">
        <f t="shared" si="137"/>
        <v>3.4211594960477054</v>
      </c>
      <c r="BC151" s="47">
        <f t="shared" si="138"/>
        <v>0.52391293773710768</v>
      </c>
      <c r="BD151" s="47">
        <f t="shared" si="139"/>
        <v>0.52391293773710768</v>
      </c>
      <c r="BE151" s="40"/>
      <c r="BF151" s="40"/>
      <c r="BG151" s="6">
        <f t="shared" si="140"/>
        <v>-0.76794487087751606</v>
      </c>
      <c r="BH151" s="9">
        <f t="shared" ca="1" si="141"/>
        <v>72.454570756655514</v>
      </c>
      <c r="BI151" s="9">
        <f t="shared" ca="1" si="142"/>
        <v>-27.861206265465825</v>
      </c>
      <c r="BJ151">
        <f t="shared" ca="1" si="143"/>
        <v>77.62674563639797</v>
      </c>
      <c r="BK151" s="6">
        <f t="shared" ca="1" si="144"/>
        <v>0.93337122614969825</v>
      </c>
      <c r="BL151" s="6">
        <f t="shared" ca="1" si="145"/>
        <v>-0.35891246035183705</v>
      </c>
      <c r="BM151" s="6">
        <f t="shared" ca="1" si="146"/>
        <v>-0.36710245828246668</v>
      </c>
      <c r="BN151" s="6">
        <f t="shared" ca="1" si="147"/>
        <v>-0.64263748641465734</v>
      </c>
      <c r="BO151" s="9"/>
      <c r="BT151" s="40"/>
    </row>
    <row r="152" spans="45:72" x14ac:dyDescent="0.25">
      <c r="AS152" s="6">
        <v>-0.52359877559830958</v>
      </c>
      <c r="AT152" s="6">
        <v>-30.175029187198721</v>
      </c>
      <c r="AU152" s="6">
        <v>8.2175818227201809</v>
      </c>
      <c r="AV152" s="6">
        <f t="shared" si="131"/>
        <v>2.8757099134851862</v>
      </c>
      <c r="AW152" s="6">
        <f t="shared" si="132"/>
        <v>3.3993086890834956</v>
      </c>
      <c r="AX152" s="6">
        <f t="shared" si="133"/>
        <v>0.51951542329284139</v>
      </c>
      <c r="AY152" s="6">
        <f t="shared" si="134"/>
        <v>0.51951542329284139</v>
      </c>
      <c r="AZ152" s="47">
        <f t="shared" si="135"/>
        <v>5.7595865315812764</v>
      </c>
      <c r="BA152" s="47">
        <f t="shared" si="136"/>
        <v>2.8757099134851862</v>
      </c>
      <c r="BB152" s="47">
        <f t="shared" si="137"/>
        <v>3.3993086890834956</v>
      </c>
      <c r="BC152" s="47">
        <f t="shared" si="138"/>
        <v>0.51951542329284139</v>
      </c>
      <c r="BD152" s="47">
        <f t="shared" si="139"/>
        <v>0.51951542329284139</v>
      </c>
      <c r="BE152" s="40"/>
      <c r="BF152" s="40"/>
      <c r="BG152" s="6">
        <f t="shared" si="140"/>
        <v>-0.75049157835757274</v>
      </c>
      <c r="BH152" s="9">
        <f t="shared" ca="1" si="141"/>
        <v>72.549692504363506</v>
      </c>
      <c r="BI152" s="9">
        <f t="shared" ca="1" si="142"/>
        <v>-27.767499141982441</v>
      </c>
      <c r="BJ152">
        <f t="shared" ca="1" si="143"/>
        <v>77.681992064298242</v>
      </c>
      <c r="BK152" s="6">
        <f t="shared" ca="1" si="144"/>
        <v>0.9339319265179673</v>
      </c>
      <c r="BL152" s="6">
        <f t="shared" ca="1" si="145"/>
        <v>-0.35745091499454568</v>
      </c>
      <c r="BM152" s="6">
        <f t="shared" ca="1" si="146"/>
        <v>-0.3655370509122241</v>
      </c>
      <c r="BN152" s="6">
        <f t="shared" ca="1" si="147"/>
        <v>-0.64107207904441477</v>
      </c>
      <c r="BO152" s="9"/>
      <c r="BT152" s="40"/>
    </row>
    <row r="153" spans="45:72" x14ac:dyDescent="0.25">
      <c r="AS153" s="6">
        <v>-0.50614548307836627</v>
      </c>
      <c r="AT153" s="6">
        <v>-30.048855400322957</v>
      </c>
      <c r="AU153" s="6">
        <v>8.3308897504565955</v>
      </c>
      <c r="AV153" s="6">
        <f t="shared" si="131"/>
        <v>2.8711406439749934</v>
      </c>
      <c r="AW153" s="6">
        <f t="shared" si="132"/>
        <v>3.3772861270533596</v>
      </c>
      <c r="AX153" s="6">
        <f t="shared" si="133"/>
        <v>0.51494615378264852</v>
      </c>
      <c r="AY153" s="6">
        <f t="shared" si="134"/>
        <v>0.51494615378264852</v>
      </c>
      <c r="AZ153" s="47">
        <f t="shared" si="135"/>
        <v>5.7770398241012195</v>
      </c>
      <c r="BA153" s="47">
        <f t="shared" si="136"/>
        <v>2.8711406439749934</v>
      </c>
      <c r="BB153" s="47">
        <f t="shared" si="137"/>
        <v>3.3772861270533596</v>
      </c>
      <c r="BC153" s="47">
        <f t="shared" si="138"/>
        <v>0.51494615378264852</v>
      </c>
      <c r="BD153" s="47">
        <f t="shared" si="139"/>
        <v>0.51494615378264852</v>
      </c>
      <c r="BE153" s="40"/>
      <c r="BF153" s="40"/>
      <c r="BG153" s="6">
        <f t="shared" si="140"/>
        <v>-0.73303828583762942</v>
      </c>
      <c r="BH153" s="9">
        <f t="shared" ca="1" si="141"/>
        <v>72.645627070807706</v>
      </c>
      <c r="BI153" s="9">
        <f t="shared" ca="1" si="142"/>
        <v>-27.673920493439375</v>
      </c>
      <c r="BJ153">
        <f t="shared" ca="1" si="143"/>
        <v>77.738233887759975</v>
      </c>
      <c r="BK153" s="6">
        <f t="shared" ca="1" si="144"/>
        <v>0.93449032011320099</v>
      </c>
      <c r="BL153" s="6">
        <f t="shared" ca="1" si="145"/>
        <v>-0.3559885414093088</v>
      </c>
      <c r="BM153" s="6">
        <f t="shared" ca="1" si="146"/>
        <v>-0.36397169459165557</v>
      </c>
      <c r="BN153" s="6">
        <f t="shared" ca="1" si="147"/>
        <v>-0.63950672272384623</v>
      </c>
      <c r="BO153" s="9"/>
      <c r="BT153" s="40"/>
    </row>
    <row r="154" spans="45:72" x14ac:dyDescent="0.25">
      <c r="AS154" s="6">
        <v>-0.48869219055842295</v>
      </c>
      <c r="AT154" s="6">
        <v>-29.918146367011804</v>
      </c>
      <c r="AU154" s="6">
        <v>8.4484024870600294</v>
      </c>
      <c r="AV154" s="6">
        <f t="shared" si="131"/>
        <v>2.8663747430598421</v>
      </c>
      <c r="AW154" s="6">
        <f t="shared" si="132"/>
        <v>3.3550669336182652</v>
      </c>
      <c r="AX154" s="6">
        <f t="shared" si="133"/>
        <v>0.51018025286749724</v>
      </c>
      <c r="AY154" s="6">
        <f t="shared" si="134"/>
        <v>0.51018025286749724</v>
      </c>
      <c r="AZ154" s="47">
        <f t="shared" si="135"/>
        <v>5.7944931166211635</v>
      </c>
      <c r="BA154" s="47">
        <f t="shared" si="136"/>
        <v>2.8663747430598421</v>
      </c>
      <c r="BB154" s="47">
        <f t="shared" si="137"/>
        <v>3.3550669336182652</v>
      </c>
      <c r="BC154" s="47">
        <f t="shared" si="138"/>
        <v>0.51018025286749724</v>
      </c>
      <c r="BD154" s="47">
        <f t="shared" si="139"/>
        <v>0.51018025286749724</v>
      </c>
      <c r="BE154" s="40"/>
      <c r="BF154" s="40"/>
      <c r="BG154" s="6">
        <f t="shared" si="140"/>
        <v>-0.7155849933176861</v>
      </c>
      <c r="BH154" s="9">
        <f t="shared" ca="1" si="141"/>
        <v>72.742548519261888</v>
      </c>
      <c r="BI154" s="9">
        <f t="shared" ca="1" si="142"/>
        <v>-27.580293395809175</v>
      </c>
      <c r="BJ154">
        <f t="shared" ca="1" si="143"/>
        <v>77.795571524837356</v>
      </c>
      <c r="BK154" s="6">
        <f t="shared" ca="1" si="144"/>
        <v>0.93504742099667948</v>
      </c>
      <c r="BL154" s="6">
        <f t="shared" ca="1" si="145"/>
        <v>-0.35452266568931584</v>
      </c>
      <c r="BM154" s="6">
        <f t="shared" ca="1" si="146"/>
        <v>-0.36240352574717793</v>
      </c>
      <c r="BN154" s="6">
        <f t="shared" ca="1" si="147"/>
        <v>-0.6379385538793686</v>
      </c>
      <c r="BO154" s="9"/>
      <c r="BT154" s="40"/>
    </row>
    <row r="155" spans="45:72" x14ac:dyDescent="0.25">
      <c r="AS155" s="6">
        <v>-0.47123889803847963</v>
      </c>
      <c r="AT155" s="6">
        <v>-29.782400779804178</v>
      </c>
      <c r="AU155" s="6">
        <v>8.5708115548561068</v>
      </c>
      <c r="AV155" s="6">
        <f t="shared" si="131"/>
        <v>2.8613832268264265</v>
      </c>
      <c r="AW155" s="6">
        <f t="shared" si="132"/>
        <v>3.3326221248649062</v>
      </c>
      <c r="AX155" s="6">
        <f t="shared" si="133"/>
        <v>0.5051887366340817</v>
      </c>
      <c r="AY155" s="6">
        <f t="shared" si="134"/>
        <v>0.5051887366340817</v>
      </c>
      <c r="AZ155" s="47">
        <f t="shared" si="135"/>
        <v>5.8119464091411066</v>
      </c>
      <c r="BA155" s="47">
        <f t="shared" si="136"/>
        <v>2.8613832268264265</v>
      </c>
      <c r="BB155" s="47">
        <f t="shared" si="137"/>
        <v>3.3326221248649062</v>
      </c>
      <c r="BC155" s="47">
        <f t="shared" si="138"/>
        <v>0.5051887366340817</v>
      </c>
      <c r="BD155" s="47">
        <f t="shared" si="139"/>
        <v>0.5051887366340817</v>
      </c>
      <c r="BE155" s="40"/>
      <c r="BF155" s="40"/>
      <c r="BG155" s="6">
        <f t="shared" si="140"/>
        <v>-0.69813170079774278</v>
      </c>
      <c r="BH155" s="9">
        <f t="shared" ca="1" si="141"/>
        <v>72.840635563097763</v>
      </c>
      <c r="BI155" s="9">
        <f t="shared" ca="1" si="142"/>
        <v>-27.486434750329519</v>
      </c>
      <c r="BJ155">
        <f t="shared" ca="1" si="143"/>
        <v>77.854108976470499</v>
      </c>
      <c r="BK155" s="6">
        <f t="shared" ca="1" si="144"/>
        <v>0.93560425417124826</v>
      </c>
      <c r="BL155" s="6">
        <f t="shared" ca="1" si="145"/>
        <v>-0.35305053402687608</v>
      </c>
      <c r="BM155" s="6">
        <f t="shared" ca="1" si="146"/>
        <v>-0.36082960220162397</v>
      </c>
      <c r="BN155" s="6">
        <f t="shared" ca="1" si="147"/>
        <v>-0.63636463033381463</v>
      </c>
      <c r="BO155" s="9"/>
      <c r="BT155" s="40"/>
    </row>
    <row r="156" spans="45:72" x14ac:dyDescent="0.25">
      <c r="AS156" s="6">
        <v>-0.45378560551853631</v>
      </c>
      <c r="AT156" s="6">
        <v>-29.641050831406226</v>
      </c>
      <c r="AU156" s="6">
        <v>8.6989307940515879</v>
      </c>
      <c r="AV156" s="6">
        <f t="shared" si="131"/>
        <v>2.8561320687253171</v>
      </c>
      <c r="AW156" s="6">
        <f t="shared" si="132"/>
        <v>3.3099176742438532</v>
      </c>
      <c r="AX156" s="6">
        <f t="shared" si="133"/>
        <v>0.49993757853297227</v>
      </c>
      <c r="AY156" s="6">
        <f t="shared" si="134"/>
        <v>0.49993757853297227</v>
      </c>
      <c r="AZ156" s="47">
        <f t="shared" si="135"/>
        <v>5.8293997016610497</v>
      </c>
      <c r="BA156" s="47">
        <f t="shared" si="136"/>
        <v>2.8561320687253171</v>
      </c>
      <c r="BB156" s="47">
        <f t="shared" si="137"/>
        <v>3.3099176742438532</v>
      </c>
      <c r="BC156" s="47">
        <f t="shared" si="138"/>
        <v>0.49993757853297227</v>
      </c>
      <c r="BD156" s="47">
        <f t="shared" si="139"/>
        <v>0.49993757853297227</v>
      </c>
      <c r="BE156" s="40"/>
      <c r="BF156" s="40"/>
      <c r="BG156" s="6">
        <f t="shared" si="140"/>
        <v>-0.68067840827779946</v>
      </c>
      <c r="BH156" s="9">
        <f t="shared" ca="1" si="141"/>
        <v>72.94007328118343</v>
      </c>
      <c r="BI156" s="9">
        <f t="shared" ca="1" si="142"/>
        <v>-27.39215303958143</v>
      </c>
      <c r="BJ156">
        <f t="shared" ca="1" si="143"/>
        <v>77.913954709078013</v>
      </c>
      <c r="BK156" s="6">
        <f t="shared" ca="1" si="144"/>
        <v>0.93616186668400414</v>
      </c>
      <c r="BL156" s="6">
        <f t="shared" ca="1" si="145"/>
        <v>-0.35156928103393886</v>
      </c>
      <c r="BM156" s="6">
        <f t="shared" ca="1" si="146"/>
        <v>-0.35924686954371743</v>
      </c>
      <c r="BN156" s="6">
        <f t="shared" ca="1" si="147"/>
        <v>-0.63478189767590809</v>
      </c>
      <c r="BO156" s="9"/>
      <c r="BT156" s="40"/>
    </row>
    <row r="157" spans="45:72" x14ac:dyDescent="0.25">
      <c r="AS157" s="6">
        <v>-0.43633231299859299</v>
      </c>
      <c r="AT157" s="6">
        <v>-29.493449296403327</v>
      </c>
      <c r="AU157" s="6">
        <v>8.8337260456091506</v>
      </c>
      <c r="AV157" s="6">
        <f t="shared" si="131"/>
        <v>2.8505810101531188</v>
      </c>
      <c r="AW157" s="6">
        <f t="shared" si="132"/>
        <v>3.2869133231517118</v>
      </c>
      <c r="AX157" s="6">
        <f t="shared" si="133"/>
        <v>0.49438651996077398</v>
      </c>
      <c r="AY157" s="6">
        <f t="shared" si="134"/>
        <v>0.49438651996077398</v>
      </c>
      <c r="AZ157" s="47">
        <f t="shared" si="135"/>
        <v>5.8468529941809937</v>
      </c>
      <c r="BA157" s="47">
        <f t="shared" si="136"/>
        <v>2.8505810101531188</v>
      </c>
      <c r="BB157" s="47">
        <f t="shared" si="137"/>
        <v>3.2869133231517118</v>
      </c>
      <c r="BC157" s="47">
        <f t="shared" si="138"/>
        <v>0.49438651996077398</v>
      </c>
      <c r="BD157" s="47">
        <f t="shared" si="139"/>
        <v>0.49438651996077398</v>
      </c>
      <c r="BE157" s="40"/>
      <c r="BF157" s="40"/>
      <c r="BG157" s="6">
        <f t="shared" si="140"/>
        <v>-0.66322511575785614</v>
      </c>
      <c r="BH157" s="9">
        <f t="shared" ca="1" si="141"/>
        <v>73.04105509663033</v>
      </c>
      <c r="BI157" s="9">
        <f t="shared" ca="1" si="142"/>
        <v>-27.297245876429916</v>
      </c>
      <c r="BJ157">
        <f t="shared" ca="1" si="143"/>
        <v>77.97522274458251</v>
      </c>
      <c r="BK157" s="6">
        <f t="shared" ca="1" si="144"/>
        <v>0.93672133949376901</v>
      </c>
      <c r="BL157" s="6">
        <f t="shared" ca="1" si="145"/>
        <v>-0.35007589482424978</v>
      </c>
      <c r="BM157" s="6">
        <f t="shared" ca="1" si="146"/>
        <v>-0.35765212419252496</v>
      </c>
      <c r="BN157" s="6">
        <f t="shared" ca="1" si="147"/>
        <v>-0.63318715232471567</v>
      </c>
      <c r="BO157" s="9"/>
      <c r="BT157" s="40"/>
    </row>
    <row r="158" spans="45:72" x14ac:dyDescent="0.25">
      <c r="AS158" s="6">
        <v>-0.41887902047864967</v>
      </c>
      <c r="AT158" s="6">
        <v>-29.338853590807194</v>
      </c>
      <c r="AU158" s="6">
        <v>8.9763534206107121</v>
      </c>
      <c r="AV158" s="6">
        <f t="shared" si="131"/>
        <v>2.8446820341152352</v>
      </c>
      <c r="AW158" s="6">
        <f t="shared" si="132"/>
        <v>3.2635610545938851</v>
      </c>
      <c r="AX158" s="6">
        <f t="shared" si="133"/>
        <v>0.4884875439228904</v>
      </c>
      <c r="AY158" s="6">
        <f t="shared" si="134"/>
        <v>0.4884875439228904</v>
      </c>
      <c r="AZ158" s="47">
        <f t="shared" si="135"/>
        <v>5.8643062867009368</v>
      </c>
      <c r="BA158" s="47">
        <f t="shared" si="136"/>
        <v>2.8446820341152352</v>
      </c>
      <c r="BB158" s="47">
        <f t="shared" si="137"/>
        <v>3.2635610545938851</v>
      </c>
      <c r="BC158" s="47">
        <f t="shared" si="138"/>
        <v>0.4884875439228904</v>
      </c>
      <c r="BD158" s="47">
        <f t="shared" si="139"/>
        <v>0.4884875439228904</v>
      </c>
      <c r="BE158" s="40"/>
      <c r="BF158" s="40"/>
      <c r="BG158" s="6">
        <f t="shared" si="140"/>
        <v>-0.64577182323791282</v>
      </c>
      <c r="BH158" s="9">
        <f t="shared" ca="1" si="141"/>
        <v>73.1437847466226</v>
      </c>
      <c r="BI158" s="9">
        <f t="shared" ca="1" si="142"/>
        <v>-27.20149716070777</v>
      </c>
      <c r="BJ158">
        <f t="shared" ca="1" si="143"/>
        <v>78.038033642860668</v>
      </c>
      <c r="BK158" s="6">
        <f t="shared" ca="1" si="144"/>
        <v>0.9372838003756413</v>
      </c>
      <c r="BL158" s="6">
        <f t="shared" ca="1" si="145"/>
        <v>-0.34856717796343795</v>
      </c>
      <c r="BM158" s="6">
        <f t="shared" ca="1" si="146"/>
        <v>-0.35604197222147965</v>
      </c>
      <c r="BN158" s="6">
        <f t="shared" ca="1" si="147"/>
        <v>-0.63157700035367026</v>
      </c>
      <c r="BO158" s="9"/>
      <c r="BT158" s="40"/>
    </row>
    <row r="159" spans="45:72" x14ac:dyDescent="0.25">
      <c r="AS159" s="6">
        <v>-0.40142572795870635</v>
      </c>
      <c r="AT159" s="6">
        <v>-29.176405777515217</v>
      </c>
      <c r="AU159" s="6">
        <v>9.1282090797944271</v>
      </c>
      <c r="AV159" s="6">
        <f t="shared" si="131"/>
        <v>2.8383773882783143</v>
      </c>
      <c r="AW159" s="6">
        <f t="shared" si="132"/>
        <v>3.2398031162370207</v>
      </c>
      <c r="AX159" s="6">
        <f t="shared" si="133"/>
        <v>0.48218289808596948</v>
      </c>
      <c r="AY159" s="6">
        <f t="shared" si="134"/>
        <v>0.48218289808596948</v>
      </c>
      <c r="AZ159" s="47">
        <f t="shared" si="135"/>
        <v>5.8817595792208799</v>
      </c>
      <c r="BA159" s="47">
        <f t="shared" si="136"/>
        <v>2.8383773882783143</v>
      </c>
      <c r="BB159" s="47">
        <f t="shared" si="137"/>
        <v>3.2398031162370207</v>
      </c>
      <c r="BC159" s="47">
        <f t="shared" si="138"/>
        <v>0.48218289808596948</v>
      </c>
      <c r="BD159" s="47">
        <f t="shared" si="139"/>
        <v>0.48218289808596948</v>
      </c>
      <c r="BE159" s="40"/>
      <c r="BF159" s="40"/>
      <c r="BG159" s="6">
        <f t="shared" si="140"/>
        <v>-0.6283185307179695</v>
      </c>
      <c r="BH159" s="9">
        <f t="shared" ca="1" si="141"/>
        <v>73.248478509799696</v>
      </c>
      <c r="BI159" s="9">
        <f t="shared" ca="1" si="142"/>
        <v>-27.104673827741738</v>
      </c>
      <c r="BJ159">
        <f t="shared" ca="1" si="143"/>
        <v>78.102515627275778</v>
      </c>
      <c r="BK159" s="6">
        <f t="shared" ca="1" si="144"/>
        <v>0.93785043825424619</v>
      </c>
      <c r="BL159" s="6">
        <f t="shared" ca="1" si="145"/>
        <v>-0.34703970301151171</v>
      </c>
      <c r="BM159" s="6">
        <f t="shared" ca="1" si="146"/>
        <v>-0.35441278260657211</v>
      </c>
      <c r="BN159" s="6">
        <f t="shared" ca="1" si="147"/>
        <v>-0.62994781073876283</v>
      </c>
      <c r="BO159" s="9"/>
      <c r="BT159" s="40"/>
    </row>
    <row r="160" spans="45:72" x14ac:dyDescent="0.25">
      <c r="AS160" s="6">
        <v>-0.38397243543876303</v>
      </c>
      <c r="AT160" s="6">
        <v>-29.00510746461979</v>
      </c>
      <c r="AU160" s="6">
        <v>9.290994754929919</v>
      </c>
      <c r="AV160" s="6">
        <f t="shared" si="131"/>
        <v>2.8315969984370972</v>
      </c>
      <c r="AW160" s="6">
        <f t="shared" si="132"/>
        <v>3.21556943387586</v>
      </c>
      <c r="AX160" s="6">
        <f t="shared" si="133"/>
        <v>0.47540250824475239</v>
      </c>
      <c r="AY160" s="6">
        <f t="shared" si="134"/>
        <v>0.47540250824475239</v>
      </c>
      <c r="AZ160" s="47">
        <f t="shared" si="135"/>
        <v>5.899212871740823</v>
      </c>
      <c r="BA160" s="47">
        <f t="shared" si="136"/>
        <v>2.8315969984370972</v>
      </c>
      <c r="BB160" s="47">
        <f t="shared" si="137"/>
        <v>3.21556943387586</v>
      </c>
      <c r="BC160" s="47">
        <f t="shared" si="138"/>
        <v>0.47540250824475239</v>
      </c>
      <c r="BD160" s="47">
        <f t="shared" si="139"/>
        <v>0.47540250824475239</v>
      </c>
      <c r="BE160" s="40"/>
      <c r="BF160" s="40"/>
      <c r="BG160" s="6">
        <f t="shared" si="140"/>
        <v>-0.61086523819802618</v>
      </c>
      <c r="BH160" s="9">
        <f t="shared" ca="1" si="141"/>
        <v>73.355367734033919</v>
      </c>
      <c r="BI160" s="9">
        <f t="shared" ca="1" si="142"/>
        <v>-27.006522071595558</v>
      </c>
      <c r="BJ160">
        <f t="shared" ca="1" si="143"/>
        <v>78.168805861410746</v>
      </c>
      <c r="BK160" s="6">
        <f t="shared" ca="1" si="144"/>
        <v>0.93842251938822241</v>
      </c>
      <c r="BL160" s="6">
        <f t="shared" ca="1" si="145"/>
        <v>-0.34548976121596031</v>
      </c>
      <c r="BM160" s="6">
        <f t="shared" ca="1" si="146"/>
        <v>-0.35276063339589525</v>
      </c>
      <c r="BN160" s="6">
        <f t="shared" ca="1" si="147"/>
        <v>-0.62829566152808591</v>
      </c>
      <c r="BO160" s="9"/>
      <c r="BT160" s="40"/>
    </row>
    <row r="161" spans="45:72" x14ac:dyDescent="0.25">
      <c r="AS161" s="6">
        <v>-0.36651914291881971</v>
      </c>
      <c r="AT161" s="6">
        <v>-28.823787806079853</v>
      </c>
      <c r="AU161" s="6">
        <v>9.4668049173243745</v>
      </c>
      <c r="AV161" s="6">
        <f t="shared" si="131"/>
        <v>2.8242550488374381</v>
      </c>
      <c r="AW161" s="6">
        <f t="shared" si="132"/>
        <v>3.1907741917562578</v>
      </c>
      <c r="AX161" s="6">
        <f t="shared" si="133"/>
        <v>0.46806055864509322</v>
      </c>
      <c r="AY161" s="6">
        <f t="shared" si="134"/>
        <v>0.46806055864509322</v>
      </c>
      <c r="AZ161" s="47">
        <f t="shared" si="135"/>
        <v>5.9166661642607661</v>
      </c>
      <c r="BA161" s="47">
        <f t="shared" si="136"/>
        <v>2.8242550488374381</v>
      </c>
      <c r="BB161" s="47">
        <f t="shared" si="137"/>
        <v>3.1907741917562578</v>
      </c>
      <c r="BC161" s="47">
        <f t="shared" si="138"/>
        <v>0.46806055864509322</v>
      </c>
      <c r="BD161" s="47">
        <f t="shared" si="139"/>
        <v>0.46806055864509322</v>
      </c>
      <c r="BE161" s="40"/>
      <c r="BF161" s="40"/>
      <c r="BG161" s="6">
        <f t="shared" si="140"/>
        <v>-0.59341194567808286</v>
      </c>
      <c r="BH161" s="9">
        <f t="shared" ca="1" si="141"/>
        <v>73.46470160829324</v>
      </c>
      <c r="BI161" s="9">
        <f t="shared" ca="1" si="142"/>
        <v>-26.906762860181434</v>
      </c>
      <c r="BJ161">
        <f t="shared" ca="1" si="143"/>
        <v>78.237051772223637</v>
      </c>
      <c r="BK161" s="6">
        <f t="shared" ca="1" si="144"/>
        <v>0.93900140590900028</v>
      </c>
      <c r="BL161" s="6">
        <f t="shared" ca="1" si="145"/>
        <v>-0.34391330259372188</v>
      </c>
      <c r="BM161" s="6">
        <f t="shared" ca="1" si="146"/>
        <v>-0.35108124896866477</v>
      </c>
      <c r="BN161" s="6">
        <f t="shared" ca="1" si="147"/>
        <v>-0.62661627710085543</v>
      </c>
      <c r="BO161" s="9"/>
      <c r="BT161" s="40"/>
    </row>
    <row r="162" spans="45:72" x14ac:dyDescent="0.25">
      <c r="AS162" s="6">
        <v>-0.34906585039887639</v>
      </c>
      <c r="AT162" s="6">
        <v>-28.631062410991056</v>
      </c>
      <c r="AU162" s="6">
        <v>9.6582442359265706</v>
      </c>
      <c r="AV162" s="6">
        <f t="shared" si="131"/>
        <v>2.8162454098544574</v>
      </c>
      <c r="AW162" s="6">
        <f t="shared" si="132"/>
        <v>3.1653112602533335</v>
      </c>
      <c r="AX162" s="6">
        <f t="shared" si="133"/>
        <v>0.46005091966211253</v>
      </c>
      <c r="AY162" s="6">
        <f t="shared" si="134"/>
        <v>0.46005091966211253</v>
      </c>
      <c r="AZ162" s="47">
        <f t="shared" si="135"/>
        <v>5.9341194567807101</v>
      </c>
      <c r="BA162" s="47">
        <f t="shared" si="136"/>
        <v>2.8162454098544574</v>
      </c>
      <c r="BB162" s="47">
        <f t="shared" si="137"/>
        <v>3.1653112602533335</v>
      </c>
      <c r="BC162" s="47">
        <f t="shared" si="138"/>
        <v>0.46005091966211253</v>
      </c>
      <c r="BD162" s="47">
        <f t="shared" si="139"/>
        <v>0.46005091966211253</v>
      </c>
      <c r="BE162" s="40"/>
      <c r="BF162" s="40"/>
      <c r="BG162" s="6">
        <f t="shared" si="140"/>
        <v>-0.57595865315813954</v>
      </c>
      <c r="BH162" s="9">
        <f t="shared" ca="1" si="141"/>
        <v>73.576750302000804</v>
      </c>
      <c r="BI162" s="9">
        <f t="shared" ca="1" si="142"/>
        <v>-26.805086581031205</v>
      </c>
      <c r="BJ162">
        <f t="shared" ca="1" si="143"/>
        <v>78.307412494728453</v>
      </c>
      <c r="BK162" s="6">
        <f t="shared" ca="1" si="144"/>
        <v>0.93958857735152324</v>
      </c>
      <c r="BL162" s="6">
        <f t="shared" ca="1" si="145"/>
        <v>-0.34230586514189426</v>
      </c>
      <c r="BM162" s="6">
        <f t="shared" ca="1" si="146"/>
        <v>-0.34936992603619699</v>
      </c>
      <c r="BN162" s="6">
        <f t="shared" ca="1" si="147"/>
        <v>-0.62490495416838765</v>
      </c>
      <c r="BO162" s="9"/>
      <c r="BT162" s="40"/>
    </row>
    <row r="163" spans="45:72" x14ac:dyDescent="0.25">
      <c r="AS163" s="6">
        <v>-0.33161255787893307</v>
      </c>
      <c r="AT163" s="6">
        <v>-28.425279799597313</v>
      </c>
      <c r="AU163" s="6">
        <v>9.8685879255895266</v>
      </c>
      <c r="AV163" s="6">
        <f t="shared" si="131"/>
        <v>2.8074354513093542</v>
      </c>
      <c r="AW163" s="6">
        <f t="shared" si="132"/>
        <v>3.1390480091882873</v>
      </c>
      <c r="AX163" s="6">
        <f t="shared" si="133"/>
        <v>0.4512409611170094</v>
      </c>
      <c r="AY163" s="6">
        <f t="shared" si="134"/>
        <v>0.4512409611170094</v>
      </c>
      <c r="AZ163" s="47">
        <f t="shared" si="135"/>
        <v>5.9515727493006532</v>
      </c>
      <c r="BA163" s="47">
        <f t="shared" si="136"/>
        <v>2.8074354513093542</v>
      </c>
      <c r="BB163" s="47">
        <f t="shared" si="137"/>
        <v>3.1390480091882873</v>
      </c>
      <c r="BC163" s="47">
        <f t="shared" si="138"/>
        <v>0.4512409611170094</v>
      </c>
      <c r="BD163" s="47">
        <f t="shared" si="139"/>
        <v>0.4512409611170094</v>
      </c>
      <c r="BE163" s="40"/>
      <c r="BF163" s="40"/>
      <c r="BG163" s="6">
        <f t="shared" si="140"/>
        <v>-0.55850536063819622</v>
      </c>
      <c r="BH163" s="9">
        <f t="shared" ca="1" si="141"/>
        <v>73.691808780582264</v>
      </c>
      <c r="BI163" s="9">
        <f t="shared" ca="1" si="142"/>
        <v>-26.701146667336751</v>
      </c>
      <c r="BJ163">
        <f t="shared" ca="1" si="143"/>
        <v>78.380060695973754</v>
      </c>
      <c r="BK163" s="6">
        <f t="shared" ca="1" si="144"/>
        <v>0.94018565597216597</v>
      </c>
      <c r="BL163" s="6">
        <f t="shared" ca="1" si="145"/>
        <v>-0.34066249030996659</v>
      </c>
      <c r="BM163" s="6">
        <f t="shared" ca="1" si="146"/>
        <v>-0.34762144541110945</v>
      </c>
      <c r="BN163" s="6">
        <f t="shared" ca="1" si="147"/>
        <v>-0.62315647354330017</v>
      </c>
      <c r="BO163" s="9"/>
      <c r="BT163" s="40"/>
    </row>
    <row r="164" spans="45:72" x14ac:dyDescent="0.25">
      <c r="AS164" s="6">
        <v>-0.31415926535898975</v>
      </c>
      <c r="AT164" s="6">
        <v>-28.204450865830971</v>
      </c>
      <c r="AU164" s="6">
        <v>10.102003919634107</v>
      </c>
      <c r="AV164" s="6">
        <f t="shared" si="131"/>
        <v>2.7976575644413315</v>
      </c>
      <c r="AW164" s="6">
        <f t="shared" si="132"/>
        <v>3.111816829800321</v>
      </c>
      <c r="AX164" s="6">
        <f t="shared" si="133"/>
        <v>0.44146307424898668</v>
      </c>
      <c r="AY164" s="6">
        <f t="shared" si="134"/>
        <v>0.44146307424898668</v>
      </c>
      <c r="AZ164" s="47">
        <f t="shared" si="135"/>
        <v>5.9690260418205963</v>
      </c>
      <c r="BA164" s="47">
        <f t="shared" si="136"/>
        <v>2.7976575644413315</v>
      </c>
      <c r="BB164" s="47">
        <f t="shared" si="137"/>
        <v>3.111816829800321</v>
      </c>
      <c r="BC164" s="47">
        <f t="shared" si="138"/>
        <v>0.44146307424898668</v>
      </c>
      <c r="BD164" s="47">
        <f t="shared" si="139"/>
        <v>0.44146307424898668</v>
      </c>
      <c r="BE164" s="40"/>
      <c r="BF164" s="40"/>
      <c r="BG164" s="6">
        <f t="shared" si="140"/>
        <v>-0.5410520681182529</v>
      </c>
      <c r="BH164" s="9">
        <f t="shared" ca="1" si="141"/>
        <v>73.810200960765201</v>
      </c>
      <c r="BI164" s="9">
        <f t="shared" ca="1" si="142"/>
        <v>-26.59455175757509</v>
      </c>
      <c r="BJ164">
        <f t="shared" ca="1" si="143"/>
        <v>78.455184335102317</v>
      </c>
      <c r="BK164" s="6">
        <f t="shared" ca="1" si="144"/>
        <v>0.94079443680232533</v>
      </c>
      <c r="BL164" s="6">
        <f t="shared" ca="1" si="145"/>
        <v>-0.33897762121089287</v>
      </c>
      <c r="BM164" s="6">
        <f t="shared" ca="1" si="146"/>
        <v>-0.34582996590005266</v>
      </c>
      <c r="BN164" s="6">
        <f t="shared" ca="1" si="147"/>
        <v>-0.62136499403224332</v>
      </c>
      <c r="BO164" s="9"/>
      <c r="BT164" s="40"/>
    </row>
    <row r="165" spans="45:72" x14ac:dyDescent="0.25">
      <c r="AS165" s="6">
        <v>-0.29670597283904643</v>
      </c>
      <c r="AT165" s="6">
        <v>-27.966154531238466</v>
      </c>
      <c r="AU165" s="6">
        <v>10.363865646983616</v>
      </c>
      <c r="AV165" s="6">
        <f t="shared" si="131"/>
        <v>2.7866973865255109</v>
      </c>
      <c r="AW165" s="6">
        <f t="shared" si="132"/>
        <v>3.0834033593645573</v>
      </c>
      <c r="AX165" s="6">
        <f t="shared" si="133"/>
        <v>0.43050289633316607</v>
      </c>
      <c r="AY165" s="6">
        <f t="shared" si="134"/>
        <v>0.43050289633316607</v>
      </c>
      <c r="AZ165" s="47">
        <f t="shared" si="135"/>
        <v>5.9864793343405402</v>
      </c>
      <c r="BA165" s="47">
        <f t="shared" si="136"/>
        <v>2.7866973865255109</v>
      </c>
      <c r="BB165" s="47">
        <f t="shared" si="137"/>
        <v>3.0834033593645573</v>
      </c>
      <c r="BC165" s="47">
        <f t="shared" si="138"/>
        <v>0.43050289633316607</v>
      </c>
      <c r="BD165" s="47">
        <f t="shared" si="139"/>
        <v>0.43050289633316607</v>
      </c>
      <c r="BE165" s="40"/>
      <c r="BF165" s="40"/>
      <c r="BG165" s="6">
        <f t="shared" si="140"/>
        <v>-0.52359877559830958</v>
      </c>
      <c r="BH165" s="9">
        <f t="shared" ca="1" si="141"/>
        <v>73.932284896856743</v>
      </c>
      <c r="BI165" s="9">
        <f t="shared" ca="1" si="142"/>
        <v>-26.484856205298303</v>
      </c>
      <c r="BJ165">
        <f t="shared" ca="1" si="143"/>
        <v>78.532988980971041</v>
      </c>
      <c r="BK165" s="6">
        <f t="shared" ca="1" si="144"/>
        <v>0.94141692371814512</v>
      </c>
      <c r="BL165" s="6">
        <f t="shared" ca="1" si="145"/>
        <v>-0.33724497881668203</v>
      </c>
      <c r="BM165" s="6">
        <f t="shared" ca="1" si="146"/>
        <v>-0.34398889540058802</v>
      </c>
      <c r="BN165" s="6">
        <f t="shared" ca="1" si="147"/>
        <v>-0.61952392353277874</v>
      </c>
      <c r="BO165" s="9"/>
      <c r="BT165" s="40"/>
    </row>
    <row r="166" spans="45:72" x14ac:dyDescent="0.25">
      <c r="AS166" s="6">
        <v>-0.27925268031910311</v>
      </c>
      <c r="AT166" s="6">
        <v>-27.788540058453187</v>
      </c>
      <c r="AU166" s="6">
        <v>10.59537476931785</v>
      </c>
      <c r="AV166" s="6">
        <f t="shared" si="131"/>
        <v>2.7773225955097094</v>
      </c>
      <c r="AW166" s="6">
        <f t="shared" si="132"/>
        <v>3.0565752758288127</v>
      </c>
      <c r="AX166" s="6">
        <f t="shared" si="133"/>
        <v>0.42112810531736455</v>
      </c>
      <c r="AY166" s="6">
        <f t="shared" si="134"/>
        <v>0.42112810531736455</v>
      </c>
      <c r="AZ166" s="47">
        <f t="shared" si="135"/>
        <v>6.0039326268604833</v>
      </c>
      <c r="BA166" s="47">
        <f t="shared" si="136"/>
        <v>2.7773225955097094</v>
      </c>
      <c r="BB166" s="47">
        <f t="shared" si="137"/>
        <v>3.0565752758288127</v>
      </c>
      <c r="BC166" s="47">
        <f t="shared" si="138"/>
        <v>0.42112810531736455</v>
      </c>
      <c r="BD166" s="47">
        <f t="shared" si="139"/>
        <v>0.42112810531736455</v>
      </c>
      <c r="BE166" s="40"/>
      <c r="BF166" s="40"/>
      <c r="BG166" s="6">
        <f t="shared" si="140"/>
        <v>-0.50614548307836627</v>
      </c>
      <c r="BH166" s="9">
        <f t="shared" ca="1" si="141"/>
        <v>74.058458683732511</v>
      </c>
      <c r="BI166" s="9">
        <f t="shared" ca="1" si="142"/>
        <v>-26.371548277561889</v>
      </c>
      <c r="BJ166">
        <f t="shared" ca="1" si="143"/>
        <v>78.613700212913869</v>
      </c>
      <c r="BK166" s="6">
        <f t="shared" ca="1" si="144"/>
        <v>0.94205537308580889</v>
      </c>
      <c r="BL166" s="6">
        <f t="shared" ca="1" si="145"/>
        <v>-0.33545741017326947</v>
      </c>
      <c r="BM166" s="6">
        <f t="shared" ca="1" si="146"/>
        <v>-0.34209073304404558</v>
      </c>
      <c r="BN166" s="6">
        <f t="shared" ca="1" si="147"/>
        <v>-0.61762576117623624</v>
      </c>
      <c r="BO166" s="9"/>
      <c r="BT166" s="40"/>
    </row>
    <row r="167" spans="45:72" x14ac:dyDescent="0.25">
      <c r="AS167" s="6">
        <v>-0.26179938779915979</v>
      </c>
      <c r="AT167" s="6">
        <v>-27.621333227215828</v>
      </c>
      <c r="AU167" s="6">
        <v>10.83996611032285</v>
      </c>
      <c r="AV167" s="6">
        <f t="shared" si="131"/>
        <v>2.7676126129013841</v>
      </c>
      <c r="AW167" s="6">
        <f t="shared" si="132"/>
        <v>3.0294120007005438</v>
      </c>
      <c r="AX167" s="6">
        <f t="shared" si="133"/>
        <v>0.41141812270903921</v>
      </c>
      <c r="AY167" s="6">
        <f t="shared" si="134"/>
        <v>0.41141812270903921</v>
      </c>
      <c r="AZ167" s="47">
        <f t="shared" si="135"/>
        <v>6.0213859193804264</v>
      </c>
      <c r="BA167" s="47">
        <f t="shared" si="136"/>
        <v>2.7676126129013841</v>
      </c>
      <c r="BB167" s="47">
        <f t="shared" si="137"/>
        <v>3.0294120007005438</v>
      </c>
      <c r="BC167" s="47">
        <f t="shared" si="138"/>
        <v>0.41141812270903921</v>
      </c>
      <c r="BD167" s="47">
        <f t="shared" si="139"/>
        <v>0.41141812270903921</v>
      </c>
      <c r="BE167" s="40"/>
      <c r="BF167" s="40"/>
      <c r="BG167" s="6">
        <f t="shared" si="140"/>
        <v>-0.48869219055842295</v>
      </c>
      <c r="BH167" s="9">
        <f t="shared" ca="1" si="141"/>
        <v>74.189167717043659</v>
      </c>
      <c r="BI167" s="9">
        <f t="shared" ca="1" si="142"/>
        <v>-26.254035540958455</v>
      </c>
      <c r="BJ167">
        <f t="shared" ca="1" si="143"/>
        <v>78.697566599822778</v>
      </c>
      <c r="BK167" s="6">
        <f t="shared" ca="1" si="144"/>
        <v>0.94271234705763729</v>
      </c>
      <c r="BL167" s="6">
        <f t="shared" ca="1" si="145"/>
        <v>-0.33360670062976988</v>
      </c>
      <c r="BM167" s="6">
        <f t="shared" ca="1" si="146"/>
        <v>-0.34012687412508052</v>
      </c>
      <c r="BN167" s="6">
        <f t="shared" ca="1" si="147"/>
        <v>-0.61566190225727113</v>
      </c>
      <c r="BO167" s="9"/>
      <c r="BT167" s="40"/>
    </row>
    <row r="168" spans="45:72" x14ac:dyDescent="0.25">
      <c r="AS168" s="6">
        <v>-0.2443460952792165</v>
      </c>
      <c r="AT168" s="6">
        <v>-27.435067144706117</v>
      </c>
      <c r="AU168" s="6">
        <v>11.128177728862997</v>
      </c>
      <c r="AV168" s="6">
        <f t="shared" si="131"/>
        <v>2.7562519280190463</v>
      </c>
      <c r="AW168" s="6">
        <f t="shared" si="132"/>
        <v>3.000598023298263</v>
      </c>
      <c r="AX168" s="6">
        <f t="shared" si="133"/>
        <v>0.40005743782670145</v>
      </c>
      <c r="AY168" s="6">
        <f t="shared" si="134"/>
        <v>0.40005743782670145</v>
      </c>
      <c r="AZ168" s="47">
        <f t="shared" si="135"/>
        <v>6.0388392119003695</v>
      </c>
      <c r="BA168" s="47">
        <f t="shared" si="136"/>
        <v>2.7562519280190463</v>
      </c>
      <c r="BB168" s="47">
        <f t="shared" si="137"/>
        <v>3.000598023298263</v>
      </c>
      <c r="BC168" s="47">
        <f t="shared" si="138"/>
        <v>0.40005743782670145</v>
      </c>
      <c r="BD168" s="47">
        <f t="shared" si="139"/>
        <v>0.40005743782670145</v>
      </c>
      <c r="BE168" s="40"/>
      <c r="BF168" s="40"/>
      <c r="BG168" s="6">
        <f t="shared" si="140"/>
        <v>-0.47123889803847963</v>
      </c>
      <c r="BH168" s="9">
        <f t="shared" ca="1" si="141"/>
        <v>74.324913304251282</v>
      </c>
      <c r="BI168" s="9">
        <f t="shared" ca="1" si="142"/>
        <v>-26.131626473162378</v>
      </c>
      <c r="BJ168">
        <f t="shared" ca="1" si="143"/>
        <v>78.784863011985692</v>
      </c>
      <c r="BK168" s="6">
        <f t="shared" ca="1" si="144"/>
        <v>0.94339077917726522</v>
      </c>
      <c r="BL168" s="6">
        <f t="shared" ca="1" si="145"/>
        <v>-0.33168333959261848</v>
      </c>
      <c r="BM168" s="6">
        <f t="shared" ca="1" si="146"/>
        <v>-0.33808736701255965</v>
      </c>
      <c r="BN168" s="6">
        <f t="shared" ca="1" si="147"/>
        <v>-0.61362239514475037</v>
      </c>
      <c r="BO168" s="9"/>
      <c r="BT168" s="40"/>
    </row>
    <row r="169" spans="45:72" x14ac:dyDescent="0.25">
      <c r="AS169" s="6">
        <v>-0.2268928027592732</v>
      </c>
      <c r="AT169" s="6">
        <v>-27.225735139543659</v>
      </c>
      <c r="AU169" s="6">
        <v>11.473186300819812</v>
      </c>
      <c r="AV169" s="6">
        <f t="shared" si="131"/>
        <v>2.7427670289094994</v>
      </c>
      <c r="AW169" s="6">
        <f t="shared" si="132"/>
        <v>2.9696598316687726</v>
      </c>
      <c r="AX169" s="6">
        <f t="shared" si="133"/>
        <v>0.38657253871715458</v>
      </c>
      <c r="AY169" s="6">
        <f t="shared" si="134"/>
        <v>0.38657253871715458</v>
      </c>
      <c r="AZ169" s="47">
        <f t="shared" si="135"/>
        <v>6.0562925044203126</v>
      </c>
      <c r="BA169" s="47">
        <f t="shared" si="136"/>
        <v>2.7427670289094994</v>
      </c>
      <c r="BB169" s="47">
        <f t="shared" si="137"/>
        <v>2.9696598316687726</v>
      </c>
      <c r="BC169" s="47">
        <f t="shared" si="138"/>
        <v>0.38657253871715458</v>
      </c>
      <c r="BD169" s="47">
        <f t="shared" si="139"/>
        <v>0.38657253871715458</v>
      </c>
      <c r="BE169" s="40"/>
      <c r="BF169" s="40"/>
      <c r="BG169" s="6">
        <f t="shared" si="140"/>
        <v>-0.45378560551853631</v>
      </c>
      <c r="BH169" s="9">
        <f t="shared" ca="1" si="141"/>
        <v>74.466263252649242</v>
      </c>
      <c r="BI169" s="9">
        <f t="shared" ca="1" si="142"/>
        <v>-26.003507233966896</v>
      </c>
      <c r="BJ169">
        <f t="shared" ca="1" si="143"/>
        <v>78.875894614766992</v>
      </c>
      <c r="BK169" s="6">
        <f t="shared" ca="1" si="144"/>
        <v>0.94409405581192374</v>
      </c>
      <c r="BL169" s="6">
        <f t="shared" ca="1" si="145"/>
        <v>-0.3296762256830057</v>
      </c>
      <c r="BM169" s="6">
        <f t="shared" ca="1" si="146"/>
        <v>-0.33596060751137213</v>
      </c>
      <c r="BN169" s="6">
        <f t="shared" ca="1" si="147"/>
        <v>-0.6114956356435628</v>
      </c>
      <c r="BO169" s="9"/>
      <c r="BT169" s="40"/>
    </row>
    <row r="170" spans="45:72" x14ac:dyDescent="0.25">
      <c r="AS170" s="6">
        <v>-0.20943951023932991</v>
      </c>
      <c r="AT170" s="6">
        <v>-26.988105687632697</v>
      </c>
      <c r="AU170" s="6">
        <v>11.893522702199343</v>
      </c>
      <c r="AV170" s="6">
        <f t="shared" si="131"/>
        <v>2.7265036726553755</v>
      </c>
      <c r="AW170" s="6">
        <f t="shared" si="132"/>
        <v>2.9359431828947056</v>
      </c>
      <c r="AX170" s="6">
        <f t="shared" si="133"/>
        <v>0.37030918246303068</v>
      </c>
      <c r="AY170" s="6">
        <f t="shared" si="134"/>
        <v>0.37030918246303068</v>
      </c>
      <c r="AZ170" s="47">
        <f t="shared" si="135"/>
        <v>6.0737457969402566</v>
      </c>
      <c r="BA170" s="47">
        <f t="shared" si="136"/>
        <v>2.7265036726553755</v>
      </c>
      <c r="BB170" s="47">
        <f t="shared" si="137"/>
        <v>2.9359431828947056</v>
      </c>
      <c r="BC170" s="47">
        <f t="shared" si="138"/>
        <v>0.37030918246303068</v>
      </c>
      <c r="BD170" s="47">
        <f t="shared" si="139"/>
        <v>0.37030918246303068</v>
      </c>
      <c r="BE170" s="40"/>
      <c r="BF170" s="40"/>
      <c r="BG170" s="6">
        <f t="shared" si="140"/>
        <v>-0.43633231299859299</v>
      </c>
      <c r="BH170" s="9">
        <f t="shared" ca="1" si="141"/>
        <v>74.613864787652133</v>
      </c>
      <c r="BI170" s="9">
        <f t="shared" ca="1" si="142"/>
        <v>-25.868711982409334</v>
      </c>
      <c r="BJ170">
        <f t="shared" ca="1" si="143"/>
        <v>78.971001501683403</v>
      </c>
      <c r="BK170" s="6">
        <f t="shared" ca="1" si="144"/>
        <v>0.94482611805374672</v>
      </c>
      <c r="BL170" s="6">
        <f t="shared" ca="1" si="145"/>
        <v>-0.32757229224018258</v>
      </c>
      <c r="BM170" s="6">
        <f t="shared" ca="1" si="146"/>
        <v>-0.33373295109489004</v>
      </c>
      <c r="BN170" s="6">
        <f t="shared" ca="1" si="147"/>
        <v>-0.60926797922708076</v>
      </c>
      <c r="BO170" s="9"/>
      <c r="BT170" s="40"/>
    </row>
    <row r="171" spans="45:72" x14ac:dyDescent="0.25">
      <c r="AS171" s="6">
        <v>-0.19198621771938662</v>
      </c>
      <c r="AT171" s="6">
        <v>-26.715205260957408</v>
      </c>
      <c r="AU171" s="6">
        <v>12.415921718698105</v>
      </c>
      <c r="AV171" s="6">
        <f t="shared" si="131"/>
        <v>2.7065396286925103</v>
      </c>
      <c r="AW171" s="6">
        <f t="shared" si="132"/>
        <v>2.8985258464118968</v>
      </c>
      <c r="AX171" s="6">
        <f t="shared" si="133"/>
        <v>0.35034513850016546</v>
      </c>
      <c r="AY171" s="6">
        <f t="shared" si="134"/>
        <v>0.35034513850016546</v>
      </c>
      <c r="AZ171" s="47">
        <f t="shared" si="135"/>
        <v>6.0911990894601997</v>
      </c>
      <c r="BA171" s="47">
        <f t="shared" si="136"/>
        <v>2.7065396286925103</v>
      </c>
      <c r="BB171" s="47">
        <f t="shared" si="137"/>
        <v>2.8985258464118968</v>
      </c>
      <c r="BC171" s="47">
        <f t="shared" si="138"/>
        <v>0.35034513850016546</v>
      </c>
      <c r="BD171" s="47">
        <f t="shared" si="139"/>
        <v>0.35034513850016546</v>
      </c>
      <c r="BE171" s="40"/>
      <c r="BF171" s="40"/>
      <c r="BG171" s="6">
        <f t="shared" si="140"/>
        <v>-0.41887902047864967</v>
      </c>
      <c r="BH171" s="9">
        <f t="shared" ca="1" si="141"/>
        <v>74.76846049324827</v>
      </c>
      <c r="BI171" s="9">
        <f t="shared" ca="1" si="142"/>
        <v>-25.72608460740777</v>
      </c>
      <c r="BJ171">
        <f t="shared" ca="1" si="143"/>
        <v>79.070564142150459</v>
      </c>
      <c r="BK171" s="6">
        <f t="shared" ca="1" si="144"/>
        <v>0.94559159030194839</v>
      </c>
      <c r="BL171" s="6">
        <f t="shared" ca="1" si="145"/>
        <v>-0.3253560270691665</v>
      </c>
      <c r="BM171" s="6">
        <f t="shared" ca="1" si="146"/>
        <v>-0.33138821622931874</v>
      </c>
      <c r="BN171" s="6">
        <f t="shared" ca="1" si="147"/>
        <v>-0.60692324436150935</v>
      </c>
      <c r="BO171" s="9"/>
      <c r="BT171" s="40"/>
    </row>
    <row r="172" spans="45:72" x14ac:dyDescent="0.25">
      <c r="AS172" s="6">
        <v>-0.17453292519944333</v>
      </c>
      <c r="AT172" s="6">
        <v>-26.397511429967963</v>
      </c>
      <c r="AU172" s="6">
        <v>13.080118781537518</v>
      </c>
      <c r="AV172" s="6">
        <f t="shared" si="131"/>
        <v>2.6815469016005822</v>
      </c>
      <c r="AW172" s="6">
        <f t="shared" si="132"/>
        <v>2.8560798268000256</v>
      </c>
      <c r="AX172" s="6">
        <f t="shared" si="133"/>
        <v>0.32535241140823734</v>
      </c>
      <c r="AY172" s="6">
        <f t="shared" si="134"/>
        <v>0.32535241140823734</v>
      </c>
      <c r="AZ172" s="47">
        <f t="shared" si="135"/>
        <v>6.1086523819801428</v>
      </c>
      <c r="BA172" s="47">
        <f t="shared" si="136"/>
        <v>2.6815469016005822</v>
      </c>
      <c r="BB172" s="47">
        <f t="shared" si="137"/>
        <v>2.8560798268000256</v>
      </c>
      <c r="BC172" s="47">
        <f t="shared" si="138"/>
        <v>0.32535241140823734</v>
      </c>
      <c r="BD172" s="47">
        <f t="shared" si="139"/>
        <v>0.32535241140823734</v>
      </c>
      <c r="BE172" s="40"/>
      <c r="BF172" s="40"/>
      <c r="BG172" s="6">
        <f t="shared" si="140"/>
        <v>-0.40142572795870635</v>
      </c>
      <c r="BH172" s="9">
        <f t="shared" ca="1" si="141"/>
        <v>74.930908306540246</v>
      </c>
      <c r="BI172" s="9">
        <f t="shared" ca="1" si="142"/>
        <v>-25.574228948224057</v>
      </c>
      <c r="BJ172">
        <f t="shared" ca="1" si="143"/>
        <v>79.175009983828375</v>
      </c>
      <c r="BK172" s="6">
        <f t="shared" ca="1" si="144"/>
        <v>0.9463959438949866</v>
      </c>
      <c r="BL172" s="6">
        <f t="shared" ca="1" si="145"/>
        <v>-0.3230088503108195</v>
      </c>
      <c r="BM172" s="6">
        <f t="shared" ca="1" si="146"/>
        <v>-0.32890704179050595</v>
      </c>
      <c r="BN172" s="6">
        <f t="shared" ca="1" si="147"/>
        <v>-0.60444206992269667</v>
      </c>
      <c r="BO172" s="9"/>
      <c r="BT172" s="40"/>
    </row>
    <row r="173" spans="45:72" x14ac:dyDescent="0.25">
      <c r="AS173" s="6">
        <v>-0.15707963267950004</v>
      </c>
      <c r="AT173" s="6">
        <v>-26.021645238380252</v>
      </c>
      <c r="AU173" s="6">
        <v>13.947286063639632</v>
      </c>
      <c r="AV173" s="6">
        <f t="shared" si="131"/>
        <v>2.6495709291483713</v>
      </c>
      <c r="AW173" s="6">
        <f t="shared" si="132"/>
        <v>2.8066505618278712</v>
      </c>
      <c r="AX173" s="6">
        <f t="shared" si="133"/>
        <v>0.2933764389560265</v>
      </c>
      <c r="AY173" s="6">
        <f t="shared" si="134"/>
        <v>0.2933764389560265</v>
      </c>
      <c r="AZ173" s="47">
        <f t="shared" si="135"/>
        <v>6.1261056745000859</v>
      </c>
      <c r="BA173" s="47">
        <f t="shared" si="136"/>
        <v>2.6495709291483713</v>
      </c>
      <c r="BB173" s="47">
        <f t="shared" si="137"/>
        <v>2.8066505618278712</v>
      </c>
      <c r="BC173" s="47">
        <f t="shared" si="138"/>
        <v>0.2933764389560265</v>
      </c>
      <c r="BD173" s="47">
        <f t="shared" si="139"/>
        <v>0.2933764389560265</v>
      </c>
      <c r="BE173" s="40"/>
      <c r="BF173" s="40"/>
      <c r="BG173" s="6">
        <f t="shared" si="140"/>
        <v>-0.38397243543876303</v>
      </c>
      <c r="BH173" s="9">
        <f t="shared" ca="1" si="141"/>
        <v>75.102206619435663</v>
      </c>
      <c r="BI173" s="9">
        <f t="shared" ca="1" si="142"/>
        <v>-25.411443273088565</v>
      </c>
      <c r="BJ173">
        <f t="shared" ca="1" si="143"/>
        <v>79.284821298466738</v>
      </c>
      <c r="BK173" s="6">
        <f t="shared" ca="1" si="144"/>
        <v>0.94724570717911216</v>
      </c>
      <c r="BL173" s="6">
        <f t="shared" ca="1" si="145"/>
        <v>-0.32050829978448836</v>
      </c>
      <c r="BM173" s="6">
        <f t="shared" ca="1" si="146"/>
        <v>-0.32626604678334836</v>
      </c>
      <c r="BN173" s="6">
        <f t="shared" ca="1" si="147"/>
        <v>-0.60180107491553902</v>
      </c>
      <c r="BO173" s="9"/>
      <c r="BT173" s="40"/>
    </row>
    <row r="174" spans="45:72" x14ac:dyDescent="0.25">
      <c r="AS174" s="6">
        <v>-0.13962634015955674</v>
      </c>
      <c r="AT174" s="6">
        <v>-25.572580164040872</v>
      </c>
      <c r="AU174" s="6">
        <v>15.099469484685109</v>
      </c>
      <c r="AV174" s="6">
        <f t="shared" si="131"/>
        <v>2.6082207603661063</v>
      </c>
      <c r="AW174" s="6">
        <f t="shared" si="132"/>
        <v>2.7478471005256631</v>
      </c>
      <c r="AX174" s="6">
        <f t="shared" si="133"/>
        <v>0.25202627017376145</v>
      </c>
      <c r="AY174" s="6">
        <f t="shared" si="134"/>
        <v>0.25202627017376145</v>
      </c>
      <c r="AZ174" s="47">
        <f t="shared" si="135"/>
        <v>6.1435589670200299</v>
      </c>
      <c r="BA174" s="47">
        <f t="shared" si="136"/>
        <v>2.6082207603661063</v>
      </c>
      <c r="BB174" s="47">
        <f t="shared" si="137"/>
        <v>2.7478471005256631</v>
      </c>
      <c r="BC174" s="47">
        <f t="shared" si="138"/>
        <v>0.25202627017376145</v>
      </c>
      <c r="BD174" s="47">
        <f t="shared" si="139"/>
        <v>0.25202627017376145</v>
      </c>
      <c r="BE174" s="40"/>
      <c r="BF174" s="40"/>
      <c r="BG174" s="6">
        <f t="shared" si="140"/>
        <v>-0.36651914291881971</v>
      </c>
      <c r="BH174" s="9">
        <f t="shared" ca="1" si="141"/>
        <v>75.283526277975611</v>
      </c>
      <c r="BI174" s="9">
        <f t="shared" ca="1" si="142"/>
        <v>-25.23563311069411</v>
      </c>
      <c r="BJ174">
        <f t="shared" ca="1" si="143"/>
        <v>79.400544754706843</v>
      </c>
      <c r="BK174" s="6">
        <f t="shared" ca="1" si="144"/>
        <v>0.94814873765098218</v>
      </c>
      <c r="BL174" s="6">
        <f t="shared" ca="1" si="145"/>
        <v>-0.31782695180058129</v>
      </c>
      <c r="BM174" s="6">
        <f t="shared" ca="1" si="146"/>
        <v>-0.3234367188801075</v>
      </c>
      <c r="BN174" s="6">
        <f t="shared" ca="1" si="147"/>
        <v>-0.59897174701229816</v>
      </c>
      <c r="BO174" s="9"/>
      <c r="BT174" s="40"/>
    </row>
    <row r="175" spans="45:72" x14ac:dyDescent="0.25">
      <c r="AS175" s="6">
        <v>-0.12217304763961345</v>
      </c>
      <c r="AT175" s="6">
        <v>-25.105069788160655</v>
      </c>
      <c r="AU175" s="6">
        <v>16.370899733672321</v>
      </c>
      <c r="AV175" s="6">
        <f t="shared" si="131"/>
        <v>2.5637458248225551</v>
      </c>
      <c r="AW175" s="6">
        <f t="shared" si="132"/>
        <v>2.6859188724621683</v>
      </c>
      <c r="AX175" s="6">
        <f t="shared" si="133"/>
        <v>0.20755133463021025</v>
      </c>
      <c r="AY175" s="6">
        <f t="shared" si="134"/>
        <v>0.20755133463021025</v>
      </c>
      <c r="AZ175" s="47">
        <f t="shared" si="135"/>
        <v>6.161012259539973</v>
      </c>
      <c r="BA175" s="47">
        <f t="shared" si="136"/>
        <v>2.5637458248225551</v>
      </c>
      <c r="BB175" s="47">
        <f t="shared" si="137"/>
        <v>2.6859188724621683</v>
      </c>
      <c r="BC175" s="47">
        <f t="shared" si="138"/>
        <v>0.20755133463021025</v>
      </c>
      <c r="BD175" s="47">
        <f t="shared" si="139"/>
        <v>0.20755133463021025</v>
      </c>
      <c r="BE175" s="40"/>
      <c r="BF175" s="40"/>
      <c r="BG175" s="6">
        <f t="shared" si="140"/>
        <v>-0.34906585039887639</v>
      </c>
      <c r="BH175" s="9">
        <f t="shared" ca="1" si="141"/>
        <v>75.476251673064411</v>
      </c>
      <c r="BI175" s="9">
        <f t="shared" ca="1" si="142"/>
        <v>-25.044193792091914</v>
      </c>
      <c r="BJ175">
        <f t="shared" ca="1" si="143"/>
        <v>79.522803077555139</v>
      </c>
      <c r="BK175" s="6">
        <f t="shared" ca="1" si="144"/>
        <v>0.94911457785832443</v>
      </c>
      <c r="BL175" s="6">
        <f t="shared" ca="1" si="145"/>
        <v>-0.31493097354311567</v>
      </c>
      <c r="BM175" s="6">
        <f t="shared" ca="1" si="146"/>
        <v>-0.32038392596022963</v>
      </c>
      <c r="BN175" s="6">
        <f t="shared" ca="1" si="147"/>
        <v>-0.59591895409242035</v>
      </c>
      <c r="BO175" s="9"/>
      <c r="BT175" s="40"/>
    </row>
    <row r="176" spans="45:72" x14ac:dyDescent="0.25">
      <c r="AS176" s="6">
        <v>-0.10471975511967016</v>
      </c>
      <c r="AT176" s="6">
        <v>-24.642765670258925</v>
      </c>
      <c r="AU176" s="6">
        <v>17.682360993454218</v>
      </c>
      <c r="AV176" s="6">
        <f t="shared" si="131"/>
        <v>2.5191865035515564</v>
      </c>
      <c r="AW176" s="6">
        <f t="shared" si="132"/>
        <v>2.6239062586712265</v>
      </c>
      <c r="AX176" s="6">
        <f t="shared" si="133"/>
        <v>0.16299201335921154</v>
      </c>
      <c r="AY176" s="6">
        <f t="shared" si="134"/>
        <v>0.16299201335921154</v>
      </c>
      <c r="AZ176" s="47">
        <f t="shared" si="135"/>
        <v>6.1784655520599161</v>
      </c>
      <c r="BA176" s="47">
        <f t="shared" si="136"/>
        <v>2.5191865035515564</v>
      </c>
      <c r="BB176" s="47">
        <f t="shared" si="137"/>
        <v>2.6239062586712265</v>
      </c>
      <c r="BC176" s="47">
        <f t="shared" si="138"/>
        <v>0.16299201335921154</v>
      </c>
      <c r="BD176" s="47">
        <f t="shared" si="139"/>
        <v>0.16299201335921154</v>
      </c>
      <c r="BE176" s="40"/>
      <c r="BF176" s="40"/>
      <c r="BG176" s="6">
        <f t="shared" si="140"/>
        <v>-0.33161255787893307</v>
      </c>
      <c r="BH176" s="9">
        <f t="shared" ca="1" si="141"/>
        <v>75.682034284458155</v>
      </c>
      <c r="BI176" s="9">
        <f t="shared" ca="1" si="142"/>
        <v>-24.833850102428958</v>
      </c>
      <c r="BJ176">
        <f t="shared" ca="1" si="143"/>
        <v>79.652309598302367</v>
      </c>
      <c r="BK176" s="6">
        <f t="shared" ca="1" si="144"/>
        <v>0.95015492540182622</v>
      </c>
      <c r="BL176" s="6">
        <f t="shared" ca="1" si="145"/>
        <v>-0.31177815467837033</v>
      </c>
      <c r="BM176" s="6">
        <f t="shared" ca="1" si="146"/>
        <v>-0.31706389585043093</v>
      </c>
      <c r="BN176" s="6">
        <f t="shared" ca="1" si="147"/>
        <v>-0.59259892398262159</v>
      </c>
      <c r="BO176" s="9"/>
      <c r="BT176" s="40"/>
    </row>
    <row r="177" spans="45:72" x14ac:dyDescent="0.25">
      <c r="AS177" s="6">
        <v>-8.7266462599726868E-2</v>
      </c>
      <c r="AT177" s="6">
        <v>-24.185630566482789</v>
      </c>
      <c r="AU177" s="6">
        <v>19.036927541310206</v>
      </c>
      <c r="AV177" s="6">
        <f t="shared" si="131"/>
        <v>2.4747565460155854</v>
      </c>
      <c r="AW177" s="6">
        <f t="shared" si="132"/>
        <v>2.5620230086153124</v>
      </c>
      <c r="AX177" s="6">
        <f t="shared" si="133"/>
        <v>0.11856205582324053</v>
      </c>
      <c r="AY177" s="6">
        <f t="shared" si="134"/>
        <v>0.11856205582324053</v>
      </c>
      <c r="AZ177" s="47">
        <f t="shared" si="135"/>
        <v>6.1959188445798592</v>
      </c>
      <c r="BA177" s="47">
        <f t="shared" si="136"/>
        <v>2.4747565460155854</v>
      </c>
      <c r="BB177" s="47">
        <f t="shared" si="137"/>
        <v>2.5620230086153124</v>
      </c>
      <c r="BC177" s="47">
        <f t="shared" si="138"/>
        <v>0.11856205582324053</v>
      </c>
      <c r="BD177" s="47">
        <f t="shared" si="139"/>
        <v>0.11856205582324053</v>
      </c>
      <c r="BE177" s="40"/>
      <c r="BF177" s="40"/>
      <c r="BG177" s="6">
        <f t="shared" si="140"/>
        <v>-0.31415926535898975</v>
      </c>
      <c r="BH177" s="9">
        <f t="shared" ca="1" si="141"/>
        <v>75.902863218224496</v>
      </c>
      <c r="BI177" s="9">
        <f t="shared" ca="1" si="142"/>
        <v>-24.600434108384377</v>
      </c>
      <c r="BJ177">
        <f t="shared" ca="1" si="143"/>
        <v>79.789886596268943</v>
      </c>
      <c r="BK177" s="6">
        <f t="shared" ca="1" si="144"/>
        <v>0.95128425989984788</v>
      </c>
      <c r="BL177" s="6">
        <f t="shared" ca="1" si="145"/>
        <v>-0.30831519078176906</v>
      </c>
      <c r="BM177" s="6">
        <f t="shared" ca="1" si="146"/>
        <v>-0.31342143376737158</v>
      </c>
      <c r="BN177" s="6">
        <f t="shared" ca="1" si="147"/>
        <v>-0.58895646189956219</v>
      </c>
      <c r="BO177" s="9"/>
      <c r="BT177" s="40"/>
    </row>
    <row r="178" spans="45:72" x14ac:dyDescent="0.25">
      <c r="AS178" s="6">
        <v>-6.9813170079783576E-2</v>
      </c>
      <c r="AT178" s="6">
        <v>-23.733658479330874</v>
      </c>
      <c r="AU178" s="6">
        <v>20.437952615391996</v>
      </c>
      <c r="AV178" s="6">
        <f t="shared" si="131"/>
        <v>2.4306679030703751</v>
      </c>
      <c r="AW178" s="6">
        <f t="shared" si="132"/>
        <v>2.5004810731501586</v>
      </c>
      <c r="AX178" s="6">
        <f t="shared" si="133"/>
        <v>7.4473412878030221E-2</v>
      </c>
      <c r="AY178" s="6">
        <f t="shared" si="134"/>
        <v>7.4473412878030221E-2</v>
      </c>
      <c r="AZ178" s="47">
        <f t="shared" si="135"/>
        <v>6.2133721370998023</v>
      </c>
      <c r="BA178" s="47">
        <f t="shared" si="136"/>
        <v>2.4306679030703751</v>
      </c>
      <c r="BB178" s="47">
        <f t="shared" si="137"/>
        <v>2.5004810731501586</v>
      </c>
      <c r="BC178" s="47">
        <f t="shared" si="138"/>
        <v>7.4473412878030221E-2</v>
      </c>
      <c r="BD178" s="47">
        <f t="shared" si="139"/>
        <v>7.4473412878030221E-2</v>
      </c>
      <c r="BE178" s="40"/>
      <c r="BF178" s="40"/>
      <c r="BG178" s="6">
        <f t="shared" si="140"/>
        <v>-0.29670597283904643</v>
      </c>
      <c r="BH178" s="9">
        <f t="shared" ca="1" si="141"/>
        <v>76.141159552816987</v>
      </c>
      <c r="BI178" s="9">
        <f t="shared" ca="1" si="142"/>
        <v>-24.338572381034869</v>
      </c>
      <c r="BJ178">
        <f t="shared" ca="1" si="143"/>
        <v>79.936489062219934</v>
      </c>
      <c r="BK178" s="6">
        <f t="shared" ca="1" si="144"/>
        <v>0.95252068793703482</v>
      </c>
      <c r="BL178" s="6">
        <f t="shared" ca="1" si="145"/>
        <v>-0.30447387252760783</v>
      </c>
      <c r="BM178" s="6">
        <f t="shared" ca="1" si="146"/>
        <v>-0.30938602767632778</v>
      </c>
      <c r="BN178" s="6">
        <f t="shared" ca="1" si="147"/>
        <v>-0.5849210558085185</v>
      </c>
      <c r="BO178" s="9"/>
      <c r="BT178" s="40"/>
    </row>
    <row r="179" spans="45:72" x14ac:dyDescent="0.25">
      <c r="AS179" s="6">
        <v>-5.2359877559840284E-2</v>
      </c>
      <c r="AT179" s="6">
        <v>-23.28687540856059</v>
      </c>
      <c r="AU179" s="6">
        <v>21.889106005261532</v>
      </c>
      <c r="AV179" s="6">
        <f t="shared" si="131"/>
        <v>2.3871251657273627</v>
      </c>
      <c r="AW179" s="6">
        <f t="shared" si="132"/>
        <v>2.4394850432872031</v>
      </c>
      <c r="AX179" s="6">
        <f t="shared" si="133"/>
        <v>3.0930675535017826E-2</v>
      </c>
      <c r="AY179" s="6">
        <f t="shared" si="134"/>
        <v>3.0930675535017826E-2</v>
      </c>
      <c r="AZ179" s="47">
        <f t="shared" si="135"/>
        <v>6.2308254296197463</v>
      </c>
      <c r="BA179" s="47">
        <f t="shared" si="136"/>
        <v>2.3871251657273627</v>
      </c>
      <c r="BB179" s="47">
        <f t="shared" si="137"/>
        <v>2.4394850432872031</v>
      </c>
      <c r="BC179" s="47">
        <f t="shared" si="138"/>
        <v>3.0930675535017826E-2</v>
      </c>
      <c r="BD179" s="47">
        <f t="shared" si="139"/>
        <v>3.0930675535017826E-2</v>
      </c>
      <c r="BE179" s="40"/>
      <c r="BF179" s="40"/>
      <c r="BG179" s="6">
        <f t="shared" si="140"/>
        <v>-0.27925268031910311</v>
      </c>
      <c r="BH179" s="9">
        <f t="shared" ca="1" si="141"/>
        <v>76.318774025602266</v>
      </c>
      <c r="BI179" s="9">
        <f t="shared" ca="1" si="142"/>
        <v>-24.107063258700634</v>
      </c>
      <c r="BJ179">
        <f t="shared" ca="1" si="143"/>
        <v>80.03565310366335</v>
      </c>
      <c r="BK179" s="6">
        <f t="shared" ca="1" si="144"/>
        <v>0.95355970828092163</v>
      </c>
      <c r="BL179" s="6">
        <f t="shared" ca="1" si="145"/>
        <v>-0.30120405499130259</v>
      </c>
      <c r="BM179" s="6">
        <f t="shared" ca="1" si="146"/>
        <v>-0.30595509754840938</v>
      </c>
      <c r="BN179" s="6">
        <f t="shared" ca="1" si="147"/>
        <v>-0.58149012568059999</v>
      </c>
      <c r="BO179" s="9"/>
      <c r="BT179" s="40"/>
    </row>
    <row r="180" spans="45:72" x14ac:dyDescent="0.25">
      <c r="AS180" s="6">
        <v>-3.4906585039896992E-2</v>
      </c>
      <c r="AT180" s="6">
        <v>-22.845340176596075</v>
      </c>
      <c r="AU180" s="6">
        <v>23.394417829605253</v>
      </c>
      <c r="AV180" s="6">
        <f t="shared" si="131"/>
        <v>2.3443204694104915</v>
      </c>
      <c r="AW180" s="6">
        <f t="shared" si="132"/>
        <v>2.3792270544503884</v>
      </c>
      <c r="AX180" s="6">
        <f t="shared" si="133"/>
        <v>-1.1874020781853289E-2</v>
      </c>
      <c r="AY180" s="6">
        <f t="shared" si="134"/>
        <v>1.1874020781853289E-2</v>
      </c>
      <c r="AZ180" s="47">
        <f t="shared" si="135"/>
        <v>6.2482787221396894</v>
      </c>
      <c r="BA180" s="47">
        <f t="shared" si="136"/>
        <v>2.3443204694104915</v>
      </c>
      <c r="BB180" s="47">
        <f t="shared" si="137"/>
        <v>2.3792270544503884</v>
      </c>
      <c r="BC180" s="47">
        <f t="shared" si="138"/>
        <v>-1.1874020781853289E-2</v>
      </c>
      <c r="BD180" s="47">
        <f t="shared" si="139"/>
        <v>1.1874020781853289E-2</v>
      </c>
      <c r="BE180" s="40"/>
      <c r="BF180" s="40"/>
      <c r="BG180" s="6">
        <f t="shared" si="140"/>
        <v>-0.26179938779915979</v>
      </c>
      <c r="BH180" s="9">
        <f t="shared" ca="1" si="141"/>
        <v>76.485980856839632</v>
      </c>
      <c r="BI180" s="9">
        <f t="shared" ca="1" si="142"/>
        <v>-23.862471917695636</v>
      </c>
      <c r="BJ180">
        <f t="shared" ca="1" si="143"/>
        <v>80.121924799992499</v>
      </c>
      <c r="BK180" s="6">
        <f t="shared" ca="1" si="144"/>
        <v>0.95461986276254307</v>
      </c>
      <c r="BL180" s="6">
        <f t="shared" ca="1" si="145"/>
        <v>-0.29782699276463054</v>
      </c>
      <c r="BM180" s="6">
        <f t="shared" ca="1" si="146"/>
        <v>-0.30241553685702882</v>
      </c>
      <c r="BN180" s="6">
        <f t="shared" ca="1" si="147"/>
        <v>-0.57795056498921948</v>
      </c>
      <c r="BO180" s="9"/>
      <c r="BT180" s="40"/>
    </row>
    <row r="181" spans="45:72" x14ac:dyDescent="0.25">
      <c r="AS181" s="6">
        <v>-1.7453292519953697E-2</v>
      </c>
      <c r="AT181" s="6">
        <v>-22.409145421479487</v>
      </c>
      <c r="AU181" s="6">
        <v>24.958329807087157</v>
      </c>
      <c r="AV181" s="6">
        <f t="shared" si="131"/>
        <v>2.3024291674201209</v>
      </c>
      <c r="AW181" s="6">
        <f t="shared" si="132"/>
        <v>2.3198824599400747</v>
      </c>
      <c r="AX181" s="6">
        <f t="shared" si="133"/>
        <v>-5.37653227722239E-2</v>
      </c>
      <c r="AY181" s="6">
        <f t="shared" si="134"/>
        <v>5.37653227722239E-2</v>
      </c>
      <c r="AZ181" s="47">
        <f t="shared" si="135"/>
        <v>6.2657320146596325</v>
      </c>
      <c r="BA181" s="47">
        <f t="shared" si="136"/>
        <v>2.3024291674201209</v>
      </c>
      <c r="BB181" s="47">
        <f t="shared" si="137"/>
        <v>2.3198824599400747</v>
      </c>
      <c r="BC181" s="47">
        <f t="shared" si="138"/>
        <v>-5.37653227722239E-2</v>
      </c>
      <c r="BD181" s="47">
        <f t="shared" si="139"/>
        <v>5.37653227722239E-2</v>
      </c>
      <c r="BE181" s="40"/>
      <c r="BF181" s="40"/>
      <c r="BG181" s="6">
        <f t="shared" si="140"/>
        <v>-0.2443460952792165</v>
      </c>
      <c r="BH181" s="9">
        <f t="shared" ca="1" si="141"/>
        <v>76.67224693934935</v>
      </c>
      <c r="BI181" s="9">
        <f t="shared" ca="1" si="142"/>
        <v>-23.574260299155487</v>
      </c>
      <c r="BJ181">
        <f t="shared" ca="1" si="143"/>
        <v>80.214582211596067</v>
      </c>
      <c r="BK181" s="6">
        <f t="shared" ca="1" si="144"/>
        <v>0.95583926046136503</v>
      </c>
      <c r="BL181" s="6">
        <f t="shared" ca="1" si="145"/>
        <v>-0.29388995927161382</v>
      </c>
      <c r="BM181" s="6">
        <f t="shared" ca="1" si="146"/>
        <v>-0.29829398526569101</v>
      </c>
      <c r="BN181" s="6">
        <f t="shared" ca="1" si="147"/>
        <v>-0.57382901339788162</v>
      </c>
      <c r="BO181" s="9"/>
      <c r="BT181" s="40"/>
    </row>
    <row r="182" spans="45:72" x14ac:dyDescent="0.25">
      <c r="AS182" s="6">
        <v>-1.0401401961956935E-14</v>
      </c>
      <c r="AT182" s="6">
        <v>-21.97841872747609</v>
      </c>
      <c r="AU182" s="6">
        <v>26.585755611521748</v>
      </c>
      <c r="AV182" s="6">
        <f t="shared" si="131"/>
        <v>2.2616064878584181</v>
      </c>
      <c r="AW182" s="6">
        <f t="shared" si="132"/>
        <v>2.2616064878584283</v>
      </c>
      <c r="AX182" s="6">
        <f t="shared" si="133"/>
        <v>-9.4588002333926724E-2</v>
      </c>
      <c r="AY182" s="6">
        <f t="shared" si="134"/>
        <v>9.4588002333926724E-2</v>
      </c>
      <c r="AZ182" s="47">
        <f t="shared" si="135"/>
        <v>6.2831853071795756</v>
      </c>
      <c r="BA182" s="47">
        <f t="shared" si="136"/>
        <v>2.2616064878584181</v>
      </c>
      <c r="BB182" s="47">
        <f t="shared" si="137"/>
        <v>2.2616064878584283</v>
      </c>
      <c r="BC182" s="47">
        <f t="shared" si="138"/>
        <v>-9.4588002333926724E-2</v>
      </c>
      <c r="BD182" s="47">
        <f t="shared" si="139"/>
        <v>9.4588002333926724E-2</v>
      </c>
      <c r="BE182" s="40"/>
      <c r="BF182" s="40"/>
      <c r="BG182" s="6">
        <f t="shared" si="140"/>
        <v>-0.2268928027592732</v>
      </c>
      <c r="BH182" s="9">
        <f t="shared" ca="1" si="141"/>
        <v>76.881578944511801</v>
      </c>
      <c r="BI182" s="9">
        <f t="shared" ca="1" si="142"/>
        <v>-23.229251727198672</v>
      </c>
      <c r="BJ182">
        <f t="shared" ca="1" si="143"/>
        <v>80.31422860743146</v>
      </c>
      <c r="BK182" s="6">
        <f t="shared" ca="1" si="144"/>
        <v>0.9572597568022706</v>
      </c>
      <c r="BL182" s="6">
        <f t="shared" ca="1" si="145"/>
        <v>-0.28922959393336284</v>
      </c>
      <c r="BM182" s="6">
        <f t="shared" ca="1" si="146"/>
        <v>-0.2934219362210202</v>
      </c>
      <c r="BN182" s="6">
        <f t="shared" ca="1" si="147"/>
        <v>-0.56895696435321086</v>
      </c>
      <c r="BO182" s="9"/>
      <c r="BT182" s="40"/>
    </row>
    <row r="183" spans="45:72" x14ac:dyDescent="0.25">
      <c r="AS183" s="6">
        <v>1.7453292519932894E-2</v>
      </c>
      <c r="AT183" s="6">
        <v>-22.40371662999199</v>
      </c>
      <c r="AU183" s="6">
        <v>27.042442092861869</v>
      </c>
      <c r="AV183" s="6">
        <f t="shared" si="131"/>
        <v>2.2626545972252119</v>
      </c>
      <c r="AW183" s="6">
        <f t="shared" si="132"/>
        <v>2.245201304705279</v>
      </c>
      <c r="AX183" s="6">
        <f t="shared" si="133"/>
        <v>-9.3539892967132943E-2</v>
      </c>
      <c r="AY183" s="6">
        <f t="shared" si="134"/>
        <v>9.3539892967132943E-2</v>
      </c>
      <c r="BF183" s="40"/>
      <c r="BG183" s="6">
        <f t="shared" si="140"/>
        <v>-0.20943951023932991</v>
      </c>
      <c r="BH183" s="9">
        <f t="shared" ca="1" si="141"/>
        <v>77.119208396422763</v>
      </c>
      <c r="BI183" s="9">
        <f t="shared" ca="1" si="142"/>
        <v>-22.808915325819143</v>
      </c>
      <c r="BJ183">
        <f t="shared" ca="1" si="143"/>
        <v>80.421507832365776</v>
      </c>
      <c r="BK183" s="6">
        <f t="shared" ca="1" si="144"/>
        <v>0.95893760854588206</v>
      </c>
      <c r="BL183" s="6">
        <f t="shared" ca="1" si="145"/>
        <v>-0.28361710617715696</v>
      </c>
      <c r="BM183" s="6">
        <f t="shared" ca="1" si="146"/>
        <v>-0.28756400967527673</v>
      </c>
      <c r="BN183" s="6">
        <f t="shared" ca="1" si="147"/>
        <v>-0.5630990378074674</v>
      </c>
      <c r="BO183" s="9"/>
      <c r="BT183" s="40"/>
    </row>
    <row r="184" spans="45:72" x14ac:dyDescent="0.25">
      <c r="AS184" s="6">
        <v>3.490658503987619E-2</v>
      </c>
      <c r="AT184" s="6">
        <v>-22.790631481833806</v>
      </c>
      <c r="AU184" s="6">
        <v>27.497591835164528</v>
      </c>
      <c r="AV184" s="6">
        <f t="shared" si="131"/>
        <v>2.2628667462301637</v>
      </c>
      <c r="AW184" s="6">
        <f t="shared" si="132"/>
        <v>2.2279601611902877</v>
      </c>
      <c r="AX184" s="6">
        <f t="shared" si="133"/>
        <v>-9.3327743962181131E-2</v>
      </c>
      <c r="AY184" s="6">
        <f t="shared" si="134"/>
        <v>9.3327743962181131E-2</v>
      </c>
      <c r="BF184" s="40"/>
      <c r="BG184" s="6">
        <f t="shared" si="140"/>
        <v>-0.19198621771938662</v>
      </c>
      <c r="BH184" s="9">
        <f t="shared" ca="1" si="141"/>
        <v>77.392108823098056</v>
      </c>
      <c r="BI184" s="9">
        <f t="shared" ca="1" si="142"/>
        <v>-22.28651630932038</v>
      </c>
      <c r="BJ184">
        <f t="shared" ca="1" si="143"/>
        <v>80.537117637098575</v>
      </c>
      <c r="BK184" s="6">
        <f t="shared" ca="1" si="144"/>
        <v>0.96094957323687724</v>
      </c>
      <c r="BL184" s="6">
        <f t="shared" ca="1" si="145"/>
        <v>-0.27672354019104267</v>
      </c>
      <c r="BM184" s="6">
        <f t="shared" ca="1" si="146"/>
        <v>-0.28038282066927572</v>
      </c>
      <c r="BN184" s="6">
        <f t="shared" ca="1" si="147"/>
        <v>-0.55591784880146644</v>
      </c>
      <c r="BO184" s="9"/>
      <c r="BT184" s="40"/>
    </row>
    <row r="185" spans="45:72" x14ac:dyDescent="0.25">
      <c r="AS185" s="6">
        <v>5.2359877559819482E-2</v>
      </c>
      <c r="AT185" s="6">
        <v>-23.148075882051987</v>
      </c>
      <c r="AU185" s="6">
        <v>27.952484924798036</v>
      </c>
      <c r="AV185" s="6">
        <f t="shared" si="131"/>
        <v>2.262451342257874</v>
      </c>
      <c r="AW185" s="6">
        <f t="shared" si="132"/>
        <v>2.2100914646980545</v>
      </c>
      <c r="AX185" s="6">
        <f t="shared" si="133"/>
        <v>-9.3743147934470805E-2</v>
      </c>
      <c r="AY185" s="6">
        <f t="shared" si="134"/>
        <v>9.3743147934470805E-2</v>
      </c>
      <c r="BF185" s="40"/>
      <c r="BG185" s="6">
        <f t="shared" si="140"/>
        <v>-0.17453292519944333</v>
      </c>
      <c r="BH185" s="9">
        <f t="shared" ca="1" si="141"/>
        <v>77.709802654087497</v>
      </c>
      <c r="BI185" s="9">
        <f t="shared" ca="1" si="142"/>
        <v>-21.622319246480966</v>
      </c>
      <c r="BJ185">
        <f t="shared" ca="1" si="143"/>
        <v>80.66187524558282</v>
      </c>
      <c r="BK185" s="6">
        <f t="shared" ca="1" si="144"/>
        <v>0.96340188493625456</v>
      </c>
      <c r="BL185" s="6">
        <f t="shared" ca="1" si="145"/>
        <v>-0.26806120215590995</v>
      </c>
      <c r="BM185" s="6">
        <f t="shared" ca="1" si="146"/>
        <v>-0.27138001664297212</v>
      </c>
      <c r="BN185" s="6">
        <f t="shared" ca="1" si="147"/>
        <v>-0.54691504477516273</v>
      </c>
      <c r="BO185" s="9"/>
      <c r="BT185" s="40"/>
    </row>
    <row r="186" spans="45:72" x14ac:dyDescent="0.25">
      <c r="AS186" s="6">
        <v>6.9813170079762774E-2</v>
      </c>
      <c r="AT186" s="6">
        <v>-23.482887907429642</v>
      </c>
      <c r="AU186" s="6">
        <v>28.408065826578611</v>
      </c>
      <c r="AV186" s="6">
        <f t="shared" si="131"/>
        <v>2.2615639768998301</v>
      </c>
      <c r="AW186" s="6">
        <f t="shared" si="132"/>
        <v>2.1917508068200675</v>
      </c>
      <c r="AX186" s="6">
        <f t="shared" si="133"/>
        <v>-9.4630513292514706E-2</v>
      </c>
      <c r="AY186" s="6">
        <f t="shared" si="134"/>
        <v>9.4630513292514706E-2</v>
      </c>
      <c r="BF186" s="40"/>
      <c r="BG186" s="6">
        <f t="shared" si="140"/>
        <v>-0.15707963267950004</v>
      </c>
      <c r="BH186" s="9">
        <f t="shared" ca="1" si="141"/>
        <v>78.085668845675201</v>
      </c>
      <c r="BI186" s="9">
        <f t="shared" ca="1" si="142"/>
        <v>-20.755151964378854</v>
      </c>
      <c r="BJ186">
        <f t="shared" ca="1" si="143"/>
        <v>80.796955463315015</v>
      </c>
      <c r="BK186" s="6">
        <f t="shared" ca="1" si="144"/>
        <v>0.96644320813708329</v>
      </c>
      <c r="BL186" s="6">
        <f t="shared" ca="1" si="145"/>
        <v>-0.25688037185760676</v>
      </c>
      <c r="BM186" s="6">
        <f t="shared" ca="1" si="146"/>
        <v>-0.25979286362087073</v>
      </c>
      <c r="BN186" s="6">
        <f t="shared" ca="1" si="147"/>
        <v>-0.53532789175306139</v>
      </c>
      <c r="BO186" s="9"/>
      <c r="BT186" s="40"/>
    </row>
    <row r="187" spans="45:72" x14ac:dyDescent="0.25">
      <c r="AS187" s="6">
        <v>8.7266462599706066E-2</v>
      </c>
      <c r="AT187" s="6">
        <v>-23.800419474026654</v>
      </c>
      <c r="AU187" s="6">
        <v>28.865063573988724</v>
      </c>
      <c r="AV187" s="6">
        <f t="shared" si="131"/>
        <v>2.2603230135448875</v>
      </c>
      <c r="AW187" s="6">
        <f t="shared" si="132"/>
        <v>2.1730565509451814</v>
      </c>
      <c r="AX187" s="6">
        <f t="shared" si="133"/>
        <v>-9.5871476647457321E-2</v>
      </c>
      <c r="AY187" s="6">
        <f t="shared" si="134"/>
        <v>9.5871476647457321E-2</v>
      </c>
      <c r="BF187" s="40"/>
      <c r="BG187" s="6">
        <f t="shared" si="140"/>
        <v>-0.13962634015955674</v>
      </c>
      <c r="BH187" s="9">
        <f t="shared" ca="1" si="141"/>
        <v>78.534733920014588</v>
      </c>
      <c r="BI187" s="9">
        <f t="shared" ca="1" si="142"/>
        <v>-19.602968543333375</v>
      </c>
      <c r="BJ187">
        <f t="shared" ca="1" si="143"/>
        <v>80.944306826350712</v>
      </c>
      <c r="BK187" s="6">
        <f t="shared" ca="1" si="144"/>
        <v>0.97023171856292045</v>
      </c>
      <c r="BL187" s="6">
        <f t="shared" ca="1" si="145"/>
        <v>-0.24217847198799905</v>
      </c>
      <c r="BM187" s="6">
        <f t="shared" ca="1" si="146"/>
        <v>-0.2446105351226297</v>
      </c>
      <c r="BN187" s="6">
        <f t="shared" ca="1" si="147"/>
        <v>-0.52014556325482042</v>
      </c>
      <c r="BO187" s="9"/>
      <c r="BT187" s="40"/>
    </row>
    <row r="188" spans="45:72" x14ac:dyDescent="0.25">
      <c r="AS188" s="6">
        <v>0.10471975511964936</v>
      </c>
      <c r="AT188" s="6">
        <v>-24.104936984782089</v>
      </c>
      <c r="AU188" s="6">
        <v>29.324066671257093</v>
      </c>
      <c r="AV188" s="6">
        <f t="shared" si="131"/>
        <v>2.2588199685470651</v>
      </c>
      <c r="AW188" s="6">
        <f t="shared" si="132"/>
        <v>2.1541002134274159</v>
      </c>
      <c r="AX188" s="6">
        <f t="shared" si="133"/>
        <v>-9.737452164527971E-2</v>
      </c>
      <c r="AY188" s="6">
        <f t="shared" si="134"/>
        <v>9.737452164527971E-2</v>
      </c>
      <c r="BF188" s="40"/>
      <c r="BG188" s="6">
        <f t="shared" si="140"/>
        <v>-0.12217304763961345</v>
      </c>
      <c r="BH188" s="9">
        <f t="shared" ca="1" si="141"/>
        <v>79.002244295894798</v>
      </c>
      <c r="BI188" s="9">
        <f t="shared" ca="1" si="142"/>
        <v>-18.331538294346164</v>
      </c>
      <c r="BJ188">
        <f t="shared" ca="1" si="143"/>
        <v>81.101170768524184</v>
      </c>
      <c r="BK188" s="6">
        <f t="shared" ca="1" si="144"/>
        <v>0.97411965261734557</v>
      </c>
      <c r="BL188" s="6">
        <f t="shared" ca="1" si="145"/>
        <v>-0.22603296747302612</v>
      </c>
      <c r="BM188" s="6">
        <f t="shared" ca="1" si="146"/>
        <v>-0.22800331723445844</v>
      </c>
      <c r="BN188" s="6">
        <f t="shared" ca="1" si="147"/>
        <v>-0.5035383453666491</v>
      </c>
      <c r="BO188" s="9"/>
      <c r="BT188" s="40"/>
    </row>
    <row r="189" spans="45:72" x14ac:dyDescent="0.25">
      <c r="AS189" s="6">
        <v>0.12217304763959265</v>
      </c>
      <c r="AT189" s="6">
        <v>-24.399900795801663</v>
      </c>
      <c r="AU189" s="6">
        <v>29.785571100796425</v>
      </c>
      <c r="AV189" s="6">
        <f t="shared" si="131"/>
        <v>2.2571266135458421</v>
      </c>
      <c r="AW189" s="6">
        <f t="shared" si="132"/>
        <v>2.1349535659062493</v>
      </c>
      <c r="AX189" s="6">
        <f t="shared" si="133"/>
        <v>-9.9067876646502739E-2</v>
      </c>
      <c r="AY189" s="6">
        <f t="shared" si="134"/>
        <v>9.9067876646502739E-2</v>
      </c>
      <c r="BF189" s="40"/>
      <c r="BG189" s="6">
        <f t="shared" si="140"/>
        <v>-0.10471975511967016</v>
      </c>
      <c r="BH189" s="9">
        <f t="shared" ca="1" si="141"/>
        <v>79.464548413796535</v>
      </c>
      <c r="BI189" s="9">
        <f t="shared" ca="1" si="142"/>
        <v>-17.020077034564267</v>
      </c>
      <c r="BJ189">
        <f t="shared" ca="1" si="143"/>
        <v>81.26682888406016</v>
      </c>
      <c r="BK189" s="6">
        <f t="shared" ca="1" si="144"/>
        <v>0.97782267999118233</v>
      </c>
      <c r="BL189" s="6">
        <f t="shared" ca="1" si="145"/>
        <v>-0.20943449213265192</v>
      </c>
      <c r="BM189" s="6">
        <f t="shared" ca="1" si="146"/>
        <v>-0.21099659014204597</v>
      </c>
      <c r="BN189" s="6">
        <f t="shared" ca="1" si="147"/>
        <v>-0.48653161827423663</v>
      </c>
      <c r="BO189" s="9"/>
      <c r="BT189" s="40"/>
    </row>
    <row r="190" spans="45:72" x14ac:dyDescent="0.25">
      <c r="AS190" s="6">
        <v>0.13962634015953596</v>
      </c>
      <c r="AT190" s="6">
        <v>-24.688164527670111</v>
      </c>
      <c r="AU190" s="6">
        <v>30.250011931242213</v>
      </c>
      <c r="AV190" s="6">
        <f t="shared" si="131"/>
        <v>2.2552999523655837</v>
      </c>
      <c r="AW190" s="6">
        <f t="shared" si="132"/>
        <v>2.1156736122060478</v>
      </c>
      <c r="AX190" s="6">
        <f t="shared" si="133"/>
        <v>-0.10089453782676117</v>
      </c>
      <c r="AY190" s="6">
        <f t="shared" si="134"/>
        <v>0.10089453782676117</v>
      </c>
      <c r="BF190" s="40"/>
      <c r="BG190" s="6">
        <f t="shared" si="140"/>
        <v>-8.7266462599726868E-2</v>
      </c>
      <c r="BH190" s="9">
        <f t="shared" ca="1" si="141"/>
        <v>79.921683517572674</v>
      </c>
      <c r="BI190" s="9">
        <f t="shared" ca="1" si="142"/>
        <v>-15.665510486708278</v>
      </c>
      <c r="BJ190">
        <f t="shared" ca="1" si="143"/>
        <v>81.442517858255187</v>
      </c>
      <c r="BK190" s="6">
        <f t="shared" ca="1" si="144"/>
        <v>0.98132628532765387</v>
      </c>
      <c r="BL190" s="6">
        <f t="shared" ca="1" si="145"/>
        <v>-0.1923505178704441</v>
      </c>
      <c r="BM190" s="6">
        <f t="shared" ca="1" si="146"/>
        <v>-0.19355683281701411</v>
      </c>
      <c r="BN190" s="6">
        <f t="shared" ca="1" si="147"/>
        <v>-0.46909186094920474</v>
      </c>
      <c r="BO190" s="9"/>
      <c r="BT190" s="40"/>
    </row>
    <row r="191" spans="45:72" x14ac:dyDescent="0.25">
      <c r="AS191" s="6">
        <v>0.15707963267947925</v>
      </c>
      <c r="AT191" s="6">
        <v>-24.972119844813452</v>
      </c>
      <c r="AU191" s="6">
        <v>30.717784597331367</v>
      </c>
      <c r="AV191" s="6">
        <f t="shared" si="131"/>
        <v>2.2533857792459133</v>
      </c>
      <c r="AW191" s="6">
        <f t="shared" si="132"/>
        <v>2.0963061465664339</v>
      </c>
      <c r="AX191" s="6">
        <f t="shared" si="133"/>
        <v>-0.10280871094643151</v>
      </c>
      <c r="AY191" s="6">
        <f t="shared" si="134"/>
        <v>0.10280871094643151</v>
      </c>
      <c r="BF191" s="40"/>
      <c r="BG191" s="6">
        <f t="shared" si="140"/>
        <v>-6.9813170079783576E-2</v>
      </c>
      <c r="BH191" s="9">
        <f t="shared" ca="1" si="141"/>
        <v>80.37365560472459</v>
      </c>
      <c r="BI191" s="9">
        <f t="shared" ca="1" si="142"/>
        <v>-14.264485412626488</v>
      </c>
      <c r="BJ191">
        <f t="shared" ca="1" si="143"/>
        <v>81.629651838985026</v>
      </c>
      <c r="BK191" s="6">
        <f t="shared" ca="1" si="144"/>
        <v>0.98461348044534236</v>
      </c>
      <c r="BL191" s="6">
        <f t="shared" ca="1" si="145"/>
        <v>-0.17474637085018163</v>
      </c>
      <c r="BM191" s="6">
        <f t="shared" ca="1" si="146"/>
        <v>-0.17564816966899552</v>
      </c>
      <c r="BN191" s="6">
        <f t="shared" ca="1" si="147"/>
        <v>-0.45118319780118621</v>
      </c>
      <c r="BO191" s="9"/>
      <c r="BT191" s="40"/>
    </row>
    <row r="192" spans="45:72" x14ac:dyDescent="0.25">
      <c r="AS192" s="6">
        <v>0.17453292519942254</v>
      </c>
      <c r="AT192" s="6">
        <v>-25.253803696414046</v>
      </c>
      <c r="AU192" s="6">
        <v>31.18925961706131</v>
      </c>
      <c r="AV192" s="6">
        <f t="shared" si="131"/>
        <v>2.251421272999766</v>
      </c>
      <c r="AW192" s="6">
        <f t="shared" si="132"/>
        <v>2.0768883478003435</v>
      </c>
      <c r="AX192" s="6">
        <f t="shared" si="133"/>
        <v>-0.10477321719257882</v>
      </c>
      <c r="AY192" s="6">
        <f t="shared" si="134"/>
        <v>0.10477321719257882</v>
      </c>
      <c r="BF192" s="40"/>
      <c r="BG192" s="6">
        <f t="shared" si="140"/>
        <v>-5.2359877559840284E-2</v>
      </c>
      <c r="BH192" s="9">
        <f t="shared" ca="1" si="141"/>
        <v>80.82043867549487</v>
      </c>
      <c r="BI192" s="9">
        <f t="shared" ca="1" si="142"/>
        <v>-12.813332022756953</v>
      </c>
      <c r="BJ192">
        <f t="shared" ca="1" si="143"/>
        <v>81.829852653080323</v>
      </c>
      <c r="BK192" s="6">
        <f t="shared" ca="1" si="144"/>
        <v>0.98766447763428233</v>
      </c>
      <c r="BL192" s="6">
        <f t="shared" ca="1" si="145"/>
        <v>-0.15658505554298613</v>
      </c>
      <c r="BM192" s="6">
        <f t="shared" ca="1" si="146"/>
        <v>-0.1572321021533718</v>
      </c>
      <c r="BN192" s="6">
        <f t="shared" ca="1" si="147"/>
        <v>-0.43276713028556246</v>
      </c>
      <c r="BO192" s="9"/>
      <c r="BT192" s="40"/>
    </row>
    <row r="193" spans="45:72" x14ac:dyDescent="0.25">
      <c r="AS193" s="6">
        <v>0.19198621771936583</v>
      </c>
      <c r="AT193" s="6">
        <v>-25.534978874194536</v>
      </c>
      <c r="AU193" s="6">
        <v>31.664792963663508</v>
      </c>
      <c r="AV193" s="6">
        <f t="shared" si="131"/>
        <v>2.2494369167020434</v>
      </c>
      <c r="AW193" s="6">
        <f t="shared" si="132"/>
        <v>2.0574506989826777</v>
      </c>
      <c r="AX193" s="6">
        <f t="shared" si="133"/>
        <v>-0.10675757349030146</v>
      </c>
      <c r="AY193" s="6">
        <f t="shared" si="134"/>
        <v>0.10675757349030146</v>
      </c>
      <c r="BF193" s="40"/>
      <c r="BG193" s="6">
        <f t="shared" si="140"/>
        <v>-3.4906585039896992E-2</v>
      </c>
      <c r="BH193" s="9">
        <f t="shared" ca="1" si="141"/>
        <v>81.261973907459378</v>
      </c>
      <c r="BI193" s="9">
        <f t="shared" ca="1" si="142"/>
        <v>-11.308020198413232</v>
      </c>
      <c r="BJ193">
        <f t="shared" ca="1" si="143"/>
        <v>82.044985978086004</v>
      </c>
      <c r="BK193" s="6">
        <f t="shared" ca="1" si="144"/>
        <v>0.99045630806938323</v>
      </c>
      <c r="BL193" s="6">
        <f t="shared" ca="1" si="145"/>
        <v>-0.13782707210692405</v>
      </c>
      <c r="BM193" s="6">
        <f t="shared" ca="1" si="146"/>
        <v>-0.13826721249726484</v>
      </c>
      <c r="BN193" s="6">
        <f t="shared" ca="1" si="147"/>
        <v>-0.41380224062945548</v>
      </c>
      <c r="BO193" s="9"/>
      <c r="BT193" s="40"/>
    </row>
    <row r="194" spans="45:72" x14ac:dyDescent="0.25">
      <c r="AS194" s="6">
        <v>0.20943951023930912</v>
      </c>
      <c r="AT194" s="6">
        <v>-25.811237897336031</v>
      </c>
      <c r="AU194" s="6">
        <v>32.135898718510688</v>
      </c>
      <c r="AV194" s="6">
        <f t="shared" si="131"/>
        <v>2.2474794686800146</v>
      </c>
      <c r="AW194" s="6">
        <f t="shared" si="132"/>
        <v>2.0380399584407054</v>
      </c>
      <c r="AX194" s="6">
        <f t="shared" si="133"/>
        <v>-0.10871502151233026</v>
      </c>
      <c r="AY194" s="6">
        <f t="shared" si="134"/>
        <v>0.10871502151233026</v>
      </c>
      <c r="BF194" s="40"/>
      <c r="BG194" s="6">
        <f t="shared" si="140"/>
        <v>-1.7453292519953697E-2</v>
      </c>
      <c r="BH194" s="9">
        <f t="shared" ca="1" si="141"/>
        <v>81.698168662575966</v>
      </c>
      <c r="BI194" s="9">
        <f t="shared" ca="1" si="142"/>
        <v>-9.7441082209313272</v>
      </c>
      <c r="BJ194">
        <f t="shared" ca="1" si="143"/>
        <v>82.277204667149036</v>
      </c>
      <c r="BK194" s="6">
        <f t="shared" ca="1" si="144"/>
        <v>0.99296237631169471</v>
      </c>
      <c r="BL194" s="6">
        <f t="shared" ca="1" si="145"/>
        <v>-0.11843022937338407</v>
      </c>
      <c r="BM194" s="6">
        <f t="shared" ca="1" si="146"/>
        <v>-0.11870883628617576</v>
      </c>
      <c r="BN194" s="6">
        <f t="shared" ca="1" si="147"/>
        <v>-0.39424386441836645</v>
      </c>
      <c r="BO194" s="9"/>
      <c r="BT194" s="40"/>
    </row>
    <row r="195" spans="45:72" x14ac:dyDescent="0.25">
      <c r="AS195" s="6">
        <v>0.22689280275925242</v>
      </c>
      <c r="AT195" s="6">
        <v>-26.058848427389378</v>
      </c>
      <c r="AU195" s="6">
        <v>32.568849217575981</v>
      </c>
      <c r="AV195" s="6">
        <f t="shared" ref="AV195:AV258" si="148">ATAN2(AT195,AU195)</f>
        <v>2.2456078294948147</v>
      </c>
      <c r="AW195" s="6">
        <f t="shared" ref="AW195:AW258" si="149">ABS(AS195-AV195)</f>
        <v>2.0187150267355625</v>
      </c>
      <c r="AX195" s="6">
        <f t="shared" ref="AX195:AX258" si="150">AV195-$U$13</f>
        <v>-0.11058666069753009</v>
      </c>
      <c r="AY195" s="6">
        <f t="shared" ref="AY195:AY258" si="151">ABS(AX195)</f>
        <v>0.11058666069753009</v>
      </c>
      <c r="BF195" s="40"/>
      <c r="BG195" s="6">
        <f t="shared" si="140"/>
        <v>-1.0401401961956935E-14</v>
      </c>
      <c r="BH195" s="9">
        <f t="shared" ca="1" si="141"/>
        <v>82.128895356579363</v>
      </c>
      <c r="BI195" s="9">
        <f t="shared" ca="1" si="142"/>
        <v>-8.1166824164967366</v>
      </c>
      <c r="BJ195">
        <f t="shared" ca="1" si="143"/>
        <v>82.529000878129082</v>
      </c>
      <c r="BK195" s="6">
        <f t="shared" ca="1" si="144"/>
        <v>0.99515194032046317</v>
      </c>
      <c r="BL195" s="6">
        <f t="shared" ca="1" si="145"/>
        <v>-9.8349456919788414E-2</v>
      </c>
      <c r="BM195" s="6">
        <f t="shared" ca="1" si="146"/>
        <v>-9.8508700450340367E-2</v>
      </c>
      <c r="BN195" s="6">
        <f t="shared" ca="1" si="147"/>
        <v>-0.37404372858253104</v>
      </c>
      <c r="BO195" s="9"/>
      <c r="BT195" s="40"/>
    </row>
    <row r="196" spans="45:72" x14ac:dyDescent="0.25">
      <c r="AS196" s="6">
        <v>0.24434609527919571</v>
      </c>
      <c r="AT196" s="6">
        <v>-26.280903265894842</v>
      </c>
      <c r="AU196" s="6">
        <v>32.972285434669388</v>
      </c>
      <c r="AV196" s="6">
        <f t="shared" si="148"/>
        <v>2.2437422625681567</v>
      </c>
      <c r="AW196" s="6">
        <f t="shared" si="149"/>
        <v>1.9993961672889609</v>
      </c>
      <c r="AX196" s="6">
        <f t="shared" si="150"/>
        <v>-0.11245222762418816</v>
      </c>
      <c r="AY196" s="6">
        <f t="shared" si="151"/>
        <v>0.11245222762418816</v>
      </c>
      <c r="BF196" s="40"/>
      <c r="BG196" s="6">
        <f t="shared" si="140"/>
        <v>1.7453292519932894E-2</v>
      </c>
      <c r="BH196" s="9">
        <f t="shared" ca="1" si="141"/>
        <v>81.70359745406347</v>
      </c>
      <c r="BI196" s="9">
        <f t="shared" ca="1" si="142"/>
        <v>-7.6599959351566156</v>
      </c>
      <c r="BJ196">
        <f t="shared" ca="1" si="143"/>
        <v>82.061887467095602</v>
      </c>
      <c r="BK196" s="6">
        <f t="shared" ca="1" si="144"/>
        <v>0.99563390479927971</v>
      </c>
      <c r="BL196" s="6">
        <f t="shared" ca="1" si="145"/>
        <v>-9.3344135403027967E-2</v>
      </c>
      <c r="BM196" s="6">
        <f t="shared" ca="1" si="146"/>
        <v>-9.3480222894954945E-2</v>
      </c>
      <c r="BN196" s="6">
        <f t="shared" ca="1" si="147"/>
        <v>-0.36901525102714561</v>
      </c>
      <c r="BO196" s="9"/>
      <c r="BT196" s="40"/>
    </row>
    <row r="197" spans="45:72" x14ac:dyDescent="0.25">
      <c r="AS197" s="6">
        <v>0.26179938779913903</v>
      </c>
      <c r="AT197" s="6">
        <v>-26.482585944145022</v>
      </c>
      <c r="AU197" s="6">
        <v>33.355871010069258</v>
      </c>
      <c r="AV197" s="6">
        <f t="shared" si="148"/>
        <v>2.2418316813607326</v>
      </c>
      <c r="AW197" s="6">
        <f t="shared" si="149"/>
        <v>1.9800322935615937</v>
      </c>
      <c r="AX197" s="6">
        <f t="shared" si="150"/>
        <v>-0.11436280883161221</v>
      </c>
      <c r="AY197" s="6">
        <f t="shared" si="151"/>
        <v>0.11436280883161221</v>
      </c>
      <c r="BF197" s="40"/>
      <c r="BG197" s="6">
        <f t="shared" si="140"/>
        <v>3.490658503987619E-2</v>
      </c>
      <c r="BH197" s="9">
        <f t="shared" ca="1" si="141"/>
        <v>81.316682602221647</v>
      </c>
      <c r="BI197" s="9">
        <f t="shared" ca="1" si="142"/>
        <v>-7.2048461928539567</v>
      </c>
      <c r="BJ197">
        <f t="shared" ca="1" si="143"/>
        <v>81.635241642890591</v>
      </c>
      <c r="BK197" s="6">
        <f t="shared" ca="1" si="144"/>
        <v>0.99609777549183398</v>
      </c>
      <c r="BL197" s="6">
        <f t="shared" ca="1" si="145"/>
        <v>-8.8256567235645692E-2</v>
      </c>
      <c r="BM197" s="6">
        <f t="shared" ca="1" si="146"/>
        <v>-8.8371545704286361E-2</v>
      </c>
      <c r="BN197" s="6">
        <f t="shared" ca="1" si="147"/>
        <v>-0.36390657383647701</v>
      </c>
      <c r="BO197" s="9"/>
      <c r="BT197" s="40"/>
    </row>
    <row r="198" spans="45:72" x14ac:dyDescent="0.25">
      <c r="AS198" s="6">
        <v>0.27925268031908235</v>
      </c>
      <c r="AT198" s="6">
        <v>-26.667891133785851</v>
      </c>
      <c r="AU198" s="6">
        <v>33.726189280568335</v>
      </c>
      <c r="AV198" s="6">
        <f t="shared" si="148"/>
        <v>2.239851579553525</v>
      </c>
      <c r="AW198" s="6">
        <f t="shared" si="149"/>
        <v>1.9605988992344425</v>
      </c>
      <c r="AX198" s="6">
        <f t="shared" si="150"/>
        <v>-0.11634291063881985</v>
      </c>
      <c r="AY198" s="6">
        <f t="shared" si="151"/>
        <v>0.11634291063881985</v>
      </c>
      <c r="BF198" s="40"/>
      <c r="BG198" s="6">
        <f t="shared" si="140"/>
        <v>5.2359877559819482E-2</v>
      </c>
      <c r="BH198" s="9">
        <f t="shared" ca="1" si="141"/>
        <v>80.959238202003476</v>
      </c>
      <c r="BI198" s="9">
        <f t="shared" ca="1" si="142"/>
        <v>-6.7499531032204487</v>
      </c>
      <c r="BJ198">
        <f t="shared" ca="1" si="143"/>
        <v>81.240138583980851</v>
      </c>
      <c r="BK198" s="6">
        <f t="shared" ca="1" si="144"/>
        <v>0.99654234486950066</v>
      </c>
      <c r="BL198" s="6">
        <f t="shared" ca="1" si="145"/>
        <v>-8.308643019168141E-2</v>
      </c>
      <c r="BM198" s="6">
        <f t="shared" ca="1" si="146"/>
        <v>-8.3182324239423303E-2</v>
      </c>
      <c r="BN198" s="6">
        <f t="shared" ca="1" si="147"/>
        <v>-0.35871735237161395</v>
      </c>
      <c r="BO198" s="9"/>
      <c r="BT198" s="40"/>
    </row>
    <row r="199" spans="45:72" x14ac:dyDescent="0.25">
      <c r="AS199" s="6">
        <v>0.29670597283902567</v>
      </c>
      <c r="AT199" s="6">
        <v>-26.839957684780362</v>
      </c>
      <c r="AU199" s="6">
        <v>34.087837184450819</v>
      </c>
      <c r="AV199" s="6">
        <f t="shared" si="148"/>
        <v>2.237792398930126</v>
      </c>
      <c r="AW199" s="6">
        <f t="shared" si="149"/>
        <v>1.9410864260911005</v>
      </c>
      <c r="AX199" s="6">
        <f t="shared" si="150"/>
        <v>-0.11840209126221879</v>
      </c>
      <c r="AY199" s="6">
        <f t="shared" si="151"/>
        <v>0.11840209126221879</v>
      </c>
      <c r="BF199" s="40"/>
      <c r="BG199" s="6">
        <f t="shared" si="140"/>
        <v>6.9813170079762774E-2</v>
      </c>
      <c r="BH199" s="9">
        <f t="shared" ca="1" si="141"/>
        <v>80.624426176625818</v>
      </c>
      <c r="BI199" s="9">
        <f t="shared" ca="1" si="142"/>
        <v>-6.2943722014398737</v>
      </c>
      <c r="BJ199">
        <f t="shared" ca="1" si="143"/>
        <v>80.869754653519536</v>
      </c>
      <c r="BK199" s="6">
        <f t="shared" ca="1" si="144"/>
        <v>0.99696637540271005</v>
      </c>
      <c r="BL199" s="6">
        <f t="shared" ca="1" si="145"/>
        <v>-7.7833452424922581E-2</v>
      </c>
      <c r="BM199" s="6">
        <f t="shared" ca="1" si="146"/>
        <v>-7.7912253880086449E-2</v>
      </c>
      <c r="BN199" s="6">
        <f t="shared" ca="1" si="147"/>
        <v>-0.3534472820122771</v>
      </c>
      <c r="BO199" s="9"/>
      <c r="BT199" s="40"/>
    </row>
    <row r="200" spans="45:72" x14ac:dyDescent="0.25">
      <c r="AS200" s="6">
        <v>0.31415926535896899</v>
      </c>
      <c r="AT200" s="6">
        <v>-27.001295620998562</v>
      </c>
      <c r="AU200" s="6">
        <v>34.444100232504731</v>
      </c>
      <c r="AV200" s="6">
        <f t="shared" si="148"/>
        <v>2.2356529765369544</v>
      </c>
      <c r="AW200" s="6">
        <f t="shared" si="149"/>
        <v>1.9214937111779853</v>
      </c>
      <c r="AX200" s="6">
        <f t="shared" si="150"/>
        <v>-0.12054151365539045</v>
      </c>
      <c r="AY200" s="6">
        <f t="shared" si="151"/>
        <v>0.12054151365539045</v>
      </c>
      <c r="BF200" s="40"/>
      <c r="BG200" s="6">
        <f t="shared" si="140"/>
        <v>8.7266462599706066E-2</v>
      </c>
      <c r="BH200" s="9">
        <f t="shared" ca="1" si="141"/>
        <v>80.306894610028806</v>
      </c>
      <c r="BI200" s="9">
        <f t="shared" ca="1" si="142"/>
        <v>-5.8373744540297601</v>
      </c>
      <c r="BJ200">
        <f t="shared" ca="1" si="143"/>
        <v>80.518769628098724</v>
      </c>
      <c r="BK200" s="6">
        <f t="shared" ca="1" si="144"/>
        <v>0.99736862573722218</v>
      </c>
      <c r="BL200" s="6">
        <f t="shared" ca="1" si="145"/>
        <v>-7.2497064733993213E-2</v>
      </c>
      <c r="BM200" s="6">
        <f t="shared" ca="1" si="146"/>
        <v>-7.256072071020235E-2</v>
      </c>
      <c r="BN200" s="6">
        <f t="shared" ca="1" si="147"/>
        <v>-0.34809574884239303</v>
      </c>
      <c r="BO200" s="9"/>
      <c r="BT200" s="40"/>
    </row>
    <row r="201" spans="45:72" x14ac:dyDescent="0.25">
      <c r="AS201" s="6">
        <v>0.33161255787891231</v>
      </c>
      <c r="AT201" s="6">
        <v>-27.153944811786239</v>
      </c>
      <c r="AU201" s="6">
        <v>34.797380716673359</v>
      </c>
      <c r="AV201" s="6">
        <f t="shared" si="148"/>
        <v>2.2334367756307358</v>
      </c>
      <c r="AW201" s="6">
        <f t="shared" si="149"/>
        <v>1.9018242177518236</v>
      </c>
      <c r="AX201" s="6">
        <f t="shared" si="150"/>
        <v>-0.122757714561609</v>
      </c>
      <c r="AY201" s="6">
        <f t="shared" si="151"/>
        <v>0.122757714561609</v>
      </c>
      <c r="BF201" s="40"/>
      <c r="BG201" s="6">
        <f t="shared" si="140"/>
        <v>0.10471975511964936</v>
      </c>
      <c r="BH201" s="9">
        <f t="shared" ca="1" si="141"/>
        <v>80.002377099273374</v>
      </c>
      <c r="BI201" s="9">
        <f t="shared" ca="1" si="142"/>
        <v>-5.3783713567613916</v>
      </c>
      <c r="BJ201">
        <f t="shared" ca="1" si="143"/>
        <v>80.182960908073056</v>
      </c>
      <c r="BK201" s="6">
        <f t="shared" ca="1" si="144"/>
        <v>0.997747853075584</v>
      </c>
      <c r="BL201" s="6">
        <f t="shared" ca="1" si="145"/>
        <v>-6.7076237842195741E-2</v>
      </c>
      <c r="BM201" s="6">
        <f t="shared" ca="1" si="146"/>
        <v>-6.7126638429849714E-2</v>
      </c>
      <c r="BN201" s="6">
        <f t="shared" ca="1" si="147"/>
        <v>-0.34266166656204039</v>
      </c>
      <c r="BO201" s="9"/>
      <c r="BT201" s="40"/>
    </row>
    <row r="202" spans="45:72" x14ac:dyDescent="0.25">
      <c r="AS202" s="6">
        <v>0.34906585039885563</v>
      </c>
      <c r="AT202" s="6">
        <v>-27.316308577565948</v>
      </c>
      <c r="AU202" s="6">
        <v>35.151116041021709</v>
      </c>
      <c r="AV202" s="6">
        <f t="shared" si="148"/>
        <v>2.2314237237740744</v>
      </c>
      <c r="AW202" s="6">
        <f t="shared" si="149"/>
        <v>1.8823578733752186</v>
      </c>
      <c r="AX202" s="6">
        <f t="shared" si="150"/>
        <v>-0.12477076641827045</v>
      </c>
      <c r="AY202" s="6">
        <f t="shared" si="151"/>
        <v>0.12477076641827045</v>
      </c>
      <c r="BF202" s="40"/>
      <c r="BG202" s="6">
        <f t="shared" si="140"/>
        <v>0.12217304763959265</v>
      </c>
      <c r="BH202" s="9">
        <f t="shared" ca="1" si="141"/>
        <v>79.707413288253804</v>
      </c>
      <c r="BI202" s="9">
        <f t="shared" ca="1" si="142"/>
        <v>-4.9168669272220598</v>
      </c>
      <c r="BJ202">
        <f t="shared" ca="1" si="143"/>
        <v>79.858921314305945</v>
      </c>
      <c r="BK202" s="6">
        <f t="shared" ca="1" si="144"/>
        <v>0.99810280400037155</v>
      </c>
      <c r="BL202" s="6">
        <f t="shared" ca="1" si="145"/>
        <v>-6.156941323900967E-2</v>
      </c>
      <c r="BM202" s="6">
        <f t="shared" ca="1" si="146"/>
        <v>-6.160837922589131E-2</v>
      </c>
      <c r="BN202" s="6">
        <f t="shared" ca="1" si="147"/>
        <v>-0.33714340735808196</v>
      </c>
      <c r="BO202" s="9"/>
      <c r="BT202" s="40"/>
    </row>
    <row r="203" spans="45:72" x14ac:dyDescent="0.25">
      <c r="AS203" s="6">
        <v>0.36651914291879895</v>
      </c>
      <c r="AT203" s="6">
        <v>-27.515845287802314</v>
      </c>
      <c r="AU203" s="6">
        <v>35.507910759866427</v>
      </c>
      <c r="AV203" s="6">
        <f t="shared" si="148"/>
        <v>2.2300573819444987</v>
      </c>
      <c r="AW203" s="6">
        <f t="shared" si="149"/>
        <v>1.8635382390256998</v>
      </c>
      <c r="AX203" s="6">
        <f t="shared" si="150"/>
        <v>-0.12613710824784619</v>
      </c>
      <c r="AY203" s="6">
        <f t="shared" si="151"/>
        <v>0.12613710824784619</v>
      </c>
      <c r="BF203" s="40"/>
      <c r="BG203" s="6">
        <f t="shared" si="140"/>
        <v>0.13962634015953596</v>
      </c>
      <c r="BH203" s="9">
        <f t="shared" ca="1" si="141"/>
        <v>79.419149556385349</v>
      </c>
      <c r="BI203" s="9">
        <f t="shared" ca="1" si="142"/>
        <v>-4.4524260967762714</v>
      </c>
      <c r="BJ203">
        <f t="shared" ca="1" si="143"/>
        <v>79.54385843298499</v>
      </c>
      <c r="BK203" s="6">
        <f t="shared" ca="1" si="144"/>
        <v>0.99843219980704467</v>
      </c>
      <c r="BL203" s="6">
        <f t="shared" ca="1" si="145"/>
        <v>-5.5974479796292526E-2</v>
      </c>
      <c r="BM203" s="6">
        <f t="shared" ca="1" si="146"/>
        <v>-5.6003750420052692E-2</v>
      </c>
      <c r="BN203" s="6">
        <f t="shared" ca="1" si="147"/>
        <v>-0.33153877855224334</v>
      </c>
      <c r="BO203" s="9"/>
      <c r="BT203" s="40"/>
    </row>
    <row r="204" spans="45:72" x14ac:dyDescent="0.25">
      <c r="AS204" s="6">
        <v>0.38397243543874227</v>
      </c>
      <c r="AT204" s="6">
        <v>-27.705537378797082</v>
      </c>
      <c r="AU204" s="6">
        <v>35.863680014353889</v>
      </c>
      <c r="AV204" s="6">
        <f t="shared" si="148"/>
        <v>2.2285573617110397</v>
      </c>
      <c r="AW204" s="6">
        <f t="shared" si="149"/>
        <v>1.8445849262722973</v>
      </c>
      <c r="AX204" s="6">
        <f t="shared" si="150"/>
        <v>-0.12763712848130515</v>
      </c>
      <c r="AY204" s="6">
        <f t="shared" si="151"/>
        <v>0.12763712848130515</v>
      </c>
      <c r="BF204" s="40"/>
      <c r="BG204" s="6">
        <f t="shared" si="140"/>
        <v>0.15707963267947925</v>
      </c>
      <c r="BH204" s="9">
        <f t="shared" ca="1" si="141"/>
        <v>79.135194239242011</v>
      </c>
      <c r="BI204" s="9">
        <f t="shared" ca="1" si="142"/>
        <v>-3.9846534306871177</v>
      </c>
      <c r="BJ204">
        <f t="shared" ca="1" si="143"/>
        <v>79.235449328222089</v>
      </c>
      <c r="BK204" s="6">
        <f t="shared" ca="1" si="144"/>
        <v>0.99873471924712909</v>
      </c>
      <c r="BL204" s="6">
        <f t="shared" ca="1" si="145"/>
        <v>-5.0288771811985718E-2</v>
      </c>
      <c r="BM204" s="6">
        <f t="shared" ca="1" si="146"/>
        <v>-5.0309992357372914E-2</v>
      </c>
      <c r="BN204" s="6">
        <f t="shared" ca="1" si="147"/>
        <v>-0.3258450204895636</v>
      </c>
      <c r="BO204" s="9"/>
      <c r="BT204" s="40"/>
    </row>
    <row r="205" spans="45:72" x14ac:dyDescent="0.25">
      <c r="AS205" s="6">
        <v>0.40142572795868559</v>
      </c>
      <c r="AT205" s="6">
        <v>-27.886955418618783</v>
      </c>
      <c r="AU205" s="6">
        <v>36.219712335609401</v>
      </c>
      <c r="AV205" s="6">
        <f t="shared" si="148"/>
        <v>2.2269365116437601</v>
      </c>
      <c r="AW205" s="6">
        <f t="shared" si="149"/>
        <v>1.8255107836850746</v>
      </c>
      <c r="AX205" s="6">
        <f t="shared" si="150"/>
        <v>-0.12925797854858478</v>
      </c>
      <c r="AY205" s="6">
        <f t="shared" si="151"/>
        <v>0.12925797854858478</v>
      </c>
      <c r="BF205" s="40"/>
      <c r="BG205" s="6">
        <f t="shared" si="140"/>
        <v>0.17453292519942254</v>
      </c>
      <c r="BH205" s="9">
        <f t="shared" ca="1" si="141"/>
        <v>78.853510387641421</v>
      </c>
      <c r="BI205" s="9">
        <f t="shared" ca="1" si="142"/>
        <v>-3.513178410957174</v>
      </c>
      <c r="BJ205">
        <f t="shared" ca="1" si="143"/>
        <v>78.93173330797373</v>
      </c>
      <c r="BK205" s="6">
        <f t="shared" ca="1" si="144"/>
        <v>0.9990089800761488</v>
      </c>
      <c r="BL205" s="6">
        <f t="shared" ca="1" si="145"/>
        <v>-4.4509074661385532E-2</v>
      </c>
      <c r="BM205" s="6">
        <f t="shared" ca="1" si="146"/>
        <v>-4.4523783618892525E-2</v>
      </c>
      <c r="BN205" s="6">
        <f t="shared" ca="1" si="147"/>
        <v>-0.32005881175108319</v>
      </c>
      <c r="BO205" s="9"/>
      <c r="BT205" s="40"/>
    </row>
    <row r="206" spans="45:72" x14ac:dyDescent="0.25">
      <c r="AS206" s="6">
        <v>0.41887902047862891</v>
      </c>
      <c r="AT206" s="6">
        <v>-28.061457263427791</v>
      </c>
      <c r="AU206" s="6">
        <v>36.577062823316993</v>
      </c>
      <c r="AV206" s="6">
        <f t="shared" si="148"/>
        <v>2.2252068555469364</v>
      </c>
      <c r="AW206" s="6">
        <f t="shared" si="149"/>
        <v>1.8063278350683074</v>
      </c>
      <c r="AX206" s="6">
        <f t="shared" si="150"/>
        <v>-0.13098763464540841</v>
      </c>
      <c r="AY206" s="6">
        <f t="shared" si="151"/>
        <v>0.13098763464540841</v>
      </c>
      <c r="BF206" s="40"/>
      <c r="BG206" s="6">
        <f t="shared" si="140"/>
        <v>0.19198621771936583</v>
      </c>
      <c r="BH206" s="9">
        <f t="shared" ca="1" si="141"/>
        <v>78.572335209860924</v>
      </c>
      <c r="BI206" s="9">
        <f t="shared" ca="1" si="142"/>
        <v>-3.0376450643549759</v>
      </c>
      <c r="BJ206">
        <f t="shared" ca="1" si="143"/>
        <v>78.631031710564187</v>
      </c>
      <c r="BK206" s="6">
        <f t="shared" ca="1" si="144"/>
        <v>0.99925351989632638</v>
      </c>
      <c r="BL206" s="6">
        <f t="shared" ca="1" si="145"/>
        <v>-3.8631631790567798E-2</v>
      </c>
      <c r="BM206" s="6">
        <f t="shared" ca="1" si="146"/>
        <v>-3.8641247243228052E-2</v>
      </c>
      <c r="BN206" s="6">
        <f t="shared" ca="1" si="147"/>
        <v>-0.3141762753754187</v>
      </c>
      <c r="BO206" s="9"/>
      <c r="BT206" s="40"/>
    </row>
    <row r="207" spans="45:72" x14ac:dyDescent="0.25">
      <c r="AS207" s="6">
        <v>0.43633231299857222</v>
      </c>
      <c r="AT207" s="6">
        <v>-28.230230455305843</v>
      </c>
      <c r="AU207" s="6">
        <v>36.936616993249721</v>
      </c>
      <c r="AV207" s="6">
        <f t="shared" si="148"/>
        <v>2.2233795152515601</v>
      </c>
      <c r="AW207" s="6">
        <f t="shared" si="149"/>
        <v>1.787047202252988</v>
      </c>
      <c r="AX207" s="6">
        <f t="shared" si="150"/>
        <v>-0.13281497494078476</v>
      </c>
      <c r="AY207" s="6">
        <f t="shared" si="151"/>
        <v>0.13281497494078476</v>
      </c>
      <c r="BF207" s="40"/>
      <c r="BG207" s="6">
        <f t="shared" si="140"/>
        <v>0.20943951023930912</v>
      </c>
      <c r="BH207" s="9">
        <f t="shared" ca="1" si="141"/>
        <v>78.296076186719432</v>
      </c>
      <c r="BI207" s="9">
        <f t="shared" ca="1" si="142"/>
        <v>-2.566539309507796</v>
      </c>
      <c r="BJ207">
        <f t="shared" ca="1" si="143"/>
        <v>78.338130372532021</v>
      </c>
      <c r="BK207" s="6">
        <f t="shared" ca="1" si="144"/>
        <v>0.99946317092822357</v>
      </c>
      <c r="BL207" s="6">
        <f t="shared" ca="1" si="145"/>
        <v>-3.2762325285308452E-2</v>
      </c>
      <c r="BM207" s="6">
        <f t="shared" ca="1" si="146"/>
        <v>-3.2768189134038936E-2</v>
      </c>
      <c r="BN207" s="6">
        <f t="shared" ca="1" si="147"/>
        <v>-0.30830321726622961</v>
      </c>
      <c r="BO207" s="9"/>
      <c r="BT207" s="40"/>
    </row>
    <row r="208" spans="45:72" x14ac:dyDescent="0.25">
      <c r="AS208" s="6">
        <v>0.45378560551851554</v>
      </c>
      <c r="AT208" s="6">
        <v>-28.394325668260954</v>
      </c>
      <c r="AU208" s="6">
        <v>37.299137170815264</v>
      </c>
      <c r="AV208" s="6">
        <f t="shared" si="148"/>
        <v>2.2214647100774121</v>
      </c>
      <c r="AW208" s="6">
        <f t="shared" si="149"/>
        <v>1.7676791045588964</v>
      </c>
      <c r="AX208" s="6">
        <f t="shared" si="150"/>
        <v>-0.13472978011493275</v>
      </c>
      <c r="AY208" s="6">
        <f t="shared" si="151"/>
        <v>0.13472978011493275</v>
      </c>
      <c r="BF208" s="40"/>
      <c r="BG208" s="6">
        <f t="shared" ref="BG208:BG271" si="152">AS195</f>
        <v>0.22689280275925242</v>
      </c>
      <c r="BH208" s="9">
        <f t="shared" ref="BH208:BH271" ca="1" si="153">AT195-$BG$5</f>
        <v>78.048465656666082</v>
      </c>
      <c r="BI208" s="9">
        <f t="shared" ref="BI208:BI271" ca="1" si="154">AU195-$BH$5</f>
        <v>-2.1335888104425038</v>
      </c>
      <c r="BJ208">
        <f t="shared" ref="BJ208:BJ271" ca="1" si="155">SQRT(POWER(BH208,2)+POWER(BI208,2))</f>
        <v>78.077622867066282</v>
      </c>
      <c r="BK208" s="6">
        <f t="shared" ref="BK208:BK271" ca="1" si="156">BH208/BJ208</f>
        <v>0.99962656124341998</v>
      </c>
      <c r="BL208" s="6">
        <f t="shared" ref="BL208:BL271" ca="1" si="157">BI208/BJ208</f>
        <v>-2.7326508314361956E-2</v>
      </c>
      <c r="BM208" s="6">
        <f t="shared" ref="BM208:BM271" ca="1" si="158">ATAN2(BK208,BL208)</f>
        <v>-2.7329910414986735E-2</v>
      </c>
      <c r="BN208" s="6">
        <f t="shared" ref="BN208:BN271" ca="1" si="159">BM208-$BJ$11</f>
        <v>-0.30286493854717739</v>
      </c>
      <c r="BO208" s="9"/>
      <c r="BT208" s="40"/>
    </row>
    <row r="209" spans="45:72" x14ac:dyDescent="0.25">
      <c r="AS209" s="6">
        <v>0.47123889803845886</v>
      </c>
      <c r="AT209" s="6">
        <v>-28.554683225294802</v>
      </c>
      <c r="AU209" s="6">
        <v>37.66529666602014</v>
      </c>
      <c r="AV209" s="6">
        <f t="shared" si="148"/>
        <v>2.2194717961794121</v>
      </c>
      <c r="AW209" s="6">
        <f t="shared" si="149"/>
        <v>1.7482328981409534</v>
      </c>
      <c r="AX209" s="6">
        <f t="shared" si="150"/>
        <v>-0.13672269401293269</v>
      </c>
      <c r="AY209" s="6">
        <f t="shared" si="151"/>
        <v>0.13672269401293269</v>
      </c>
      <c r="BF209" s="40"/>
      <c r="BG209" s="6">
        <f t="shared" si="152"/>
        <v>0.24434609527919571</v>
      </c>
      <c r="BH209" s="9">
        <f t="shared" ca="1" si="153"/>
        <v>77.82641081816061</v>
      </c>
      <c r="BI209" s="9">
        <f t="shared" ca="1" si="154"/>
        <v>-1.7301525933490964</v>
      </c>
      <c r="BJ209">
        <f t="shared" ca="1" si="155"/>
        <v>77.845639883254734</v>
      </c>
      <c r="BK209" s="6">
        <f t="shared" ca="1" si="156"/>
        <v>0.99975298468709406</v>
      </c>
      <c r="BL209" s="6">
        <f t="shared" ca="1" si="157"/>
        <v>-2.2225427088065689E-2</v>
      </c>
      <c r="BM209" s="6">
        <f t="shared" ca="1" si="158"/>
        <v>-2.2227257275842939E-2</v>
      </c>
      <c r="BN209" s="6">
        <f t="shared" ca="1" si="159"/>
        <v>-0.29776228540803362</v>
      </c>
      <c r="BO209" s="9"/>
      <c r="BT209" s="40"/>
    </row>
    <row r="210" spans="45:72" x14ac:dyDescent="0.25">
      <c r="AS210" s="6">
        <v>0.48869219055840218</v>
      </c>
      <c r="AT210" s="6">
        <v>-28.712154654333354</v>
      </c>
      <c r="AU210" s="6">
        <v>38.035705388080324</v>
      </c>
      <c r="AV210" s="6">
        <f t="shared" si="148"/>
        <v>2.2174093303462366</v>
      </c>
      <c r="AW210" s="6">
        <f t="shared" si="149"/>
        <v>1.7287171397878343</v>
      </c>
      <c r="AX210" s="6">
        <f t="shared" si="150"/>
        <v>-0.13878515984610829</v>
      </c>
      <c r="AY210" s="6">
        <f t="shared" si="151"/>
        <v>0.13878515984610829</v>
      </c>
      <c r="BF210" s="40"/>
      <c r="BG210" s="6">
        <f t="shared" si="152"/>
        <v>0.26179938779913903</v>
      </c>
      <c r="BH210" s="9">
        <f t="shared" ca="1" si="153"/>
        <v>77.624728139910445</v>
      </c>
      <c r="BI210" s="9">
        <f t="shared" ca="1" si="154"/>
        <v>-1.3465670179492264</v>
      </c>
      <c r="BJ210">
        <f t="shared" ca="1" si="155"/>
        <v>77.636406804596731</v>
      </c>
      <c r="BK210" s="6">
        <f t="shared" ca="1" si="156"/>
        <v>0.99984957231836247</v>
      </c>
      <c r="BL210" s="6">
        <f t="shared" ca="1" si="157"/>
        <v>-1.7344530399744082E-2</v>
      </c>
      <c r="BM210" s="6">
        <f t="shared" ca="1" si="158"/>
        <v>-1.7345400151243896E-2</v>
      </c>
      <c r="BN210" s="6">
        <f t="shared" ca="1" si="159"/>
        <v>-0.29288042828343458</v>
      </c>
      <c r="BO210" s="9"/>
      <c r="BT210" s="40"/>
    </row>
    <row r="211" spans="45:72" x14ac:dyDescent="0.25">
      <c r="AS211" s="6">
        <v>0.5061454830783455</v>
      </c>
      <c r="AT211" s="6">
        <v>-28.867520266401161</v>
      </c>
      <c r="AU211" s="6">
        <v>38.410929318918853</v>
      </c>
      <c r="AV211" s="6">
        <f t="shared" si="148"/>
        <v>2.2152851430090181</v>
      </c>
      <c r="AW211" s="6">
        <f t="shared" si="149"/>
        <v>1.7091396599306727</v>
      </c>
      <c r="AX211" s="6">
        <f t="shared" si="150"/>
        <v>-0.14090934718332671</v>
      </c>
      <c r="AY211" s="6">
        <f t="shared" si="151"/>
        <v>0.14090934718332671</v>
      </c>
      <c r="BF211" s="40"/>
      <c r="BG211" s="6">
        <f t="shared" si="152"/>
        <v>0.27925268031908235</v>
      </c>
      <c r="BH211" s="9">
        <f t="shared" ca="1" si="153"/>
        <v>77.439422950269602</v>
      </c>
      <c r="BI211" s="9">
        <f t="shared" ca="1" si="154"/>
        <v>-0.97624874745014978</v>
      </c>
      <c r="BJ211">
        <f t="shared" ca="1" si="155"/>
        <v>77.445576300313249</v>
      </c>
      <c r="BK211" s="6">
        <f t="shared" ca="1" si="156"/>
        <v>0.99992054613913928</v>
      </c>
      <c r="BL211" s="6">
        <f t="shared" ca="1" si="157"/>
        <v>-1.2605610211544143E-2</v>
      </c>
      <c r="BM211" s="6">
        <f t="shared" ca="1" si="158"/>
        <v>-1.2605944076954862E-2</v>
      </c>
      <c r="BN211" s="6">
        <f t="shared" ca="1" si="159"/>
        <v>-0.28814097220914553</v>
      </c>
      <c r="BO211" s="9"/>
      <c r="BT211" s="40"/>
    </row>
    <row r="212" spans="45:72" x14ac:dyDescent="0.25">
      <c r="AS212" s="6">
        <v>0.52359877559828882</v>
      </c>
      <c r="AT212" s="6">
        <v>-29.021503876554455</v>
      </c>
      <c r="AU212" s="6">
        <v>38.791505617020377</v>
      </c>
      <c r="AV212" s="6">
        <f t="shared" si="148"/>
        <v>2.2131064164233085</v>
      </c>
      <c r="AW212" s="6">
        <f t="shared" si="149"/>
        <v>1.6895076408250196</v>
      </c>
      <c r="AX212" s="6">
        <f t="shared" si="150"/>
        <v>-0.14308807376903632</v>
      </c>
      <c r="AY212" s="6">
        <f t="shared" si="151"/>
        <v>0.14308807376903632</v>
      </c>
      <c r="BF212" s="40"/>
      <c r="BG212" s="6">
        <f t="shared" si="152"/>
        <v>0.29670597283902567</v>
      </c>
      <c r="BH212" s="9">
        <f t="shared" ca="1" si="153"/>
        <v>77.267356399275101</v>
      </c>
      <c r="BI212" s="9">
        <f t="shared" ca="1" si="154"/>
        <v>-0.61460084356766487</v>
      </c>
      <c r="BJ212">
        <f t="shared" ca="1" si="155"/>
        <v>77.269800692958398</v>
      </c>
      <c r="BK212" s="6">
        <f t="shared" ca="1" si="156"/>
        <v>0.99996836676604084</v>
      </c>
      <c r="BL212" s="6">
        <f t="shared" ca="1" si="157"/>
        <v>-7.9539592189432611E-3</v>
      </c>
      <c r="BM212" s="6">
        <f t="shared" ca="1" si="158"/>
        <v>-7.9540430898221298E-3</v>
      </c>
      <c r="BN212" s="6">
        <f t="shared" ca="1" si="159"/>
        <v>-0.28348907122201278</v>
      </c>
      <c r="BO212" s="9"/>
      <c r="BT212" s="40"/>
    </row>
    <row r="213" spans="45:72" x14ac:dyDescent="0.25">
      <c r="AS213" s="6">
        <v>0.54105206811823214</v>
      </c>
      <c r="AT213" s="6">
        <v>-29.174785098788178</v>
      </c>
      <c r="AU213" s="6">
        <v>39.177954518232539</v>
      </c>
      <c r="AV213" s="6">
        <f t="shared" si="148"/>
        <v>2.2108797604009571</v>
      </c>
      <c r="AW213" s="6">
        <f t="shared" si="149"/>
        <v>1.6698276922827251</v>
      </c>
      <c r="AX213" s="6">
        <f t="shared" si="150"/>
        <v>-0.14531472979138771</v>
      </c>
      <c r="AY213" s="6">
        <f t="shared" si="151"/>
        <v>0.14531472979138771</v>
      </c>
      <c r="BF213" s="40"/>
      <c r="BG213" s="6">
        <f t="shared" si="152"/>
        <v>0.31415926535896899</v>
      </c>
      <c r="BH213" s="9">
        <f t="shared" ca="1" si="153"/>
        <v>77.106018463056898</v>
      </c>
      <c r="BI213" s="9">
        <f t="shared" ca="1" si="154"/>
        <v>-0.25833779551375358</v>
      </c>
      <c r="BJ213">
        <f t="shared" ca="1" si="155"/>
        <v>77.106451232318179</v>
      </c>
      <c r="BK213" s="6">
        <f t="shared" ca="1" si="156"/>
        <v>0.99999438737933899</v>
      </c>
      <c r="BL213" s="6">
        <f t="shared" ca="1" si="157"/>
        <v>-3.3504044264129561E-3</v>
      </c>
      <c r="BM213" s="6">
        <f t="shared" ca="1" si="158"/>
        <v>-3.3504106946100642E-3</v>
      </c>
      <c r="BN213" s="6">
        <f t="shared" ca="1" si="159"/>
        <v>-0.27888543882680072</v>
      </c>
      <c r="BO213" s="9"/>
      <c r="BT213" s="40"/>
    </row>
    <row r="214" spans="45:72" x14ac:dyDescent="0.25">
      <c r="AS214" s="6">
        <v>0.55850536063817546</v>
      </c>
      <c r="AT214" s="6">
        <v>-29.328010044333272</v>
      </c>
      <c r="AU214" s="6">
        <v>39.570788975059614</v>
      </c>
      <c r="AV214" s="6">
        <f t="shared" si="148"/>
        <v>2.208611287634608</v>
      </c>
      <c r="AW214" s="6">
        <f t="shared" si="149"/>
        <v>1.6501059269964324</v>
      </c>
      <c r="AX214" s="6">
        <f t="shared" si="150"/>
        <v>-0.14758320255773683</v>
      </c>
      <c r="AY214" s="6">
        <f t="shared" si="151"/>
        <v>0.14758320255773683</v>
      </c>
      <c r="BF214" s="40"/>
      <c r="BG214" s="6">
        <f t="shared" si="152"/>
        <v>0.33161255787891231</v>
      </c>
      <c r="BH214" s="9">
        <f t="shared" ca="1" si="153"/>
        <v>76.953369272269214</v>
      </c>
      <c r="BI214" s="9">
        <f t="shared" ca="1" si="154"/>
        <v>9.4942688654874985E-2</v>
      </c>
      <c r="BJ214">
        <f t="shared" ca="1" si="155"/>
        <v>76.953427840924391</v>
      </c>
      <c r="BK214" s="6">
        <f t="shared" ca="1" si="156"/>
        <v>0.99999923890778075</v>
      </c>
      <c r="BL214" s="6">
        <f t="shared" ca="1" si="157"/>
        <v>1.2337681545666478E-3</v>
      </c>
      <c r="BM214" s="6">
        <f t="shared" ca="1" si="158"/>
        <v>1.2337684675705241E-3</v>
      </c>
      <c r="BN214" s="6">
        <f t="shared" ca="1" si="159"/>
        <v>-0.27430125966462016</v>
      </c>
      <c r="BO214" s="9"/>
      <c r="BT214" s="40"/>
    </row>
    <row r="215" spans="45:72" x14ac:dyDescent="0.25">
      <c r="AS215" s="6">
        <v>0.57595865315811878</v>
      </c>
      <c r="AT215" s="6">
        <v>-29.481800514968015</v>
      </c>
      <c r="AU215" s="6">
        <v>39.970522604845286</v>
      </c>
      <c r="AV215" s="6">
        <f t="shared" si="148"/>
        <v>2.206306683120685</v>
      </c>
      <c r="AW215" s="6">
        <f t="shared" si="149"/>
        <v>1.6303480299625663</v>
      </c>
      <c r="AX215" s="6">
        <f t="shared" si="150"/>
        <v>-0.14988780707165983</v>
      </c>
      <c r="AY215" s="6">
        <f t="shared" si="151"/>
        <v>0.14988780707165983</v>
      </c>
      <c r="BF215" s="40"/>
      <c r="BG215" s="6">
        <f t="shared" si="152"/>
        <v>0.34906585039885563</v>
      </c>
      <c r="BH215" s="9">
        <f t="shared" ca="1" si="153"/>
        <v>76.791005506489512</v>
      </c>
      <c r="BI215" s="9">
        <f t="shared" ca="1" si="154"/>
        <v>0.44867801300322441</v>
      </c>
      <c r="BJ215">
        <f t="shared" ca="1" si="155"/>
        <v>76.792316273550796</v>
      </c>
      <c r="BK215" s="6">
        <f t="shared" ca="1" si="156"/>
        <v>0.99998293101282931</v>
      </c>
      <c r="BL215" s="6">
        <f t="shared" ca="1" si="157"/>
        <v>5.8427461857633849E-3</v>
      </c>
      <c r="BM215" s="6">
        <f t="shared" ca="1" si="158"/>
        <v>5.8427794292435862E-3</v>
      </c>
      <c r="BN215" s="6">
        <f t="shared" ca="1" si="159"/>
        <v>-0.26969224870294706</v>
      </c>
      <c r="BO215" s="9"/>
      <c r="BT215" s="40"/>
    </row>
    <row r="216" spans="45:72" x14ac:dyDescent="0.25">
      <c r="AS216" s="6">
        <v>0.5934119456780621</v>
      </c>
      <c r="AT216" s="6">
        <v>-29.636762396853516</v>
      </c>
      <c r="AU216" s="6">
        <v>40.377676498585672</v>
      </c>
      <c r="AV216" s="6">
        <f t="shared" si="148"/>
        <v>2.2039712725905654</v>
      </c>
      <c r="AW216" s="6">
        <f t="shared" si="149"/>
        <v>1.6105593269125031</v>
      </c>
      <c r="AX216" s="6">
        <f t="shared" si="150"/>
        <v>-0.15222321760177948</v>
      </c>
      <c r="AY216" s="6">
        <f t="shared" si="151"/>
        <v>0.15222321760177948</v>
      </c>
      <c r="BF216" s="40"/>
      <c r="BG216" s="6">
        <f t="shared" si="152"/>
        <v>0.36651914291879895</v>
      </c>
      <c r="BH216" s="9">
        <f t="shared" ca="1" si="153"/>
        <v>76.591468796253139</v>
      </c>
      <c r="BI216" s="9">
        <f t="shared" ca="1" si="154"/>
        <v>0.80547273184794221</v>
      </c>
      <c r="BJ216">
        <f t="shared" ca="1" si="155"/>
        <v>76.59570404852461</v>
      </c>
      <c r="BK216" s="6">
        <f t="shared" ca="1" si="156"/>
        <v>0.99994470639934596</v>
      </c>
      <c r="BL216" s="6">
        <f t="shared" ca="1" si="157"/>
        <v>1.0515899577575033E-2</v>
      </c>
      <c r="BM216" s="6">
        <f t="shared" ca="1" si="158"/>
        <v>1.0516093402512538E-2</v>
      </c>
      <c r="BN216" s="6">
        <f t="shared" ca="1" si="159"/>
        <v>-0.26501893472967814</v>
      </c>
      <c r="BO216" s="9"/>
      <c r="BT216" s="40"/>
    </row>
    <row r="217" spans="45:72" x14ac:dyDescent="0.25">
      <c r="AS217" s="6">
        <v>0.61086523819800542</v>
      </c>
      <c r="AT217" s="6">
        <v>-29.793493085883615</v>
      </c>
      <c r="AU217" s="6">
        <v>40.792785154130186</v>
      </c>
      <c r="AV217" s="6">
        <f t="shared" si="148"/>
        <v>2.2016100840547503</v>
      </c>
      <c r="AW217" s="6">
        <f t="shared" si="149"/>
        <v>1.590744845856745</v>
      </c>
      <c r="AX217" s="6">
        <f t="shared" si="150"/>
        <v>-0.1545844061375945</v>
      </c>
      <c r="AY217" s="6">
        <f t="shared" si="151"/>
        <v>0.1545844061375945</v>
      </c>
      <c r="BF217" s="40"/>
      <c r="BG217" s="6">
        <f t="shared" si="152"/>
        <v>0.38397243543874227</v>
      </c>
      <c r="BH217" s="9">
        <f t="shared" ca="1" si="153"/>
        <v>76.401776705258385</v>
      </c>
      <c r="BI217" s="9">
        <f t="shared" ca="1" si="154"/>
        <v>1.1612419863354049</v>
      </c>
      <c r="BJ217">
        <f t="shared" ca="1" si="155"/>
        <v>76.410601140620471</v>
      </c>
      <c r="BK217" s="6">
        <f t="shared" ca="1" si="156"/>
        <v>0.99988451294414182</v>
      </c>
      <c r="BL217" s="6">
        <f t="shared" ca="1" si="157"/>
        <v>1.5197393673141508E-2</v>
      </c>
      <c r="BM217" s="6">
        <f t="shared" ca="1" si="158"/>
        <v>1.5197978734252399E-2</v>
      </c>
      <c r="BN217" s="6">
        <f t="shared" ca="1" si="159"/>
        <v>-0.26033704939793828</v>
      </c>
      <c r="BO217" s="9"/>
      <c r="BT217" s="40"/>
    </row>
    <row r="218" spans="45:72" x14ac:dyDescent="0.25">
      <c r="AS218" s="6">
        <v>0.62831853071794874</v>
      </c>
      <c r="AT218" s="6">
        <v>-29.952588555358123</v>
      </c>
      <c r="AU218" s="6">
        <v>41.216401887714099</v>
      </c>
      <c r="AV218" s="6">
        <f t="shared" si="148"/>
        <v>2.1992279082034898</v>
      </c>
      <c r="AW218" s="6">
        <f t="shared" si="149"/>
        <v>1.5709093774855409</v>
      </c>
      <c r="AX218" s="6">
        <f t="shared" si="150"/>
        <v>-0.15696658198885505</v>
      </c>
      <c r="AY218" s="6">
        <f t="shared" si="151"/>
        <v>0.15696658198885505</v>
      </c>
      <c r="BF218" s="40"/>
      <c r="BG218" s="6">
        <f t="shared" si="152"/>
        <v>0.40142572795868559</v>
      </c>
      <c r="BH218" s="9">
        <f t="shared" ca="1" si="153"/>
        <v>76.220358665436677</v>
      </c>
      <c r="BI218" s="9">
        <f t="shared" ca="1" si="154"/>
        <v>1.5172743075909167</v>
      </c>
      <c r="BJ218">
        <f t="shared" ca="1" si="155"/>
        <v>76.235458917830897</v>
      </c>
      <c r="BK218" s="6">
        <f t="shared" ca="1" si="156"/>
        <v>0.99980192612980145</v>
      </c>
      <c r="BL218" s="6">
        <f t="shared" ca="1" si="157"/>
        <v>1.9902474899853168E-2</v>
      </c>
      <c r="BM218" s="6">
        <f t="shared" ca="1" si="158"/>
        <v>1.9903789057383842E-2</v>
      </c>
      <c r="BN218" s="6">
        <f t="shared" ca="1" si="159"/>
        <v>-0.25563123907480684</v>
      </c>
      <c r="BO218" s="9"/>
      <c r="BT218" s="40"/>
    </row>
    <row r="219" spans="45:72" x14ac:dyDescent="0.25">
      <c r="AS219" s="6">
        <v>0.64577182323789206</v>
      </c>
      <c r="AT219" s="6">
        <v>-30.114650068908436</v>
      </c>
      <c r="AU219" s="6">
        <v>41.649103898576172</v>
      </c>
      <c r="AV219" s="6">
        <f t="shared" si="148"/>
        <v>2.1968293556145899</v>
      </c>
      <c r="AW219" s="6">
        <f t="shared" si="149"/>
        <v>1.551057532376698</v>
      </c>
      <c r="AX219" s="6">
        <f t="shared" si="150"/>
        <v>-0.15936513457775492</v>
      </c>
      <c r="AY219" s="6">
        <f t="shared" si="151"/>
        <v>0.15936513457775492</v>
      </c>
      <c r="BF219" s="40"/>
      <c r="BG219" s="6">
        <f t="shared" si="152"/>
        <v>0.41887902047862891</v>
      </c>
      <c r="BH219" s="9">
        <f t="shared" ca="1" si="153"/>
        <v>76.045856820627677</v>
      </c>
      <c r="BI219" s="9">
        <f t="shared" ca="1" si="154"/>
        <v>1.8746247952985087</v>
      </c>
      <c r="BJ219">
        <f t="shared" ca="1" si="155"/>
        <v>76.068959225866578</v>
      </c>
      <c r="BK219" s="6">
        <f t="shared" ca="1" si="156"/>
        <v>0.9996962965515237</v>
      </c>
      <c r="BL219" s="6">
        <f t="shared" ca="1" si="157"/>
        <v>2.4643755013556951E-2</v>
      </c>
      <c r="BM219" s="6">
        <f t="shared" ca="1" si="158"/>
        <v>2.4646250114461553E-2</v>
      </c>
      <c r="BN219" s="6">
        <f t="shared" ca="1" si="159"/>
        <v>-0.25088877801772913</v>
      </c>
      <c r="BO219" s="9"/>
      <c r="BT219" s="40"/>
    </row>
    <row r="220" spans="45:72" x14ac:dyDescent="0.25">
      <c r="AS220" s="6">
        <v>0.66322511575783538</v>
      </c>
      <c r="AT220" s="6">
        <v>-30.280290605708117</v>
      </c>
      <c r="AU220" s="6">
        <v>42.091497139797312</v>
      </c>
      <c r="AV220" s="6">
        <f t="shared" si="148"/>
        <v>2.1944189100663052</v>
      </c>
      <c r="AW220" s="6">
        <f t="shared" si="149"/>
        <v>1.5311937943084697</v>
      </c>
      <c r="AX220" s="6">
        <f t="shared" si="150"/>
        <v>-0.16177558012603965</v>
      </c>
      <c r="AY220" s="6">
        <f t="shared" si="151"/>
        <v>0.16177558012603965</v>
      </c>
      <c r="BF220" s="40"/>
      <c r="BG220" s="6">
        <f t="shared" si="152"/>
        <v>0.43633231299857222</v>
      </c>
      <c r="BH220" s="9">
        <f t="shared" ca="1" si="153"/>
        <v>75.877083628749617</v>
      </c>
      <c r="BI220" s="9">
        <f t="shared" ca="1" si="154"/>
        <v>2.2341789652312372</v>
      </c>
      <c r="BJ220">
        <f t="shared" ca="1" si="155"/>
        <v>75.909968881912633</v>
      </c>
      <c r="BK220" s="6">
        <f t="shared" ca="1" si="156"/>
        <v>0.99956678610665517</v>
      </c>
      <c r="BL220" s="6">
        <f t="shared" ca="1" si="157"/>
        <v>2.9431957332333773E-2</v>
      </c>
      <c r="BM220" s="6">
        <f t="shared" ca="1" si="158"/>
        <v>2.9436208179894948E-2</v>
      </c>
      <c r="BN220" s="6">
        <f t="shared" ca="1" si="159"/>
        <v>-0.24609881995229571</v>
      </c>
      <c r="BO220" s="9"/>
      <c r="BT220" s="40"/>
    </row>
    <row r="221" spans="45:72" x14ac:dyDescent="0.25">
      <c r="AS221" s="6">
        <v>0.6806784082777787</v>
      </c>
      <c r="AT221" s="6">
        <v>-30.450141471659737</v>
      </c>
      <c r="AU221" s="6">
        <v>42.544221205582872</v>
      </c>
      <c r="AV221" s="6">
        <f t="shared" si="148"/>
        <v>2.1920009829742222</v>
      </c>
      <c r="AW221" s="6">
        <f t="shared" si="149"/>
        <v>1.5113225746964436</v>
      </c>
      <c r="AX221" s="6">
        <f t="shared" si="150"/>
        <v>-0.16419350721812265</v>
      </c>
      <c r="AY221" s="6">
        <f t="shared" si="151"/>
        <v>0.16419350721812265</v>
      </c>
      <c r="BF221" s="40"/>
      <c r="BG221" s="6">
        <f t="shared" si="152"/>
        <v>0.45378560551851554</v>
      </c>
      <c r="BH221" s="9">
        <f t="shared" ca="1" si="153"/>
        <v>75.712988415794513</v>
      </c>
      <c r="BI221" s="9">
        <f t="shared" ca="1" si="154"/>
        <v>2.5966991427967798</v>
      </c>
      <c r="BJ221">
        <f t="shared" ca="1" si="155"/>
        <v>75.757504323257876</v>
      </c>
      <c r="BK221" s="6">
        <f t="shared" ca="1" si="156"/>
        <v>0.99941238946740629</v>
      </c>
      <c r="BL221" s="6">
        <f t="shared" ca="1" si="157"/>
        <v>3.4276461005323562E-2</v>
      </c>
      <c r="BM221" s="6">
        <f t="shared" ca="1" si="158"/>
        <v>3.4283176320248229E-2</v>
      </c>
      <c r="BN221" s="6">
        <f t="shared" ca="1" si="159"/>
        <v>-0.24125185181194242</v>
      </c>
      <c r="BO221" s="9"/>
      <c r="BT221" s="40"/>
    </row>
    <row r="222" spans="45:72" x14ac:dyDescent="0.25">
      <c r="AS222" s="6">
        <v>0.69813170079772202</v>
      </c>
      <c r="AT222" s="6">
        <v>-30.62485882588766</v>
      </c>
      <c r="AU222" s="6">
        <v>43.007954276689219</v>
      </c>
      <c r="AV222" s="6">
        <f t="shared" si="148"/>
        <v>2.18957996407587</v>
      </c>
      <c r="AW222" s="6">
        <f t="shared" si="149"/>
        <v>1.4914482632781478</v>
      </c>
      <c r="AX222" s="6">
        <f t="shared" si="150"/>
        <v>-0.16661452611647487</v>
      </c>
      <c r="AY222" s="6">
        <f t="shared" si="151"/>
        <v>0.16661452611647487</v>
      </c>
      <c r="BF222" s="40"/>
      <c r="BG222" s="6">
        <f t="shared" si="152"/>
        <v>0.47123889803845886</v>
      </c>
      <c r="BH222" s="9">
        <f t="shared" ca="1" si="153"/>
        <v>75.552630858760665</v>
      </c>
      <c r="BI222" s="9">
        <f t="shared" ca="1" si="154"/>
        <v>2.9628586380016557</v>
      </c>
      <c r="BJ222">
        <f t="shared" ca="1" si="155"/>
        <v>75.610704010668584</v>
      </c>
      <c r="BK222" s="6">
        <f t="shared" ca="1" si="156"/>
        <v>0.99923194536186666</v>
      </c>
      <c r="BL222" s="6">
        <f t="shared" ca="1" si="157"/>
        <v>3.9185703621852266E-2</v>
      </c>
      <c r="BM222" s="6">
        <f t="shared" ca="1" si="158"/>
        <v>3.919573895879986E-2</v>
      </c>
      <c r="BN222" s="6">
        <f t="shared" ca="1" si="159"/>
        <v>-0.23633928917339081</v>
      </c>
      <c r="BO222" s="9"/>
      <c r="BT222" s="40"/>
    </row>
    <row r="223" spans="45:72" x14ac:dyDescent="0.25">
      <c r="AS223" s="6">
        <v>0.71558499331766534</v>
      </c>
      <c r="AT223" s="6">
        <v>-30.805130709010655</v>
      </c>
      <c r="AU223" s="6">
        <v>43.483418328454178</v>
      </c>
      <c r="AV223" s="6">
        <f t="shared" si="148"/>
        <v>2.1871602750707897</v>
      </c>
      <c r="AW223" s="6">
        <f t="shared" si="149"/>
        <v>1.4715752817531245</v>
      </c>
      <c r="AX223" s="6">
        <f t="shared" si="150"/>
        <v>-0.16903421512155514</v>
      </c>
      <c r="AY223" s="6">
        <f t="shared" si="151"/>
        <v>0.16903421512155514</v>
      </c>
      <c r="BF223" s="40"/>
      <c r="BG223" s="6">
        <f t="shared" si="152"/>
        <v>0.48869219055840218</v>
      </c>
      <c r="BH223" s="9">
        <f t="shared" ca="1" si="153"/>
        <v>75.395159429722099</v>
      </c>
      <c r="BI223" s="9">
        <f t="shared" ca="1" si="154"/>
        <v>3.3332673600618392</v>
      </c>
      <c r="BJ223">
        <f t="shared" ca="1" si="155"/>
        <v>75.46880638202029</v>
      </c>
      <c r="BK223" s="6">
        <f t="shared" ca="1" si="156"/>
        <v>0.99902414049156429</v>
      </c>
      <c r="BL223" s="6">
        <f t="shared" ca="1" si="157"/>
        <v>4.4167484817355718E-2</v>
      </c>
      <c r="BM223" s="6">
        <f t="shared" ca="1" si="158"/>
        <v>4.4181857514479672E-2</v>
      </c>
      <c r="BN223" s="6">
        <f t="shared" ca="1" si="159"/>
        <v>-0.23135317061771099</v>
      </c>
      <c r="BO223" s="9"/>
      <c r="BT223" s="40"/>
    </row>
    <row r="224" spans="45:72" x14ac:dyDescent="0.25">
      <c r="AS224" s="6">
        <v>0.73303828583760866</v>
      </c>
      <c r="AT224" s="6">
        <v>-30.991684259757676</v>
      </c>
      <c r="AU224" s="6">
        <v>43.971384618467127</v>
      </c>
      <c r="AV224" s="6">
        <f t="shared" si="148"/>
        <v>2.1847464208744469</v>
      </c>
      <c r="AW224" s="6">
        <f t="shared" si="149"/>
        <v>1.4517081350368382</v>
      </c>
      <c r="AX224" s="6">
        <f t="shared" si="150"/>
        <v>-0.17144806931789791</v>
      </c>
      <c r="AY224" s="6">
        <f t="shared" si="151"/>
        <v>0.17144806931789791</v>
      </c>
      <c r="BF224" s="40"/>
      <c r="BG224" s="6">
        <f t="shared" si="152"/>
        <v>0.5061454830783455</v>
      </c>
      <c r="BH224" s="9">
        <f t="shared" ca="1" si="153"/>
        <v>75.239793817654302</v>
      </c>
      <c r="BI224" s="9">
        <f t="shared" ca="1" si="154"/>
        <v>3.7084912909003691</v>
      </c>
      <c r="BJ224">
        <f t="shared" ca="1" si="155"/>
        <v>75.331132218876235</v>
      </c>
      <c r="BK224" s="6">
        <f t="shared" ca="1" si="156"/>
        <v>0.99878750791961357</v>
      </c>
      <c r="BL224" s="6">
        <f t="shared" ca="1" si="157"/>
        <v>4.9229198893828749E-2</v>
      </c>
      <c r="BM224" s="6">
        <f t="shared" ca="1" si="158"/>
        <v>4.924910521992925E-2</v>
      </c>
      <c r="BN224" s="6">
        <f t="shared" ca="1" si="159"/>
        <v>-0.22628592291226141</v>
      </c>
      <c r="BO224" s="9"/>
      <c r="BT224" s="40"/>
    </row>
    <row r="225" spans="45:72" x14ac:dyDescent="0.25">
      <c r="AS225" s="6">
        <v>0.75049157835755198</v>
      </c>
      <c r="AT225" s="6">
        <v>-31.185293623314202</v>
      </c>
      <c r="AU225" s="6">
        <v>44.472679632869387</v>
      </c>
      <c r="AV225" s="6">
        <f t="shared" si="148"/>
        <v>2.1823430439812705</v>
      </c>
      <c r="AW225" s="6">
        <f t="shared" si="149"/>
        <v>1.4318514656237187</v>
      </c>
      <c r="AX225" s="6">
        <f t="shared" si="150"/>
        <v>-0.17385144621107429</v>
      </c>
      <c r="AY225" s="6">
        <f t="shared" si="151"/>
        <v>0.17385144621107429</v>
      </c>
      <c r="BF225" s="40"/>
      <c r="BG225" s="6">
        <f t="shared" si="152"/>
        <v>0.52359877559828882</v>
      </c>
      <c r="BH225" s="9">
        <f t="shared" ca="1" si="153"/>
        <v>75.085810207500998</v>
      </c>
      <c r="BI225" s="9">
        <f t="shared" ca="1" si="154"/>
        <v>4.0890675890018926</v>
      </c>
      <c r="BJ225">
        <f t="shared" ca="1" si="155"/>
        <v>75.197070210642423</v>
      </c>
      <c r="BK225" s="6">
        <f t="shared" ca="1" si="156"/>
        <v>0.99852042103728555</v>
      </c>
      <c r="BL225" s="6">
        <f t="shared" ca="1" si="157"/>
        <v>5.437801735556419E-2</v>
      </c>
      <c r="BM225" s="6">
        <f t="shared" ca="1" si="158"/>
        <v>5.440485209471984E-2</v>
      </c>
      <c r="BN225" s="6">
        <f t="shared" ca="1" si="159"/>
        <v>-0.22113017603747082</v>
      </c>
      <c r="BO225" s="9"/>
      <c r="BT225" s="40"/>
    </row>
    <row r="226" spans="45:72" x14ac:dyDescent="0.25">
      <c r="AS226" s="6">
        <v>0.7679448708774953</v>
      </c>
      <c r="AT226" s="6">
        <v>-31.386788618799983</v>
      </c>
      <c r="AU226" s="6">
        <v>44.988191583405978</v>
      </c>
      <c r="AV226" s="6">
        <f t="shared" si="148"/>
        <v>2.1799549814569135</v>
      </c>
      <c r="AW226" s="6">
        <f t="shared" si="149"/>
        <v>1.4120101105794181</v>
      </c>
      <c r="AX226" s="6">
        <f t="shared" si="150"/>
        <v>-0.17623950873543137</v>
      </c>
      <c r="AY226" s="6">
        <f t="shared" si="151"/>
        <v>0.17623950873543137</v>
      </c>
      <c r="BF226" s="40"/>
      <c r="BG226" s="6">
        <f t="shared" si="152"/>
        <v>0.54105206811823214</v>
      </c>
      <c r="BH226" s="9">
        <f t="shared" ca="1" si="153"/>
        <v>74.932528985267282</v>
      </c>
      <c r="BI226" s="9">
        <f t="shared" ca="1" si="154"/>
        <v>4.475516490214055</v>
      </c>
      <c r="BJ226">
        <f t="shared" ca="1" si="155"/>
        <v>75.066065222456544</v>
      </c>
      <c r="BK226" s="6">
        <f t="shared" ca="1" si="156"/>
        <v>0.99822108383070929</v>
      </c>
      <c r="BL226" s="6">
        <f t="shared" ca="1" si="157"/>
        <v>5.9621034843786808E-2</v>
      </c>
      <c r="BM226" s="6">
        <f t="shared" ca="1" si="158"/>
        <v>5.9656413627060596E-2</v>
      </c>
      <c r="BN226" s="6">
        <f t="shared" ca="1" si="159"/>
        <v>-0.21587861450513007</v>
      </c>
      <c r="BO226" s="9"/>
      <c r="BT226" s="40"/>
    </row>
    <row r="227" spans="45:72" x14ac:dyDescent="0.25">
      <c r="AS227" s="6">
        <v>0.78539816339743862</v>
      </c>
      <c r="AT227" s="6">
        <v>-31.597064223648118</v>
      </c>
      <c r="AU227" s="6">
        <v>45.518877550754226</v>
      </c>
      <c r="AV227" s="6">
        <f t="shared" si="148"/>
        <v>2.1775873238345773</v>
      </c>
      <c r="AW227" s="6">
        <f t="shared" si="149"/>
        <v>1.3921891604371388</v>
      </c>
      <c r="AX227" s="6">
        <f t="shared" si="150"/>
        <v>-0.17860716635776752</v>
      </c>
      <c r="AY227" s="6">
        <f t="shared" si="151"/>
        <v>0.17860716635776752</v>
      </c>
      <c r="BF227" s="40"/>
      <c r="BG227" s="6">
        <f t="shared" si="152"/>
        <v>0.55850536063817546</v>
      </c>
      <c r="BH227" s="9">
        <f t="shared" ca="1" si="153"/>
        <v>74.779304039722192</v>
      </c>
      <c r="BI227" s="9">
        <f t="shared" ca="1" si="154"/>
        <v>4.8683509470411295</v>
      </c>
      <c r="BJ227">
        <f t="shared" ca="1" si="155"/>
        <v>74.937608405985088</v>
      </c>
      <c r="BK227" s="6">
        <f t="shared" ca="1" si="156"/>
        <v>0.9978875177680443</v>
      </c>
      <c r="BL227" s="6">
        <f t="shared" ca="1" si="157"/>
        <v>6.4965389883623589E-2</v>
      </c>
      <c r="BM227" s="6">
        <f t="shared" ca="1" si="158"/>
        <v>6.5011174651036771E-2</v>
      </c>
      <c r="BN227" s="6">
        <f t="shared" ca="1" si="159"/>
        <v>-0.21052385348115388</v>
      </c>
      <c r="BO227" s="9"/>
      <c r="BT227" s="40"/>
    </row>
    <row r="228" spans="45:72" x14ac:dyDescent="0.25">
      <c r="AS228" s="6">
        <v>0.80285145591738194</v>
      </c>
      <c r="AT228" s="6">
        <v>-31.817091285388532</v>
      </c>
      <c r="AU228" s="6">
        <v>46.065771445819394</v>
      </c>
      <c r="AV228" s="6">
        <f t="shared" si="148"/>
        <v>2.1752454795337295</v>
      </c>
      <c r="AW228" s="6">
        <f t="shared" si="149"/>
        <v>1.3723940236163474</v>
      </c>
      <c r="AX228" s="6">
        <f t="shared" si="150"/>
        <v>-0.18094901065861535</v>
      </c>
      <c r="AY228" s="6">
        <f t="shared" si="151"/>
        <v>0.18094901065861535</v>
      </c>
      <c r="BF228" s="40"/>
      <c r="BG228" s="6">
        <f t="shared" si="152"/>
        <v>0.57595865315811878</v>
      </c>
      <c r="BH228" s="9">
        <f t="shared" ca="1" si="153"/>
        <v>74.625513569087445</v>
      </c>
      <c r="BI228" s="9">
        <f t="shared" ca="1" si="154"/>
        <v>5.2680845768268014</v>
      </c>
      <c r="BJ228">
        <f t="shared" ca="1" si="155"/>
        <v>74.811229040556839</v>
      </c>
      <c r="BK228" s="6">
        <f t="shared" ca="1" si="156"/>
        <v>0.99751754550952887</v>
      </c>
      <c r="BL228" s="6">
        <f t="shared" ca="1" si="157"/>
        <v>7.0418366926853382E-2</v>
      </c>
      <c r="BM228" s="6">
        <f t="shared" ca="1" si="158"/>
        <v>7.0476694980055557E-2</v>
      </c>
      <c r="BN228" s="6">
        <f t="shared" ca="1" si="159"/>
        <v>-0.20505833315213512</v>
      </c>
      <c r="BO228" s="9"/>
      <c r="BT228" s="40"/>
    </row>
    <row r="229" spans="45:72" x14ac:dyDescent="0.25">
      <c r="AS229" s="6">
        <v>0.82030474843732526</v>
      </c>
      <c r="AT229" s="6">
        <v>-32.047928538139011</v>
      </c>
      <c r="AU229" s="6">
        <v>46.629992905586406</v>
      </c>
      <c r="AV229" s="6">
        <f t="shared" si="148"/>
        <v>2.1729352437507954</v>
      </c>
      <c r="AW229" s="6">
        <f t="shared" si="149"/>
        <v>1.3526304953134702</v>
      </c>
      <c r="AX229" s="6">
        <f t="shared" si="150"/>
        <v>-0.18325924644154945</v>
      </c>
      <c r="AY229" s="6">
        <f t="shared" si="151"/>
        <v>0.18325924644154945</v>
      </c>
      <c r="BF229" s="40"/>
      <c r="BG229" s="6">
        <f t="shared" si="152"/>
        <v>0.5934119456780621</v>
      </c>
      <c r="BH229" s="9">
        <f t="shared" ca="1" si="153"/>
        <v>74.470551687201947</v>
      </c>
      <c r="BI229" s="9">
        <f t="shared" ca="1" si="154"/>
        <v>5.6752384705671872</v>
      </c>
      <c r="BJ229">
        <f t="shared" ca="1" si="155"/>
        <v>74.686487400961781</v>
      </c>
      <c r="BK229" s="6">
        <f t="shared" ca="1" si="156"/>
        <v>0.99710877132833198</v>
      </c>
      <c r="BL229" s="6">
        <f t="shared" ca="1" si="157"/>
        <v>7.5987486733699358E-2</v>
      </c>
      <c r="BM229" s="6">
        <f t="shared" ca="1" si="158"/>
        <v>7.6060803931533652E-2</v>
      </c>
      <c r="BN229" s="6">
        <f t="shared" ca="1" si="159"/>
        <v>-0.19947422420065702</v>
      </c>
      <c r="BO229" s="9"/>
      <c r="BT229" s="40"/>
    </row>
    <row r="230" spans="45:72" x14ac:dyDescent="0.25">
      <c r="AS230" s="6">
        <v>0.83775804095726858</v>
      </c>
      <c r="AT230" s="6">
        <v>-32.290736297106449</v>
      </c>
      <c r="AU230" s="6">
        <v>47.212757311448911</v>
      </c>
      <c r="AV230" s="6">
        <f t="shared" si="148"/>
        <v>2.1706628742127152</v>
      </c>
      <c r="AW230" s="6">
        <f t="shared" si="149"/>
        <v>1.3329048332554465</v>
      </c>
      <c r="AX230" s="6">
        <f t="shared" si="150"/>
        <v>-0.18553161597962964</v>
      </c>
      <c r="AY230" s="6">
        <f t="shared" si="151"/>
        <v>0.18553161597962964</v>
      </c>
      <c r="BF230" s="40"/>
      <c r="BG230" s="6">
        <f t="shared" si="152"/>
        <v>0.61086523819800542</v>
      </c>
      <c r="BH230" s="9">
        <f t="shared" ca="1" si="153"/>
        <v>74.313820998171849</v>
      </c>
      <c r="BI230" s="9">
        <f t="shared" ca="1" si="154"/>
        <v>6.0903471261117019</v>
      </c>
      <c r="BJ230">
        <f t="shared" ca="1" si="155"/>
        <v>74.562968821425457</v>
      </c>
      <c r="BK230" s="6">
        <f t="shared" ca="1" si="156"/>
        <v>0.99665855816644988</v>
      </c>
      <c r="BL230" s="6">
        <f t="shared" ca="1" si="157"/>
        <v>8.1680587862559162E-2</v>
      </c>
      <c r="BM230" s="6">
        <f t="shared" ca="1" si="158"/>
        <v>8.1771686612421124E-2</v>
      </c>
      <c r="BN230" s="6">
        <f t="shared" ca="1" si="159"/>
        <v>-0.19376334151976954</v>
      </c>
      <c r="BO230" s="9"/>
      <c r="BT230" s="40"/>
    </row>
    <row r="231" spans="45:72" x14ac:dyDescent="0.25">
      <c r="AS231" s="6">
        <v>0.8552113334772119</v>
      </c>
      <c r="AT231" s="6">
        <v>-32.54679219276769</v>
      </c>
      <c r="AU231" s="6">
        <v>47.815387132320566</v>
      </c>
      <c r="AV231" s="6">
        <f t="shared" si="148"/>
        <v>2.1684351754798517</v>
      </c>
      <c r="AW231" s="6">
        <f t="shared" si="149"/>
        <v>1.3132238420026399</v>
      </c>
      <c r="AX231" s="6">
        <f t="shared" si="150"/>
        <v>-0.18775931471249319</v>
      </c>
      <c r="AY231" s="6">
        <f t="shared" si="151"/>
        <v>0.18775931471249319</v>
      </c>
      <c r="BF231" s="40"/>
      <c r="BG231" s="6">
        <f t="shared" si="152"/>
        <v>0.62831853071794874</v>
      </c>
      <c r="BH231" s="9">
        <f t="shared" ca="1" si="153"/>
        <v>74.154725528697341</v>
      </c>
      <c r="BI231" s="9">
        <f t="shared" ca="1" si="154"/>
        <v>6.5139638596956146</v>
      </c>
      <c r="BJ231">
        <f t="shared" ca="1" si="155"/>
        <v>74.440278367304998</v>
      </c>
      <c r="BK231" s="6">
        <f t="shared" ca="1" si="156"/>
        <v>0.99616400092972957</v>
      </c>
      <c r="BL231" s="6">
        <f t="shared" ca="1" si="157"/>
        <v>8.7505904096089743E-2</v>
      </c>
      <c r="BM231" s="6">
        <f t="shared" ca="1" si="158"/>
        <v>8.761796691969477E-2</v>
      </c>
      <c r="BN231" s="6">
        <f t="shared" ca="1" si="159"/>
        <v>-0.18791706121249591</v>
      </c>
      <c r="BO231" s="9"/>
      <c r="BT231" s="40"/>
    </row>
    <row r="232" spans="45:72" x14ac:dyDescent="0.25">
      <c r="AS232" s="6">
        <v>0.87266462599715522</v>
      </c>
      <c r="AT232" s="6">
        <v>-32.817509320272194</v>
      </c>
      <c r="AU232" s="6">
        <v>48.43932481900525</v>
      </c>
      <c r="AV232" s="6">
        <f t="shared" si="148"/>
        <v>2.1662595930148365</v>
      </c>
      <c r="AW232" s="6">
        <f t="shared" si="149"/>
        <v>1.2935949670176812</v>
      </c>
      <c r="AX232" s="6">
        <f t="shared" si="150"/>
        <v>-0.18993489717750833</v>
      </c>
      <c r="AY232" s="6">
        <f t="shared" si="151"/>
        <v>0.18993489717750833</v>
      </c>
      <c r="BF232" s="40"/>
      <c r="BG232" s="6">
        <f t="shared" si="152"/>
        <v>0.64577182323789206</v>
      </c>
      <c r="BH232" s="9">
        <f t="shared" ca="1" si="153"/>
        <v>73.992664015147028</v>
      </c>
      <c r="BI232" s="9">
        <f t="shared" ca="1" si="154"/>
        <v>6.9466658705576876</v>
      </c>
      <c r="BJ232">
        <f t="shared" ca="1" si="155"/>
        <v>74.318036133738119</v>
      </c>
      <c r="BK232" s="6">
        <f t="shared" ca="1" si="156"/>
        <v>0.99562189563236614</v>
      </c>
      <c r="BL232" s="6">
        <f t="shared" ca="1" si="157"/>
        <v>9.3472139899618709E-2</v>
      </c>
      <c r="BM232" s="6">
        <f t="shared" ca="1" si="158"/>
        <v>9.3608789497384104E-2</v>
      </c>
      <c r="BN232" s="6">
        <f t="shared" ca="1" si="159"/>
        <v>-0.18192623863480656</v>
      </c>
      <c r="BO232" s="9"/>
      <c r="BT232" s="40"/>
    </row>
    <row r="233" spans="45:72" x14ac:dyDescent="0.25">
      <c r="AS233" s="6">
        <v>0.89011791851709854</v>
      </c>
      <c r="AT233" s="6">
        <v>-33.104457232332074</v>
      </c>
      <c r="AU233" s="6">
        <v>49.086147513420059</v>
      </c>
      <c r="AV233" s="6">
        <f t="shared" si="148"/>
        <v>2.1641443181248672</v>
      </c>
      <c r="AW233" s="6">
        <f t="shared" si="149"/>
        <v>1.2740263996077688</v>
      </c>
      <c r="AX233" s="6">
        <f t="shared" si="150"/>
        <v>-0.19205017206747765</v>
      </c>
      <c r="AY233" s="6">
        <f t="shared" si="151"/>
        <v>0.19205017206747765</v>
      </c>
      <c r="BF233" s="40"/>
      <c r="BG233" s="6">
        <f t="shared" si="152"/>
        <v>0.66322511575783538</v>
      </c>
      <c r="BH233" s="9">
        <f t="shared" ca="1" si="153"/>
        <v>73.827023478347343</v>
      </c>
      <c r="BI233" s="9">
        <f t="shared" ca="1" si="154"/>
        <v>7.3890591117788276</v>
      </c>
      <c r="BJ233">
        <f t="shared" ca="1" si="155"/>
        <v>74.195873134762763</v>
      </c>
      <c r="BK233" s="6">
        <f t="shared" ca="1" si="156"/>
        <v>0.99502870387756637</v>
      </c>
      <c r="BL233" s="6">
        <f t="shared" ca="1" si="157"/>
        <v>9.9588545825965283E-2</v>
      </c>
      <c r="BM233" s="6">
        <f t="shared" ca="1" si="158"/>
        <v>9.9753902738570419E-2</v>
      </c>
      <c r="BN233" s="6">
        <f t="shared" ca="1" si="159"/>
        <v>-0.17578112539362023</v>
      </c>
      <c r="BO233" s="9"/>
      <c r="BT233" s="40"/>
    </row>
    <row r="234" spans="45:72" x14ac:dyDescent="0.25">
      <c r="AS234" s="6">
        <v>0.90757121103704186</v>
      </c>
      <c r="AT234" s="6">
        <v>-33.40938651113963</v>
      </c>
      <c r="AU234" s="6">
        <v>49.7575839269727</v>
      </c>
      <c r="AV234" s="6">
        <f t="shared" si="148"/>
        <v>2.1620984076948542</v>
      </c>
      <c r="AW234" s="6">
        <f t="shared" si="149"/>
        <v>1.2545271966578122</v>
      </c>
      <c r="AX234" s="6">
        <f t="shared" si="150"/>
        <v>-0.19409608249749066</v>
      </c>
      <c r="AY234" s="6">
        <f t="shared" si="151"/>
        <v>0.19409608249749066</v>
      </c>
      <c r="BF234" s="40"/>
      <c r="BG234" s="6">
        <f t="shared" si="152"/>
        <v>0.6806784082777787</v>
      </c>
      <c r="BH234" s="9">
        <f t="shared" ca="1" si="153"/>
        <v>73.657172612395726</v>
      </c>
      <c r="BI234" s="9">
        <f t="shared" ca="1" si="154"/>
        <v>7.8417831775643876</v>
      </c>
      <c r="BJ234">
        <f t="shared" ca="1" si="155"/>
        <v>74.073427358643201</v>
      </c>
      <c r="BK234" s="6">
        <f t="shared" ca="1" si="156"/>
        <v>0.99438051186382825</v>
      </c>
      <c r="BL234" s="6">
        <f t="shared" ca="1" si="157"/>
        <v>0.10586499716823722</v>
      </c>
      <c r="BM234" s="6">
        <f t="shared" ca="1" si="158"/>
        <v>0.10606374635275462</v>
      </c>
      <c r="BN234" s="6">
        <f t="shared" ca="1" si="159"/>
        <v>-0.16947128177943604</v>
      </c>
      <c r="BO234" s="9"/>
      <c r="BT234" s="40"/>
    </row>
    <row r="235" spans="45:72" x14ac:dyDescent="0.25">
      <c r="AS235" s="6">
        <v>0.92502450355698518</v>
      </c>
      <c r="AT235" s="6">
        <v>-33.734257615360264</v>
      </c>
      <c r="AU235" s="6">
        <v>50.455533775025437</v>
      </c>
      <c r="AV235" s="6">
        <f t="shared" si="148"/>
        <v>2.1601319208050893</v>
      </c>
      <c r="AW235" s="6">
        <f t="shared" si="149"/>
        <v>1.2351074172481042</v>
      </c>
      <c r="AX235" s="6">
        <f t="shared" si="150"/>
        <v>-0.19606256938725553</v>
      </c>
      <c r="AY235" s="6">
        <f t="shared" si="151"/>
        <v>0.19606256938725553</v>
      </c>
      <c r="BF235" s="40"/>
      <c r="BG235" s="6">
        <f t="shared" si="152"/>
        <v>0.69813170079772202</v>
      </c>
      <c r="BH235" s="9">
        <f t="shared" ca="1" si="153"/>
        <v>73.482455258167803</v>
      </c>
      <c r="BI235" s="9">
        <f t="shared" ca="1" si="154"/>
        <v>8.3055162486707346</v>
      </c>
      <c r="BJ235">
        <f t="shared" ca="1" si="155"/>
        <v>73.950340302973359</v>
      </c>
      <c r="BK235" s="6">
        <f t="shared" ca="1" si="156"/>
        <v>0.99367298320888531</v>
      </c>
      <c r="BL235" s="6">
        <f t="shared" ca="1" si="157"/>
        <v>0.11231207611274224</v>
      </c>
      <c r="BM235" s="6">
        <f t="shared" ca="1" si="158"/>
        <v>0.11254954400403816</v>
      </c>
      <c r="BN235" s="6">
        <f t="shared" ca="1" si="159"/>
        <v>-0.1629854841281525</v>
      </c>
      <c r="BO235" s="9"/>
      <c r="BT235" s="40"/>
    </row>
    <row r="236" spans="45:72" x14ac:dyDescent="0.25">
      <c r="AS236" s="6">
        <v>0.9424777960769285</v>
      </c>
      <c r="AT236" s="6">
        <v>-34.081274828330663</v>
      </c>
      <c r="AU236" s="6">
        <v>51.182090229385096</v>
      </c>
      <c r="AV236" s="6">
        <f t="shared" si="148"/>
        <v>2.1582560743488761</v>
      </c>
      <c r="AW236" s="6">
        <f t="shared" si="149"/>
        <v>1.2157782782719475</v>
      </c>
      <c r="AX236" s="6">
        <f t="shared" si="150"/>
        <v>-0.19793841584346872</v>
      </c>
      <c r="AY236" s="6">
        <f t="shared" si="151"/>
        <v>0.19793841584346872</v>
      </c>
      <c r="BF236" s="40"/>
      <c r="BG236" s="6">
        <f t="shared" si="152"/>
        <v>0.71558499331766534</v>
      </c>
      <c r="BH236" s="9">
        <f t="shared" ca="1" si="153"/>
        <v>73.302183375044805</v>
      </c>
      <c r="BI236" s="9">
        <f t="shared" ca="1" si="154"/>
        <v>8.7809803004356937</v>
      </c>
      <c r="BJ236">
        <f t="shared" ca="1" si="155"/>
        <v>73.826253477914847</v>
      </c>
      <c r="BK236" s="6">
        <f t="shared" ca="1" si="156"/>
        <v>0.99290130437098756</v>
      </c>
      <c r="BL236" s="6">
        <f t="shared" ca="1" si="157"/>
        <v>0.11894116099312188</v>
      </c>
      <c r="BM236" s="6">
        <f t="shared" ca="1" si="158"/>
        <v>0.11922340494809762</v>
      </c>
      <c r="BN236" s="6">
        <f t="shared" ca="1" si="159"/>
        <v>-0.15631162318409303</v>
      </c>
      <c r="BO236" s="9"/>
      <c r="BT236" s="40"/>
    </row>
    <row r="237" spans="45:72" x14ac:dyDescent="0.25">
      <c r="AS237" s="6">
        <v>0.95993108859687182</v>
      </c>
      <c r="AT237" s="6">
        <v>-34.45292664202637</v>
      </c>
      <c r="AU237" s="6">
        <v>51.939566006671072</v>
      </c>
      <c r="AV237" s="6">
        <f t="shared" si="148"/>
        <v>2.1564834238511841</v>
      </c>
      <c r="AW237" s="6">
        <f t="shared" si="149"/>
        <v>1.1965523352543124</v>
      </c>
      <c r="AX237" s="6">
        <f t="shared" si="150"/>
        <v>-0.19971106634116076</v>
      </c>
      <c r="AY237" s="6">
        <f t="shared" si="151"/>
        <v>0.19971106634116076</v>
      </c>
      <c r="BF237" s="40"/>
      <c r="BG237" s="6">
        <f t="shared" si="152"/>
        <v>0.73303828583760866</v>
      </c>
      <c r="BH237" s="9">
        <f t="shared" ca="1" si="153"/>
        <v>73.115629824297784</v>
      </c>
      <c r="BI237" s="9">
        <f t="shared" ca="1" si="154"/>
        <v>9.2689465904486426</v>
      </c>
      <c r="BJ237">
        <f t="shared" ca="1" si="155"/>
        <v>73.700805256797111</v>
      </c>
      <c r="BK237" s="6">
        <f t="shared" ca="1" si="156"/>
        <v>0.99206012158944001</v>
      </c>
      <c r="BL237" s="6">
        <f t="shared" ca="1" si="157"/>
        <v>0.12576452262838481</v>
      </c>
      <c r="BM237" s="6">
        <f t="shared" ca="1" si="158"/>
        <v>0.12609843503170143</v>
      </c>
      <c r="BN237" s="6">
        <f t="shared" ca="1" si="159"/>
        <v>-0.14943659310048923</v>
      </c>
      <c r="BO237" s="9"/>
      <c r="BT237" s="40"/>
    </row>
    <row r="238" spans="45:72" x14ac:dyDescent="0.25">
      <c r="AS238" s="6">
        <v>0.97738438111681514</v>
      </c>
      <c r="AT238" s="6">
        <v>-34.852033740234603</v>
      </c>
      <c r="AU238" s="6">
        <v>52.730523756279567</v>
      </c>
      <c r="AV238" s="6">
        <f t="shared" si="148"/>
        <v>2.1548280709591863</v>
      </c>
      <c r="AW238" s="6">
        <f t="shared" si="149"/>
        <v>1.177443689842371</v>
      </c>
      <c r="AX238" s="6">
        <f t="shared" si="150"/>
        <v>-0.20136641923315857</v>
      </c>
      <c r="AY238" s="6">
        <f t="shared" si="151"/>
        <v>0.20136641923315857</v>
      </c>
      <c r="BF238" s="40"/>
      <c r="BG238" s="6">
        <f t="shared" si="152"/>
        <v>0.75049157835755198</v>
      </c>
      <c r="BH238" s="9">
        <f t="shared" ca="1" si="153"/>
        <v>72.922020460741265</v>
      </c>
      <c r="BI238" s="9">
        <f t="shared" ca="1" si="154"/>
        <v>9.7702416048509022</v>
      </c>
      <c r="BJ238">
        <f t="shared" ca="1" si="155"/>
        <v>73.573627673874611</v>
      </c>
      <c r="BK238" s="6">
        <f t="shared" ca="1" si="156"/>
        <v>0.99114346765634986</v>
      </c>
      <c r="BL238" s="6">
        <f t="shared" ca="1" si="157"/>
        <v>0.13279543110418401</v>
      </c>
      <c r="BM238" s="6">
        <f t="shared" ca="1" si="158"/>
        <v>0.13318886090409091</v>
      </c>
      <c r="BN238" s="6">
        <f t="shared" ca="1" si="159"/>
        <v>-0.14234616722809976</v>
      </c>
      <c r="BO238" s="9"/>
      <c r="BT238" s="40"/>
    </row>
    <row r="239" spans="45:72" x14ac:dyDescent="0.25">
      <c r="AS239" s="6">
        <v>0.99483767363675846</v>
      </c>
      <c r="AT239" s="6">
        <v>-35.228101455846748</v>
      </c>
      <c r="AU239" s="6">
        <v>53.45106217262429</v>
      </c>
      <c r="AV239" s="6">
        <f t="shared" si="148"/>
        <v>2.1535226775877674</v>
      </c>
      <c r="AW239" s="6">
        <f t="shared" si="149"/>
        <v>1.158685003951009</v>
      </c>
      <c r="AX239" s="6">
        <f t="shared" si="150"/>
        <v>-0.20267181260457745</v>
      </c>
      <c r="AY239" s="6">
        <f t="shared" si="151"/>
        <v>0.20267181260457745</v>
      </c>
      <c r="BF239" s="40"/>
      <c r="BG239" s="6">
        <f t="shared" si="152"/>
        <v>0.7679448708774953</v>
      </c>
      <c r="BH239" s="9">
        <f t="shared" ca="1" si="153"/>
        <v>72.720525465255477</v>
      </c>
      <c r="BI239" s="9">
        <f t="shared" ca="1" si="154"/>
        <v>10.285753555387494</v>
      </c>
      <c r="BJ239">
        <f t="shared" ca="1" si="155"/>
        <v>73.444343214062698</v>
      </c>
      <c r="BK239" s="6">
        <f t="shared" ca="1" si="156"/>
        <v>0.99014467667445039</v>
      </c>
      <c r="BL239" s="6">
        <f t="shared" ca="1" si="157"/>
        <v>0.1400482747242818</v>
      </c>
      <c r="BM239" s="6">
        <f t="shared" ca="1" si="158"/>
        <v>0.14051016976453309</v>
      </c>
      <c r="BN239" s="6">
        <f t="shared" ca="1" si="159"/>
        <v>-0.13502485836765757</v>
      </c>
      <c r="BO239" s="9"/>
      <c r="BT239" s="40"/>
    </row>
    <row r="240" spans="45:72" x14ac:dyDescent="0.25">
      <c r="AS240" s="6">
        <v>1.0122909661567017</v>
      </c>
      <c r="AT240" s="6">
        <v>-35.620027332244462</v>
      </c>
      <c r="AU240" s="6">
        <v>54.178828753962748</v>
      </c>
      <c r="AV240" s="6">
        <f t="shared" si="148"/>
        <v>2.1523930051780877</v>
      </c>
      <c r="AW240" s="6">
        <f t="shared" si="149"/>
        <v>1.1401020390213861</v>
      </c>
      <c r="AX240" s="6">
        <f t="shared" si="150"/>
        <v>-0.2038014850142571</v>
      </c>
      <c r="AY240" s="6">
        <f t="shared" si="151"/>
        <v>0.2038014850142571</v>
      </c>
      <c r="BF240" s="40"/>
      <c r="BG240" s="6">
        <f t="shared" si="152"/>
        <v>0.78539816339743862</v>
      </c>
      <c r="BH240" s="9">
        <f t="shared" ca="1" si="153"/>
        <v>72.510249860407342</v>
      </c>
      <c r="BI240" s="9">
        <f t="shared" ca="1" si="154"/>
        <v>10.816439522735742</v>
      </c>
      <c r="BJ240">
        <f t="shared" ca="1" si="155"/>
        <v>73.312561671024028</v>
      </c>
      <c r="BK240" s="6">
        <f t="shared" ca="1" si="156"/>
        <v>0.98905628459394301</v>
      </c>
      <c r="BL240" s="6">
        <f t="shared" ca="1" si="157"/>
        <v>0.14753869290875998</v>
      </c>
      <c r="BM240" s="6">
        <f t="shared" ca="1" si="158"/>
        <v>0.14807926716267475</v>
      </c>
      <c r="BN240" s="6">
        <f t="shared" ca="1" si="159"/>
        <v>-0.12745576096951591</v>
      </c>
      <c r="BO240" s="9"/>
      <c r="BT240" s="40"/>
    </row>
    <row r="241" spans="45:72" x14ac:dyDescent="0.25">
      <c r="AS241" s="6">
        <v>1.029744258676645</v>
      </c>
      <c r="AT241" s="6">
        <v>-36.044113930664921</v>
      </c>
      <c r="AU241" s="6">
        <v>54.942715939729894</v>
      </c>
      <c r="AV241" s="6">
        <f t="shared" si="148"/>
        <v>2.1513994498841456</v>
      </c>
      <c r="AW241" s="6">
        <f t="shared" si="149"/>
        <v>1.1216551912075006</v>
      </c>
      <c r="AX241" s="6">
        <f t="shared" si="150"/>
        <v>-0.20479504030819928</v>
      </c>
      <c r="AY241" s="6">
        <f t="shared" si="151"/>
        <v>0.20479504030819928</v>
      </c>
      <c r="BF241" s="40"/>
      <c r="BG241" s="6">
        <f t="shared" si="152"/>
        <v>0.80285145591738194</v>
      </c>
      <c r="BH241" s="9">
        <f t="shared" ca="1" si="153"/>
        <v>72.290222798666932</v>
      </c>
      <c r="BI241" s="9">
        <f t="shared" ca="1" si="154"/>
        <v>11.363333417800909</v>
      </c>
      <c r="BJ241">
        <f t="shared" ca="1" si="155"/>
        <v>73.177876838871285</v>
      </c>
      <c r="BK241" s="6">
        <f t="shared" ca="1" si="156"/>
        <v>0.98786991262183166</v>
      </c>
      <c r="BL241" s="6">
        <f t="shared" ca="1" si="157"/>
        <v>0.15528372656700026</v>
      </c>
      <c r="BM241" s="6">
        <f t="shared" ca="1" si="158"/>
        <v>0.15591465732003229</v>
      </c>
      <c r="BN241" s="6">
        <f t="shared" ca="1" si="159"/>
        <v>-0.11962037081215837</v>
      </c>
      <c r="BO241" s="9"/>
      <c r="BT241" s="40"/>
    </row>
    <row r="242" spans="45:72" x14ac:dyDescent="0.25">
      <c r="AS242" s="6">
        <v>1.0471975511965883</v>
      </c>
      <c r="AT242" s="6">
        <v>-36.504358583792914</v>
      </c>
      <c r="AU242" s="6">
        <v>55.746029616240818</v>
      </c>
      <c r="AV242" s="6">
        <f t="shared" si="148"/>
        <v>2.1505618230287542</v>
      </c>
      <c r="AW242" s="6">
        <f t="shared" si="149"/>
        <v>1.1033642718321659</v>
      </c>
      <c r="AX242" s="6">
        <f t="shared" si="150"/>
        <v>-0.20563266716359063</v>
      </c>
      <c r="AY242" s="6">
        <f t="shared" si="151"/>
        <v>0.20563266716359063</v>
      </c>
      <c r="BF242" s="40"/>
      <c r="BG242" s="6">
        <f t="shared" si="152"/>
        <v>0.82030474843732526</v>
      </c>
      <c r="BH242" s="9">
        <f t="shared" ca="1" si="153"/>
        <v>72.059385545916456</v>
      </c>
      <c r="BI242" s="9">
        <f t="shared" ca="1" si="154"/>
        <v>11.927554877567921</v>
      </c>
      <c r="BJ242">
        <f t="shared" ca="1" si="155"/>
        <v>73.039863161238372</v>
      </c>
      <c r="BK242" s="6">
        <f t="shared" ca="1" si="156"/>
        <v>0.98657613017212975</v>
      </c>
      <c r="BL242" s="6">
        <f t="shared" ca="1" si="157"/>
        <v>0.1633019882750516</v>
      </c>
      <c r="BM242" s="6">
        <f t="shared" ca="1" si="158"/>
        <v>0.16403664946971916</v>
      </c>
      <c r="BN242" s="6">
        <f t="shared" ca="1" si="159"/>
        <v>-0.1114983786624715</v>
      </c>
      <c r="BO242" s="9"/>
      <c r="BT242" s="40"/>
    </row>
    <row r="243" spans="45:72" x14ac:dyDescent="0.25">
      <c r="AS243" s="6">
        <v>1.0646508437165316</v>
      </c>
      <c r="AT243" s="6">
        <v>-37.005386567578867</v>
      </c>
      <c r="AU243" s="6">
        <v>56.592492653684033</v>
      </c>
      <c r="AV243" s="6">
        <f t="shared" si="148"/>
        <v>2.1499028150443271</v>
      </c>
      <c r="AW243" s="6">
        <f t="shared" si="149"/>
        <v>1.0852519713277955</v>
      </c>
      <c r="AX243" s="6">
        <f t="shared" si="150"/>
        <v>-0.20629167514801772</v>
      </c>
      <c r="AY243" s="6">
        <f t="shared" si="151"/>
        <v>0.20629167514801772</v>
      </c>
      <c r="BF243" s="40"/>
      <c r="BG243" s="6">
        <f t="shared" si="152"/>
        <v>0.83775804095726858</v>
      </c>
      <c r="BH243" s="9">
        <f t="shared" ca="1" si="153"/>
        <v>71.816577786949011</v>
      </c>
      <c r="BI243" s="9">
        <f t="shared" ca="1" si="154"/>
        <v>12.510319283430427</v>
      </c>
      <c r="BJ243">
        <f t="shared" ca="1" si="155"/>
        <v>72.898072221439904</v>
      </c>
      <c r="BK243" s="6">
        <f t="shared" ca="1" si="156"/>
        <v>0.98516429308026587</v>
      </c>
      <c r="BL243" s="6">
        <f t="shared" ca="1" si="157"/>
        <v>0.17161385619949276</v>
      </c>
      <c r="BM243" s="6">
        <f t="shared" ca="1" si="158"/>
        <v>0.17246759564479122</v>
      </c>
      <c r="BN243" s="6">
        <f t="shared" ca="1" si="159"/>
        <v>-0.10306743248739944</v>
      </c>
      <c r="BO243" s="9"/>
      <c r="BT243" s="40"/>
    </row>
    <row r="244" spans="45:72" x14ac:dyDescent="0.25">
      <c r="AS244" s="6">
        <v>1.0821041362364749</v>
      </c>
      <c r="AT244" s="6">
        <v>-37.552576507272896</v>
      </c>
      <c r="AU244" s="6">
        <v>57.486314193142519</v>
      </c>
      <c r="AV244" s="6">
        <f t="shared" si="148"/>
        <v>2.1494484977032142</v>
      </c>
      <c r="AW244" s="6">
        <f t="shared" si="149"/>
        <v>1.0673443614667393</v>
      </c>
      <c r="AX244" s="6">
        <f t="shared" si="150"/>
        <v>-0.20674599248913061</v>
      </c>
      <c r="AY244" s="6">
        <f t="shared" si="151"/>
        <v>0.20674599248913061</v>
      </c>
      <c r="BF244" s="40"/>
      <c r="BG244" s="6">
        <f t="shared" si="152"/>
        <v>0.8552113334772119</v>
      </c>
      <c r="BH244" s="9">
        <f t="shared" ca="1" si="153"/>
        <v>71.560521891287777</v>
      </c>
      <c r="BI244" s="9">
        <f t="shared" ca="1" si="154"/>
        <v>13.112949104302082</v>
      </c>
      <c r="BJ244">
        <f t="shared" ca="1" si="155"/>
        <v>72.752029027137752</v>
      </c>
      <c r="BK244" s="6">
        <f t="shared" ca="1" si="156"/>
        <v>0.98362235181914282</v>
      </c>
      <c r="BL244" s="6">
        <f t="shared" ca="1" si="157"/>
        <v>0.18024169606885779</v>
      </c>
      <c r="BM244" s="6">
        <f t="shared" ca="1" si="158"/>
        <v>0.18123216610827808</v>
      </c>
      <c r="BN244" s="6">
        <f t="shared" ca="1" si="159"/>
        <v>-9.4302862023912581E-2</v>
      </c>
      <c r="BO244" s="9"/>
      <c r="BT244" s="40"/>
    </row>
    <row r="245" spans="45:72" x14ac:dyDescent="0.25">
      <c r="AS245" s="6">
        <v>1.0995574287564183</v>
      </c>
      <c r="AT245" s="6">
        <v>-38.152216256200624</v>
      </c>
      <c r="AU245" s="6">
        <v>58.432273375950388</v>
      </c>
      <c r="AV245" s="6">
        <f t="shared" si="148"/>
        <v>2.1492289284107517</v>
      </c>
      <c r="AW245" s="6">
        <f t="shared" si="149"/>
        <v>1.0496714996543335</v>
      </c>
      <c r="AX245" s="6">
        <f t="shared" si="150"/>
        <v>-0.20696556178159309</v>
      </c>
      <c r="AY245" s="6">
        <f t="shared" si="151"/>
        <v>0.20696556178159309</v>
      </c>
      <c r="BF245" s="40"/>
      <c r="BG245" s="6">
        <f t="shared" si="152"/>
        <v>0.87266462599715522</v>
      </c>
      <c r="BH245" s="9">
        <f t="shared" ca="1" si="153"/>
        <v>71.289804763783266</v>
      </c>
      <c r="BI245" s="9">
        <f t="shared" ca="1" si="154"/>
        <v>13.736886790986766</v>
      </c>
      <c r="BJ245">
        <f t="shared" ca="1" si="155"/>
        <v>72.601228102331177</v>
      </c>
      <c r="BK245" s="6">
        <f t="shared" ca="1" si="156"/>
        <v>0.98193662321111885</v>
      </c>
      <c r="BL245" s="6">
        <f t="shared" ca="1" si="157"/>
        <v>0.18921011600003063</v>
      </c>
      <c r="BM245" s="6">
        <f t="shared" ca="1" si="158"/>
        <v>0.19035766965007772</v>
      </c>
      <c r="BN245" s="6">
        <f t="shared" ca="1" si="159"/>
        <v>-8.5177358482112941E-2</v>
      </c>
      <c r="BO245" s="9"/>
      <c r="BT245" s="40"/>
    </row>
    <row r="246" spans="45:72" x14ac:dyDescent="0.25">
      <c r="AS246" s="6">
        <v>1.1170107212763616</v>
      </c>
      <c r="AT246" s="6">
        <v>-38.811697844677319</v>
      </c>
      <c r="AU246" s="6">
        <v>59.435821167891163</v>
      </c>
      <c r="AV246" s="6">
        <f t="shared" si="148"/>
        <v>2.1492788779356795</v>
      </c>
      <c r="AW246" s="6">
        <f t="shared" si="149"/>
        <v>1.0322681566593179</v>
      </c>
      <c r="AX246" s="6">
        <f t="shared" si="150"/>
        <v>-0.20691561225666533</v>
      </c>
      <c r="AY246" s="6">
        <f t="shared" si="151"/>
        <v>0.20691561225666533</v>
      </c>
      <c r="BF246" s="40"/>
      <c r="BG246" s="6">
        <f t="shared" si="152"/>
        <v>0.89011791851709854</v>
      </c>
      <c r="BH246" s="9">
        <f t="shared" ca="1" si="153"/>
        <v>71.002856851723379</v>
      </c>
      <c r="BI246" s="9">
        <f t="shared" ca="1" si="154"/>
        <v>14.383709485401575</v>
      </c>
      <c r="BJ246">
        <f t="shared" ca="1" si="155"/>
        <v>72.445129440610103</v>
      </c>
      <c r="BK246" s="6">
        <f t="shared" ca="1" si="156"/>
        <v>0.98009151753853807</v>
      </c>
      <c r="BL246" s="6">
        <f t="shared" ca="1" si="157"/>
        <v>0.19854625972051326</v>
      </c>
      <c r="BM246" s="6">
        <f t="shared" ca="1" si="158"/>
        <v>0.19987442739983441</v>
      </c>
      <c r="BN246" s="6">
        <f t="shared" ca="1" si="159"/>
        <v>-7.5660600732356253E-2</v>
      </c>
      <c r="BO246" s="9"/>
      <c r="BT246" s="40"/>
    </row>
    <row r="247" spans="45:72" x14ac:dyDescent="0.25">
      <c r="AS247" s="6">
        <v>1.1344640137963049</v>
      </c>
      <c r="AT247" s="6">
        <v>-39.539763425213259</v>
      </c>
      <c r="AU247" s="6">
        <v>60.503205081264994</v>
      </c>
      <c r="AV247" s="6">
        <f t="shared" si="148"/>
        <v>2.1496387132285579</v>
      </c>
      <c r="AW247" s="6">
        <f t="shared" si="149"/>
        <v>1.015174699432253</v>
      </c>
      <c r="AX247" s="6">
        <f t="shared" si="150"/>
        <v>-0.20655577696378691</v>
      </c>
      <c r="AY247" s="6">
        <f t="shared" si="151"/>
        <v>0.20655577696378691</v>
      </c>
      <c r="BF247" s="40"/>
      <c r="BG247" s="6">
        <f t="shared" si="152"/>
        <v>0.90757121103704186</v>
      </c>
      <c r="BH247" s="9">
        <f t="shared" ca="1" si="153"/>
        <v>70.69792757291583</v>
      </c>
      <c r="BI247" s="9">
        <f t="shared" ca="1" si="154"/>
        <v>15.055145898954216</v>
      </c>
      <c r="BJ247">
        <f t="shared" ca="1" si="155"/>
        <v>72.283154200297943</v>
      </c>
      <c r="BK247" s="6">
        <f t="shared" ca="1" si="156"/>
        <v>0.97806921066297936</v>
      </c>
      <c r="BL247" s="6">
        <f t="shared" ca="1" si="157"/>
        <v>0.20828014584471688</v>
      </c>
      <c r="BM247" s="6">
        <f t="shared" ca="1" si="158"/>
        <v>0.20981621186099444</v>
      </c>
      <c r="BN247" s="6">
        <f t="shared" ca="1" si="159"/>
        <v>-6.5718816271196218E-2</v>
      </c>
      <c r="BO247" s="9"/>
      <c r="BT247" s="40"/>
    </row>
    <row r="248" spans="45:72" x14ac:dyDescent="0.25">
      <c r="AS248" s="6">
        <v>1.1519173063162482</v>
      </c>
      <c r="AT248" s="6">
        <v>-40.346818194231034</v>
      </c>
      <c r="AU248" s="6">
        <v>61.641623100015934</v>
      </c>
      <c r="AV248" s="6">
        <f t="shared" si="148"/>
        <v>2.150355473763252</v>
      </c>
      <c r="AW248" s="6">
        <f t="shared" si="149"/>
        <v>0.99843816744700375</v>
      </c>
      <c r="AX248" s="6">
        <f t="shared" si="150"/>
        <v>-0.20583901642909286</v>
      </c>
      <c r="AY248" s="6">
        <f t="shared" si="151"/>
        <v>0.20583901642909286</v>
      </c>
      <c r="BF248" s="40"/>
      <c r="BG248" s="6">
        <f t="shared" si="152"/>
        <v>0.92502450355698518</v>
      </c>
      <c r="BH248" s="9">
        <f t="shared" ca="1" si="153"/>
        <v>70.373056468695196</v>
      </c>
      <c r="BI248" s="9">
        <f t="shared" ca="1" si="154"/>
        <v>15.753095747006952</v>
      </c>
      <c r="BJ248">
        <f t="shared" ca="1" si="155"/>
        <v>72.1146802139518</v>
      </c>
      <c r="BK248" s="6">
        <f t="shared" ca="1" si="156"/>
        <v>0.97584924816847962</v>
      </c>
      <c r="BL248" s="6">
        <f t="shared" ca="1" si="157"/>
        <v>0.2184450613976272</v>
      </c>
      <c r="BM248" s="6">
        <f t="shared" ca="1" si="158"/>
        <v>0.22022076462704812</v>
      </c>
      <c r="BN248" s="6">
        <f t="shared" ca="1" si="159"/>
        <v>-5.5314263505142541E-2</v>
      </c>
      <c r="BO248" s="9"/>
      <c r="BT248" s="40"/>
    </row>
    <row r="249" spans="45:72" x14ac:dyDescent="0.25">
      <c r="AS249" s="6">
        <v>1.1693705988361915</v>
      </c>
      <c r="AT249" s="6">
        <v>-41.245332175314559</v>
      </c>
      <c r="AU249" s="6">
        <v>62.859415194383566</v>
      </c>
      <c r="AV249" s="6">
        <f t="shared" si="148"/>
        <v>2.1514841907101512</v>
      </c>
      <c r="AW249" s="6">
        <f t="shared" si="149"/>
        <v>0.98211359187395963</v>
      </c>
      <c r="AX249" s="6">
        <f t="shared" si="150"/>
        <v>-0.20471029948219366</v>
      </c>
      <c r="AY249" s="6">
        <f t="shared" si="151"/>
        <v>0.20471029948219366</v>
      </c>
      <c r="BF249" s="40"/>
      <c r="BG249" s="6">
        <f t="shared" si="152"/>
        <v>0.9424777960769285</v>
      </c>
      <c r="BH249" s="9">
        <f t="shared" ca="1" si="153"/>
        <v>70.026039255724797</v>
      </c>
      <c r="BI249" s="9">
        <f t="shared" ca="1" si="154"/>
        <v>16.479652201366612</v>
      </c>
      <c r="BJ249">
        <f t="shared" ca="1" si="155"/>
        <v>71.939037458964634</v>
      </c>
      <c r="BK249" s="6">
        <f t="shared" ca="1" si="156"/>
        <v>0.97340806506716127</v>
      </c>
      <c r="BL249" s="6">
        <f t="shared" ca="1" si="157"/>
        <v>0.22907801915986034</v>
      </c>
      <c r="BM249" s="6">
        <f t="shared" ca="1" si="158"/>
        <v>0.23113040926790665</v>
      </c>
      <c r="BN249" s="6">
        <f t="shared" ca="1" si="159"/>
        <v>-4.4404618864284012E-2</v>
      </c>
      <c r="BO249" s="9"/>
      <c r="BT249" s="40"/>
    </row>
    <row r="250" spans="45:72" x14ac:dyDescent="0.25">
      <c r="AS250" s="6">
        <v>1.1868238913561349</v>
      </c>
      <c r="AT250" s="6">
        <v>-42.250361305508022</v>
      </c>
      <c r="AU250" s="6">
        <v>64.166303713755127</v>
      </c>
      <c r="AV250" s="6">
        <f t="shared" si="148"/>
        <v>2.1530895136728931</v>
      </c>
      <c r="AW250" s="6">
        <f t="shared" si="149"/>
        <v>0.96626562231675828</v>
      </c>
      <c r="AX250" s="6">
        <f t="shared" si="150"/>
        <v>-0.2031049765194517</v>
      </c>
      <c r="AY250" s="6">
        <f t="shared" si="151"/>
        <v>0.2031049765194517</v>
      </c>
      <c r="BF250" s="40"/>
      <c r="BG250" s="6">
        <f t="shared" si="152"/>
        <v>0.95993108859687182</v>
      </c>
      <c r="BH250" s="9">
        <f t="shared" ca="1" si="153"/>
        <v>69.65438744202909</v>
      </c>
      <c r="BI250" s="9">
        <f t="shared" ca="1" si="154"/>
        <v>17.237127978652588</v>
      </c>
      <c r="BJ250">
        <f t="shared" ca="1" si="155"/>
        <v>71.755503418739579</v>
      </c>
      <c r="BK250" s="6">
        <f t="shared" ca="1" si="156"/>
        <v>0.97071839961251305</v>
      </c>
      <c r="BL250" s="6">
        <f t="shared" ca="1" si="157"/>
        <v>0.24022029192747549</v>
      </c>
      <c r="BM250" s="6">
        <f t="shared" ca="1" si="158"/>
        <v>0.24259278167516035</v>
      </c>
      <c r="BN250" s="6">
        <f t="shared" ca="1" si="159"/>
        <v>-3.2942246457030311E-2</v>
      </c>
      <c r="BO250" s="9"/>
      <c r="BT250" s="40"/>
    </row>
    <row r="251" spans="45:72" x14ac:dyDescent="0.25">
      <c r="AS251" s="6">
        <v>1.2042771838760782</v>
      </c>
      <c r="AT251" s="6">
        <v>-43.380230369227945</v>
      </c>
      <c r="AU251" s="6">
        <v>65.57369800526584</v>
      </c>
      <c r="AV251" s="6">
        <f t="shared" si="148"/>
        <v>2.1552477269075538</v>
      </c>
      <c r="AW251" s="6">
        <f t="shared" si="149"/>
        <v>0.95097054303147566</v>
      </c>
      <c r="AX251" s="6">
        <f t="shared" si="150"/>
        <v>-0.200946763284791</v>
      </c>
      <c r="AY251" s="6">
        <f t="shared" si="151"/>
        <v>0.200946763284791</v>
      </c>
      <c r="BF251" s="40"/>
      <c r="BG251" s="6">
        <f t="shared" si="152"/>
        <v>0.97738438111681514</v>
      </c>
      <c r="BH251" s="9">
        <f t="shared" ca="1" si="153"/>
        <v>69.255280343820857</v>
      </c>
      <c r="BI251" s="9">
        <f t="shared" ca="1" si="154"/>
        <v>18.028085728261082</v>
      </c>
      <c r="BJ251">
        <f t="shared" ca="1" si="155"/>
        <v>71.563298767781447</v>
      </c>
      <c r="BK251" s="6">
        <f t="shared" ca="1" si="156"/>
        <v>0.96774857414762328</v>
      </c>
      <c r="BL251" s="6">
        <f t="shared" ca="1" si="157"/>
        <v>0.25191803674060814</v>
      </c>
      <c r="BM251" s="6">
        <f t="shared" ca="1" si="158"/>
        <v>0.25466170312815589</v>
      </c>
      <c r="BN251" s="6">
        <f t="shared" ca="1" si="159"/>
        <v>-2.0873325004034771E-2</v>
      </c>
      <c r="BO251" s="9"/>
      <c r="BT251" s="40"/>
    </row>
    <row r="252" spans="45:72" x14ac:dyDescent="0.25">
      <c r="AS252" s="6">
        <v>1.2217304763960215</v>
      </c>
      <c r="AT252" s="6">
        <v>-44.63871085327807</v>
      </c>
      <c r="AU252" s="6">
        <v>67.005691878967667</v>
      </c>
      <c r="AV252" s="6">
        <f t="shared" si="148"/>
        <v>2.1584708111546926</v>
      </c>
      <c r="AW252" s="6">
        <f t="shared" si="149"/>
        <v>0.93674033475867113</v>
      </c>
      <c r="AX252" s="6">
        <f t="shared" si="150"/>
        <v>-0.1977236790376522</v>
      </c>
      <c r="AY252" s="6">
        <f t="shared" si="151"/>
        <v>0.1977236790376522</v>
      </c>
      <c r="BF252" s="40"/>
      <c r="BG252" s="6">
        <f t="shared" si="152"/>
        <v>0.99483767363675846</v>
      </c>
      <c r="BH252" s="9">
        <f t="shared" ca="1" si="153"/>
        <v>68.879212628208705</v>
      </c>
      <c r="BI252" s="9">
        <f t="shared" ca="1" si="154"/>
        <v>18.748624144605806</v>
      </c>
      <c r="BJ252">
        <f t="shared" ca="1" si="155"/>
        <v>71.385270466656365</v>
      </c>
      <c r="BK252" s="6">
        <f t="shared" ca="1" si="156"/>
        <v>0.96489390847628398</v>
      </c>
      <c r="BL252" s="6">
        <f t="shared" ca="1" si="157"/>
        <v>0.26263995390145894</v>
      </c>
      <c r="BM252" s="6">
        <f t="shared" ca="1" si="158"/>
        <v>0.26575719260351349</v>
      </c>
      <c r="BN252" s="6">
        <f t="shared" ca="1" si="159"/>
        <v>-9.7778355286771701E-3</v>
      </c>
      <c r="BO252" s="9"/>
      <c r="BT252" s="40"/>
    </row>
    <row r="253" spans="45:72" x14ac:dyDescent="0.25">
      <c r="AS253" s="6">
        <v>1.2391837689159648</v>
      </c>
      <c r="AT253" s="6">
        <v>-46.05629530590987</v>
      </c>
      <c r="AU253" s="6">
        <v>68.548259085326237</v>
      </c>
      <c r="AV253" s="6">
        <f t="shared" si="148"/>
        <v>2.1624003965911385</v>
      </c>
      <c r="AW253" s="6">
        <f t="shared" si="149"/>
        <v>0.92321662767517365</v>
      </c>
      <c r="AX253" s="6">
        <f t="shared" si="150"/>
        <v>-0.19379409360120636</v>
      </c>
      <c r="AY253" s="6">
        <f t="shared" si="151"/>
        <v>0.19379409360120636</v>
      </c>
      <c r="BF253" s="40"/>
      <c r="BG253" s="6">
        <f t="shared" si="152"/>
        <v>1.0122909661567017</v>
      </c>
      <c r="BH253" s="9">
        <f t="shared" ca="1" si="153"/>
        <v>68.487286751810998</v>
      </c>
      <c r="BI253" s="9">
        <f t="shared" ca="1" si="154"/>
        <v>19.476390725944263</v>
      </c>
      <c r="BJ253">
        <f t="shared" ca="1" si="155"/>
        <v>71.202796590684798</v>
      </c>
      <c r="BK253" s="6">
        <f t="shared" ca="1" si="156"/>
        <v>0.96186231484018625</v>
      </c>
      <c r="BL253" s="6">
        <f t="shared" ca="1" si="157"/>
        <v>0.27353406970664251</v>
      </c>
      <c r="BM253" s="6">
        <f t="shared" ca="1" si="158"/>
        <v>0.27706531719538302</v>
      </c>
      <c r="BN253" s="6">
        <f t="shared" ca="1" si="159"/>
        <v>1.5302890631923582E-3</v>
      </c>
      <c r="BO253" s="9"/>
      <c r="BT253" s="40"/>
    </row>
    <row r="254" spans="45:72" x14ac:dyDescent="0.25">
      <c r="AS254" s="6">
        <v>1.2566370614359081</v>
      </c>
      <c r="AT254" s="6">
        <v>-47.664378129094018</v>
      </c>
      <c r="AU254" s="6">
        <v>70.224598247323257</v>
      </c>
      <c r="AV254" s="6">
        <f t="shared" si="148"/>
        <v>2.1671121920454475</v>
      </c>
      <c r="AW254" s="6">
        <f t="shared" si="149"/>
        <v>0.91047513060953933</v>
      </c>
      <c r="AX254" s="6">
        <f t="shared" si="150"/>
        <v>-0.18908229814689737</v>
      </c>
      <c r="AY254" s="6">
        <f t="shared" si="151"/>
        <v>0.18908229814689737</v>
      </c>
      <c r="BF254" s="40"/>
      <c r="BG254" s="6">
        <f t="shared" si="152"/>
        <v>1.029744258676645</v>
      </c>
      <c r="BH254" s="9">
        <f t="shared" ca="1" si="153"/>
        <v>68.06320015339054</v>
      </c>
      <c r="BI254" s="9">
        <f t="shared" ca="1" si="154"/>
        <v>20.240277911711409</v>
      </c>
      <c r="BJ254">
        <f t="shared" ca="1" si="155"/>
        <v>71.008929474143002</v>
      </c>
      <c r="BK254" s="6">
        <f t="shared" ca="1" si="156"/>
        <v>0.95851607195648381</v>
      </c>
      <c r="BL254" s="6">
        <f t="shared" ca="1" si="157"/>
        <v>0.28503848828028944</v>
      </c>
      <c r="BM254" s="6">
        <f t="shared" ca="1" si="158"/>
        <v>0.2890465819608381</v>
      </c>
      <c r="BN254" s="6">
        <f t="shared" ca="1" si="159"/>
        <v>1.3511553828647438E-2</v>
      </c>
      <c r="BO254" s="9"/>
      <c r="BT254" s="40"/>
    </row>
    <row r="255" spans="45:72" x14ac:dyDescent="0.25">
      <c r="AS255" s="6">
        <v>1.2740903539558515</v>
      </c>
      <c r="AT255" s="6">
        <v>-49.501311482014245</v>
      </c>
      <c r="AU255" s="6">
        <v>72.05537214716351</v>
      </c>
      <c r="AV255" s="6">
        <f t="shared" si="148"/>
        <v>2.1727371961116986</v>
      </c>
      <c r="AW255" s="6">
        <f t="shared" si="149"/>
        <v>0.89864684215584711</v>
      </c>
      <c r="AX255" s="6">
        <f t="shared" si="150"/>
        <v>-0.18345729408064626</v>
      </c>
      <c r="AY255" s="6">
        <f t="shared" si="151"/>
        <v>0.18345729408064626</v>
      </c>
      <c r="BF255" s="40"/>
      <c r="BG255" s="6">
        <f t="shared" si="152"/>
        <v>1.0471975511965883</v>
      </c>
      <c r="BH255" s="9">
        <f t="shared" ca="1" si="153"/>
        <v>67.602955500262539</v>
      </c>
      <c r="BI255" s="9">
        <f t="shared" ca="1" si="154"/>
        <v>21.043591588222334</v>
      </c>
      <c r="BJ255">
        <f t="shared" ca="1" si="155"/>
        <v>70.802488228185737</v>
      </c>
      <c r="BK255" s="6">
        <f t="shared" ca="1" si="156"/>
        <v>0.95481044793776759</v>
      </c>
      <c r="BL255" s="6">
        <f t="shared" ca="1" si="157"/>
        <v>0.29721542441279764</v>
      </c>
      <c r="BM255" s="6">
        <f t="shared" ca="1" si="158"/>
        <v>0.30177496010752064</v>
      </c>
      <c r="BN255" s="6">
        <f t="shared" ca="1" si="159"/>
        <v>2.6239931975329978E-2</v>
      </c>
      <c r="BO255" s="9"/>
      <c r="BT255" s="40"/>
    </row>
    <row r="256" spans="45:72" x14ac:dyDescent="0.25">
      <c r="AS256" s="6">
        <v>1.2915436464757948</v>
      </c>
      <c r="AT256" s="6">
        <v>-51.616001877066012</v>
      </c>
      <c r="AU256" s="6">
        <v>74.065872886587599</v>
      </c>
      <c r="AV256" s="6">
        <f t="shared" si="148"/>
        <v>2.1794341340278591</v>
      </c>
      <c r="AW256" s="6">
        <f t="shared" si="149"/>
        <v>0.88789048755206434</v>
      </c>
      <c r="AX256" s="6">
        <f t="shared" si="150"/>
        <v>-0.17676035616448571</v>
      </c>
      <c r="AY256" s="6">
        <f t="shared" si="151"/>
        <v>0.17676035616448571</v>
      </c>
      <c r="BF256" s="40"/>
      <c r="BG256" s="6">
        <f t="shared" si="152"/>
        <v>1.0646508437165316</v>
      </c>
      <c r="BH256" s="9">
        <f t="shared" ca="1" si="153"/>
        <v>67.101927516476593</v>
      </c>
      <c r="BI256" s="9">
        <f t="shared" ca="1" si="154"/>
        <v>21.890054625665549</v>
      </c>
      <c r="BJ256">
        <f t="shared" ca="1" si="155"/>
        <v>70.582173159666183</v>
      </c>
      <c r="BK256" s="6">
        <f t="shared" ca="1" si="156"/>
        <v>0.95069228549655427</v>
      </c>
      <c r="BL256" s="6">
        <f t="shared" ca="1" si="157"/>
        <v>0.31013574172825992</v>
      </c>
      <c r="BM256" s="6">
        <f t="shared" ca="1" si="158"/>
        <v>0.3153358110975179</v>
      </c>
      <c r="BN256" s="6">
        <f t="shared" ca="1" si="159"/>
        <v>3.9800782965327242E-2</v>
      </c>
      <c r="BO256" s="9"/>
      <c r="BT256" s="40"/>
    </row>
    <row r="257" spans="45:72" x14ac:dyDescent="0.25">
      <c r="AS257" s="6">
        <v>1.3089969389957381</v>
      </c>
      <c r="AT257" s="6">
        <v>-53.7691317489111</v>
      </c>
      <c r="AU257" s="6">
        <v>76.095708869830105</v>
      </c>
      <c r="AV257" s="6">
        <f t="shared" si="148"/>
        <v>2.1859372579589333</v>
      </c>
      <c r="AW257" s="6">
        <f t="shared" si="149"/>
        <v>0.87694031896319524</v>
      </c>
      <c r="AX257" s="6">
        <f t="shared" si="150"/>
        <v>-0.17025723223341149</v>
      </c>
      <c r="AY257" s="6">
        <f t="shared" si="151"/>
        <v>0.17025723223341149</v>
      </c>
      <c r="BF257" s="40"/>
      <c r="BG257" s="6">
        <f t="shared" si="152"/>
        <v>1.0821041362364749</v>
      </c>
      <c r="BH257" s="9">
        <f t="shared" ca="1" si="153"/>
        <v>66.554737576782571</v>
      </c>
      <c r="BI257" s="9">
        <f t="shared" ca="1" si="154"/>
        <v>22.783876165124035</v>
      </c>
      <c r="BJ257">
        <f t="shared" ca="1" si="155"/>
        <v>70.346557179595521</v>
      </c>
      <c r="BK257" s="6">
        <f t="shared" ca="1" si="156"/>
        <v>0.94609800742440897</v>
      </c>
      <c r="BL257" s="6">
        <f t="shared" ca="1" si="157"/>
        <v>0.32388047231588823</v>
      </c>
      <c r="BM257" s="6">
        <f t="shared" ca="1" si="158"/>
        <v>0.32982817756780219</v>
      </c>
      <c r="BN257" s="6">
        <f t="shared" ca="1" si="159"/>
        <v>5.4293149435611532E-2</v>
      </c>
      <c r="BO257" s="9"/>
      <c r="BT257" s="40"/>
    </row>
    <row r="258" spans="45:72" x14ac:dyDescent="0.25">
      <c r="AS258" s="6">
        <v>1.3264502315156814</v>
      </c>
      <c r="AT258" s="6">
        <v>-55.943513597616921</v>
      </c>
      <c r="AU258" s="6">
        <v>78.144581060693838</v>
      </c>
      <c r="AV258" s="6">
        <f t="shared" si="148"/>
        <v>2.1921122914762075</v>
      </c>
      <c r="AW258" s="6">
        <f t="shared" si="149"/>
        <v>0.86566205996052603</v>
      </c>
      <c r="AX258" s="6">
        <f t="shared" si="150"/>
        <v>-0.16408219871613738</v>
      </c>
      <c r="AY258" s="6">
        <f t="shared" si="151"/>
        <v>0.16408219871613738</v>
      </c>
      <c r="BF258" s="40"/>
      <c r="BG258" s="6">
        <f t="shared" si="152"/>
        <v>1.0995574287564183</v>
      </c>
      <c r="BH258" s="9">
        <f t="shared" ca="1" si="153"/>
        <v>65.955097827854843</v>
      </c>
      <c r="BI258" s="9">
        <f t="shared" ca="1" si="154"/>
        <v>23.729835347931903</v>
      </c>
      <c r="BJ258">
        <f t="shared" ca="1" si="155"/>
        <v>70.094079743740565</v>
      </c>
      <c r="BK258" s="6">
        <f t="shared" ca="1" si="156"/>
        <v>0.94095104849057765</v>
      </c>
      <c r="BL258" s="6">
        <f t="shared" ca="1" si="157"/>
        <v>0.33854264774837833</v>
      </c>
      <c r="BM258" s="6">
        <f t="shared" ca="1" si="158"/>
        <v>0.34536765741235659</v>
      </c>
      <c r="BN258" s="6">
        <f t="shared" ca="1" si="159"/>
        <v>6.9832629280165925E-2</v>
      </c>
      <c r="BO258" s="9"/>
      <c r="BT258" s="40"/>
    </row>
    <row r="259" spans="45:72" x14ac:dyDescent="0.25">
      <c r="AS259" s="6">
        <v>1.3439035240356247</v>
      </c>
      <c r="AT259" s="6">
        <v>-58.471918980318293</v>
      </c>
      <c r="AU259" s="6">
        <v>80.422774228387055</v>
      </c>
      <c r="AV259" s="6">
        <f t="shared" ref="AV259:AV322" si="160">ATAN2(AT259,AU259)</f>
        <v>2.1994513226251708</v>
      </c>
      <c r="AW259" s="6">
        <f t="shared" ref="AW259:AW322" si="161">ABS(AS259-AV259)</f>
        <v>0.8555477985895461</v>
      </c>
      <c r="AX259" s="6">
        <f t="shared" ref="AX259:AX322" si="162">AV259-$U$13</f>
        <v>-0.15674316756717399</v>
      </c>
      <c r="AY259" s="6">
        <f t="shared" ref="AY259:AY322" si="163">ABS(AX259)</f>
        <v>0.15674316756717399</v>
      </c>
      <c r="BF259" s="40"/>
      <c r="BG259" s="6">
        <f t="shared" si="152"/>
        <v>1.1170107212763616</v>
      </c>
      <c r="BH259" s="9">
        <f t="shared" ca="1" si="153"/>
        <v>65.295616239378148</v>
      </c>
      <c r="BI259" s="9">
        <f t="shared" ca="1" si="154"/>
        <v>24.733383139872679</v>
      </c>
      <c r="BJ259">
        <f t="shared" ca="1" si="155"/>
        <v>69.823045920554634</v>
      </c>
      <c r="BK259" s="6">
        <f t="shared" ca="1" si="156"/>
        <v>0.93515851934721039</v>
      </c>
      <c r="BL259" s="6">
        <f t="shared" ca="1" si="157"/>
        <v>0.35422950708874218</v>
      </c>
      <c r="BM259" s="6">
        <f t="shared" ca="1" si="158"/>
        <v>0.36209002166524917</v>
      </c>
      <c r="BN259" s="6">
        <f t="shared" ca="1" si="159"/>
        <v>8.6554993533058511E-2</v>
      </c>
      <c r="BO259" s="9"/>
      <c r="BT259" s="40"/>
    </row>
    <row r="260" spans="45:72" x14ac:dyDescent="0.25">
      <c r="AS260" s="6">
        <v>1.3613568165555681</v>
      </c>
      <c r="AT260" s="6">
        <v>-61.446702525409378</v>
      </c>
      <c r="AU260" s="6">
        <v>82.977833729380947</v>
      </c>
      <c r="AV260" s="6">
        <f t="shared" si="160"/>
        <v>2.2082022427045724</v>
      </c>
      <c r="AW260" s="6">
        <f t="shared" si="161"/>
        <v>0.84684542614900438</v>
      </c>
      <c r="AX260" s="6">
        <f t="shared" si="162"/>
        <v>-0.1479922474877724</v>
      </c>
      <c r="AY260" s="6">
        <f t="shared" si="163"/>
        <v>0.1479922474877724</v>
      </c>
      <c r="BF260" s="40"/>
      <c r="BG260" s="6">
        <f t="shared" si="152"/>
        <v>1.1344640137963049</v>
      </c>
      <c r="BH260" s="9">
        <f t="shared" ca="1" si="153"/>
        <v>64.567550658842208</v>
      </c>
      <c r="BI260" s="9">
        <f t="shared" ca="1" si="154"/>
        <v>25.80076705324651</v>
      </c>
      <c r="BJ260">
        <f t="shared" ca="1" si="155"/>
        <v>69.531634373269597</v>
      </c>
      <c r="BK260" s="6">
        <f t="shared" ca="1" si="156"/>
        <v>0.92860683113274034</v>
      </c>
      <c r="BL260" s="6">
        <f t="shared" ca="1" si="157"/>
        <v>0.37106516027998376</v>
      </c>
      <c r="BM260" s="6">
        <f t="shared" ca="1" si="158"/>
        <v>0.3801558101433225</v>
      </c>
      <c r="BN260" s="6">
        <f t="shared" ca="1" si="159"/>
        <v>0.10462078201113184</v>
      </c>
      <c r="BO260" s="9"/>
      <c r="BT260" s="40"/>
    </row>
    <row r="261" spans="45:72" x14ac:dyDescent="0.25">
      <c r="AS261" s="6">
        <v>1.3788101090755114</v>
      </c>
      <c r="AT261" s="6">
        <v>-64.994724913780288</v>
      </c>
      <c r="AU261" s="6">
        <v>85.872156054672757</v>
      </c>
      <c r="AV261" s="6">
        <f t="shared" si="160"/>
        <v>2.2186846884601832</v>
      </c>
      <c r="AW261" s="6">
        <f t="shared" si="161"/>
        <v>0.8398745793846718</v>
      </c>
      <c r="AX261" s="6">
        <f t="shared" si="162"/>
        <v>-0.13750980173216165</v>
      </c>
      <c r="AY261" s="6">
        <f t="shared" si="163"/>
        <v>0.13750980173216165</v>
      </c>
      <c r="BF261" s="40"/>
      <c r="BG261" s="6">
        <f t="shared" si="152"/>
        <v>1.1519173063162482</v>
      </c>
      <c r="BH261" s="9">
        <f t="shared" ca="1" si="153"/>
        <v>63.760495889824426</v>
      </c>
      <c r="BI261" s="9">
        <f t="shared" ca="1" si="154"/>
        <v>26.93918507199745</v>
      </c>
      <c r="BJ261">
        <f t="shared" ca="1" si="155"/>
        <v>69.217920573068696</v>
      </c>
      <c r="BK261" s="6">
        <f t="shared" ca="1" si="156"/>
        <v>0.92115589954073762</v>
      </c>
      <c r="BL261" s="6">
        <f t="shared" ca="1" si="157"/>
        <v>0.38919379329749682</v>
      </c>
      <c r="BM261" s="6">
        <f t="shared" ca="1" si="158"/>
        <v>0.39975621870494338</v>
      </c>
      <c r="BN261" s="6">
        <f t="shared" ca="1" si="159"/>
        <v>0.12422119057275272</v>
      </c>
      <c r="BO261" s="9"/>
      <c r="BT261" s="40"/>
    </row>
    <row r="262" spans="45:72" x14ac:dyDescent="0.25">
      <c r="AS262" s="6">
        <v>1.3962634015954547</v>
      </c>
      <c r="AT262" s="6">
        <v>-69.294944647918584</v>
      </c>
      <c r="AU262" s="6">
        <v>89.189529262563099</v>
      </c>
      <c r="AV262" s="6">
        <f t="shared" si="160"/>
        <v>2.2313175058885562</v>
      </c>
      <c r="AW262" s="6">
        <f t="shared" si="161"/>
        <v>0.83505410429310145</v>
      </c>
      <c r="AX262" s="6">
        <f t="shared" si="162"/>
        <v>-0.12487698430378869</v>
      </c>
      <c r="AY262" s="6">
        <f t="shared" si="163"/>
        <v>0.12487698430378869</v>
      </c>
      <c r="BF262" s="40"/>
      <c r="BG262" s="6">
        <f t="shared" si="152"/>
        <v>1.1693705988361915</v>
      </c>
      <c r="BH262" s="9">
        <f t="shared" ca="1" si="153"/>
        <v>62.861981908740901</v>
      </c>
      <c r="BI262" s="9">
        <f t="shared" ca="1" si="154"/>
        <v>28.156977166365081</v>
      </c>
      <c r="BJ262">
        <f t="shared" ca="1" si="155"/>
        <v>68.879925469196564</v>
      </c>
      <c r="BK262" s="6">
        <f t="shared" ca="1" si="156"/>
        <v>0.91263138687414935</v>
      </c>
      <c r="BL262" s="6">
        <f t="shared" ca="1" si="157"/>
        <v>0.40878350222601528</v>
      </c>
      <c r="BM262" s="6">
        <f t="shared" ca="1" si="158"/>
        <v>0.42112070731111795</v>
      </c>
      <c r="BN262" s="6">
        <f t="shared" ca="1" si="159"/>
        <v>0.14558567917892729</v>
      </c>
      <c r="BO262" s="9"/>
      <c r="BT262" s="40"/>
    </row>
    <row r="263" spans="45:72" x14ac:dyDescent="0.25">
      <c r="AS263" s="6">
        <v>1.413716694115398</v>
      </c>
      <c r="AT263" s="6">
        <v>-74.217112395416592</v>
      </c>
      <c r="AU263" s="6">
        <v>92.38770598084831</v>
      </c>
      <c r="AV263" s="6">
        <f t="shared" si="160"/>
        <v>2.2475598333891371</v>
      </c>
      <c r="AW263" s="6">
        <f t="shared" si="161"/>
        <v>0.8338431392737391</v>
      </c>
      <c r="AX263" s="6">
        <f t="shared" si="162"/>
        <v>-0.10863465680320772</v>
      </c>
      <c r="AY263" s="6">
        <f t="shared" si="163"/>
        <v>0.10863465680320772</v>
      </c>
      <c r="BF263" s="40"/>
      <c r="BG263" s="6">
        <f t="shared" si="152"/>
        <v>1.1868238913561349</v>
      </c>
      <c r="BH263" s="9">
        <f t="shared" ca="1" si="153"/>
        <v>61.856952778547438</v>
      </c>
      <c r="BI263" s="9">
        <f t="shared" ca="1" si="154"/>
        <v>29.463865685736643</v>
      </c>
      <c r="BJ263">
        <f t="shared" ca="1" si="155"/>
        <v>68.515706142420925</v>
      </c>
      <c r="BK263" s="6">
        <f t="shared" ca="1" si="156"/>
        <v>0.90281420511039912</v>
      </c>
      <c r="BL263" s="6">
        <f t="shared" ca="1" si="157"/>
        <v>0.43003082569843554</v>
      </c>
      <c r="BM263" s="6">
        <f t="shared" ca="1" si="158"/>
        <v>0.44452692066949451</v>
      </c>
      <c r="BN263" s="6">
        <f t="shared" ca="1" si="159"/>
        <v>0.16899189253730384</v>
      </c>
      <c r="BO263" s="9"/>
      <c r="BT263" s="40"/>
    </row>
    <row r="264" spans="45:72" x14ac:dyDescent="0.25">
      <c r="AS264" s="6">
        <v>1.4311699866353413</v>
      </c>
      <c r="AT264" s="6">
        <v>-78.335775237013138</v>
      </c>
      <c r="AU264" s="6">
        <v>93.00219448770531</v>
      </c>
      <c r="AV264" s="6">
        <f t="shared" si="160"/>
        <v>2.2708032926900841</v>
      </c>
      <c r="AW264" s="6">
        <f t="shared" si="161"/>
        <v>0.83963330605474273</v>
      </c>
      <c r="AX264" s="6">
        <f t="shared" si="162"/>
        <v>-8.5391197502260763E-2</v>
      </c>
      <c r="AY264" s="6">
        <f t="shared" si="163"/>
        <v>8.5391197502260763E-2</v>
      </c>
      <c r="BF264" s="40"/>
      <c r="BG264" s="6">
        <f t="shared" si="152"/>
        <v>1.2042771838760782</v>
      </c>
      <c r="BH264" s="9">
        <f t="shared" ca="1" si="153"/>
        <v>60.727083714827515</v>
      </c>
      <c r="BI264" s="9">
        <f t="shared" ca="1" si="154"/>
        <v>30.871259977247355</v>
      </c>
      <c r="BJ264">
        <f t="shared" ca="1" si="155"/>
        <v>68.123515683576287</v>
      </c>
      <c r="BK264" s="6">
        <f t="shared" ca="1" si="156"/>
        <v>0.89142615593851449</v>
      </c>
      <c r="BL264" s="6">
        <f t="shared" ca="1" si="157"/>
        <v>0.45316598339756597</v>
      </c>
      <c r="BM264" s="6">
        <f t="shared" ca="1" si="158"/>
        <v>0.4703137396385319</v>
      </c>
      <c r="BN264" s="6">
        <f t="shared" ca="1" si="159"/>
        <v>0.19477871150634124</v>
      </c>
      <c r="BO264" s="9"/>
      <c r="BT264" s="40"/>
    </row>
    <row r="265" spans="45:72" x14ac:dyDescent="0.25">
      <c r="AS265" s="6">
        <v>1.4486232791552847</v>
      </c>
      <c r="AT265" s="6">
        <v>-83.295965642629199</v>
      </c>
      <c r="AU265" s="6">
        <v>93.653780112324029</v>
      </c>
      <c r="AV265" s="6">
        <f t="shared" si="160"/>
        <v>2.2977258626872676</v>
      </c>
      <c r="AW265" s="6">
        <f t="shared" si="161"/>
        <v>0.84910258353198298</v>
      </c>
      <c r="AX265" s="6">
        <f t="shared" si="162"/>
        <v>-5.8468627505077198E-2</v>
      </c>
      <c r="AY265" s="6">
        <f t="shared" si="163"/>
        <v>5.8468627505077198E-2</v>
      </c>
      <c r="BF265" s="40"/>
      <c r="BG265" s="6">
        <f t="shared" si="152"/>
        <v>1.2217304763960215</v>
      </c>
      <c r="BH265" s="9">
        <f t="shared" ca="1" si="153"/>
        <v>59.46860323077739</v>
      </c>
      <c r="BI265" s="9">
        <f t="shared" ca="1" si="154"/>
        <v>32.303253850949183</v>
      </c>
      <c r="BJ265">
        <f t="shared" ca="1" si="155"/>
        <v>67.675807934434673</v>
      </c>
      <c r="BK265" s="6">
        <f t="shared" ca="1" si="156"/>
        <v>0.87872764353831512</v>
      </c>
      <c r="BL265" s="6">
        <f t="shared" ca="1" si="157"/>
        <v>0.47732350505878046</v>
      </c>
      <c r="BM265" s="6">
        <f t="shared" ca="1" si="158"/>
        <v>0.49760630834433894</v>
      </c>
      <c r="BN265" s="6">
        <f t="shared" ca="1" si="159"/>
        <v>0.22207128021214828</v>
      </c>
      <c r="BO265" s="9"/>
      <c r="BT265" s="40"/>
    </row>
    <row r="266" spans="45:72" x14ac:dyDescent="0.25">
      <c r="AS266" s="6">
        <v>1.466076571675228</v>
      </c>
      <c r="AT266" s="6">
        <v>-89.385724810440365</v>
      </c>
      <c r="AU266" s="6">
        <v>94.345938712938391</v>
      </c>
      <c r="AV266" s="6">
        <f t="shared" si="160"/>
        <v>2.3292039907595354</v>
      </c>
      <c r="AW266" s="6">
        <f t="shared" si="161"/>
        <v>0.86312741908430746</v>
      </c>
      <c r="AX266" s="6">
        <f t="shared" si="162"/>
        <v>-2.6990499432809401E-2</v>
      </c>
      <c r="AY266" s="6">
        <f t="shared" si="163"/>
        <v>2.6990499432809401E-2</v>
      </c>
      <c r="BF266" s="40"/>
      <c r="BG266" s="6">
        <f t="shared" si="152"/>
        <v>1.2391837689159648</v>
      </c>
      <c r="BH266" s="9">
        <f t="shared" ca="1" si="153"/>
        <v>58.05101877814559</v>
      </c>
      <c r="BI266" s="9">
        <f t="shared" ca="1" si="154"/>
        <v>33.845821057307752</v>
      </c>
      <c r="BJ266">
        <f t="shared" ca="1" si="155"/>
        <v>67.19717541849441</v>
      </c>
      <c r="BK266" s="6">
        <f t="shared" ca="1" si="156"/>
        <v>0.86389075755955713</v>
      </c>
      <c r="BL266" s="6">
        <f t="shared" ca="1" si="157"/>
        <v>0.50367922232624829</v>
      </c>
      <c r="BM266" s="6">
        <f t="shared" ca="1" si="158"/>
        <v>0.52785241153856599</v>
      </c>
      <c r="BN266" s="6">
        <f t="shared" ca="1" si="159"/>
        <v>0.25231738340637533</v>
      </c>
      <c r="BO266" s="9"/>
      <c r="BT266" s="40"/>
    </row>
    <row r="267" spans="45:72" x14ac:dyDescent="0.25">
      <c r="AS267" s="6">
        <v>1.4835298641951713</v>
      </c>
      <c r="AT267" s="6">
        <v>-95.85416275327745</v>
      </c>
      <c r="AU267" s="6">
        <v>94.968826314693899</v>
      </c>
      <c r="AV267" s="6">
        <f t="shared" si="160"/>
        <v>2.3608340259763896</v>
      </c>
      <c r="AW267" s="6">
        <f t="shared" si="161"/>
        <v>0.87730416178121828</v>
      </c>
      <c r="AX267" s="6">
        <f t="shared" si="162"/>
        <v>4.639535784044746E-3</v>
      </c>
      <c r="AY267" s="6">
        <f t="shared" si="163"/>
        <v>4.639535784044746E-3</v>
      </c>
      <c r="BF267" s="40"/>
      <c r="BG267" s="6">
        <f t="shared" si="152"/>
        <v>1.2566370614359081</v>
      </c>
      <c r="BH267" s="9">
        <f t="shared" ca="1" si="153"/>
        <v>56.442935954961442</v>
      </c>
      <c r="BI267" s="9">
        <f t="shared" ca="1" si="154"/>
        <v>35.522160219304773</v>
      </c>
      <c r="BJ267">
        <f t="shared" ca="1" si="155"/>
        <v>66.6905457007351</v>
      </c>
      <c r="BK267" s="6">
        <f t="shared" ca="1" si="156"/>
        <v>0.84634089227941789</v>
      </c>
      <c r="BL267" s="6">
        <f t="shared" ca="1" si="157"/>
        <v>0.53264161877915517</v>
      </c>
      <c r="BM267" s="6">
        <f t="shared" ca="1" si="158"/>
        <v>0.56171873398043004</v>
      </c>
      <c r="BN267" s="6">
        <f t="shared" ca="1" si="159"/>
        <v>0.28618370584823938</v>
      </c>
      <c r="BO267" s="9"/>
      <c r="BT267" s="40"/>
    </row>
    <row r="268" spans="45:72" x14ac:dyDescent="0.25">
      <c r="AS268" s="6">
        <v>1.5009831567151146</v>
      </c>
      <c r="AT268" s="6">
        <v>-102.30287465433975</v>
      </c>
      <c r="AU268" s="6">
        <v>95.476389840162952</v>
      </c>
      <c r="AV268" s="6">
        <f t="shared" si="160"/>
        <v>2.390696468436476</v>
      </c>
      <c r="AW268" s="6">
        <f t="shared" si="161"/>
        <v>0.88971331172136137</v>
      </c>
      <c r="AX268" s="6">
        <f t="shared" si="162"/>
        <v>3.4501978244131148E-2</v>
      </c>
      <c r="AY268" s="6">
        <f t="shared" si="163"/>
        <v>3.4501978244131148E-2</v>
      </c>
      <c r="BF268" s="40"/>
      <c r="BG268" s="6">
        <f t="shared" si="152"/>
        <v>1.2740903539558515</v>
      </c>
      <c r="BH268" s="9">
        <f t="shared" ca="1" si="153"/>
        <v>54.606002602041215</v>
      </c>
      <c r="BI268" s="9">
        <f t="shared" ca="1" si="154"/>
        <v>37.352934119145026</v>
      </c>
      <c r="BJ268">
        <f t="shared" ca="1" si="155"/>
        <v>66.159331975794018</v>
      </c>
      <c r="BK268" s="6">
        <f t="shared" ca="1" si="156"/>
        <v>0.82537113013807539</v>
      </c>
      <c r="BL268" s="6">
        <f t="shared" ca="1" si="157"/>
        <v>0.5645905574259954</v>
      </c>
      <c r="BM268" s="6">
        <f t="shared" ca="1" si="158"/>
        <v>0.59993709849532195</v>
      </c>
      <c r="BN268" s="6">
        <f t="shared" ca="1" si="159"/>
        <v>0.32440207036313129</v>
      </c>
      <c r="BO268" s="9"/>
      <c r="BT268" s="40"/>
    </row>
    <row r="269" spans="45:72" x14ac:dyDescent="0.25">
      <c r="AS269" s="6">
        <v>1.5184364492350579</v>
      </c>
      <c r="AT269" s="6">
        <v>-108.73586344726404</v>
      </c>
      <c r="AU269" s="6">
        <v>95.869878368013701</v>
      </c>
      <c r="AV269" s="6">
        <f t="shared" si="160"/>
        <v>2.4189936432243702</v>
      </c>
      <c r="AW269" s="6">
        <f t="shared" si="161"/>
        <v>0.90055719398931222</v>
      </c>
      <c r="AX269" s="6">
        <f t="shared" si="162"/>
        <v>6.2799153032025323E-2</v>
      </c>
      <c r="AY269" s="6">
        <f t="shared" si="163"/>
        <v>6.2799153032025323E-2</v>
      </c>
      <c r="BF269" s="40"/>
      <c r="BG269" s="6">
        <f t="shared" si="152"/>
        <v>1.2915436464757948</v>
      </c>
      <c r="BH269" s="9">
        <f t="shared" ca="1" si="153"/>
        <v>52.491312206989448</v>
      </c>
      <c r="BI269" s="9">
        <f t="shared" ca="1" si="154"/>
        <v>39.363434858569114</v>
      </c>
      <c r="BJ269">
        <f t="shared" ca="1" si="155"/>
        <v>65.611110805079761</v>
      </c>
      <c r="BK269" s="6">
        <f t="shared" ca="1" si="156"/>
        <v>0.8000369383004784</v>
      </c>
      <c r="BL269" s="6">
        <f t="shared" ca="1" si="157"/>
        <v>0.59995074577401464</v>
      </c>
      <c r="BM269" s="6">
        <f t="shared" ca="1" si="158"/>
        <v>0.64343954243217016</v>
      </c>
      <c r="BN269" s="6">
        <f t="shared" ca="1" si="159"/>
        <v>0.3679045142999795</v>
      </c>
      <c r="BO269" s="9"/>
      <c r="BT269" s="40"/>
    </row>
    <row r="270" spans="45:72" x14ac:dyDescent="0.25">
      <c r="AS270" s="6">
        <v>1.5358897417550013</v>
      </c>
      <c r="AT270" s="6">
        <v>-115.15709344262703</v>
      </c>
      <c r="AU270" s="6">
        <v>96.150256721427439</v>
      </c>
      <c r="AV270" s="6">
        <f t="shared" si="160"/>
        <v>2.4459018480413723</v>
      </c>
      <c r="AW270" s="6">
        <f t="shared" si="161"/>
        <v>0.91001210628637108</v>
      </c>
      <c r="AX270" s="6">
        <f t="shared" si="162"/>
        <v>8.9707357849027503E-2</v>
      </c>
      <c r="AY270" s="6">
        <f t="shared" si="163"/>
        <v>8.9707357849027503E-2</v>
      </c>
      <c r="BF270" s="40"/>
      <c r="BG270" s="6">
        <f t="shared" si="152"/>
        <v>1.3089969389957381</v>
      </c>
      <c r="BH270" s="9">
        <f t="shared" ca="1" si="153"/>
        <v>50.33818233514436</v>
      </c>
      <c r="BI270" s="9">
        <f t="shared" ca="1" si="154"/>
        <v>41.393270841811621</v>
      </c>
      <c r="BJ270">
        <f t="shared" ca="1" si="155"/>
        <v>65.171584849455769</v>
      </c>
      <c r="BK270" s="6">
        <f t="shared" ca="1" si="156"/>
        <v>0.77239463259062846</v>
      </c>
      <c r="BL270" s="6">
        <f t="shared" ca="1" si="157"/>
        <v>0.63514292214051149</v>
      </c>
      <c r="BM270" s="6">
        <f t="shared" ca="1" si="158"/>
        <v>0.68819354367937957</v>
      </c>
      <c r="BN270" s="6">
        <f t="shared" ca="1" si="159"/>
        <v>0.41265851554718891</v>
      </c>
      <c r="BO270" s="9"/>
      <c r="BT270" s="40"/>
    </row>
    <row r="271" spans="45:72" x14ac:dyDescent="0.25">
      <c r="AS271" s="6">
        <v>1.5533430342749446</v>
      </c>
      <c r="AT271" s="6">
        <v>-121.57050015835529</v>
      </c>
      <c r="AU271" s="6">
        <v>96.318210484333477</v>
      </c>
      <c r="AV271" s="6">
        <f t="shared" si="160"/>
        <v>2.4715750963452416</v>
      </c>
      <c r="AW271" s="6">
        <f t="shared" si="161"/>
        <v>0.91823206207029706</v>
      </c>
      <c r="AX271" s="6">
        <f t="shared" si="162"/>
        <v>0.1153806061528968</v>
      </c>
      <c r="AY271" s="6">
        <f t="shared" si="163"/>
        <v>0.1153806061528968</v>
      </c>
      <c r="BF271" s="40"/>
      <c r="BG271" s="6">
        <f t="shared" si="152"/>
        <v>1.3264502315156814</v>
      </c>
      <c r="BH271" s="9">
        <f t="shared" ca="1" si="153"/>
        <v>48.163800486438539</v>
      </c>
      <c r="BI271" s="9">
        <f t="shared" ca="1" si="154"/>
        <v>43.442143032675354</v>
      </c>
      <c r="BJ271">
        <f t="shared" ca="1" si="155"/>
        <v>64.861170730791486</v>
      </c>
      <c r="BK271" s="6">
        <f t="shared" ca="1" si="156"/>
        <v>0.74256754763715327</v>
      </c>
      <c r="BL271" s="6">
        <f t="shared" ca="1" si="157"/>
        <v>0.66977118271551805</v>
      </c>
      <c r="BM271" s="6">
        <f t="shared" ca="1" si="158"/>
        <v>0.73390060122053913</v>
      </c>
      <c r="BN271" s="6">
        <f t="shared" ca="1" si="159"/>
        <v>0.45836557308834847</v>
      </c>
      <c r="BO271" s="9"/>
      <c r="BT271" s="40"/>
    </row>
    <row r="272" spans="45:72" x14ac:dyDescent="0.25">
      <c r="AS272" s="6">
        <v>1.5707963267948879</v>
      </c>
      <c r="AT272" s="6">
        <v>-127.97999999999681</v>
      </c>
      <c r="AU272" s="6">
        <v>96.374149599553505</v>
      </c>
      <c r="AV272" s="6">
        <f t="shared" si="160"/>
        <v>2.496148331373452</v>
      </c>
      <c r="AW272" s="6">
        <f t="shared" si="161"/>
        <v>0.92535200457856415</v>
      </c>
      <c r="AX272" s="6">
        <f t="shared" si="162"/>
        <v>0.13995384118110721</v>
      </c>
      <c r="AY272" s="6">
        <f t="shared" si="163"/>
        <v>0.13995384118110721</v>
      </c>
      <c r="BF272" s="40"/>
      <c r="BG272" s="6">
        <f t="shared" ref="BG272:BG335" si="164">AS259</f>
        <v>1.3439035240356247</v>
      </c>
      <c r="BH272" s="9">
        <f t="shared" ref="BH272:BH335" ca="1" si="165">AT259-$BG$5</f>
        <v>45.635395103737167</v>
      </c>
      <c r="BI272" s="9">
        <f t="shared" ref="BI272:BI335" ca="1" si="166">AU259-$BH$5</f>
        <v>45.720336200368571</v>
      </c>
      <c r="BJ272">
        <f t="shared" ref="BJ272:BJ335" ca="1" si="167">SQRT(POWER(BH272,2)+POWER(BI272,2))</f>
        <v>64.598285027924163</v>
      </c>
      <c r="BK272" s="6">
        <f t="shared" ref="BK272:BK335" ca="1" si="168">BH272/BJ272</f>
        <v>0.70644901925817638</v>
      </c>
      <c r="BL272" s="6">
        <f t="shared" ref="BL272:BL335" ca="1" si="169">BI272/BJ272</f>
        <v>0.70776393182272335</v>
      </c>
      <c r="BM272" s="6">
        <f t="shared" ref="BM272:BM335" ca="1" si="170">ATAN2(BK272,BL272)</f>
        <v>0.78632794712247289</v>
      </c>
      <c r="BN272" s="6">
        <f t="shared" ref="BN272:BN335" ca="1" si="171">BM272-$BJ$11</f>
        <v>0.51079291899028223</v>
      </c>
      <c r="BO272" s="9"/>
      <c r="BT272" s="40"/>
    </row>
    <row r="273" spans="45:72" x14ac:dyDescent="0.25">
      <c r="AS273" s="6">
        <v>1.5882496193148312</v>
      </c>
      <c r="AT273" s="6">
        <v>-134.38949984163833</v>
      </c>
      <c r="AU273" s="6">
        <v>96.318210484339147</v>
      </c>
      <c r="AV273" s="6">
        <f t="shared" si="160"/>
        <v>2.5197401695794208</v>
      </c>
      <c r="AW273" s="6">
        <f t="shared" si="161"/>
        <v>0.9314905502645896</v>
      </c>
      <c r="AX273" s="6">
        <f t="shared" si="162"/>
        <v>0.16354567938707598</v>
      </c>
      <c r="AY273" s="6">
        <f t="shared" si="163"/>
        <v>0.16354567938707598</v>
      </c>
      <c r="BF273" s="40"/>
      <c r="BG273" s="6">
        <f t="shared" si="164"/>
        <v>1.3613568165555681</v>
      </c>
      <c r="BH273" s="9">
        <f t="shared" ca="1" si="165"/>
        <v>42.660611558646082</v>
      </c>
      <c r="BI273" s="9">
        <f t="shared" ca="1" si="166"/>
        <v>48.275395701362463</v>
      </c>
      <c r="BJ273">
        <f t="shared" ca="1" si="167"/>
        <v>64.423921090545349</v>
      </c>
      <c r="BK273" s="6">
        <f t="shared" ca="1" si="168"/>
        <v>0.66218589052796439</v>
      </c>
      <c r="BL273" s="6">
        <f t="shared" ca="1" si="169"/>
        <v>0.74933960684437773</v>
      </c>
      <c r="BM273" s="6">
        <f t="shared" ca="1" si="170"/>
        <v>0.84706422273019488</v>
      </c>
      <c r="BN273" s="6">
        <f t="shared" ca="1" si="171"/>
        <v>0.57152919459800422</v>
      </c>
      <c r="BO273" s="9"/>
      <c r="BT273" s="40"/>
    </row>
    <row r="274" spans="45:72" x14ac:dyDescent="0.25">
      <c r="AS274" s="6">
        <v>1.6057029118347745</v>
      </c>
      <c r="AT274" s="6">
        <v>-140.80290655736658</v>
      </c>
      <c r="AU274" s="6">
        <v>96.150256721432939</v>
      </c>
      <c r="AV274" s="6">
        <f t="shared" si="160"/>
        <v>2.5424552341165381</v>
      </c>
      <c r="AW274" s="6">
        <f t="shared" si="161"/>
        <v>0.93675232228176353</v>
      </c>
      <c r="AX274" s="6">
        <f t="shared" si="162"/>
        <v>0.18626074392419323</v>
      </c>
      <c r="AY274" s="6">
        <f t="shared" si="163"/>
        <v>0.18626074392419323</v>
      </c>
      <c r="BF274" s="40"/>
      <c r="BG274" s="6">
        <f t="shared" si="164"/>
        <v>1.3788101090755114</v>
      </c>
      <c r="BH274" s="9">
        <f t="shared" ca="1" si="165"/>
        <v>39.112589170275172</v>
      </c>
      <c r="BI274" s="9">
        <f t="shared" ca="1" si="166"/>
        <v>51.169718026654273</v>
      </c>
      <c r="BJ274">
        <f t="shared" ca="1" si="167"/>
        <v>64.406014272970154</v>
      </c>
      <c r="BK274" s="6">
        <f t="shared" ca="1" si="168"/>
        <v>0.60728162752791082</v>
      </c>
      <c r="BL274" s="6">
        <f t="shared" ca="1" si="169"/>
        <v>0.79448664234652266</v>
      </c>
      <c r="BM274" s="6">
        <f t="shared" ca="1" si="170"/>
        <v>0.91816177440273261</v>
      </c>
      <c r="BN274" s="6">
        <f t="shared" ca="1" si="171"/>
        <v>0.64262674627054195</v>
      </c>
      <c r="BO274" s="9"/>
      <c r="BT274" s="40"/>
    </row>
    <row r="275" spans="45:72" x14ac:dyDescent="0.25">
      <c r="AS275" s="6">
        <v>1.6231562043547179</v>
      </c>
      <c r="AT275" s="6">
        <v>-147.22413655272959</v>
      </c>
      <c r="AU275" s="6">
        <v>95.869878368019158</v>
      </c>
      <c r="AV275" s="6">
        <f t="shared" si="160"/>
        <v>2.5643861361747304</v>
      </c>
      <c r="AW275" s="6">
        <f t="shared" si="161"/>
        <v>0.94122993182001258</v>
      </c>
      <c r="AX275" s="6">
        <f t="shared" si="162"/>
        <v>0.2081916459823856</v>
      </c>
      <c r="AY275" s="6">
        <f t="shared" si="163"/>
        <v>0.2081916459823856</v>
      </c>
      <c r="BF275" s="40"/>
      <c r="BG275" s="6">
        <f t="shared" si="164"/>
        <v>1.3962634015954547</v>
      </c>
      <c r="BH275" s="9">
        <f t="shared" ca="1" si="165"/>
        <v>34.812369436136876</v>
      </c>
      <c r="BI275" s="9">
        <f t="shared" ca="1" si="166"/>
        <v>54.487091234544614</v>
      </c>
      <c r="BJ275">
        <f t="shared" ca="1" si="167"/>
        <v>64.658674413876341</v>
      </c>
      <c r="BK275" s="6">
        <f t="shared" ca="1" si="168"/>
        <v>0.53840215178716722</v>
      </c>
      <c r="BL275" s="6">
        <f t="shared" ca="1" si="169"/>
        <v>0.84268803418047167</v>
      </c>
      <c r="BM275" s="6">
        <f t="shared" ca="1" si="170"/>
        <v>1.0022565010231008</v>
      </c>
      <c r="BN275" s="6">
        <f t="shared" ca="1" si="171"/>
        <v>0.72672147289091016</v>
      </c>
      <c r="BO275" s="9"/>
      <c r="BT275" s="40"/>
    </row>
    <row r="276" spans="45:72" x14ac:dyDescent="0.25">
      <c r="AS276" s="6">
        <v>1.6406094968746612</v>
      </c>
      <c r="AT276" s="6">
        <v>-153.65712534565387</v>
      </c>
      <c r="AU276" s="6">
        <v>95.476389840168352</v>
      </c>
      <c r="AV276" s="6">
        <f t="shared" si="160"/>
        <v>2.5856151568501446</v>
      </c>
      <c r="AW276" s="6">
        <f t="shared" si="161"/>
        <v>0.94500565997548347</v>
      </c>
      <c r="AX276" s="6">
        <f t="shared" si="162"/>
        <v>0.22942066665779981</v>
      </c>
      <c r="AY276" s="6">
        <f t="shared" si="163"/>
        <v>0.22942066665779981</v>
      </c>
      <c r="BF276" s="40"/>
      <c r="BG276" s="6">
        <f t="shared" si="164"/>
        <v>1.413716694115398</v>
      </c>
      <c r="BH276" s="9">
        <f t="shared" ca="1" si="165"/>
        <v>29.890201688638868</v>
      </c>
      <c r="BI276" s="9">
        <f t="shared" ca="1" si="166"/>
        <v>57.685267952829825</v>
      </c>
      <c r="BJ276">
        <f t="shared" ca="1" si="167"/>
        <v>64.969333502640197</v>
      </c>
      <c r="BK276" s="6">
        <f t="shared" ca="1" si="168"/>
        <v>0.46006631247685809</v>
      </c>
      <c r="BL276" s="6">
        <f t="shared" ca="1" si="169"/>
        <v>0.88788455788122922</v>
      </c>
      <c r="BM276" s="6">
        <f t="shared" ca="1" si="170"/>
        <v>1.0927264437989377</v>
      </c>
      <c r="BN276" s="6">
        <f t="shared" ca="1" si="171"/>
        <v>0.81719141566674702</v>
      </c>
      <c r="BO276" s="9"/>
      <c r="BT276" s="40"/>
    </row>
    <row r="277" spans="45:72" x14ac:dyDescent="0.25">
      <c r="AS277" s="6">
        <v>1.6580627893946045</v>
      </c>
      <c r="AT277" s="6">
        <v>-160.10583724671616</v>
      </c>
      <c r="AU277" s="6">
        <v>94.968826314699271</v>
      </c>
      <c r="AV277" s="6">
        <f t="shared" si="160"/>
        <v>2.6062156758302701</v>
      </c>
      <c r="AW277" s="6">
        <f t="shared" si="161"/>
        <v>0.94815288643566564</v>
      </c>
      <c r="AX277" s="6">
        <f t="shared" si="162"/>
        <v>0.2500211856379253</v>
      </c>
      <c r="AY277" s="6">
        <f t="shared" si="163"/>
        <v>0.2500211856379253</v>
      </c>
      <c r="BF277" s="40"/>
      <c r="BG277" s="6">
        <f t="shared" si="164"/>
        <v>1.4311699866353413</v>
      </c>
      <c r="BH277" s="9">
        <f t="shared" ca="1" si="165"/>
        <v>25.771538847042322</v>
      </c>
      <c r="BI277" s="9">
        <f t="shared" ca="1" si="166"/>
        <v>58.299756459686826</v>
      </c>
      <c r="BJ277">
        <f t="shared" ca="1" si="167"/>
        <v>63.741931393733331</v>
      </c>
      <c r="BK277" s="6">
        <f t="shared" ca="1" si="168"/>
        <v>0.40431060502154792</v>
      </c>
      <c r="BL277" s="6">
        <f t="shared" ca="1" si="169"/>
        <v>0.91462174403799845</v>
      </c>
      <c r="BM277" s="6">
        <f t="shared" ca="1" si="170"/>
        <v>1.1545713705921357</v>
      </c>
      <c r="BN277" s="6">
        <f t="shared" ca="1" si="171"/>
        <v>0.879036342459945</v>
      </c>
      <c r="BO277" s="9"/>
      <c r="BT277" s="40"/>
    </row>
    <row r="278" spans="45:72" x14ac:dyDescent="0.25">
      <c r="AS278" s="6">
        <v>1.6755160819145478</v>
      </c>
      <c r="AT278" s="6">
        <v>-166.57427518955319</v>
      </c>
      <c r="AU278" s="6">
        <v>94.345938712943791</v>
      </c>
      <c r="AV278" s="6">
        <f t="shared" si="160"/>
        <v>2.6262533861561561</v>
      </c>
      <c r="AW278" s="6">
        <f t="shared" si="161"/>
        <v>0.95073730424160829</v>
      </c>
      <c r="AX278" s="6">
        <f t="shared" si="162"/>
        <v>0.27005889596381127</v>
      </c>
      <c r="AY278" s="6">
        <f t="shared" si="163"/>
        <v>0.27005889596381127</v>
      </c>
      <c r="BF278" s="40"/>
      <c r="BG278" s="6">
        <f t="shared" si="164"/>
        <v>1.4486232791552847</v>
      </c>
      <c r="BH278" s="9">
        <f t="shared" ca="1" si="165"/>
        <v>20.811348441426262</v>
      </c>
      <c r="BI278" s="9">
        <f t="shared" ca="1" si="166"/>
        <v>58.951342084305544</v>
      </c>
      <c r="BJ278">
        <f t="shared" ca="1" si="167"/>
        <v>62.516981352999352</v>
      </c>
      <c r="BK278" s="6">
        <f t="shared" ca="1" si="168"/>
        <v>0.33289112799474291</v>
      </c>
      <c r="BL278" s="6">
        <f t="shared" ca="1" si="169"/>
        <v>0.94296526813154036</v>
      </c>
      <c r="BM278" s="6">
        <f t="shared" ca="1" si="170"/>
        <v>1.2314284080659186</v>
      </c>
      <c r="BN278" s="6">
        <f t="shared" ca="1" si="171"/>
        <v>0.95589337993372792</v>
      </c>
      <c r="BO278" s="9"/>
      <c r="BT278" s="40"/>
    </row>
    <row r="279" spans="45:72" x14ac:dyDescent="0.25">
      <c r="AS279" s="6">
        <v>1.6929693744344911</v>
      </c>
      <c r="AT279" s="6">
        <v>-172.66403435736595</v>
      </c>
      <c r="AU279" s="6">
        <v>93.653780112328505</v>
      </c>
      <c r="AV279" s="6">
        <f t="shared" si="160"/>
        <v>2.6445994791749805</v>
      </c>
      <c r="AW279" s="6">
        <f t="shared" si="161"/>
        <v>0.95163010474048937</v>
      </c>
      <c r="AX279" s="6">
        <f t="shared" si="162"/>
        <v>0.28840498898263567</v>
      </c>
      <c r="AY279" s="6">
        <f t="shared" si="163"/>
        <v>0.28840498898263567</v>
      </c>
      <c r="BF279" s="40"/>
      <c r="BG279" s="6">
        <f t="shared" si="164"/>
        <v>1.466076571675228</v>
      </c>
      <c r="BH279" s="9">
        <f t="shared" ca="1" si="165"/>
        <v>14.721589273615095</v>
      </c>
      <c r="BI279" s="9">
        <f t="shared" ca="1" si="166"/>
        <v>59.643500684919907</v>
      </c>
      <c r="BJ279">
        <f t="shared" ca="1" si="167"/>
        <v>61.433479184342637</v>
      </c>
      <c r="BK279" s="6">
        <f t="shared" ca="1" si="168"/>
        <v>0.2396346335756146</v>
      </c>
      <c r="BL279" s="6">
        <f t="shared" ca="1" si="169"/>
        <v>0.97086314297694964</v>
      </c>
      <c r="BM279" s="6">
        <f t="shared" ca="1" si="170"/>
        <v>1.3288068247876275</v>
      </c>
      <c r="BN279" s="6">
        <f t="shared" ca="1" si="171"/>
        <v>1.0532717966554368</v>
      </c>
      <c r="BO279" s="9"/>
      <c r="BT279" s="40"/>
    </row>
    <row r="280" spans="45:72" x14ac:dyDescent="0.25">
      <c r="AS280" s="6">
        <v>1.7104226669544345</v>
      </c>
      <c r="AT280" s="6">
        <v>-177.62422476298332</v>
      </c>
      <c r="AU280" s="6">
        <v>93.002194487708977</v>
      </c>
      <c r="AV280" s="6">
        <f t="shared" si="160"/>
        <v>2.6592519580226757</v>
      </c>
      <c r="AW280" s="6">
        <f t="shared" si="161"/>
        <v>0.94882929106824121</v>
      </c>
      <c r="AX280" s="6">
        <f t="shared" si="162"/>
        <v>0.30305746783033083</v>
      </c>
      <c r="AY280" s="6">
        <f t="shared" si="163"/>
        <v>0.30305746783033083</v>
      </c>
      <c r="BF280" s="40"/>
      <c r="BG280" s="6">
        <f t="shared" si="164"/>
        <v>1.4835298641951713</v>
      </c>
      <c r="BH280" s="9">
        <f t="shared" ca="1" si="165"/>
        <v>8.2531513307780102</v>
      </c>
      <c r="BI280" s="9">
        <f t="shared" ca="1" si="166"/>
        <v>60.266388286675415</v>
      </c>
      <c r="BJ280">
        <f t="shared" ca="1" si="167"/>
        <v>60.828875248594315</v>
      </c>
      <c r="BK280" s="6">
        <f t="shared" ca="1" si="168"/>
        <v>0.13567818403758389</v>
      </c>
      <c r="BL280" s="6">
        <f t="shared" ca="1" si="169"/>
        <v>0.99075296132601276</v>
      </c>
      <c r="BM280" s="6">
        <f t="shared" ca="1" si="170"/>
        <v>1.4346983825923667</v>
      </c>
      <c r="BN280" s="6">
        <f t="shared" ca="1" si="171"/>
        <v>1.159163354460176</v>
      </c>
      <c r="BO280" s="9"/>
      <c r="BT280" s="40"/>
    </row>
    <row r="281" spans="45:72" x14ac:dyDescent="0.25">
      <c r="AS281" s="6">
        <v>1.7278759594743778</v>
      </c>
      <c r="AT281" s="6">
        <v>-181.7428876045808</v>
      </c>
      <c r="AU281" s="6">
        <v>92.387705980851322</v>
      </c>
      <c r="AV281" s="6">
        <f t="shared" si="160"/>
        <v>2.6712930243399189</v>
      </c>
      <c r="AW281" s="6">
        <f t="shared" si="161"/>
        <v>0.94341706486554111</v>
      </c>
      <c r="AX281" s="6">
        <f t="shared" si="162"/>
        <v>0.31509853414757405</v>
      </c>
      <c r="AY281" s="6">
        <f t="shared" si="163"/>
        <v>0.31509853414757405</v>
      </c>
      <c r="BF281" s="40"/>
      <c r="BG281" s="6">
        <f t="shared" si="164"/>
        <v>1.5009831567151146</v>
      </c>
      <c r="BH281" s="9">
        <f t="shared" ca="1" si="165"/>
        <v>1.804439429715714</v>
      </c>
      <c r="BI281" s="9">
        <f t="shared" ca="1" si="166"/>
        <v>60.773951812144468</v>
      </c>
      <c r="BJ281">
        <f t="shared" ca="1" si="167"/>
        <v>60.800733716957481</v>
      </c>
      <c r="BK281" s="6">
        <f t="shared" ca="1" si="168"/>
        <v>2.9677921949360475E-2</v>
      </c>
      <c r="BL281" s="6">
        <f t="shared" ca="1" si="169"/>
        <v>0.99955951346018801</v>
      </c>
      <c r="BM281" s="6">
        <f t="shared" ca="1" si="170"/>
        <v>1.5411140465025606</v>
      </c>
      <c r="BN281" s="6">
        <f t="shared" ca="1" si="171"/>
        <v>1.2655790183703699</v>
      </c>
      <c r="BO281" s="9"/>
      <c r="BT281" s="40"/>
    </row>
    <row r="282" spans="45:72" x14ac:dyDescent="0.25">
      <c r="AS282" s="6">
        <v>1.7453292519943211</v>
      </c>
      <c r="AT282" s="6">
        <v>-185.23676743451341</v>
      </c>
      <c r="AU282" s="6">
        <v>91.803825976103127</v>
      </c>
      <c r="AV282" s="6">
        <f t="shared" si="160"/>
        <v>2.6814691382958467</v>
      </c>
      <c r="AW282" s="6">
        <f t="shared" si="161"/>
        <v>0.93613988630152556</v>
      </c>
      <c r="AX282" s="6">
        <f t="shared" si="162"/>
        <v>0.32527464810350182</v>
      </c>
      <c r="AY282" s="6">
        <f t="shared" si="163"/>
        <v>0.32527464810350182</v>
      </c>
      <c r="BF282" s="40"/>
      <c r="BG282" s="6">
        <f t="shared" si="164"/>
        <v>1.5184364492350579</v>
      </c>
      <c r="BH282" s="9">
        <f t="shared" ca="1" si="165"/>
        <v>-4.6285493632085775</v>
      </c>
      <c r="BI282" s="9">
        <f t="shared" ca="1" si="166"/>
        <v>61.167440339995217</v>
      </c>
      <c r="BJ282">
        <f t="shared" ca="1" si="167"/>
        <v>61.342311881396618</v>
      </c>
      <c r="BK282" s="6">
        <f t="shared" ca="1" si="168"/>
        <v>-7.5454433021007239E-2</v>
      </c>
      <c r="BL282" s="6">
        <f t="shared" ca="1" si="169"/>
        <v>0.9971492508834765</v>
      </c>
      <c r="BM282" s="6">
        <f t="shared" ca="1" si="170"/>
        <v>1.6463225422287933</v>
      </c>
      <c r="BN282" s="6">
        <f t="shared" ca="1" si="171"/>
        <v>1.3707875140966026</v>
      </c>
      <c r="BO282" s="9"/>
      <c r="BT282" s="40"/>
    </row>
    <row r="283" spans="45:72" x14ac:dyDescent="0.25">
      <c r="AS283" s="6">
        <v>1.7627825445142644</v>
      </c>
      <c r="AT283" s="6">
        <v>-188.25188212230933</v>
      </c>
      <c r="AU283" s="6">
        <v>91.245626582436898</v>
      </c>
      <c r="AV283" s="6">
        <f t="shared" si="160"/>
        <v>2.6902600531160852</v>
      </c>
      <c r="AW283" s="6">
        <f t="shared" si="161"/>
        <v>0.92747750860182077</v>
      </c>
      <c r="AX283" s="6">
        <f t="shared" si="162"/>
        <v>0.33406556292374034</v>
      </c>
      <c r="AY283" s="6">
        <f t="shared" si="163"/>
        <v>0.33406556292374034</v>
      </c>
      <c r="BF283" s="40"/>
      <c r="BG283" s="6">
        <f t="shared" si="164"/>
        <v>1.5358897417550013</v>
      </c>
      <c r="BH283" s="9">
        <f t="shared" ca="1" si="165"/>
        <v>-11.04977935857157</v>
      </c>
      <c r="BI283" s="9">
        <f t="shared" ca="1" si="166"/>
        <v>61.447818693408955</v>
      </c>
      <c r="BJ283">
        <f t="shared" ca="1" si="167"/>
        <v>62.433420906203537</v>
      </c>
      <c r="BK283" s="6">
        <f t="shared" ca="1" si="168"/>
        <v>-0.17698500575792792</v>
      </c>
      <c r="BL283" s="6">
        <f t="shared" ca="1" si="169"/>
        <v>0.98421354783241344</v>
      </c>
      <c r="BM283" s="6">
        <f t="shared" ca="1" si="170"/>
        <v>1.7487185753045895</v>
      </c>
      <c r="BN283" s="6">
        <f t="shared" ca="1" si="171"/>
        <v>1.4731835471723989</v>
      </c>
      <c r="BO283" s="9"/>
      <c r="BT283" s="40"/>
    </row>
    <row r="284" spans="45:72" x14ac:dyDescent="0.25">
      <c r="AS284" s="6">
        <v>1.7802358370342077</v>
      </c>
      <c r="AT284" s="6">
        <v>-190.89067068973364</v>
      </c>
      <c r="AU284" s="6">
        <v>90.709252254439548</v>
      </c>
      <c r="AV284" s="6">
        <f t="shared" si="160"/>
        <v>2.6979896712472775</v>
      </c>
      <c r="AW284" s="6">
        <f t="shared" si="161"/>
        <v>0.91775383421306977</v>
      </c>
      <c r="AX284" s="6">
        <f t="shared" si="162"/>
        <v>0.34179518105493267</v>
      </c>
      <c r="AY284" s="6">
        <f t="shared" si="163"/>
        <v>0.34179518105493267</v>
      </c>
      <c r="BF284" s="40"/>
      <c r="BG284" s="6">
        <f t="shared" si="164"/>
        <v>1.5533430342749446</v>
      </c>
      <c r="BH284" s="9">
        <f t="shared" ca="1" si="165"/>
        <v>-17.463186074299827</v>
      </c>
      <c r="BI284" s="9">
        <f t="shared" ca="1" si="166"/>
        <v>61.615772456314993</v>
      </c>
      <c r="BJ284">
        <f t="shared" ca="1" si="167"/>
        <v>64.042691099406525</v>
      </c>
      <c r="BK284" s="6">
        <f t="shared" ca="1" si="168"/>
        <v>-0.27268039138445349</v>
      </c>
      <c r="BL284" s="6">
        <f t="shared" ca="1" si="169"/>
        <v>0.96210467421919399</v>
      </c>
      <c r="BM284" s="6">
        <f t="shared" ca="1" si="170"/>
        <v>1.8469742293194245</v>
      </c>
      <c r="BN284" s="6">
        <f t="shared" ca="1" si="171"/>
        <v>1.5714392011872338</v>
      </c>
      <c r="BO284" s="9"/>
      <c r="BT284" s="40"/>
    </row>
    <row r="285" spans="45:72" x14ac:dyDescent="0.25">
      <c r="AS285" s="6">
        <v>1.7976891295541511</v>
      </c>
      <c r="AT285" s="6">
        <v>-193.22740387735809</v>
      </c>
      <c r="AU285" s="6">
        <v>90.191611531381255</v>
      </c>
      <c r="AV285" s="6">
        <f t="shared" si="160"/>
        <v>2.7048855035102211</v>
      </c>
      <c r="AW285" s="6">
        <f t="shared" si="161"/>
        <v>0.90719637395607</v>
      </c>
      <c r="AX285" s="6">
        <f t="shared" si="162"/>
        <v>0.34869101331787622</v>
      </c>
      <c r="AY285" s="6">
        <f t="shared" si="163"/>
        <v>0.34869101331787622</v>
      </c>
      <c r="BF285" s="40"/>
      <c r="BG285" s="6">
        <f t="shared" si="164"/>
        <v>1.5707963267948879</v>
      </c>
      <c r="BH285" s="9">
        <f t="shared" ca="1" si="165"/>
        <v>-23.872685915941346</v>
      </c>
      <c r="BI285" s="9">
        <f t="shared" ca="1" si="166"/>
        <v>61.67171157153502</v>
      </c>
      <c r="BJ285">
        <f t="shared" ca="1" si="167"/>
        <v>66.13096960580414</v>
      </c>
      <c r="BK285" s="6">
        <f t="shared" ca="1" si="168"/>
        <v>-0.36099101613423351</v>
      </c>
      <c r="BL285" s="6">
        <f t="shared" ca="1" si="169"/>
        <v>0.93256929301278924</v>
      </c>
      <c r="BM285" s="6">
        <f t="shared" ca="1" si="170"/>
        <v>1.9401266748748236</v>
      </c>
      <c r="BN285" s="6">
        <f t="shared" ca="1" si="171"/>
        <v>1.6645916467426329</v>
      </c>
      <c r="BO285" s="9"/>
      <c r="BT285" s="40"/>
    </row>
    <row r="286" spans="45:72" x14ac:dyDescent="0.25">
      <c r="AS286" s="6">
        <v>1.8151424220740944</v>
      </c>
      <c r="AT286" s="6">
        <v>-195.31741873440524</v>
      </c>
      <c r="AU286" s="6">
        <v>89.69017386724471</v>
      </c>
      <c r="AV286" s="6">
        <f t="shared" si="160"/>
        <v>2.7111126417931768</v>
      </c>
      <c r="AW286" s="6">
        <f t="shared" si="161"/>
        <v>0.89597021971908242</v>
      </c>
      <c r="AX286" s="6">
        <f t="shared" si="162"/>
        <v>0.35491815160083195</v>
      </c>
      <c r="AY286" s="6">
        <f t="shared" si="163"/>
        <v>0.35491815160083195</v>
      </c>
      <c r="BF286" s="40"/>
      <c r="BG286" s="6">
        <f t="shared" si="164"/>
        <v>1.5882496193148312</v>
      </c>
      <c r="BH286" s="9">
        <f t="shared" ca="1" si="165"/>
        <v>-30.282185757582866</v>
      </c>
      <c r="BI286" s="9">
        <f t="shared" ca="1" si="166"/>
        <v>61.615772456320663</v>
      </c>
      <c r="BJ286">
        <f t="shared" ca="1" si="167"/>
        <v>68.655037613024717</v>
      </c>
      <c r="BK286" s="6">
        <f t="shared" ca="1" si="168"/>
        <v>-0.44107740393747824</v>
      </c>
      <c r="BL286" s="6">
        <f t="shared" ca="1" si="169"/>
        <v>0.89746906561495177</v>
      </c>
      <c r="BM286" s="6">
        <f t="shared" ca="1" si="170"/>
        <v>2.0275951379878574</v>
      </c>
      <c r="BN286" s="6">
        <f t="shared" ca="1" si="171"/>
        <v>1.7520601098556667</v>
      </c>
      <c r="BO286" s="9"/>
      <c r="BT286" s="40"/>
    </row>
    <row r="287" spans="45:72" x14ac:dyDescent="0.25">
      <c r="AS287" s="6">
        <v>1.8325957145940377</v>
      </c>
      <c r="AT287" s="6">
        <v>-197.20290406054542</v>
      </c>
      <c r="AU287" s="6">
        <v>89.202830667539757</v>
      </c>
      <c r="AV287" s="6">
        <f t="shared" si="160"/>
        <v>2.7167941958372084</v>
      </c>
      <c r="AW287" s="6">
        <f t="shared" si="161"/>
        <v>0.88419848124317069</v>
      </c>
      <c r="AX287" s="6">
        <f t="shared" si="162"/>
        <v>0.36059970564486354</v>
      </c>
      <c r="AY287" s="6">
        <f t="shared" si="163"/>
        <v>0.36059970564486354</v>
      </c>
      <c r="BF287" s="40"/>
      <c r="BG287" s="6">
        <f t="shared" si="164"/>
        <v>1.6057029118347745</v>
      </c>
      <c r="BH287" s="9">
        <f t="shared" ca="1" si="165"/>
        <v>-36.695592473311123</v>
      </c>
      <c r="BI287" s="9">
        <f t="shared" ca="1" si="166"/>
        <v>61.447818693414455</v>
      </c>
      <c r="BJ287">
        <f t="shared" ca="1" si="167"/>
        <v>71.570950316074899</v>
      </c>
      <c r="BK287" s="6">
        <f t="shared" ca="1" si="168"/>
        <v>-0.51271629496680382</v>
      </c>
      <c r="BL287" s="6">
        <f t="shared" ca="1" si="169"/>
        <v>0.85855809405975181</v>
      </c>
      <c r="BM287" s="6">
        <f t="shared" ca="1" si="170"/>
        <v>2.1091419262287081</v>
      </c>
      <c r="BN287" s="6">
        <f t="shared" ca="1" si="171"/>
        <v>1.8336068980965174</v>
      </c>
      <c r="BO287" s="9"/>
      <c r="BT287" s="40"/>
    </row>
    <row r="288" spans="45:72" x14ac:dyDescent="0.25">
      <c r="AS288" s="6">
        <v>1.850049007113981</v>
      </c>
      <c r="AT288" s="6">
        <v>-198.91666259123829</v>
      </c>
      <c r="AU288" s="6">
        <v>88.72779733988213</v>
      </c>
      <c r="AV288" s="6">
        <f t="shared" si="160"/>
        <v>2.7220241247863415</v>
      </c>
      <c r="AW288" s="6">
        <f t="shared" si="161"/>
        <v>0.87197511767236047</v>
      </c>
      <c r="AX288" s="6">
        <f t="shared" si="162"/>
        <v>0.36582963459399664</v>
      </c>
      <c r="AY288" s="6">
        <f t="shared" si="163"/>
        <v>0.36582963459399664</v>
      </c>
      <c r="BF288" s="40"/>
      <c r="BG288" s="6">
        <f t="shared" si="164"/>
        <v>1.6231562043547179</v>
      </c>
      <c r="BH288" s="9">
        <f t="shared" ca="1" si="165"/>
        <v>-43.11682246867413</v>
      </c>
      <c r="BI288" s="9">
        <f t="shared" ca="1" si="166"/>
        <v>61.167440340000674</v>
      </c>
      <c r="BJ288">
        <f t="shared" ca="1" si="167"/>
        <v>74.836596245037128</v>
      </c>
      <c r="BK288" s="6">
        <f t="shared" ca="1" si="168"/>
        <v>-0.57614622567142038</v>
      </c>
      <c r="BL288" s="6">
        <f t="shared" ca="1" si="169"/>
        <v>0.81734663799674157</v>
      </c>
      <c r="BM288" s="6">
        <f t="shared" ca="1" si="170"/>
        <v>2.1848021568381362</v>
      </c>
      <c r="BN288" s="6">
        <f t="shared" ca="1" si="171"/>
        <v>1.9092671287059455</v>
      </c>
      <c r="BO288" s="9"/>
      <c r="BT288" s="40"/>
    </row>
    <row r="289" spans="45:72" x14ac:dyDescent="0.25">
      <c r="AS289" s="6">
        <v>1.8675022996339243</v>
      </c>
      <c r="AT289" s="6">
        <v>-200.48463626191804</v>
      </c>
      <c r="AU289" s="6">
        <v>88.263542442307283</v>
      </c>
      <c r="AV289" s="6">
        <f t="shared" si="160"/>
        <v>2.726875590298365</v>
      </c>
      <c r="AW289" s="6">
        <f t="shared" si="161"/>
        <v>0.85937329066444068</v>
      </c>
      <c r="AX289" s="6">
        <f t="shared" si="162"/>
        <v>0.37068110010602018</v>
      </c>
      <c r="AY289" s="6">
        <f t="shared" si="163"/>
        <v>0.37068110010602018</v>
      </c>
      <c r="BF289" s="40"/>
      <c r="BG289" s="6">
        <f t="shared" si="164"/>
        <v>1.6406094968746612</v>
      </c>
      <c r="BH289" s="9">
        <f t="shared" ca="1" si="165"/>
        <v>-49.549811261598407</v>
      </c>
      <c r="BI289" s="9">
        <f t="shared" ca="1" si="166"/>
        <v>60.773951812149868</v>
      </c>
      <c r="BJ289">
        <f t="shared" ca="1" si="167"/>
        <v>78.41337267918999</v>
      </c>
      <c r="BK289" s="6">
        <f t="shared" ca="1" si="168"/>
        <v>-0.63190511476046174</v>
      </c>
      <c r="BL289" s="6">
        <f t="shared" ca="1" si="169"/>
        <v>0.77504575731989367</v>
      </c>
      <c r="BM289" s="6">
        <f t="shared" ca="1" si="170"/>
        <v>2.2548051501113462</v>
      </c>
      <c r="BN289" s="6">
        <f t="shared" ca="1" si="171"/>
        <v>1.9792701219791555</v>
      </c>
      <c r="BO289" s="9"/>
      <c r="BT289" s="40"/>
    </row>
    <row r="290" spans="45:72" x14ac:dyDescent="0.25">
      <c r="AS290" s="6">
        <v>1.8849555921538677</v>
      </c>
      <c r="AT290" s="6">
        <v>-201.92764800743549</v>
      </c>
      <c r="AU290" s="6">
        <v>87.808735175260779</v>
      </c>
      <c r="AV290" s="6">
        <f t="shared" si="160"/>
        <v>2.7314065654765867</v>
      </c>
      <c r="AW290" s="6">
        <f t="shared" si="161"/>
        <v>0.84645097332271901</v>
      </c>
      <c r="AX290" s="6">
        <f t="shared" si="162"/>
        <v>0.37521207528424183</v>
      </c>
      <c r="AY290" s="6">
        <f t="shared" si="163"/>
        <v>0.37521207528424183</v>
      </c>
      <c r="BF290" s="40"/>
      <c r="BG290" s="6">
        <f t="shared" si="164"/>
        <v>1.6580627893946045</v>
      </c>
      <c r="BH290" s="9">
        <f t="shared" ca="1" si="165"/>
        <v>-55.998523162660703</v>
      </c>
      <c r="BI290" s="9">
        <f t="shared" ca="1" si="166"/>
        <v>60.266388286680787</v>
      </c>
      <c r="BJ290">
        <f t="shared" ca="1" si="167"/>
        <v>82.267078187571613</v>
      </c>
      <c r="BK290" s="6">
        <f t="shared" ca="1" si="168"/>
        <v>-0.6806917711965198</v>
      </c>
      <c r="BL290" s="6">
        <f t="shared" ca="1" si="169"/>
        <v>0.73256993701990314</v>
      </c>
      <c r="BM290" s="6">
        <f t="shared" ca="1" si="170"/>
        <v>2.3195028550520993</v>
      </c>
      <c r="BN290" s="6">
        <f t="shared" ca="1" si="171"/>
        <v>2.0439678269199089</v>
      </c>
      <c r="BO290" s="9"/>
      <c r="BT290" s="40"/>
    </row>
    <row r="291" spans="45:72" x14ac:dyDescent="0.25">
      <c r="AS291" s="6">
        <v>1.902408884673811</v>
      </c>
      <c r="AT291" s="6">
        <v>-203.26263214750992</v>
      </c>
      <c r="AU291" s="6">
        <v>87.362205783618791</v>
      </c>
      <c r="AV291" s="6">
        <f t="shared" si="160"/>
        <v>2.7356637034118201</v>
      </c>
      <c r="AW291" s="6">
        <f t="shared" si="161"/>
        <v>0.83325481873800911</v>
      </c>
      <c r="AX291" s="6">
        <f t="shared" si="162"/>
        <v>0.37946921321947524</v>
      </c>
      <c r="AY291" s="6">
        <f t="shared" si="163"/>
        <v>0.37946921321947524</v>
      </c>
      <c r="BF291" s="40"/>
      <c r="BG291" s="6">
        <f t="shared" si="164"/>
        <v>1.6755160819145478</v>
      </c>
      <c r="BH291" s="9">
        <f t="shared" ca="1" si="165"/>
        <v>-62.466961105497731</v>
      </c>
      <c r="BI291" s="9">
        <f t="shared" ca="1" si="166"/>
        <v>59.643500684925307</v>
      </c>
      <c r="BJ291">
        <f t="shared" ca="1" si="167"/>
        <v>86.368214081966826</v>
      </c>
      <c r="BK291" s="6">
        <f t="shared" ca="1" si="168"/>
        <v>-0.72326331821813672</v>
      </c>
      <c r="BL291" s="6">
        <f t="shared" ca="1" si="169"/>
        <v>0.69057235140142281</v>
      </c>
      <c r="BM291" s="6">
        <f t="shared" ca="1" si="170"/>
        <v>2.3793125536786595</v>
      </c>
      <c r="BN291" s="6">
        <f t="shared" ca="1" si="171"/>
        <v>2.1037775255464686</v>
      </c>
      <c r="BO291" s="9"/>
      <c r="BT291" s="40"/>
    </row>
    <row r="292" spans="45:72" x14ac:dyDescent="0.25">
      <c r="AS292" s="6">
        <v>1.9198621771937543</v>
      </c>
      <c r="AT292" s="6">
        <v>-204.50352175812168</v>
      </c>
      <c r="AU292" s="6">
        <v>86.922915078991835</v>
      </c>
      <c r="AV292" s="6">
        <f t="shared" si="160"/>
        <v>2.7396850689433925</v>
      </c>
      <c r="AW292" s="6">
        <f t="shared" si="161"/>
        <v>0.81982289174963818</v>
      </c>
      <c r="AX292" s="6">
        <f t="shared" si="162"/>
        <v>0.38349057875104764</v>
      </c>
      <c r="AY292" s="6">
        <f t="shared" si="163"/>
        <v>0.38349057875104764</v>
      </c>
      <c r="BF292" s="40"/>
      <c r="BG292" s="6">
        <f t="shared" si="164"/>
        <v>1.6929693744344911</v>
      </c>
      <c r="BH292" s="9">
        <f t="shared" ca="1" si="165"/>
        <v>-68.556720273310489</v>
      </c>
      <c r="BI292" s="9">
        <f t="shared" ca="1" si="166"/>
        <v>58.951342084310021</v>
      </c>
      <c r="BJ292">
        <f t="shared" ca="1" si="167"/>
        <v>90.417280583825814</v>
      </c>
      <c r="BK292" s="6">
        <f t="shared" ca="1" si="168"/>
        <v>-0.75822585937819253</v>
      </c>
      <c r="BL292" s="6">
        <f t="shared" ca="1" si="169"/>
        <v>0.65199198321007079</v>
      </c>
      <c r="BM292" s="6">
        <f t="shared" ca="1" si="170"/>
        <v>2.4313840112748508</v>
      </c>
      <c r="BN292" s="6">
        <f t="shared" ca="1" si="171"/>
        <v>2.1558489831426604</v>
      </c>
      <c r="BO292" s="9"/>
      <c r="BT292" s="40"/>
    </row>
    <row r="293" spans="45:72" x14ac:dyDescent="0.25">
      <c r="AS293" s="6">
        <v>1.9373154697136976</v>
      </c>
      <c r="AT293" s="6">
        <v>-205.66190065146429</v>
      </c>
      <c r="AU293" s="6">
        <v>86.489930646255004</v>
      </c>
      <c r="AV293" s="6">
        <f t="shared" si="160"/>
        <v>2.74350210807079</v>
      </c>
      <c r="AW293" s="6">
        <f t="shared" si="161"/>
        <v>0.80618663835709237</v>
      </c>
      <c r="AX293" s="6">
        <f t="shared" si="162"/>
        <v>0.38730761787844514</v>
      </c>
      <c r="AY293" s="6">
        <f t="shared" si="163"/>
        <v>0.38730761787844514</v>
      </c>
      <c r="BF293" s="40"/>
      <c r="BG293" s="6">
        <f t="shared" si="164"/>
        <v>1.7104226669544345</v>
      </c>
      <c r="BH293" s="9">
        <f t="shared" ca="1" si="165"/>
        <v>-73.516910678927857</v>
      </c>
      <c r="BI293" s="9">
        <f t="shared" ca="1" si="166"/>
        <v>58.299756459690492</v>
      </c>
      <c r="BJ293">
        <f t="shared" ca="1" si="167"/>
        <v>93.827489356971924</v>
      </c>
      <c r="BK293" s="6">
        <f t="shared" ca="1" si="168"/>
        <v>-0.78353274912034221</v>
      </c>
      <c r="BL293" s="6">
        <f t="shared" ca="1" si="169"/>
        <v>0.62135048970441709</v>
      </c>
      <c r="BM293" s="6">
        <f t="shared" ca="1" si="170"/>
        <v>2.4711275352249897</v>
      </c>
      <c r="BN293" s="6">
        <f t="shared" ca="1" si="171"/>
        <v>2.1955925070927993</v>
      </c>
      <c r="BO293" s="9"/>
      <c r="BT293" s="40"/>
    </row>
    <row r="294" spans="45:72" x14ac:dyDescent="0.25">
      <c r="AS294" s="6">
        <v>1.9547687622336409</v>
      </c>
      <c r="AT294" s="6">
        <v>-206.74749030540488</v>
      </c>
      <c r="AU294" s="6">
        <v>86.062407942050541</v>
      </c>
      <c r="AV294" s="6">
        <f t="shared" si="160"/>
        <v>2.747141094334689</v>
      </c>
      <c r="AW294" s="6">
        <f t="shared" si="161"/>
        <v>0.79237233210104807</v>
      </c>
      <c r="AX294" s="6">
        <f t="shared" si="162"/>
        <v>0.39094660414234417</v>
      </c>
      <c r="AY294" s="6">
        <f t="shared" si="163"/>
        <v>0.39094660414234417</v>
      </c>
      <c r="BF294" s="40"/>
      <c r="BG294" s="6">
        <f t="shared" si="164"/>
        <v>1.7278759594743778</v>
      </c>
      <c r="BH294" s="9">
        <f t="shared" ca="1" si="165"/>
        <v>-77.635573520525341</v>
      </c>
      <c r="BI294" s="9">
        <f t="shared" ca="1" si="166"/>
        <v>57.685267952832838</v>
      </c>
      <c r="BJ294">
        <f t="shared" ca="1" si="167"/>
        <v>96.720589403968262</v>
      </c>
      <c r="BK294" s="6">
        <f t="shared" ca="1" si="168"/>
        <v>-0.80267887115812075</v>
      </c>
      <c r="BL294" s="6">
        <f t="shared" ca="1" si="169"/>
        <v>0.59641146014838198</v>
      </c>
      <c r="BM294" s="6">
        <f t="shared" ca="1" si="170"/>
        <v>2.5025697143401979</v>
      </c>
      <c r="BN294" s="6">
        <f t="shared" ca="1" si="171"/>
        <v>2.2270346862080075</v>
      </c>
      <c r="BO294" s="9"/>
      <c r="BT294" s="40"/>
    </row>
    <row r="295" spans="45:72" x14ac:dyDescent="0.25">
      <c r="AS295" s="6">
        <v>1.9722220547535843</v>
      </c>
      <c r="AT295" s="6">
        <v>-207.76851900975504</v>
      </c>
      <c r="AU295" s="6">
        <v>85.639575114497589</v>
      </c>
      <c r="AV295" s="6">
        <f t="shared" si="160"/>
        <v>2.750624208781395</v>
      </c>
      <c r="AW295" s="6">
        <f t="shared" si="161"/>
        <v>0.77840215402781077</v>
      </c>
      <c r="AX295" s="6">
        <f t="shared" si="162"/>
        <v>0.39442971858905018</v>
      </c>
      <c r="AY295" s="6">
        <f t="shared" si="163"/>
        <v>0.39442971858905018</v>
      </c>
      <c r="BF295" s="40"/>
      <c r="BG295" s="6">
        <f t="shared" si="164"/>
        <v>1.7453292519943211</v>
      </c>
      <c r="BH295" s="9">
        <f t="shared" ca="1" si="165"/>
        <v>-81.12945335045795</v>
      </c>
      <c r="BI295" s="9">
        <f t="shared" ca="1" si="166"/>
        <v>57.101387948084643</v>
      </c>
      <c r="BJ295">
        <f t="shared" ca="1" si="167"/>
        <v>99.209660348888391</v>
      </c>
      <c r="BK295" s="6">
        <f t="shared" ca="1" si="168"/>
        <v>-0.81775759603602938</v>
      </c>
      <c r="BL295" s="6">
        <f t="shared" ca="1" si="169"/>
        <v>0.57556278035100084</v>
      </c>
      <c r="BM295" s="6">
        <f t="shared" ca="1" si="170"/>
        <v>2.5283004726014746</v>
      </c>
      <c r="BN295" s="6">
        <f t="shared" ca="1" si="171"/>
        <v>2.2527654444692837</v>
      </c>
      <c r="BO295" s="9"/>
      <c r="BT295" s="40"/>
    </row>
    <row r="296" spans="45:72" x14ac:dyDescent="0.25">
      <c r="AS296" s="6">
        <v>1.9896753472735276</v>
      </c>
      <c r="AT296" s="6">
        <v>-208.73200548471269</v>
      </c>
      <c r="AU296" s="6">
        <v>85.220720642015522</v>
      </c>
      <c r="AV296" s="6">
        <f t="shared" si="160"/>
        <v>2.7539703585437074</v>
      </c>
      <c r="AW296" s="6">
        <f t="shared" si="161"/>
        <v>0.76429501127017985</v>
      </c>
      <c r="AX296" s="6">
        <f t="shared" si="162"/>
        <v>0.39777586835136258</v>
      </c>
      <c r="AY296" s="6">
        <f t="shared" si="163"/>
        <v>0.39777586835136258</v>
      </c>
      <c r="BF296" s="40"/>
      <c r="BG296" s="6">
        <f t="shared" si="164"/>
        <v>1.7627825445142644</v>
      </c>
      <c r="BH296" s="9">
        <f t="shared" ca="1" si="165"/>
        <v>-84.144568038253865</v>
      </c>
      <c r="BI296" s="9">
        <f t="shared" ca="1" si="166"/>
        <v>56.543188554418414</v>
      </c>
      <c r="BJ296">
        <f t="shared" ca="1" si="167"/>
        <v>101.37771205864161</v>
      </c>
      <c r="BK296" s="6">
        <f t="shared" ca="1" si="168"/>
        <v>-0.83001052528765606</v>
      </c>
      <c r="BL296" s="6">
        <f t="shared" ca="1" si="169"/>
        <v>0.55774772784092019</v>
      </c>
      <c r="BM296" s="6">
        <f t="shared" ca="1" si="170"/>
        <v>2.5499228819525777</v>
      </c>
      <c r="BN296" s="6">
        <f t="shared" ca="1" si="171"/>
        <v>2.2743878538203868</v>
      </c>
      <c r="BO296" s="9"/>
      <c r="BT296" s="40"/>
    </row>
    <row r="297" spans="45:72" x14ac:dyDescent="0.25">
      <c r="AS297" s="6">
        <v>2.0071286397934709</v>
      </c>
      <c r="AT297" s="6">
        <v>-209.64397940279764</v>
      </c>
      <c r="AU297" s="6">
        <v>84.80518311127463</v>
      </c>
      <c r="AV297" s="6">
        <f t="shared" si="160"/>
        <v>2.7571958058678643</v>
      </c>
      <c r="AW297" s="6">
        <f t="shared" si="161"/>
        <v>0.75006716607439339</v>
      </c>
      <c r="AX297" s="6">
        <f t="shared" si="162"/>
        <v>0.40100131567551944</v>
      </c>
      <c r="AY297" s="6">
        <f t="shared" si="163"/>
        <v>0.40100131567551944</v>
      </c>
      <c r="BF297" s="40"/>
      <c r="BG297" s="6">
        <f t="shared" si="164"/>
        <v>1.7802358370342077</v>
      </c>
      <c r="BH297" s="9">
        <f t="shared" ca="1" si="165"/>
        <v>-86.783356605678179</v>
      </c>
      <c r="BI297" s="9">
        <f t="shared" ca="1" si="166"/>
        <v>56.006814226421064</v>
      </c>
      <c r="BJ297">
        <f t="shared" ca="1" si="167"/>
        <v>103.28656361570535</v>
      </c>
      <c r="BK297" s="6">
        <f t="shared" ca="1" si="168"/>
        <v>-0.84021922666117477</v>
      </c>
      <c r="BL297" s="6">
        <f t="shared" ca="1" si="169"/>
        <v>0.54224685443891452</v>
      </c>
      <c r="BM297" s="6">
        <f t="shared" ca="1" si="170"/>
        <v>2.5684837157196045</v>
      </c>
      <c r="BN297" s="6">
        <f t="shared" ca="1" si="171"/>
        <v>2.2929486875874137</v>
      </c>
      <c r="BO297" s="9"/>
      <c r="BT297" s="40"/>
    </row>
    <row r="298" spans="45:72" x14ac:dyDescent="0.25">
      <c r="AS298" s="6">
        <v>2.024581932313414</v>
      </c>
      <c r="AT298" s="6">
        <v>-210.50965478229455</v>
      </c>
      <c r="AU298" s="6">
        <v>84.392342675884265</v>
      </c>
      <c r="AV298" s="6">
        <f t="shared" si="160"/>
        <v>2.7603146575502144</v>
      </c>
      <c r="AW298" s="6">
        <f t="shared" si="161"/>
        <v>0.73573272523680044</v>
      </c>
      <c r="AX298" s="6">
        <f t="shared" si="162"/>
        <v>0.4041201673578696</v>
      </c>
      <c r="AY298" s="6">
        <f t="shared" si="163"/>
        <v>0.4041201673578696</v>
      </c>
      <c r="BF298" s="40"/>
      <c r="BG298" s="6">
        <f t="shared" si="164"/>
        <v>1.7976891295541511</v>
      </c>
      <c r="BH298" s="9">
        <f t="shared" ca="1" si="165"/>
        <v>-89.120089793302625</v>
      </c>
      <c r="BI298" s="9">
        <f t="shared" ca="1" si="166"/>
        <v>55.489173503362771</v>
      </c>
      <c r="BJ298">
        <f t="shared" ca="1" si="167"/>
        <v>104.9830404439337</v>
      </c>
      <c r="BK298" s="6">
        <f t="shared" ca="1" si="168"/>
        <v>-0.84889987388865251</v>
      </c>
      <c r="BL298" s="6">
        <f t="shared" ca="1" si="169"/>
        <v>0.52855369085063619</v>
      </c>
      <c r="BM298" s="6">
        <f t="shared" ca="1" si="170"/>
        <v>2.5846967389828377</v>
      </c>
      <c r="BN298" s="6">
        <f t="shared" ca="1" si="171"/>
        <v>2.3091617108506473</v>
      </c>
      <c r="BO298" s="9"/>
      <c r="BT298" s="40"/>
    </row>
    <row r="299" spans="45:72" x14ac:dyDescent="0.25">
      <c r="AS299" s="6">
        <v>2.0420352248333571</v>
      </c>
      <c r="AT299" s="6">
        <v>-211.33356777143129</v>
      </c>
      <c r="AU299" s="6">
        <v>83.981613858607204</v>
      </c>
      <c r="AV299" s="6">
        <f t="shared" si="160"/>
        <v>2.7633392501744809</v>
      </c>
      <c r="AW299" s="6">
        <f t="shared" si="161"/>
        <v>0.72130402534112381</v>
      </c>
      <c r="AX299" s="6">
        <f t="shared" si="162"/>
        <v>0.40714475998213606</v>
      </c>
      <c r="AY299" s="6">
        <f t="shared" si="163"/>
        <v>0.40714475998213606</v>
      </c>
      <c r="BF299" s="40"/>
      <c r="BG299" s="6">
        <f t="shared" si="164"/>
        <v>1.8151424220740944</v>
      </c>
      <c r="BH299" s="9">
        <f t="shared" ca="1" si="165"/>
        <v>-91.210104650349777</v>
      </c>
      <c r="BI299" s="9">
        <f t="shared" ca="1" si="166"/>
        <v>54.987735839226225</v>
      </c>
      <c r="BJ299">
        <f t="shared" ca="1" si="167"/>
        <v>106.50321254803671</v>
      </c>
      <c r="BK299" s="6">
        <f t="shared" ca="1" si="168"/>
        <v>-0.85640707419234696</v>
      </c>
      <c r="BL299" s="6">
        <f t="shared" ca="1" si="169"/>
        <v>0.51630119433650712</v>
      </c>
      <c r="BM299" s="6">
        <f t="shared" ca="1" si="170"/>
        <v>2.5990663346702023</v>
      </c>
      <c r="BN299" s="6">
        <f t="shared" ca="1" si="171"/>
        <v>2.3235313065380119</v>
      </c>
      <c r="BO299" s="9"/>
      <c r="BT299" s="40"/>
    </row>
    <row r="300" spans="45:72" x14ac:dyDescent="0.25">
      <c r="AS300" s="6">
        <v>2.0594885173533002</v>
      </c>
      <c r="AT300" s="6">
        <v>-212.11968704599818</v>
      </c>
      <c r="AU300" s="6">
        <v>83.572439343953249</v>
      </c>
      <c r="AV300" s="6">
        <f t="shared" si="160"/>
        <v>2.7662804566849672</v>
      </c>
      <c r="AW300" s="6">
        <f t="shared" si="161"/>
        <v>0.70679193933166706</v>
      </c>
      <c r="AX300" s="6">
        <f t="shared" si="162"/>
        <v>0.41008596649262241</v>
      </c>
      <c r="AY300" s="6">
        <f t="shared" si="163"/>
        <v>0.41008596649262241</v>
      </c>
      <c r="BF300" s="40"/>
      <c r="BG300" s="6">
        <f t="shared" si="164"/>
        <v>1.8325957145940377</v>
      </c>
      <c r="BH300" s="9">
        <f t="shared" ca="1" si="165"/>
        <v>-93.095589976489961</v>
      </c>
      <c r="BI300" s="9">
        <f t="shared" ca="1" si="166"/>
        <v>54.500392639521273</v>
      </c>
      <c r="BJ300">
        <f t="shared" ca="1" si="167"/>
        <v>107.87530612208117</v>
      </c>
      <c r="BK300" s="6">
        <f t="shared" ca="1" si="168"/>
        <v>-0.86299259138263595</v>
      </c>
      <c r="BL300" s="6">
        <f t="shared" ca="1" si="169"/>
        <v>0.50521657456845448</v>
      </c>
      <c r="BM300" s="6">
        <f t="shared" ca="1" si="170"/>
        <v>2.6119597490758206</v>
      </c>
      <c r="BN300" s="6">
        <f t="shared" ca="1" si="171"/>
        <v>2.3364247209436302</v>
      </c>
      <c r="BO300" s="9"/>
      <c r="BT300" s="40"/>
    </row>
    <row r="301" spans="45:72" x14ac:dyDescent="0.25">
      <c r="AS301" s="6">
        <v>2.0769418098732433</v>
      </c>
      <c r="AT301" s="6">
        <v>-212.87150318339297</v>
      </c>
      <c r="AU301" s="6">
        <v>83.164284638756072</v>
      </c>
      <c r="AV301" s="6">
        <f t="shared" si="160"/>
        <v>2.7691479327810686</v>
      </c>
      <c r="AW301" s="6">
        <f t="shared" si="161"/>
        <v>0.69220612290782535</v>
      </c>
      <c r="AX301" s="6">
        <f t="shared" si="162"/>
        <v>0.4129534425887238</v>
      </c>
      <c r="AY301" s="6">
        <f t="shared" si="163"/>
        <v>0.4129534425887238</v>
      </c>
      <c r="BF301" s="40"/>
      <c r="BG301" s="6">
        <f t="shared" si="164"/>
        <v>1.850049007113981</v>
      </c>
      <c r="BH301" s="9">
        <f t="shared" ca="1" si="165"/>
        <v>-94.809348507182833</v>
      </c>
      <c r="BI301" s="9">
        <f t="shared" ca="1" si="166"/>
        <v>54.025359311863646</v>
      </c>
      <c r="BJ301">
        <f t="shared" ca="1" si="167"/>
        <v>109.12173025173503</v>
      </c>
      <c r="BK301" s="6">
        <f t="shared" ca="1" si="168"/>
        <v>-0.86884022356010404</v>
      </c>
      <c r="BL301" s="6">
        <f t="shared" ca="1" si="169"/>
        <v>0.49509258318422461</v>
      </c>
      <c r="BM301" s="6">
        <f t="shared" ca="1" si="170"/>
        <v>2.6236512656871245</v>
      </c>
      <c r="BN301" s="6">
        <f t="shared" ca="1" si="171"/>
        <v>2.348116237554934</v>
      </c>
      <c r="BO301" s="9"/>
      <c r="BT301" s="40"/>
    </row>
    <row r="302" spans="45:72" x14ac:dyDescent="0.25">
      <c r="AS302" s="6">
        <v>2.0943951023931864</v>
      </c>
      <c r="AT302" s="6">
        <v>-213.59210140377559</v>
      </c>
      <c r="AU302" s="6">
        <v>82.756633316226782</v>
      </c>
      <c r="AV302" s="6">
        <f t="shared" si="160"/>
        <v>2.7719503169449364</v>
      </c>
      <c r="AW302" s="6">
        <f t="shared" si="161"/>
        <v>0.67755521455175005</v>
      </c>
      <c r="AX302" s="6">
        <f t="shared" si="162"/>
        <v>0.4157558267525916</v>
      </c>
      <c r="AY302" s="6">
        <f t="shared" si="163"/>
        <v>0.4157558267525916</v>
      </c>
      <c r="BF302" s="40"/>
      <c r="BG302" s="6">
        <f t="shared" si="164"/>
        <v>1.8675022996339243</v>
      </c>
      <c r="BH302" s="9">
        <f t="shared" ca="1" si="165"/>
        <v>-96.377322177862581</v>
      </c>
      <c r="BI302" s="9">
        <f t="shared" ca="1" si="166"/>
        <v>53.561104414288799</v>
      </c>
      <c r="BJ302">
        <f t="shared" ca="1" si="167"/>
        <v>110.26051032102957</v>
      </c>
      <c r="BK302" s="6">
        <f t="shared" ca="1" si="168"/>
        <v>-0.87408739445568207</v>
      </c>
      <c r="BL302" s="6">
        <f t="shared" ca="1" si="169"/>
        <v>0.48576869686474949</v>
      </c>
      <c r="BM302" s="6">
        <f t="shared" ca="1" si="170"/>
        <v>2.6343502726703121</v>
      </c>
      <c r="BN302" s="6">
        <f t="shared" ca="1" si="171"/>
        <v>2.3588152445381212</v>
      </c>
      <c r="BO302" s="9"/>
      <c r="BT302" s="40"/>
    </row>
    <row r="303" spans="45:72" x14ac:dyDescent="0.25">
      <c r="AS303" s="6">
        <v>2.1118483949131295</v>
      </c>
      <c r="AT303" s="6">
        <v>-214.28422141775403</v>
      </c>
      <c r="AU303" s="6">
        <v>82.348982826725944</v>
      </c>
      <c r="AV303" s="6">
        <f t="shared" si="160"/>
        <v>2.7746953942737242</v>
      </c>
      <c r="AW303" s="6">
        <f t="shared" si="161"/>
        <v>0.66284699936059477</v>
      </c>
      <c r="AX303" s="6">
        <f t="shared" si="162"/>
        <v>0.41850090408137941</v>
      </c>
      <c r="AY303" s="6">
        <f t="shared" si="163"/>
        <v>0.41850090408137941</v>
      </c>
      <c r="BF303" s="40"/>
      <c r="BG303" s="6">
        <f t="shared" si="164"/>
        <v>1.8849555921538677</v>
      </c>
      <c r="BH303" s="9">
        <f t="shared" ca="1" si="165"/>
        <v>-97.820333923380034</v>
      </c>
      <c r="BI303" s="9">
        <f t="shared" ca="1" si="166"/>
        <v>53.106297147242294</v>
      </c>
      <c r="BJ303">
        <f t="shared" ca="1" si="167"/>
        <v>111.30631844407023</v>
      </c>
      <c r="BK303" s="6">
        <f t="shared" ca="1" si="168"/>
        <v>-0.87883900294962414</v>
      </c>
      <c r="BL303" s="6">
        <f t="shared" ca="1" si="169"/>
        <v>0.47711844115954138</v>
      </c>
      <c r="BM303" s="6">
        <f t="shared" ca="1" si="170"/>
        <v>2.6442196950290522</v>
      </c>
      <c r="BN303" s="6">
        <f t="shared" ca="1" si="171"/>
        <v>2.3686846668968613</v>
      </c>
      <c r="BO303" s="9"/>
      <c r="BT303" s="40"/>
    </row>
    <row r="304" spans="45:72" x14ac:dyDescent="0.25">
      <c r="AS304" s="6">
        <v>2.1293016874330726</v>
      </c>
      <c r="AT304" s="6">
        <v>-214.95030688703014</v>
      </c>
      <c r="AU304" s="6">
        <v>81.94084068538578</v>
      </c>
      <c r="AV304" s="6">
        <f t="shared" si="160"/>
        <v>2.7773902319406725</v>
      </c>
      <c r="AW304" s="6">
        <f t="shared" si="161"/>
        <v>0.6480885445075999</v>
      </c>
      <c r="AX304" s="6">
        <f t="shared" si="162"/>
        <v>0.42119574174832763</v>
      </c>
      <c r="AY304" s="6">
        <f t="shared" si="163"/>
        <v>0.42119574174832763</v>
      </c>
      <c r="BF304" s="40"/>
      <c r="BG304" s="6">
        <f t="shared" si="164"/>
        <v>1.902408884673811</v>
      </c>
      <c r="BH304" s="9">
        <f t="shared" ca="1" si="165"/>
        <v>-99.155318063454459</v>
      </c>
      <c r="BI304" s="9">
        <f t="shared" ca="1" si="166"/>
        <v>52.659767755600306</v>
      </c>
      <c r="BJ304">
        <f t="shared" ca="1" si="167"/>
        <v>112.27122623512483</v>
      </c>
      <c r="BK304" s="6">
        <f t="shared" ca="1" si="168"/>
        <v>-0.88317658396103838</v>
      </c>
      <c r="BL304" s="6">
        <f t="shared" ca="1" si="169"/>
        <v>0.46904063954300462</v>
      </c>
      <c r="BM304" s="6">
        <f t="shared" ca="1" si="170"/>
        <v>2.6533884505013341</v>
      </c>
      <c r="BN304" s="6">
        <f t="shared" ca="1" si="171"/>
        <v>2.3778534223691432</v>
      </c>
      <c r="BO304" s="9"/>
      <c r="BT304" s="40"/>
    </row>
    <row r="305" spans="45:72" x14ac:dyDescent="0.25">
      <c r="AS305" s="6">
        <v>2.1467549799530157</v>
      </c>
      <c r="AT305" s="6">
        <v>-215.59254655977909</v>
      </c>
      <c r="AU305" s="6">
        <v>81.531720952735412</v>
      </c>
      <c r="AV305" s="6">
        <f t="shared" si="160"/>
        <v>2.7800412922028377</v>
      </c>
      <c r="AW305" s="6">
        <f t="shared" si="161"/>
        <v>0.63328631224982201</v>
      </c>
      <c r="AX305" s="6">
        <f t="shared" si="162"/>
        <v>0.42384680201049285</v>
      </c>
      <c r="AY305" s="6">
        <f t="shared" si="163"/>
        <v>0.42384680201049285</v>
      </c>
      <c r="BF305" s="40"/>
      <c r="BG305" s="6">
        <f t="shared" si="164"/>
        <v>1.9198621771937543</v>
      </c>
      <c r="BH305" s="9">
        <f t="shared" ca="1" si="165"/>
        <v>-100.39620767406622</v>
      </c>
      <c r="BI305" s="9">
        <f t="shared" ca="1" si="166"/>
        <v>52.220477050973351</v>
      </c>
      <c r="BJ305">
        <f t="shared" ca="1" si="167"/>
        <v>113.1652629509845</v>
      </c>
      <c r="BK305" s="6">
        <f t="shared" ca="1" si="168"/>
        <v>-0.8871645331443363</v>
      </c>
      <c r="BL305" s="6">
        <f t="shared" ca="1" si="169"/>
        <v>0.46145323829267038</v>
      </c>
      <c r="BM305" s="6">
        <f t="shared" ca="1" si="170"/>
        <v>2.6619600808174386</v>
      </c>
      <c r="BN305" s="6">
        <f t="shared" ca="1" si="171"/>
        <v>2.3864250526852482</v>
      </c>
      <c r="BO305" s="9"/>
      <c r="BT305" s="40"/>
    </row>
    <row r="306" spans="45:72" x14ac:dyDescent="0.25">
      <c r="AS306" s="6">
        <v>2.1642082724729588</v>
      </c>
      <c r="AT306" s="6">
        <v>-216.21290880860874</v>
      </c>
      <c r="AU306" s="6">
        <v>81.121140984849774</v>
      </c>
      <c r="AV306" s="6">
        <f t="shared" si="160"/>
        <v>2.7826545275251595</v>
      </c>
      <c r="AW306" s="6">
        <f t="shared" si="161"/>
        <v>0.61844625505220074</v>
      </c>
      <c r="AX306" s="6">
        <f t="shared" si="162"/>
        <v>0.42646003733281468</v>
      </c>
      <c r="AY306" s="6">
        <f t="shared" si="163"/>
        <v>0.42646003733281468</v>
      </c>
      <c r="BF306" s="40"/>
      <c r="BG306" s="6">
        <f t="shared" si="164"/>
        <v>1.9373154697136976</v>
      </c>
      <c r="BH306" s="9">
        <f t="shared" ca="1" si="165"/>
        <v>-101.55458656740883</v>
      </c>
      <c r="BI306" s="9">
        <f t="shared" ca="1" si="166"/>
        <v>51.78749261823652</v>
      </c>
      <c r="BJ306">
        <f t="shared" ca="1" si="167"/>
        <v>113.99683523923477</v>
      </c>
      <c r="BK306" s="6">
        <f t="shared" ca="1" si="168"/>
        <v>-0.89085443779457107</v>
      </c>
      <c r="BL306" s="6">
        <f t="shared" ca="1" si="169"/>
        <v>0.45428886257723583</v>
      </c>
      <c r="BM306" s="6">
        <f t="shared" ca="1" si="170"/>
        <v>2.6700188665321849</v>
      </c>
      <c r="BN306" s="6">
        <f t="shared" ca="1" si="171"/>
        <v>2.394483838399994</v>
      </c>
      <c r="BO306" s="9"/>
      <c r="BT306" s="40"/>
    </row>
    <row r="307" spans="45:72" x14ac:dyDescent="0.25">
      <c r="AS307" s="6">
        <v>2.1816615649929019</v>
      </c>
      <c r="AT307" s="6">
        <v>-216.81317062787085</v>
      </c>
      <c r="AU307" s="6">
        <v>80.708618306264</v>
      </c>
      <c r="AV307" s="6">
        <f t="shared" si="160"/>
        <v>2.7852354614241484</v>
      </c>
      <c r="AW307" s="6">
        <f t="shared" si="161"/>
        <v>0.60357389643124648</v>
      </c>
      <c r="AX307" s="6">
        <f t="shared" si="162"/>
        <v>0.42904097123180351</v>
      </c>
      <c r="AY307" s="6">
        <f t="shared" si="163"/>
        <v>0.42904097123180351</v>
      </c>
      <c r="BF307" s="40"/>
      <c r="BG307" s="6">
        <f t="shared" si="164"/>
        <v>1.9547687622336409</v>
      </c>
      <c r="BH307" s="9">
        <f t="shared" ca="1" si="165"/>
        <v>-102.64017622134942</v>
      </c>
      <c r="BI307" s="9">
        <f t="shared" ca="1" si="166"/>
        <v>51.359969914032057</v>
      </c>
      <c r="BJ307">
        <f t="shared" ca="1" si="167"/>
        <v>114.77304685473824</v>
      </c>
      <c r="BK307" s="6">
        <f t="shared" ca="1" si="168"/>
        <v>-0.894288154180095</v>
      </c>
      <c r="BL307" s="6">
        <f t="shared" ca="1" si="169"/>
        <v>0.4474915611418373</v>
      </c>
      <c r="BM307" s="6">
        <f t="shared" ca="1" si="170"/>
        <v>2.6776342453996236</v>
      </c>
      <c r="BN307" s="6">
        <f t="shared" ca="1" si="171"/>
        <v>2.4020992172674331</v>
      </c>
      <c r="BO307" s="9"/>
      <c r="BT307" s="40"/>
    </row>
    <row r="308" spans="45:72" x14ac:dyDescent="0.25">
      <c r="AS308" s="6">
        <v>2.199114857512845</v>
      </c>
      <c r="AT308" s="6">
        <v>-217.39494228574679</v>
      </c>
      <c r="AU308" s="6">
        <v>80.293667631522538</v>
      </c>
      <c r="AV308" s="6">
        <f t="shared" si="160"/>
        <v>2.7877892578307186</v>
      </c>
      <c r="AW308" s="6">
        <f t="shared" si="161"/>
        <v>0.58867440031787366</v>
      </c>
      <c r="AX308" s="6">
        <f t="shared" si="162"/>
        <v>0.43159476763837379</v>
      </c>
      <c r="AY308" s="6">
        <f t="shared" si="163"/>
        <v>0.43159476763837379</v>
      </c>
      <c r="BF308" s="40"/>
      <c r="BG308" s="6">
        <f t="shared" si="164"/>
        <v>1.9722220547535843</v>
      </c>
      <c r="BH308" s="9">
        <f t="shared" ca="1" si="165"/>
        <v>-103.66120492569958</v>
      </c>
      <c r="BI308" s="9">
        <f t="shared" ca="1" si="166"/>
        <v>50.937137086479105</v>
      </c>
      <c r="BJ308">
        <f t="shared" ca="1" si="167"/>
        <v>115.4999452000504</v>
      </c>
      <c r="BK308" s="6">
        <f t="shared" ca="1" si="168"/>
        <v>-0.89750003557278168</v>
      </c>
      <c r="BL308" s="6">
        <f t="shared" ca="1" si="169"/>
        <v>0.44101438315190539</v>
      </c>
      <c r="BM308" s="6">
        <f t="shared" ca="1" si="170"/>
        <v>2.684864061751032</v>
      </c>
      <c r="BN308" s="6">
        <f t="shared" ca="1" si="171"/>
        <v>2.4093290336188415</v>
      </c>
      <c r="BO308" s="9"/>
      <c r="BT308" s="40"/>
    </row>
    <row r="309" spans="45:72" x14ac:dyDescent="0.25">
      <c r="AS309" s="6">
        <v>2.2165681500327881</v>
      </c>
      <c r="AT309" s="6">
        <v>-217.9596882831743</v>
      </c>
      <c r="AU309" s="6">
        <v>79.87579792824863</v>
      </c>
      <c r="AV309" s="6">
        <f t="shared" si="160"/>
        <v>2.7903207812341155</v>
      </c>
      <c r="AW309" s="6">
        <f t="shared" si="161"/>
        <v>0.57375263120132747</v>
      </c>
      <c r="AX309" s="6">
        <f t="shared" si="162"/>
        <v>0.4341262910417707</v>
      </c>
      <c r="AY309" s="6">
        <f t="shared" si="163"/>
        <v>0.4341262910417707</v>
      </c>
      <c r="BF309" s="40"/>
      <c r="BG309" s="6">
        <f t="shared" si="164"/>
        <v>1.9896753472735276</v>
      </c>
      <c r="BH309" s="9">
        <f t="shared" ca="1" si="165"/>
        <v>-104.62469140065723</v>
      </c>
      <c r="BI309" s="9">
        <f t="shared" ca="1" si="166"/>
        <v>50.518282613997037</v>
      </c>
      <c r="BJ309">
        <f t="shared" ca="1" si="167"/>
        <v>116.182713554773</v>
      </c>
      <c r="BK309" s="6">
        <f t="shared" ca="1" si="168"/>
        <v>-0.90051857285406856</v>
      </c>
      <c r="BL309" s="6">
        <f t="shared" ca="1" si="169"/>
        <v>0.43481754788056981</v>
      </c>
      <c r="BM309" s="6">
        <f t="shared" ca="1" si="170"/>
        <v>2.6917569945679301</v>
      </c>
      <c r="BN309" s="6">
        <f t="shared" ca="1" si="171"/>
        <v>2.4162219664357396</v>
      </c>
      <c r="BO309" s="9"/>
      <c r="BT309" s="40"/>
    </row>
    <row r="310" spans="45:72" x14ac:dyDescent="0.25">
      <c r="AS310" s="6">
        <v>2.2340214425527312</v>
      </c>
      <c r="AT310" s="6">
        <v>-218.50874527578358</v>
      </c>
      <c r="AU310" s="6">
        <v>79.454509486203605</v>
      </c>
      <c r="AV310" s="6">
        <f t="shared" si="160"/>
        <v>2.7928346494068688</v>
      </c>
      <c r="AW310" s="6">
        <f t="shared" si="161"/>
        <v>0.5588132068541376</v>
      </c>
      <c r="AX310" s="6">
        <f t="shared" si="162"/>
        <v>0.43664015921452393</v>
      </c>
      <c r="AY310" s="6">
        <f t="shared" si="163"/>
        <v>0.43664015921452393</v>
      </c>
      <c r="BF310" s="40"/>
      <c r="BG310" s="6">
        <f t="shared" si="164"/>
        <v>2.0071286397934709</v>
      </c>
      <c r="BH310" s="9">
        <f t="shared" ca="1" si="165"/>
        <v>-105.53666531874218</v>
      </c>
      <c r="BI310" s="9">
        <f t="shared" ca="1" si="166"/>
        <v>50.102745083256146</v>
      </c>
      <c r="BJ310">
        <f t="shared" ca="1" si="167"/>
        <v>116.82582245153657</v>
      </c>
      <c r="BK310" s="6">
        <f t="shared" ca="1" si="168"/>
        <v>-0.90336762116545322</v>
      </c>
      <c r="BL310" s="6">
        <f t="shared" ca="1" si="169"/>
        <v>0.42886704353432237</v>
      </c>
      <c r="BM310" s="6">
        <f t="shared" ca="1" si="170"/>
        <v>2.6983543983094957</v>
      </c>
      <c r="BN310" s="6">
        <f t="shared" ca="1" si="171"/>
        <v>2.4228193701773053</v>
      </c>
      <c r="BO310" s="9"/>
      <c r="BT310" s="40"/>
    </row>
    <row r="311" spans="45:72" x14ac:dyDescent="0.25">
      <c r="AS311" s="6">
        <v>2.2514747350726743</v>
      </c>
      <c r="AT311" s="6">
        <v>-219.04333751438713</v>
      </c>
      <c r="AU311" s="6">
        <v>79.029290963459218</v>
      </c>
      <c r="AV311" s="6">
        <f t="shared" si="160"/>
        <v>2.7953352801872722</v>
      </c>
      <c r="AW311" s="6">
        <f t="shared" si="161"/>
        <v>0.54386054511459792</v>
      </c>
      <c r="AX311" s="6">
        <f t="shared" si="162"/>
        <v>0.43914078999492734</v>
      </c>
      <c r="AY311" s="6">
        <f t="shared" si="163"/>
        <v>0.43914078999492734</v>
      </c>
      <c r="BF311" s="40"/>
      <c r="BG311" s="6">
        <f t="shared" si="164"/>
        <v>2.024581932313414</v>
      </c>
      <c r="BH311" s="9">
        <f t="shared" ca="1" si="165"/>
        <v>-106.40234069823909</v>
      </c>
      <c r="BI311" s="9">
        <f t="shared" ca="1" si="166"/>
        <v>49.689904647865781</v>
      </c>
      <c r="BJ311">
        <f t="shared" ca="1" si="167"/>
        <v>117.43315004707206</v>
      </c>
      <c r="BK311" s="6">
        <f t="shared" ca="1" si="168"/>
        <v>-0.90606732984330773</v>
      </c>
      <c r="BL311" s="6">
        <f t="shared" ca="1" si="169"/>
        <v>0.423133541320726</v>
      </c>
      <c r="BM311" s="6">
        <f t="shared" ca="1" si="170"/>
        <v>2.704691717063616</v>
      </c>
      <c r="BN311" s="6">
        <f t="shared" ca="1" si="171"/>
        <v>2.4291566889314256</v>
      </c>
      <c r="BO311" s="9"/>
      <c r="BT311" s="40"/>
    </row>
    <row r="312" spans="45:72" x14ac:dyDescent="0.25">
      <c r="AS312" s="6">
        <v>2.2689280275926174</v>
      </c>
      <c r="AT312" s="6">
        <v>-219.56459020687035</v>
      </c>
      <c r="AU312" s="6">
        <v>78.59961636005491</v>
      </c>
      <c r="AV312" s="6">
        <f t="shared" si="160"/>
        <v>2.7978269335401729</v>
      </c>
      <c r="AW312" s="6">
        <f t="shared" si="161"/>
        <v>0.52889890594755551</v>
      </c>
      <c r="AX312" s="6">
        <f t="shared" si="162"/>
        <v>0.44163244334782803</v>
      </c>
      <c r="AY312" s="6">
        <f t="shared" si="163"/>
        <v>0.44163244334782803</v>
      </c>
      <c r="BF312" s="40"/>
      <c r="BG312" s="6">
        <f t="shared" si="164"/>
        <v>2.0420352248333571</v>
      </c>
      <c r="BH312" s="9">
        <f t="shared" ca="1" si="165"/>
        <v>-107.22625368737583</v>
      </c>
      <c r="BI312" s="9">
        <f t="shared" ca="1" si="166"/>
        <v>49.27917583058872</v>
      </c>
      <c r="BJ312">
        <f t="shared" ca="1" si="167"/>
        <v>118.0080787504464</v>
      </c>
      <c r="BK312" s="6">
        <f t="shared" ca="1" si="168"/>
        <v>-0.9086348563824086</v>
      </c>
      <c r="BL312" s="6">
        <f t="shared" ca="1" si="169"/>
        <v>0.41759154417554911</v>
      </c>
      <c r="BM312" s="6">
        <f t="shared" ca="1" si="170"/>
        <v>2.710799584192523</v>
      </c>
      <c r="BN312" s="6">
        <f t="shared" ca="1" si="171"/>
        <v>2.4352645560603321</v>
      </c>
      <c r="BO312" s="9"/>
      <c r="BT312" s="40"/>
    </row>
    <row r="313" spans="45:72" x14ac:dyDescent="0.25">
      <c r="AS313" s="6">
        <v>2.2863813201125605</v>
      </c>
      <c r="AT313" s="6">
        <v>-220.0735410897953</v>
      </c>
      <c r="AU313" s="6">
        <v>78.164941859054963</v>
      </c>
      <c r="AV313" s="6">
        <f t="shared" si="160"/>
        <v>2.8003137499062176</v>
      </c>
      <c r="AW313" s="6">
        <f t="shared" si="161"/>
        <v>0.51393242979365716</v>
      </c>
      <c r="AX313" s="6">
        <f t="shared" si="162"/>
        <v>0.44411925971387278</v>
      </c>
      <c r="AY313" s="6">
        <f t="shared" si="163"/>
        <v>0.44411925971387278</v>
      </c>
      <c r="BF313" s="40"/>
      <c r="BG313" s="6">
        <f t="shared" si="164"/>
        <v>2.0594885173533002</v>
      </c>
      <c r="BH313" s="9">
        <f t="shared" ca="1" si="165"/>
        <v>-108.01237296194272</v>
      </c>
      <c r="BI313" s="9">
        <f t="shared" ca="1" si="166"/>
        <v>48.870001315934765</v>
      </c>
      <c r="BJ313">
        <f t="shared" ca="1" si="167"/>
        <v>118.55357329700898</v>
      </c>
      <c r="BK313" s="6">
        <f t="shared" ca="1" si="168"/>
        <v>-0.91108492100311744</v>
      </c>
      <c r="BL313" s="6">
        <f t="shared" ca="1" si="169"/>
        <v>0.4122187122399264</v>
      </c>
      <c r="BM313" s="6">
        <f t="shared" ca="1" si="170"/>
        <v>2.7167046871536735</v>
      </c>
      <c r="BN313" s="6">
        <f t="shared" ca="1" si="171"/>
        <v>2.4411696590214831</v>
      </c>
      <c r="BO313" s="9"/>
      <c r="BT313" s="40"/>
    </row>
    <row r="314" spans="45:72" x14ac:dyDescent="0.25">
      <c r="AS314" s="6">
        <v>2.3038346126325036</v>
      </c>
      <c r="AT314" s="6">
        <v>-220.57115054146323</v>
      </c>
      <c r="AU314" s="6">
        <v>77.72470250767654</v>
      </c>
      <c r="AV314" s="6">
        <f t="shared" si="160"/>
        <v>2.8027997857131659</v>
      </c>
      <c r="AW314" s="6">
        <f t="shared" si="161"/>
        <v>0.49896517308066235</v>
      </c>
      <c r="AX314" s="6">
        <f t="shared" si="162"/>
        <v>0.44660529552082107</v>
      </c>
      <c r="AY314" s="6">
        <f t="shared" si="163"/>
        <v>0.44660529552082107</v>
      </c>
      <c r="BF314" s="40"/>
      <c r="BG314" s="6">
        <f t="shared" si="164"/>
        <v>2.0769418098732433</v>
      </c>
      <c r="BH314" s="9">
        <f t="shared" ca="1" si="165"/>
        <v>-108.76418909933751</v>
      </c>
      <c r="BI314" s="9">
        <f t="shared" ca="1" si="166"/>
        <v>48.461846610737588</v>
      </c>
      <c r="BJ314">
        <f t="shared" ca="1" si="167"/>
        <v>119.07224448778611</v>
      </c>
      <c r="BK314" s="6">
        <f t="shared" ca="1" si="168"/>
        <v>-0.91343024201155498</v>
      </c>
      <c r="BL314" s="6">
        <f t="shared" ca="1" si="169"/>
        <v>0.40699532304279851</v>
      </c>
      <c r="BM314" s="6">
        <f t="shared" ca="1" si="170"/>
        <v>2.7224304547795333</v>
      </c>
      <c r="BN314" s="6">
        <f t="shared" ca="1" si="171"/>
        <v>2.4468954266473428</v>
      </c>
      <c r="BO314" s="9"/>
      <c r="BT314" s="40"/>
    </row>
    <row r="315" spans="45:72" x14ac:dyDescent="0.25">
      <c r="AS315" s="6">
        <v>2.3212879051524467</v>
      </c>
      <c r="AT315" s="6">
        <v>-221.05831043650974</v>
      </c>
      <c r="AU315" s="6">
        <v>77.278308680659322</v>
      </c>
      <c r="AV315" s="6">
        <f t="shared" si="160"/>
        <v>2.8052890467992722</v>
      </c>
      <c r="AW315" s="6">
        <f t="shared" si="161"/>
        <v>0.48400114164682551</v>
      </c>
      <c r="AX315" s="6">
        <f t="shared" si="162"/>
        <v>0.44909455660692732</v>
      </c>
      <c r="AY315" s="6">
        <f t="shared" si="163"/>
        <v>0.44909455660692732</v>
      </c>
      <c r="BF315" s="40"/>
      <c r="BG315" s="6">
        <f t="shared" si="164"/>
        <v>2.0943951023931864</v>
      </c>
      <c r="BH315" s="9">
        <f t="shared" ca="1" si="165"/>
        <v>-109.48478731972013</v>
      </c>
      <c r="BI315" s="9">
        <f t="shared" ca="1" si="166"/>
        <v>48.054195288208298</v>
      </c>
      <c r="BJ315">
        <f t="shared" ca="1" si="167"/>
        <v>119.56640138116397</v>
      </c>
      <c r="BK315" s="6">
        <f t="shared" ca="1" si="168"/>
        <v>-0.91568188098841563</v>
      </c>
      <c r="BL315" s="6">
        <f t="shared" ca="1" si="169"/>
        <v>0.40190383530083035</v>
      </c>
      <c r="BM315" s="6">
        <f t="shared" ca="1" si="170"/>
        <v>2.7279976089499223</v>
      </c>
      <c r="BN315" s="6">
        <f t="shared" ca="1" si="171"/>
        <v>2.4524625808177314</v>
      </c>
      <c r="BO315" s="9"/>
      <c r="BT315" s="40"/>
    </row>
    <row r="316" spans="45:72" x14ac:dyDescent="0.25">
      <c r="AS316" s="6">
        <v>2.3387411976723897</v>
      </c>
      <c r="AT316" s="6">
        <v>-221.53585198994884</v>
      </c>
      <c r="AU316" s="6">
        <v>76.825142289612046</v>
      </c>
      <c r="AV316" s="6">
        <f t="shared" si="160"/>
        <v>2.8077855204366147</v>
      </c>
      <c r="AW316" s="6">
        <f t="shared" si="161"/>
        <v>0.46904432276422492</v>
      </c>
      <c r="AX316" s="6">
        <f t="shared" si="162"/>
        <v>0.45159103024426983</v>
      </c>
      <c r="AY316" s="6">
        <f t="shared" si="163"/>
        <v>0.45159103024426983</v>
      </c>
      <c r="BF316" s="40"/>
      <c r="BG316" s="6">
        <f t="shared" si="164"/>
        <v>2.1118483949131295</v>
      </c>
      <c r="BH316" s="9">
        <f t="shared" ca="1" si="165"/>
        <v>-110.17690733369857</v>
      </c>
      <c r="BI316" s="9">
        <f t="shared" ca="1" si="166"/>
        <v>47.64654479870746</v>
      </c>
      <c r="BJ316">
        <f t="shared" ca="1" si="167"/>
        <v>120.03809454033181</v>
      </c>
      <c r="BK316" s="6">
        <f t="shared" ca="1" si="168"/>
        <v>-0.91784951898482559</v>
      </c>
      <c r="BL316" s="6">
        <f t="shared" ca="1" si="169"/>
        <v>0.39692853323907612</v>
      </c>
      <c r="BM316" s="6">
        <f t="shared" ca="1" si="170"/>
        <v>2.7334246115642471</v>
      </c>
      <c r="BN316" s="6">
        <f t="shared" ca="1" si="171"/>
        <v>2.4578895834320562</v>
      </c>
      <c r="BO316" s="9"/>
      <c r="BT316" s="40"/>
    </row>
    <row r="317" spans="45:72" x14ac:dyDescent="0.25">
      <c r="AS317" s="6">
        <v>2.3561944901923328</v>
      </c>
      <c r="AT317" s="6">
        <v>-222.00455265390229</v>
      </c>
      <c r="AU317" s="6">
        <v>76.364552652980507</v>
      </c>
      <c r="AV317" s="6">
        <f t="shared" si="160"/>
        <v>2.8102932065429651</v>
      </c>
      <c r="AW317" s="6">
        <f t="shared" si="161"/>
        <v>0.45409871635063226</v>
      </c>
      <c r="AX317" s="6">
        <f t="shared" si="162"/>
        <v>0.45409871635062027</v>
      </c>
      <c r="AY317" s="6">
        <f t="shared" si="163"/>
        <v>0.45409871635062027</v>
      </c>
      <c r="BF317" s="40"/>
      <c r="BG317" s="6">
        <f t="shared" si="164"/>
        <v>2.1293016874330726</v>
      </c>
      <c r="BH317" s="9">
        <f t="shared" ca="1" si="165"/>
        <v>-110.84299280297468</v>
      </c>
      <c r="BI317" s="9">
        <f t="shared" ca="1" si="166"/>
        <v>47.238402657367295</v>
      </c>
      <c r="BJ317">
        <f t="shared" ca="1" si="167"/>
        <v>120.48915195626476</v>
      </c>
      <c r="BK317" s="6">
        <f t="shared" ca="1" si="168"/>
        <v>-0.91994167942362604</v>
      </c>
      <c r="BL317" s="6">
        <f t="shared" ca="1" si="169"/>
        <v>0.39205523393935021</v>
      </c>
      <c r="BM317" s="6">
        <f t="shared" ca="1" si="170"/>
        <v>2.738728030017485</v>
      </c>
      <c r="BN317" s="6">
        <f t="shared" ca="1" si="171"/>
        <v>2.4631930018852941</v>
      </c>
      <c r="BO317" s="9"/>
      <c r="BT317" s="40"/>
    </row>
    <row r="318" spans="45:72" x14ac:dyDescent="0.25">
      <c r="AS318" s="6">
        <v>2.3736477827122759</v>
      </c>
      <c r="AT318" s="6">
        <v>-222.46514228254864</v>
      </c>
      <c r="AU318" s="6">
        <v>75.895851985748976</v>
      </c>
      <c r="AV318" s="6">
        <f t="shared" si="160"/>
        <v>2.812816148680763</v>
      </c>
      <c r="AW318" s="6">
        <f t="shared" si="161"/>
        <v>0.43916836596848707</v>
      </c>
      <c r="AX318" s="6">
        <f t="shared" si="162"/>
        <v>0.45662165848841818</v>
      </c>
      <c r="AY318" s="6">
        <f t="shared" si="163"/>
        <v>0.45662165848841818</v>
      </c>
      <c r="BF318" s="40"/>
      <c r="BG318" s="6">
        <f t="shared" si="164"/>
        <v>2.1467549799530157</v>
      </c>
      <c r="BH318" s="9">
        <f t="shared" ca="1" si="165"/>
        <v>-111.48523247572363</v>
      </c>
      <c r="BI318" s="9">
        <f t="shared" ca="1" si="166"/>
        <v>46.829282924716928</v>
      </c>
      <c r="BJ318">
        <f t="shared" ca="1" si="167"/>
        <v>120.92120905535691</v>
      </c>
      <c r="BK318" s="6">
        <f t="shared" ca="1" si="168"/>
        <v>-0.92196590942690992</v>
      </c>
      <c r="BL318" s="6">
        <f t="shared" ca="1" si="169"/>
        <v>0.3872710444309137</v>
      </c>
      <c r="BM318" s="6">
        <f t="shared" ca="1" si="170"/>
        <v>2.7439228386805596</v>
      </c>
      <c r="BN318" s="6">
        <f t="shared" ca="1" si="171"/>
        <v>2.4683878105483688</v>
      </c>
      <c r="BO318" s="9"/>
      <c r="BT318" s="40"/>
    </row>
    <row r="319" spans="45:72" x14ac:dyDescent="0.25">
      <c r="AS319" s="6">
        <v>2.391101075232219</v>
      </c>
      <c r="AT319" s="6">
        <v>-222.91830868127556</v>
      </c>
      <c r="AU319" s="6">
        <v>75.418310433886603</v>
      </c>
      <c r="AV319" s="6">
        <f t="shared" si="160"/>
        <v>2.8153584654125678</v>
      </c>
      <c r="AW319" s="6">
        <f t="shared" si="161"/>
        <v>0.4242573901803488</v>
      </c>
      <c r="AX319" s="6">
        <f t="shared" si="162"/>
        <v>0.45916397522022301</v>
      </c>
      <c r="AY319" s="6">
        <f t="shared" si="163"/>
        <v>0.45916397522022301</v>
      </c>
      <c r="BF319" s="40"/>
      <c r="BG319" s="6">
        <f t="shared" si="164"/>
        <v>2.1642082724729588</v>
      </c>
      <c r="BH319" s="9">
        <f t="shared" ca="1" si="165"/>
        <v>-112.10559472455328</v>
      </c>
      <c r="BI319" s="9">
        <f t="shared" ca="1" si="166"/>
        <v>46.418702956831289</v>
      </c>
      <c r="BJ319">
        <f t="shared" ca="1" si="167"/>
        <v>121.33573403058278</v>
      </c>
      <c r="BK319" s="6">
        <f t="shared" ca="1" si="168"/>
        <v>-0.92392892844161612</v>
      </c>
      <c r="BL319" s="6">
        <f t="shared" ca="1" si="169"/>
        <v>0.38256415826463303</v>
      </c>
      <c r="BM319" s="6">
        <f t="shared" ca="1" si="170"/>
        <v>2.7490226697957616</v>
      </c>
      <c r="BN319" s="6">
        <f t="shared" ca="1" si="171"/>
        <v>2.4734876416635707</v>
      </c>
      <c r="BO319" s="9"/>
      <c r="BT319" s="40"/>
    </row>
    <row r="320" spans="45:72" x14ac:dyDescent="0.25">
      <c r="AS320" s="6">
        <v>2.4085543677521621</v>
      </c>
      <c r="AT320" s="6">
        <v>-223.3647025063847</v>
      </c>
      <c r="AU320" s="6">
        <v>74.931150538197741</v>
      </c>
      <c r="AV320" s="6">
        <f t="shared" si="160"/>
        <v>2.817924382523437</v>
      </c>
      <c r="AW320" s="6">
        <f t="shared" si="161"/>
        <v>0.40937001477127488</v>
      </c>
      <c r="AX320" s="6">
        <f t="shared" si="162"/>
        <v>0.46172989233109218</v>
      </c>
      <c r="AY320" s="6">
        <f t="shared" si="163"/>
        <v>0.46172989233109218</v>
      </c>
      <c r="BF320" s="40"/>
      <c r="BG320" s="6">
        <f t="shared" si="164"/>
        <v>2.1816615649929019</v>
      </c>
      <c r="BH320" s="9">
        <f t="shared" ca="1" si="165"/>
        <v>-112.70585654381539</v>
      </c>
      <c r="BI320" s="9">
        <f t="shared" ca="1" si="166"/>
        <v>46.006180278245516</v>
      </c>
      <c r="BJ320">
        <f t="shared" ca="1" si="167"/>
        <v>121.73404915252561</v>
      </c>
      <c r="BK320" s="6">
        <f t="shared" ca="1" si="168"/>
        <v>-0.92583675092086659</v>
      </c>
      <c r="BL320" s="6">
        <f t="shared" ca="1" si="169"/>
        <v>0.37792368362447615</v>
      </c>
      <c r="BM320" s="6">
        <f t="shared" ca="1" si="170"/>
        <v>2.7540400241093845</v>
      </c>
      <c r="BN320" s="6">
        <f t="shared" ca="1" si="171"/>
        <v>2.4785049959771941</v>
      </c>
      <c r="BO320" s="9"/>
      <c r="BT320" s="40"/>
    </row>
    <row r="321" spans="45:72" x14ac:dyDescent="0.25">
      <c r="AS321" s="6">
        <v>2.4260076602721052</v>
      </c>
      <c r="AT321" s="6">
        <v>-223.80494185833481</v>
      </c>
      <c r="AU321" s="6">
        <v>74.433541091792762</v>
      </c>
      <c r="AV321" s="6">
        <f t="shared" si="160"/>
        <v>2.8205182668012556</v>
      </c>
      <c r="AW321" s="6">
        <f t="shared" si="161"/>
        <v>0.39451060652915038</v>
      </c>
      <c r="AX321" s="6">
        <f t="shared" si="162"/>
        <v>0.46432377660891078</v>
      </c>
      <c r="AY321" s="6">
        <f t="shared" si="163"/>
        <v>0.46432377660891078</v>
      </c>
      <c r="BF321" s="40"/>
      <c r="BG321" s="6">
        <f t="shared" si="164"/>
        <v>2.199114857512845</v>
      </c>
      <c r="BH321" s="9">
        <f t="shared" ca="1" si="165"/>
        <v>-113.28762820169133</v>
      </c>
      <c r="BI321" s="9">
        <f t="shared" ca="1" si="166"/>
        <v>45.591229603504054</v>
      </c>
      <c r="BJ321">
        <f t="shared" ca="1" si="167"/>
        <v>122.11734897353477</v>
      </c>
      <c r="BK321" s="6">
        <f t="shared" ca="1" si="168"/>
        <v>-0.9276947882830554</v>
      </c>
      <c r="BL321" s="6">
        <f t="shared" ca="1" si="169"/>
        <v>0.37333949669497468</v>
      </c>
      <c r="BM321" s="6">
        <f t="shared" ca="1" si="170"/>
        <v>2.7589864493368124</v>
      </c>
      <c r="BN321" s="6">
        <f t="shared" ca="1" si="171"/>
        <v>2.4834514212046219</v>
      </c>
      <c r="BO321" s="9"/>
      <c r="BT321" s="40"/>
    </row>
    <row r="322" spans="45:72" x14ac:dyDescent="0.25">
      <c r="AS322" s="6">
        <v>2.4434609527920483</v>
      </c>
      <c r="AT322" s="6">
        <v>-224.23961635633023</v>
      </c>
      <c r="AU322" s="6">
        <v>73.9245902082057</v>
      </c>
      <c r="AV322" s="6">
        <f t="shared" si="160"/>
        <v>2.823144661885145</v>
      </c>
      <c r="AW322" s="6">
        <f t="shared" si="161"/>
        <v>0.37968370909309668</v>
      </c>
      <c r="AX322" s="6">
        <f t="shared" si="162"/>
        <v>0.46695017169280018</v>
      </c>
      <c r="AY322" s="6">
        <f t="shared" si="163"/>
        <v>0.46695017169280018</v>
      </c>
      <c r="BF322" s="40"/>
      <c r="BG322" s="6">
        <f t="shared" si="164"/>
        <v>2.2165681500327881</v>
      </c>
      <c r="BH322" s="9">
        <f t="shared" ca="1" si="165"/>
        <v>-113.85237419911884</v>
      </c>
      <c r="BI322" s="9">
        <f t="shared" ca="1" si="166"/>
        <v>45.173359900230146</v>
      </c>
      <c r="BJ322">
        <f t="shared" ca="1" si="167"/>
        <v>122.48671583258285</v>
      </c>
      <c r="BK322" s="6">
        <f t="shared" ca="1" si="168"/>
        <v>-0.92950793418883415</v>
      </c>
      <c r="BL322" s="6">
        <f t="shared" ca="1" si="169"/>
        <v>0.36880211534101337</v>
      </c>
      <c r="BM322" s="6">
        <f t="shared" ca="1" si="170"/>
        <v>2.7638726927946924</v>
      </c>
      <c r="BN322" s="6">
        <f t="shared" ca="1" si="171"/>
        <v>2.4883376646625015</v>
      </c>
      <c r="BO322" s="9"/>
      <c r="BT322" s="40"/>
    </row>
    <row r="323" spans="45:72" x14ac:dyDescent="0.25">
      <c r="AS323" s="6">
        <v>2.4609142453119914</v>
      </c>
      <c r="AT323" s="6">
        <v>-224.66929095984636</v>
      </c>
      <c r="AU323" s="6">
        <v>73.403337512759535</v>
      </c>
      <c r="AV323" s="6">
        <f t="shared" ref="AV323:AV362" si="172">ATAN2(AT323,AU323)</f>
        <v>2.8258083269521173</v>
      </c>
      <c r="AW323" s="6">
        <f t="shared" ref="AW323:AW362" si="173">ABS(AS323-AV323)</f>
        <v>0.36489408164012582</v>
      </c>
      <c r="AX323" s="6">
        <f t="shared" ref="AX323:AX362" si="174">AV323-$U$13</f>
        <v>0.46961383675977242</v>
      </c>
      <c r="AY323" s="6">
        <f t="shared" ref="AY323:AY362" si="175">ABS(AX323)</f>
        <v>0.46961383675977242</v>
      </c>
      <c r="BF323" s="40"/>
      <c r="BG323" s="6">
        <f t="shared" si="164"/>
        <v>2.2340214425527312</v>
      </c>
      <c r="BH323" s="9">
        <f t="shared" ca="1" si="165"/>
        <v>-114.40143119172812</v>
      </c>
      <c r="BI323" s="9">
        <f t="shared" ca="1" si="166"/>
        <v>44.752071458185121</v>
      </c>
      <c r="BJ323">
        <f t="shared" ca="1" si="167"/>
        <v>122.84313313536988</v>
      </c>
      <c r="BK323" s="6">
        <f t="shared" ca="1" si="168"/>
        <v>-0.93128063630272906</v>
      </c>
      <c r="BL323" s="6">
        <f t="shared" ca="1" si="169"/>
        <v>0.36430258913104668</v>
      </c>
      <c r="BM323" s="6">
        <f t="shared" ca="1" si="170"/>
        <v>2.7687088332478798</v>
      </c>
      <c r="BN323" s="6">
        <f t="shared" ca="1" si="171"/>
        <v>2.4931738051156893</v>
      </c>
      <c r="BO323" s="9"/>
      <c r="BT323" s="40"/>
    </row>
    <row r="324" spans="45:72" x14ac:dyDescent="0.25">
      <c r="AS324" s="6">
        <v>2.4783675378319345</v>
      </c>
      <c r="AT324" s="6">
        <v>-225.09450948301063</v>
      </c>
      <c r="AU324" s="6">
        <v>72.868745271692404</v>
      </c>
      <c r="AV324" s="6">
        <f t="shared" si="172"/>
        <v>2.8285142789634041</v>
      </c>
      <c r="AW324" s="6">
        <f t="shared" si="173"/>
        <v>0.3501467411314696</v>
      </c>
      <c r="AX324" s="6">
        <f t="shared" si="174"/>
        <v>0.47231978877105929</v>
      </c>
      <c r="AY324" s="6">
        <f t="shared" si="175"/>
        <v>0.47231978877105929</v>
      </c>
      <c r="BF324" s="40"/>
      <c r="BG324" s="6">
        <f t="shared" si="164"/>
        <v>2.2514747350726743</v>
      </c>
      <c r="BH324" s="9">
        <f t="shared" ca="1" si="165"/>
        <v>-114.93602343033167</v>
      </c>
      <c r="BI324" s="9">
        <f t="shared" ca="1" si="166"/>
        <v>44.326852935440733</v>
      </c>
      <c r="BJ324">
        <f t="shared" ca="1" si="167"/>
        <v>123.18749682146294</v>
      </c>
      <c r="BK324" s="6">
        <f t="shared" ca="1" si="168"/>
        <v>-0.93301695704483523</v>
      </c>
      <c r="BL324" s="6">
        <f t="shared" ca="1" si="169"/>
        <v>0.35983240246925507</v>
      </c>
      <c r="BM324" s="6">
        <f t="shared" ca="1" si="170"/>
        <v>2.7735043960494856</v>
      </c>
      <c r="BN324" s="6">
        <f t="shared" ca="1" si="171"/>
        <v>2.4979693679172952</v>
      </c>
      <c r="BO324" s="9"/>
      <c r="BT324" s="40"/>
    </row>
    <row r="325" spans="45:72" x14ac:dyDescent="0.25">
      <c r="AS325" s="6">
        <v>2.4958208303518776</v>
      </c>
      <c r="AT325" s="6">
        <v>-225.51579792279028</v>
      </c>
      <c r="AU325" s="6">
        <v>72.319688281980831</v>
      </c>
      <c r="AV325" s="6">
        <f t="shared" si="172"/>
        <v>2.8312678393881914</v>
      </c>
      <c r="AW325" s="6">
        <f t="shared" si="173"/>
        <v>0.33544700903631375</v>
      </c>
      <c r="AX325" s="6">
        <f t="shared" si="174"/>
        <v>0.47507334919584654</v>
      </c>
      <c r="AY325" s="6">
        <f t="shared" si="175"/>
        <v>0.47507334919584654</v>
      </c>
      <c r="BF325" s="40"/>
      <c r="BG325" s="6">
        <f t="shared" si="164"/>
        <v>2.2689280275926174</v>
      </c>
      <c r="BH325" s="9">
        <f t="shared" ca="1" si="165"/>
        <v>-115.45727612281489</v>
      </c>
      <c r="BI325" s="9">
        <f t="shared" ca="1" si="166"/>
        <v>43.897178332036425</v>
      </c>
      <c r="BJ325">
        <f t="shared" ca="1" si="167"/>
        <v>123.52062530288021</v>
      </c>
      <c r="BK325" s="6">
        <f t="shared" ca="1" si="168"/>
        <v>-0.93472062531829414</v>
      </c>
      <c r="BL325" s="6">
        <f t="shared" ca="1" si="169"/>
        <v>0.35538338819446413</v>
      </c>
      <c r="BM325" s="6">
        <f t="shared" ca="1" si="170"/>
        <v>2.7782684548788792</v>
      </c>
      <c r="BN325" s="6">
        <f t="shared" ca="1" si="171"/>
        <v>2.5027334267466887</v>
      </c>
      <c r="BO325" s="9"/>
      <c r="BT325" s="40"/>
    </row>
    <row r="326" spans="45:72" x14ac:dyDescent="0.25">
      <c r="AS326" s="6">
        <v>2.5132741228718207</v>
      </c>
      <c r="AT326" s="6">
        <v>-225.93366763199859</v>
      </c>
      <c r="AU326" s="6">
        <v>71.754942286711639</v>
      </c>
      <c r="AV326" s="6">
        <f t="shared" si="172"/>
        <v>2.8340746864300512</v>
      </c>
      <c r="AW326" s="6">
        <f t="shared" si="173"/>
        <v>0.3208005635582305</v>
      </c>
      <c r="AX326" s="6">
        <f t="shared" si="174"/>
        <v>0.47788019623770639</v>
      </c>
      <c r="AY326" s="6">
        <f t="shared" si="175"/>
        <v>0.47788019623770639</v>
      </c>
      <c r="BF326" s="40"/>
      <c r="BG326" s="6">
        <f t="shared" si="164"/>
        <v>2.2863813201125605</v>
      </c>
      <c r="BH326" s="9">
        <f t="shared" ca="1" si="165"/>
        <v>-115.96622700573984</v>
      </c>
      <c r="BI326" s="9">
        <f t="shared" ca="1" si="166"/>
        <v>43.462503831036479</v>
      </c>
      <c r="BJ326">
        <f t="shared" ca="1" si="167"/>
        <v>123.84326806576789</v>
      </c>
      <c r="BK326" s="6">
        <f t="shared" ca="1" si="168"/>
        <v>-0.93639508078997979</v>
      </c>
      <c r="BL326" s="6">
        <f t="shared" ca="1" si="169"/>
        <v>0.35094764947542723</v>
      </c>
      <c r="BM326" s="6">
        <f t="shared" ca="1" si="170"/>
        <v>2.7830097227706254</v>
      </c>
      <c r="BN326" s="6">
        <f t="shared" ca="1" si="171"/>
        <v>2.507474694638435</v>
      </c>
      <c r="BO326" s="9"/>
      <c r="BT326" s="40"/>
    </row>
    <row r="327" spans="45:72" x14ac:dyDescent="0.25">
      <c r="AS327" s="6">
        <v>2.5307274153917638</v>
      </c>
      <c r="AT327" s="6">
        <v>-226.34861831196591</v>
      </c>
      <c r="AU327" s="6">
        <v>71.173170626347542</v>
      </c>
      <c r="AV327" s="6">
        <f t="shared" si="172"/>
        <v>2.836940913928323</v>
      </c>
      <c r="AW327" s="6">
        <f t="shared" si="173"/>
        <v>0.30621349853655921</v>
      </c>
      <c r="AX327" s="6">
        <f t="shared" si="174"/>
        <v>0.4807464237359782</v>
      </c>
      <c r="AY327" s="6">
        <f t="shared" si="175"/>
        <v>0.4807464237359782</v>
      </c>
      <c r="BF327" s="40"/>
      <c r="BG327" s="6">
        <f t="shared" si="164"/>
        <v>2.3038346126325036</v>
      </c>
      <c r="BH327" s="9">
        <f t="shared" ca="1" si="165"/>
        <v>-116.46383645740777</v>
      </c>
      <c r="BI327" s="9">
        <f t="shared" ca="1" si="166"/>
        <v>43.022264479658055</v>
      </c>
      <c r="BJ327">
        <f t="shared" ca="1" si="167"/>
        <v>124.15611319357363</v>
      </c>
      <c r="BK327" s="6">
        <f t="shared" ca="1" si="168"/>
        <v>-0.93804351200836378</v>
      </c>
      <c r="BL327" s="6">
        <f t="shared" ca="1" si="169"/>
        <v>0.34651748812868688</v>
      </c>
      <c r="BM327" s="6">
        <f t="shared" ca="1" si="170"/>
        <v>2.7877366347269943</v>
      </c>
      <c r="BN327" s="6">
        <f t="shared" ca="1" si="171"/>
        <v>2.5122016065948038</v>
      </c>
      <c r="BO327" s="9"/>
      <c r="BT327" s="40"/>
    </row>
    <row r="328" spans="45:72" x14ac:dyDescent="0.25">
      <c r="AS328" s="6">
        <v>2.5481807079117069</v>
      </c>
      <c r="AT328" s="6">
        <v>-226.76114098755184</v>
      </c>
      <c r="AU328" s="6">
        <v>70.572908807449778</v>
      </c>
      <c r="AV328" s="6">
        <f t="shared" si="172"/>
        <v>2.8398730984636082</v>
      </c>
      <c r="AW328" s="6">
        <f t="shared" si="173"/>
        <v>0.29169239055190133</v>
      </c>
      <c r="AX328" s="6">
        <f t="shared" si="174"/>
        <v>0.48367860827126341</v>
      </c>
      <c r="AY328" s="6">
        <f t="shared" si="175"/>
        <v>0.48367860827126341</v>
      </c>
      <c r="BF328" s="40"/>
      <c r="BG328" s="6">
        <f t="shared" si="164"/>
        <v>2.3212879051524467</v>
      </c>
      <c r="BH328" s="9">
        <f t="shared" ca="1" si="165"/>
        <v>-116.95099635245428</v>
      </c>
      <c r="BI328" s="9">
        <f t="shared" ca="1" si="166"/>
        <v>42.575870652640837</v>
      </c>
      <c r="BJ328">
        <f t="shared" ca="1" si="167"/>
        <v>124.4597939483357</v>
      </c>
      <c r="BK328" s="6">
        <f t="shared" ca="1" si="168"/>
        <v>-0.93966888938448356</v>
      </c>
      <c r="BL328" s="6">
        <f t="shared" ca="1" si="169"/>
        <v>0.34208533777835465</v>
      </c>
      <c r="BM328" s="6">
        <f t="shared" ca="1" si="170"/>
        <v>2.7924574238274498</v>
      </c>
      <c r="BN328" s="6">
        <f t="shared" ca="1" si="171"/>
        <v>2.5169223956952589</v>
      </c>
      <c r="BO328" s="9"/>
      <c r="BT328" s="40"/>
    </row>
    <row r="329" spans="45:72" x14ac:dyDescent="0.25">
      <c r="AS329" s="6">
        <v>2.56563400043165</v>
      </c>
      <c r="AT329" s="6">
        <v>-227.17172095249754</v>
      </c>
      <c r="AU329" s="6">
        <v>69.952546562723171</v>
      </c>
      <c r="AV329" s="6">
        <f t="shared" si="172"/>
        <v>2.8428783764020564</v>
      </c>
      <c r="AW329" s="6">
        <f t="shared" si="173"/>
        <v>0.27724437597040641</v>
      </c>
      <c r="AX329" s="6">
        <f t="shared" si="174"/>
        <v>0.48668388620971159</v>
      </c>
      <c r="AY329" s="6">
        <f t="shared" si="175"/>
        <v>0.48668388620971159</v>
      </c>
      <c r="BF329" s="40"/>
      <c r="BG329" s="6">
        <f t="shared" si="164"/>
        <v>2.3387411976723897</v>
      </c>
      <c r="BH329" s="9">
        <f t="shared" ca="1" si="165"/>
        <v>-117.42853790589338</v>
      </c>
      <c r="BI329" s="9">
        <f t="shared" ca="1" si="166"/>
        <v>42.122704261593562</v>
      </c>
      <c r="BJ329">
        <f t="shared" ca="1" si="167"/>
        <v>124.75489460949221</v>
      </c>
      <c r="BK329" s="6">
        <f t="shared" ca="1" si="168"/>
        <v>-0.94127399388591693</v>
      </c>
      <c r="BL329" s="6">
        <f t="shared" ca="1" si="169"/>
        <v>0.33764370042110214</v>
      </c>
      <c r="BM329" s="6">
        <f t="shared" ca="1" si="170"/>
        <v>2.7971801925420445</v>
      </c>
      <c r="BN329" s="6">
        <f t="shared" ca="1" si="171"/>
        <v>2.5216451644098541</v>
      </c>
      <c r="BO329" s="9"/>
      <c r="BT329" s="40"/>
    </row>
    <row r="330" spans="45:72" x14ac:dyDescent="0.25">
      <c r="AS330" s="6">
        <v>2.5830872929515931</v>
      </c>
      <c r="AT330" s="6">
        <v>-227.58084069027655</v>
      </c>
      <c r="AU330" s="6">
        <v>69.310306887004288</v>
      </c>
      <c r="AV330" s="6">
        <f t="shared" si="172"/>
        <v>2.8459645330016827</v>
      </c>
      <c r="AW330" s="6">
        <f t="shared" si="173"/>
        <v>0.26287724005008961</v>
      </c>
      <c r="AX330" s="6">
        <f t="shared" si="174"/>
        <v>0.48977004280933789</v>
      </c>
      <c r="AY330" s="6">
        <f t="shared" si="175"/>
        <v>0.48977004280933789</v>
      </c>
      <c r="BF330" s="40"/>
      <c r="BG330" s="6">
        <f t="shared" si="164"/>
        <v>2.3561944901923328</v>
      </c>
      <c r="BH330" s="9">
        <f t="shared" ca="1" si="165"/>
        <v>-117.89723856984683</v>
      </c>
      <c r="BI330" s="9">
        <f t="shared" ca="1" si="166"/>
        <v>41.662114624962022</v>
      </c>
      <c r="BJ330">
        <f t="shared" ca="1" si="167"/>
        <v>125.04195558858976</v>
      </c>
      <c r="BK330" s="6">
        <f t="shared" ca="1" si="168"/>
        <v>-0.94286144210467793</v>
      </c>
      <c r="BL330" s="6">
        <f t="shared" ca="1" si="169"/>
        <v>0.33318508518882878</v>
      </c>
      <c r="BM330" s="6">
        <f t="shared" ca="1" si="170"/>
        <v>2.8019129806682272</v>
      </c>
      <c r="BN330" s="6">
        <f t="shared" ca="1" si="171"/>
        <v>2.5263779525360368</v>
      </c>
      <c r="BO330" s="9"/>
      <c r="BT330" s="40"/>
    </row>
    <row r="331" spans="45:72" x14ac:dyDescent="0.25">
      <c r="AS331" s="6">
        <v>2.6005405854715362</v>
      </c>
      <c r="AT331" s="6">
        <v>-227.98898282245548</v>
      </c>
      <c r="AU331" s="6">
        <v>68.644221419769394</v>
      </c>
      <c r="AV331" s="6">
        <f t="shared" si="172"/>
        <v>2.8491401062294428</v>
      </c>
      <c r="AW331" s="6">
        <f t="shared" si="173"/>
        <v>0.24859952075790659</v>
      </c>
      <c r="AX331" s="6">
        <f t="shared" si="174"/>
        <v>0.49294561603709797</v>
      </c>
      <c r="AY331" s="6">
        <f t="shared" si="175"/>
        <v>0.49294561603709797</v>
      </c>
      <c r="BF331" s="40"/>
      <c r="BG331" s="6">
        <f t="shared" si="164"/>
        <v>2.3736477827122759</v>
      </c>
      <c r="BH331" s="9">
        <f t="shared" ca="1" si="165"/>
        <v>-118.35782819849318</v>
      </c>
      <c r="BI331" s="9">
        <f t="shared" ca="1" si="166"/>
        <v>41.193413957730492</v>
      </c>
      <c r="BJ331">
        <f t="shared" ca="1" si="167"/>
        <v>125.3214780049971</v>
      </c>
      <c r="BK331" s="6">
        <f t="shared" ca="1" si="168"/>
        <v>-0.9444337082728449</v>
      </c>
      <c r="BL331" s="6">
        <f t="shared" ca="1" si="169"/>
        <v>0.3287019480897595</v>
      </c>
      <c r="BM331" s="6">
        <f t="shared" ca="1" si="170"/>
        <v>2.8066638312873455</v>
      </c>
      <c r="BN331" s="6">
        <f t="shared" ca="1" si="171"/>
        <v>2.5311288031551546</v>
      </c>
      <c r="BO331" s="9"/>
      <c r="BT331" s="40"/>
    </row>
    <row r="332" spans="45:72" x14ac:dyDescent="0.25">
      <c r="AS332" s="6">
        <v>2.6179938779914793</v>
      </c>
      <c r="AT332" s="6">
        <v>-228.3966333152768</v>
      </c>
      <c r="AU332" s="6">
        <v>67.952101403016897</v>
      </c>
      <c r="AV332" s="6">
        <f t="shared" si="172"/>
        <v>2.8524145087307176</v>
      </c>
      <c r="AW332" s="6">
        <f t="shared" si="173"/>
        <v>0.23442063073923824</v>
      </c>
      <c r="AX332" s="6">
        <f t="shared" si="174"/>
        <v>0.49622001853837272</v>
      </c>
      <c r="AY332" s="6">
        <f t="shared" si="175"/>
        <v>0.49622001853837272</v>
      </c>
      <c r="BF332" s="40"/>
      <c r="BG332" s="6">
        <f t="shared" si="164"/>
        <v>2.391101075232219</v>
      </c>
      <c r="BH332" s="9">
        <f t="shared" ca="1" si="165"/>
        <v>-118.8109945972201</v>
      </c>
      <c r="BI332" s="9">
        <f t="shared" ca="1" si="166"/>
        <v>40.715872405868119</v>
      </c>
      <c r="BJ332">
        <f t="shared" ca="1" si="167"/>
        <v>125.59392781082849</v>
      </c>
      <c r="BK332" s="6">
        <f t="shared" ca="1" si="168"/>
        <v>-0.94599314368267118</v>
      </c>
      <c r="BL332" s="6">
        <f t="shared" ca="1" si="169"/>
        <v>0.32418663159571692</v>
      </c>
      <c r="BM332" s="6">
        <f t="shared" ca="1" si="170"/>
        <v>2.8114408560135389</v>
      </c>
      <c r="BN332" s="6">
        <f t="shared" ca="1" si="171"/>
        <v>2.535905827881348</v>
      </c>
      <c r="BO332" s="9"/>
      <c r="BT332" s="40"/>
    </row>
    <row r="333" spans="45:72" x14ac:dyDescent="0.25">
      <c r="AS333" s="6">
        <v>2.6354471705114224</v>
      </c>
      <c r="AT333" s="6">
        <v>-228.80428464145373</v>
      </c>
      <c r="AU333" s="6">
        <v>67.231503183903754</v>
      </c>
      <c r="AV333" s="6">
        <f t="shared" si="172"/>
        <v>2.8557981717988872</v>
      </c>
      <c r="AW333" s="6">
        <f t="shared" si="173"/>
        <v>0.22035100128746476</v>
      </c>
      <c r="AX333" s="6">
        <f t="shared" si="174"/>
        <v>0.49960368160654234</v>
      </c>
      <c r="AY333" s="6">
        <f t="shared" si="175"/>
        <v>0.49960368160654234</v>
      </c>
      <c r="BF333" s="40"/>
      <c r="BG333" s="6">
        <f t="shared" si="164"/>
        <v>2.4085543677521621</v>
      </c>
      <c r="BH333" s="9">
        <f t="shared" ca="1" si="165"/>
        <v>-119.25738842232924</v>
      </c>
      <c r="BI333" s="9">
        <f t="shared" ca="1" si="166"/>
        <v>40.228712510179257</v>
      </c>
      <c r="BJ333">
        <f t="shared" ca="1" si="167"/>
        <v>125.85973940677361</v>
      </c>
      <c r="BK333" s="6">
        <f t="shared" ca="1" si="168"/>
        <v>-0.94754199384518156</v>
      </c>
      <c r="BL333" s="6">
        <f t="shared" ca="1" si="169"/>
        <v>0.31963130306635767</v>
      </c>
      <c r="BM333" s="6">
        <f t="shared" ca="1" si="170"/>
        <v>2.8162523006507008</v>
      </c>
      <c r="BN333" s="6">
        <f t="shared" ca="1" si="171"/>
        <v>2.5407172725185099</v>
      </c>
      <c r="BO333" s="9"/>
      <c r="BT333" s="40"/>
    </row>
    <row r="334" spans="45:72" x14ac:dyDescent="0.25">
      <c r="AS334" s="6">
        <v>2.6529004630313655</v>
      </c>
      <c r="AT334" s="6">
        <v>-229.21243934590544</v>
      </c>
      <c r="AU334" s="6">
        <v>66.479687049317505</v>
      </c>
      <c r="AV334" s="6">
        <f t="shared" si="172"/>
        <v>2.8593027168646499</v>
      </c>
      <c r="AW334" s="6">
        <f t="shared" si="173"/>
        <v>0.20640225383328437</v>
      </c>
      <c r="AX334" s="6">
        <f t="shared" si="174"/>
        <v>0.50310822667230504</v>
      </c>
      <c r="AY334" s="6">
        <f t="shared" si="175"/>
        <v>0.50310822667230504</v>
      </c>
      <c r="BF334" s="40"/>
      <c r="BG334" s="6">
        <f t="shared" si="164"/>
        <v>2.4260076602721052</v>
      </c>
      <c r="BH334" s="9">
        <f t="shared" ca="1" si="165"/>
        <v>-119.69762777427935</v>
      </c>
      <c r="BI334" s="9">
        <f t="shared" ca="1" si="166"/>
        <v>39.731103063774277</v>
      </c>
      <c r="BJ334">
        <f t="shared" ca="1" si="167"/>
        <v>126.11931908099641</v>
      </c>
      <c r="BK334" s="6">
        <f t="shared" ca="1" si="168"/>
        <v>-0.94908241375301983</v>
      </c>
      <c r="BL334" s="6">
        <f t="shared" ca="1" si="169"/>
        <v>0.31502789067754283</v>
      </c>
      <c r="BM334" s="6">
        <f t="shared" ca="1" si="170"/>
        <v>2.8211066126912603</v>
      </c>
      <c r="BN334" s="6">
        <f t="shared" ca="1" si="171"/>
        <v>2.5455715845590694</v>
      </c>
      <c r="BO334" s="9"/>
      <c r="BT334" s="40"/>
    </row>
    <row r="335" spans="45:72" x14ac:dyDescent="0.25">
      <c r="AS335" s="6">
        <v>2.6703537555513086</v>
      </c>
      <c r="AT335" s="6">
        <v>-229.6216138558944</v>
      </c>
      <c r="AU335" s="6">
        <v>65.693567766454507</v>
      </c>
      <c r="AV335" s="6">
        <f t="shared" si="172"/>
        <v>2.8629411609697413</v>
      </c>
      <c r="AW335" s="6">
        <f t="shared" si="173"/>
        <v>0.19258740541843267</v>
      </c>
      <c r="AX335" s="6">
        <f t="shared" si="174"/>
        <v>0.50674667077739644</v>
      </c>
      <c r="AY335" s="6">
        <f t="shared" si="175"/>
        <v>0.50674667077739644</v>
      </c>
      <c r="BF335" s="40"/>
      <c r="BG335" s="6">
        <f t="shared" si="164"/>
        <v>2.4434609527920483</v>
      </c>
      <c r="BH335" s="9">
        <f t="shared" ca="1" si="165"/>
        <v>-120.13230227227477</v>
      </c>
      <c r="BI335" s="9">
        <f t="shared" ca="1" si="166"/>
        <v>39.222152180187216</v>
      </c>
      <c r="BJ335">
        <f t="shared" ca="1" si="167"/>
        <v>126.37304803985286</v>
      </c>
      <c r="BK335" s="6">
        <f t="shared" ca="1" si="168"/>
        <v>-0.95061648140662069</v>
      </c>
      <c r="BL335" s="6">
        <f t="shared" ca="1" si="169"/>
        <v>0.31036801587485774</v>
      </c>
      <c r="BM335" s="6">
        <f t="shared" ca="1" si="170"/>
        <v>2.8260125116928956</v>
      </c>
      <c r="BN335" s="6">
        <f t="shared" ca="1" si="171"/>
        <v>2.5504774835607051</v>
      </c>
      <c r="BO335" s="9"/>
      <c r="BT335" s="40"/>
    </row>
    <row r="336" spans="45:72" x14ac:dyDescent="0.25">
      <c r="AS336" s="6">
        <v>2.6878070480712517</v>
      </c>
      <c r="AT336" s="6">
        <v>-230.03234268106181</v>
      </c>
      <c r="AU336" s="6">
        <v>64.869654780196811</v>
      </c>
      <c r="AV336" s="6">
        <f t="shared" si="172"/>
        <v>2.8667281648075198</v>
      </c>
      <c r="AW336" s="6">
        <f t="shared" si="173"/>
        <v>0.17892111673626809</v>
      </c>
      <c r="AX336" s="6">
        <f t="shared" si="174"/>
        <v>0.51053367461517496</v>
      </c>
      <c r="AY336" s="6">
        <f t="shared" si="175"/>
        <v>0.51053367461517496</v>
      </c>
      <c r="BF336" s="40"/>
      <c r="BG336" s="6">
        <f t="shared" ref="BG336:BG348" si="176">AS323</f>
        <v>2.4609142453119914</v>
      </c>
      <c r="BH336" s="9">
        <f t="shared" ref="BH336:BH375" ca="1" si="177">AT323-$BG$5</f>
        <v>-120.5619768757909</v>
      </c>
      <c r="BI336" s="9">
        <f t="shared" ref="BI336:BI375" ca="1" si="178">AU323-$BH$5</f>
        <v>38.700899484741051</v>
      </c>
      <c r="BJ336">
        <f t="shared" ref="BJ336:BJ375" ca="1" si="179">SQRT(POWER(BH336,2)+POWER(BI336,2))</f>
        <v>126.62128529250828</v>
      </c>
      <c r="BK336" s="6">
        <f t="shared" ref="BK336:BK375" ca="1" si="180">BH336/BJ336</f>
        <v>-0.95214620983573384</v>
      </c>
      <c r="BL336" s="6">
        <f t="shared" ref="BL336:BL375" ca="1" si="181">BI336/BJ336</f>
        <v>0.30564292089863065</v>
      </c>
      <c r="BM336" s="6">
        <f t="shared" ref="BM336:BM375" ca="1" si="182">ATAN2(BK336,BL336)</f>
        <v>2.8309790640488832</v>
      </c>
      <c r="BN336" s="6">
        <f t="shared" ref="BN336:BN375" ca="1" si="183">BM336-$BJ$11</f>
        <v>2.5554440359166923</v>
      </c>
      <c r="BO336" s="9"/>
      <c r="BT336" s="40"/>
    </row>
    <row r="337" spans="45:72" x14ac:dyDescent="0.25">
      <c r="AS337" s="6">
        <v>2.7052603405911948</v>
      </c>
      <c r="AT337" s="6">
        <v>-230.44518310844359</v>
      </c>
      <c r="AU337" s="6">
        <v>64.003979400370653</v>
      </c>
      <c r="AV337" s="6">
        <f t="shared" si="172"/>
        <v>2.8706803344038554</v>
      </c>
      <c r="AW337" s="6">
        <f t="shared" si="173"/>
        <v>0.16541999381266059</v>
      </c>
      <c r="AX337" s="6">
        <f t="shared" si="174"/>
        <v>0.51448584421151056</v>
      </c>
      <c r="AY337" s="6">
        <f t="shared" si="175"/>
        <v>0.51448584421151056</v>
      </c>
      <c r="BF337" s="40"/>
      <c r="BG337" s="6">
        <f t="shared" si="176"/>
        <v>2.4783675378319345</v>
      </c>
      <c r="BH337" s="9">
        <f t="shared" ca="1" si="177"/>
        <v>-120.98719539895517</v>
      </c>
      <c r="BI337" s="9">
        <f t="shared" ca="1" si="178"/>
        <v>38.16630724367392</v>
      </c>
      <c r="BJ337">
        <f t="shared" ca="1" si="179"/>
        <v>126.86437032959047</v>
      </c>
      <c r="BK337" s="6">
        <f t="shared" ca="1" si="180"/>
        <v>-0.95367355771075402</v>
      </c>
      <c r="BL337" s="6">
        <f t="shared" ca="1" si="181"/>
        <v>0.300843390027624</v>
      </c>
      <c r="BM337" s="6">
        <f t="shared" ca="1" si="182"/>
        <v>2.8360157635378767</v>
      </c>
      <c r="BN337" s="6">
        <f t="shared" ca="1" si="183"/>
        <v>2.5604807354056858</v>
      </c>
      <c r="BO337" s="9"/>
      <c r="BT337" s="40"/>
    </row>
    <row r="338" spans="45:72" x14ac:dyDescent="0.25">
      <c r="AS338" s="6">
        <v>2.7227136331111379</v>
      </c>
      <c r="AT338" s="6">
        <v>-230.86072064076544</v>
      </c>
      <c r="AU338" s="6">
        <v>63.092005487913923</v>
      </c>
      <c r="AV338" s="6">
        <f t="shared" si="172"/>
        <v>2.8748165910673391</v>
      </c>
      <c r="AW338" s="6">
        <f t="shared" si="173"/>
        <v>0.15210295795620121</v>
      </c>
      <c r="AX338" s="6">
        <f t="shared" si="174"/>
        <v>0.51862210087499427</v>
      </c>
      <c r="AY338" s="6">
        <f t="shared" si="175"/>
        <v>0.51862210087499427</v>
      </c>
      <c r="BF338" s="40"/>
      <c r="BG338" s="6">
        <f t="shared" si="176"/>
        <v>2.4958208303518776</v>
      </c>
      <c r="BH338" s="9">
        <f t="shared" ca="1" si="177"/>
        <v>-121.40848383873482</v>
      </c>
      <c r="BI338" s="9">
        <f t="shared" ca="1" si="178"/>
        <v>37.617250253962347</v>
      </c>
      <c r="BJ338">
        <f t="shared" ca="1" si="179"/>
        <v>127.10262571909979</v>
      </c>
      <c r="BK338" s="6">
        <f t="shared" ca="1" si="180"/>
        <v>-0.95520043863649862</v>
      </c>
      <c r="BL338" s="6">
        <f t="shared" ca="1" si="181"/>
        <v>0.2959596628404631</v>
      </c>
      <c r="BM338" s="6">
        <f t="shared" ca="1" si="182"/>
        <v>2.8411326193816211</v>
      </c>
      <c r="BN338" s="6">
        <f t="shared" ca="1" si="183"/>
        <v>2.5655975912494302</v>
      </c>
      <c r="BO338" s="9"/>
      <c r="BT338" s="40"/>
    </row>
    <row r="339" spans="45:72" x14ac:dyDescent="0.25">
      <c r="AS339" s="6">
        <v>2.740166925631081</v>
      </c>
      <c r="AT339" s="6">
        <v>-231.273194138159</v>
      </c>
      <c r="AU339" s="6">
        <v>62.143394064021756</v>
      </c>
      <c r="AV339" s="6">
        <f t="shared" si="172"/>
        <v>2.8790917277870198</v>
      </c>
      <c r="AW339" s="6">
        <f t="shared" si="173"/>
        <v>0.13892480215593883</v>
      </c>
      <c r="AX339" s="6">
        <f t="shared" si="174"/>
        <v>0.52289723759467499</v>
      </c>
      <c r="AY339" s="6">
        <f t="shared" si="175"/>
        <v>0.52289723759467499</v>
      </c>
      <c r="BF339" s="40"/>
      <c r="BG339" s="6">
        <f t="shared" si="176"/>
        <v>2.5132741228718207</v>
      </c>
      <c r="BH339" s="9">
        <f t="shared" ca="1" si="177"/>
        <v>-121.82635354794313</v>
      </c>
      <c r="BI339" s="9">
        <f t="shared" ca="1" si="178"/>
        <v>37.052504258693155</v>
      </c>
      <c r="BJ339">
        <f t="shared" ca="1" si="179"/>
        <v>127.33635965673319</v>
      </c>
      <c r="BK339" s="6">
        <f t="shared" ca="1" si="180"/>
        <v>-0.95672872914190688</v>
      </c>
      <c r="BL339" s="6">
        <f t="shared" ca="1" si="181"/>
        <v>0.29098133760520084</v>
      </c>
      <c r="BM339" s="6">
        <f t="shared" ca="1" si="182"/>
        <v>2.8463402537107241</v>
      </c>
      <c r="BN339" s="6">
        <f t="shared" ca="1" si="183"/>
        <v>2.5708052255785336</v>
      </c>
      <c r="BO339" s="9"/>
      <c r="BT339" s="40"/>
    </row>
    <row r="340" spans="45:72" x14ac:dyDescent="0.25">
      <c r="AS340" s="6">
        <v>2.7576202181510241</v>
      </c>
      <c r="AT340" s="6">
        <v>-231.6620056630143</v>
      </c>
      <c r="AU340" s="6">
        <v>61.20480376583459</v>
      </c>
      <c r="AV340" s="6">
        <f t="shared" si="172"/>
        <v>2.8832957803809114</v>
      </c>
      <c r="AW340" s="6">
        <f t="shared" si="173"/>
        <v>0.12567556222988729</v>
      </c>
      <c r="AX340" s="6">
        <f t="shared" si="174"/>
        <v>0.52710129018856655</v>
      </c>
      <c r="AY340" s="6">
        <f t="shared" si="175"/>
        <v>0.52710129018856655</v>
      </c>
      <c r="BF340" s="40"/>
      <c r="BG340" s="6">
        <f t="shared" si="176"/>
        <v>2.5307274153917638</v>
      </c>
      <c r="BH340" s="9">
        <f t="shared" ca="1" si="177"/>
        <v>-122.24130422791045</v>
      </c>
      <c r="BI340" s="9">
        <f t="shared" ca="1" si="178"/>
        <v>36.470732598329057</v>
      </c>
      <c r="BJ340">
        <f t="shared" ca="1" si="179"/>
        <v>127.56586845860996</v>
      </c>
      <c r="BK340" s="6">
        <f t="shared" ca="1" si="180"/>
        <v>-0.95826027529905367</v>
      </c>
      <c r="BL340" s="6">
        <f t="shared" ca="1" si="181"/>
        <v>0.28589726263779058</v>
      </c>
      <c r="BM340" s="6">
        <f t="shared" ca="1" si="182"/>
        <v>2.8516500105926532</v>
      </c>
      <c r="BN340" s="6">
        <f t="shared" ca="1" si="183"/>
        <v>2.5761149824604628</v>
      </c>
      <c r="BO340" s="9"/>
      <c r="BT340" s="40"/>
    </row>
    <row r="341" spans="45:72" x14ac:dyDescent="0.25">
      <c r="AS341" s="6">
        <v>2.7750735106709672</v>
      </c>
      <c r="AT341" s="6">
        <v>-232.02658004449384</v>
      </c>
      <c r="AU341" s="6">
        <v>60.279359208126465</v>
      </c>
      <c r="AV341" s="6">
        <f t="shared" si="172"/>
        <v>2.8874165682051038</v>
      </c>
      <c r="AW341" s="6">
        <f t="shared" si="173"/>
        <v>0.11234305753413665</v>
      </c>
      <c r="AX341" s="6">
        <f t="shared" si="174"/>
        <v>0.531222078012759</v>
      </c>
      <c r="AY341" s="6">
        <f t="shared" si="175"/>
        <v>0.531222078012759</v>
      </c>
      <c r="BF341" s="40"/>
      <c r="BG341" s="6">
        <f t="shared" si="176"/>
        <v>2.5481807079117069</v>
      </c>
      <c r="BH341" s="9">
        <f t="shared" ca="1" si="177"/>
        <v>-122.65382690349638</v>
      </c>
      <c r="BI341" s="9">
        <f t="shared" ca="1" si="178"/>
        <v>35.870470779431294</v>
      </c>
      <c r="BJ341">
        <f t="shared" ca="1" si="179"/>
        <v>127.79143918123344</v>
      </c>
      <c r="BK341" s="6">
        <f t="shared" ca="1" si="180"/>
        <v>-0.95979689789352074</v>
      </c>
      <c r="BL341" s="6">
        <f t="shared" ca="1" si="181"/>
        <v>0.2806954128481165</v>
      </c>
      <c r="BM341" s="6">
        <f t="shared" ca="1" si="182"/>
        <v>2.8570740793940868</v>
      </c>
      <c r="BN341" s="6">
        <f t="shared" ca="1" si="183"/>
        <v>2.5815390512618963</v>
      </c>
      <c r="BO341" s="9"/>
      <c r="BT341" s="40"/>
    </row>
    <row r="342" spans="45:72" x14ac:dyDescent="0.25">
      <c r="AS342" s="6">
        <v>2.7925268031909103</v>
      </c>
      <c r="AT342" s="6">
        <v>-232.36801329960872</v>
      </c>
      <c r="AU342" s="6">
        <v>59.366233752819575</v>
      </c>
      <c r="AV342" s="6">
        <f t="shared" si="172"/>
        <v>2.8914595818597917</v>
      </c>
      <c r="AW342" s="6">
        <f t="shared" si="173"/>
        <v>9.8932778668881394E-2</v>
      </c>
      <c r="AX342" s="6">
        <f t="shared" si="174"/>
        <v>0.53526509166744685</v>
      </c>
      <c r="AY342" s="6">
        <f t="shared" si="175"/>
        <v>0.53526509166744685</v>
      </c>
      <c r="BF342" s="40"/>
      <c r="BG342" s="6">
        <f t="shared" si="176"/>
        <v>2.56563400043165</v>
      </c>
      <c r="BH342" s="9">
        <f t="shared" ca="1" si="177"/>
        <v>-123.06440686844208</v>
      </c>
      <c r="BI342" s="9">
        <f t="shared" ca="1" si="178"/>
        <v>35.250108534704687</v>
      </c>
      <c r="BJ342">
        <f t="shared" ca="1" si="179"/>
        <v>128.01335238790489</v>
      </c>
      <c r="BK342" s="6">
        <f t="shared" ca="1" si="180"/>
        <v>-0.96134039592630494</v>
      </c>
      <c r="BL342" s="6">
        <f t="shared" ca="1" si="181"/>
        <v>0.27536274831620794</v>
      </c>
      <c r="BM342" s="6">
        <f t="shared" ca="1" si="182"/>
        <v>2.8626256356031048</v>
      </c>
      <c r="BN342" s="6">
        <f t="shared" ca="1" si="183"/>
        <v>2.5870906074709143</v>
      </c>
      <c r="BO342" s="9"/>
      <c r="BT342" s="40"/>
    </row>
    <row r="343" spans="45:72" x14ac:dyDescent="0.25">
      <c r="AS343" s="6">
        <v>2.8099800957108534</v>
      </c>
      <c r="AT343" s="6">
        <v>-232.68731265407351</v>
      </c>
      <c r="AU343" s="6">
        <v>58.464637449996509</v>
      </c>
      <c r="AV343" s="6">
        <f t="shared" si="172"/>
        <v>2.8954299830275976</v>
      </c>
      <c r="AW343" s="6">
        <f t="shared" si="173"/>
        <v>8.5449887316744189E-2</v>
      </c>
      <c r="AX343" s="6">
        <f t="shared" si="174"/>
        <v>0.53923549283525274</v>
      </c>
      <c r="AY343" s="6">
        <f t="shared" si="175"/>
        <v>0.53923549283525274</v>
      </c>
      <c r="BF343" s="40"/>
      <c r="BG343" s="6">
        <f t="shared" si="176"/>
        <v>2.5830872929515931</v>
      </c>
      <c r="BH343" s="9">
        <f t="shared" ca="1" si="177"/>
        <v>-123.47352660622109</v>
      </c>
      <c r="BI343" s="9">
        <f t="shared" ca="1" si="178"/>
        <v>34.607868858985803</v>
      </c>
      <c r="BJ343">
        <f t="shared" ca="1" si="179"/>
        <v>128.23188511262691</v>
      </c>
      <c r="BK343" s="6">
        <f t="shared" ca="1" si="180"/>
        <v>-0.96289254811916292</v>
      </c>
      <c r="BL343" s="6">
        <f t="shared" ca="1" si="181"/>
        <v>0.26988505104319011</v>
      </c>
      <c r="BM343" s="6">
        <f t="shared" ca="1" si="182"/>
        <v>2.8683190029197703</v>
      </c>
      <c r="BN343" s="6">
        <f t="shared" ca="1" si="183"/>
        <v>2.5927839747875794</v>
      </c>
      <c r="BO343" s="9"/>
      <c r="BT343" s="40"/>
    </row>
    <row r="344" spans="45:72" x14ac:dyDescent="0.25">
      <c r="AS344" s="6">
        <v>2.8274333882307965</v>
      </c>
      <c r="AT344" s="6">
        <v>-232.98540324221909</v>
      </c>
      <c r="AU344" s="6">
        <v>57.573814057091312</v>
      </c>
      <c r="AV344" s="6">
        <f t="shared" si="172"/>
        <v>2.8993326346727386</v>
      </c>
      <c r="AW344" s="6">
        <f t="shared" si="173"/>
        <v>7.1899246441942122E-2</v>
      </c>
      <c r="AX344" s="6">
        <f t="shared" si="174"/>
        <v>0.54313814448039377</v>
      </c>
      <c r="AY344" s="6">
        <f t="shared" si="175"/>
        <v>0.54313814448039377</v>
      </c>
      <c r="BF344" s="40"/>
      <c r="BG344" s="6">
        <f t="shared" si="176"/>
        <v>2.6005405854715362</v>
      </c>
      <c r="BH344" s="9">
        <f t="shared" ca="1" si="177"/>
        <v>-123.88166873840002</v>
      </c>
      <c r="BI344" s="9">
        <f t="shared" ca="1" si="178"/>
        <v>33.94178339175091</v>
      </c>
      <c r="BJ344">
        <f t="shared" ca="1" si="179"/>
        <v>128.44731413783325</v>
      </c>
      <c r="BK344" s="6">
        <f t="shared" ca="1" si="180"/>
        <v>-0.96445511196494182</v>
      </c>
      <c r="BL344" s="6">
        <f t="shared" ca="1" si="181"/>
        <v>0.26424673508804492</v>
      </c>
      <c r="BM344" s="6">
        <f t="shared" ca="1" si="182"/>
        <v>2.8741698413414261</v>
      </c>
      <c r="BN344" s="6">
        <f t="shared" ca="1" si="183"/>
        <v>2.5986348132092356</v>
      </c>
      <c r="BO344" s="9"/>
      <c r="BT344" s="40"/>
    </row>
    <row r="345" spans="45:72" x14ac:dyDescent="0.25">
      <c r="AS345" s="6">
        <v>2.8448866807507396</v>
      </c>
      <c r="AT345" s="6">
        <v>-233.26313402470635</v>
      </c>
      <c r="AU345" s="6">
        <v>56.693038278953395</v>
      </c>
      <c r="AV345" s="6">
        <f t="shared" si="172"/>
        <v>2.903172128250481</v>
      </c>
      <c r="AW345" s="6">
        <f t="shared" si="173"/>
        <v>5.8285447499741405E-2</v>
      </c>
      <c r="AX345" s="6">
        <f t="shared" si="174"/>
        <v>0.54697763805813615</v>
      </c>
      <c r="AY345" s="6">
        <f t="shared" si="175"/>
        <v>0.54697763805813615</v>
      </c>
      <c r="BF345" s="40"/>
      <c r="BG345" s="6">
        <f t="shared" si="176"/>
        <v>2.6179938779914793</v>
      </c>
      <c r="BH345" s="9">
        <f t="shared" ca="1" si="177"/>
        <v>-124.28931923122134</v>
      </c>
      <c r="BI345" s="9">
        <f t="shared" ca="1" si="178"/>
        <v>33.249663374998413</v>
      </c>
      <c r="BJ345">
        <f t="shared" ca="1" si="179"/>
        <v>128.65991990325176</v>
      </c>
      <c r="BK345" s="6">
        <f t="shared" ca="1" si="180"/>
        <v>-0.96602981973471636</v>
      </c>
      <c r="BL345" s="6">
        <f t="shared" ca="1" si="181"/>
        <v>0.25843062392702498</v>
      </c>
      <c r="BM345" s="6">
        <f t="shared" ca="1" si="182"/>
        <v>2.8801953673306677</v>
      </c>
      <c r="BN345" s="6">
        <f t="shared" ca="1" si="183"/>
        <v>2.6046603391984773</v>
      </c>
      <c r="BO345" s="9"/>
      <c r="BT345" s="40"/>
    </row>
    <row r="346" spans="45:72" x14ac:dyDescent="0.25">
      <c r="AS346" s="6">
        <v>2.8623399732706827</v>
      </c>
      <c r="AT346" s="6">
        <v>-233.52128327406467</v>
      </c>
      <c r="AU346" s="6">
        <v>55.821613206330177</v>
      </c>
      <c r="AV346" s="6">
        <f t="shared" si="172"/>
        <v>2.9069528085520142</v>
      </c>
      <c r="AW346" s="6">
        <f t="shared" si="173"/>
        <v>4.4612835281331531E-2</v>
      </c>
      <c r="AX346" s="6">
        <f t="shared" si="174"/>
        <v>0.55075831835966937</v>
      </c>
      <c r="AY346" s="6">
        <f t="shared" si="175"/>
        <v>0.55075831835966937</v>
      </c>
      <c r="BF346" s="40"/>
      <c r="BG346" s="6">
        <f t="shared" si="176"/>
        <v>2.6354471705114224</v>
      </c>
      <c r="BH346" s="9">
        <f t="shared" ca="1" si="177"/>
        <v>-124.69697055739827</v>
      </c>
      <c r="BI346" s="9">
        <f t="shared" ca="1" si="178"/>
        <v>32.52906515588527</v>
      </c>
      <c r="BJ346">
        <f t="shared" ca="1" si="179"/>
        <v>128.86999086718552</v>
      </c>
      <c r="BK346" s="6">
        <f t="shared" ca="1" si="180"/>
        <v>-0.96761837040798737</v>
      </c>
      <c r="BL346" s="6">
        <f t="shared" ca="1" si="181"/>
        <v>0.2524176880668052</v>
      </c>
      <c r="BM346" s="6">
        <f t="shared" ca="1" si="182"/>
        <v>2.8864146129097308</v>
      </c>
      <c r="BN346" s="6">
        <f t="shared" ca="1" si="183"/>
        <v>2.6108795847775399</v>
      </c>
      <c r="BO346" s="9"/>
      <c r="BT346" s="40"/>
    </row>
    <row r="347" spans="45:72" x14ac:dyDescent="0.25">
      <c r="AS347" s="6">
        <v>2.8797932657906258</v>
      </c>
      <c r="AT347" s="6">
        <v>-233.76056333983414</v>
      </c>
      <c r="AU347" s="6">
        <v>54.95886793258942</v>
      </c>
      <c r="AV347" s="6">
        <f t="shared" si="172"/>
        <v>2.91067879613145</v>
      </c>
      <c r="AW347" s="6">
        <f t="shared" si="173"/>
        <v>3.0885530340824197E-2</v>
      </c>
      <c r="AX347" s="6">
        <f t="shared" si="174"/>
        <v>0.55448430593910514</v>
      </c>
      <c r="AY347" s="6">
        <f t="shared" si="175"/>
        <v>0.55448430593910514</v>
      </c>
      <c r="BF347" s="40"/>
      <c r="BG347" s="6">
        <f t="shared" si="176"/>
        <v>2.6529004630313655</v>
      </c>
      <c r="BH347" s="9">
        <f t="shared" ca="1" si="177"/>
        <v>-125.10512526184998</v>
      </c>
      <c r="BI347" s="9">
        <f t="shared" ca="1" si="178"/>
        <v>31.777249021299021</v>
      </c>
      <c r="BJ347">
        <f t="shared" ca="1" si="179"/>
        <v>129.07782893334092</v>
      </c>
      <c r="BK347" s="6">
        <f t="shared" ca="1" si="180"/>
        <v>-0.96922241639544038</v>
      </c>
      <c r="BL347" s="6">
        <f t="shared" ca="1" si="181"/>
        <v>0.24618673310433198</v>
      </c>
      <c r="BM347" s="6">
        <f t="shared" ca="1" si="182"/>
        <v>2.8928487333694042</v>
      </c>
      <c r="BN347" s="6">
        <f t="shared" ca="1" si="183"/>
        <v>2.6173137052372137</v>
      </c>
      <c r="BO347" s="9"/>
      <c r="BT347" s="40"/>
    </row>
    <row r="348" spans="45:72" x14ac:dyDescent="0.25">
      <c r="AS348" s="6">
        <v>2.8972465583105689</v>
      </c>
      <c r="AT348" s="6">
        <v>-233.98162500444474</v>
      </c>
      <c r="AU348" s="6">
        <v>54.104155330502891</v>
      </c>
      <c r="AV348" s="6">
        <f t="shared" si="172"/>
        <v>2.9143540078370385</v>
      </c>
      <c r="AW348" s="6">
        <f t="shared" si="173"/>
        <v>1.7107449526469587E-2</v>
      </c>
      <c r="AX348" s="6">
        <f t="shared" si="174"/>
        <v>0.55815951764469363</v>
      </c>
      <c r="AY348" s="6">
        <f t="shared" si="175"/>
        <v>0.55815951764469363</v>
      </c>
      <c r="BF348" s="40"/>
      <c r="BG348" s="6">
        <f t="shared" si="176"/>
        <v>2.6703537555513086</v>
      </c>
      <c r="BH348" s="9">
        <f t="shared" ca="1" si="177"/>
        <v>-125.51429977183894</v>
      </c>
      <c r="BI348" s="9">
        <f t="shared" ca="1" si="178"/>
        <v>30.991129738436022</v>
      </c>
      <c r="BJ348">
        <f t="shared" ca="1" si="179"/>
        <v>129.28375601629006</v>
      </c>
      <c r="BK348" s="6">
        <f t="shared" ca="1" si="180"/>
        <v>-0.97084354322149979</v>
      </c>
      <c r="BL348" s="6">
        <f t="shared" ca="1" si="181"/>
        <v>0.23971402667579575</v>
      </c>
      <c r="BM348" s="6">
        <f t="shared" ca="1" si="182"/>
        <v>2.8995213749674447</v>
      </c>
      <c r="BN348" s="6">
        <f t="shared" ca="1" si="183"/>
        <v>2.6239863468352542</v>
      </c>
      <c r="BO348" s="9"/>
      <c r="BT348" s="40"/>
    </row>
    <row r="349" spans="45:72" x14ac:dyDescent="0.25">
      <c r="AS349" s="6">
        <v>2.914699850830512</v>
      </c>
      <c r="AT349" s="6">
        <v>-234.18506141016638</v>
      </c>
      <c r="AU349" s="6">
        <v>53.256849972664256</v>
      </c>
      <c r="AV349" s="6">
        <f t="shared" si="172"/>
        <v>2.917982175605911</v>
      </c>
      <c r="AW349" s="6">
        <f t="shared" si="173"/>
        <v>3.2823247753990259E-3</v>
      </c>
      <c r="AX349" s="6">
        <f t="shared" si="174"/>
        <v>0.56178768541356616</v>
      </c>
      <c r="AY349" s="6">
        <f t="shared" si="175"/>
        <v>0.56178768541356616</v>
      </c>
      <c r="BF349" s="40"/>
      <c r="BG349" s="6">
        <f>AS336</f>
        <v>2.6878070480712517</v>
      </c>
      <c r="BH349" s="9">
        <f t="shared" ca="1" si="177"/>
        <v>-125.92502859700635</v>
      </c>
      <c r="BI349" s="9">
        <f t="shared" ca="1" si="178"/>
        <v>30.167216752178327</v>
      </c>
      <c r="BJ349">
        <f t="shared" ca="1" si="179"/>
        <v>129.48812221099578</v>
      </c>
      <c r="BK349" s="6">
        <f t="shared" ca="1" si="180"/>
        <v>-0.97248323975087447</v>
      </c>
      <c r="BL349" s="6">
        <f t="shared" ca="1" si="181"/>
        <v>0.23297284906967788</v>
      </c>
      <c r="BM349" s="6">
        <f t="shared" ca="1" si="182"/>
        <v>2.9064591176323904</v>
      </c>
      <c r="BN349" s="6">
        <f t="shared" ca="1" si="183"/>
        <v>2.6309240895001995</v>
      </c>
      <c r="BO349" s="9"/>
      <c r="BT349" s="40"/>
    </row>
    <row r="350" spans="45:72" x14ac:dyDescent="0.25">
      <c r="AS350" s="6">
        <v>2.9321531433504551</v>
      </c>
      <c r="AT350" s="6">
        <v>-234.37141150504777</v>
      </c>
      <c r="AU350" s="6">
        <v>52.416346180654926</v>
      </c>
      <c r="AV350" s="6">
        <f t="shared" si="172"/>
        <v>2.9215668636385064</v>
      </c>
      <c r="AW350" s="6">
        <f t="shared" si="173"/>
        <v>1.0586279711948698E-2</v>
      </c>
      <c r="AX350" s="6">
        <f t="shared" si="174"/>
        <v>0.56537237344616154</v>
      </c>
      <c r="AY350" s="6">
        <f t="shared" si="175"/>
        <v>0.56537237344616154</v>
      </c>
      <c r="BF350" s="40"/>
      <c r="BG350" s="6">
        <f t="shared" ref="BG350:BG361" si="184">AS337</f>
        <v>2.7052603405911948</v>
      </c>
      <c r="BH350" s="9">
        <f t="shared" ca="1" si="177"/>
        <v>-126.33786902438813</v>
      </c>
      <c r="BI350" s="9">
        <f t="shared" ca="1" si="178"/>
        <v>29.301541372352169</v>
      </c>
      <c r="BJ350">
        <f t="shared" ca="1" si="179"/>
        <v>129.6913161180004</v>
      </c>
      <c r="BK350" s="6">
        <f t="shared" ca="1" si="180"/>
        <v>-0.97414285555895574</v>
      </c>
      <c r="BL350" s="6">
        <f t="shared" ca="1" si="181"/>
        <v>0.22593294793686872</v>
      </c>
      <c r="BM350" s="6">
        <f t="shared" ca="1" si="182"/>
        <v>2.9136920119810781</v>
      </c>
      <c r="BN350" s="6">
        <f t="shared" ca="1" si="183"/>
        <v>2.6381569838488872</v>
      </c>
      <c r="BO350" s="9"/>
      <c r="BT350" s="40"/>
    </row>
    <row r="351" spans="45:72" x14ac:dyDescent="0.25">
      <c r="AS351" s="6">
        <v>2.9496064358703982</v>
      </c>
      <c r="AT351" s="6">
        <v>-234.54116318382296</v>
      </c>
      <c r="AU351" s="6">
        <v>51.582056189422175</v>
      </c>
      <c r="AV351" s="6">
        <f t="shared" si="172"/>
        <v>2.9251114842647086</v>
      </c>
      <c r="AW351" s="6">
        <f t="shared" si="173"/>
        <v>2.4494951605689597E-2</v>
      </c>
      <c r="AX351" s="6">
        <f t="shared" si="174"/>
        <v>0.56891699407236374</v>
      </c>
      <c r="AY351" s="6">
        <f t="shared" si="175"/>
        <v>0.56891699407236374</v>
      </c>
      <c r="BF351" s="40"/>
      <c r="BG351" s="6">
        <f t="shared" si="184"/>
        <v>2.7227136331111379</v>
      </c>
      <c r="BH351" s="9">
        <f t="shared" ca="1" si="177"/>
        <v>-126.75340655670998</v>
      </c>
      <c r="BI351" s="9">
        <f t="shared" ca="1" si="178"/>
        <v>28.389567459895439</v>
      </c>
      <c r="BJ351">
        <f t="shared" ca="1" si="179"/>
        <v>129.89377819699666</v>
      </c>
      <c r="BK351" s="6">
        <f t="shared" ca="1" si="180"/>
        <v>-0.97582354071244271</v>
      </c>
      <c r="BL351" s="6">
        <f t="shared" ca="1" si="181"/>
        <v>0.21855987141154576</v>
      </c>
      <c r="BM351" s="6">
        <f t="shared" ca="1" si="182"/>
        <v>2.9212542360298968</v>
      </c>
      <c r="BN351" s="6">
        <f t="shared" ca="1" si="183"/>
        <v>2.6457192078977059</v>
      </c>
      <c r="BO351" s="9"/>
      <c r="BT351" s="40"/>
    </row>
    <row r="352" spans="45:72" x14ac:dyDescent="0.25">
      <c r="AS352" s="6">
        <v>2.9670597283903413</v>
      </c>
      <c r="AT352" s="6">
        <v>-234.69475606577819</v>
      </c>
      <c r="AU352" s="6">
        <v>50.753408414519441</v>
      </c>
      <c r="AV352" s="6">
        <f t="shared" si="172"/>
        <v>2.9286193125752895</v>
      </c>
      <c r="AW352" s="6">
        <f t="shared" si="173"/>
        <v>3.8440415815051754E-2</v>
      </c>
      <c r="AX352" s="6">
        <f t="shared" si="174"/>
        <v>0.57242482238294468</v>
      </c>
      <c r="AY352" s="6">
        <f t="shared" si="175"/>
        <v>0.57242482238294468</v>
      </c>
      <c r="BF352" s="40"/>
      <c r="BG352" s="6">
        <f t="shared" si="184"/>
        <v>2.740166925631081</v>
      </c>
      <c r="BH352" s="9">
        <f t="shared" ca="1" si="177"/>
        <v>-127.16588005410354</v>
      </c>
      <c r="BI352" s="9">
        <f t="shared" ca="1" si="178"/>
        <v>27.440956036003271</v>
      </c>
      <c r="BJ352">
        <f t="shared" ca="1" si="179"/>
        <v>130.09291724803666</v>
      </c>
      <c r="BK352" s="6">
        <f t="shared" ca="1" si="180"/>
        <v>-0.97750041081519912</v>
      </c>
      <c r="BL352" s="6">
        <f t="shared" ca="1" si="181"/>
        <v>0.21093351288052084</v>
      </c>
      <c r="BM352" s="6">
        <f t="shared" ca="1" si="182"/>
        <v>2.9290627920807348</v>
      </c>
      <c r="BN352" s="6">
        <f t="shared" ca="1" si="183"/>
        <v>2.6535277639485439</v>
      </c>
      <c r="BO352" s="9"/>
      <c r="BT352" s="40"/>
    </row>
    <row r="353" spans="45:72" x14ac:dyDescent="0.25">
      <c r="AS353" s="6">
        <v>2.9845130209102844</v>
      </c>
      <c r="AT353" s="6">
        <v>-234.83258396672113</v>
      </c>
      <c r="AU353" s="6">
        <v>49.92984581089712</v>
      </c>
      <c r="AV353" s="6">
        <f t="shared" si="172"/>
        <v>2.9320934999884734</v>
      </c>
      <c r="AW353" s="6">
        <f t="shared" si="173"/>
        <v>5.2419520921811014E-2</v>
      </c>
      <c r="AX353" s="6">
        <f t="shared" si="174"/>
        <v>0.57589900979612851</v>
      </c>
      <c r="AY353" s="6">
        <f t="shared" si="175"/>
        <v>0.57589900979612851</v>
      </c>
      <c r="BF353" s="40"/>
      <c r="BG353" s="6">
        <f t="shared" si="184"/>
        <v>2.7576202181510241</v>
      </c>
      <c r="BH353" s="9">
        <f t="shared" ca="1" si="177"/>
        <v>-127.55469157895884</v>
      </c>
      <c r="BI353" s="9">
        <f t="shared" ca="1" si="178"/>
        <v>26.502365737816106</v>
      </c>
      <c r="BJ353">
        <f t="shared" ca="1" si="179"/>
        <v>130.27883455690062</v>
      </c>
      <c r="BK353" s="6">
        <f t="shared" ca="1" si="180"/>
        <v>-0.97908990368844617</v>
      </c>
      <c r="BL353" s="6">
        <f t="shared" ca="1" si="181"/>
        <v>0.20342802288610376</v>
      </c>
      <c r="BM353" s="6">
        <f t="shared" ca="1" si="182"/>
        <v>2.936734764209846</v>
      </c>
      <c r="BN353" s="6">
        <f t="shared" ca="1" si="183"/>
        <v>2.6611997360776556</v>
      </c>
      <c r="BO353" s="9"/>
      <c r="BT353" s="40"/>
    </row>
    <row r="354" spans="45:72" x14ac:dyDescent="0.25">
      <c r="AS354" s="6">
        <v>3.0019663134302275</v>
      </c>
      <c r="AT354" s="6">
        <v>-234.95499708866316</v>
      </c>
      <c r="AU354" s="6">
        <v>49.110824312840677</v>
      </c>
      <c r="AV354" s="6">
        <f t="shared" si="172"/>
        <v>2.9355370868775559</v>
      </c>
      <c r="AW354" s="6">
        <f t="shared" si="173"/>
        <v>6.6429226552671583E-2</v>
      </c>
      <c r="AX354" s="6">
        <f t="shared" si="174"/>
        <v>0.57934259668521104</v>
      </c>
      <c r="AY354" s="6">
        <f t="shared" si="175"/>
        <v>0.57934259668521104</v>
      </c>
      <c r="BF354" s="40"/>
      <c r="BG354" s="6">
        <f t="shared" si="184"/>
        <v>2.7750735106709672</v>
      </c>
      <c r="BH354" s="9">
        <f t="shared" ca="1" si="177"/>
        <v>-127.91926596043838</v>
      </c>
      <c r="BI354" s="9">
        <f t="shared" ca="1" si="178"/>
        <v>25.576921180107981</v>
      </c>
      <c r="BJ354">
        <f t="shared" ca="1" si="179"/>
        <v>130.45120735704529</v>
      </c>
      <c r="BK354" s="6">
        <f t="shared" ca="1" si="180"/>
        <v>-0.98059089334698923</v>
      </c>
      <c r="BL354" s="6">
        <f t="shared" ca="1" si="181"/>
        <v>0.19606503993561272</v>
      </c>
      <c r="BM354" s="6">
        <f t="shared" ca="1" si="182"/>
        <v>2.9442492005554164</v>
      </c>
      <c r="BN354" s="6">
        <f t="shared" ca="1" si="183"/>
        <v>2.6687141724232255</v>
      </c>
      <c r="BO354" s="9"/>
      <c r="BT354" s="40"/>
    </row>
    <row r="355" spans="45:72" x14ac:dyDescent="0.25">
      <c r="AS355" s="6">
        <v>3.0194196059501706</v>
      </c>
      <c r="AT355" s="6">
        <v>-235.06230388884632</v>
      </c>
      <c r="AU355" s="6">
        <v>48.295811345444243</v>
      </c>
      <c r="AV355" s="6">
        <f t="shared" si="172"/>
        <v>2.9389530143234359</v>
      </c>
      <c r="AW355" s="6">
        <f t="shared" si="173"/>
        <v>8.046659162673464E-2</v>
      </c>
      <c r="AX355" s="6">
        <f t="shared" si="174"/>
        <v>0.58275852413109108</v>
      </c>
      <c r="AY355" s="6">
        <f t="shared" si="175"/>
        <v>0.58275852413109108</v>
      </c>
      <c r="BF355" s="40"/>
      <c r="BG355" s="6">
        <f t="shared" si="184"/>
        <v>2.7925268031909103</v>
      </c>
      <c r="BH355" s="9">
        <f t="shared" ca="1" si="177"/>
        <v>-128.26069921555325</v>
      </c>
      <c r="BI355" s="9">
        <f t="shared" ca="1" si="178"/>
        <v>24.663795724801091</v>
      </c>
      <c r="BJ355">
        <f t="shared" ca="1" si="179"/>
        <v>130.61052707503075</v>
      </c>
      <c r="BK355" s="6">
        <f t="shared" ca="1" si="180"/>
        <v>-0.98200889383037548</v>
      </c>
      <c r="BL355" s="6">
        <f t="shared" ca="1" si="181"/>
        <v>0.18883466958702866</v>
      </c>
      <c r="BM355" s="6">
        <f t="shared" ca="1" si="182"/>
        <v>2.9516173228642635</v>
      </c>
      <c r="BN355" s="6">
        <f t="shared" ca="1" si="183"/>
        <v>2.6760822947320726</v>
      </c>
      <c r="BO355" s="9"/>
      <c r="BT355" s="40"/>
    </row>
    <row r="356" spans="45:72" x14ac:dyDescent="0.25">
      <c r="AS356" s="6">
        <v>3.0368728984701137</v>
      </c>
      <c r="AT356" s="6">
        <v>-235.1547728348437</v>
      </c>
      <c r="AU356" s="6">
        <v>47.484284398695486</v>
      </c>
      <c r="AV356" s="6">
        <f t="shared" si="172"/>
        <v>2.9423441352559396</v>
      </c>
      <c r="AW356" s="6">
        <f t="shared" si="173"/>
        <v>9.4528763214174027E-2</v>
      </c>
      <c r="AX356" s="6">
        <f t="shared" si="174"/>
        <v>0.58614964506359479</v>
      </c>
      <c r="AY356" s="6">
        <f t="shared" si="175"/>
        <v>0.58614964506359479</v>
      </c>
      <c r="BF356" s="40"/>
      <c r="BG356" s="6">
        <f t="shared" si="184"/>
        <v>2.8099800957108534</v>
      </c>
      <c r="BH356" s="9">
        <f t="shared" ca="1" si="177"/>
        <v>-128.57999857001806</v>
      </c>
      <c r="BI356" s="9">
        <f t="shared" ca="1" si="178"/>
        <v>23.762199421978025</v>
      </c>
      <c r="BJ356">
        <f t="shared" ca="1" si="179"/>
        <v>130.75724895253686</v>
      </c>
      <c r="BK356" s="6">
        <f t="shared" ca="1" si="180"/>
        <v>-0.98334891258450152</v>
      </c>
      <c r="BL356" s="6">
        <f t="shared" ca="1" si="181"/>
        <v>0.18172758766593039</v>
      </c>
      <c r="BM356" s="6">
        <f t="shared" ca="1" si="182"/>
        <v>2.9588496455680451</v>
      </c>
      <c r="BN356" s="6">
        <f t="shared" ca="1" si="183"/>
        <v>2.6833146174358546</v>
      </c>
      <c r="BO356" s="9"/>
      <c r="BT356" s="40"/>
    </row>
    <row r="357" spans="45:72" x14ac:dyDescent="0.25">
      <c r="AS357" s="6">
        <v>3.0543261909900568</v>
      </c>
      <c r="AT357" s="6">
        <v>-235.23263379713515</v>
      </c>
      <c r="AU357" s="6">
        <v>46.675729655840826</v>
      </c>
      <c r="AV357" s="6">
        <f t="shared" si="172"/>
        <v>2.9457132248504241</v>
      </c>
      <c r="AW357" s="6">
        <f t="shared" si="173"/>
        <v>0.10861296613963267</v>
      </c>
      <c r="AX357" s="6">
        <f t="shared" si="174"/>
        <v>0.58951873465807925</v>
      </c>
      <c r="AY357" s="6">
        <f t="shared" si="175"/>
        <v>0.58951873465807925</v>
      </c>
      <c r="BF357" s="40"/>
      <c r="BG357" s="6">
        <f t="shared" si="184"/>
        <v>2.8274333882307965</v>
      </c>
      <c r="BH357" s="9">
        <f t="shared" ca="1" si="177"/>
        <v>-128.87808915816362</v>
      </c>
      <c r="BI357" s="9">
        <f t="shared" ca="1" si="178"/>
        <v>22.871376029072827</v>
      </c>
      <c r="BJ357">
        <f t="shared" ca="1" si="179"/>
        <v>130.89179388534188</v>
      </c>
      <c r="BK357" s="6">
        <f t="shared" ca="1" si="180"/>
        <v>-0.98461550057949221</v>
      </c>
      <c r="BL357" s="6">
        <f t="shared" ca="1" si="181"/>
        <v>0.17473498796347472</v>
      </c>
      <c r="BM357" s="6">
        <f t="shared" ca="1" si="182"/>
        <v>2.965956044675607</v>
      </c>
      <c r="BN357" s="6">
        <f t="shared" ca="1" si="183"/>
        <v>2.6904210165434161</v>
      </c>
      <c r="BO357" s="9"/>
      <c r="BT357" s="40"/>
    </row>
    <row r="358" spans="45:72" x14ac:dyDescent="0.25">
      <c r="AS358" s="6">
        <v>3.0717794835099999</v>
      </c>
      <c r="AT358" s="6">
        <v>-235.2960792308964</v>
      </c>
      <c r="AU358" s="6">
        <v>45.869640668208064</v>
      </c>
      <c r="AV358" s="6">
        <f t="shared" si="172"/>
        <v>2.9490629903882422</v>
      </c>
      <c r="AW358" s="6">
        <f t="shared" si="173"/>
        <v>0.1227164931217577</v>
      </c>
      <c r="AX358" s="6">
        <f t="shared" si="174"/>
        <v>0.59286850019589732</v>
      </c>
      <c r="AY358" s="6">
        <f t="shared" si="175"/>
        <v>0.59286850019589732</v>
      </c>
      <c r="BF358" s="40"/>
      <c r="BG358" s="6">
        <f t="shared" si="184"/>
        <v>2.8448866807507396</v>
      </c>
      <c r="BH358" s="9">
        <f t="shared" ca="1" si="177"/>
        <v>-129.15581994065087</v>
      </c>
      <c r="BI358" s="9">
        <f t="shared" ca="1" si="178"/>
        <v>21.990600250934911</v>
      </c>
      <c r="BJ358">
        <f t="shared" ca="1" si="179"/>
        <v>131.01455004669614</v>
      </c>
      <c r="BK358" s="6">
        <f t="shared" ca="1" si="180"/>
        <v>-0.98581279632389851</v>
      </c>
      <c r="BL358" s="6">
        <f t="shared" ca="1" si="181"/>
        <v>0.16784853470929018</v>
      </c>
      <c r="BM358" s="6">
        <f t="shared" ca="1" si="182"/>
        <v>2.9729458196675616</v>
      </c>
      <c r="BN358" s="6">
        <f t="shared" ca="1" si="183"/>
        <v>2.6974107915353711</v>
      </c>
      <c r="BO358" s="9"/>
      <c r="BT358" s="40"/>
    </row>
    <row r="359" spans="45:72" x14ac:dyDescent="0.25">
      <c r="AS359" s="6">
        <v>3.089232776029943</v>
      </c>
      <c r="AT359" s="6">
        <v>-235.34526529431051</v>
      </c>
      <c r="AU359" s="6">
        <v>45.065517069092529</v>
      </c>
      <c r="AV359" s="6">
        <f t="shared" si="172"/>
        <v>2.9523960807659533</v>
      </c>
      <c r="AW359" s="6">
        <f t="shared" si="173"/>
        <v>0.13683669526398967</v>
      </c>
      <c r="AX359" s="6">
        <f t="shared" si="174"/>
        <v>0.59620159057360844</v>
      </c>
      <c r="AY359" s="6">
        <f t="shared" si="175"/>
        <v>0.59620159057360844</v>
      </c>
      <c r="BF359" s="40"/>
      <c r="BG359" s="6">
        <f t="shared" si="184"/>
        <v>2.8623399732706827</v>
      </c>
      <c r="BH359" s="9">
        <f t="shared" ca="1" si="177"/>
        <v>-129.4139691900092</v>
      </c>
      <c r="BI359" s="9">
        <f t="shared" ca="1" si="178"/>
        <v>21.119175178311693</v>
      </c>
      <c r="BJ359">
        <f t="shared" ca="1" si="179"/>
        <v>131.12587456991417</v>
      </c>
      <c r="BK359" s="6">
        <f t="shared" ca="1" si="180"/>
        <v>-0.98694456463669022</v>
      </c>
      <c r="BL359" s="6">
        <f t="shared" ca="1" si="181"/>
        <v>0.16106031893080944</v>
      </c>
      <c r="BM359" s="6">
        <f t="shared" ca="1" si="182"/>
        <v>2.9798277496214678</v>
      </c>
      <c r="BN359" s="6">
        <f t="shared" ca="1" si="183"/>
        <v>2.7042927214892769</v>
      </c>
      <c r="BO359" s="9"/>
      <c r="BT359" s="40"/>
    </row>
    <row r="360" spans="45:72" x14ac:dyDescent="0.25">
      <c r="AS360" s="6">
        <v>3.106686068549886</v>
      </c>
      <c r="AT360" s="6">
        <v>-235.38031259617901</v>
      </c>
      <c r="AU360" s="6">
        <v>44.262863319672164</v>
      </c>
      <c r="AV360" s="6">
        <f t="shared" si="172"/>
        <v>2.955715095468904</v>
      </c>
      <c r="AW360" s="6">
        <f t="shared" si="173"/>
        <v>0.15097097308098206</v>
      </c>
      <c r="AX360" s="6">
        <f t="shared" si="174"/>
        <v>0.59952060527655915</v>
      </c>
      <c r="AY360" s="6">
        <f t="shared" si="175"/>
        <v>0.59952060527655915</v>
      </c>
      <c r="BF360" s="40"/>
      <c r="BG360" s="6">
        <f t="shared" si="184"/>
        <v>2.8797932657906258</v>
      </c>
      <c r="BH360" s="9">
        <f t="shared" ca="1" si="177"/>
        <v>-129.65324925577869</v>
      </c>
      <c r="BI360" s="9">
        <f t="shared" ca="1" si="178"/>
        <v>20.256429904570936</v>
      </c>
      <c r="BJ360">
        <f t="shared" ca="1" si="179"/>
        <v>131.2260949470793</v>
      </c>
      <c r="BK360" s="6">
        <f t="shared" ca="1" si="180"/>
        <v>-0.98801423076763117</v>
      </c>
      <c r="BL360" s="6">
        <f t="shared" ca="1" si="181"/>
        <v>0.15436281871178079</v>
      </c>
      <c r="BM360" s="6">
        <f t="shared" ca="1" si="182"/>
        <v>2.9866101438267108</v>
      </c>
      <c r="BN360" s="6">
        <f t="shared" ca="1" si="183"/>
        <v>2.7110751156945199</v>
      </c>
      <c r="BO360" s="9"/>
      <c r="BT360" s="40"/>
    </row>
    <row r="361" spans="45:72" x14ac:dyDescent="0.25">
      <c r="AS361" s="6">
        <v>3.1241393610698291</v>
      </c>
      <c r="AT361" s="6">
        <v>-235.40130681248536</v>
      </c>
      <c r="AU361" s="6">
        <v>43.461187480206156</v>
      </c>
      <c r="AV361" s="6">
        <f t="shared" si="172"/>
        <v>2.9590225932699497</v>
      </c>
      <c r="AW361" s="6">
        <f t="shared" si="173"/>
        <v>0.16511676779987949</v>
      </c>
      <c r="AX361" s="6">
        <f t="shared" si="174"/>
        <v>0.60282810307760482</v>
      </c>
      <c r="AY361" s="6">
        <f t="shared" si="175"/>
        <v>0.60282810307760482</v>
      </c>
      <c r="BF361" s="40"/>
      <c r="BG361" s="6">
        <f t="shared" si="184"/>
        <v>2.8972465583105689</v>
      </c>
      <c r="BH361" s="9">
        <f t="shared" ca="1" si="177"/>
        <v>-129.87431092038929</v>
      </c>
      <c r="BI361" s="9">
        <f t="shared" ca="1" si="178"/>
        <v>19.401717302484407</v>
      </c>
      <c r="BJ361">
        <f t="shared" ca="1" si="179"/>
        <v>131.31551039892992</v>
      </c>
      <c r="BK361" s="6">
        <f t="shared" ca="1" si="180"/>
        <v>-0.98902491050628871</v>
      </c>
      <c r="BL361" s="6">
        <f t="shared" ca="1" si="181"/>
        <v>0.1477488625947001</v>
      </c>
      <c r="BM361" s="6">
        <f t="shared" ca="1" si="182"/>
        <v>2.9933008878849252</v>
      </c>
      <c r="BN361" s="6">
        <f t="shared" ca="1" si="183"/>
        <v>2.7177658597527348</v>
      </c>
      <c r="BO361" s="9"/>
      <c r="BT361" s="40"/>
    </row>
    <row r="362" spans="45:72" x14ac:dyDescent="0.25">
      <c r="AS362" s="6">
        <v>3.1415926535897722</v>
      </c>
      <c r="AT362" s="6">
        <v>-235.40829919721787</v>
      </c>
      <c r="AU362" s="6">
        <v>42.660000000000977</v>
      </c>
      <c r="AV362" s="6">
        <f t="shared" si="172"/>
        <v>2.9623211007271202</v>
      </c>
      <c r="AW362" s="6">
        <f t="shared" si="173"/>
        <v>0.17927155286265206</v>
      </c>
      <c r="AX362" s="6">
        <f t="shared" si="174"/>
        <v>0.60612661053477535</v>
      </c>
      <c r="AY362" s="6">
        <f t="shared" si="175"/>
        <v>0.60612661053477535</v>
      </c>
      <c r="BF362" s="40"/>
      <c r="BG362" s="6">
        <f>AS349</f>
        <v>2.914699850830512</v>
      </c>
      <c r="BH362" s="9">
        <f t="shared" ca="1" si="177"/>
        <v>-130.07774732611091</v>
      </c>
      <c r="BI362" s="9">
        <f t="shared" ca="1" si="178"/>
        <v>18.554411944645771</v>
      </c>
      <c r="BJ362">
        <f t="shared" ca="1" si="179"/>
        <v>131.39439315300774</v>
      </c>
      <c r="BK362" s="6">
        <f t="shared" ca="1" si="180"/>
        <v>-0.98997943675295486</v>
      </c>
      <c r="BL362" s="6">
        <f t="shared" ca="1" si="181"/>
        <v>0.14121159586344986</v>
      </c>
      <c r="BM362" s="6">
        <f t="shared" ca="1" si="182"/>
        <v>2.9999074857557577</v>
      </c>
      <c r="BN362" s="6">
        <f t="shared" ca="1" si="183"/>
        <v>2.7243724576235673</v>
      </c>
      <c r="BO362" s="9"/>
      <c r="BT362" s="40"/>
    </row>
    <row r="363" spans="45:72" x14ac:dyDescent="0.25">
      <c r="AT363" s="6">
        <f>SUM(AT2:AT362)</f>
        <v>-44238.144195741632</v>
      </c>
      <c r="AU363" s="6">
        <f>SUM(AU2:AU362)</f>
        <v>13144.608321833195</v>
      </c>
      <c r="BG363" s="6">
        <f t="shared" ref="BG363:BG368" si="185">AS350</f>
        <v>2.9321531433504551</v>
      </c>
      <c r="BH363" s="9">
        <f t="shared" ca="1" si="177"/>
        <v>-130.2640974209923</v>
      </c>
      <c r="BI363" s="9">
        <f t="shared" ca="1" si="178"/>
        <v>17.713908152636442</v>
      </c>
      <c r="BJ363">
        <f t="shared" ca="1" si="179"/>
        <v>131.46298954057684</v>
      </c>
      <c r="BK363" s="6">
        <f t="shared" ca="1" si="180"/>
        <v>-0.9908803829596885</v>
      </c>
      <c r="BL363" s="6">
        <f t="shared" ca="1" si="181"/>
        <v>0.13474444947997274</v>
      </c>
      <c r="BM363" s="6">
        <f t="shared" ca="1" si="182"/>
        <v>3.0064370981406618</v>
      </c>
      <c r="BN363" s="6">
        <f t="shared" ca="1" si="183"/>
        <v>2.7309020700084714</v>
      </c>
      <c r="BO363" s="9"/>
      <c r="BT363" s="40"/>
    </row>
    <row r="364" spans="45:72" x14ac:dyDescent="0.25">
      <c r="AT364" s="6">
        <f>AT363/360</f>
        <v>-122.8837338770601</v>
      </c>
      <c r="AU364" s="6">
        <f>AU363/360</f>
        <v>36.512800893981094</v>
      </c>
      <c r="BG364" s="6">
        <f t="shared" si="185"/>
        <v>2.9496064358703982</v>
      </c>
      <c r="BH364" s="9">
        <f t="shared" ca="1" si="177"/>
        <v>-130.43384909976749</v>
      </c>
      <c r="BI364" s="9">
        <f t="shared" ca="1" si="178"/>
        <v>16.879618161403691</v>
      </c>
      <c r="BJ364">
        <f t="shared" ca="1" si="179"/>
        <v>131.52152105361199</v>
      </c>
      <c r="BK364" s="6">
        <f t="shared" ca="1" si="180"/>
        <v>-0.99173008382862959</v>
      </c>
      <c r="BL364" s="6">
        <f t="shared" ca="1" si="181"/>
        <v>0.12834111122029276</v>
      </c>
      <c r="BM364" s="6">
        <f t="shared" ca="1" si="182"/>
        <v>3.0128965778035144</v>
      </c>
      <c r="BN364" s="6">
        <f t="shared" ca="1" si="183"/>
        <v>2.7373615496713235</v>
      </c>
      <c r="BO364" s="9"/>
      <c r="BT364" s="40"/>
    </row>
    <row r="365" spans="45:72" x14ac:dyDescent="0.25">
      <c r="BG365" s="6">
        <f t="shared" si="185"/>
        <v>2.9670597283903413</v>
      </c>
      <c r="BH365" s="9">
        <f t="shared" ca="1" si="177"/>
        <v>-130.58744198172275</v>
      </c>
      <c r="BI365" s="9">
        <f t="shared" ca="1" si="178"/>
        <v>16.050970386500957</v>
      </c>
      <c r="BJ365">
        <f t="shared" ca="1" si="179"/>
        <v>131.57018527644527</v>
      </c>
      <c r="BK365" s="6">
        <f t="shared" ca="1" si="180"/>
        <v>-0.99253065356214509</v>
      </c>
      <c r="BL365" s="6">
        <f t="shared" ca="1" si="181"/>
        <v>0.12199549884934704</v>
      </c>
      <c r="BM365" s="6">
        <f t="shared" ca="1" si="182"/>
        <v>3.0192925021084656</v>
      </c>
      <c r="BN365" s="6">
        <f t="shared" ca="1" si="183"/>
        <v>2.7437574739762747</v>
      </c>
      <c r="BO365" s="9"/>
      <c r="BT365" s="40"/>
    </row>
    <row r="366" spans="45:72" x14ac:dyDescent="0.25">
      <c r="BG366" s="6">
        <f t="shared" si="185"/>
        <v>2.9845130209102844</v>
      </c>
      <c r="BH366" s="9">
        <f t="shared" ca="1" si="177"/>
        <v>-130.72526988266566</v>
      </c>
      <c r="BI366" s="9">
        <f t="shared" ca="1" si="178"/>
        <v>15.227407782878636</v>
      </c>
      <c r="BJ366">
        <f t="shared" ca="1" si="179"/>
        <v>131.60915672430184</v>
      </c>
      <c r="BK366" s="6">
        <f t="shared" ca="1" si="180"/>
        <v>-0.99328400193697941</v>
      </c>
      <c r="BL366" s="6">
        <f t="shared" ca="1" si="181"/>
        <v>0.11570173506071003</v>
      </c>
      <c r="BM366" s="6">
        <f t="shared" ca="1" si="182"/>
        <v>3.0256312031529271</v>
      </c>
      <c r="BN366" s="6">
        <f t="shared" ca="1" si="183"/>
        <v>2.7500961750207367</v>
      </c>
      <c r="BO366" s="9"/>
      <c r="BT366" s="40"/>
    </row>
    <row r="367" spans="45:72" x14ac:dyDescent="0.25">
      <c r="BG367" s="6">
        <f t="shared" si="185"/>
        <v>3.0019663134302275</v>
      </c>
      <c r="BH367" s="9">
        <f t="shared" ca="1" si="177"/>
        <v>-130.84768300460769</v>
      </c>
      <c r="BI367" s="9">
        <f t="shared" ca="1" si="178"/>
        <v>14.408386284822193</v>
      </c>
      <c r="BJ367">
        <f t="shared" ca="1" si="179"/>
        <v>131.6385875912035</v>
      </c>
      <c r="BK367" s="6">
        <f t="shared" ca="1" si="180"/>
        <v>-0.99399184843085731</v>
      </c>
      <c r="BL367" s="6">
        <f t="shared" ca="1" si="181"/>
        <v>0.10945412396528179</v>
      </c>
      <c r="BM367" s="6">
        <f t="shared" ca="1" si="182"/>
        <v>3.0319187958005172</v>
      </c>
      <c r="BN367" s="6">
        <f t="shared" ca="1" si="183"/>
        <v>2.7563837676683267</v>
      </c>
      <c r="BO367" s="9"/>
      <c r="BT367" s="40"/>
    </row>
    <row r="368" spans="45:72" x14ac:dyDescent="0.25">
      <c r="BG368" s="6">
        <f t="shared" si="185"/>
        <v>3.0194196059501706</v>
      </c>
      <c r="BH368" s="9">
        <f t="shared" ca="1" si="177"/>
        <v>-130.95498980479084</v>
      </c>
      <c r="BI368" s="9">
        <f t="shared" ca="1" si="178"/>
        <v>13.593373317425758</v>
      </c>
      <c r="BJ368">
        <f t="shared" ca="1" si="179"/>
        <v>131.65860835099153</v>
      </c>
      <c r="BK368" s="6">
        <f t="shared" ca="1" si="180"/>
        <v>-0.99465573459256917</v>
      </c>
      <c r="BL368" s="6">
        <f t="shared" ca="1" si="181"/>
        <v>0.10324712897759705</v>
      </c>
      <c r="BM368" s="6">
        <f t="shared" ca="1" si="182"/>
        <v>3.0381612038416943</v>
      </c>
      <c r="BN368" s="6">
        <f t="shared" ca="1" si="183"/>
        <v>2.7626261757095039</v>
      </c>
      <c r="BO368" s="9"/>
      <c r="BT368" s="40"/>
    </row>
    <row r="369" spans="59:72" x14ac:dyDescent="0.25">
      <c r="BG369" s="6">
        <f>AS356</f>
        <v>3.0368728984701137</v>
      </c>
      <c r="BH369" s="9">
        <f t="shared" ca="1" si="177"/>
        <v>-131.04745875078822</v>
      </c>
      <c r="BI369" s="9">
        <f t="shared" ca="1" si="178"/>
        <v>12.781846370677002</v>
      </c>
      <c r="BJ369">
        <f t="shared" ca="1" si="179"/>
        <v>131.66932840142815</v>
      </c>
      <c r="BK369" s="6">
        <f t="shared" ca="1" si="180"/>
        <v>-0.99527703484030849</v>
      </c>
      <c r="BL369" s="6">
        <f t="shared" ca="1" si="181"/>
        <v>9.7075351760800538E-2</v>
      </c>
      <c r="BM369" s="6">
        <f t="shared" ca="1" si="182"/>
        <v>3.0443641846883973</v>
      </c>
      <c r="BN369" s="6">
        <f t="shared" ca="1" si="183"/>
        <v>2.7688291565562064</v>
      </c>
      <c r="BO369" s="9"/>
      <c r="BT369" s="40"/>
    </row>
    <row r="370" spans="59:72" x14ac:dyDescent="0.25">
      <c r="BG370" s="6">
        <f t="shared" ref="BG370:BG373" si="186">AS357</f>
        <v>3.0543261909900568</v>
      </c>
      <c r="BH370" s="9">
        <f t="shared" ca="1" si="177"/>
        <v>-131.1253197130797</v>
      </c>
      <c r="BI370" s="9">
        <f t="shared" ca="1" si="178"/>
        <v>11.973291627822341</v>
      </c>
      <c r="BJ370">
        <f t="shared" ca="1" si="179"/>
        <v>131.67083649108579</v>
      </c>
      <c r="BK370" s="6">
        <f t="shared" ca="1" si="180"/>
        <v>-0.99585696580546124</v>
      </c>
      <c r="BL370" s="6">
        <f t="shared" ca="1" si="181"/>
        <v>9.0933512286397164E-2</v>
      </c>
      <c r="BM370" s="6">
        <f t="shared" ca="1" si="182"/>
        <v>3.0505333526029941</v>
      </c>
      <c r="BN370" s="6">
        <f t="shared" ca="1" si="183"/>
        <v>2.7749983244708032</v>
      </c>
      <c r="BO370" s="9"/>
      <c r="BT370" s="40"/>
    </row>
    <row r="371" spans="59:72" x14ac:dyDescent="0.25">
      <c r="BG371" s="6">
        <f t="shared" si="186"/>
        <v>3.0717794835099999</v>
      </c>
      <c r="BH371" s="9">
        <f t="shared" ca="1" si="177"/>
        <v>-131.18876514684092</v>
      </c>
      <c r="BI371" s="9">
        <f t="shared" ca="1" si="178"/>
        <v>11.167202640189579</v>
      </c>
      <c r="BJ371">
        <f t="shared" ca="1" si="179"/>
        <v>131.66320106833209</v>
      </c>
      <c r="BK371" s="6">
        <f t="shared" ca="1" si="180"/>
        <v>-0.99639659435862471</v>
      </c>
      <c r="BL371" s="6">
        <f t="shared" ca="1" si="181"/>
        <v>8.4816429720510109E-2</v>
      </c>
      <c r="BM371" s="6">
        <f t="shared" ca="1" si="182"/>
        <v>3.056674200801484</v>
      </c>
      <c r="BN371" s="6">
        <f t="shared" ca="1" si="183"/>
        <v>2.7811391726692936</v>
      </c>
      <c r="BO371" s="9"/>
      <c r="BT371" s="40"/>
    </row>
    <row r="372" spans="59:72" x14ac:dyDescent="0.25">
      <c r="BG372" s="6">
        <f t="shared" si="186"/>
        <v>3.089232776029943</v>
      </c>
      <c r="BH372" s="9">
        <f t="shared" ca="1" si="177"/>
        <v>-131.23795121025506</v>
      </c>
      <c r="BI372" s="9">
        <f t="shared" ca="1" si="178"/>
        <v>10.363079041074045</v>
      </c>
      <c r="BJ372">
        <f t="shared" ca="1" si="179"/>
        <v>131.64647068978658</v>
      </c>
      <c r="BK372" s="6">
        <f t="shared" ca="1" si="180"/>
        <v>-0.99689684442438142</v>
      </c>
      <c r="BL372" s="6">
        <f t="shared" ca="1" si="181"/>
        <v>7.8719003910813046E-2</v>
      </c>
      <c r="BM372" s="6">
        <f t="shared" ca="1" si="182"/>
        <v>3.0627921227016786</v>
      </c>
      <c r="BN372" s="6">
        <f t="shared" ca="1" si="183"/>
        <v>2.7872570945694877</v>
      </c>
      <c r="BO372" s="9"/>
      <c r="BT372" s="40"/>
    </row>
    <row r="373" spans="59:72" x14ac:dyDescent="0.25">
      <c r="BG373" s="6">
        <f t="shared" si="186"/>
        <v>3.106686068549886</v>
      </c>
      <c r="BH373" s="9">
        <f t="shared" ca="1" si="177"/>
        <v>-131.27299851212354</v>
      </c>
      <c r="BI373" s="9">
        <f t="shared" ca="1" si="178"/>
        <v>9.5604252916536794</v>
      </c>
      <c r="BJ373">
        <f t="shared" ca="1" si="179"/>
        <v>131.6206741743913</v>
      </c>
      <c r="BK373" s="6">
        <f t="shared" ca="1" si="180"/>
        <v>-0.99735850264824577</v>
      </c>
      <c r="BL373" s="6">
        <f t="shared" ca="1" si="181"/>
        <v>7.2636197555002335E-2</v>
      </c>
      <c r="BM373" s="6">
        <f t="shared" ca="1" si="182"/>
        <v>3.0688924322744167</v>
      </c>
      <c r="BN373" s="6">
        <f t="shared" ca="1" si="183"/>
        <v>2.7933574041422258</v>
      </c>
      <c r="BO373" s="9"/>
      <c r="BT373" s="40"/>
    </row>
    <row r="374" spans="59:72" x14ac:dyDescent="0.25">
      <c r="BG374" s="6">
        <f>AS361</f>
        <v>3.1241393610698291</v>
      </c>
      <c r="BH374" s="9">
        <f t="shared" ca="1" si="177"/>
        <v>-131.29399272842988</v>
      </c>
      <c r="BI374" s="9">
        <f t="shared" ca="1" si="178"/>
        <v>8.7587494521876721</v>
      </c>
      <c r="BJ374">
        <f t="shared" ca="1" si="179"/>
        <v>131.58582073513543</v>
      </c>
      <c r="BK374" s="6">
        <f t="shared" ca="1" si="180"/>
        <v>-0.9977822230003569</v>
      </c>
      <c r="BL374" s="6">
        <f t="shared" ca="1" si="181"/>
        <v>6.6563018745141672E-2</v>
      </c>
      <c r="BM374" s="6">
        <f t="shared" ca="1" si="182"/>
        <v>3.0749803838401166</v>
      </c>
      <c r="BN374" s="6">
        <f t="shared" ca="1" si="183"/>
        <v>2.7994453557079257</v>
      </c>
      <c r="BO374" s="9"/>
      <c r="BT374" s="40"/>
    </row>
    <row r="375" spans="59:72" x14ac:dyDescent="0.25">
      <c r="BG375" s="6">
        <f t="shared" ref="BG375" si="187">AS362</f>
        <v>3.1415926535897722</v>
      </c>
      <c r="BH375" s="9">
        <f t="shared" ca="1" si="177"/>
        <v>-131.30098511316243</v>
      </c>
      <c r="BI375" s="9">
        <f t="shared" ca="1" si="178"/>
        <v>7.9575619719824928</v>
      </c>
      <c r="BJ375">
        <f t="shared" ca="1" si="179"/>
        <v>131.54190010876704</v>
      </c>
      <c r="BK375" s="6">
        <f t="shared" ca="1" si="180"/>
        <v>-0.9981685303663288</v>
      </c>
      <c r="BL375" s="6">
        <f t="shared" ca="1" si="181"/>
        <v>6.0494503769541755E-2</v>
      </c>
      <c r="BM375" s="6">
        <f t="shared" ca="1" si="182"/>
        <v>3.0810611914613699</v>
      </c>
      <c r="BN375" s="6">
        <f t="shared" ca="1" si="183"/>
        <v>2.805526163329179</v>
      </c>
      <c r="BO375" s="9"/>
      <c r="BT375" s="40"/>
    </row>
    <row r="376" spans="59:72" x14ac:dyDescent="0.25">
      <c r="BG376" s="6"/>
    </row>
    <row r="377" spans="59:72" x14ac:dyDescent="0.25">
      <c r="BG377" s="6"/>
    </row>
    <row r="378" spans="59:72" x14ac:dyDescent="0.25">
      <c r="BG378" s="6"/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2020-11-11T21:37:11Z</dcterms:modified>
</cp:coreProperties>
</file>