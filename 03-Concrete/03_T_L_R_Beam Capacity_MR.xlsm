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cuments/"/>
    </mc:Choice>
  </mc:AlternateContent>
  <xr:revisionPtr revIDLastSave="0" documentId="13_ncr:1_{F71FC41F-A33D-5E44-9B6D-27BE29097102}" xr6:coauthVersionLast="45" xr6:coauthVersionMax="45" xr10:uidLastSave="{00000000-0000-0000-0000-000000000000}"/>
  <bookViews>
    <workbookView xWindow="0" yWindow="440" windowWidth="25600" windowHeight="14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16" i="1" l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CD8" i="1"/>
  <c r="BX6" i="1"/>
  <c r="BW6" i="1"/>
  <c r="CF6" i="1" l="1"/>
  <c r="CE16" i="1"/>
  <c r="CE18" i="1"/>
  <c r="CE20" i="1"/>
  <c r="CE22" i="1"/>
  <c r="CE24" i="1"/>
  <c r="CE26" i="1"/>
  <c r="CE28" i="1"/>
  <c r="CE30" i="1"/>
  <c r="CE32" i="1"/>
  <c r="CE34" i="1"/>
  <c r="CE36" i="1"/>
  <c r="CE38" i="1"/>
  <c r="CE40" i="1"/>
  <c r="CE42" i="1"/>
  <c r="CE44" i="1"/>
  <c r="CE46" i="1"/>
  <c r="CE48" i="1"/>
  <c r="CE50" i="1"/>
  <c r="CE52" i="1"/>
  <c r="CE54" i="1"/>
  <c r="CE56" i="1"/>
  <c r="CE58" i="1"/>
  <c r="CE60" i="1"/>
  <c r="CE62" i="1"/>
  <c r="CE64" i="1"/>
  <c r="CE66" i="1"/>
  <c r="CE68" i="1"/>
  <c r="CE70" i="1"/>
  <c r="CE72" i="1"/>
  <c r="CE74" i="1"/>
  <c r="CE76" i="1"/>
  <c r="CE78" i="1"/>
  <c r="CE80" i="1"/>
  <c r="CE82" i="1"/>
  <c r="CE84" i="1"/>
  <c r="CE86" i="1"/>
  <c r="CE88" i="1"/>
  <c r="CE90" i="1"/>
  <c r="CE92" i="1"/>
  <c r="CE94" i="1"/>
  <c r="CE96" i="1"/>
  <c r="CE98" i="1"/>
  <c r="CE100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130" i="1"/>
  <c r="CE132" i="1"/>
  <c r="CE134" i="1"/>
  <c r="CE136" i="1"/>
  <c r="CE138" i="1"/>
  <c r="CE140" i="1"/>
  <c r="CE17" i="1"/>
  <c r="CE19" i="1"/>
  <c r="CE21" i="1"/>
  <c r="CE23" i="1"/>
  <c r="CE25" i="1"/>
  <c r="CE27" i="1"/>
  <c r="CE29" i="1"/>
  <c r="CE31" i="1"/>
  <c r="CE33" i="1"/>
  <c r="CE35" i="1"/>
  <c r="CE37" i="1"/>
  <c r="CE39" i="1"/>
  <c r="CE41" i="1"/>
  <c r="CE43" i="1"/>
  <c r="CE45" i="1"/>
  <c r="CE47" i="1"/>
  <c r="CE49" i="1"/>
  <c r="CE51" i="1"/>
  <c r="CE53" i="1"/>
  <c r="CE55" i="1"/>
  <c r="CE57" i="1"/>
  <c r="CE59" i="1"/>
  <c r="CE61" i="1"/>
  <c r="CE63" i="1"/>
  <c r="CE65" i="1"/>
  <c r="CE67" i="1"/>
  <c r="CE69" i="1"/>
  <c r="CE71" i="1"/>
  <c r="CE73" i="1"/>
  <c r="CE75" i="1"/>
  <c r="CE77" i="1"/>
  <c r="CE79" i="1"/>
  <c r="CE81" i="1"/>
  <c r="CE83" i="1"/>
  <c r="CE85" i="1"/>
  <c r="CE87" i="1"/>
  <c r="CE89" i="1"/>
  <c r="CE91" i="1"/>
  <c r="CE93" i="1"/>
  <c r="CE95" i="1"/>
  <c r="CE97" i="1"/>
  <c r="CE99" i="1"/>
  <c r="CE101" i="1"/>
  <c r="CE103" i="1"/>
  <c r="CE105" i="1"/>
  <c r="CE107" i="1"/>
  <c r="CE109" i="1"/>
  <c r="CE111" i="1"/>
  <c r="CE113" i="1"/>
  <c r="CE115" i="1"/>
  <c r="CE117" i="1"/>
  <c r="CE119" i="1"/>
  <c r="CE121" i="1"/>
  <c r="CE123" i="1"/>
  <c r="CE125" i="1"/>
  <c r="CE127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85" i="1"/>
  <c r="CE144" i="1"/>
  <c r="CE148" i="1"/>
  <c r="CE152" i="1"/>
  <c r="CE156" i="1"/>
  <c r="CE160" i="1"/>
  <c r="CE164" i="1"/>
  <c r="CE168" i="1"/>
  <c r="CE172" i="1"/>
  <c r="CE176" i="1"/>
  <c r="CE180" i="1"/>
  <c r="CE184" i="1"/>
  <c r="CE187" i="1"/>
  <c r="CE189" i="1"/>
  <c r="CE191" i="1"/>
  <c r="CE193" i="1"/>
  <c r="CE195" i="1"/>
  <c r="CE197" i="1"/>
  <c r="CE199" i="1"/>
  <c r="CE201" i="1"/>
  <c r="CE203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271" i="1"/>
  <c r="CE273" i="1"/>
  <c r="CE275" i="1"/>
  <c r="CE277" i="1"/>
  <c r="CE279" i="1"/>
  <c r="CE281" i="1"/>
  <c r="CE283" i="1"/>
  <c r="CE285" i="1"/>
  <c r="CE287" i="1"/>
  <c r="CE289" i="1"/>
  <c r="CE291" i="1"/>
  <c r="CE293" i="1"/>
  <c r="CE295" i="1"/>
  <c r="CE297" i="1"/>
  <c r="CE299" i="1"/>
  <c r="CE301" i="1"/>
  <c r="CE303" i="1"/>
  <c r="CE305" i="1"/>
  <c r="CE307" i="1"/>
  <c r="CE309" i="1"/>
  <c r="CE311" i="1"/>
  <c r="CE313" i="1"/>
  <c r="CE315" i="1"/>
  <c r="CE317" i="1"/>
  <c r="CE319" i="1"/>
  <c r="CE321" i="1"/>
  <c r="CE323" i="1"/>
  <c r="CE325" i="1"/>
  <c r="CE327" i="1"/>
  <c r="CE329" i="1"/>
  <c r="CE331" i="1"/>
  <c r="CE333" i="1"/>
  <c r="CE335" i="1"/>
  <c r="CE337" i="1"/>
  <c r="CE339" i="1"/>
  <c r="CE341" i="1"/>
  <c r="CE343" i="1"/>
  <c r="CE345" i="1"/>
  <c r="CE347" i="1"/>
  <c r="CE349" i="1"/>
  <c r="CE351" i="1"/>
  <c r="CE353" i="1"/>
  <c r="CE355" i="1"/>
  <c r="CE357" i="1"/>
  <c r="CE359" i="1"/>
  <c r="CE361" i="1"/>
  <c r="CE363" i="1"/>
  <c r="CE365" i="1"/>
  <c r="CE367" i="1"/>
  <c r="CE369" i="1"/>
  <c r="CE371" i="1"/>
  <c r="CE373" i="1"/>
  <c r="CE375" i="1"/>
  <c r="CE142" i="1"/>
  <c r="CE146" i="1"/>
  <c r="CE150" i="1"/>
  <c r="CE154" i="1"/>
  <c r="CE158" i="1"/>
  <c r="CE162" i="1"/>
  <c r="CE166" i="1"/>
  <c r="CE170" i="1"/>
  <c r="CE174" i="1"/>
  <c r="CE178" i="1"/>
  <c r="CE182" i="1"/>
  <c r="CE186" i="1"/>
  <c r="CE188" i="1"/>
  <c r="CE190" i="1"/>
  <c r="CE192" i="1"/>
  <c r="CE194" i="1"/>
  <c r="CE196" i="1"/>
  <c r="CE198" i="1"/>
  <c r="CE200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270" i="1"/>
  <c r="CE272" i="1"/>
  <c r="CE274" i="1"/>
  <c r="CE276" i="1"/>
  <c r="CE278" i="1"/>
  <c r="CE280" i="1"/>
  <c r="CE282" i="1"/>
  <c r="CE284" i="1"/>
  <c r="CE286" i="1"/>
  <c r="CE288" i="1"/>
  <c r="CE290" i="1"/>
  <c r="CE15" i="1"/>
  <c r="CE372" i="1"/>
  <c r="CE368" i="1"/>
  <c r="CE364" i="1"/>
  <c r="CE360" i="1"/>
  <c r="CE356" i="1"/>
  <c r="CE352" i="1"/>
  <c r="CE348" i="1"/>
  <c r="CE344" i="1"/>
  <c r="CE340" i="1"/>
  <c r="CE336" i="1"/>
  <c r="CE332" i="1"/>
  <c r="CE328" i="1"/>
  <c r="CE324" i="1"/>
  <c r="CE320" i="1"/>
  <c r="CE316" i="1"/>
  <c r="CE312" i="1"/>
  <c r="CE308" i="1"/>
  <c r="CE304" i="1"/>
  <c r="CE300" i="1"/>
  <c r="CE296" i="1"/>
  <c r="CE292" i="1"/>
  <c r="CE374" i="1"/>
  <c r="CE370" i="1"/>
  <c r="CE366" i="1"/>
  <c r="CE362" i="1"/>
  <c r="CE358" i="1"/>
  <c r="CE354" i="1"/>
  <c r="CE350" i="1"/>
  <c r="CE346" i="1"/>
  <c r="CE342" i="1"/>
  <c r="CE338" i="1"/>
  <c r="CE334" i="1"/>
  <c r="CE330" i="1"/>
  <c r="CE326" i="1"/>
  <c r="CE322" i="1"/>
  <c r="CE318" i="1"/>
  <c r="CE314" i="1"/>
  <c r="CE310" i="1"/>
  <c r="CE306" i="1"/>
  <c r="CE302" i="1"/>
  <c r="CE298" i="1"/>
  <c r="CE294" i="1"/>
  <c r="CE6" i="1"/>
  <c r="CD16" i="1"/>
  <c r="CF16" i="1" s="1"/>
  <c r="CD18" i="1"/>
  <c r="CF18" i="1" s="1"/>
  <c r="CD20" i="1"/>
  <c r="CF20" i="1" s="1"/>
  <c r="CD22" i="1"/>
  <c r="CF22" i="1" s="1"/>
  <c r="CD24" i="1"/>
  <c r="CF24" i="1" s="1"/>
  <c r="CD26" i="1"/>
  <c r="CF26" i="1" s="1"/>
  <c r="CD28" i="1"/>
  <c r="CF28" i="1" s="1"/>
  <c r="CD30" i="1"/>
  <c r="CF30" i="1" s="1"/>
  <c r="CD32" i="1"/>
  <c r="CF32" i="1" s="1"/>
  <c r="CD34" i="1"/>
  <c r="CF34" i="1" s="1"/>
  <c r="CD36" i="1"/>
  <c r="CF36" i="1" s="1"/>
  <c r="CD38" i="1"/>
  <c r="CF38" i="1" s="1"/>
  <c r="CD40" i="1"/>
  <c r="CF40" i="1" s="1"/>
  <c r="CD42" i="1"/>
  <c r="CF42" i="1" s="1"/>
  <c r="CD44" i="1"/>
  <c r="CF44" i="1" s="1"/>
  <c r="CD46" i="1"/>
  <c r="CF46" i="1" s="1"/>
  <c r="CD48" i="1"/>
  <c r="CF48" i="1" s="1"/>
  <c r="CD50" i="1"/>
  <c r="CF50" i="1" s="1"/>
  <c r="CD52" i="1"/>
  <c r="CF52" i="1" s="1"/>
  <c r="CD54" i="1"/>
  <c r="CF54" i="1" s="1"/>
  <c r="CD56" i="1"/>
  <c r="CF56" i="1" s="1"/>
  <c r="CD58" i="1"/>
  <c r="CF58" i="1" s="1"/>
  <c r="CD60" i="1"/>
  <c r="CF60" i="1" s="1"/>
  <c r="CD62" i="1"/>
  <c r="CF62" i="1" s="1"/>
  <c r="CD64" i="1"/>
  <c r="CF64" i="1" s="1"/>
  <c r="CD66" i="1"/>
  <c r="CF66" i="1" s="1"/>
  <c r="CD68" i="1"/>
  <c r="CF68" i="1" s="1"/>
  <c r="CD70" i="1"/>
  <c r="CF70" i="1" s="1"/>
  <c r="CD72" i="1"/>
  <c r="CF72" i="1" s="1"/>
  <c r="CD74" i="1"/>
  <c r="CF74" i="1" s="1"/>
  <c r="CD76" i="1"/>
  <c r="CF76" i="1" s="1"/>
  <c r="CD78" i="1"/>
  <c r="CF78" i="1" s="1"/>
  <c r="CD80" i="1"/>
  <c r="CF80" i="1" s="1"/>
  <c r="CD82" i="1"/>
  <c r="CF82" i="1" s="1"/>
  <c r="CD84" i="1"/>
  <c r="CF84" i="1" s="1"/>
  <c r="CD86" i="1"/>
  <c r="CF86" i="1" s="1"/>
  <c r="CD88" i="1"/>
  <c r="CF88" i="1" s="1"/>
  <c r="CD90" i="1"/>
  <c r="CF90" i="1" s="1"/>
  <c r="CD92" i="1"/>
  <c r="CF92" i="1" s="1"/>
  <c r="CD94" i="1"/>
  <c r="CF94" i="1" s="1"/>
  <c r="CD96" i="1"/>
  <c r="CF96" i="1" s="1"/>
  <c r="CD98" i="1"/>
  <c r="CF98" i="1" s="1"/>
  <c r="CD100" i="1"/>
  <c r="CF100" i="1" s="1"/>
  <c r="CD102" i="1"/>
  <c r="CF102" i="1" s="1"/>
  <c r="CD104" i="1"/>
  <c r="CF104" i="1" s="1"/>
  <c r="CD106" i="1"/>
  <c r="CF106" i="1" s="1"/>
  <c r="CD108" i="1"/>
  <c r="CF108" i="1" s="1"/>
  <c r="CD110" i="1"/>
  <c r="CF110" i="1" s="1"/>
  <c r="CD112" i="1"/>
  <c r="CF112" i="1" s="1"/>
  <c r="CD114" i="1"/>
  <c r="CF114" i="1" s="1"/>
  <c r="CD116" i="1"/>
  <c r="CF116" i="1" s="1"/>
  <c r="CD118" i="1"/>
  <c r="CF118" i="1" s="1"/>
  <c r="CD120" i="1"/>
  <c r="CF120" i="1" s="1"/>
  <c r="CD122" i="1"/>
  <c r="CF122" i="1" s="1"/>
  <c r="CD124" i="1"/>
  <c r="CF124" i="1" s="1"/>
  <c r="CD126" i="1"/>
  <c r="CF126" i="1" s="1"/>
  <c r="CD128" i="1"/>
  <c r="CF128" i="1" s="1"/>
  <c r="CD130" i="1"/>
  <c r="CF130" i="1" s="1"/>
  <c r="CD132" i="1"/>
  <c r="CF132" i="1" s="1"/>
  <c r="CD134" i="1"/>
  <c r="CF134" i="1" s="1"/>
  <c r="CD136" i="1"/>
  <c r="CF136" i="1" s="1"/>
  <c r="CD138" i="1"/>
  <c r="CF138" i="1" s="1"/>
  <c r="CD140" i="1"/>
  <c r="CF140" i="1" s="1"/>
  <c r="CD142" i="1"/>
  <c r="CD144" i="1"/>
  <c r="CF144" i="1" s="1"/>
  <c r="CD146" i="1"/>
  <c r="CF146" i="1" s="1"/>
  <c r="CD148" i="1"/>
  <c r="CD150" i="1"/>
  <c r="CD152" i="1"/>
  <c r="CF152" i="1" s="1"/>
  <c r="CD154" i="1"/>
  <c r="CF154" i="1" s="1"/>
  <c r="CD156" i="1"/>
  <c r="CD158" i="1"/>
  <c r="CD160" i="1"/>
  <c r="CF160" i="1" s="1"/>
  <c r="CD162" i="1"/>
  <c r="CF162" i="1" s="1"/>
  <c r="CD164" i="1"/>
  <c r="CD166" i="1"/>
  <c r="CD168" i="1"/>
  <c r="CF168" i="1" s="1"/>
  <c r="CD170" i="1"/>
  <c r="CF170" i="1" s="1"/>
  <c r="CD172" i="1"/>
  <c r="CD174" i="1"/>
  <c r="CD176" i="1"/>
  <c r="CF176" i="1" s="1"/>
  <c r="CD178" i="1"/>
  <c r="CF178" i="1" s="1"/>
  <c r="CD180" i="1"/>
  <c r="CD182" i="1"/>
  <c r="CD184" i="1"/>
  <c r="CF184" i="1" s="1"/>
  <c r="CD186" i="1"/>
  <c r="CF186" i="1" s="1"/>
  <c r="CD188" i="1"/>
  <c r="CF188" i="1" s="1"/>
  <c r="CD190" i="1"/>
  <c r="CF190" i="1" s="1"/>
  <c r="CD192" i="1"/>
  <c r="CF192" i="1" s="1"/>
  <c r="CD194" i="1"/>
  <c r="CF194" i="1" s="1"/>
  <c r="CD196" i="1"/>
  <c r="CF196" i="1" s="1"/>
  <c r="CD198" i="1"/>
  <c r="CF198" i="1" s="1"/>
  <c r="CD200" i="1"/>
  <c r="CF200" i="1" s="1"/>
  <c r="CD202" i="1"/>
  <c r="CF202" i="1" s="1"/>
  <c r="CD204" i="1"/>
  <c r="CF204" i="1" s="1"/>
  <c r="CD206" i="1"/>
  <c r="CF206" i="1" s="1"/>
  <c r="CD208" i="1"/>
  <c r="CF208" i="1" s="1"/>
  <c r="CD210" i="1"/>
  <c r="CF210" i="1" s="1"/>
  <c r="CD212" i="1"/>
  <c r="CF212" i="1" s="1"/>
  <c r="CD214" i="1"/>
  <c r="CF214" i="1" s="1"/>
  <c r="CD216" i="1"/>
  <c r="CF216" i="1" s="1"/>
  <c r="CD218" i="1"/>
  <c r="CF218" i="1" s="1"/>
  <c r="CD220" i="1"/>
  <c r="CF220" i="1" s="1"/>
  <c r="CD222" i="1"/>
  <c r="CF222" i="1" s="1"/>
  <c r="CD224" i="1"/>
  <c r="CF224" i="1" s="1"/>
  <c r="CD226" i="1"/>
  <c r="CF226" i="1" s="1"/>
  <c r="CD228" i="1"/>
  <c r="CF228" i="1" s="1"/>
  <c r="CD230" i="1"/>
  <c r="CF230" i="1" s="1"/>
  <c r="CD232" i="1"/>
  <c r="CF232" i="1" s="1"/>
  <c r="CD234" i="1"/>
  <c r="CF234" i="1" s="1"/>
  <c r="CD236" i="1"/>
  <c r="CF236" i="1" s="1"/>
  <c r="CD238" i="1"/>
  <c r="CF238" i="1" s="1"/>
  <c r="CD240" i="1"/>
  <c r="CF240" i="1" s="1"/>
  <c r="CD242" i="1"/>
  <c r="CF242" i="1" s="1"/>
  <c r="CD244" i="1"/>
  <c r="CF244" i="1" s="1"/>
  <c r="CD246" i="1"/>
  <c r="CF246" i="1" s="1"/>
  <c r="CD248" i="1"/>
  <c r="CF248" i="1" s="1"/>
  <c r="CD250" i="1"/>
  <c r="CF250" i="1" s="1"/>
  <c r="CD252" i="1"/>
  <c r="CF252" i="1" s="1"/>
  <c r="CD254" i="1"/>
  <c r="CF254" i="1" s="1"/>
  <c r="CD256" i="1"/>
  <c r="CF256" i="1" s="1"/>
  <c r="CD258" i="1"/>
  <c r="CF258" i="1" s="1"/>
  <c r="CD260" i="1"/>
  <c r="CF260" i="1" s="1"/>
  <c r="CD262" i="1"/>
  <c r="CF262" i="1" s="1"/>
  <c r="CD264" i="1"/>
  <c r="CF264" i="1" s="1"/>
  <c r="CD266" i="1"/>
  <c r="CF266" i="1" s="1"/>
  <c r="CD268" i="1"/>
  <c r="CF268" i="1" s="1"/>
  <c r="CD270" i="1"/>
  <c r="CF270" i="1" s="1"/>
  <c r="CD272" i="1"/>
  <c r="CF272" i="1" s="1"/>
  <c r="CD274" i="1"/>
  <c r="CF274" i="1" s="1"/>
  <c r="CD276" i="1"/>
  <c r="CF276" i="1" s="1"/>
  <c r="CD278" i="1"/>
  <c r="CF278" i="1" s="1"/>
  <c r="CD280" i="1"/>
  <c r="CF280" i="1" s="1"/>
  <c r="CD282" i="1"/>
  <c r="CF282" i="1" s="1"/>
  <c r="CD284" i="1"/>
  <c r="CF284" i="1" s="1"/>
  <c r="CD286" i="1"/>
  <c r="CF286" i="1" s="1"/>
  <c r="CD288" i="1"/>
  <c r="CF288" i="1" s="1"/>
  <c r="CD290" i="1"/>
  <c r="CF290" i="1" s="1"/>
  <c r="CD292" i="1"/>
  <c r="CD17" i="1"/>
  <c r="CF17" i="1" s="1"/>
  <c r="CD19" i="1"/>
  <c r="CF19" i="1" s="1"/>
  <c r="CD21" i="1"/>
  <c r="CF21" i="1" s="1"/>
  <c r="CD23" i="1"/>
  <c r="CF23" i="1" s="1"/>
  <c r="CD25" i="1"/>
  <c r="CF25" i="1" s="1"/>
  <c r="CD27" i="1"/>
  <c r="CF27" i="1" s="1"/>
  <c r="CD29" i="1"/>
  <c r="CF29" i="1" s="1"/>
  <c r="CD31" i="1"/>
  <c r="CF31" i="1" s="1"/>
  <c r="CD33" i="1"/>
  <c r="CF33" i="1" s="1"/>
  <c r="CD35" i="1"/>
  <c r="CF35" i="1" s="1"/>
  <c r="CD37" i="1"/>
  <c r="CF37" i="1" s="1"/>
  <c r="CD39" i="1"/>
  <c r="CF39" i="1" s="1"/>
  <c r="CD41" i="1"/>
  <c r="CF41" i="1" s="1"/>
  <c r="CD43" i="1"/>
  <c r="CF43" i="1" s="1"/>
  <c r="CD45" i="1"/>
  <c r="CF45" i="1" s="1"/>
  <c r="CD47" i="1"/>
  <c r="CF47" i="1" s="1"/>
  <c r="CD49" i="1"/>
  <c r="CF49" i="1" s="1"/>
  <c r="CD51" i="1"/>
  <c r="CF51" i="1" s="1"/>
  <c r="CD53" i="1"/>
  <c r="CF53" i="1" s="1"/>
  <c r="CD55" i="1"/>
  <c r="CF55" i="1" s="1"/>
  <c r="CD57" i="1"/>
  <c r="CF57" i="1" s="1"/>
  <c r="CD59" i="1"/>
  <c r="CF59" i="1" s="1"/>
  <c r="CD61" i="1"/>
  <c r="CF61" i="1" s="1"/>
  <c r="CD63" i="1"/>
  <c r="CF63" i="1" s="1"/>
  <c r="CD65" i="1"/>
  <c r="CF65" i="1" s="1"/>
  <c r="CD67" i="1"/>
  <c r="CF67" i="1" s="1"/>
  <c r="CD69" i="1"/>
  <c r="CF69" i="1" s="1"/>
  <c r="CD71" i="1"/>
  <c r="CF71" i="1" s="1"/>
  <c r="CD73" i="1"/>
  <c r="CF73" i="1" s="1"/>
  <c r="CD75" i="1"/>
  <c r="CF75" i="1" s="1"/>
  <c r="CD77" i="1"/>
  <c r="CF77" i="1" s="1"/>
  <c r="CD79" i="1"/>
  <c r="CF79" i="1" s="1"/>
  <c r="CD81" i="1"/>
  <c r="CF81" i="1" s="1"/>
  <c r="CD83" i="1"/>
  <c r="CF83" i="1" s="1"/>
  <c r="CD85" i="1"/>
  <c r="CF85" i="1" s="1"/>
  <c r="CD87" i="1"/>
  <c r="CF87" i="1" s="1"/>
  <c r="CD89" i="1"/>
  <c r="CF89" i="1" s="1"/>
  <c r="CD91" i="1"/>
  <c r="CF91" i="1" s="1"/>
  <c r="CD93" i="1"/>
  <c r="CF93" i="1" s="1"/>
  <c r="CD95" i="1"/>
  <c r="CF95" i="1" s="1"/>
  <c r="CD97" i="1"/>
  <c r="CF97" i="1" s="1"/>
  <c r="CD99" i="1"/>
  <c r="CF99" i="1" s="1"/>
  <c r="CD101" i="1"/>
  <c r="CF101" i="1" s="1"/>
  <c r="CD103" i="1"/>
  <c r="CF103" i="1" s="1"/>
  <c r="CD105" i="1"/>
  <c r="CF105" i="1" s="1"/>
  <c r="CD107" i="1"/>
  <c r="CF107" i="1" s="1"/>
  <c r="CD109" i="1"/>
  <c r="CF109" i="1" s="1"/>
  <c r="CD111" i="1"/>
  <c r="CF111" i="1" s="1"/>
  <c r="CD113" i="1"/>
  <c r="CF113" i="1" s="1"/>
  <c r="CD115" i="1"/>
  <c r="CF115" i="1" s="1"/>
  <c r="CD117" i="1"/>
  <c r="CF117" i="1" s="1"/>
  <c r="CD119" i="1"/>
  <c r="CF119" i="1" s="1"/>
  <c r="CD121" i="1"/>
  <c r="CF121" i="1" s="1"/>
  <c r="CD123" i="1"/>
  <c r="CF123" i="1" s="1"/>
  <c r="CD125" i="1"/>
  <c r="CF125" i="1" s="1"/>
  <c r="CD127" i="1"/>
  <c r="CF127" i="1" s="1"/>
  <c r="CD129" i="1"/>
  <c r="CF129" i="1" s="1"/>
  <c r="CD131" i="1"/>
  <c r="CF131" i="1" s="1"/>
  <c r="CD133" i="1"/>
  <c r="CF133" i="1" s="1"/>
  <c r="CD135" i="1"/>
  <c r="CF135" i="1" s="1"/>
  <c r="CD137" i="1"/>
  <c r="CF137" i="1" s="1"/>
  <c r="CD139" i="1"/>
  <c r="CF139" i="1" s="1"/>
  <c r="CD141" i="1"/>
  <c r="CF141" i="1" s="1"/>
  <c r="CD143" i="1"/>
  <c r="CF143" i="1" s="1"/>
  <c r="CD145" i="1"/>
  <c r="CF145" i="1" s="1"/>
  <c r="CD147" i="1"/>
  <c r="CF147" i="1" s="1"/>
  <c r="CD149" i="1"/>
  <c r="CF149" i="1" s="1"/>
  <c r="CD151" i="1"/>
  <c r="CF151" i="1" s="1"/>
  <c r="CD153" i="1"/>
  <c r="CF153" i="1" s="1"/>
  <c r="CD155" i="1"/>
  <c r="CF155" i="1" s="1"/>
  <c r="CD157" i="1"/>
  <c r="CF157" i="1" s="1"/>
  <c r="CD159" i="1"/>
  <c r="CF159" i="1" s="1"/>
  <c r="CD161" i="1"/>
  <c r="CF161" i="1" s="1"/>
  <c r="CD163" i="1"/>
  <c r="CF163" i="1" s="1"/>
  <c r="CD165" i="1"/>
  <c r="CF165" i="1" s="1"/>
  <c r="CD167" i="1"/>
  <c r="CF167" i="1" s="1"/>
  <c r="CD169" i="1"/>
  <c r="CF169" i="1" s="1"/>
  <c r="CD171" i="1"/>
  <c r="CF171" i="1" s="1"/>
  <c r="CD173" i="1"/>
  <c r="CF173" i="1" s="1"/>
  <c r="CD175" i="1"/>
  <c r="CF175" i="1" s="1"/>
  <c r="CD177" i="1"/>
  <c r="CF177" i="1" s="1"/>
  <c r="CD179" i="1"/>
  <c r="CF179" i="1" s="1"/>
  <c r="CD181" i="1"/>
  <c r="CF181" i="1" s="1"/>
  <c r="CD183" i="1"/>
  <c r="CF183" i="1" s="1"/>
  <c r="CD185" i="1"/>
  <c r="CF185" i="1" s="1"/>
  <c r="CD187" i="1"/>
  <c r="CD189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374" i="1"/>
  <c r="CD372" i="1"/>
  <c r="CD370" i="1"/>
  <c r="CF370" i="1" s="1"/>
  <c r="CD368" i="1"/>
  <c r="CF368" i="1" s="1"/>
  <c r="CD366" i="1"/>
  <c r="CD364" i="1"/>
  <c r="CD362" i="1"/>
  <c r="CF362" i="1" s="1"/>
  <c r="CD360" i="1"/>
  <c r="CF360" i="1" s="1"/>
  <c r="CD358" i="1"/>
  <c r="CD356" i="1"/>
  <c r="CD354" i="1"/>
  <c r="CF354" i="1" s="1"/>
  <c r="CD352" i="1"/>
  <c r="CF352" i="1" s="1"/>
  <c r="CD350" i="1"/>
  <c r="CD348" i="1"/>
  <c r="CD346" i="1"/>
  <c r="CF346" i="1" s="1"/>
  <c r="CD344" i="1"/>
  <c r="CF344" i="1" s="1"/>
  <c r="CD342" i="1"/>
  <c r="CD340" i="1"/>
  <c r="CD338" i="1"/>
  <c r="CF338" i="1" s="1"/>
  <c r="CD336" i="1"/>
  <c r="CF336" i="1" s="1"/>
  <c r="CD334" i="1"/>
  <c r="CD332" i="1"/>
  <c r="CD330" i="1"/>
  <c r="CF330" i="1" s="1"/>
  <c r="CD328" i="1"/>
  <c r="CF328" i="1" s="1"/>
  <c r="CD326" i="1"/>
  <c r="CD324" i="1"/>
  <c r="CD322" i="1"/>
  <c r="CF322" i="1" s="1"/>
  <c r="CD320" i="1"/>
  <c r="CF320" i="1" s="1"/>
  <c r="CD318" i="1"/>
  <c r="CD316" i="1"/>
  <c r="CD314" i="1"/>
  <c r="CF314" i="1" s="1"/>
  <c r="CD312" i="1"/>
  <c r="CF312" i="1" s="1"/>
  <c r="CD310" i="1"/>
  <c r="CD308" i="1"/>
  <c r="CD306" i="1"/>
  <c r="CF306" i="1" s="1"/>
  <c r="CD304" i="1"/>
  <c r="CF304" i="1" s="1"/>
  <c r="CD302" i="1"/>
  <c r="CD300" i="1"/>
  <c r="CD298" i="1"/>
  <c r="CF298" i="1" s="1"/>
  <c r="CD296" i="1"/>
  <c r="CF296" i="1" s="1"/>
  <c r="CD294" i="1"/>
  <c r="CD291" i="1"/>
  <c r="CD287" i="1"/>
  <c r="CF287" i="1" s="1"/>
  <c r="CD283" i="1"/>
  <c r="CD279" i="1"/>
  <c r="CF279" i="1" s="1"/>
  <c r="CD275" i="1"/>
  <c r="CD271" i="1"/>
  <c r="CF271" i="1" s="1"/>
  <c r="CD15" i="1"/>
  <c r="CF15" i="1" s="1"/>
  <c r="CD375" i="1"/>
  <c r="CF375" i="1" s="1"/>
  <c r="CD373" i="1"/>
  <c r="CF373" i="1" s="1"/>
  <c r="CD371" i="1"/>
  <c r="CF371" i="1" s="1"/>
  <c r="CD369" i="1"/>
  <c r="CF369" i="1" s="1"/>
  <c r="CD367" i="1"/>
  <c r="CF367" i="1" s="1"/>
  <c r="CD365" i="1"/>
  <c r="CF365" i="1" s="1"/>
  <c r="CD363" i="1"/>
  <c r="CF363" i="1" s="1"/>
  <c r="CD361" i="1"/>
  <c r="CF361" i="1" s="1"/>
  <c r="CD359" i="1"/>
  <c r="CF359" i="1" s="1"/>
  <c r="CD357" i="1"/>
  <c r="CF357" i="1" s="1"/>
  <c r="CD355" i="1"/>
  <c r="CF355" i="1" s="1"/>
  <c r="CD353" i="1"/>
  <c r="CF353" i="1" s="1"/>
  <c r="CD351" i="1"/>
  <c r="CF351" i="1" s="1"/>
  <c r="CD349" i="1"/>
  <c r="CF349" i="1" s="1"/>
  <c r="CD347" i="1"/>
  <c r="CF347" i="1" s="1"/>
  <c r="CD345" i="1"/>
  <c r="CF345" i="1" s="1"/>
  <c r="CD343" i="1"/>
  <c r="CF343" i="1" s="1"/>
  <c r="CD341" i="1"/>
  <c r="CF341" i="1" s="1"/>
  <c r="CD339" i="1"/>
  <c r="CF339" i="1" s="1"/>
  <c r="CD337" i="1"/>
  <c r="CF337" i="1" s="1"/>
  <c r="CD335" i="1"/>
  <c r="CF335" i="1" s="1"/>
  <c r="CD333" i="1"/>
  <c r="CF333" i="1" s="1"/>
  <c r="CD331" i="1"/>
  <c r="CF331" i="1" s="1"/>
  <c r="CD329" i="1"/>
  <c r="CF329" i="1" s="1"/>
  <c r="CD327" i="1"/>
  <c r="CF327" i="1" s="1"/>
  <c r="CD325" i="1"/>
  <c r="CF325" i="1" s="1"/>
  <c r="CD323" i="1"/>
  <c r="CF323" i="1" s="1"/>
  <c r="CD321" i="1"/>
  <c r="CF321" i="1" s="1"/>
  <c r="CD319" i="1"/>
  <c r="CF319" i="1" s="1"/>
  <c r="CD317" i="1"/>
  <c r="CF317" i="1" s="1"/>
  <c r="CD315" i="1"/>
  <c r="CF315" i="1" s="1"/>
  <c r="CD313" i="1"/>
  <c r="CF313" i="1" s="1"/>
  <c r="CD311" i="1"/>
  <c r="CF311" i="1" s="1"/>
  <c r="CD309" i="1"/>
  <c r="CF309" i="1" s="1"/>
  <c r="CD307" i="1"/>
  <c r="CF307" i="1" s="1"/>
  <c r="CD305" i="1"/>
  <c r="CF305" i="1" s="1"/>
  <c r="CD303" i="1"/>
  <c r="CF303" i="1" s="1"/>
  <c r="CD301" i="1"/>
  <c r="CF301" i="1" s="1"/>
  <c r="CD299" i="1"/>
  <c r="CF299" i="1" s="1"/>
  <c r="CD297" i="1"/>
  <c r="CF297" i="1" s="1"/>
  <c r="CD295" i="1"/>
  <c r="CF295" i="1" s="1"/>
  <c r="CD293" i="1"/>
  <c r="CF293" i="1" s="1"/>
  <c r="CD289" i="1"/>
  <c r="CD285" i="1"/>
  <c r="CF285" i="1" s="1"/>
  <c r="CD281" i="1"/>
  <c r="CD277" i="1"/>
  <c r="CF277" i="1" s="1"/>
  <c r="CD273" i="1"/>
  <c r="CD269" i="1"/>
  <c r="CF269" i="1" s="1"/>
  <c r="BY6" i="1"/>
  <c r="CA6" i="1" s="1"/>
  <c r="I2" i="1"/>
  <c r="CF273" i="1" l="1"/>
  <c r="CF281" i="1"/>
  <c r="CF289" i="1"/>
  <c r="CF294" i="1"/>
  <c r="CF302" i="1"/>
  <c r="CF310" i="1"/>
  <c r="CF318" i="1"/>
  <c r="CF326" i="1"/>
  <c r="CF334" i="1"/>
  <c r="CF342" i="1"/>
  <c r="CF350" i="1"/>
  <c r="CF358" i="1"/>
  <c r="CF366" i="1"/>
  <c r="CF374" i="1"/>
  <c r="CF265" i="1"/>
  <c r="CF261" i="1"/>
  <c r="CF257" i="1"/>
  <c r="CF253" i="1"/>
  <c r="CF249" i="1"/>
  <c r="CF245" i="1"/>
  <c r="CF241" i="1"/>
  <c r="CF237" i="1"/>
  <c r="CF233" i="1"/>
  <c r="CF229" i="1"/>
  <c r="CF225" i="1"/>
  <c r="CF221" i="1"/>
  <c r="CF217" i="1"/>
  <c r="CF213" i="1"/>
  <c r="CF209" i="1"/>
  <c r="CF205" i="1"/>
  <c r="CF201" i="1"/>
  <c r="CF197" i="1"/>
  <c r="CF193" i="1"/>
  <c r="CF189" i="1"/>
  <c r="CF182" i="1"/>
  <c r="CF174" i="1"/>
  <c r="CF166" i="1"/>
  <c r="CF158" i="1"/>
  <c r="CF150" i="1"/>
  <c r="CF142" i="1"/>
  <c r="CF275" i="1"/>
  <c r="CF283" i="1"/>
  <c r="CF291" i="1"/>
  <c r="CF300" i="1"/>
  <c r="CF308" i="1"/>
  <c r="CF316" i="1"/>
  <c r="CF324" i="1"/>
  <c r="CF332" i="1"/>
  <c r="CF340" i="1"/>
  <c r="CF348" i="1"/>
  <c r="CF356" i="1"/>
  <c r="CF364" i="1"/>
  <c r="CF372" i="1"/>
  <c r="CF267" i="1"/>
  <c r="CF263" i="1"/>
  <c r="CF259" i="1"/>
  <c r="CF255" i="1"/>
  <c r="CF251" i="1"/>
  <c r="CF247" i="1"/>
  <c r="CF243" i="1"/>
  <c r="CF239" i="1"/>
  <c r="CF235" i="1"/>
  <c r="CF231" i="1"/>
  <c r="CF227" i="1"/>
  <c r="CF223" i="1"/>
  <c r="CF219" i="1"/>
  <c r="CF215" i="1"/>
  <c r="CF211" i="1"/>
  <c r="CF207" i="1"/>
  <c r="CF203" i="1"/>
  <c r="CF199" i="1"/>
  <c r="CF195" i="1"/>
  <c r="CF191" i="1"/>
  <c r="CF187" i="1"/>
  <c r="CF292" i="1"/>
  <c r="CF180" i="1"/>
  <c r="CF172" i="1"/>
  <c r="CF164" i="1"/>
  <c r="CF156" i="1"/>
  <c r="CF148" i="1"/>
  <c r="BZ6" i="1"/>
  <c r="CB6" i="1" s="1"/>
  <c r="CG6" i="1"/>
  <c r="AB17" i="1"/>
  <c r="AA17" i="1"/>
  <c r="Z17" i="1"/>
  <c r="ED4" i="1" l="1"/>
  <c r="ED6" i="1" s="1"/>
  <c r="EC4" i="1"/>
  <c r="EC6" i="1" s="1"/>
  <c r="EB4" i="1"/>
  <c r="DV4" i="1"/>
  <c r="DV5" i="1"/>
  <c r="DW3" i="1"/>
  <c r="DX3" i="1"/>
  <c r="DY3" i="1"/>
  <c r="EG4" i="1" l="1"/>
  <c r="EJ4" i="1" s="1"/>
  <c r="EF6" i="1"/>
  <c r="EF4" i="1"/>
  <c r="AF10" i="1"/>
  <c r="AE10" i="1"/>
  <c r="EH4" i="1" l="1"/>
  <c r="EI4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F189" i="1" l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AD46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AD45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BW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C23" i="1"/>
  <c r="C24" i="1"/>
  <c r="C110" i="1" l="1"/>
  <c r="J110" i="1" s="1"/>
  <c r="L110" i="1" s="1"/>
  <c r="C191" i="1"/>
  <c r="C109" i="1"/>
  <c r="J109" i="1" s="1"/>
  <c r="L109" i="1" s="1"/>
  <c r="C190" i="1"/>
  <c r="C108" i="1"/>
  <c r="J108" i="1" s="1"/>
  <c r="L108" i="1" s="1"/>
  <c r="C189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C112" i="1"/>
  <c r="J112" i="1" s="1"/>
  <c r="L112" i="1" s="1"/>
  <c r="C193" i="1"/>
  <c r="C105" i="1"/>
  <c r="J105" i="1" s="1"/>
  <c r="L105" i="1" s="1"/>
  <c r="C186" i="1"/>
  <c r="C111" i="1"/>
  <c r="J111" i="1" s="1"/>
  <c r="L111" i="1" s="1"/>
  <c r="B82" i="1"/>
  <c r="K110" i="1" l="1"/>
  <c r="K109" i="1"/>
  <c r="K106" i="1"/>
  <c r="K105" i="1"/>
  <c r="K107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F9" i="1"/>
  <c r="B96" i="1" s="1"/>
  <c r="E93" i="1"/>
  <c r="C94" i="1"/>
  <c r="D92" i="1"/>
  <c r="C92" i="1"/>
  <c r="G7" i="1"/>
  <c r="G6" i="1"/>
  <c r="A95" i="1" l="1"/>
  <c r="E95" i="1" s="1"/>
  <c r="E94" i="1"/>
  <c r="G8" i="1"/>
  <c r="E9" i="1"/>
  <c r="A96" i="1" s="1"/>
  <c r="D93" i="1"/>
  <c r="C93" i="1"/>
  <c r="F10" i="1"/>
  <c r="B97" i="1" s="1"/>
  <c r="D94" i="1"/>
  <c r="C95" i="1"/>
  <c r="D95" i="1"/>
  <c r="X4" i="1" l="1" a="1"/>
  <c r="X4" i="1" s="1"/>
  <c r="G9" i="1"/>
  <c r="E96" i="1"/>
  <c r="D96" i="1"/>
  <c r="D97" i="1"/>
  <c r="G11" i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Y5" i="1" l="1"/>
  <c r="DY8" i="1" s="1"/>
  <c r="AE16" i="1"/>
  <c r="DX5" i="1"/>
  <c r="DX8" i="1" s="1"/>
  <c r="AD16" i="1"/>
  <c r="DW5" i="1"/>
  <c r="DW8" i="1" s="1"/>
  <c r="AC16" i="1"/>
  <c r="B127" i="1"/>
  <c r="Z15" i="1"/>
  <c r="Z13" i="1" s="1"/>
  <c r="F127" i="1"/>
  <c r="F126" i="1"/>
  <c r="C117" i="1"/>
  <c r="AB15" i="1" s="1"/>
  <c r="B125" i="1"/>
  <c r="C116" i="1"/>
  <c r="AA15" i="1" s="1"/>
  <c r="F125" i="1"/>
  <c r="B120" i="1"/>
  <c r="B119" i="1"/>
  <c r="B126" i="1"/>
  <c r="DX4" i="1" l="1"/>
  <c r="DX10" i="1" s="1"/>
  <c r="AD15" i="1"/>
  <c r="DY4" i="1"/>
  <c r="DY10" i="1" s="1"/>
  <c r="AE15" i="1"/>
  <c r="DW4" i="1"/>
  <c r="DW10" i="1" s="1"/>
  <c r="AC15" i="1"/>
  <c r="DW11" i="1"/>
  <c r="EB10" i="1"/>
  <c r="DY11" i="1"/>
  <c r="ED10" i="1"/>
  <c r="DX11" i="1"/>
  <c r="EC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CE5" i="1" l="1"/>
  <c r="CE7" i="1"/>
  <c r="BX17" i="1"/>
  <c r="BX19" i="1"/>
  <c r="BX21" i="1"/>
  <c r="BX23" i="1"/>
  <c r="BX25" i="1"/>
  <c r="BX27" i="1"/>
  <c r="BX29" i="1"/>
  <c r="BX31" i="1"/>
  <c r="BX33" i="1"/>
  <c r="BX35" i="1"/>
  <c r="BX37" i="1"/>
  <c r="BX39" i="1"/>
  <c r="BX41" i="1"/>
  <c r="BX43" i="1"/>
  <c r="BX45" i="1"/>
  <c r="BX47" i="1"/>
  <c r="BX49" i="1"/>
  <c r="BX51" i="1"/>
  <c r="BX53" i="1"/>
  <c r="BX55" i="1"/>
  <c r="BX57" i="1"/>
  <c r="BX59" i="1"/>
  <c r="BX61" i="1"/>
  <c r="BX63" i="1"/>
  <c r="BX65" i="1"/>
  <c r="BX67" i="1"/>
  <c r="BX69" i="1"/>
  <c r="BX71" i="1"/>
  <c r="BX73" i="1"/>
  <c r="BX75" i="1"/>
  <c r="BX77" i="1"/>
  <c r="BX79" i="1"/>
  <c r="BX81" i="1"/>
  <c r="BX83" i="1"/>
  <c r="BX85" i="1"/>
  <c r="BX87" i="1"/>
  <c r="BX89" i="1"/>
  <c r="BX91" i="1"/>
  <c r="BX93" i="1"/>
  <c r="BX95" i="1"/>
  <c r="BX97" i="1"/>
  <c r="BX99" i="1"/>
  <c r="BX102" i="1"/>
  <c r="BX104" i="1"/>
  <c r="BX106" i="1"/>
  <c r="BX108" i="1"/>
  <c r="BX16" i="1"/>
  <c r="BX18" i="1"/>
  <c r="BX20" i="1"/>
  <c r="BX22" i="1"/>
  <c r="BX24" i="1"/>
  <c r="BX26" i="1"/>
  <c r="BX28" i="1"/>
  <c r="BX30" i="1"/>
  <c r="BX32" i="1"/>
  <c r="BX34" i="1"/>
  <c r="BX36" i="1"/>
  <c r="BX38" i="1"/>
  <c r="BX40" i="1"/>
  <c r="BX42" i="1"/>
  <c r="BX44" i="1"/>
  <c r="BX46" i="1"/>
  <c r="BX48" i="1"/>
  <c r="BX50" i="1"/>
  <c r="BX52" i="1"/>
  <c r="BX54" i="1"/>
  <c r="BX56" i="1"/>
  <c r="BX58" i="1"/>
  <c r="BX60" i="1"/>
  <c r="BX62" i="1"/>
  <c r="BX64" i="1"/>
  <c r="BX66" i="1"/>
  <c r="BX68" i="1"/>
  <c r="BX70" i="1"/>
  <c r="BX72" i="1"/>
  <c r="BX74" i="1"/>
  <c r="BX76" i="1"/>
  <c r="BX78" i="1"/>
  <c r="BX80" i="1"/>
  <c r="BX82" i="1"/>
  <c r="BX84" i="1"/>
  <c r="BX86" i="1"/>
  <c r="BX88" i="1"/>
  <c r="BX90" i="1"/>
  <c r="BX92" i="1"/>
  <c r="BX94" i="1"/>
  <c r="BX96" i="1"/>
  <c r="BX98" i="1"/>
  <c r="BX100" i="1"/>
  <c r="BX101" i="1"/>
  <c r="BX103" i="1"/>
  <c r="BX105" i="1"/>
  <c r="BX107" i="1"/>
  <c r="BX109" i="1"/>
  <c r="BX111" i="1"/>
  <c r="BX113" i="1"/>
  <c r="BX115" i="1"/>
  <c r="BX117" i="1"/>
  <c r="BX119" i="1"/>
  <c r="BX121" i="1"/>
  <c r="BX123" i="1"/>
  <c r="BX125" i="1"/>
  <c r="BX127" i="1"/>
  <c r="BX129" i="1"/>
  <c r="BX131" i="1"/>
  <c r="BX133" i="1"/>
  <c r="BX135" i="1"/>
  <c r="BX137" i="1"/>
  <c r="BX139" i="1"/>
  <c r="BX141" i="1"/>
  <c r="BX143" i="1"/>
  <c r="BX145" i="1"/>
  <c r="BX147" i="1"/>
  <c r="BX149" i="1"/>
  <c r="BX151" i="1"/>
  <c r="BX153" i="1"/>
  <c r="BX155" i="1"/>
  <c r="BX157" i="1"/>
  <c r="BX159" i="1"/>
  <c r="BX161" i="1"/>
  <c r="BX163" i="1"/>
  <c r="BX165" i="1"/>
  <c r="BX167" i="1"/>
  <c r="BX169" i="1"/>
  <c r="BX171" i="1"/>
  <c r="BX173" i="1"/>
  <c r="BX175" i="1"/>
  <c r="BX177" i="1"/>
  <c r="BX179" i="1"/>
  <c r="BX181" i="1"/>
  <c r="BX183" i="1"/>
  <c r="BX185" i="1"/>
  <c r="BX187" i="1"/>
  <c r="BX189" i="1"/>
  <c r="BX191" i="1"/>
  <c r="BX193" i="1"/>
  <c r="BX195" i="1"/>
  <c r="BX197" i="1"/>
  <c r="BX199" i="1"/>
  <c r="BX201" i="1"/>
  <c r="BX203" i="1"/>
  <c r="BX205" i="1"/>
  <c r="BX207" i="1"/>
  <c r="BX209" i="1"/>
  <c r="BX211" i="1"/>
  <c r="BX213" i="1"/>
  <c r="BX215" i="1"/>
  <c r="BX217" i="1"/>
  <c r="BX219" i="1"/>
  <c r="BX221" i="1"/>
  <c r="BX223" i="1"/>
  <c r="BX225" i="1"/>
  <c r="BX227" i="1"/>
  <c r="BX229" i="1"/>
  <c r="BX231" i="1"/>
  <c r="BX233" i="1"/>
  <c r="BX235" i="1"/>
  <c r="BX237" i="1"/>
  <c r="BX239" i="1"/>
  <c r="BX241" i="1"/>
  <c r="BX243" i="1"/>
  <c r="BX245" i="1"/>
  <c r="BX247" i="1"/>
  <c r="BX249" i="1"/>
  <c r="BX251" i="1"/>
  <c r="BX253" i="1"/>
  <c r="BX255" i="1"/>
  <c r="BX257" i="1"/>
  <c r="BX259" i="1"/>
  <c r="BX261" i="1"/>
  <c r="BX263" i="1"/>
  <c r="BX265" i="1"/>
  <c r="BX267" i="1"/>
  <c r="BX269" i="1"/>
  <c r="BX110" i="1"/>
  <c r="BX112" i="1"/>
  <c r="BX114" i="1"/>
  <c r="BX116" i="1"/>
  <c r="BX118" i="1"/>
  <c r="BX120" i="1"/>
  <c r="BX122" i="1"/>
  <c r="BX124" i="1"/>
  <c r="BX126" i="1"/>
  <c r="BX128" i="1"/>
  <c r="BX130" i="1"/>
  <c r="BX132" i="1"/>
  <c r="BX134" i="1"/>
  <c r="BX136" i="1"/>
  <c r="BX138" i="1"/>
  <c r="BX140" i="1"/>
  <c r="BX142" i="1"/>
  <c r="BX144" i="1"/>
  <c r="BX146" i="1"/>
  <c r="BX148" i="1"/>
  <c r="BX150" i="1"/>
  <c r="BX152" i="1"/>
  <c r="BX154" i="1"/>
  <c r="BX156" i="1"/>
  <c r="BX158" i="1"/>
  <c r="BX160" i="1"/>
  <c r="BX162" i="1"/>
  <c r="BX164" i="1"/>
  <c r="BX166" i="1"/>
  <c r="BX168" i="1"/>
  <c r="BX170" i="1"/>
  <c r="BX172" i="1"/>
  <c r="BX174" i="1"/>
  <c r="BX176" i="1"/>
  <c r="BX178" i="1"/>
  <c r="BX180" i="1"/>
  <c r="BX182" i="1"/>
  <c r="BX184" i="1"/>
  <c r="BX186" i="1"/>
  <c r="BX188" i="1"/>
  <c r="BX190" i="1"/>
  <c r="BX192" i="1"/>
  <c r="BX194" i="1"/>
  <c r="BX196" i="1"/>
  <c r="BX198" i="1"/>
  <c r="BX200" i="1"/>
  <c r="BX202" i="1"/>
  <c r="BX204" i="1"/>
  <c r="BX206" i="1"/>
  <c r="BX208" i="1"/>
  <c r="BX210" i="1"/>
  <c r="BX212" i="1"/>
  <c r="BX214" i="1"/>
  <c r="BX216" i="1"/>
  <c r="BX218" i="1"/>
  <c r="BX220" i="1"/>
  <c r="BX222" i="1"/>
  <c r="BX224" i="1"/>
  <c r="BX226" i="1"/>
  <c r="BX228" i="1"/>
  <c r="BX230" i="1"/>
  <c r="BX232" i="1"/>
  <c r="BX234" i="1"/>
  <c r="BX236" i="1"/>
  <c r="BX238" i="1"/>
  <c r="BX240" i="1"/>
  <c r="BX242" i="1"/>
  <c r="BX244" i="1"/>
  <c r="BX246" i="1"/>
  <c r="BX248" i="1"/>
  <c r="BX250" i="1"/>
  <c r="BX252" i="1"/>
  <c r="BX254" i="1"/>
  <c r="BX256" i="1"/>
  <c r="BX258" i="1"/>
  <c r="BZ258" i="1" s="1"/>
  <c r="BX260" i="1"/>
  <c r="BX262" i="1"/>
  <c r="BZ262" i="1" s="1"/>
  <c r="BX264" i="1"/>
  <c r="BX266" i="1"/>
  <c r="BZ266" i="1" s="1"/>
  <c r="BX268" i="1"/>
  <c r="BX270" i="1"/>
  <c r="BZ270" i="1" s="1"/>
  <c r="BX271" i="1"/>
  <c r="BX272" i="1"/>
  <c r="BZ272" i="1" s="1"/>
  <c r="BX274" i="1"/>
  <c r="BX276" i="1"/>
  <c r="BZ276" i="1" s="1"/>
  <c r="BX278" i="1"/>
  <c r="BX280" i="1"/>
  <c r="BZ280" i="1" s="1"/>
  <c r="BX282" i="1"/>
  <c r="BX284" i="1"/>
  <c r="BZ284" i="1" s="1"/>
  <c r="BX286" i="1"/>
  <c r="BX288" i="1"/>
  <c r="BZ288" i="1" s="1"/>
  <c r="BX290" i="1"/>
  <c r="BX292" i="1"/>
  <c r="BZ292" i="1" s="1"/>
  <c r="BX294" i="1"/>
  <c r="BX296" i="1"/>
  <c r="BZ296" i="1" s="1"/>
  <c r="BX298" i="1"/>
  <c r="BX300" i="1"/>
  <c r="BZ300" i="1" s="1"/>
  <c r="BX302" i="1"/>
  <c r="BX304" i="1"/>
  <c r="BZ304" i="1" s="1"/>
  <c r="BX306" i="1"/>
  <c r="BX308" i="1"/>
  <c r="BZ308" i="1" s="1"/>
  <c r="BX310" i="1"/>
  <c r="BX312" i="1"/>
  <c r="BZ312" i="1" s="1"/>
  <c r="BX314" i="1"/>
  <c r="BX316" i="1"/>
  <c r="BZ316" i="1" s="1"/>
  <c r="BX318" i="1"/>
  <c r="BX320" i="1"/>
  <c r="BZ320" i="1" s="1"/>
  <c r="BX322" i="1"/>
  <c r="BX324" i="1"/>
  <c r="BZ324" i="1" s="1"/>
  <c r="BX326" i="1"/>
  <c r="BX328" i="1"/>
  <c r="BZ328" i="1" s="1"/>
  <c r="BX330" i="1"/>
  <c r="BX332" i="1"/>
  <c r="BZ332" i="1" s="1"/>
  <c r="BX334" i="1"/>
  <c r="BX336" i="1"/>
  <c r="BZ336" i="1" s="1"/>
  <c r="BX338" i="1"/>
  <c r="BX340" i="1"/>
  <c r="BZ340" i="1" s="1"/>
  <c r="BX342" i="1"/>
  <c r="BX344" i="1"/>
  <c r="BZ344" i="1" s="1"/>
  <c r="BX346" i="1"/>
  <c r="BX348" i="1"/>
  <c r="BZ348" i="1" s="1"/>
  <c r="BX350" i="1"/>
  <c r="BX352" i="1"/>
  <c r="BZ352" i="1" s="1"/>
  <c r="BX354" i="1"/>
  <c r="BX356" i="1"/>
  <c r="BZ356" i="1" s="1"/>
  <c r="BX358" i="1"/>
  <c r="BX360" i="1"/>
  <c r="BZ360" i="1" s="1"/>
  <c r="BX362" i="1"/>
  <c r="BX364" i="1"/>
  <c r="BZ364" i="1" s="1"/>
  <c r="BX366" i="1"/>
  <c r="BX368" i="1"/>
  <c r="BZ368" i="1" s="1"/>
  <c r="BX370" i="1"/>
  <c r="BX372" i="1"/>
  <c r="BZ372" i="1" s="1"/>
  <c r="BX374" i="1"/>
  <c r="BX273" i="1"/>
  <c r="BZ273" i="1" s="1"/>
  <c r="BX275" i="1"/>
  <c r="BX277" i="1"/>
  <c r="BZ277" i="1" s="1"/>
  <c r="BX279" i="1"/>
  <c r="BX281" i="1"/>
  <c r="BZ281" i="1" s="1"/>
  <c r="BX283" i="1"/>
  <c r="BX285" i="1"/>
  <c r="BZ285" i="1" s="1"/>
  <c r="BX287" i="1"/>
  <c r="BX289" i="1"/>
  <c r="BZ289" i="1" s="1"/>
  <c r="BX291" i="1"/>
  <c r="BX293" i="1"/>
  <c r="BZ293" i="1" s="1"/>
  <c r="BX295" i="1"/>
  <c r="BX297" i="1"/>
  <c r="BZ297" i="1" s="1"/>
  <c r="BX299" i="1"/>
  <c r="BX301" i="1"/>
  <c r="BZ301" i="1" s="1"/>
  <c r="BX303" i="1"/>
  <c r="BX305" i="1"/>
  <c r="BZ305" i="1" s="1"/>
  <c r="BX307" i="1"/>
  <c r="BX311" i="1"/>
  <c r="BZ311" i="1" s="1"/>
  <c r="BX313" i="1"/>
  <c r="BX315" i="1"/>
  <c r="BZ315" i="1" s="1"/>
  <c r="BX317" i="1"/>
  <c r="BX319" i="1"/>
  <c r="BZ319" i="1" s="1"/>
  <c r="BX323" i="1"/>
  <c r="BX325" i="1"/>
  <c r="BZ325" i="1" s="1"/>
  <c r="BX327" i="1"/>
  <c r="BX329" i="1"/>
  <c r="BZ329" i="1" s="1"/>
  <c r="BX333" i="1"/>
  <c r="BX337" i="1"/>
  <c r="BZ337" i="1" s="1"/>
  <c r="BX343" i="1"/>
  <c r="BX345" i="1"/>
  <c r="BZ345" i="1" s="1"/>
  <c r="BX347" i="1"/>
  <c r="BX351" i="1"/>
  <c r="BZ351" i="1" s="1"/>
  <c r="BX355" i="1"/>
  <c r="BX359" i="1"/>
  <c r="BZ359" i="1" s="1"/>
  <c r="BX365" i="1"/>
  <c r="BX369" i="1"/>
  <c r="BZ369" i="1" s="1"/>
  <c r="BX371" i="1"/>
  <c r="BX375" i="1"/>
  <c r="BZ375" i="1" s="1"/>
  <c r="BX309" i="1"/>
  <c r="BX321" i="1"/>
  <c r="BZ321" i="1" s="1"/>
  <c r="BX331" i="1"/>
  <c r="BX335" i="1"/>
  <c r="BZ335" i="1" s="1"/>
  <c r="BX339" i="1"/>
  <c r="BX341" i="1"/>
  <c r="BZ341" i="1" s="1"/>
  <c r="BX349" i="1"/>
  <c r="BX353" i="1"/>
  <c r="BZ353" i="1" s="1"/>
  <c r="BX357" i="1"/>
  <c r="BX361" i="1"/>
  <c r="BZ361" i="1" s="1"/>
  <c r="BX363" i="1"/>
  <c r="BX367" i="1"/>
  <c r="BZ367" i="1" s="1"/>
  <c r="BX373" i="1"/>
  <c r="BX15" i="1"/>
  <c r="BZ15" i="1" s="1"/>
  <c r="DW14" i="1"/>
  <c r="DX18" i="1" s="1"/>
  <c r="EG10" i="1"/>
  <c r="EH10" i="1" s="1"/>
  <c r="EC12" i="1"/>
  <c r="EF10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BZ254" i="1" l="1"/>
  <c r="BZ250" i="1"/>
  <c r="BZ246" i="1"/>
  <c r="BZ242" i="1"/>
  <c r="BZ238" i="1"/>
  <c r="BZ234" i="1"/>
  <c r="BZ230" i="1"/>
  <c r="BZ226" i="1"/>
  <c r="BZ222" i="1"/>
  <c r="BZ218" i="1"/>
  <c r="BZ214" i="1"/>
  <c r="BZ210" i="1"/>
  <c r="BZ206" i="1"/>
  <c r="BZ202" i="1"/>
  <c r="BZ198" i="1"/>
  <c r="BZ194" i="1"/>
  <c r="BZ190" i="1"/>
  <c r="BZ186" i="1"/>
  <c r="BZ182" i="1"/>
  <c r="BZ178" i="1"/>
  <c r="BZ174" i="1"/>
  <c r="BZ170" i="1"/>
  <c r="BZ166" i="1"/>
  <c r="BZ162" i="1"/>
  <c r="BZ158" i="1"/>
  <c r="BZ154" i="1"/>
  <c r="BZ150" i="1"/>
  <c r="BZ146" i="1"/>
  <c r="BZ142" i="1"/>
  <c r="BZ138" i="1"/>
  <c r="BZ134" i="1"/>
  <c r="BZ130" i="1"/>
  <c r="BZ126" i="1"/>
  <c r="BZ122" i="1"/>
  <c r="BZ118" i="1"/>
  <c r="BZ114" i="1"/>
  <c r="BZ110" i="1"/>
  <c r="BZ267" i="1"/>
  <c r="BZ263" i="1"/>
  <c r="BZ259" i="1"/>
  <c r="BZ255" i="1"/>
  <c r="BZ251" i="1"/>
  <c r="BZ247" i="1"/>
  <c r="BZ243" i="1"/>
  <c r="BZ239" i="1"/>
  <c r="BZ235" i="1"/>
  <c r="BZ231" i="1"/>
  <c r="BZ227" i="1"/>
  <c r="BZ223" i="1"/>
  <c r="BZ219" i="1"/>
  <c r="BZ215" i="1"/>
  <c r="BZ211" i="1"/>
  <c r="BZ207" i="1"/>
  <c r="BZ203" i="1"/>
  <c r="BZ199" i="1"/>
  <c r="BZ195" i="1"/>
  <c r="BZ191" i="1"/>
  <c r="BZ187" i="1"/>
  <c r="BZ183" i="1"/>
  <c r="BZ179" i="1"/>
  <c r="BZ175" i="1"/>
  <c r="BZ171" i="1"/>
  <c r="BZ167" i="1"/>
  <c r="BZ163" i="1"/>
  <c r="BZ159" i="1"/>
  <c r="BZ155" i="1"/>
  <c r="BZ151" i="1"/>
  <c r="BZ147" i="1"/>
  <c r="BZ143" i="1"/>
  <c r="BZ139" i="1"/>
  <c r="BZ135" i="1"/>
  <c r="BZ131" i="1"/>
  <c r="BZ127" i="1"/>
  <c r="BZ123" i="1"/>
  <c r="BZ119" i="1"/>
  <c r="BZ115" i="1"/>
  <c r="BZ111" i="1"/>
  <c r="BZ107" i="1"/>
  <c r="BZ103" i="1"/>
  <c r="BZ100" i="1"/>
  <c r="BZ96" i="1"/>
  <c r="BZ92" i="1"/>
  <c r="BZ88" i="1"/>
  <c r="BZ84" i="1"/>
  <c r="BZ80" i="1"/>
  <c r="BZ76" i="1"/>
  <c r="BZ72" i="1"/>
  <c r="BZ68" i="1"/>
  <c r="BZ64" i="1"/>
  <c r="BZ60" i="1"/>
  <c r="BZ56" i="1"/>
  <c r="BZ52" i="1"/>
  <c r="BZ48" i="1"/>
  <c r="BZ44" i="1"/>
  <c r="BZ40" i="1"/>
  <c r="BZ36" i="1"/>
  <c r="BZ32" i="1"/>
  <c r="BZ28" i="1"/>
  <c r="BZ24" i="1"/>
  <c r="BZ20" i="1"/>
  <c r="BZ16" i="1"/>
  <c r="BZ106" i="1"/>
  <c r="BZ102" i="1"/>
  <c r="BZ97" i="1"/>
  <c r="BZ93" i="1"/>
  <c r="BZ89" i="1"/>
  <c r="BZ85" i="1"/>
  <c r="BZ81" i="1"/>
  <c r="BZ77" i="1"/>
  <c r="BZ73" i="1"/>
  <c r="BZ69" i="1"/>
  <c r="BZ65" i="1"/>
  <c r="BZ61" i="1"/>
  <c r="BZ57" i="1"/>
  <c r="BZ53" i="1"/>
  <c r="BZ49" i="1"/>
  <c r="BZ45" i="1"/>
  <c r="BZ41" i="1"/>
  <c r="BZ37" i="1"/>
  <c r="BZ33" i="1"/>
  <c r="BZ29" i="1"/>
  <c r="BZ25" i="1"/>
  <c r="BZ21" i="1"/>
  <c r="BZ17" i="1"/>
  <c r="BZ373" i="1"/>
  <c r="BZ363" i="1"/>
  <c r="BZ357" i="1"/>
  <c r="BZ349" i="1"/>
  <c r="BZ339" i="1"/>
  <c r="BZ331" i="1"/>
  <c r="BZ309" i="1"/>
  <c r="BZ371" i="1"/>
  <c r="BZ365" i="1"/>
  <c r="BZ355" i="1"/>
  <c r="BZ347" i="1"/>
  <c r="BZ343" i="1"/>
  <c r="BZ333" i="1"/>
  <c r="BZ327" i="1"/>
  <c r="BZ323" i="1"/>
  <c r="BZ317" i="1"/>
  <c r="BZ313" i="1"/>
  <c r="BZ307" i="1"/>
  <c r="BZ303" i="1"/>
  <c r="BZ299" i="1"/>
  <c r="BZ295" i="1"/>
  <c r="BZ291" i="1"/>
  <c r="BZ287" i="1"/>
  <c r="BZ283" i="1"/>
  <c r="BZ279" i="1"/>
  <c r="BZ275" i="1"/>
  <c r="BZ374" i="1"/>
  <c r="BZ370" i="1"/>
  <c r="BZ366" i="1"/>
  <c r="BZ362" i="1"/>
  <c r="BZ358" i="1"/>
  <c r="BZ354" i="1"/>
  <c r="BZ350" i="1"/>
  <c r="BZ346" i="1"/>
  <c r="BZ342" i="1"/>
  <c r="BZ338" i="1"/>
  <c r="BZ334" i="1"/>
  <c r="BZ330" i="1"/>
  <c r="BZ326" i="1"/>
  <c r="BZ322" i="1"/>
  <c r="BZ318" i="1"/>
  <c r="BZ314" i="1"/>
  <c r="BZ310" i="1"/>
  <c r="BZ306" i="1"/>
  <c r="BZ302" i="1"/>
  <c r="BZ298" i="1"/>
  <c r="BZ294" i="1"/>
  <c r="BZ290" i="1"/>
  <c r="BZ286" i="1"/>
  <c r="BZ282" i="1"/>
  <c r="BZ278" i="1"/>
  <c r="BZ274" i="1"/>
  <c r="BZ271" i="1"/>
  <c r="BZ268" i="1"/>
  <c r="BZ264" i="1"/>
  <c r="BZ260" i="1"/>
  <c r="BZ256" i="1"/>
  <c r="BZ252" i="1"/>
  <c r="BZ248" i="1"/>
  <c r="BZ244" i="1"/>
  <c r="BZ240" i="1"/>
  <c r="BZ236" i="1"/>
  <c r="BZ232" i="1"/>
  <c r="BZ228" i="1"/>
  <c r="BZ224" i="1"/>
  <c r="BZ220" i="1"/>
  <c r="BZ216" i="1"/>
  <c r="BZ212" i="1"/>
  <c r="BZ208" i="1"/>
  <c r="BZ204" i="1"/>
  <c r="BZ200" i="1"/>
  <c r="BZ196" i="1"/>
  <c r="BZ192" i="1"/>
  <c r="BZ188" i="1"/>
  <c r="BZ184" i="1"/>
  <c r="BZ180" i="1"/>
  <c r="BZ176" i="1"/>
  <c r="BZ172" i="1"/>
  <c r="BZ168" i="1"/>
  <c r="BZ164" i="1"/>
  <c r="BZ160" i="1"/>
  <c r="BZ156" i="1"/>
  <c r="BZ152" i="1"/>
  <c r="BZ148" i="1"/>
  <c r="BZ144" i="1"/>
  <c r="BZ140" i="1"/>
  <c r="BZ136" i="1"/>
  <c r="BZ132" i="1"/>
  <c r="BZ128" i="1"/>
  <c r="BZ124" i="1"/>
  <c r="BZ120" i="1"/>
  <c r="BZ116" i="1"/>
  <c r="BZ112" i="1"/>
  <c r="BZ269" i="1"/>
  <c r="BZ265" i="1"/>
  <c r="BZ261" i="1"/>
  <c r="BZ257" i="1"/>
  <c r="BZ253" i="1"/>
  <c r="BZ249" i="1"/>
  <c r="BZ245" i="1"/>
  <c r="BZ241" i="1"/>
  <c r="BZ237" i="1"/>
  <c r="BZ233" i="1"/>
  <c r="BZ229" i="1"/>
  <c r="BZ225" i="1"/>
  <c r="BZ221" i="1"/>
  <c r="BZ217" i="1"/>
  <c r="BZ213" i="1"/>
  <c r="BZ209" i="1"/>
  <c r="BZ205" i="1"/>
  <c r="BZ201" i="1"/>
  <c r="BZ197" i="1"/>
  <c r="BZ193" i="1"/>
  <c r="BZ189" i="1"/>
  <c r="BZ185" i="1"/>
  <c r="BZ181" i="1"/>
  <c r="BZ177" i="1"/>
  <c r="BZ173" i="1"/>
  <c r="BZ169" i="1"/>
  <c r="BZ165" i="1"/>
  <c r="BZ161" i="1"/>
  <c r="BZ157" i="1"/>
  <c r="BZ153" i="1"/>
  <c r="BZ149" i="1"/>
  <c r="BZ145" i="1"/>
  <c r="BZ141" i="1"/>
  <c r="BZ137" i="1"/>
  <c r="BZ133" i="1"/>
  <c r="BZ129" i="1"/>
  <c r="BZ125" i="1"/>
  <c r="BZ121" i="1"/>
  <c r="BZ117" i="1"/>
  <c r="BZ113" i="1"/>
  <c r="BZ109" i="1"/>
  <c r="BZ105" i="1"/>
  <c r="BZ101" i="1"/>
  <c r="BZ98" i="1"/>
  <c r="BZ94" i="1"/>
  <c r="BZ90" i="1"/>
  <c r="BZ86" i="1"/>
  <c r="BZ82" i="1"/>
  <c r="BZ78" i="1"/>
  <c r="BZ74" i="1"/>
  <c r="BZ70" i="1"/>
  <c r="BZ66" i="1"/>
  <c r="BZ62" i="1"/>
  <c r="BZ58" i="1"/>
  <c r="BZ54" i="1"/>
  <c r="BZ50" i="1"/>
  <c r="BZ46" i="1"/>
  <c r="BZ42" i="1"/>
  <c r="BZ38" i="1"/>
  <c r="BZ34" i="1"/>
  <c r="BZ30" i="1"/>
  <c r="BZ26" i="1"/>
  <c r="BZ22" i="1"/>
  <c r="BZ18" i="1"/>
  <c r="BZ108" i="1"/>
  <c r="BZ104" i="1"/>
  <c r="BZ99" i="1"/>
  <c r="BZ95" i="1"/>
  <c r="BZ91" i="1"/>
  <c r="BZ87" i="1"/>
  <c r="BZ83" i="1"/>
  <c r="BZ79" i="1"/>
  <c r="BZ75" i="1"/>
  <c r="BZ71" i="1"/>
  <c r="BZ67" i="1"/>
  <c r="BZ63" i="1"/>
  <c r="BZ59" i="1"/>
  <c r="BZ55" i="1"/>
  <c r="BZ51" i="1"/>
  <c r="BZ47" i="1"/>
  <c r="BZ43" i="1"/>
  <c r="BZ39" i="1"/>
  <c r="BZ35" i="1"/>
  <c r="BZ31" i="1"/>
  <c r="BZ27" i="1"/>
  <c r="BZ23" i="1"/>
  <c r="BZ19" i="1"/>
  <c r="CF5" i="1"/>
  <c r="CF7" i="1"/>
  <c r="BY16" i="1"/>
  <c r="BY18" i="1"/>
  <c r="BY20" i="1"/>
  <c r="BY22" i="1"/>
  <c r="BY24" i="1"/>
  <c r="BY26" i="1"/>
  <c r="BY28" i="1"/>
  <c r="BY30" i="1"/>
  <c r="BY32" i="1"/>
  <c r="BY34" i="1"/>
  <c r="BY36" i="1"/>
  <c r="BY38" i="1"/>
  <c r="BY40" i="1"/>
  <c r="BY42" i="1"/>
  <c r="BY44" i="1"/>
  <c r="BY46" i="1"/>
  <c r="BY48" i="1"/>
  <c r="BY50" i="1"/>
  <c r="BY52" i="1"/>
  <c r="BY54" i="1"/>
  <c r="BY56" i="1"/>
  <c r="BY58" i="1"/>
  <c r="BY60" i="1"/>
  <c r="BY62" i="1"/>
  <c r="BY64" i="1"/>
  <c r="CA64" i="1" s="1"/>
  <c r="BY66" i="1"/>
  <c r="BY68" i="1"/>
  <c r="CA68" i="1" s="1"/>
  <c r="BY70" i="1"/>
  <c r="BY72" i="1"/>
  <c r="CA72" i="1" s="1"/>
  <c r="BY74" i="1"/>
  <c r="BY76" i="1"/>
  <c r="CA76" i="1" s="1"/>
  <c r="BY78" i="1"/>
  <c r="BY80" i="1"/>
  <c r="CA80" i="1" s="1"/>
  <c r="BY82" i="1"/>
  <c r="BY84" i="1"/>
  <c r="CA84" i="1" s="1"/>
  <c r="BY86" i="1"/>
  <c r="BY88" i="1"/>
  <c r="CA88" i="1" s="1"/>
  <c r="BY90" i="1"/>
  <c r="BY92" i="1"/>
  <c r="CA92" i="1" s="1"/>
  <c r="BY94" i="1"/>
  <c r="BY96" i="1"/>
  <c r="CA96" i="1" s="1"/>
  <c r="BY98" i="1"/>
  <c r="BY100" i="1"/>
  <c r="CA100" i="1" s="1"/>
  <c r="BY101" i="1"/>
  <c r="BY103" i="1"/>
  <c r="CA103" i="1" s="1"/>
  <c r="BY105" i="1"/>
  <c r="BY107" i="1"/>
  <c r="CA107" i="1" s="1"/>
  <c r="BY17" i="1"/>
  <c r="BY19" i="1"/>
  <c r="CA19" i="1" s="1"/>
  <c r="BY21" i="1"/>
  <c r="BY23" i="1"/>
  <c r="CA23" i="1" s="1"/>
  <c r="BY25" i="1"/>
  <c r="BY27" i="1"/>
  <c r="CA27" i="1" s="1"/>
  <c r="BY29" i="1"/>
  <c r="BY31" i="1"/>
  <c r="CA31" i="1" s="1"/>
  <c r="BY33" i="1"/>
  <c r="BY35" i="1"/>
  <c r="CA35" i="1" s="1"/>
  <c r="BY37" i="1"/>
  <c r="BY39" i="1"/>
  <c r="CA39" i="1" s="1"/>
  <c r="BY41" i="1"/>
  <c r="BY43" i="1"/>
  <c r="CA43" i="1" s="1"/>
  <c r="BY45" i="1"/>
  <c r="BY47" i="1"/>
  <c r="CA47" i="1" s="1"/>
  <c r="BY49" i="1"/>
  <c r="BY51" i="1"/>
  <c r="CA51" i="1" s="1"/>
  <c r="BY53" i="1"/>
  <c r="BY55" i="1"/>
  <c r="CA55" i="1" s="1"/>
  <c r="BY57" i="1"/>
  <c r="BY59" i="1"/>
  <c r="CA59" i="1" s="1"/>
  <c r="BY61" i="1"/>
  <c r="BY63" i="1"/>
  <c r="CA63" i="1" s="1"/>
  <c r="BY65" i="1"/>
  <c r="BY67" i="1"/>
  <c r="CA67" i="1" s="1"/>
  <c r="BY69" i="1"/>
  <c r="BY71" i="1"/>
  <c r="CA71" i="1" s="1"/>
  <c r="BY73" i="1"/>
  <c r="BY75" i="1"/>
  <c r="CA75" i="1" s="1"/>
  <c r="BY77" i="1"/>
  <c r="BY79" i="1"/>
  <c r="CA79" i="1" s="1"/>
  <c r="BY81" i="1"/>
  <c r="BY83" i="1"/>
  <c r="CA83" i="1" s="1"/>
  <c r="BY85" i="1"/>
  <c r="BY87" i="1"/>
  <c r="CA87" i="1" s="1"/>
  <c r="BY89" i="1"/>
  <c r="BY91" i="1"/>
  <c r="CA91" i="1" s="1"/>
  <c r="BY93" i="1"/>
  <c r="BY95" i="1"/>
  <c r="CA95" i="1" s="1"/>
  <c r="BY97" i="1"/>
  <c r="BY99" i="1"/>
  <c r="CA99" i="1" s="1"/>
  <c r="BY102" i="1"/>
  <c r="BY104" i="1"/>
  <c r="CA104" i="1" s="1"/>
  <c r="BY106" i="1"/>
  <c r="BY108" i="1"/>
  <c r="CA108" i="1" s="1"/>
  <c r="BY110" i="1"/>
  <c r="BY112" i="1"/>
  <c r="CA112" i="1" s="1"/>
  <c r="BY114" i="1"/>
  <c r="BY116" i="1"/>
  <c r="CA116" i="1" s="1"/>
  <c r="BY118" i="1"/>
  <c r="BY120" i="1"/>
  <c r="CA120" i="1" s="1"/>
  <c r="BY122" i="1"/>
  <c r="BY124" i="1"/>
  <c r="CA124" i="1" s="1"/>
  <c r="BY126" i="1"/>
  <c r="BY128" i="1"/>
  <c r="CA128" i="1" s="1"/>
  <c r="BY130" i="1"/>
  <c r="BY132" i="1"/>
  <c r="CA132" i="1" s="1"/>
  <c r="BY134" i="1"/>
  <c r="BY136" i="1"/>
  <c r="CA136" i="1" s="1"/>
  <c r="BY138" i="1"/>
  <c r="BY140" i="1"/>
  <c r="CA140" i="1" s="1"/>
  <c r="BY142" i="1"/>
  <c r="BY144" i="1"/>
  <c r="CA144" i="1" s="1"/>
  <c r="BY146" i="1"/>
  <c r="BY148" i="1"/>
  <c r="CA148" i="1" s="1"/>
  <c r="BY150" i="1"/>
  <c r="BY152" i="1"/>
  <c r="CA152" i="1" s="1"/>
  <c r="BY154" i="1"/>
  <c r="BY156" i="1"/>
  <c r="CA156" i="1" s="1"/>
  <c r="BY158" i="1"/>
  <c r="BY160" i="1"/>
  <c r="CA160" i="1" s="1"/>
  <c r="BY162" i="1"/>
  <c r="BY164" i="1"/>
  <c r="CA164" i="1" s="1"/>
  <c r="BY166" i="1"/>
  <c r="BY168" i="1"/>
  <c r="CA168" i="1" s="1"/>
  <c r="BY170" i="1"/>
  <c r="BY172" i="1"/>
  <c r="CA172" i="1" s="1"/>
  <c r="BY174" i="1"/>
  <c r="BY176" i="1"/>
  <c r="CA176" i="1" s="1"/>
  <c r="BY178" i="1"/>
  <c r="BY180" i="1"/>
  <c r="CA180" i="1" s="1"/>
  <c r="BY182" i="1"/>
  <c r="BY184" i="1"/>
  <c r="CA184" i="1" s="1"/>
  <c r="BY186" i="1"/>
  <c r="BY188" i="1"/>
  <c r="CA188" i="1" s="1"/>
  <c r="BY190" i="1"/>
  <c r="BY192" i="1"/>
  <c r="CA192" i="1" s="1"/>
  <c r="BY194" i="1"/>
  <c r="BY196" i="1"/>
  <c r="CA196" i="1" s="1"/>
  <c r="BY198" i="1"/>
  <c r="BY200" i="1"/>
  <c r="CA200" i="1" s="1"/>
  <c r="BY202" i="1"/>
  <c r="BY204" i="1"/>
  <c r="CA204" i="1" s="1"/>
  <c r="BY206" i="1"/>
  <c r="BY208" i="1"/>
  <c r="CA208" i="1" s="1"/>
  <c r="BY210" i="1"/>
  <c r="BY212" i="1"/>
  <c r="CA212" i="1" s="1"/>
  <c r="BY214" i="1"/>
  <c r="BY216" i="1"/>
  <c r="CA216" i="1" s="1"/>
  <c r="BY218" i="1"/>
  <c r="BY220" i="1"/>
  <c r="CA220" i="1" s="1"/>
  <c r="BY222" i="1"/>
  <c r="BY224" i="1"/>
  <c r="CA224" i="1" s="1"/>
  <c r="BY226" i="1"/>
  <c r="BY228" i="1"/>
  <c r="CA228" i="1" s="1"/>
  <c r="BY230" i="1"/>
  <c r="BY232" i="1"/>
  <c r="CA232" i="1" s="1"/>
  <c r="BY234" i="1"/>
  <c r="BY236" i="1"/>
  <c r="CA236" i="1" s="1"/>
  <c r="BY238" i="1"/>
  <c r="BY240" i="1"/>
  <c r="CA240" i="1" s="1"/>
  <c r="BY242" i="1"/>
  <c r="BY244" i="1"/>
  <c r="CA244" i="1" s="1"/>
  <c r="BY246" i="1"/>
  <c r="BY248" i="1"/>
  <c r="CA248" i="1" s="1"/>
  <c r="BY250" i="1"/>
  <c r="BY252" i="1"/>
  <c r="CA252" i="1" s="1"/>
  <c r="BY254" i="1"/>
  <c r="BY256" i="1"/>
  <c r="CA256" i="1" s="1"/>
  <c r="BY258" i="1"/>
  <c r="BY260" i="1"/>
  <c r="CA260" i="1" s="1"/>
  <c r="BY262" i="1"/>
  <c r="BY264" i="1"/>
  <c r="CA264" i="1" s="1"/>
  <c r="BY266" i="1"/>
  <c r="BY268" i="1"/>
  <c r="CA268" i="1" s="1"/>
  <c r="BY270" i="1"/>
  <c r="BY109" i="1"/>
  <c r="CA109" i="1" s="1"/>
  <c r="BY111" i="1"/>
  <c r="BY113" i="1"/>
  <c r="CA113" i="1" s="1"/>
  <c r="BY115" i="1"/>
  <c r="BY117" i="1"/>
  <c r="CA117" i="1" s="1"/>
  <c r="BY119" i="1"/>
  <c r="BY121" i="1"/>
  <c r="CA121" i="1" s="1"/>
  <c r="BY123" i="1"/>
  <c r="BY125" i="1"/>
  <c r="CA125" i="1" s="1"/>
  <c r="BY127" i="1"/>
  <c r="BY129" i="1"/>
  <c r="CA129" i="1" s="1"/>
  <c r="BY131" i="1"/>
  <c r="BY133" i="1"/>
  <c r="CA133" i="1" s="1"/>
  <c r="BY135" i="1"/>
  <c r="BY137" i="1"/>
  <c r="CA137" i="1" s="1"/>
  <c r="BY139" i="1"/>
  <c r="BY141" i="1"/>
  <c r="CA141" i="1" s="1"/>
  <c r="BY143" i="1"/>
  <c r="BY145" i="1"/>
  <c r="CA145" i="1" s="1"/>
  <c r="BY147" i="1"/>
  <c r="BY149" i="1"/>
  <c r="CA149" i="1" s="1"/>
  <c r="BY151" i="1"/>
  <c r="BY153" i="1"/>
  <c r="CA153" i="1" s="1"/>
  <c r="BY155" i="1"/>
  <c r="BY157" i="1"/>
  <c r="CA157" i="1" s="1"/>
  <c r="BY159" i="1"/>
  <c r="BY161" i="1"/>
  <c r="CA161" i="1" s="1"/>
  <c r="BY163" i="1"/>
  <c r="BY165" i="1"/>
  <c r="CA165" i="1" s="1"/>
  <c r="BY167" i="1"/>
  <c r="BY169" i="1"/>
  <c r="CA169" i="1" s="1"/>
  <c r="BY171" i="1"/>
  <c r="BY173" i="1"/>
  <c r="CA173" i="1" s="1"/>
  <c r="BY175" i="1"/>
  <c r="BY177" i="1"/>
  <c r="CA177" i="1" s="1"/>
  <c r="BY179" i="1"/>
  <c r="BY181" i="1"/>
  <c r="CA181" i="1" s="1"/>
  <c r="BY183" i="1"/>
  <c r="BY185" i="1"/>
  <c r="CA185" i="1" s="1"/>
  <c r="BY187" i="1"/>
  <c r="BY189" i="1"/>
  <c r="CA189" i="1" s="1"/>
  <c r="BY191" i="1"/>
  <c r="BY193" i="1"/>
  <c r="CA193" i="1" s="1"/>
  <c r="BY195" i="1"/>
  <c r="BY197" i="1"/>
  <c r="CA197" i="1" s="1"/>
  <c r="BY199" i="1"/>
  <c r="BY201" i="1"/>
  <c r="CA201" i="1" s="1"/>
  <c r="BY203" i="1"/>
  <c r="BY205" i="1"/>
  <c r="CA205" i="1" s="1"/>
  <c r="BY207" i="1"/>
  <c r="BY209" i="1"/>
  <c r="CA209" i="1" s="1"/>
  <c r="BY211" i="1"/>
  <c r="BY213" i="1"/>
  <c r="CA213" i="1" s="1"/>
  <c r="BY215" i="1"/>
  <c r="BY217" i="1"/>
  <c r="CA217" i="1" s="1"/>
  <c r="BY219" i="1"/>
  <c r="BY221" i="1"/>
  <c r="CA221" i="1" s="1"/>
  <c r="BY223" i="1"/>
  <c r="BY225" i="1"/>
  <c r="CA225" i="1" s="1"/>
  <c r="BY227" i="1"/>
  <c r="BY229" i="1"/>
  <c r="CA229" i="1" s="1"/>
  <c r="BY231" i="1"/>
  <c r="BY233" i="1"/>
  <c r="CA233" i="1" s="1"/>
  <c r="BY235" i="1"/>
  <c r="BY237" i="1"/>
  <c r="CA237" i="1" s="1"/>
  <c r="BY239" i="1"/>
  <c r="BY241" i="1"/>
  <c r="CA241" i="1" s="1"/>
  <c r="BY243" i="1"/>
  <c r="BY245" i="1"/>
  <c r="CA245" i="1" s="1"/>
  <c r="BY247" i="1"/>
  <c r="BY249" i="1"/>
  <c r="CA249" i="1" s="1"/>
  <c r="BY251" i="1"/>
  <c r="BY253" i="1"/>
  <c r="CA253" i="1" s="1"/>
  <c r="BY255" i="1"/>
  <c r="BY257" i="1"/>
  <c r="CA257" i="1" s="1"/>
  <c r="BY259" i="1"/>
  <c r="BY261" i="1"/>
  <c r="CA261" i="1" s="1"/>
  <c r="BY263" i="1"/>
  <c r="BY265" i="1"/>
  <c r="CA265" i="1" s="1"/>
  <c r="BY267" i="1"/>
  <c r="BY269" i="1"/>
  <c r="CA269" i="1" s="1"/>
  <c r="BY271" i="1"/>
  <c r="BY273" i="1"/>
  <c r="CA273" i="1" s="1"/>
  <c r="BY275" i="1"/>
  <c r="BY277" i="1"/>
  <c r="CA277" i="1" s="1"/>
  <c r="BY279" i="1"/>
  <c r="BY281" i="1"/>
  <c r="CA281" i="1" s="1"/>
  <c r="BY283" i="1"/>
  <c r="BY285" i="1"/>
  <c r="CA285" i="1" s="1"/>
  <c r="BY287" i="1"/>
  <c r="BY289" i="1"/>
  <c r="CA289" i="1" s="1"/>
  <c r="BY291" i="1"/>
  <c r="BY293" i="1"/>
  <c r="CA293" i="1" s="1"/>
  <c r="BY295" i="1"/>
  <c r="BY297" i="1"/>
  <c r="CA297" i="1" s="1"/>
  <c r="BY299" i="1"/>
  <c r="BY301" i="1"/>
  <c r="CA301" i="1" s="1"/>
  <c r="BY303" i="1"/>
  <c r="BY305" i="1"/>
  <c r="CA305" i="1" s="1"/>
  <c r="BY307" i="1"/>
  <c r="BY309" i="1"/>
  <c r="CA309" i="1" s="1"/>
  <c r="BY311" i="1"/>
  <c r="BY313" i="1"/>
  <c r="CA313" i="1" s="1"/>
  <c r="BY315" i="1"/>
  <c r="BY317" i="1"/>
  <c r="CA317" i="1" s="1"/>
  <c r="BY319" i="1"/>
  <c r="BY321" i="1"/>
  <c r="CA321" i="1" s="1"/>
  <c r="BY323" i="1"/>
  <c r="BY325" i="1"/>
  <c r="CA325" i="1" s="1"/>
  <c r="BY327" i="1"/>
  <c r="BY329" i="1"/>
  <c r="CA329" i="1" s="1"/>
  <c r="BY331" i="1"/>
  <c r="BY333" i="1"/>
  <c r="CA333" i="1" s="1"/>
  <c r="BY335" i="1"/>
  <c r="BY337" i="1"/>
  <c r="CA337" i="1" s="1"/>
  <c r="BY339" i="1"/>
  <c r="BY341" i="1"/>
  <c r="CA341" i="1" s="1"/>
  <c r="BY343" i="1"/>
  <c r="BY345" i="1"/>
  <c r="CA345" i="1" s="1"/>
  <c r="BY347" i="1"/>
  <c r="BY349" i="1"/>
  <c r="CA349" i="1" s="1"/>
  <c r="BY351" i="1"/>
  <c r="BY353" i="1"/>
  <c r="CA353" i="1" s="1"/>
  <c r="BY355" i="1"/>
  <c r="BY357" i="1"/>
  <c r="CA357" i="1" s="1"/>
  <c r="BY359" i="1"/>
  <c r="BY361" i="1"/>
  <c r="CA361" i="1" s="1"/>
  <c r="BY363" i="1"/>
  <c r="BY365" i="1"/>
  <c r="CA365" i="1" s="1"/>
  <c r="BY367" i="1"/>
  <c r="BY369" i="1"/>
  <c r="CA369" i="1" s="1"/>
  <c r="BY371" i="1"/>
  <c r="BY373" i="1"/>
  <c r="CA373" i="1" s="1"/>
  <c r="BY375" i="1"/>
  <c r="BY272" i="1"/>
  <c r="CA272" i="1" s="1"/>
  <c r="BY274" i="1"/>
  <c r="BY276" i="1"/>
  <c r="CA276" i="1" s="1"/>
  <c r="BY278" i="1"/>
  <c r="BY280" i="1"/>
  <c r="CA280" i="1" s="1"/>
  <c r="BY282" i="1"/>
  <c r="BY284" i="1"/>
  <c r="CA284" i="1" s="1"/>
  <c r="BY286" i="1"/>
  <c r="BY288" i="1"/>
  <c r="CA288" i="1" s="1"/>
  <c r="BY290" i="1"/>
  <c r="BY292" i="1"/>
  <c r="CA292" i="1" s="1"/>
  <c r="BY294" i="1"/>
  <c r="BY296" i="1"/>
  <c r="CA296" i="1" s="1"/>
  <c r="BY298" i="1"/>
  <c r="BY300" i="1"/>
  <c r="CA300" i="1" s="1"/>
  <c r="BY302" i="1"/>
  <c r="BY304" i="1"/>
  <c r="CA304" i="1" s="1"/>
  <c r="BY306" i="1"/>
  <c r="BY308" i="1"/>
  <c r="CA308" i="1" s="1"/>
  <c r="BY310" i="1"/>
  <c r="BY312" i="1"/>
  <c r="CA312" i="1" s="1"/>
  <c r="BY314" i="1"/>
  <c r="BY316" i="1"/>
  <c r="CA316" i="1" s="1"/>
  <c r="BY318" i="1"/>
  <c r="BY320" i="1"/>
  <c r="CA320" i="1" s="1"/>
  <c r="BY322" i="1"/>
  <c r="BY324" i="1"/>
  <c r="CA324" i="1" s="1"/>
  <c r="BY330" i="1"/>
  <c r="BY334" i="1"/>
  <c r="CA334" i="1" s="1"/>
  <c r="BY338" i="1"/>
  <c r="BY340" i="1"/>
  <c r="CA340" i="1" s="1"/>
  <c r="BY344" i="1"/>
  <c r="BY346" i="1"/>
  <c r="CA346" i="1" s="1"/>
  <c r="BY348" i="1"/>
  <c r="BY352" i="1"/>
  <c r="CA352" i="1" s="1"/>
  <c r="BY356" i="1"/>
  <c r="BY360" i="1"/>
  <c r="CA360" i="1" s="1"/>
  <c r="BY366" i="1"/>
  <c r="BY372" i="1"/>
  <c r="CA372" i="1" s="1"/>
  <c r="BY326" i="1"/>
  <c r="BY328" i="1"/>
  <c r="CA328" i="1" s="1"/>
  <c r="BY332" i="1"/>
  <c r="BY336" i="1"/>
  <c r="CA336" i="1" s="1"/>
  <c r="BY342" i="1"/>
  <c r="BY350" i="1"/>
  <c r="CA350" i="1" s="1"/>
  <c r="BY354" i="1"/>
  <c r="BY358" i="1"/>
  <c r="CA358" i="1" s="1"/>
  <c r="BY362" i="1"/>
  <c r="BY364" i="1"/>
  <c r="CA364" i="1" s="1"/>
  <c r="BY368" i="1"/>
  <c r="BY370" i="1"/>
  <c r="CA370" i="1" s="1"/>
  <c r="BY374" i="1"/>
  <c r="BY15" i="1"/>
  <c r="CA15" i="1" s="1"/>
  <c r="DY17" i="1"/>
  <c r="DW18" i="1"/>
  <c r="DW16" i="1"/>
  <c r="DY18" i="1"/>
  <c r="DX16" i="1"/>
  <c r="DY16" i="1"/>
  <c r="DW17" i="1"/>
  <c r="DX17" i="1"/>
  <c r="EJ10" i="1"/>
  <c r="EI10" i="1"/>
  <c r="ED12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CA60" i="1" l="1"/>
  <c r="CB60" i="1" s="1"/>
  <c r="CC60" i="1" s="1"/>
  <c r="CA56" i="1"/>
  <c r="CA52" i="1"/>
  <c r="CA48" i="1"/>
  <c r="CA44" i="1"/>
  <c r="CB44" i="1" s="1"/>
  <c r="CC44" i="1" s="1"/>
  <c r="CA40" i="1"/>
  <c r="CB40" i="1" s="1"/>
  <c r="CC40" i="1" s="1"/>
  <c r="CA36" i="1"/>
  <c r="CA32" i="1"/>
  <c r="CB32" i="1" s="1"/>
  <c r="CC32" i="1" s="1"/>
  <c r="CA28" i="1"/>
  <c r="CB28" i="1" s="1"/>
  <c r="CC28" i="1" s="1"/>
  <c r="CA24" i="1"/>
  <c r="CA20" i="1"/>
  <c r="CA16" i="1"/>
  <c r="CB16" i="1" s="1"/>
  <c r="CC16" i="1" s="1"/>
  <c r="CA374" i="1"/>
  <c r="CB374" i="1" s="1"/>
  <c r="CC374" i="1" s="1"/>
  <c r="CA368" i="1"/>
  <c r="CB368" i="1" s="1"/>
  <c r="CC368" i="1" s="1"/>
  <c r="CA362" i="1"/>
  <c r="CB362" i="1" s="1"/>
  <c r="CC362" i="1" s="1"/>
  <c r="CA354" i="1"/>
  <c r="CB354" i="1" s="1"/>
  <c r="CC354" i="1" s="1"/>
  <c r="CA342" i="1"/>
  <c r="CB342" i="1" s="1"/>
  <c r="CC342" i="1" s="1"/>
  <c r="CA332" i="1"/>
  <c r="CB332" i="1" s="1"/>
  <c r="CC332" i="1" s="1"/>
  <c r="CA326" i="1"/>
  <c r="CB326" i="1" s="1"/>
  <c r="CC326" i="1" s="1"/>
  <c r="CA366" i="1"/>
  <c r="CB366" i="1" s="1"/>
  <c r="CC366" i="1" s="1"/>
  <c r="CA356" i="1"/>
  <c r="CB356" i="1" s="1"/>
  <c r="CC356" i="1" s="1"/>
  <c r="CA348" i="1"/>
  <c r="CB348" i="1" s="1"/>
  <c r="CC348" i="1" s="1"/>
  <c r="CA344" i="1"/>
  <c r="CB344" i="1" s="1"/>
  <c r="CC344" i="1" s="1"/>
  <c r="CA338" i="1"/>
  <c r="CB338" i="1" s="1"/>
  <c r="CC338" i="1" s="1"/>
  <c r="CA330" i="1"/>
  <c r="CB330" i="1" s="1"/>
  <c r="CC330" i="1" s="1"/>
  <c r="CA322" i="1"/>
  <c r="CB322" i="1" s="1"/>
  <c r="CC322" i="1" s="1"/>
  <c r="CA318" i="1"/>
  <c r="CB318" i="1" s="1"/>
  <c r="CC318" i="1" s="1"/>
  <c r="CA314" i="1"/>
  <c r="CB314" i="1" s="1"/>
  <c r="CC314" i="1" s="1"/>
  <c r="CA310" i="1"/>
  <c r="CB310" i="1" s="1"/>
  <c r="CC310" i="1" s="1"/>
  <c r="CA306" i="1"/>
  <c r="CB306" i="1" s="1"/>
  <c r="CC306" i="1" s="1"/>
  <c r="CA302" i="1"/>
  <c r="CB302" i="1" s="1"/>
  <c r="CC302" i="1" s="1"/>
  <c r="CA298" i="1"/>
  <c r="CB298" i="1" s="1"/>
  <c r="CC298" i="1" s="1"/>
  <c r="CA294" i="1"/>
  <c r="CB294" i="1" s="1"/>
  <c r="CC294" i="1" s="1"/>
  <c r="CA290" i="1"/>
  <c r="CB290" i="1" s="1"/>
  <c r="CC290" i="1" s="1"/>
  <c r="CA286" i="1"/>
  <c r="CB286" i="1" s="1"/>
  <c r="CC286" i="1" s="1"/>
  <c r="CA282" i="1"/>
  <c r="CB282" i="1" s="1"/>
  <c r="CC282" i="1" s="1"/>
  <c r="CA278" i="1"/>
  <c r="CB278" i="1" s="1"/>
  <c r="CC278" i="1" s="1"/>
  <c r="CA274" i="1"/>
  <c r="CB274" i="1" s="1"/>
  <c r="CC274" i="1" s="1"/>
  <c r="CA375" i="1"/>
  <c r="CB375" i="1" s="1"/>
  <c r="CC375" i="1" s="1"/>
  <c r="CA371" i="1"/>
  <c r="CB371" i="1" s="1"/>
  <c r="CC371" i="1" s="1"/>
  <c r="CA367" i="1"/>
  <c r="CB367" i="1" s="1"/>
  <c r="CC367" i="1" s="1"/>
  <c r="CA363" i="1"/>
  <c r="CB363" i="1" s="1"/>
  <c r="CC363" i="1" s="1"/>
  <c r="CA359" i="1"/>
  <c r="CB359" i="1" s="1"/>
  <c r="CC359" i="1" s="1"/>
  <c r="CA355" i="1"/>
  <c r="CB355" i="1" s="1"/>
  <c r="CC355" i="1" s="1"/>
  <c r="CA351" i="1"/>
  <c r="CB351" i="1" s="1"/>
  <c r="CC351" i="1" s="1"/>
  <c r="CA347" i="1"/>
  <c r="CB347" i="1" s="1"/>
  <c r="CC347" i="1" s="1"/>
  <c r="CA343" i="1"/>
  <c r="CB343" i="1" s="1"/>
  <c r="CC343" i="1" s="1"/>
  <c r="CA339" i="1"/>
  <c r="CB339" i="1" s="1"/>
  <c r="CC339" i="1" s="1"/>
  <c r="CA335" i="1"/>
  <c r="CB335" i="1" s="1"/>
  <c r="CC335" i="1" s="1"/>
  <c r="CA331" i="1"/>
  <c r="CB331" i="1" s="1"/>
  <c r="CC331" i="1" s="1"/>
  <c r="CA327" i="1"/>
  <c r="CB327" i="1" s="1"/>
  <c r="CC327" i="1" s="1"/>
  <c r="CA323" i="1"/>
  <c r="CB323" i="1" s="1"/>
  <c r="CC323" i="1" s="1"/>
  <c r="CA319" i="1"/>
  <c r="CB319" i="1" s="1"/>
  <c r="CC319" i="1" s="1"/>
  <c r="CA315" i="1"/>
  <c r="CB315" i="1" s="1"/>
  <c r="CC315" i="1" s="1"/>
  <c r="CA311" i="1"/>
  <c r="CB311" i="1" s="1"/>
  <c r="CC311" i="1" s="1"/>
  <c r="CA307" i="1"/>
  <c r="CB307" i="1" s="1"/>
  <c r="CC307" i="1" s="1"/>
  <c r="CA303" i="1"/>
  <c r="CB303" i="1" s="1"/>
  <c r="CC303" i="1" s="1"/>
  <c r="CA299" i="1"/>
  <c r="CB299" i="1" s="1"/>
  <c r="CC299" i="1" s="1"/>
  <c r="CA295" i="1"/>
  <c r="CB295" i="1" s="1"/>
  <c r="CC295" i="1" s="1"/>
  <c r="CA291" i="1"/>
  <c r="CB291" i="1" s="1"/>
  <c r="CC291" i="1" s="1"/>
  <c r="CA287" i="1"/>
  <c r="CB287" i="1" s="1"/>
  <c r="CC287" i="1" s="1"/>
  <c r="CA283" i="1"/>
  <c r="CB283" i="1" s="1"/>
  <c r="CC283" i="1" s="1"/>
  <c r="CA279" i="1"/>
  <c r="CB279" i="1" s="1"/>
  <c r="CC279" i="1" s="1"/>
  <c r="CA275" i="1"/>
  <c r="CB275" i="1" s="1"/>
  <c r="CC275" i="1" s="1"/>
  <c r="CA271" i="1"/>
  <c r="CB271" i="1" s="1"/>
  <c r="CC271" i="1" s="1"/>
  <c r="CA267" i="1"/>
  <c r="CB267" i="1" s="1"/>
  <c r="CC267" i="1" s="1"/>
  <c r="CA263" i="1"/>
  <c r="CB263" i="1" s="1"/>
  <c r="CC263" i="1" s="1"/>
  <c r="CA259" i="1"/>
  <c r="CB259" i="1" s="1"/>
  <c r="CC259" i="1" s="1"/>
  <c r="CA255" i="1"/>
  <c r="CB255" i="1" s="1"/>
  <c r="CC255" i="1" s="1"/>
  <c r="CA251" i="1"/>
  <c r="CB251" i="1" s="1"/>
  <c r="CC251" i="1" s="1"/>
  <c r="CA247" i="1"/>
  <c r="CB247" i="1" s="1"/>
  <c r="CC247" i="1" s="1"/>
  <c r="CA243" i="1"/>
  <c r="CB243" i="1" s="1"/>
  <c r="CC243" i="1" s="1"/>
  <c r="CA239" i="1"/>
  <c r="CB239" i="1" s="1"/>
  <c r="CC239" i="1" s="1"/>
  <c r="CA235" i="1"/>
  <c r="CB235" i="1" s="1"/>
  <c r="CC235" i="1" s="1"/>
  <c r="CA231" i="1"/>
  <c r="CB231" i="1" s="1"/>
  <c r="CC231" i="1" s="1"/>
  <c r="CA227" i="1"/>
  <c r="CB227" i="1" s="1"/>
  <c r="CC227" i="1" s="1"/>
  <c r="CA223" i="1"/>
  <c r="CB223" i="1" s="1"/>
  <c r="CC223" i="1" s="1"/>
  <c r="CA219" i="1"/>
  <c r="CB219" i="1" s="1"/>
  <c r="CC219" i="1" s="1"/>
  <c r="CA215" i="1"/>
  <c r="CB215" i="1" s="1"/>
  <c r="CC215" i="1" s="1"/>
  <c r="CA211" i="1"/>
  <c r="CB211" i="1" s="1"/>
  <c r="CC211" i="1" s="1"/>
  <c r="CA207" i="1"/>
  <c r="CB207" i="1" s="1"/>
  <c r="CC207" i="1" s="1"/>
  <c r="CA203" i="1"/>
  <c r="CB203" i="1" s="1"/>
  <c r="CC203" i="1" s="1"/>
  <c r="CA199" i="1"/>
  <c r="CB199" i="1" s="1"/>
  <c r="CC199" i="1" s="1"/>
  <c r="CA195" i="1"/>
  <c r="CB195" i="1" s="1"/>
  <c r="CC195" i="1" s="1"/>
  <c r="CA191" i="1"/>
  <c r="CB191" i="1" s="1"/>
  <c r="CC191" i="1" s="1"/>
  <c r="CA187" i="1"/>
  <c r="CB187" i="1" s="1"/>
  <c r="CC187" i="1" s="1"/>
  <c r="CA183" i="1"/>
  <c r="CB183" i="1" s="1"/>
  <c r="CC183" i="1" s="1"/>
  <c r="CA179" i="1"/>
  <c r="CB179" i="1" s="1"/>
  <c r="CC179" i="1" s="1"/>
  <c r="CA175" i="1"/>
  <c r="CB175" i="1" s="1"/>
  <c r="CC175" i="1" s="1"/>
  <c r="CA171" i="1"/>
  <c r="CB171" i="1" s="1"/>
  <c r="CC171" i="1" s="1"/>
  <c r="CA167" i="1"/>
  <c r="CB167" i="1" s="1"/>
  <c r="CC167" i="1" s="1"/>
  <c r="CA163" i="1"/>
  <c r="CB163" i="1" s="1"/>
  <c r="CC163" i="1" s="1"/>
  <c r="CA159" i="1"/>
  <c r="CB159" i="1" s="1"/>
  <c r="CC159" i="1" s="1"/>
  <c r="CA155" i="1"/>
  <c r="CB155" i="1" s="1"/>
  <c r="CC155" i="1" s="1"/>
  <c r="CA151" i="1"/>
  <c r="CB151" i="1" s="1"/>
  <c r="CC151" i="1" s="1"/>
  <c r="CA147" i="1"/>
  <c r="CB147" i="1" s="1"/>
  <c r="CC147" i="1" s="1"/>
  <c r="CA143" i="1"/>
  <c r="CB143" i="1" s="1"/>
  <c r="CC143" i="1" s="1"/>
  <c r="CA139" i="1"/>
  <c r="CB139" i="1" s="1"/>
  <c r="CC139" i="1" s="1"/>
  <c r="CA135" i="1"/>
  <c r="CB135" i="1" s="1"/>
  <c r="CC135" i="1" s="1"/>
  <c r="CA131" i="1"/>
  <c r="CB131" i="1" s="1"/>
  <c r="CC131" i="1" s="1"/>
  <c r="CA127" i="1"/>
  <c r="CB127" i="1" s="1"/>
  <c r="CC127" i="1" s="1"/>
  <c r="CA123" i="1"/>
  <c r="CB123" i="1" s="1"/>
  <c r="CC123" i="1" s="1"/>
  <c r="CA119" i="1"/>
  <c r="CB119" i="1" s="1"/>
  <c r="CC119" i="1" s="1"/>
  <c r="CA115" i="1"/>
  <c r="CB115" i="1" s="1"/>
  <c r="CC115" i="1" s="1"/>
  <c r="CA111" i="1"/>
  <c r="CB111" i="1" s="1"/>
  <c r="CC111" i="1" s="1"/>
  <c r="CA270" i="1"/>
  <c r="CB270" i="1" s="1"/>
  <c r="CC270" i="1" s="1"/>
  <c r="CA266" i="1"/>
  <c r="CB266" i="1" s="1"/>
  <c r="CC266" i="1" s="1"/>
  <c r="CA262" i="1"/>
  <c r="CB262" i="1" s="1"/>
  <c r="CC262" i="1" s="1"/>
  <c r="CA258" i="1"/>
  <c r="CB258" i="1" s="1"/>
  <c r="CC258" i="1" s="1"/>
  <c r="CA254" i="1"/>
  <c r="CB254" i="1" s="1"/>
  <c r="CC254" i="1" s="1"/>
  <c r="CA250" i="1"/>
  <c r="CB250" i="1" s="1"/>
  <c r="CC250" i="1" s="1"/>
  <c r="CA246" i="1"/>
  <c r="CB246" i="1" s="1"/>
  <c r="CC246" i="1" s="1"/>
  <c r="CA242" i="1"/>
  <c r="CB242" i="1" s="1"/>
  <c r="CC242" i="1" s="1"/>
  <c r="CA238" i="1"/>
  <c r="CB238" i="1" s="1"/>
  <c r="CC238" i="1" s="1"/>
  <c r="CA234" i="1"/>
  <c r="CB234" i="1" s="1"/>
  <c r="CC234" i="1" s="1"/>
  <c r="CA230" i="1"/>
  <c r="CB230" i="1" s="1"/>
  <c r="CC230" i="1" s="1"/>
  <c r="CA226" i="1"/>
  <c r="CB226" i="1" s="1"/>
  <c r="CC226" i="1" s="1"/>
  <c r="CA222" i="1"/>
  <c r="CB222" i="1" s="1"/>
  <c r="CC222" i="1" s="1"/>
  <c r="CA218" i="1"/>
  <c r="CB218" i="1" s="1"/>
  <c r="CC218" i="1" s="1"/>
  <c r="CA214" i="1"/>
  <c r="CB214" i="1" s="1"/>
  <c r="CC214" i="1" s="1"/>
  <c r="CA210" i="1"/>
  <c r="CB210" i="1" s="1"/>
  <c r="CC210" i="1" s="1"/>
  <c r="CA206" i="1"/>
  <c r="CB206" i="1" s="1"/>
  <c r="CC206" i="1" s="1"/>
  <c r="CA202" i="1"/>
  <c r="CB202" i="1" s="1"/>
  <c r="CC202" i="1" s="1"/>
  <c r="CA198" i="1"/>
  <c r="CB198" i="1" s="1"/>
  <c r="CC198" i="1" s="1"/>
  <c r="CA194" i="1"/>
  <c r="CB194" i="1" s="1"/>
  <c r="CC194" i="1" s="1"/>
  <c r="CA190" i="1"/>
  <c r="CB190" i="1" s="1"/>
  <c r="CC190" i="1" s="1"/>
  <c r="CA186" i="1"/>
  <c r="CB186" i="1" s="1"/>
  <c r="CC186" i="1" s="1"/>
  <c r="CA182" i="1"/>
  <c r="CB182" i="1" s="1"/>
  <c r="CC182" i="1" s="1"/>
  <c r="CA178" i="1"/>
  <c r="CB178" i="1" s="1"/>
  <c r="CC178" i="1" s="1"/>
  <c r="CA174" i="1"/>
  <c r="CB174" i="1" s="1"/>
  <c r="CC174" i="1" s="1"/>
  <c r="CA170" i="1"/>
  <c r="CB170" i="1" s="1"/>
  <c r="CC170" i="1" s="1"/>
  <c r="CA166" i="1"/>
  <c r="CB166" i="1" s="1"/>
  <c r="CC166" i="1" s="1"/>
  <c r="CA162" i="1"/>
  <c r="CB162" i="1" s="1"/>
  <c r="CC162" i="1" s="1"/>
  <c r="CA158" i="1"/>
  <c r="CB158" i="1" s="1"/>
  <c r="CC158" i="1" s="1"/>
  <c r="CA154" i="1"/>
  <c r="CB154" i="1" s="1"/>
  <c r="CC154" i="1" s="1"/>
  <c r="CA150" i="1"/>
  <c r="CB150" i="1" s="1"/>
  <c r="CC150" i="1" s="1"/>
  <c r="CA146" i="1"/>
  <c r="CB146" i="1" s="1"/>
  <c r="CC146" i="1" s="1"/>
  <c r="CA142" i="1"/>
  <c r="CB142" i="1" s="1"/>
  <c r="CC142" i="1" s="1"/>
  <c r="CA138" i="1"/>
  <c r="CB138" i="1" s="1"/>
  <c r="CC138" i="1" s="1"/>
  <c r="CA134" i="1"/>
  <c r="CB134" i="1" s="1"/>
  <c r="CC134" i="1" s="1"/>
  <c r="CA130" i="1"/>
  <c r="CB130" i="1" s="1"/>
  <c r="CC130" i="1" s="1"/>
  <c r="CA126" i="1"/>
  <c r="CB126" i="1" s="1"/>
  <c r="CC126" i="1" s="1"/>
  <c r="CA122" i="1"/>
  <c r="CB122" i="1" s="1"/>
  <c r="CC122" i="1" s="1"/>
  <c r="CA118" i="1"/>
  <c r="CB118" i="1" s="1"/>
  <c r="CC118" i="1" s="1"/>
  <c r="CA114" i="1"/>
  <c r="CB114" i="1" s="1"/>
  <c r="CC114" i="1" s="1"/>
  <c r="CA110" i="1"/>
  <c r="CB110" i="1" s="1"/>
  <c r="CC110" i="1" s="1"/>
  <c r="CA106" i="1"/>
  <c r="CB106" i="1" s="1"/>
  <c r="CC106" i="1" s="1"/>
  <c r="CA102" i="1"/>
  <c r="CB102" i="1" s="1"/>
  <c r="CC102" i="1" s="1"/>
  <c r="CA97" i="1"/>
  <c r="CB97" i="1" s="1"/>
  <c r="CC97" i="1" s="1"/>
  <c r="CA93" i="1"/>
  <c r="CB93" i="1" s="1"/>
  <c r="CC93" i="1" s="1"/>
  <c r="CA89" i="1"/>
  <c r="CB89" i="1" s="1"/>
  <c r="CC89" i="1" s="1"/>
  <c r="CA85" i="1"/>
  <c r="CB85" i="1" s="1"/>
  <c r="CC85" i="1" s="1"/>
  <c r="CA81" i="1"/>
  <c r="CB81" i="1" s="1"/>
  <c r="CC81" i="1" s="1"/>
  <c r="CA77" i="1"/>
  <c r="CB77" i="1" s="1"/>
  <c r="CC77" i="1" s="1"/>
  <c r="CA73" i="1"/>
  <c r="CB73" i="1" s="1"/>
  <c r="CC73" i="1" s="1"/>
  <c r="CA69" i="1"/>
  <c r="CB69" i="1" s="1"/>
  <c r="CC69" i="1" s="1"/>
  <c r="CA65" i="1"/>
  <c r="CB65" i="1" s="1"/>
  <c r="CC65" i="1" s="1"/>
  <c r="CA61" i="1"/>
  <c r="CB61" i="1" s="1"/>
  <c r="CC61" i="1" s="1"/>
  <c r="CA57" i="1"/>
  <c r="CB57" i="1" s="1"/>
  <c r="CC57" i="1" s="1"/>
  <c r="CA53" i="1"/>
  <c r="CB53" i="1" s="1"/>
  <c r="CC53" i="1" s="1"/>
  <c r="CA49" i="1"/>
  <c r="CB49" i="1" s="1"/>
  <c r="CC49" i="1" s="1"/>
  <c r="CA45" i="1"/>
  <c r="CB45" i="1" s="1"/>
  <c r="CC45" i="1" s="1"/>
  <c r="CA41" i="1"/>
  <c r="CB41" i="1" s="1"/>
  <c r="CC41" i="1" s="1"/>
  <c r="CA37" i="1"/>
  <c r="CB37" i="1" s="1"/>
  <c r="CC37" i="1" s="1"/>
  <c r="CA33" i="1"/>
  <c r="CB33" i="1" s="1"/>
  <c r="CC33" i="1" s="1"/>
  <c r="CA29" i="1"/>
  <c r="CB29" i="1" s="1"/>
  <c r="CC29" i="1" s="1"/>
  <c r="CA25" i="1"/>
  <c r="CB25" i="1" s="1"/>
  <c r="CC25" i="1" s="1"/>
  <c r="CA21" i="1"/>
  <c r="CB21" i="1" s="1"/>
  <c r="CC21" i="1" s="1"/>
  <c r="CA17" i="1"/>
  <c r="CB17" i="1" s="1"/>
  <c r="CC17" i="1" s="1"/>
  <c r="CA105" i="1"/>
  <c r="CB105" i="1" s="1"/>
  <c r="CC105" i="1" s="1"/>
  <c r="CA101" i="1"/>
  <c r="CB101" i="1" s="1"/>
  <c r="CC101" i="1" s="1"/>
  <c r="CA98" i="1"/>
  <c r="CB98" i="1" s="1"/>
  <c r="CC98" i="1" s="1"/>
  <c r="CA94" i="1"/>
  <c r="CB94" i="1" s="1"/>
  <c r="CC94" i="1" s="1"/>
  <c r="CA90" i="1"/>
  <c r="CB90" i="1" s="1"/>
  <c r="CC90" i="1" s="1"/>
  <c r="CA86" i="1"/>
  <c r="CB86" i="1" s="1"/>
  <c r="CC86" i="1" s="1"/>
  <c r="CA82" i="1"/>
  <c r="CB82" i="1" s="1"/>
  <c r="CC82" i="1" s="1"/>
  <c r="CA78" i="1"/>
  <c r="CB78" i="1" s="1"/>
  <c r="CC78" i="1" s="1"/>
  <c r="CA74" i="1"/>
  <c r="CB74" i="1" s="1"/>
  <c r="CC74" i="1" s="1"/>
  <c r="CA70" i="1"/>
  <c r="CB70" i="1" s="1"/>
  <c r="CC70" i="1" s="1"/>
  <c r="CA66" i="1"/>
  <c r="CB66" i="1" s="1"/>
  <c r="CC66" i="1" s="1"/>
  <c r="CA62" i="1"/>
  <c r="CB62" i="1" s="1"/>
  <c r="CC62" i="1" s="1"/>
  <c r="CA58" i="1"/>
  <c r="CB58" i="1" s="1"/>
  <c r="CC58" i="1" s="1"/>
  <c r="CA54" i="1"/>
  <c r="CB54" i="1" s="1"/>
  <c r="CC54" i="1" s="1"/>
  <c r="CA50" i="1"/>
  <c r="CB50" i="1" s="1"/>
  <c r="CC50" i="1" s="1"/>
  <c r="CA46" i="1"/>
  <c r="CB46" i="1" s="1"/>
  <c r="CC46" i="1" s="1"/>
  <c r="CA42" i="1"/>
  <c r="CB42" i="1" s="1"/>
  <c r="CC42" i="1" s="1"/>
  <c r="CA38" i="1"/>
  <c r="CB38" i="1" s="1"/>
  <c r="CC38" i="1" s="1"/>
  <c r="CA34" i="1"/>
  <c r="CB34" i="1" s="1"/>
  <c r="CC34" i="1" s="1"/>
  <c r="CA30" i="1"/>
  <c r="CB30" i="1" s="1"/>
  <c r="CC30" i="1" s="1"/>
  <c r="CA26" i="1"/>
  <c r="CB26" i="1" s="1"/>
  <c r="CC26" i="1" s="1"/>
  <c r="CA22" i="1"/>
  <c r="CB22" i="1" s="1"/>
  <c r="CC22" i="1" s="1"/>
  <c r="CA18" i="1"/>
  <c r="CB18" i="1" s="1"/>
  <c r="CC18" i="1" s="1"/>
  <c r="CB20" i="1"/>
  <c r="CC20" i="1" s="1"/>
  <c r="CB24" i="1"/>
  <c r="CC24" i="1" s="1"/>
  <c r="CB36" i="1"/>
  <c r="CC36" i="1" s="1"/>
  <c r="CB48" i="1"/>
  <c r="CC48" i="1" s="1"/>
  <c r="CB52" i="1"/>
  <c r="CC52" i="1" s="1"/>
  <c r="CB56" i="1"/>
  <c r="CC56" i="1" s="1"/>
  <c r="CB64" i="1"/>
  <c r="CC64" i="1" s="1"/>
  <c r="CB68" i="1"/>
  <c r="CC68" i="1" s="1"/>
  <c r="CB72" i="1"/>
  <c r="CC72" i="1" s="1"/>
  <c r="CB80" i="1"/>
  <c r="CC80" i="1" s="1"/>
  <c r="CB84" i="1"/>
  <c r="CC84" i="1" s="1"/>
  <c r="CB88" i="1"/>
  <c r="CC88" i="1" s="1"/>
  <c r="CB96" i="1"/>
  <c r="CC96" i="1" s="1"/>
  <c r="CB100" i="1"/>
  <c r="CC100" i="1" s="1"/>
  <c r="CB104" i="1"/>
  <c r="CC104" i="1" s="1"/>
  <c r="CB112" i="1"/>
  <c r="CC112" i="1" s="1"/>
  <c r="CB116" i="1"/>
  <c r="CC116" i="1" s="1"/>
  <c r="CB120" i="1"/>
  <c r="CC120" i="1" s="1"/>
  <c r="CB128" i="1"/>
  <c r="CC128" i="1" s="1"/>
  <c r="CB132" i="1"/>
  <c r="CC132" i="1" s="1"/>
  <c r="CB136" i="1"/>
  <c r="CC136" i="1" s="1"/>
  <c r="CB144" i="1"/>
  <c r="CC144" i="1" s="1"/>
  <c r="CB148" i="1"/>
  <c r="CC148" i="1" s="1"/>
  <c r="CB152" i="1"/>
  <c r="CC152" i="1" s="1"/>
  <c r="CB160" i="1"/>
  <c r="CC160" i="1" s="1"/>
  <c r="CB164" i="1"/>
  <c r="CC164" i="1" s="1"/>
  <c r="CB168" i="1"/>
  <c r="CC168" i="1" s="1"/>
  <c r="CB176" i="1"/>
  <c r="CC176" i="1" s="1"/>
  <c r="CB180" i="1"/>
  <c r="CC180" i="1" s="1"/>
  <c r="CB184" i="1"/>
  <c r="CC184" i="1" s="1"/>
  <c r="CB23" i="1"/>
  <c r="CC23" i="1" s="1"/>
  <c r="CB27" i="1"/>
  <c r="CC27" i="1" s="1"/>
  <c r="CB31" i="1"/>
  <c r="CC31" i="1" s="1"/>
  <c r="CB39" i="1"/>
  <c r="CC39" i="1" s="1"/>
  <c r="CB43" i="1"/>
  <c r="CC43" i="1" s="1"/>
  <c r="CB47" i="1"/>
  <c r="CC47" i="1" s="1"/>
  <c r="CB55" i="1"/>
  <c r="CC55" i="1" s="1"/>
  <c r="CB59" i="1"/>
  <c r="CC59" i="1" s="1"/>
  <c r="CB63" i="1"/>
  <c r="CC63" i="1" s="1"/>
  <c r="CB71" i="1"/>
  <c r="CC71" i="1" s="1"/>
  <c r="CB75" i="1"/>
  <c r="CC75" i="1" s="1"/>
  <c r="CB79" i="1"/>
  <c r="CC79" i="1" s="1"/>
  <c r="CB87" i="1"/>
  <c r="CC87" i="1" s="1"/>
  <c r="CB91" i="1"/>
  <c r="CC91" i="1" s="1"/>
  <c r="CB95" i="1"/>
  <c r="CC95" i="1" s="1"/>
  <c r="CB103" i="1"/>
  <c r="CC103" i="1" s="1"/>
  <c r="CB107" i="1"/>
  <c r="CC107" i="1" s="1"/>
  <c r="CB109" i="1"/>
  <c r="CC109" i="1" s="1"/>
  <c r="CB113" i="1"/>
  <c r="CC113" i="1" s="1"/>
  <c r="CB117" i="1"/>
  <c r="CC117" i="1" s="1"/>
  <c r="CB121" i="1"/>
  <c r="CC121" i="1" s="1"/>
  <c r="CB125" i="1"/>
  <c r="CC125" i="1" s="1"/>
  <c r="CB129" i="1"/>
  <c r="CC129" i="1" s="1"/>
  <c r="CB133" i="1"/>
  <c r="CC133" i="1" s="1"/>
  <c r="CB137" i="1"/>
  <c r="CC137" i="1" s="1"/>
  <c r="CB141" i="1"/>
  <c r="CC141" i="1" s="1"/>
  <c r="CB145" i="1"/>
  <c r="CC145" i="1" s="1"/>
  <c r="CB149" i="1"/>
  <c r="CC149" i="1" s="1"/>
  <c r="CB153" i="1"/>
  <c r="CC153" i="1" s="1"/>
  <c r="CB157" i="1"/>
  <c r="CC157" i="1" s="1"/>
  <c r="CB161" i="1"/>
  <c r="CC161" i="1" s="1"/>
  <c r="CB165" i="1"/>
  <c r="CC165" i="1" s="1"/>
  <c r="CB169" i="1"/>
  <c r="CC169" i="1" s="1"/>
  <c r="CB173" i="1"/>
  <c r="CC173" i="1" s="1"/>
  <c r="CB177" i="1"/>
  <c r="CC177" i="1" s="1"/>
  <c r="CB181" i="1"/>
  <c r="CC181" i="1" s="1"/>
  <c r="CB185" i="1"/>
  <c r="CC185" i="1" s="1"/>
  <c r="CB188" i="1"/>
  <c r="CC188" i="1" s="1"/>
  <c r="CB192" i="1"/>
  <c r="CC192" i="1" s="1"/>
  <c r="CB196" i="1"/>
  <c r="CC196" i="1" s="1"/>
  <c r="CB200" i="1"/>
  <c r="CC200" i="1" s="1"/>
  <c r="CB204" i="1"/>
  <c r="CC204" i="1" s="1"/>
  <c r="CB208" i="1"/>
  <c r="CC208" i="1" s="1"/>
  <c r="CB212" i="1"/>
  <c r="CC212" i="1" s="1"/>
  <c r="CB216" i="1"/>
  <c r="CC216" i="1" s="1"/>
  <c r="CB220" i="1"/>
  <c r="CC220" i="1" s="1"/>
  <c r="CB224" i="1"/>
  <c r="CC224" i="1" s="1"/>
  <c r="CB228" i="1"/>
  <c r="CC228" i="1" s="1"/>
  <c r="CB232" i="1"/>
  <c r="CC232" i="1" s="1"/>
  <c r="CB236" i="1"/>
  <c r="CC236" i="1" s="1"/>
  <c r="CB240" i="1"/>
  <c r="CC240" i="1" s="1"/>
  <c r="CB244" i="1"/>
  <c r="CC244" i="1" s="1"/>
  <c r="CB248" i="1"/>
  <c r="CC248" i="1" s="1"/>
  <c r="CB252" i="1"/>
  <c r="CC252" i="1" s="1"/>
  <c r="CB256" i="1"/>
  <c r="CC256" i="1" s="1"/>
  <c r="CB260" i="1"/>
  <c r="CC260" i="1" s="1"/>
  <c r="CB264" i="1"/>
  <c r="CC264" i="1" s="1"/>
  <c r="CB268" i="1"/>
  <c r="CC268" i="1" s="1"/>
  <c r="CB272" i="1"/>
  <c r="CC272" i="1" s="1"/>
  <c r="CB276" i="1"/>
  <c r="CC276" i="1" s="1"/>
  <c r="CB280" i="1"/>
  <c r="CC280" i="1" s="1"/>
  <c r="CB284" i="1"/>
  <c r="CC284" i="1" s="1"/>
  <c r="CB288" i="1"/>
  <c r="CC288" i="1" s="1"/>
  <c r="CB292" i="1"/>
  <c r="CC292" i="1" s="1"/>
  <c r="CB296" i="1"/>
  <c r="CC296" i="1" s="1"/>
  <c r="CB300" i="1"/>
  <c r="CC300" i="1" s="1"/>
  <c r="CB304" i="1"/>
  <c r="CC304" i="1" s="1"/>
  <c r="CB308" i="1"/>
  <c r="CC308" i="1" s="1"/>
  <c r="CB312" i="1"/>
  <c r="CC312" i="1" s="1"/>
  <c r="CB316" i="1"/>
  <c r="CC316" i="1" s="1"/>
  <c r="CB320" i="1"/>
  <c r="CC320" i="1" s="1"/>
  <c r="CB324" i="1"/>
  <c r="CC324" i="1" s="1"/>
  <c r="CB328" i="1"/>
  <c r="CC328" i="1" s="1"/>
  <c r="CB336" i="1"/>
  <c r="CC336" i="1" s="1"/>
  <c r="CB340" i="1"/>
  <c r="CC340" i="1" s="1"/>
  <c r="CB346" i="1"/>
  <c r="CC346" i="1" s="1"/>
  <c r="CB352" i="1"/>
  <c r="CC352" i="1" s="1"/>
  <c r="CB360" i="1"/>
  <c r="CC360" i="1" s="1"/>
  <c r="CB364" i="1"/>
  <c r="CC364" i="1" s="1"/>
  <c r="CB370" i="1"/>
  <c r="CC370" i="1" s="1"/>
  <c r="CB372" i="1"/>
  <c r="CC372" i="1" s="1"/>
  <c r="CB189" i="1"/>
  <c r="CC189" i="1" s="1"/>
  <c r="CB193" i="1"/>
  <c r="CC193" i="1" s="1"/>
  <c r="CB201" i="1"/>
  <c r="CC201" i="1" s="1"/>
  <c r="CB205" i="1"/>
  <c r="CC205" i="1" s="1"/>
  <c r="CB209" i="1"/>
  <c r="CC209" i="1" s="1"/>
  <c r="CB213" i="1"/>
  <c r="CC213" i="1" s="1"/>
  <c r="CB217" i="1"/>
  <c r="CC217" i="1" s="1"/>
  <c r="CB221" i="1"/>
  <c r="CC221" i="1" s="1"/>
  <c r="CB225" i="1"/>
  <c r="CC225" i="1" s="1"/>
  <c r="CB233" i="1"/>
  <c r="CC233" i="1" s="1"/>
  <c r="CB237" i="1"/>
  <c r="CC237" i="1" s="1"/>
  <c r="CB241" i="1"/>
  <c r="CC241" i="1" s="1"/>
  <c r="CB245" i="1"/>
  <c r="CC245" i="1" s="1"/>
  <c r="CB249" i="1"/>
  <c r="CC249" i="1" s="1"/>
  <c r="CB253" i="1"/>
  <c r="CC253" i="1" s="1"/>
  <c r="CB257" i="1"/>
  <c r="CC257" i="1" s="1"/>
  <c r="CB265" i="1"/>
  <c r="CC265" i="1" s="1"/>
  <c r="CB269" i="1"/>
  <c r="CC269" i="1" s="1"/>
  <c r="CB273" i="1"/>
  <c r="CC273" i="1" s="1"/>
  <c r="CB277" i="1"/>
  <c r="CC277" i="1" s="1"/>
  <c r="CB281" i="1"/>
  <c r="CC281" i="1" s="1"/>
  <c r="CB285" i="1"/>
  <c r="CC285" i="1" s="1"/>
  <c r="CB289" i="1"/>
  <c r="CC289" i="1" s="1"/>
  <c r="CB293" i="1"/>
  <c r="CC293" i="1" s="1"/>
  <c r="CB297" i="1"/>
  <c r="CC297" i="1" s="1"/>
  <c r="CB301" i="1"/>
  <c r="CC301" i="1" s="1"/>
  <c r="CB305" i="1"/>
  <c r="CC305" i="1" s="1"/>
  <c r="CB309" i="1"/>
  <c r="CC309" i="1" s="1"/>
  <c r="CB313" i="1"/>
  <c r="CC313" i="1" s="1"/>
  <c r="CB317" i="1"/>
  <c r="CC317" i="1" s="1"/>
  <c r="CB321" i="1"/>
  <c r="CC321" i="1" s="1"/>
  <c r="CB329" i="1"/>
  <c r="CC329" i="1" s="1"/>
  <c r="CB333" i="1"/>
  <c r="CC333" i="1" s="1"/>
  <c r="CB337" i="1"/>
  <c r="CC337" i="1" s="1"/>
  <c r="CB341" i="1"/>
  <c r="CC341" i="1" s="1"/>
  <c r="CB345" i="1"/>
  <c r="CC345" i="1" s="1"/>
  <c r="CB349" i="1"/>
  <c r="CC349" i="1" s="1"/>
  <c r="CB353" i="1"/>
  <c r="CC353" i="1" s="1"/>
  <c r="CB357" i="1"/>
  <c r="CC357" i="1" s="1"/>
  <c r="CB361" i="1"/>
  <c r="CC361" i="1" s="1"/>
  <c r="CB365" i="1"/>
  <c r="CC365" i="1" s="1"/>
  <c r="CB369" i="1"/>
  <c r="CC369" i="1" s="1"/>
  <c r="CB373" i="1"/>
  <c r="CC373" i="1" s="1"/>
  <c r="CB15" i="1"/>
  <c r="CC15" i="1" s="1"/>
  <c r="CB76" i="1"/>
  <c r="CC76" i="1" s="1"/>
  <c r="CB92" i="1"/>
  <c r="CC92" i="1" s="1"/>
  <c r="CB108" i="1"/>
  <c r="CC108" i="1" s="1"/>
  <c r="CB124" i="1"/>
  <c r="CC124" i="1" s="1"/>
  <c r="CB140" i="1"/>
  <c r="CC140" i="1" s="1"/>
  <c r="CB156" i="1"/>
  <c r="CC156" i="1" s="1"/>
  <c r="CB172" i="1"/>
  <c r="CC172" i="1" s="1"/>
  <c r="CB19" i="1"/>
  <c r="CC19" i="1" s="1"/>
  <c r="CB35" i="1"/>
  <c r="CC35" i="1" s="1"/>
  <c r="CB51" i="1"/>
  <c r="CC51" i="1" s="1"/>
  <c r="CB67" i="1"/>
  <c r="CC67" i="1" s="1"/>
  <c r="CB83" i="1"/>
  <c r="CC83" i="1" s="1"/>
  <c r="CB99" i="1"/>
  <c r="CC99" i="1" s="1"/>
  <c r="CB334" i="1"/>
  <c r="CC334" i="1" s="1"/>
  <c r="CB350" i="1"/>
  <c r="CC350" i="1" s="1"/>
  <c r="CB358" i="1"/>
  <c r="CC358" i="1" s="1"/>
  <c r="CB197" i="1"/>
  <c r="CC197" i="1" s="1"/>
  <c r="CB229" i="1"/>
  <c r="CC229" i="1" s="1"/>
  <c r="CB261" i="1"/>
  <c r="CC261" i="1" s="1"/>
  <c r="CB325" i="1"/>
  <c r="CC325" i="1" s="1"/>
  <c r="BY5" i="1"/>
  <c r="BZ5" i="1" s="1"/>
  <c r="DW20" i="1" a="1"/>
  <c r="DW20" i="1" s="1"/>
  <c r="DW21" i="1" a="1"/>
  <c r="DW21" i="1" s="1"/>
  <c r="EB20" i="1" a="1"/>
  <c r="EB20" i="1" s="1"/>
  <c r="EF12" i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CA5" i="1" l="1"/>
  <c r="DZ21" i="1"/>
  <c r="DX21" i="1"/>
  <c r="DY20" i="1"/>
  <c r="DZ20" i="1"/>
  <c r="DX20" i="1"/>
  <c r="DW24" i="1" s="1"/>
  <c r="DY21" i="1"/>
  <c r="ED20" i="1"/>
  <c r="EE20" i="1"/>
  <c r="EC20" i="1"/>
  <c r="J188" i="1"/>
  <c r="K188" i="1" s="1"/>
  <c r="L188" i="1" s="1"/>
  <c r="M188" i="1" s="1"/>
  <c r="N188" i="1" s="1"/>
  <c r="J190" i="1"/>
  <c r="K190" i="1" s="1"/>
  <c r="L190" i="1" s="1"/>
  <c r="M190" i="1" s="1"/>
  <c r="N190" i="1" s="1"/>
  <c r="J189" i="1"/>
  <c r="K189" i="1" s="1"/>
  <c r="L189" i="1" s="1"/>
  <c r="M189" i="1" s="1"/>
  <c r="N189" i="1" s="1"/>
  <c r="J191" i="1"/>
  <c r="K191" i="1" s="1"/>
  <c r="J185" i="1"/>
  <c r="K185" i="1" s="1"/>
  <c r="J192" i="1"/>
  <c r="K192" i="1" s="1"/>
  <c r="J193" i="1"/>
  <c r="K193" i="1" s="1"/>
  <c r="J186" i="1"/>
  <c r="K186" i="1" s="1"/>
  <c r="J194" i="1"/>
  <c r="K194" i="1" s="1"/>
  <c r="J187" i="1"/>
  <c r="K187" i="1" s="1"/>
  <c r="F56" i="1"/>
  <c r="G56" i="1" s="1"/>
  <c r="E171" i="1"/>
  <c r="F53" i="1"/>
  <c r="G53" i="1" s="1"/>
  <c r="C161" i="1"/>
  <c r="J64" i="1"/>
  <c r="K64" i="1" s="1"/>
  <c r="L64" i="1" s="1"/>
  <c r="M64" i="1" s="1"/>
  <c r="O64" i="1" s="1"/>
  <c r="B148" i="1"/>
  <c r="F170" i="1" s="1"/>
  <c r="F50" i="1"/>
  <c r="G50" i="1" s="1"/>
  <c r="B158" i="1"/>
  <c r="B169" i="1" s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J69" i="1"/>
  <c r="J62" i="1"/>
  <c r="K62" i="1" s="1"/>
  <c r="L62" i="1" s="1"/>
  <c r="M62" i="1" s="1"/>
  <c r="N62" i="1" s="1"/>
  <c r="CE8" i="1" l="1"/>
  <c r="CG7" i="1"/>
  <c r="CB5" i="1"/>
  <c r="L194" i="1"/>
  <c r="M194" i="1" s="1"/>
  <c r="N194" i="1" s="1"/>
  <c r="L193" i="1"/>
  <c r="M193" i="1" s="1"/>
  <c r="N193" i="1" s="1"/>
  <c r="DY28" i="1"/>
  <c r="DW26" i="1"/>
  <c r="DX28" i="1"/>
  <c r="DX26" i="1"/>
  <c r="DW28" i="1"/>
  <c r="DW27" i="1"/>
  <c r="DY27" i="1"/>
  <c r="DY26" i="1"/>
  <c r="DX27" i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CG5" i="1" l="1"/>
  <c r="CF8" i="1"/>
  <c r="CG8" i="1" s="1"/>
  <c r="O193" i="1"/>
  <c r="P193" i="1"/>
  <c r="P194" i="1"/>
  <c r="O194" i="1"/>
  <c r="DW40" i="1" a="1"/>
  <c r="DW31" i="1" a="1"/>
  <c r="DX31" i="1" s="1"/>
  <c r="EB30" i="1" a="1"/>
  <c r="EB30" i="1" s="1"/>
  <c r="DW30" i="1" a="1"/>
  <c r="DW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B196" i="1" s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AC17" i="1" l="1"/>
  <c r="AD17" i="1"/>
  <c r="AE17" i="1"/>
  <c r="DX41" i="1"/>
  <c r="DY41" i="1"/>
  <c r="DY43" i="1"/>
  <c r="DZ41" i="1"/>
  <c r="DZ43" i="1"/>
  <c r="DW40" i="1"/>
  <c r="DW42" i="1"/>
  <c r="DX40" i="1"/>
  <c r="DX42" i="1"/>
  <c r="DY40" i="1"/>
  <c r="DY42" i="1"/>
  <c r="DZ40" i="1"/>
  <c r="DZ42" i="1"/>
  <c r="DW41" i="1"/>
  <c r="DW43" i="1"/>
  <c r="DX43" i="1"/>
  <c r="DW31" i="1"/>
  <c r="DY31" i="1"/>
  <c r="EE30" i="1"/>
  <c r="ED30" i="1"/>
  <c r="EC30" i="1"/>
  <c r="DX30" i="1"/>
  <c r="DZ30" i="1"/>
  <c r="DY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B197" i="1" s="1"/>
  <c r="P195" i="1"/>
  <c r="B198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DW44" i="1" l="1" a="1"/>
  <c r="EF30" i="1"/>
  <c r="DZ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F76" i="1"/>
  <c r="E76" i="1"/>
  <c r="P57" i="1"/>
  <c r="N57" i="1"/>
  <c r="B75" i="1" s="1"/>
  <c r="O57" i="1"/>
  <c r="DW44" i="1" l="1"/>
  <c r="DZ44" i="1"/>
  <c r="DX44" i="1"/>
  <c r="DY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Z159" i="1" l="1"/>
  <c r="N159" i="1" s="1"/>
  <c r="AW159" i="1"/>
  <c r="O159" i="1" s="1"/>
  <c r="AW163" i="1"/>
  <c r="O163" i="1" s="1"/>
  <c r="B178" i="1"/>
  <c r="B200" i="1" s="1"/>
  <c r="U4" i="1" s="1"/>
  <c r="Z18" i="1" s="1"/>
  <c r="AC18" i="1" s="1"/>
  <c r="AW158" i="1"/>
  <c r="O158" i="1" s="1"/>
  <c r="AW164" i="1"/>
  <c r="O164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S58" i="1"/>
  <c r="T58" i="1"/>
  <c r="W4" i="1" l="1"/>
  <c r="EB5" i="1"/>
  <c r="AB7" i="1"/>
  <c r="O165" i="1"/>
  <c r="B180" i="1" s="1"/>
  <c r="B202" i="1" s="1"/>
  <c r="N165" i="1"/>
  <c r="B179" i="1" s="1"/>
  <c r="B201" i="1" s="1"/>
  <c r="B83" i="1"/>
  <c r="EB11" i="1" l="1"/>
  <c r="EB6" i="1"/>
  <c r="B205" i="1"/>
  <c r="U6" i="1" s="1"/>
  <c r="BX7" i="1" s="1"/>
  <c r="CJ9" i="1" s="1"/>
  <c r="B204" i="1"/>
  <c r="U5" i="1" s="1"/>
  <c r="BW7" i="1" s="1"/>
  <c r="CI9" i="1" s="1"/>
  <c r="CK9" i="1" l="1"/>
  <c r="CJ6" i="1"/>
  <c r="CJ7" i="1"/>
  <c r="CJ10" i="1" s="1"/>
  <c r="CI6" i="1"/>
  <c r="CI7" i="1"/>
  <c r="CI10" i="1" s="1"/>
  <c r="BY7" i="1"/>
  <c r="CA7" i="1" s="1"/>
  <c r="AB18" i="1"/>
  <c r="AE18" i="1" s="1"/>
  <c r="AA18" i="1"/>
  <c r="AD18" i="1" s="1"/>
  <c r="EB12" i="1"/>
  <c r="EB22" i="1" s="1" a="1"/>
  <c r="EB22" i="1" s="1"/>
  <c r="EG6" i="1"/>
  <c r="ED5" i="1"/>
  <c r="EC5" i="1"/>
  <c r="U8" i="1"/>
  <c r="AA7" i="1" s="1"/>
  <c r="U7" i="1"/>
  <c r="W7" i="1" s="1"/>
  <c r="AA9" i="1"/>
  <c r="AB9" i="1"/>
  <c r="W6" i="1"/>
  <c r="U18" i="1"/>
  <c r="U19" i="1" s="1"/>
  <c r="U21" i="1" s="1"/>
  <c r="CK10" i="1" l="1"/>
  <c r="CK11" i="1" s="1"/>
  <c r="CJ8" i="1"/>
  <c r="BZ7" i="1"/>
  <c r="CI8" i="1" s="1"/>
  <c r="EG12" i="1"/>
  <c r="EI12" i="1" s="1"/>
  <c r="ED11" i="1"/>
  <c r="EJ6" i="1"/>
  <c r="EI6" i="1"/>
  <c r="EH6" i="1"/>
  <c r="EG5" i="1"/>
  <c r="EH5" i="1" s="1"/>
  <c r="ED22" i="1"/>
  <c r="EC22" i="1"/>
  <c r="EE22" i="1"/>
  <c r="EC11" i="1"/>
  <c r="EF5" i="1"/>
  <c r="X8" i="1"/>
  <c r="X7" i="1"/>
  <c r="V19" i="1"/>
  <c r="V21" i="1" s="1"/>
  <c r="W19" i="1"/>
  <c r="W21" i="1" s="1"/>
  <c r="AC9" i="1"/>
  <c r="CK8" i="1" l="1"/>
  <c r="CL8" i="1" s="1"/>
  <c r="CK7" i="1"/>
  <c r="CB7" i="1"/>
  <c r="CK6" i="1"/>
  <c r="EH12" i="1"/>
  <c r="EJ12" i="1"/>
  <c r="EJ5" i="1"/>
  <c r="EI5" i="1"/>
  <c r="EG11" i="1"/>
  <c r="EF11" i="1"/>
  <c r="EB21" i="1" a="1"/>
  <c r="EB32" i="1" a="1"/>
  <c r="U23" i="1"/>
  <c r="V23" i="1" s="1"/>
  <c r="EH11" i="1" l="1"/>
  <c r="EJ11" i="1"/>
  <c r="EI11" i="1"/>
  <c r="EB21" i="1"/>
  <c r="EE21" i="1"/>
  <c r="EC21" i="1"/>
  <c r="ED21" i="1"/>
  <c r="EB32" i="1"/>
  <c r="EB36" i="1" s="1"/>
  <c r="ED32" i="1"/>
  <c r="ED36" i="1" s="1"/>
  <c r="EC32" i="1"/>
  <c r="EC36" i="1" s="1"/>
  <c r="EE32" i="1"/>
  <c r="EE36" i="1" l="1"/>
  <c r="EF36" i="1" s="1"/>
  <c r="EB31" i="1" a="1"/>
  <c r="EB31" i="1" s="1"/>
  <c r="EB37" i="1" s="1"/>
  <c r="EH36" i="1" l="1"/>
  <c r="EG36" i="1"/>
  <c r="ED31" i="1"/>
  <c r="ED37" i="1" s="1"/>
  <c r="EE31" i="1"/>
  <c r="EC31" i="1"/>
  <c r="EC37" i="1" s="1"/>
  <c r="EF31" i="1" l="1"/>
  <c r="EF32" i="1" s="1"/>
  <c r="EE37" i="1"/>
  <c r="EF37" i="1" s="1"/>
  <c r="EF38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<sst xmlns="http://schemas.openxmlformats.org/spreadsheetml/2006/main" count="403" uniqueCount="243">
  <si>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</si>
  <si>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</si>
  <si>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</si>
  <si>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</si>
  <si>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</si>
  <si>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</si>
  <si>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</si>
  <si>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</si>
  <si>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</si>
  <si>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</si>
  <si>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</si>
  <si>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</si>
  <si>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</si>
  <si>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</si>
  <si>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</si>
  <si>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</si>
  <si>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</si>
  <si>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</si>
  <si>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</si>
  <si>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</si>
  <si>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</si>
  <si>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</si>
  <si>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</si>
  <si>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</si>
  <si>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</si>
  <si>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</si>
  <si>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</si>
  <si>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</si>
  <si>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</si>
  <si>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</si>
  <si>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</si>
  <si>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</si>
  <si>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</si>
  <si>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</si>
  <si>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</si>
  <si>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</si>
  <si>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</si>
  <si>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</si>
  <si>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</si>
  <si>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</si>
  <si>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</si>
  <si>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</si>
  <si>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</si>
  <si>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</si>
  <si>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</si>
  <si>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</si>
  <si>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</si>
  <si>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</si>
  <si>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</si>
  <si>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</si>
  <si>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</si>
  <si>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</si>
  <si>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</si>
  <si>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</si>
  <si>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</si>
  <si>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</si>
  <si>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</si>
  <si>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</si>
  <si>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</si>
  <si>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</si>
  <si>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</si>
  <si>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</si>
  <si>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</si>
  <si>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</si>
  <si>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</si>
  <si>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</si>
  <si>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</si>
  <si>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</si>
  <si>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</si>
  <si>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</si>
  <si>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</si>
  <si>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</si>
  <si>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</si>
  <si>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</si>
  <si>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</si>
  <si>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</si>
  <si>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</si>
  <si>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</si>
  <si>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</si>
  <si>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</si>
  <si>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</si>
  <si>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</si>
  <si>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</si>
  <si>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</si>
  <si>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</si>
  <si>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</si>
  <si>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</si>
  <si>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</si>
  <si>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</si>
  <si>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</si>
  <si>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</si>
  <si>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</si>
  <si>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</si>
  <si>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</si>
  <si>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</si>
  <si>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</si>
  <si>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</si>
  <si>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</si>
  <si>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</si>
  <si>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</si>
  <si>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</si>
  <si>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</si>
  <si>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</si>
  <si>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</si>
  <si>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</si>
  <si>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</si>
  <si>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</si>
  <si>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</si>
  <si>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</si>
  <si>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</si>
  <si>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</si>
  <si>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</si>
  <si>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</si>
  <si>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</si>
  <si>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</si>
  <si>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</si>
  <si>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</si>
  <si>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</si>
  <si>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</si>
  <si>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</si>
  <si>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</si>
  <si>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</si>
  <si>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</si>
  <si>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</si>
  <si>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</si>
  <si>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</si>
  <si>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</si>
  <si>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</si>
  <si>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</si>
  <si>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</si>
  <si>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</si>
  <si>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</si>
  <si>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</si>
  <si>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</si>
  <si>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</si>
  <si>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</si>
  <si>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</si>
  <si>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</si>
  <si>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</si>
  <si>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</si>
  <si>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</si>
  <si>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</si>
  <si>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</si>
  <si>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</si>
  <si>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</si>
  <si>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</si>
  <si>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</si>
  <si>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2D Vectors from Guess to Mx v My Plot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</si>
  <si>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</si>
  <si>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</si>
  <si>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</si>
  <si>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</si>
  <si>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</si>
  <si>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</si>
  <si>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</si>
  <si>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</si>
  <si>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</si>
  <si>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</si>
  <si>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</si>
  <si>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</si>
  <si>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</si>
  <si>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</si>
  <si>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</si>
  <si>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</si>
  <si>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</si>
  <si>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</si>
  <si>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</si>
  <si>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</si>
  <si>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</si>
  <si>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</si>
  <si>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</si>
  <si>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</si>
  <si>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</si>
  <si>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</si>
  <si>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</si>
  <si>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</si>
  <si>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</si>
  <si>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</si>
  <si>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</si>
  <si>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</si>
  <si>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</si>
  <si>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</si>
  <si>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</si>
  <si>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</si>
  <si>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</si>
  <si>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</si>
  <si>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</si>
  <si>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</si>
  <si>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</si>
  <si>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</si>
  <si>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</si>
  <si>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</si>
  <si>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</si>
  <si>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</si>
  <si>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</si>
  <si>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t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</si>
  <si>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</si>
  <si>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</si>
  <si>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</si>
  <si>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</si>
  <si>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</si>
  <si>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</si>
  <si>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</si>
  <si>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</si>
  <si>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</si>
  <si>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</si>
  <si>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</si>
  <si>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</si>
  <si>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</si>
  <si>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</si>
  <si>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PCA_Parabolic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</si>
  <si>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</si>
  <si>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</si>
  <si>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</si>
  <si>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</si>
  <si>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</si>
  <si>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</si>
  <si>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</si>
  <si>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</si>
  <si>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</si>
  <si>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</si>
  <si>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</si>
  <si>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</si>
  <si>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</si>
  <si>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</si>
  <si>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</si>
  <si>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</si>
  <si>
    <t>Net Steel Stress</t>
  </si>
  <si>
    <t>Tan -1 Ux/Uy</t>
  </si>
  <si>
    <t>User Point</t>
  </si>
  <si>
    <t>Calc Point</t>
  </si>
  <si>
    <t>Vector</t>
  </si>
  <si>
    <t>G0</t>
  </si>
  <si>
    <t>0U</t>
  </si>
  <si>
    <t>GU</t>
  </si>
  <si>
    <t>dMx</t>
  </si>
  <si>
    <t>dMy</t>
  </si>
  <si>
    <t>GC</t>
  </si>
  <si>
    <t>0C</t>
  </si>
  <si>
    <t xml:space="preserve">Guess - Point inside Mx/My Slice </t>
  </si>
  <si>
    <t>GC-GU</t>
  </si>
  <si>
    <t>CU</t>
  </si>
  <si>
    <t>G0-GC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</si>
</sst>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5.9197170917729274</c:v>
                </c:pt>
                <c:pt idx="1">
                  <c:v>-14.210039669569742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32.366752014227352</c:v>
                </c:pt>
                <c:pt idx="1">
                  <c:v>14.522960465168749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28.138158111806888</c:v>
                </c:pt>
                <c:pt idx="1">
                  <c:v>10.294366562748289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6.1733799940152503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11.578986528655328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12.449981450889403</c:v>
                </c:pt>
                <c:pt idx="1">
                  <c:v>3.4701519240561645</c:v>
                </c:pt>
                <c:pt idx="2">
                  <c:v>-7.1432703259075474</c:v>
                </c:pt>
                <c:pt idx="3">
                  <c:v>-7.1432703259075474</c:v>
                </c:pt>
                <c:pt idx="4">
                  <c:v>-12.449981450889403</c:v>
                </c:pt>
                <c:pt idx="5">
                  <c:v>-3.4701519240561645</c:v>
                </c:pt>
                <c:pt idx="6">
                  <c:v>1.8365592009256915</c:v>
                </c:pt>
                <c:pt idx="7">
                  <c:v>1.8365592009256915</c:v>
                </c:pt>
                <c:pt idx="8">
                  <c:v>12.449981450889403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4.9997961830968469</c:v>
                </c:pt>
                <c:pt idx="1">
                  <c:v>12.95986287056963</c:v>
                </c:pt>
                <c:pt idx="2">
                  <c:v>0.98675683479197929</c:v>
                </c:pt>
                <c:pt idx="3">
                  <c:v>0.98675683479197929</c:v>
                </c:pt>
                <c:pt idx="4">
                  <c:v>-4.9997961830968469</c:v>
                </c:pt>
                <c:pt idx="5">
                  <c:v>-12.95986287056963</c:v>
                </c:pt>
                <c:pt idx="6">
                  <c:v>-6.9733098526808046</c:v>
                </c:pt>
                <c:pt idx="7">
                  <c:v>-6.9733098526808046</c:v>
                </c:pt>
                <c:pt idx="8">
                  <c:v>4.9997961830968469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9.6266654151717326</c:v>
                </c:pt>
                <c:pt idx="1">
                  <c:v>8.2999876339262677</c:v>
                </c:pt>
                <c:pt idx="2">
                  <c:v>8.1300271606995267</c:v>
                </c:pt>
                <c:pt idx="3">
                  <c:v>6.8033493794540618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4.8298357098701032</c:v>
                </c:pt>
                <c:pt idx="1">
                  <c:v>3.3331974553978974</c:v>
                </c:pt>
                <c:pt idx="2">
                  <c:v>6.1565134911155672</c:v>
                </c:pt>
                <c:pt idx="3">
                  <c:v>4.6598752366433613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-13.449981450889403</c:v>
                </c:pt>
                <c:pt idx="1">
                  <c:v>13.449981450889403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-15.29408486720007</c:v>
                </c:pt>
                <c:pt idx="1">
                  <c:v>-15.29408486720007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-13.449981450889403</c:v>
                </c:pt>
                <c:pt idx="1">
                  <c:v>13.449981450889403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-9.6432953196461284</c:v>
                </c:pt>
                <c:pt idx="1">
                  <c:v>-9.6432953196461284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12.449981450889403</c:v>
                </c:pt>
                <c:pt idx="1">
                  <c:v>3.4701519240561645</c:v>
                </c:pt>
                <c:pt idx="2">
                  <c:v>-7.1432703259075474</c:v>
                </c:pt>
                <c:pt idx="3">
                  <c:v>-7.1432703259075474</c:v>
                </c:pt>
                <c:pt idx="4">
                  <c:v>-12.449981450889403</c:v>
                </c:pt>
                <c:pt idx="5">
                  <c:v>-0.53021873267748187</c:v>
                </c:pt>
                <c:pt idx="6">
                  <c:v>1.8365592009256915</c:v>
                </c:pt>
                <c:pt idx="7">
                  <c:v>1.8365592009256915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4.9997961830968469</c:v>
                </c:pt>
                <c:pt idx="1">
                  <c:v>12.95986287056963</c:v>
                </c:pt>
                <c:pt idx="2">
                  <c:v>0.98675683479197929</c:v>
                </c:pt>
                <c:pt idx="3">
                  <c:v>0.98675683479197929</c:v>
                </c:pt>
                <c:pt idx="4">
                  <c:v>-4.9997961830968469</c:v>
                </c:pt>
                <c:pt idx="5">
                  <c:v>-9.6432953196461284</c:v>
                </c:pt>
                <c:pt idx="6">
                  <c:v>-6.9733098526808046</c:v>
                </c:pt>
                <c:pt idx="7">
                  <c:v>-6.9733098526808046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3.4701519240561645</c:v>
                </c:pt>
                <c:pt idx="1">
                  <c:v>-7.1432703259075474</c:v>
                </c:pt>
                <c:pt idx="2">
                  <c:v>-7.1432703259075474</c:v>
                </c:pt>
                <c:pt idx="3">
                  <c:v>-12.449981450889403</c:v>
                </c:pt>
                <c:pt idx="4">
                  <c:v>-7.2116044006277304</c:v>
                </c:pt>
                <c:pt idx="5">
                  <c:v>1.8365592009256915</c:v>
                </c:pt>
                <c:pt idx="6">
                  <c:v>1.8365592009256915</c:v>
                </c:pt>
                <c:pt idx="7">
                  <c:v>12.449981450889403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12.95986287056963</c:v>
                </c:pt>
                <c:pt idx="1">
                  <c:v>0.98675683479197929</c:v>
                </c:pt>
                <c:pt idx="2">
                  <c:v>0.98675683479197929</c:v>
                </c:pt>
                <c:pt idx="3">
                  <c:v>-4.9997961830968469</c:v>
                </c:pt>
                <c:pt idx="4">
                  <c:v>-9.6432953196461284</c:v>
                </c:pt>
                <c:pt idx="5">
                  <c:v>-6.9733098526808046</c:v>
                </c:pt>
                <c:pt idx="6">
                  <c:v>-6.9733098526808046</c:v>
                </c:pt>
                <c:pt idx="7">
                  <c:v>4.9997961830968469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10.04987562112089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810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144.74557056873454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810.00000000011823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10.04987562112089</c:v>
                </c:pt>
                <c:pt idx="1">
                  <c:v>144.74557056873454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810</c:v>
                </c:pt>
                <c:pt idx="1">
                  <c:v>810.00000000011823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L_Section_Capacity!$BD$2:$BD$362</c:f>
              <c:numCache>
                <c:formatCode>General</c:formatCode>
                <c:ptCount val="361"/>
                <c:pt idx="0">
                  <c:v>-11.931897788626008</c:v>
                </c:pt>
                <c:pt idx="1">
                  <c:v>-11.999361890689025</c:v>
                </c:pt>
                <c:pt idx="2">
                  <c:v>-12.068738081989737</c:v>
                </c:pt>
                <c:pt idx="3">
                  <c:v>-12.1400718170066</c:v>
                </c:pt>
                <c:pt idx="4">
                  <c:v>-12.213412644048207</c:v>
                </c:pt>
                <c:pt idx="5">
                  <c:v>-12.288814345313483</c:v>
                </c:pt>
                <c:pt idx="6">
                  <c:v>-12.36633512901567</c:v>
                </c:pt>
                <c:pt idx="7">
                  <c:v>-12.446037812174673</c:v>
                </c:pt>
                <c:pt idx="8">
                  <c:v>-12.527989994385109</c:v>
                </c:pt>
                <c:pt idx="9">
                  <c:v>-12.612264380880847</c:v>
                </c:pt>
                <c:pt idx="10">
                  <c:v>-12.698938957927197</c:v>
                </c:pt>
                <c:pt idx="11">
                  <c:v>-12.788097320242974</c:v>
                </c:pt>
                <c:pt idx="12">
                  <c:v>-12.879828982721312</c:v>
                </c:pt>
                <c:pt idx="13">
                  <c:v>-12.974229706133196</c:v>
                </c:pt>
                <c:pt idx="14">
                  <c:v>-13.071401879456358</c:v>
                </c:pt>
                <c:pt idx="15">
                  <c:v>-13.171454905662538</c:v>
                </c:pt>
                <c:pt idx="16">
                  <c:v>-13.274505727069991</c:v>
                </c:pt>
                <c:pt idx="17">
                  <c:v>-13.380679230394042</c:v>
                </c:pt>
                <c:pt idx="18">
                  <c:v>-13.490108801800774</c:v>
                </c:pt>
                <c:pt idx="19">
                  <c:v>-13.602936976408628</c:v>
                </c:pt>
                <c:pt idx="20">
                  <c:v>-13.719316000225591</c:v>
                </c:pt>
                <c:pt idx="21">
                  <c:v>-13.839408617694636</c:v>
                </c:pt>
                <c:pt idx="22">
                  <c:v>-13.96338873667721</c:v>
                </c:pt>
                <c:pt idx="23">
                  <c:v>-14.091442409952712</c:v>
                </c:pt>
                <c:pt idx="24">
                  <c:v>-14.223768672729932</c:v>
                </c:pt>
                <c:pt idx="25">
                  <c:v>-14.360580578942049</c:v>
                </c:pt>
                <c:pt idx="26">
                  <c:v>-14.502106378743589</c:v>
                </c:pt>
                <c:pt idx="27">
                  <c:v>-14.648590708474643</c:v>
                </c:pt>
                <c:pt idx="28">
                  <c:v>-14.800295951341207</c:v>
                </c:pt>
                <c:pt idx="29">
                  <c:v>-14.95750380325334</c:v>
                </c:pt>
                <c:pt idx="30">
                  <c:v>-15.120516867457347</c:v>
                </c:pt>
                <c:pt idx="31">
                  <c:v>-15.289660552945858</c:v>
                </c:pt>
                <c:pt idx="32">
                  <c:v>-15.465285103009855</c:v>
                </c:pt>
                <c:pt idx="33">
                  <c:v>-15.647767820723372</c:v>
                </c:pt>
                <c:pt idx="34">
                  <c:v>-15.837515646105087</c:v>
                </c:pt>
                <c:pt idx="35">
                  <c:v>-16.034967916218168</c:v>
                </c:pt>
                <c:pt idx="36">
                  <c:v>-16.240599467907391</c:v>
                </c:pt>
                <c:pt idx="37">
                  <c:v>-16.454924197687816</c:v>
                </c:pt>
                <c:pt idx="38">
                  <c:v>-16.678498883942947</c:v>
                </c:pt>
                <c:pt idx="39">
                  <c:v>-16.911927579460272</c:v>
                </c:pt>
                <c:pt idx="40">
                  <c:v>-17.155866518417696</c:v>
                </c:pt>
                <c:pt idx="41">
                  <c:v>-17.411029645267725</c:v>
                </c:pt>
                <c:pt idx="42">
                  <c:v>-17.678194781394147</c:v>
                </c:pt>
                <c:pt idx="43">
                  <c:v>-17.958210741052923</c:v>
                </c:pt>
                <c:pt idx="44">
                  <c:v>-18.252005184450873</c:v>
                </c:pt>
                <c:pt idx="45">
                  <c:v>-18.560593717346581</c:v>
                </c:pt>
                <c:pt idx="46">
                  <c:v>-18.885090164072064</c:v>
                </c:pt>
                <c:pt idx="47">
                  <c:v>-19.226718262257915</c:v>
                </c:pt>
                <c:pt idx="48">
                  <c:v>-19.586825096317057</c:v>
                </c:pt>
                <c:pt idx="49">
                  <c:v>-19.966896490127606</c:v>
                </c:pt>
                <c:pt idx="50">
                  <c:v>-20.368574383030374</c:v>
                </c:pt>
                <c:pt idx="51">
                  <c:v>-20.79365313080616</c:v>
                </c:pt>
                <c:pt idx="52">
                  <c:v>-21.244026112943818</c:v>
                </c:pt>
                <c:pt idx="53">
                  <c:v>-21.721674506102278</c:v>
                </c:pt>
                <c:pt idx="54">
                  <c:v>-22.228678159822788</c:v>
                </c:pt>
                <c:pt idx="55">
                  <c:v>-22.767227159871538</c:v>
                </c:pt>
                <c:pt idx="56">
                  <c:v>-23.339633802577197</c:v>
                </c:pt>
                <c:pt idx="57">
                  <c:v>-23.948345214655525</c:v>
                </c:pt>
                <c:pt idx="58">
                  <c:v>-24.595956538189625</c:v>
                </c:pt>
                <c:pt idx="59">
                  <c:v>-25.285224845869326</c:v>
                </c:pt>
                <c:pt idx="60">
                  <c:v>-26.019083820139613</c:v>
                </c:pt>
                <c:pt idx="61">
                  <c:v>-26.800659255059923</c:v>
                </c:pt>
                <c:pt idx="62">
                  <c:v>-27.633285494237136</c:v>
                </c:pt>
                <c:pt idx="63">
                  <c:v>-28.520522857081076</c:v>
                </c:pt>
                <c:pt idx="64">
                  <c:v>-29.466176133407004</c:v>
                </c:pt>
                <c:pt idx="65">
                  <c:v>-30.47431430625797</c:v>
                </c:pt>
                <c:pt idx="66">
                  <c:v>-31.549291637807801</c:v>
                </c:pt>
                <c:pt idx="67">
                  <c:v>-32.695770385738612</c:v>
                </c:pt>
                <c:pt idx="68">
                  <c:v>-33.91874560016749</c:v>
                </c:pt>
                <c:pt idx="69">
                  <c:v>-35.223572561643351</c:v>
                </c:pt>
                <c:pt idx="70">
                  <c:v>-36.615998051885242</c:v>
                </c:pt>
                <c:pt idx="71">
                  <c:v>-38.102197289646242</c:v>
                </c:pt>
                <c:pt idx="72">
                  <c:v>-39.688819613991221</c:v>
                </c:pt>
                <c:pt idx="73">
                  <c:v>-41.383048258081686</c:v>
                </c:pt>
                <c:pt idx="74">
                  <c:v>-43.192683447165798</c:v>
                </c:pt>
                <c:pt idx="75">
                  <c:v>-45.126264988264452</c:v>
                </c:pt>
                <c:pt idx="76">
                  <c:v>-47.193256115173135</c:v>
                </c:pt>
                <c:pt idx="77">
                  <c:v>-49.40415977119234</c:v>
                </c:pt>
                <c:pt idx="78">
                  <c:v>-51.770468976995694</c:v>
                </c:pt>
                <c:pt idx="79">
                  <c:v>-54.30473293871794</c:v>
                </c:pt>
                <c:pt idx="80">
                  <c:v>-56.87353960639156</c:v>
                </c:pt>
                <c:pt idx="81">
                  <c:v>-59.481322214930131</c:v>
                </c:pt>
                <c:pt idx="82">
                  <c:v>-61.950960151717283</c:v>
                </c:pt>
                <c:pt idx="83">
                  <c:v>-64.56560560870399</c:v>
                </c:pt>
                <c:pt idx="84">
                  <c:v>-67.334637071607645</c:v>
                </c:pt>
                <c:pt idx="85">
                  <c:v>-70.268056922951857</c:v>
                </c:pt>
                <c:pt idx="86">
                  <c:v>-73.376498766370233</c:v>
                </c:pt>
                <c:pt idx="87">
                  <c:v>-76.671250624471938</c:v>
                </c:pt>
                <c:pt idx="88">
                  <c:v>-80.164274652084174</c:v>
                </c:pt>
                <c:pt idx="89">
                  <c:v>-83.182123370318621</c:v>
                </c:pt>
                <c:pt idx="90">
                  <c:v>-85.882875000000254</c:v>
                </c:pt>
                <c:pt idx="91">
                  <c:v>-88.583626629681874</c:v>
                </c:pt>
                <c:pt idx="92">
                  <c:v>-91.201601181718857</c:v>
                </c:pt>
                <c:pt idx="93">
                  <c:v>-93.735787485662314</c:v>
                </c:pt>
                <c:pt idx="94">
                  <c:v>-96.185884598189446</c:v>
                </c:pt>
                <c:pt idx="95">
                  <c:v>-98.55218697669072</c:v>
                </c:pt>
                <c:pt idx="96">
                  <c:v>-100.83548238447887</c:v>
                </c:pt>
                <c:pt idx="97">
                  <c:v>-103.03696200622277</c:v>
                </c:pt>
                <c:pt idx="98">
                  <c:v>-105.15814202208649</c:v>
                </c:pt>
                <c:pt idx="99">
                  <c:v>-107.2007956961865</c:v>
                </c:pt>
                <c:pt idx="100">
                  <c:v>-109.16689505686097</c:v>
                </c:pt>
                <c:pt idx="101">
                  <c:v>-111.05856111047189</c:v>
                </c:pt>
                <c:pt idx="102">
                  <c:v>-112.87802170452537</c:v>
                </c:pt>
                <c:pt idx="103">
                  <c:v>-114.6275760586025</c:v>
                </c:pt>
                <c:pt idx="104">
                  <c:v>-116.30956513085593</c:v>
                </c:pt>
                <c:pt idx="105">
                  <c:v>-117.92628144809531</c:v>
                </c:pt>
                <c:pt idx="106">
                  <c:v>-119.47963564966267</c:v>
                </c:pt>
                <c:pt idx="107">
                  <c:v>-120.9711961999257</c:v>
                </c:pt>
                <c:pt idx="108">
                  <c:v>-122.40242297737007</c:v>
                </c:pt>
                <c:pt idx="109">
                  <c:v>-123.77478871160795</c:v>
                </c:pt>
                <c:pt idx="110">
                  <c:v>-125.08983054613611</c:v>
                </c:pt>
                <c:pt idx="111">
                  <c:v>-126.34916433957039</c:v>
                </c:pt>
                <c:pt idx="112">
                  <c:v>-127.55447998184287</c:v>
                </c:pt>
                <c:pt idx="113">
                  <c:v>-128.70752771478516</c:v>
                </c:pt>
                <c:pt idx="114">
                  <c:v>-129.81010114008168</c:v>
                </c:pt>
                <c:pt idx="115">
                  <c:v>-130.86401984739109</c:v>
                </c:pt>
                <c:pt idx="116">
                  <c:v>-131.87111328573516</c:v>
                </c:pt>
                <c:pt idx="117">
                  <c:v>-132.83320661924262</c:v>
                </c:pt>
                <c:pt idx="118">
                  <c:v>-133.7521087489811</c:v>
                </c:pt>
                <c:pt idx="119">
                  <c:v>-134.62960251868174</c:v>
                </c:pt>
                <c:pt idx="120">
                  <c:v>-135.46743706154129</c:v>
                </c:pt>
                <c:pt idx="121">
                  <c:v>-136.26732192159383</c:v>
                </c:pt>
                <c:pt idx="122">
                  <c:v>-137.03092282521939</c:v>
                </c:pt>
                <c:pt idx="123">
                  <c:v>-137.75985888028555</c:v>
                </c:pt>
                <c:pt idx="124">
                  <c:v>-138.45570098832837</c:v>
                </c:pt>
                <c:pt idx="125">
                  <c:v>-139.11997127282552</c:v>
                </c:pt>
                <c:pt idx="126">
                  <c:v>-139.75414338415746</c:v>
                </c:pt>
                <c:pt idx="127">
                  <c:v>-140.35964352485141</c:v>
                </c:pt>
                <c:pt idx="128">
                  <c:v>-140.93785215391949</c:v>
                </c:pt>
                <c:pt idx="129">
                  <c:v>-141.4901061713197</c:v>
                </c:pt>
                <c:pt idx="130">
                  <c:v>-142.01770162901593</c:v>
                </c:pt>
                <c:pt idx="131">
                  <c:v>-142.52189681386821</c:v>
                </c:pt>
                <c:pt idx="132">
                  <c:v>-143.00391575513763</c:v>
                </c:pt>
                <c:pt idx="133">
                  <c:v>-143.46495208721453</c:v>
                </c:pt>
                <c:pt idx="134">
                  <c:v>-143.90617328556095</c:v>
                </c:pt>
                <c:pt idx="135">
                  <c:v>-144.32872522239202</c:v>
                </c:pt>
                <c:pt idx="136">
                  <c:v>-144.73373704495242</c:v>
                </c:pt>
                <c:pt idx="137">
                  <c:v>-145.12230982610939</c:v>
                </c:pt>
                <c:pt idx="138">
                  <c:v>-145.49547202044374</c:v>
                </c:pt>
                <c:pt idx="139">
                  <c:v>-145.85417046294401</c:v>
                </c:pt>
                <c:pt idx="140">
                  <c:v>-146.19927792821696</c:v>
                </c:pt>
                <c:pt idx="141">
                  <c:v>-146.53160013702669</c:v>
                </c:pt>
                <c:pt idx="142">
                  <c:v>-146.85188184221354</c:v>
                </c:pt>
                <c:pt idx="143">
                  <c:v>-147.16081243857866</c:v>
                </c:pt>
                <c:pt idx="144">
                  <c:v>-147.45903078334831</c:v>
                </c:pt>
                <c:pt idx="145">
                  <c:v>-147.74712972133008</c:v>
                </c:pt>
                <c:pt idx="146">
                  <c:v>-148.02565991667595</c:v>
                </c:pt>
                <c:pt idx="147">
                  <c:v>-148.29513349810384</c:v>
                </c:pt>
                <c:pt idx="148">
                  <c:v>-148.556027225907</c:v>
                </c:pt>
                <c:pt idx="149">
                  <c:v>-148.80878536629251</c:v>
                </c:pt>
                <c:pt idx="150">
                  <c:v>-149.0538222865105</c:v>
                </c:pt>
                <c:pt idx="151">
                  <c:v>-149.29152484887521</c:v>
                </c:pt>
                <c:pt idx="152">
                  <c:v>-149.52225451464184</c:v>
                </c:pt>
                <c:pt idx="153">
                  <c:v>-149.74634927455611</c:v>
                </c:pt>
                <c:pt idx="154">
                  <c:v>-149.96412542343583</c:v>
                </c:pt>
                <c:pt idx="155">
                  <c:v>-150.17587912818783</c:v>
                </c:pt>
                <c:pt idx="156">
                  <c:v>-150.38188788851741</c:v>
                </c:pt>
                <c:pt idx="157">
                  <c:v>-150.5824118894034</c:v>
                </c:pt>
                <c:pt idx="158">
                  <c:v>-150.77769516786924</c:v>
                </c:pt>
                <c:pt idx="159">
                  <c:v>-150.96796668434573</c:v>
                </c:pt>
                <c:pt idx="160">
                  <c:v>-151.15344142373064</c:v>
                </c:pt>
                <c:pt idx="161">
                  <c:v>-151.33432120331662</c:v>
                </c:pt>
                <c:pt idx="162">
                  <c:v>-151.51079556547791</c:v>
                </c:pt>
                <c:pt idx="163">
                  <c:v>-151.68304253396451</c:v>
                </c:pt>
                <c:pt idx="164">
                  <c:v>-151.85122929968588</c:v>
                </c:pt>
                <c:pt idx="165">
                  <c:v>-152.01551286871248</c:v>
                </c:pt>
                <c:pt idx="166">
                  <c:v>-152.17604063772973</c:v>
                </c:pt>
                <c:pt idx="167">
                  <c:v>-152.33295092199955</c:v>
                </c:pt>
                <c:pt idx="168">
                  <c:v>-152.48637344455287</c:v>
                </c:pt>
                <c:pt idx="169">
                  <c:v>-152.63642977898962</c:v>
                </c:pt>
                <c:pt idx="170">
                  <c:v>-152.78323373051052</c:v>
                </c:pt>
                <c:pt idx="171">
                  <c:v>-152.92689170030698</c:v>
                </c:pt>
                <c:pt idx="172">
                  <c:v>-153.06750306250569</c:v>
                </c:pt>
                <c:pt idx="173">
                  <c:v>-153.20516036269623</c:v>
                </c:pt>
                <c:pt idx="174">
                  <c:v>-153.33994967624048</c:v>
                </c:pt>
                <c:pt idx="175">
                  <c:v>-153.47195077665106</c:v>
                </c:pt>
                <c:pt idx="176">
                  <c:v>-153.6012373449696</c:v>
                </c:pt>
                <c:pt idx="177">
                  <c:v>-153.72787721461953</c:v>
                </c:pt>
                <c:pt idx="178">
                  <c:v>-153.85193242770785</c:v>
                </c:pt>
                <c:pt idx="179">
                  <c:v>-153.97345941702042</c:v>
                </c:pt>
                <c:pt idx="180">
                  <c:v>-154.09250912924213</c:v>
                </c:pt>
                <c:pt idx="181">
                  <c:v>-153.97345941702125</c:v>
                </c:pt>
                <c:pt idx="182">
                  <c:v>-153.85193242770873</c:v>
                </c:pt>
                <c:pt idx="183">
                  <c:v>-153.72787721462029</c:v>
                </c:pt>
                <c:pt idx="184">
                  <c:v>-153.60123734497043</c:v>
                </c:pt>
                <c:pt idx="185">
                  <c:v>-153.47195077665191</c:v>
                </c:pt>
                <c:pt idx="186">
                  <c:v>-153.33994967624125</c:v>
                </c:pt>
                <c:pt idx="187">
                  <c:v>-153.20516036269706</c:v>
                </c:pt>
                <c:pt idx="188">
                  <c:v>-153.06750306250638</c:v>
                </c:pt>
                <c:pt idx="189">
                  <c:v>-152.92689170030783</c:v>
                </c:pt>
                <c:pt idx="190">
                  <c:v>-152.78323373051109</c:v>
                </c:pt>
                <c:pt idx="191">
                  <c:v>-152.63642977899039</c:v>
                </c:pt>
                <c:pt idx="192">
                  <c:v>-152.48637344455361</c:v>
                </c:pt>
                <c:pt idx="193">
                  <c:v>-152.33295092200041</c:v>
                </c:pt>
                <c:pt idx="194">
                  <c:v>-152.17604063773052</c:v>
                </c:pt>
                <c:pt idx="195">
                  <c:v>-152.01551286871316</c:v>
                </c:pt>
                <c:pt idx="196">
                  <c:v>-151.85122929968648</c:v>
                </c:pt>
                <c:pt idx="197">
                  <c:v>-151.68304253396531</c:v>
                </c:pt>
                <c:pt idx="198">
                  <c:v>-151.51079556547856</c:v>
                </c:pt>
                <c:pt idx="199">
                  <c:v>-151.33432120331724</c:v>
                </c:pt>
                <c:pt idx="200">
                  <c:v>-151.15344142373129</c:v>
                </c:pt>
                <c:pt idx="201">
                  <c:v>-150.96796668434646</c:v>
                </c:pt>
                <c:pt idx="202">
                  <c:v>-150.77769516786984</c:v>
                </c:pt>
                <c:pt idx="203">
                  <c:v>-150.58241188940403</c:v>
                </c:pt>
                <c:pt idx="204">
                  <c:v>-150.38188788851792</c:v>
                </c:pt>
                <c:pt idx="205">
                  <c:v>-150.17587912818848</c:v>
                </c:pt>
                <c:pt idx="206">
                  <c:v>-149.96412542343651</c:v>
                </c:pt>
                <c:pt idx="207">
                  <c:v>-149.74634927455676</c:v>
                </c:pt>
                <c:pt idx="208">
                  <c:v>-149.52225451464258</c:v>
                </c:pt>
                <c:pt idx="209">
                  <c:v>-149.29152484887575</c:v>
                </c:pt>
                <c:pt idx="210">
                  <c:v>-149.05382228651112</c:v>
                </c:pt>
                <c:pt idx="211">
                  <c:v>-148.80878536629319</c:v>
                </c:pt>
                <c:pt idx="212">
                  <c:v>-148.55602722590774</c:v>
                </c:pt>
                <c:pt idx="213">
                  <c:v>-148.29513349810449</c:v>
                </c:pt>
                <c:pt idx="214">
                  <c:v>-148.02565991667649</c:v>
                </c:pt>
                <c:pt idx="215">
                  <c:v>-147.74725242519997</c:v>
                </c:pt>
                <c:pt idx="216">
                  <c:v>-147.25773956894722</c:v>
                </c:pt>
                <c:pt idx="217">
                  <c:v>-146.70219534787697</c:v>
                </c:pt>
                <c:pt idx="218">
                  <c:v>-146.13606363785883</c:v>
                </c:pt>
                <c:pt idx="219">
                  <c:v>-145.55867134489685</c:v>
                </c:pt>
                <c:pt idx="220">
                  <c:v>-144.96930307746092</c:v>
                </c:pt>
                <c:pt idx="221">
                  <c:v>-144.36719708060295</c:v>
                </c:pt>
                <c:pt idx="222">
                  <c:v>-143.75154080308491</c:v>
                </c:pt>
                <c:pt idx="223">
                  <c:v>-143.12146588583551</c:v>
                </c:pt>
                <c:pt idx="224">
                  <c:v>-142.47604261475828</c:v>
                </c:pt>
                <c:pt idx="225">
                  <c:v>-141.81432461537622</c:v>
                </c:pt>
                <c:pt idx="226">
                  <c:v>-141.01549928730938</c:v>
                </c:pt>
                <c:pt idx="227">
                  <c:v>-139.82728750137667</c:v>
                </c:pt>
                <c:pt idx="228">
                  <c:v>-138.6199995158228</c:v>
                </c:pt>
                <c:pt idx="229">
                  <c:v>-137.39258885689614</c:v>
                </c:pt>
                <c:pt idx="230">
                  <c:v>-136.14400813450948</c:v>
                </c:pt>
                <c:pt idx="231">
                  <c:v>-134.87320781022649</c:v>
                </c:pt>
                <c:pt idx="232">
                  <c:v>-133.57913565989253</c:v>
                </c:pt>
                <c:pt idx="233">
                  <c:v>-132.26073681797791</c:v>
                </c:pt>
                <c:pt idx="234">
                  <c:v>-130.91695448944427</c:v>
                </c:pt>
                <c:pt idx="235">
                  <c:v>-129.54673140877577</c:v>
                </c:pt>
                <c:pt idx="236">
                  <c:v>-128.14901209822563</c:v>
                </c:pt>
                <c:pt idx="237">
                  <c:v>-126.72281102574671</c:v>
                </c:pt>
                <c:pt idx="238">
                  <c:v>-125.14619441295815</c:v>
                </c:pt>
                <c:pt idx="239">
                  <c:v>-123.42952795268708</c:v>
                </c:pt>
                <c:pt idx="240">
                  <c:v>-121.6824594947344</c:v>
                </c:pt>
                <c:pt idx="241">
                  <c:v>-119.90418492552132</c:v>
                </c:pt>
                <c:pt idx="242">
                  <c:v>-118.0939597158348</c:v>
                </c:pt>
                <c:pt idx="243">
                  <c:v>-116.25111148241058</c:v>
                </c:pt>
                <c:pt idx="244">
                  <c:v>-114.37505418935393</c:v>
                </c:pt>
                <c:pt idx="245">
                  <c:v>-112.46530389058429</c:v>
                </c:pt>
                <c:pt idx="246">
                  <c:v>-110.52149576857485</c:v>
                </c:pt>
                <c:pt idx="247">
                  <c:v>-108.5434019559064</c:v>
                </c:pt>
                <c:pt idx="248">
                  <c:v>-106.53094911131309</c:v>
                </c:pt>
                <c:pt idx="249">
                  <c:v>-104.48423408360743</c:v>
                </c:pt>
                <c:pt idx="250">
                  <c:v>-102.40353470175226</c:v>
                </c:pt>
                <c:pt idx="251">
                  <c:v>-100.28931096758234</c:v>
                </c:pt>
                <c:pt idx="252">
                  <c:v>-98.142188675467338</c:v>
                </c:pt>
                <c:pt idx="253">
                  <c:v>-95.962912435607336</c:v>
                </c:pt>
                <c:pt idx="254">
                  <c:v>-93.752246316607497</c:v>
                </c:pt>
                <c:pt idx="255">
                  <c:v>-91.510785779800756</c:v>
                </c:pt>
                <c:pt idx="256">
                  <c:v>-89.238750881962631</c:v>
                </c:pt>
                <c:pt idx="257">
                  <c:v>-86.936268339363977</c:v>
                </c:pt>
                <c:pt idx="258">
                  <c:v>-84.603629177131651</c:v>
                </c:pt>
                <c:pt idx="259">
                  <c:v>-82.241323037079198</c:v>
                </c:pt>
                <c:pt idx="260">
                  <c:v>-79.850065558772641</c:v>
                </c:pt>
                <c:pt idx="261">
                  <c:v>-77.430828585299949</c:v>
                </c:pt>
                <c:pt idx="262">
                  <c:v>-74.984873291047862</c:v>
                </c:pt>
                <c:pt idx="263">
                  <c:v>-72.513786276592157</c:v>
                </c:pt>
                <c:pt idx="264">
                  <c:v>-70.019518574389835</c:v>
                </c:pt>
                <c:pt idx="265">
                  <c:v>-67.50442742432881</c:v>
                </c:pt>
                <c:pt idx="266">
                  <c:v>-64.971320495667797</c:v>
                </c:pt>
                <c:pt idx="267">
                  <c:v>-62.423502059424003</c:v>
                </c:pt>
                <c:pt idx="268">
                  <c:v>-59.864820338606251</c:v>
                </c:pt>
                <c:pt idx="269">
                  <c:v>-57.299714926240874</c:v>
                </c:pt>
                <c:pt idx="270">
                  <c:v>-54.733262817957176</c:v>
                </c:pt>
                <c:pt idx="271">
                  <c:v>-52.098319730504507</c:v>
                </c:pt>
                <c:pt idx="272">
                  <c:v>-49.6438635380634</c:v>
                </c:pt>
                <c:pt idx="273">
                  <c:v>-47.35634535181854</c:v>
                </c:pt>
                <c:pt idx="274">
                  <c:v>-45.223299548357012</c:v>
                </c:pt>
                <c:pt idx="275">
                  <c:v>-43.233256754443971</c:v>
                </c:pt>
                <c:pt idx="276">
                  <c:v>-41.375663280322541</c:v>
                </c:pt>
                <c:pt idx="277">
                  <c:v>-39.6408064492107</c:v>
                </c:pt>
                <c:pt idx="278">
                  <c:v>-38.019745663446926</c:v>
                </c:pt>
                <c:pt idx="279">
                  <c:v>-36.504248627925179</c:v>
                </c:pt>
                <c:pt idx="280">
                  <c:v>-35.086732699539048</c:v>
                </c:pt>
                <c:pt idx="281">
                  <c:v>-33.760210729275848</c:v>
                </c:pt>
                <c:pt idx="282">
                  <c:v>-32.518241326438471</c:v>
                </c:pt>
                <c:pt idx="283">
                  <c:v>-31.354883147890867</c:v>
                </c:pt>
                <c:pt idx="284">
                  <c:v>-30.264652890593858</c:v>
                </c:pt>
                <c:pt idx="285">
                  <c:v>-29.242486794206272</c:v>
                </c:pt>
                <c:pt idx="286">
                  <c:v>-28.283705284434383</c:v>
                </c:pt>
                <c:pt idx="287">
                  <c:v>-27.383980590485066</c:v>
                </c:pt>
                <c:pt idx="288">
                  <c:v>-26.539307085876107</c:v>
                </c:pt>
                <c:pt idx="289">
                  <c:v>-25.745984415143781</c:v>
                </c:pt>
                <c:pt idx="290">
                  <c:v>-25.000658902470221</c:v>
                </c:pt>
                <c:pt idx="291">
                  <c:v>-24.300304600654087</c:v>
                </c:pt>
                <c:pt idx="292">
                  <c:v>-23.64215088868562</c:v>
                </c:pt>
                <c:pt idx="293">
                  <c:v>-23.023631831997612</c:v>
                </c:pt>
                <c:pt idx="294">
                  <c:v>-22.442352196095111</c:v>
                </c:pt>
                <c:pt idx="295">
                  <c:v>-21.896063980679386</c:v>
                </c:pt>
                <c:pt idx="296">
                  <c:v>-21.382649499858793</c:v>
                </c:pt>
                <c:pt idx="297">
                  <c:v>-20.900108448968165</c:v>
                </c:pt>
                <c:pt idx="298">
                  <c:v>-20.446547669177381</c:v>
                </c:pt>
                <c:pt idx="299">
                  <c:v>-20.020172571191495</c:v>
                </c:pt>
                <c:pt idx="300">
                  <c:v>-19.619279605394986</c:v>
                </c:pt>
                <c:pt idx="301">
                  <c:v>-19.242249352290873</c:v>
                </c:pt>
                <c:pt idx="302">
                  <c:v>-18.887540206142244</c:v>
                </c:pt>
                <c:pt idx="303">
                  <c:v>-18.553682252826025</c:v>
                </c:pt>
                <c:pt idx="304">
                  <c:v>-18.239271391499752</c:v>
                </c:pt>
                <c:pt idx="305">
                  <c:v>-17.942963593470257</c:v>
                </c:pt>
                <c:pt idx="306">
                  <c:v>-17.663469222883712</c:v>
                </c:pt>
                <c:pt idx="307">
                  <c:v>-17.399547504281436</c:v>
                </c:pt>
                <c:pt idx="308">
                  <c:v>-17.150001877993123</c:v>
                </c:pt>
                <c:pt idx="309">
                  <c:v>-16.913701618650435</c:v>
                </c:pt>
                <c:pt idx="310">
                  <c:v>-16.689621562392922</c:v>
                </c:pt>
                <c:pt idx="311">
                  <c:v>-16.476838157853436</c:v>
                </c:pt>
                <c:pt idx="312">
                  <c:v>-16.274517249587948</c:v>
                </c:pt>
                <c:pt idx="313">
                  <c:v>-16.081903667998521</c:v>
                </c:pt>
                <c:pt idx="314">
                  <c:v>-15.89831219359227</c:v>
                </c:pt>
                <c:pt idx="315">
                  <c:v>-15.723119744980444</c:v>
                </c:pt>
                <c:pt idx="316">
                  <c:v>-15.555758590758195</c:v>
                </c:pt>
                <c:pt idx="317">
                  <c:v>-15.395710427396436</c:v>
                </c:pt>
                <c:pt idx="318">
                  <c:v>-15.242501216305822</c:v>
                </c:pt>
                <c:pt idx="319">
                  <c:v>-15.095696672057187</c:v>
                </c:pt>
                <c:pt idx="320">
                  <c:v>-14.954898214486368</c:v>
                </c:pt>
                <c:pt idx="321">
                  <c:v>-14.819739541240612</c:v>
                </c:pt>
                <c:pt idx="322">
                  <c:v>-14.68988342099088</c:v>
                </c:pt>
                <c:pt idx="323">
                  <c:v>-14.565019049584675</c:v>
                </c:pt>
                <c:pt idx="324">
                  <c:v>-14.444859475205075</c:v>
                </c:pt>
                <c:pt idx="325">
                  <c:v>-14.329139568900189</c:v>
                </c:pt>
                <c:pt idx="326">
                  <c:v>-14.217613961559788</c:v>
                </c:pt>
                <c:pt idx="327">
                  <c:v>-14.110055378696696</c:v>
                </c:pt>
                <c:pt idx="328">
                  <c:v>-14.006253048722652</c:v>
                </c:pt>
                <c:pt idx="329">
                  <c:v>-13.906011341930558</c:v>
                </c:pt>
                <c:pt idx="330">
                  <c:v>-13.809148519734173</c:v>
                </c:pt>
                <c:pt idx="331">
                  <c:v>-13.7154955882769</c:v>
                </c:pt>
                <c:pt idx="332">
                  <c:v>-13.62489528973278</c:v>
                </c:pt>
                <c:pt idx="333">
                  <c:v>-13.537201188669821</c:v>
                </c:pt>
                <c:pt idx="334">
                  <c:v>-13.452276849386225</c:v>
                </c:pt>
                <c:pt idx="335">
                  <c:v>-13.369995126178727</c:v>
                </c:pt>
                <c:pt idx="336">
                  <c:v>-13.290237408844757</c:v>
                </c:pt>
                <c:pt idx="337">
                  <c:v>-13.212893076711921</c:v>
                </c:pt>
                <c:pt idx="338">
                  <c:v>-13.137858913984783</c:v>
                </c:pt>
                <c:pt idx="339">
                  <c:v>-13.065038598525037</c:v>
                </c:pt>
                <c:pt idx="340">
                  <c:v>-12.994342299588972</c:v>
                </c:pt>
                <c:pt idx="341">
                  <c:v>-12.925686174729837</c:v>
                </c:pt>
                <c:pt idx="342">
                  <c:v>-12.858992110574956</c:v>
                </c:pt>
                <c:pt idx="343">
                  <c:v>-12.794187252054249</c:v>
                </c:pt>
                <c:pt idx="344">
                  <c:v>-12.73120380677465</c:v>
                </c:pt>
                <c:pt idx="345">
                  <c:v>-12.66997869409334</c:v>
                </c:pt>
                <c:pt idx="346">
                  <c:v>-12.610453331551449</c:v>
                </c:pt>
                <c:pt idx="347">
                  <c:v>-12.552573398673347</c:v>
                </c:pt>
                <c:pt idx="348">
                  <c:v>-12.496288637460099</c:v>
                </c:pt>
                <c:pt idx="349">
                  <c:v>-12.441552657869307</c:v>
                </c:pt>
                <c:pt idx="350">
                  <c:v>-12.388322780775276</c:v>
                </c:pt>
                <c:pt idx="351">
                  <c:v>-12.336559911426855</c:v>
                </c:pt>
                <c:pt idx="352">
                  <c:v>-12.286228422692792</c:v>
                </c:pt>
                <c:pt idx="353">
                  <c:v>-12.23729600060925</c:v>
                </c:pt>
                <c:pt idx="354">
                  <c:v>-12.189733611298552</c:v>
                </c:pt>
                <c:pt idx="355">
                  <c:v>-12.143515371223391</c:v>
                </c:pt>
                <c:pt idx="356">
                  <c:v>-12.098618555372306</c:v>
                </c:pt>
                <c:pt idx="357">
                  <c:v>-12.055023483833276</c:v>
                </c:pt>
                <c:pt idx="358">
                  <c:v>-12.012713544348335</c:v>
                </c:pt>
                <c:pt idx="359">
                  <c:v>-11.971675165753968</c:v>
                </c:pt>
                <c:pt idx="360">
                  <c:v>-11.931897788627278</c:v>
                </c:pt>
              </c:numCache>
            </c:numRef>
          </c:xVal>
          <c:yVal>
            <c:numRef>
              <c:f>L_Section_Capacity!$BE$2:$BE$362</c:f>
              <c:numCache>
                <c:formatCode>General</c:formatCode>
                <c:ptCount val="361"/>
                <c:pt idx="0">
                  <c:v>15.609528286728688</c:v>
                </c:pt>
                <c:pt idx="1">
                  <c:v>15.851844255113829</c:v>
                </c:pt>
                <c:pt idx="2">
                  <c:v>16.094322668395844</c:v>
                </c:pt>
                <c:pt idx="3">
                  <c:v>16.337070123563187</c:v>
                </c:pt>
                <c:pt idx="4">
                  <c:v>16.580194571933351</c:v>
                </c:pt>
                <c:pt idx="5">
                  <c:v>16.82380544699128</c:v>
                </c:pt>
                <c:pt idx="6">
                  <c:v>17.068013806419689</c:v>
                </c:pt>
                <c:pt idx="7">
                  <c:v>17.312932481544433</c:v>
                </c:pt>
                <c:pt idx="8">
                  <c:v>17.558676234861245</c:v>
                </c:pt>
                <c:pt idx="9">
                  <c:v>17.805361940434118</c:v>
                </c:pt>
                <c:pt idx="10">
                  <c:v>18.053108759004246</c:v>
                </c:pt>
                <c:pt idx="11">
                  <c:v>18.302038336620978</c:v>
                </c:pt>
                <c:pt idx="12">
                  <c:v>18.552275010968831</c:v>
                </c:pt>
                <c:pt idx="13">
                  <c:v>18.803946029044805</c:v>
                </c:pt>
                <c:pt idx="14">
                  <c:v>19.057181780117542</c:v>
                </c:pt>
                <c:pt idx="15">
                  <c:v>19.312116040340126</c:v>
                </c:pt>
                <c:pt idx="16">
                  <c:v>19.568886239281731</c:v>
                </c:pt>
                <c:pt idx="17">
                  <c:v>19.82763373074938</c:v>
                </c:pt>
                <c:pt idx="18">
                  <c:v>20.08850408834828</c:v>
                </c:pt>
                <c:pt idx="19">
                  <c:v>20.351647421215901</c:v>
                </c:pt>
                <c:pt idx="20">
                  <c:v>20.617218700676336</c:v>
                </c:pt>
                <c:pt idx="21">
                  <c:v>20.885378117367093</c:v>
                </c:pt>
                <c:pt idx="22">
                  <c:v>21.156291450907073</c:v>
                </c:pt>
                <c:pt idx="23">
                  <c:v>21.430130475943312</c:v>
                </c:pt>
                <c:pt idx="24">
                  <c:v>21.707073383394224</c:v>
                </c:pt>
                <c:pt idx="25">
                  <c:v>21.987305235695761</c:v>
                </c:pt>
                <c:pt idx="26">
                  <c:v>22.271018453698812</c:v>
                </c:pt>
                <c:pt idx="27">
                  <c:v>22.558413333243251</c:v>
                </c:pt>
                <c:pt idx="28">
                  <c:v>22.849698599959815</c:v>
                </c:pt>
                <c:pt idx="29">
                  <c:v>23.145092004540466</c:v>
                </c:pt>
                <c:pt idx="30">
                  <c:v>23.444820957576372</c:v>
                </c:pt>
                <c:pt idx="31">
                  <c:v>23.749123213531501</c:v>
                </c:pt>
                <c:pt idx="32">
                  <c:v>24.058247603415403</c:v>
                </c:pt>
                <c:pt idx="33">
                  <c:v>24.372454822576689</c:v>
                </c:pt>
                <c:pt idx="34">
                  <c:v>24.69201827882463</c:v>
                </c:pt>
                <c:pt idx="35">
                  <c:v>25.017225004929408</c:v>
                </c:pt>
                <c:pt idx="36">
                  <c:v>25.348376642916385</c:v>
                </c:pt>
                <c:pt idx="37">
                  <c:v>25.685790504800593</c:v>
                </c:pt>
                <c:pt idx="38">
                  <c:v>26.029800719363656</c:v>
                </c:pt>
                <c:pt idx="39">
                  <c:v>26.380759471045803</c:v>
                </c:pt>
                <c:pt idx="40">
                  <c:v>26.739038340362711</c:v>
                </c:pt>
                <c:pt idx="41">
                  <c:v>27.105029755159325</c:v>
                </c:pt>
                <c:pt idx="42">
                  <c:v>27.479148566296374</c:v>
                </c:pt>
                <c:pt idx="43">
                  <c:v>27.861833752267625</c:v>
                </c:pt>
                <c:pt idx="44">
                  <c:v>28.253550278647765</c:v>
                </c:pt>
                <c:pt idx="45">
                  <c:v>28.654791113083316</c:v>
                </c:pt>
                <c:pt idx="46">
                  <c:v>29.06607942156975</c:v>
                </c:pt>
                <c:pt idx="47">
                  <c:v>29.487970964144939</c:v>
                </c:pt>
                <c:pt idx="48">
                  <c:v>29.921056706071635</c:v>
                </c:pt>
                <c:pt idx="49">
                  <c:v>30.365965671387674</c:v>
                </c:pt>
                <c:pt idx="50">
                  <c:v>30.823367977137639</c:v>
                </c:pt>
                <c:pt idx="51">
                  <c:v>31.293971654106841</c:v>
                </c:pt>
                <c:pt idx="52">
                  <c:v>31.778506415447705</c:v>
                </c:pt>
                <c:pt idx="53">
                  <c:v>32.277720430922251</c:v>
                </c:pt>
                <c:pt idx="54">
                  <c:v>32.792383231879022</c:v>
                </c:pt>
                <c:pt idx="55">
                  <c:v>33.323288539146539</c:v>
                </c:pt>
                <c:pt idx="56">
                  <c:v>33.871256967685341</c:v>
                </c:pt>
                <c:pt idx="57">
                  <c:v>34.437138611719945</c:v>
                </c:pt>
                <c:pt idx="58">
                  <c:v>35.021815550103192</c:v>
                </c:pt>
                <c:pt idx="59">
                  <c:v>35.626204281760529</c:v>
                </c:pt>
                <c:pt idx="60">
                  <c:v>36.251258120390681</c:v>
                </c:pt>
                <c:pt idx="61">
                  <c:v>36.897969582887463</c:v>
                </c:pt>
                <c:pt idx="62">
                  <c:v>37.567372809406379</c:v>
                </c:pt>
                <c:pt idx="63">
                  <c:v>38.260546084884986</c:v>
                </c:pt>
                <c:pt idx="64">
                  <c:v>38.978614564321468</c:v>
                </c:pt>
                <c:pt idx="65">
                  <c:v>39.722753343766108</c:v>
                </c:pt>
                <c:pt idx="66">
                  <c:v>40.494191111220125</c:v>
                </c:pt>
                <c:pt idx="67">
                  <c:v>41.294214719998443</c:v>
                </c:pt>
                <c:pt idx="68">
                  <c:v>42.12417519306689</c:v>
                </c:pt>
                <c:pt idx="69">
                  <c:v>42.985495973976917</c:v>
                </c:pt>
                <c:pt idx="70">
                  <c:v>43.879684598491899</c:v>
                </c:pt>
                <c:pt idx="71">
                  <c:v>44.808349611215732</c:v>
                </c:pt>
                <c:pt idx="72">
                  <c:v>45.773225535826583</c:v>
                </c:pt>
                <c:pt idx="73">
                  <c:v>46.776210223063188</c:v>
                </c:pt>
                <c:pt idx="74">
                  <c:v>47.819421332652055</c:v>
                </c:pt>
                <c:pt idx="75">
                  <c:v>48.905282655968556</c:v>
                </c:pt>
                <c:pt idx="76">
                  <c:v>50.036650554978912</c:v>
                </c:pt>
                <c:pt idx="77">
                  <c:v>51.216836498873406</c:v>
                </c:pt>
                <c:pt idx="78">
                  <c:v>52.449462763549775</c:v>
                </c:pt>
                <c:pt idx="79">
                  <c:v>53.738456041399473</c:v>
                </c:pt>
                <c:pt idx="80">
                  <c:v>54.881064702744929</c:v>
                </c:pt>
                <c:pt idx="81">
                  <c:v>55.920671628525149</c:v>
                </c:pt>
                <c:pt idx="82">
                  <c:v>56.709560501847712</c:v>
                </c:pt>
                <c:pt idx="83">
                  <c:v>57.520360888915548</c:v>
                </c:pt>
                <c:pt idx="84">
                  <c:v>58.35468276234888</c:v>
                </c:pt>
                <c:pt idx="85">
                  <c:v>59.214280206207022</c:v>
                </c:pt>
                <c:pt idx="86">
                  <c:v>60.101048874496307</c:v>
                </c:pt>
                <c:pt idx="87">
                  <c:v>61.017043358769854</c:v>
                </c:pt>
                <c:pt idx="88">
                  <c:v>61.964496944815743</c:v>
                </c:pt>
                <c:pt idx="89">
                  <c:v>62.487194825373898</c:v>
                </c:pt>
                <c:pt idx="90">
                  <c:v>62.732442067683806</c:v>
                </c:pt>
                <c:pt idx="91">
                  <c:v>62.487194825373464</c:v>
                </c:pt>
                <c:pt idx="92">
                  <c:v>62.22329006949159</c:v>
                </c:pt>
                <c:pt idx="93">
                  <c:v>61.941525469204727</c:v>
                </c:pt>
                <c:pt idx="94">
                  <c:v>61.642690636934347</c:v>
                </c:pt>
                <c:pt idx="95">
                  <c:v>61.327555457708023</c:v>
                </c:pt>
                <c:pt idx="96">
                  <c:v>60.996860977542099</c:v>
                </c:pt>
                <c:pt idx="97">
                  <c:v>60.651312415672031</c:v>
                </c:pt>
                <c:pt idx="98">
                  <c:v>60.291573989192031</c:v>
                </c:pt>
                <c:pt idx="99">
                  <c:v>59.918265163720257</c:v>
                </c:pt>
                <c:pt idx="100">
                  <c:v>59.53195816181713</c:v>
                </c:pt>
                <c:pt idx="101">
                  <c:v>59.13317635672545</c:v>
                </c:pt>
                <c:pt idx="102">
                  <c:v>58.722393473537188</c:v>
                </c:pt>
                <c:pt idx="103">
                  <c:v>58.300033309343561</c:v>
                </c:pt>
                <c:pt idx="104">
                  <c:v>57.866469983639419</c:v>
                </c:pt>
                <c:pt idx="105">
                  <c:v>57.422099946629366</c:v>
                </c:pt>
                <c:pt idx="106">
                  <c:v>56.967716217622915</c:v>
                </c:pt>
                <c:pt idx="107">
                  <c:v>56.504538872742025</c:v>
                </c:pt>
                <c:pt idx="108">
                  <c:v>56.033993486686619</c:v>
                </c:pt>
                <c:pt idx="109">
                  <c:v>55.55756498729734</c:v>
                </c:pt>
                <c:pt idx="110">
                  <c:v>55.076709773621886</c:v>
                </c:pt>
                <c:pt idx="111">
                  <c:v>54.592804622417539</c:v>
                </c:pt>
                <c:pt idx="112">
                  <c:v>54.107119085322488</c:v>
                </c:pt>
                <c:pt idx="113">
                  <c:v>53.620802747931819</c:v>
                </c:pt>
                <c:pt idx="114">
                  <c:v>53.134881893454207</c:v>
                </c:pt>
                <c:pt idx="115">
                  <c:v>52.650261915035294</c:v>
                </c:pt>
                <c:pt idx="116">
                  <c:v>52.167733164506025</c:v>
                </c:pt>
                <c:pt idx="117">
                  <c:v>51.687978702609819</c:v>
                </c:pt>
                <c:pt idx="118">
                  <c:v>51.211582909781846</c:v>
                </c:pt>
                <c:pt idx="119">
                  <c:v>50.739040328519494</c:v>
                </c:pt>
                <c:pt idx="120">
                  <c:v>50.270764373302754</c:v>
                </c:pt>
                <c:pt idx="121">
                  <c:v>49.807095580503898</c:v>
                </c:pt>
                <c:pt idx="122">
                  <c:v>49.348309304660468</c:v>
                </c:pt>
                <c:pt idx="123">
                  <c:v>48.894622784106652</c:v>
                </c:pt>
                <c:pt idx="124">
                  <c:v>48.446201542387151</c:v>
                </c:pt>
                <c:pt idx="125">
                  <c:v>48.003165120752939</c:v>
                </c:pt>
                <c:pt idx="126">
                  <c:v>47.565592167579098</c:v>
                </c:pt>
                <c:pt idx="127">
                  <c:v>47.1335249045759</c:v>
                </c:pt>
                <c:pt idx="128">
                  <c:v>46.706973025547704</c:v>
                </c:pt>
                <c:pt idx="129">
                  <c:v>46.285917022541824</c:v>
                </c:pt>
                <c:pt idx="130">
                  <c:v>45.870311009304039</c:v>
                </c:pt>
                <c:pt idx="131">
                  <c:v>45.460085035083168</c:v>
                </c:pt>
                <c:pt idx="132">
                  <c:v>45.055146938196067</c:v>
                </c:pt>
                <c:pt idx="133">
                  <c:v>44.655383738552395</c:v>
                </c:pt>
                <c:pt idx="134">
                  <c:v>44.260662583783215</c:v>
                </c:pt>
                <c:pt idx="135">
                  <c:v>43.870831232197943</c:v>
                </c:pt>
                <c:pt idx="136">
                  <c:v>43.485718163682634</c:v>
                </c:pt>
                <c:pt idx="137">
                  <c:v>43.105136319628009</c:v>
                </c:pt>
                <c:pt idx="138">
                  <c:v>42.728895664192734</c:v>
                </c:pt>
                <c:pt idx="139">
                  <c:v>42.356807747117919</c:v>
                </c:pt>
                <c:pt idx="140">
                  <c:v>41.988686063753924</c:v>
                </c:pt>
                <c:pt idx="141">
                  <c:v>41.624346300121324</c:v>
                </c:pt>
                <c:pt idx="142">
                  <c:v>41.263606481383185</c:v>
                </c:pt>
                <c:pt idx="143">
                  <c:v>40.906287106164434</c:v>
                </c:pt>
                <c:pt idx="144">
                  <c:v>40.552211193674985</c:v>
                </c:pt>
                <c:pt idx="145">
                  <c:v>40.201204334048704</c:v>
                </c:pt>
                <c:pt idx="146">
                  <c:v>39.853094660292939</c:v>
                </c:pt>
                <c:pt idx="147">
                  <c:v>39.507712831328284</c:v>
                </c:pt>
                <c:pt idx="148">
                  <c:v>39.164891968192833</c:v>
                </c:pt>
                <c:pt idx="149">
                  <c:v>38.824467574351338</c:v>
                </c:pt>
                <c:pt idx="150">
                  <c:v>38.486277439156268</c:v>
                </c:pt>
                <c:pt idx="151">
                  <c:v>38.150161533710303</c:v>
                </c:pt>
                <c:pt idx="152">
                  <c:v>37.815961883992934</c:v>
                </c:pt>
                <c:pt idx="153">
                  <c:v>37.48352243779658</c:v>
                </c:pt>
                <c:pt idx="154">
                  <c:v>37.15268892564152</c:v>
                </c:pt>
                <c:pt idx="155">
                  <c:v>36.823308708054206</c:v>
                </c:pt>
                <c:pt idx="156">
                  <c:v>36.495230621407345</c:v>
                </c:pt>
                <c:pt idx="157">
                  <c:v>36.168304820235562</c:v>
                </c:pt>
                <c:pt idx="158">
                  <c:v>35.842382606772581</c:v>
                </c:pt>
                <c:pt idx="159">
                  <c:v>35.517316258448055</c:v>
                </c:pt>
                <c:pt idx="160">
                  <c:v>35.192958864061112</c:v>
                </c:pt>
                <c:pt idx="161">
                  <c:v>34.869164135531939</c:v>
                </c:pt>
                <c:pt idx="162">
                  <c:v>34.545786233251164</c:v>
                </c:pt>
                <c:pt idx="163">
                  <c:v>34.222679581749027</c:v>
                </c:pt>
                <c:pt idx="164">
                  <c:v>33.899698682341118</c:v>
                </c:pt>
                <c:pt idx="165">
                  <c:v>33.576697924791873</c:v>
                </c:pt>
                <c:pt idx="166">
                  <c:v>33.253531394679506</c:v>
                </c:pt>
                <c:pt idx="167">
                  <c:v>32.930052678188474</c:v>
                </c:pt>
                <c:pt idx="168">
                  <c:v>32.606114664371255</c:v>
                </c:pt>
                <c:pt idx="169">
                  <c:v>32.281569343922619</c:v>
                </c:pt>
                <c:pt idx="170">
                  <c:v>31.956267603563635</c:v>
                </c:pt>
                <c:pt idx="171">
                  <c:v>31.630059018284882</c:v>
                </c:pt>
                <c:pt idx="172">
                  <c:v>31.302791641565818</c:v>
                </c:pt>
                <c:pt idx="173">
                  <c:v>30.97431178570849</c:v>
                </c:pt>
                <c:pt idx="174">
                  <c:v>30.644463805926474</c:v>
                </c:pt>
                <c:pt idx="175">
                  <c:v>30.31308987392628</c:v>
                </c:pt>
                <c:pt idx="176">
                  <c:v>29.980029750118224</c:v>
                </c:pt>
                <c:pt idx="177">
                  <c:v>29.645120552032648</c:v>
                </c:pt>
                <c:pt idx="178">
                  <c:v>29.308196514802912</c:v>
                </c:pt>
                <c:pt idx="179">
                  <c:v>28.969088750282992</c:v>
                </c:pt>
                <c:pt idx="180">
                  <c:v>28.627625000000226</c:v>
                </c:pt>
                <c:pt idx="181">
                  <c:v>28.286161249717463</c:v>
                </c:pt>
                <c:pt idx="182">
                  <c:v>27.947053485197479</c:v>
                </c:pt>
                <c:pt idx="183">
                  <c:v>27.610129447967775</c:v>
                </c:pt>
                <c:pt idx="184">
                  <c:v>27.275220249882207</c:v>
                </c:pt>
                <c:pt idx="185">
                  <c:v>26.942160126074107</c:v>
                </c:pt>
                <c:pt idx="186">
                  <c:v>26.610786194073935</c:v>
                </c:pt>
                <c:pt idx="187">
                  <c:v>26.280938214291911</c:v>
                </c:pt>
                <c:pt idx="188">
                  <c:v>25.952458358434566</c:v>
                </c:pt>
                <c:pt idx="189">
                  <c:v>25.62519098171548</c:v>
                </c:pt>
                <c:pt idx="190">
                  <c:v>25.29898239643676</c:v>
                </c:pt>
                <c:pt idx="191">
                  <c:v>24.973680656077729</c:v>
                </c:pt>
                <c:pt idx="192">
                  <c:v>24.649135335629083</c:v>
                </c:pt>
                <c:pt idx="193">
                  <c:v>24.325197321811874</c:v>
                </c:pt>
                <c:pt idx="194">
                  <c:v>24.001718605320878</c:v>
                </c:pt>
                <c:pt idx="195">
                  <c:v>23.678552075208515</c:v>
                </c:pt>
                <c:pt idx="196">
                  <c:v>23.355551317659238</c:v>
                </c:pt>
                <c:pt idx="197">
                  <c:v>23.032570418251336</c:v>
                </c:pt>
                <c:pt idx="198">
                  <c:v>22.709463766749163</c:v>
                </c:pt>
                <c:pt idx="199">
                  <c:v>22.386085864468448</c:v>
                </c:pt>
                <c:pt idx="200">
                  <c:v>22.062291135939248</c:v>
                </c:pt>
                <c:pt idx="201">
                  <c:v>21.737933741552311</c:v>
                </c:pt>
                <c:pt idx="202">
                  <c:v>21.412867393227806</c:v>
                </c:pt>
                <c:pt idx="203">
                  <c:v>21.086945179764836</c:v>
                </c:pt>
                <c:pt idx="204">
                  <c:v>20.760019378593071</c:v>
                </c:pt>
                <c:pt idx="205">
                  <c:v>20.43194129194616</c:v>
                </c:pt>
                <c:pt idx="206">
                  <c:v>20.102561074358842</c:v>
                </c:pt>
                <c:pt idx="207">
                  <c:v>19.771727562203758</c:v>
                </c:pt>
                <c:pt idx="208">
                  <c:v>19.439288116007429</c:v>
                </c:pt>
                <c:pt idx="209">
                  <c:v>19.105088466290045</c:v>
                </c:pt>
                <c:pt idx="210">
                  <c:v>18.768972560844084</c:v>
                </c:pt>
                <c:pt idx="211">
                  <c:v>18.43078242564906</c:v>
                </c:pt>
                <c:pt idx="212">
                  <c:v>18.090358031807583</c:v>
                </c:pt>
                <c:pt idx="213">
                  <c:v>17.747537168672064</c:v>
                </c:pt>
                <c:pt idx="214">
                  <c:v>17.402155339707452</c:v>
                </c:pt>
                <c:pt idx="215">
                  <c:v>17.054069146983952</c:v>
                </c:pt>
                <c:pt idx="216">
                  <c:v>16.66492502442226</c:v>
                </c:pt>
                <c:pt idx="217">
                  <c:v>16.263055429338021</c:v>
                </c:pt>
                <c:pt idx="218">
                  <c:v>15.859025114065464</c:v>
                </c:pt>
                <c:pt idx="219">
                  <c:v>15.452668572900837</c:v>
                </c:pt>
                <c:pt idx="220">
                  <c:v>15.043820984399781</c:v>
                </c:pt>
                <c:pt idx="221">
                  <c:v>14.632318430039502</c:v>
                </c:pt>
                <c:pt idx="222">
                  <c:v>14.217998155522912</c:v>
                </c:pt>
                <c:pt idx="223">
                  <c:v>13.800698918958943</c:v>
                </c:pt>
                <c:pt idx="224">
                  <c:v>13.380261407770963</c:v>
                </c:pt>
                <c:pt idx="225">
                  <c:v>12.956533375811139</c:v>
                </c:pt>
                <c:pt idx="226">
                  <c:v>12.512725619913708</c:v>
                </c:pt>
                <c:pt idx="227">
                  <c:v>12.034127880305391</c:v>
                </c:pt>
                <c:pt idx="228">
                  <c:v>11.554336284376191</c:v>
                </c:pt>
                <c:pt idx="229">
                  <c:v>11.073334105366579</c:v>
                </c:pt>
                <c:pt idx="230">
                  <c:v>10.591132297697762</c:v>
                </c:pt>
                <c:pt idx="231">
                  <c:v>10.107770903570563</c:v>
                </c:pt>
                <c:pt idx="232">
                  <c:v>9.6233208099827081</c:v>
                </c:pt>
                <c:pt idx="233">
                  <c:v>9.1378859147711164</c:v>
                </c:pt>
                <c:pt idx="234">
                  <c:v>8.6516056884868799</c:v>
                </c:pt>
                <c:pt idx="235">
                  <c:v>8.1646581255531423</c:v>
                </c:pt>
                <c:pt idx="236">
                  <c:v>7.6772630978495471</c:v>
                </c:pt>
                <c:pt idx="237">
                  <c:v>7.1896847898702205</c:v>
                </c:pt>
                <c:pt idx="238">
                  <c:v>6.7051568681708122</c:v>
                </c:pt>
                <c:pt idx="239">
                  <c:v>6.2251046193984099</c:v>
                </c:pt>
                <c:pt idx="240">
                  <c:v>5.7477564402936396</c:v>
                </c:pt>
                <c:pt idx="241">
                  <c:v>5.2736677563862884</c:v>
                </c:pt>
                <c:pt idx="242">
                  <c:v>4.8034646681406006</c:v>
                </c:pt>
                <c:pt idx="243">
                  <c:v>4.337848722874142</c:v>
                </c:pt>
                <c:pt idx="244">
                  <c:v>3.8776013003300807</c:v>
                </c:pt>
                <c:pt idx="245">
                  <c:v>3.423587238386955</c:v>
                </c:pt>
                <c:pt idx="246">
                  <c:v>2.9767571318413872</c:v>
                </c:pt>
                <c:pt idx="247">
                  <c:v>2.538147470579998</c:v>
                </c:pt>
                <c:pt idx="248">
                  <c:v>2.1088774959957037</c:v>
                </c:pt>
                <c:pt idx="249">
                  <c:v>1.6901410323138009</c:v>
                </c:pt>
                <c:pt idx="250">
                  <c:v>1.2831909460383135</c:v>
                </c:pt>
                <c:pt idx="251">
                  <c:v>0.88931258439853256</c:v>
                </c:pt>
                <c:pt idx="252">
                  <c:v>0.50978107074575352</c:v>
                </c:pt>
                <c:pt idx="253">
                  <c:v>0.1457946439331039</c:v>
                </c:pt>
                <c:pt idx="254">
                  <c:v>-0.20162756058022852</c:v>
                </c:pt>
                <c:pt idx="255">
                  <c:v>-0.53180109361973227</c:v>
                </c:pt>
                <c:pt idx="256">
                  <c:v>-0.8445089429779522</c:v>
                </c:pt>
                <c:pt idx="257">
                  <c:v>-1.1397250716241432</c:v>
                </c:pt>
                <c:pt idx="258">
                  <c:v>-1.4174084481633435</c:v>
                </c:pt>
                <c:pt idx="259">
                  <c:v>-1.6774983436771329</c:v>
                </c:pt>
                <c:pt idx="260">
                  <c:v>-1.9199182264165349</c:v>
                </c:pt>
                <c:pt idx="261">
                  <c:v>-2.1445801691069488</c:v>
                </c:pt>
                <c:pt idx="262">
                  <c:v>-2.3513899109673568</c:v>
                </c:pt>
                <c:pt idx="263">
                  <c:v>-2.5402525906395068</c:v>
                </c:pt>
                <c:pt idx="264">
                  <c:v>-2.7110793821296326</c:v>
                </c:pt>
                <c:pt idx="265">
                  <c:v>-2.8637950029133963</c:v>
                </c:pt>
                <c:pt idx="266">
                  <c:v>-2.9983463023412824</c:v>
                </c:pt>
                <c:pt idx="267">
                  <c:v>-3.1147119649221353</c:v>
                </c:pt>
                <c:pt idx="268">
                  <c:v>-3.2129134433310833</c:v>
                </c:pt>
                <c:pt idx="269">
                  <c:v>-3.2930272025308751</c:v>
                </c:pt>
                <c:pt idx="270">
                  <c:v>-3.3551982040152146</c:v>
                </c:pt>
                <c:pt idx="271">
                  <c:v>-3.107106845694533</c:v>
                </c:pt>
                <c:pt idx="272">
                  <c:v>-2.8619426299578667</c:v>
                </c:pt>
                <c:pt idx="273">
                  <c:v>-2.6194197284562706</c:v>
                </c:pt>
                <c:pt idx="274">
                  <c:v>-2.3792802736572964</c:v>
                </c:pt>
                <c:pt idx="275">
                  <c:v>-2.1412882769456978</c:v>
                </c:pt>
                <c:pt idx="276">
                  <c:v>-1.9052246063893121</c:v>
                </c:pt>
                <c:pt idx="277">
                  <c:v>-1.6708829867750579</c:v>
                </c:pt>
                <c:pt idx="278">
                  <c:v>-1.4380666462255483</c:v>
                </c:pt>
                <c:pt idx="279">
                  <c:v>-1.2065856845354601</c:v>
                </c:pt>
                <c:pt idx="280">
                  <c:v>-0.97625478061852844</c:v>
                </c:pt>
                <c:pt idx="281">
                  <c:v>-0.74689140545123811</c:v>
                </c:pt>
                <c:pt idx="282">
                  <c:v>-0.51831425663421649</c:v>
                </c:pt>
                <c:pt idx="283">
                  <c:v>-0.29034193045225232</c:v>
                </c:pt>
                <c:pt idx="284">
                  <c:v>-6.2791792564535959E-2</c:v>
                </c:pt>
                <c:pt idx="285">
                  <c:v>0.16452105734330236</c:v>
                </c:pt>
                <c:pt idx="286">
                  <c:v>0.39178469650096348</c:v>
                </c:pt>
                <c:pt idx="287">
                  <c:v>0.61919125433340516</c:v>
                </c:pt>
                <c:pt idx="288">
                  <c:v>0.8469377645947036</c:v>
                </c:pt>
                <c:pt idx="289">
                  <c:v>1.0752110072463268</c:v>
                </c:pt>
                <c:pt idx="290">
                  <c:v>1.304076843968651</c:v>
                </c:pt>
                <c:pt idx="291">
                  <c:v>1.5334452251110766</c:v>
                </c:pt>
                <c:pt idx="292">
                  <c:v>1.7631298785190663</c:v>
                </c:pt>
                <c:pt idx="293">
                  <c:v>1.9928934666003923</c:v>
                </c:pt>
                <c:pt idx="294">
                  <c:v>2.2224775652053697</c:v>
                </c:pt>
                <c:pt idx="295">
                  <c:v>2.4516223901478247</c:v>
                </c:pt>
                <c:pt idx="296">
                  <c:v>2.6800794910487635</c:v>
                </c:pt>
                <c:pt idx="297">
                  <c:v>2.9076195803480092</c:v>
                </c:pt>
                <c:pt idx="298">
                  <c:v>3.134037133082646</c:v>
                </c:pt>
                <c:pt idx="299">
                  <c:v>3.3591527781563926</c:v>
                </c:pt>
                <c:pt idx="300">
                  <c:v>3.582814217096177</c:v>
                </c:pt>
                <c:pt idx="301">
                  <c:v>3.8048961718823717</c:v>
                </c:pt>
                <c:pt idx="302">
                  <c:v>4.0252998088014502</c:v>
                </c:pt>
                <c:pt idx="303">
                  <c:v>4.2439517956515553</c:v>
                </c:pt>
                <c:pt idx="304">
                  <c:v>4.4608032317266373</c:v>
                </c:pt>
                <c:pt idx="305">
                  <c:v>4.6758285613016568</c:v>
                </c:pt>
                <c:pt idx="306">
                  <c:v>4.8890245515705271</c:v>
                </c:pt>
                <c:pt idx="307">
                  <c:v>5.1004094424833735</c:v>
                </c:pt>
                <c:pt idx="308">
                  <c:v>5.3100220317453566</c:v>
                </c:pt>
                <c:pt idx="309">
                  <c:v>5.5179159681451146</c:v>
                </c:pt>
                <c:pt idx="310">
                  <c:v>5.724149812677517</c:v>
                </c:pt>
                <c:pt idx="311">
                  <c:v>5.9287848911247361</c:v>
                </c:pt>
                <c:pt idx="312">
                  <c:v>6.1318849524770531</c:v>
                </c:pt>
                <c:pt idx="313">
                  <c:v>6.3335158869143369</c:v>
                </c:pt>
                <c:pt idx="314">
                  <c:v>6.5337454479952477</c:v>
                </c:pt>
                <c:pt idx="315">
                  <c:v>6.7326430057594973</c:v>
                </c:pt>
                <c:pt idx="316">
                  <c:v>6.9302793273596714</c:v>
                </c:pt>
                <c:pt idx="317">
                  <c:v>7.1267263840589088</c:v>
                </c:pt>
                <c:pt idx="318">
                  <c:v>7.3220571896567579</c:v>
                </c:pt>
                <c:pt idx="319">
                  <c:v>7.5163456682045302</c:v>
                </c:pt>
                <c:pt idx="320">
                  <c:v>7.70966652342572</c:v>
                </c:pt>
                <c:pt idx="321">
                  <c:v>7.9020951705948663</c:v>
                </c:pt>
                <c:pt idx="322">
                  <c:v>8.0937076394252809</c:v>
                </c:pt>
                <c:pt idx="323">
                  <c:v>8.2845805507802037</c:v>
                </c:pt>
                <c:pt idx="324">
                  <c:v>8.4747910497153889</c:v>
                </c:pt>
                <c:pt idx="325">
                  <c:v>8.664416824556346</c:v>
                </c:pt>
                <c:pt idx="326">
                  <c:v>8.8535360736712398</c:v>
                </c:pt>
                <c:pt idx="327">
                  <c:v>9.042227533500224</c:v>
                </c:pt>
                <c:pt idx="328">
                  <c:v>9.2305704929111574</c:v>
                </c:pt>
                <c:pt idx="329">
                  <c:v>9.4186448361436614</c:v>
                </c:pt>
                <c:pt idx="330">
                  <c:v>9.6065310891196347</c:v>
                </c:pt>
                <c:pt idx="331">
                  <c:v>9.7943104715376954</c:v>
                </c:pt>
                <c:pt idx="332">
                  <c:v>9.982064964857452</c:v>
                </c:pt>
                <c:pt idx="333">
                  <c:v>10.169877388658945</c:v>
                </c:pt>
                <c:pt idx="334">
                  <c:v>10.357831486510378</c:v>
                </c:pt>
                <c:pt idx="335">
                  <c:v>10.546012027391262</c:v>
                </c:pt>
                <c:pt idx="336">
                  <c:v>10.734504891908445</c:v>
                </c:pt>
                <c:pt idx="337">
                  <c:v>10.923397197090166</c:v>
                </c:pt>
                <c:pt idx="338">
                  <c:v>11.11277740990653</c:v>
                </c:pt>
                <c:pt idx="339">
                  <c:v>11.302735474202155</c:v>
                </c:pt>
                <c:pt idx="340">
                  <c:v>11.493362958195913</c:v>
                </c:pt>
                <c:pt idx="341">
                  <c:v>11.684753183941231</c:v>
                </c:pt>
                <c:pt idx="342">
                  <c:v>11.877001404767759</c:v>
                </c:pt>
                <c:pt idx="343">
                  <c:v>12.070204947039413</c:v>
                </c:pt>
                <c:pt idx="344">
                  <c:v>12.26446340674867</c:v>
                </c:pt>
                <c:pt idx="345">
                  <c:v>12.459878823703516</c:v>
                </c:pt>
                <c:pt idx="346">
                  <c:v>12.656555887071525</c:v>
                </c:pt>
                <c:pt idx="347">
                  <c:v>12.854602144895715</c:v>
                </c:pt>
                <c:pt idx="348">
                  <c:v>13.054128229259769</c:v>
                </c:pt>
                <c:pt idx="349">
                  <c:v>13.255248093076187</c:v>
                </c:pt>
                <c:pt idx="350">
                  <c:v>13.458079265108575</c:v>
                </c:pt>
                <c:pt idx="351">
                  <c:v>13.662743123164034</c:v>
                </c:pt>
                <c:pt idx="352">
                  <c:v>13.869365183645161</c:v>
                </c:pt>
                <c:pt idx="353">
                  <c:v>14.078075402481883</c:v>
                </c:pt>
                <c:pt idx="354">
                  <c:v>14.289008512511959</c:v>
                </c:pt>
                <c:pt idx="355">
                  <c:v>14.502304367174622</c:v>
                </c:pt>
                <c:pt idx="356">
                  <c:v>14.718108326165328</c:v>
                </c:pt>
                <c:pt idx="357">
                  <c:v>14.936571648941849</c:v>
                </c:pt>
                <c:pt idx="358">
                  <c:v>15.157851934014044</c:v>
                </c:pt>
                <c:pt idx="359">
                  <c:v>15.382113581198473</c:v>
                </c:pt>
                <c:pt idx="360">
                  <c:v>15.609528286728199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-144.02722583405526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14.402722583406035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-10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-66.07264188172941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22.024213960576471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L_Section_Capacity!$AE$9:$AE$10</c:f>
              <c:numCache>
                <c:formatCode>0.000</c:formatCode>
                <c:ptCount val="2"/>
                <c:pt idx="0">
                  <c:v>0</c:v>
                </c:pt>
                <c:pt idx="1">
                  <c:v>-60</c:v>
                </c:pt>
              </c:numCache>
            </c:numRef>
          </c:xVal>
          <c:yVal>
            <c:numRef>
              <c:f>L_Section_Capacity!$AF$9:$AF$10</c:f>
              <c:numCache>
                <c:formatCode>0.000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5"/>
          <c:order val="5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L_Section_Capacity!$BJ$2:$BJ$362</c:f>
              <c:numCache>
                <c:formatCode>General</c:formatCode>
                <c:ptCount val="361"/>
                <c:pt idx="0">
                  <c:v>-18.356765828655398</c:v>
                </c:pt>
                <c:pt idx="1">
                  <c:v>-18.460556754906193</c:v>
                </c:pt>
                <c:pt idx="2">
                  <c:v>-18.567289356907288</c:v>
                </c:pt>
                <c:pt idx="3">
                  <c:v>-18.677033564625539</c:v>
                </c:pt>
                <c:pt idx="4">
                  <c:v>-18.789865606228009</c:v>
                </c:pt>
                <c:pt idx="5">
                  <c:v>-18.905868223559203</c:v>
                </c:pt>
                <c:pt idx="6">
                  <c:v>-19.025130967716414</c:v>
                </c:pt>
                <c:pt idx="7">
                  <c:v>-19.147750480268726</c:v>
                </c:pt>
                <c:pt idx="8">
                  <c:v>-19.273830760592475</c:v>
                </c:pt>
                <c:pt idx="9">
                  <c:v>-19.40348366289361</c:v>
                </c:pt>
                <c:pt idx="10">
                  <c:v>-19.536829166041841</c:v>
                </c:pt>
                <c:pt idx="11">
                  <c:v>-19.673995877296882</c:v>
                </c:pt>
                <c:pt idx="12">
                  <c:v>-19.815121511878942</c:v>
                </c:pt>
                <c:pt idx="13">
                  <c:v>-19.960353394051069</c:v>
                </c:pt>
                <c:pt idx="14">
                  <c:v>-20.109849045317475</c:v>
                </c:pt>
                <c:pt idx="15">
                  <c:v>-20.263776777942365</c:v>
                </c:pt>
                <c:pt idx="16">
                  <c:v>-20.4223165031846</c:v>
                </c:pt>
                <c:pt idx="17">
                  <c:v>-20.585660354452372</c:v>
                </c:pt>
                <c:pt idx="18">
                  <c:v>-20.754013541231959</c:v>
                </c:pt>
                <c:pt idx="19">
                  <c:v>-20.927595348320967</c:v>
                </c:pt>
                <c:pt idx="20">
                  <c:v>-21.106640000347063</c:v>
                </c:pt>
                <c:pt idx="21">
                  <c:v>-21.291397873376361</c:v>
                </c:pt>
                <c:pt idx="22">
                  <c:v>-21.482136517964939</c:v>
                </c:pt>
                <c:pt idx="23">
                  <c:v>-21.67914216915802</c:v>
                </c:pt>
                <c:pt idx="24">
                  <c:v>-21.882721034969126</c:v>
                </c:pt>
                <c:pt idx="25">
                  <c:v>-22.093200890680073</c:v>
                </c:pt>
                <c:pt idx="26">
                  <c:v>-22.310932890374751</c:v>
                </c:pt>
                <c:pt idx="27">
                  <c:v>-22.536293397653296</c:v>
                </c:pt>
                <c:pt idx="28">
                  <c:v>-22.769686078986471</c:v>
                </c:pt>
                <c:pt idx="29">
                  <c:v>-23.011544312697445</c:v>
                </c:pt>
                <c:pt idx="30">
                  <c:v>-23.262333642242073</c:v>
                </c:pt>
                <c:pt idx="31">
                  <c:v>-23.52255469683978</c:v>
                </c:pt>
                <c:pt idx="32">
                  <c:v>-23.792746312322851</c:v>
                </c:pt>
                <c:pt idx="33">
                  <c:v>-24.073488954959032</c:v>
                </c:pt>
                <c:pt idx="34">
                  <c:v>-24.365408686315519</c:v>
                </c:pt>
                <c:pt idx="35">
                  <c:v>-24.669181409566413</c:v>
                </c:pt>
                <c:pt idx="36">
                  <c:v>-24.985537642934446</c:v>
                </c:pt>
                <c:pt idx="37">
                  <c:v>-25.315267996442795</c:v>
                </c:pt>
                <c:pt idx="38">
                  <c:v>-25.659229052219917</c:v>
                </c:pt>
                <c:pt idx="39">
                  <c:v>-26.01835012224657</c:v>
                </c:pt>
                <c:pt idx="40">
                  <c:v>-26.393640797565684</c:v>
                </c:pt>
                <c:pt idx="41">
                  <c:v>-26.786199454258036</c:v>
                </c:pt>
                <c:pt idx="42">
                  <c:v>-27.197222740606378</c:v>
                </c:pt>
                <c:pt idx="43">
                  <c:v>-27.628016524696804</c:v>
                </c:pt>
                <c:pt idx="44">
                  <c:v>-28.080007976078264</c:v>
                </c:pt>
                <c:pt idx="45">
                  <c:v>-28.554759565148586</c:v>
                </c:pt>
                <c:pt idx="46">
                  <c:v>-29.053984867803173</c:v>
                </c:pt>
                <c:pt idx="47">
                  <c:v>-29.579566557319868</c:v>
                </c:pt>
                <c:pt idx="48">
                  <c:v>-30.133577071257008</c:v>
                </c:pt>
                <c:pt idx="49">
                  <c:v>-30.71830229250401</c:v>
                </c:pt>
                <c:pt idx="50">
                  <c:v>-31.336268281585191</c:v>
                </c:pt>
                <c:pt idx="51">
                  <c:v>-31.990235585855629</c:v>
                </c:pt>
                <c:pt idx="52">
                  <c:v>-32.683117096836639</c:v>
                </c:pt>
                <c:pt idx="53">
                  <c:v>-33.417960778618891</c:v>
                </c:pt>
                <c:pt idx="54">
                  <c:v>-34.197966399727363</c:v>
                </c:pt>
                <c:pt idx="55">
                  <c:v>-35.026503322879286</c:v>
                </c:pt>
                <c:pt idx="56">
                  <c:v>-35.907128927041839</c:v>
                </c:pt>
                <c:pt idx="57">
                  <c:v>-36.84360802254696</c:v>
                </c:pt>
                <c:pt idx="58">
                  <c:v>-37.839933135676347</c:v>
                </c:pt>
                <c:pt idx="59">
                  <c:v>-38.900345916722038</c:v>
                </c:pt>
                <c:pt idx="60">
                  <c:v>-40.029359723291712</c:v>
                </c:pt>
                <c:pt idx="61">
                  <c:v>-41.231783469322956</c:v>
                </c:pt>
                <c:pt idx="62">
                  <c:v>-42.512746914210979</c:v>
                </c:pt>
                <c:pt idx="63">
                  <c:v>-43.877727472432426</c:v>
                </c:pt>
                <c:pt idx="64">
                  <c:v>-45.332578666780002</c:v>
                </c:pt>
                <c:pt idx="65">
                  <c:v>-46.883560471166106</c:v>
                </c:pt>
                <c:pt idx="66">
                  <c:v>-48.53737175047354</c:v>
                </c:pt>
                <c:pt idx="67">
                  <c:v>-50.301185208828635</c:v>
                </c:pt>
                <c:pt idx="68">
                  <c:v>-52.182685538719213</c:v>
                </c:pt>
                <c:pt idx="69">
                  <c:v>-54.190111633297462</c:v>
                </c:pt>
                <c:pt idx="70">
                  <c:v>-56.332304695208066</c:v>
                </c:pt>
                <c:pt idx="71">
                  <c:v>-58.618765060994214</c:v>
                </c:pt>
                <c:pt idx="72">
                  <c:v>-61.059722483063418</c:v>
                </c:pt>
                <c:pt idx="73">
                  <c:v>-63.666228089356437</c:v>
                </c:pt>
                <c:pt idx="74">
                  <c:v>-66.450282226408916</c:v>
                </c:pt>
                <c:pt idx="75">
                  <c:v>-69.425023058868391</c:v>
                </c:pt>
                <c:pt idx="76">
                  <c:v>-72.605009407958661</c:v>
                </c:pt>
                <c:pt idx="77">
                  <c:v>-76.006399647988218</c:v>
                </c:pt>
                <c:pt idx="78">
                  <c:v>-79.646875349224146</c:v>
                </c:pt>
                <c:pt idx="79">
                  <c:v>-83.545742982642977</c:v>
                </c:pt>
                <c:pt idx="80">
                  <c:v>-87.497753240602393</c:v>
                </c:pt>
                <c:pt idx="81">
                  <c:v>-91.509726484507894</c:v>
                </c:pt>
                <c:pt idx="82">
                  <c:v>-95.309169464180428</c:v>
                </c:pt>
                <c:pt idx="83">
                  <c:v>-99.331700936467669</c:v>
                </c:pt>
                <c:pt idx="84">
                  <c:v>-103.59174934093484</c:v>
                </c:pt>
                <c:pt idx="85">
                  <c:v>-108.10470295838746</c:v>
                </c:pt>
                <c:pt idx="86">
                  <c:v>-112.88692117903112</c:v>
                </c:pt>
                <c:pt idx="87">
                  <c:v>-117.95577019149529</c:v>
                </c:pt>
                <c:pt idx="88">
                  <c:v>-123.32965331089872</c:v>
                </c:pt>
                <c:pt idx="89">
                  <c:v>-127.97249749279787</c:v>
                </c:pt>
                <c:pt idx="90">
                  <c:v>-132.1275000000004</c:v>
                </c:pt>
                <c:pt idx="91">
                  <c:v>-136.28250250720288</c:v>
                </c:pt>
                <c:pt idx="92">
                  <c:v>-140.31015566418284</c:v>
                </c:pt>
                <c:pt idx="93">
                  <c:v>-144.20890382409587</c:v>
                </c:pt>
                <c:pt idx="94">
                  <c:v>-147.97828399721453</c:v>
                </c:pt>
                <c:pt idx="95">
                  <c:v>-151.61874919490879</c:v>
                </c:pt>
                <c:pt idx="96">
                  <c:v>-155.13151136073671</c:v>
                </c:pt>
                <c:pt idx="97">
                  <c:v>-158.51840308649656</c:v>
                </c:pt>
                <c:pt idx="98">
                  <c:v>-161.78175695705613</c:v>
                </c:pt>
                <c:pt idx="99">
                  <c:v>-164.92430107105616</c:v>
                </c:pt>
                <c:pt idx="100">
                  <c:v>-167.94906931824764</c:v>
                </c:pt>
                <c:pt idx="101">
                  <c:v>-170.85932478534136</c:v>
                </c:pt>
                <c:pt idx="102">
                  <c:v>-173.65849493003901</c:v>
                </c:pt>
                <c:pt idx="103">
                  <c:v>-176.35011701323461</c:v>
                </c:pt>
                <c:pt idx="104">
                  <c:v>-178.93779250900911</c:v>
                </c:pt>
                <c:pt idx="105">
                  <c:v>-181.42504838168509</c:v>
                </c:pt>
                <c:pt idx="106">
                  <c:v>-183.81482407640411</c:v>
                </c:pt>
                <c:pt idx="107">
                  <c:v>-186.1095326152703</c:v>
                </c:pt>
                <c:pt idx="108">
                  <c:v>-188.31141996518471</c:v>
                </c:pt>
                <c:pt idx="109">
                  <c:v>-190.42275186401224</c:v>
                </c:pt>
                <c:pt idx="110">
                  <c:v>-192.4458931479017</c:v>
                </c:pt>
                <c:pt idx="111">
                  <c:v>-194.38332975318522</c:v>
                </c:pt>
                <c:pt idx="112">
                  <c:v>-196.23766151052749</c:v>
                </c:pt>
                <c:pt idx="113">
                  <c:v>-198.01158109966946</c:v>
                </c:pt>
                <c:pt idx="114">
                  <c:v>-199.70784790781798</c:v>
                </c:pt>
                <c:pt idx="115">
                  <c:v>-201.32926130367861</c:v>
                </c:pt>
                <c:pt idx="116">
                  <c:v>-202.87863582420795</c:v>
                </c:pt>
                <c:pt idx="117">
                  <c:v>-204.35877941421941</c:v>
                </c:pt>
                <c:pt idx="118">
                  <c:v>-205.77247499843244</c:v>
                </c:pt>
                <c:pt idx="119">
                  <c:v>-207.12246541335651</c:v>
                </c:pt>
                <c:pt idx="120">
                  <c:v>-208.41144163314044</c:v>
                </c:pt>
                <c:pt idx="121">
                  <c:v>-209.64203372552896</c:v>
                </c:pt>
                <c:pt idx="122">
                  <c:v>-210.81680434649135</c:v>
                </c:pt>
                <c:pt idx="123">
                  <c:v>-211.93824443120852</c:v>
                </c:pt>
                <c:pt idx="124">
                  <c:v>-213.00877075127443</c:v>
                </c:pt>
                <c:pt idx="125">
                  <c:v>-214.03072503511618</c:v>
                </c:pt>
                <c:pt idx="126">
                  <c:v>-215.00637443716531</c:v>
                </c:pt>
                <c:pt idx="127">
                  <c:v>-215.93791311515599</c:v>
                </c:pt>
                <c:pt idx="128">
                  <c:v>-216.82746485218382</c:v>
                </c:pt>
                <c:pt idx="129">
                  <c:v>-217.6770864174149</c:v>
                </c:pt>
                <c:pt idx="130">
                  <c:v>-218.48877173694757</c:v>
                </c:pt>
                <c:pt idx="131">
                  <c:v>-219.26445663672033</c:v>
                </c:pt>
                <c:pt idx="132">
                  <c:v>-220.00602423867326</c:v>
                </c:pt>
                <c:pt idx="133">
                  <c:v>-220.71531090340696</c:v>
                </c:pt>
                <c:pt idx="134">
                  <c:v>-221.39411274701683</c:v>
                </c:pt>
                <c:pt idx="135">
                  <c:v>-222.04419264983389</c:v>
                </c:pt>
                <c:pt idx="136">
                  <c:v>-222.66728776146525</c:v>
                </c:pt>
                <c:pt idx="137">
                  <c:v>-223.26509204016827</c:v>
                </c:pt>
                <c:pt idx="138">
                  <c:v>-223.83918772375961</c:v>
                </c:pt>
                <c:pt idx="139">
                  <c:v>-224.39103148145233</c:v>
                </c:pt>
                <c:pt idx="140">
                  <c:v>-224.92196604341069</c:v>
                </c:pt>
                <c:pt idx="141">
                  <c:v>-225.43323098004106</c:v>
                </c:pt>
                <c:pt idx="142">
                  <c:v>-225.92597206494389</c:v>
                </c:pt>
                <c:pt idx="143">
                  <c:v>-226.40124990550561</c:v>
                </c:pt>
                <c:pt idx="144">
                  <c:v>-226.86004735899741</c:v>
                </c:pt>
                <c:pt idx="145">
                  <c:v>-227.30327649435395</c:v>
                </c:pt>
                <c:pt idx="146">
                  <c:v>-227.73178448719375</c:v>
                </c:pt>
                <c:pt idx="147">
                  <c:v>-228.14635922785206</c:v>
                </c:pt>
                <c:pt idx="148">
                  <c:v>-228.54773419370306</c:v>
                </c:pt>
                <c:pt idx="149">
                  <c:v>-228.93659287121923</c:v>
                </c:pt>
                <c:pt idx="150">
                  <c:v>-229.31357274847767</c:v>
                </c:pt>
                <c:pt idx="151">
                  <c:v>-229.67926899826955</c:v>
                </c:pt>
                <c:pt idx="152">
                  <c:v>-230.03423771483361</c:v>
                </c:pt>
                <c:pt idx="153">
                  <c:v>-230.37899888393247</c:v>
                </c:pt>
                <c:pt idx="154">
                  <c:v>-230.71403911297818</c:v>
                </c:pt>
                <c:pt idx="155">
                  <c:v>-231.03981404336588</c:v>
                </c:pt>
                <c:pt idx="156">
                  <c:v>-231.3567505977191</c:v>
                </c:pt>
                <c:pt idx="157">
                  <c:v>-231.66524906062062</c:v>
                </c:pt>
                <c:pt idx="158">
                  <c:v>-231.96568487364499</c:v>
                </c:pt>
                <c:pt idx="159">
                  <c:v>-232.25841028360881</c:v>
                </c:pt>
                <c:pt idx="160">
                  <c:v>-232.54375603650868</c:v>
                </c:pt>
                <c:pt idx="161">
                  <c:v>-232.82203262048711</c:v>
                </c:pt>
                <c:pt idx="162">
                  <c:v>-233.09353163919678</c:v>
                </c:pt>
                <c:pt idx="163">
                  <c:v>-233.35852697532999</c:v>
                </c:pt>
                <c:pt idx="164">
                  <c:v>-233.61727584567058</c:v>
                </c:pt>
                <c:pt idx="165">
                  <c:v>-233.8700197980192</c:v>
                </c:pt>
                <c:pt idx="166">
                  <c:v>-234.11698559650728</c:v>
                </c:pt>
                <c:pt idx="167">
                  <c:v>-234.35838603384545</c:v>
                </c:pt>
                <c:pt idx="168">
                  <c:v>-234.59442068392747</c:v>
                </c:pt>
                <c:pt idx="169">
                  <c:v>-234.82527658306094</c:v>
                </c:pt>
                <c:pt idx="170">
                  <c:v>-235.05112881617001</c:v>
                </c:pt>
                <c:pt idx="171">
                  <c:v>-235.27214107739536</c:v>
                </c:pt>
                <c:pt idx="172">
                  <c:v>-235.48846625000874</c:v>
                </c:pt>
                <c:pt idx="173">
                  <c:v>-235.70024671184035</c:v>
                </c:pt>
                <c:pt idx="174">
                  <c:v>-235.90761488652382</c:v>
                </c:pt>
                <c:pt idx="175">
                  <c:v>-236.11069350254007</c:v>
                </c:pt>
                <c:pt idx="176">
                  <c:v>-236.30959591533784</c:v>
                </c:pt>
                <c:pt idx="177">
                  <c:v>-236.50442648403003</c:v>
                </c:pt>
                <c:pt idx="178">
                  <c:v>-236.69528065801208</c:v>
                </c:pt>
                <c:pt idx="179">
                  <c:v>-236.88224525695449</c:v>
                </c:pt>
                <c:pt idx="180">
                  <c:v>-237.06539866037249</c:v>
                </c:pt>
                <c:pt idx="181">
                  <c:v>-236.88224525695574</c:v>
                </c:pt>
                <c:pt idx="182">
                  <c:v>-236.69528065801342</c:v>
                </c:pt>
                <c:pt idx="183">
                  <c:v>-236.5044264840312</c:v>
                </c:pt>
                <c:pt idx="184">
                  <c:v>-236.30959591533912</c:v>
                </c:pt>
                <c:pt idx="185">
                  <c:v>-236.11069350254138</c:v>
                </c:pt>
                <c:pt idx="186">
                  <c:v>-235.90761488652498</c:v>
                </c:pt>
                <c:pt idx="187">
                  <c:v>-235.70024671184163</c:v>
                </c:pt>
                <c:pt idx="188">
                  <c:v>-235.48846625000979</c:v>
                </c:pt>
                <c:pt idx="189">
                  <c:v>-235.27214107739667</c:v>
                </c:pt>
                <c:pt idx="190">
                  <c:v>-235.05112881617089</c:v>
                </c:pt>
                <c:pt idx="191">
                  <c:v>-234.82527658306213</c:v>
                </c:pt>
                <c:pt idx="192">
                  <c:v>-234.5944206839286</c:v>
                </c:pt>
                <c:pt idx="193">
                  <c:v>-234.35838603384678</c:v>
                </c:pt>
                <c:pt idx="194">
                  <c:v>-234.1169855965085</c:v>
                </c:pt>
                <c:pt idx="195">
                  <c:v>-233.87001979802022</c:v>
                </c:pt>
                <c:pt idx="196">
                  <c:v>-233.61727584567149</c:v>
                </c:pt>
                <c:pt idx="197">
                  <c:v>-233.35852697533124</c:v>
                </c:pt>
                <c:pt idx="198">
                  <c:v>-233.09353163919778</c:v>
                </c:pt>
                <c:pt idx="199">
                  <c:v>-232.82203262048807</c:v>
                </c:pt>
                <c:pt idx="200">
                  <c:v>-232.54375603650968</c:v>
                </c:pt>
                <c:pt idx="201">
                  <c:v>-232.25841028360995</c:v>
                </c:pt>
                <c:pt idx="202">
                  <c:v>-231.9656848736459</c:v>
                </c:pt>
                <c:pt idx="203">
                  <c:v>-231.66524906062156</c:v>
                </c:pt>
                <c:pt idx="204">
                  <c:v>-231.35675059771987</c:v>
                </c:pt>
                <c:pt idx="205">
                  <c:v>-231.0398140433669</c:v>
                </c:pt>
                <c:pt idx="206">
                  <c:v>-230.71403911297924</c:v>
                </c:pt>
                <c:pt idx="207">
                  <c:v>-230.37899888393346</c:v>
                </c:pt>
                <c:pt idx="208">
                  <c:v>-230.03423771483475</c:v>
                </c:pt>
                <c:pt idx="209">
                  <c:v>-229.67926899827037</c:v>
                </c:pt>
                <c:pt idx="210">
                  <c:v>-229.31357274847863</c:v>
                </c:pt>
                <c:pt idx="211">
                  <c:v>-228.93659287122028</c:v>
                </c:pt>
                <c:pt idx="212">
                  <c:v>-228.5477341937042</c:v>
                </c:pt>
                <c:pt idx="213">
                  <c:v>-228.14635922785305</c:v>
                </c:pt>
                <c:pt idx="214">
                  <c:v>-227.7317844871946</c:v>
                </c:pt>
                <c:pt idx="215">
                  <c:v>-227.30346526953841</c:v>
                </c:pt>
                <c:pt idx="216">
                  <c:v>-226.55036856761109</c:v>
                </c:pt>
                <c:pt idx="217">
                  <c:v>-225.69568515057995</c:v>
                </c:pt>
                <c:pt idx="218">
                  <c:v>-224.82471328901357</c:v>
                </c:pt>
                <c:pt idx="219">
                  <c:v>-223.93641745368745</c:v>
                </c:pt>
                <c:pt idx="220">
                  <c:v>-223.02969704224756</c:v>
                </c:pt>
                <c:pt idx="221">
                  <c:v>-222.10338012400453</c:v>
                </c:pt>
                <c:pt idx="222">
                  <c:v>-221.15621662013061</c:v>
                </c:pt>
                <c:pt idx="223">
                  <c:v>-220.18687059359308</c:v>
                </c:pt>
                <c:pt idx="224">
                  <c:v>-219.19391171501275</c:v>
                </c:pt>
                <c:pt idx="225">
                  <c:v>-218.17588402365573</c:v>
                </c:pt>
                <c:pt idx="226">
                  <c:v>-216.94692198047596</c:v>
                </c:pt>
                <c:pt idx="227">
                  <c:v>-215.1189038482718</c:v>
                </c:pt>
                <c:pt idx="228">
                  <c:v>-213.26153771665045</c:v>
                </c:pt>
                <c:pt idx="229">
                  <c:v>-211.37321362599405</c:v>
                </c:pt>
                <c:pt idx="230">
                  <c:v>-209.45232020693766</c:v>
                </c:pt>
                <c:pt idx="231">
                  <c:v>-207.49724278496382</c:v>
                </c:pt>
                <c:pt idx="232">
                  <c:v>-205.50636255368082</c:v>
                </c:pt>
                <c:pt idx="233">
                  <c:v>-203.47805664304295</c:v>
                </c:pt>
                <c:pt idx="234">
                  <c:v>-201.41069921452964</c:v>
                </c:pt>
                <c:pt idx="235">
                  <c:v>-199.30266370580887</c:v>
                </c:pt>
                <c:pt idx="236">
                  <c:v>-197.15232630496249</c:v>
                </c:pt>
                <c:pt idx="237">
                  <c:v>-194.95817080884109</c:v>
                </c:pt>
                <c:pt idx="238">
                  <c:v>-192.53260678916638</c:v>
                </c:pt>
                <c:pt idx="239">
                  <c:v>-189.89158146567243</c:v>
                </c:pt>
                <c:pt idx="240">
                  <c:v>-187.20378383805291</c:v>
                </c:pt>
                <c:pt idx="241">
                  <c:v>-184.46797680849434</c:v>
                </c:pt>
                <c:pt idx="242">
                  <c:v>-181.68301494743815</c:v>
                </c:pt>
                <c:pt idx="243">
                  <c:v>-178.84786381909319</c:v>
                </c:pt>
                <c:pt idx="244">
                  <c:v>-175.96162182977528</c:v>
                </c:pt>
                <c:pt idx="245">
                  <c:v>-173.02354444705276</c:v>
                </c:pt>
                <c:pt idx="246">
                  <c:v>-170.03307041319206</c:v>
                </c:pt>
                <c:pt idx="247">
                  <c:v>-166.98984916293293</c:v>
                </c:pt>
                <c:pt idx="248">
                  <c:v>-163.89376786355859</c:v>
                </c:pt>
                <c:pt idx="249">
                  <c:v>-160.7449755132422</c:v>
                </c:pt>
                <c:pt idx="250">
                  <c:v>-157.54389954115732</c:v>
                </c:pt>
                <c:pt idx="251">
                  <c:v>-154.29124764243437</c:v>
                </c:pt>
                <c:pt idx="252">
                  <c:v>-150.98798257764204</c:v>
                </c:pt>
                <c:pt idx="253">
                  <c:v>-147.63524990093435</c:v>
                </c:pt>
                <c:pt idx="254">
                  <c:v>-144.23422510247306</c:v>
                </c:pt>
                <c:pt idx="255">
                  <c:v>-140.78582427661655</c:v>
                </c:pt>
                <c:pt idx="256">
                  <c:v>-137.29038597225019</c:v>
                </c:pt>
                <c:pt idx="257">
                  <c:v>-133.74810513748304</c:v>
                </c:pt>
                <c:pt idx="258">
                  <c:v>-130.15942950327945</c:v>
                </c:pt>
                <c:pt idx="259">
                  <c:v>-126.52511236473723</c:v>
                </c:pt>
                <c:pt idx="260">
                  <c:v>-122.84625470580406</c:v>
                </c:pt>
                <c:pt idx="261">
                  <c:v>-119.12435166969223</c:v>
                </c:pt>
                <c:pt idx="262">
                  <c:v>-115.36134352468902</c:v>
                </c:pt>
                <c:pt idx="263">
                  <c:v>-111.55967119475716</c:v>
                </c:pt>
                <c:pt idx="264">
                  <c:v>-107.72233626829205</c:v>
                </c:pt>
                <c:pt idx="265">
                  <c:v>-103.85296526819816</c:v>
                </c:pt>
                <c:pt idx="266">
                  <c:v>-99.955877685642761</c:v>
                </c:pt>
                <c:pt idx="267">
                  <c:v>-96.036157014498457</c:v>
                </c:pt>
                <c:pt idx="268">
                  <c:v>-92.099723597855771</c:v>
                </c:pt>
                <c:pt idx="269">
                  <c:v>-88.153407578832116</c:v>
                </c:pt>
                <c:pt idx="270">
                  <c:v>-84.205019719934114</c:v>
                </c:pt>
                <c:pt idx="271">
                  <c:v>-80.151261123853089</c:v>
                </c:pt>
                <c:pt idx="272">
                  <c:v>-76.37517467394369</c:v>
                </c:pt>
                <c:pt idx="273">
                  <c:v>-72.855915925874669</c:v>
                </c:pt>
                <c:pt idx="274">
                  <c:v>-69.57430699747232</c:v>
                </c:pt>
                <c:pt idx="275">
                  <c:v>-66.512702699144569</c:v>
                </c:pt>
                <c:pt idx="276">
                  <c:v>-63.654866585111598</c:v>
                </c:pt>
                <c:pt idx="277">
                  <c:v>-60.985856075708767</c:v>
                </c:pt>
                <c:pt idx="278">
                  <c:v>-58.491916405302959</c:v>
                </c:pt>
                <c:pt idx="279">
                  <c:v>-56.160382504500276</c:v>
                </c:pt>
                <c:pt idx="280">
                  <c:v>-53.979588768521609</c:v>
                </c:pt>
                <c:pt idx="281">
                  <c:v>-51.938785737347459</c:v>
                </c:pt>
                <c:pt idx="282">
                  <c:v>-50.028063579136109</c:v>
                </c:pt>
                <c:pt idx="283">
                  <c:v>-48.238281765985946</c:v>
                </c:pt>
                <c:pt idx="284">
                  <c:v>-46.561004447067475</c:v>
                </c:pt>
                <c:pt idx="285">
                  <c:v>-44.988441221855801</c:v>
                </c:pt>
                <c:pt idx="286">
                  <c:v>-43.513392745283667</c:v>
                </c:pt>
                <c:pt idx="287">
                  <c:v>-42.129200908438563</c:v>
                </c:pt>
                <c:pt idx="288">
                  <c:v>-40.829703209040161</c:v>
                </c:pt>
                <c:pt idx="289">
                  <c:v>-39.609206792528894</c:v>
                </c:pt>
                <c:pt idx="290">
                  <c:v>-38.462552157646492</c:v>
                </c:pt>
                <c:pt idx="291">
                  <c:v>-37.385084001006284</c:v>
                </c:pt>
                <c:pt idx="292">
                  <c:v>-36.372539828747108</c:v>
                </c:pt>
                <c:pt idx="293">
                  <c:v>-35.420972049227096</c:v>
                </c:pt>
                <c:pt idx="294">
                  <c:v>-34.526695686300172</c:v>
                </c:pt>
                <c:pt idx="295">
                  <c:v>-33.686252277968286</c:v>
                </c:pt>
                <c:pt idx="296">
                  <c:v>-32.896383845936604</c:v>
                </c:pt>
                <c:pt idx="297">
                  <c:v>-32.154012998412561</c:v>
                </c:pt>
                <c:pt idx="298">
                  <c:v>-31.456227183349817</c:v>
                </c:pt>
                <c:pt idx="299">
                  <c:v>-30.80026549414076</c:v>
                </c:pt>
                <c:pt idx="300">
                  <c:v>-30.183507085223056</c:v>
                </c:pt>
                <c:pt idx="301">
                  <c:v>-29.603460541985957</c:v>
                </c:pt>
                <c:pt idx="302">
                  <c:v>-29.057754163295758</c:v>
                </c:pt>
                <c:pt idx="303">
                  <c:v>-28.54412654280927</c:v>
                </c:pt>
                <c:pt idx="304">
                  <c:v>-28.060417525384231</c:v>
                </c:pt>
                <c:pt idx="305">
                  <c:v>-27.604559374569625</c:v>
                </c:pt>
                <c:pt idx="306">
                  <c:v>-27.174568035205709</c:v>
                </c:pt>
                <c:pt idx="307">
                  <c:v>-26.76853462197144</c:v>
                </c:pt>
                <c:pt idx="308">
                  <c:v>-26.384618273835574</c:v>
                </c:pt>
                <c:pt idx="309">
                  <c:v>-26.02107941330836</c:v>
                </c:pt>
                <c:pt idx="310">
                  <c:v>-25.676340865219881</c:v>
                </c:pt>
                <c:pt idx="311">
                  <c:v>-25.348981781312979</c:v>
                </c:pt>
                <c:pt idx="312">
                  <c:v>-25.037718845519919</c:v>
                </c:pt>
                <c:pt idx="313">
                  <c:v>-24.741390258459262</c:v>
                </c:pt>
                <c:pt idx="314">
                  <c:v>-24.4589418362958</c:v>
                </c:pt>
                <c:pt idx="315">
                  <c:v>-24.189414992277605</c:v>
                </c:pt>
                <c:pt idx="316">
                  <c:v>-23.931936293474145</c:v>
                </c:pt>
                <c:pt idx="317">
                  <c:v>-23.68570834984067</c:v>
                </c:pt>
                <c:pt idx="318">
                  <c:v>-23.450001871239724</c:v>
                </c:pt>
                <c:pt idx="319">
                  <c:v>-23.224148726241825</c:v>
                </c:pt>
                <c:pt idx="320">
                  <c:v>-23.007535714594411</c:v>
                </c:pt>
                <c:pt idx="321">
                  <c:v>-22.799599294216325</c:v>
                </c:pt>
                <c:pt idx="322">
                  <c:v>-22.599820647678275</c:v>
                </c:pt>
                <c:pt idx="323">
                  <c:v>-22.407721614745654</c:v>
                </c:pt>
                <c:pt idx="324">
                  <c:v>-22.222860731084729</c:v>
                </c:pt>
                <c:pt idx="325">
                  <c:v>-22.04483010600029</c:v>
                </c:pt>
                <c:pt idx="326">
                  <c:v>-21.87325224855352</c:v>
                </c:pt>
                <c:pt idx="327">
                  <c:v>-21.707777505687226</c:v>
                </c:pt>
                <c:pt idx="328">
                  <c:v>-21.548081613419463</c:v>
                </c:pt>
                <c:pt idx="329">
                  <c:v>-21.393863602970089</c:v>
                </c:pt>
                <c:pt idx="330">
                  <c:v>-21.244843876514111</c:v>
                </c:pt>
                <c:pt idx="331">
                  <c:v>-21.100762443502923</c:v>
                </c:pt>
                <c:pt idx="332">
                  <c:v>-20.961377368819662</c:v>
                </c:pt>
                <c:pt idx="333">
                  <c:v>-20.826463367184338</c:v>
                </c:pt>
                <c:pt idx="334">
                  <c:v>-20.695810537517268</c:v>
                </c:pt>
                <c:pt idx="335">
                  <c:v>-20.569223271044194</c:v>
                </c:pt>
                <c:pt idx="336">
                  <c:v>-20.446519090530394</c:v>
                </c:pt>
                <c:pt idx="337">
                  <c:v>-20.327527810326032</c:v>
                </c:pt>
                <c:pt idx="338">
                  <c:v>-20.212090636899664</c:v>
                </c:pt>
                <c:pt idx="339">
                  <c:v>-20.10005938234621</c:v>
                </c:pt>
                <c:pt idx="340">
                  <c:v>-19.991295845521496</c:v>
                </c:pt>
                <c:pt idx="341">
                  <c:v>-19.885671038045903</c:v>
                </c:pt>
                <c:pt idx="342">
                  <c:v>-19.783064785499931</c:v>
                </c:pt>
                <c:pt idx="343">
                  <c:v>-19.683365003160382</c:v>
                </c:pt>
                <c:pt idx="344">
                  <c:v>-19.586467395037921</c:v>
                </c:pt>
                <c:pt idx="345">
                  <c:v>-19.492274913989753</c:v>
                </c:pt>
                <c:pt idx="346">
                  <c:v>-19.400697433156076</c:v>
                </c:pt>
                <c:pt idx="347">
                  <c:v>-19.311651382574379</c:v>
                </c:pt>
                <c:pt idx="348">
                  <c:v>-19.225059442246305</c:v>
                </c:pt>
                <c:pt idx="349">
                  <c:v>-19.140850242875857</c:v>
                </c:pt>
                <c:pt idx="350">
                  <c:v>-19.058958124269655</c:v>
                </c:pt>
                <c:pt idx="351">
                  <c:v>-18.979322940656701</c:v>
                </c:pt>
                <c:pt idx="352">
                  <c:v>-18.901889881065834</c:v>
                </c:pt>
                <c:pt idx="353">
                  <c:v>-18.826609231706538</c:v>
                </c:pt>
                <c:pt idx="354">
                  <c:v>-18.753436325074695</c:v>
                </c:pt>
                <c:pt idx="355">
                  <c:v>-18.682331340343676</c:v>
                </c:pt>
                <c:pt idx="356">
                  <c:v>-18.613259315957393</c:v>
                </c:pt>
                <c:pt idx="357">
                  <c:v>-18.546189975128115</c:v>
                </c:pt>
                <c:pt idx="358">
                  <c:v>-18.481097760535899</c:v>
                </c:pt>
                <c:pt idx="359">
                  <c:v>-18.417961793467644</c:v>
                </c:pt>
                <c:pt idx="360">
                  <c:v>-18.356765828657352</c:v>
                </c:pt>
              </c:numCache>
            </c:numRef>
          </c:xVal>
          <c:yVal>
            <c:numRef>
              <c:f>L_Section_Capacity!$BK$2:$BK$362</c:f>
              <c:numCache>
                <c:formatCode>General</c:formatCode>
                <c:ptCount val="361"/>
                <c:pt idx="0">
                  <c:v>24.014658902659519</c:v>
                </c:pt>
                <c:pt idx="1">
                  <c:v>24.387452700175121</c:v>
                </c:pt>
                <c:pt idx="2">
                  <c:v>24.76049641291668</c:v>
                </c:pt>
                <c:pt idx="3">
                  <c:v>25.133954036251055</c:v>
                </c:pt>
                <c:pt idx="4">
                  <c:v>25.507991649128233</c:v>
                </c:pt>
                <c:pt idx="5">
                  <c:v>25.882777610755813</c:v>
                </c:pt>
                <c:pt idx="6">
                  <c:v>26.258482779107212</c:v>
                </c:pt>
                <c:pt idx="7">
                  <c:v>26.635280740837587</c:v>
                </c:pt>
                <c:pt idx="8">
                  <c:v>27.013348053632683</c:v>
                </c:pt>
                <c:pt idx="9">
                  <c:v>27.392864523744795</c:v>
                </c:pt>
                <c:pt idx="10">
                  <c:v>27.774013475391147</c:v>
                </c:pt>
                <c:pt idx="11">
                  <c:v>28.156982056339963</c:v>
                </c:pt>
                <c:pt idx="12">
                  <c:v>28.541961555336663</c:v>
                </c:pt>
                <c:pt idx="13">
                  <c:v>28.929147736992007</c:v>
                </c:pt>
                <c:pt idx="14">
                  <c:v>29.318741200180831</c:v>
                </c:pt>
                <c:pt idx="15">
                  <c:v>29.710947754369421</c:v>
                </c:pt>
                <c:pt idx="16">
                  <c:v>30.105978829664203</c:v>
                </c:pt>
                <c:pt idx="17">
                  <c:v>30.504051893460584</c:v>
                </c:pt>
                <c:pt idx="18">
                  <c:v>30.905390905151201</c:v>
                </c:pt>
                <c:pt idx="19">
                  <c:v>31.310226801870616</c:v>
                </c:pt>
                <c:pt idx="20">
                  <c:v>31.718798001040515</c:v>
                </c:pt>
                <c:pt idx="21">
                  <c:v>32.131350949795525</c:v>
                </c:pt>
                <c:pt idx="22">
                  <c:v>32.548140693703189</c:v>
                </c:pt>
                <c:pt idx="23">
                  <c:v>32.969431501451247</c:v>
                </c:pt>
                <c:pt idx="24">
                  <c:v>33.39549751291419</c:v>
                </c:pt>
                <c:pt idx="25">
                  <c:v>33.826623439531936</c:v>
                </c:pt>
                <c:pt idx="26">
                  <c:v>34.263105313382788</c:v>
                </c:pt>
                <c:pt idx="27">
                  <c:v>34.705251281912695</c:v>
                </c:pt>
                <c:pt idx="28">
                  <c:v>35.153382461476639</c:v>
                </c:pt>
                <c:pt idx="29">
                  <c:v>35.607833853139176</c:v>
                </c:pt>
                <c:pt idx="30">
                  <c:v>36.068955319348262</c:v>
                </c:pt>
                <c:pt idx="31">
                  <c:v>36.537112636202309</c:v>
                </c:pt>
                <c:pt idx="32">
                  <c:v>37.012688620639082</c:v>
                </c:pt>
                <c:pt idx="33">
                  <c:v>37.496084342425675</c:v>
                </c:pt>
                <c:pt idx="34">
                  <c:v>37.987720428960969</c:v>
                </c:pt>
                <c:pt idx="35">
                  <c:v>38.488038469122166</c:v>
                </c:pt>
                <c:pt idx="36">
                  <c:v>38.997502527563668</c:v>
                </c:pt>
                <c:pt idx="37">
                  <c:v>39.516600776616293</c:v>
                </c:pt>
                <c:pt idx="38">
                  <c:v>40.045847260559469</c:v>
                </c:pt>
                <c:pt idx="39">
                  <c:v>40.585783801608926</c:v>
                </c:pt>
                <c:pt idx="40">
                  <c:v>41.136982062096479</c:v>
                </c:pt>
                <c:pt idx="41">
                  <c:v>41.700045777168192</c:v>
                </c:pt>
                <c:pt idx="42">
                  <c:v>42.275613178917496</c:v>
                </c:pt>
                <c:pt idx="43">
                  <c:v>42.864359618873266</c:v>
                </c:pt>
                <c:pt idx="44">
                  <c:v>43.46700042868887</c:v>
                </c:pt>
                <c:pt idx="45">
                  <c:v>44.084294020128176</c:v>
                </c:pt>
                <c:pt idx="46">
                  <c:v>44.717045263953459</c:v>
                </c:pt>
                <c:pt idx="47">
                  <c:v>45.366109175607598</c:v>
                </c:pt>
                <c:pt idx="48">
                  <c:v>46.032394932417901</c:v>
                </c:pt>
                <c:pt idx="49">
                  <c:v>46.716870263673343</c:v>
                </c:pt>
                <c:pt idx="50">
                  <c:v>47.420566118673293</c:v>
                </c:pt>
                <c:pt idx="51">
                  <c:v>48.144571775548982</c:v>
                </c:pt>
                <c:pt idx="52">
                  <c:v>48.890009869919545</c:v>
                </c:pt>
                <c:pt idx="53">
                  <c:v>49.658031432188075</c:v>
                </c:pt>
                <c:pt idx="54">
                  <c:v>50.449820356736957</c:v>
                </c:pt>
                <c:pt idx="55">
                  <c:v>51.266597752533137</c:v>
                </c:pt>
                <c:pt idx="56">
                  <c:v>52.109626104131294</c:v>
                </c:pt>
                <c:pt idx="57">
                  <c:v>52.980213248799913</c:v>
                </c:pt>
                <c:pt idx="58">
                  <c:v>53.879716230927983</c:v>
                </c:pt>
                <c:pt idx="59">
                  <c:v>54.809545048862354</c:v>
                </c:pt>
                <c:pt idx="60">
                  <c:v>55.771166339062582</c:v>
                </c:pt>
                <c:pt idx="61">
                  <c:v>56.766107050596091</c:v>
                </c:pt>
                <c:pt idx="62">
                  <c:v>57.795958168317505</c:v>
                </c:pt>
                <c:pt idx="63">
                  <c:v>58.862378592130746</c:v>
                </c:pt>
                <c:pt idx="64">
                  <c:v>59.967099329725336</c:v>
                </c:pt>
                <c:pt idx="65">
                  <c:v>61.111928221178623</c:v>
                </c:pt>
                <c:pt idx="66">
                  <c:v>62.298755555723268</c:v>
                </c:pt>
                <c:pt idx="67">
                  <c:v>63.529561107689908</c:v>
                </c:pt>
                <c:pt idx="68">
                  <c:v>64.806423373949059</c:v>
                </c:pt>
                <c:pt idx="69">
                  <c:v>66.131532267656794</c:v>
                </c:pt>
                <c:pt idx="70">
                  <c:v>67.507207074602917</c:v>
                </c:pt>
                <c:pt idx="71">
                  <c:v>68.935922478793429</c:v>
                </c:pt>
                <c:pt idx="72">
                  <c:v>70.420346978194743</c:v>
                </c:pt>
                <c:pt idx="73">
                  <c:v>71.963400343174129</c:v>
                </c:pt>
                <c:pt idx="74">
                  <c:v>73.568340511772391</c:v>
                </c:pt>
                <c:pt idx="75">
                  <c:v>75.238896393797773</c:v>
                </c:pt>
                <c:pt idx="76">
                  <c:v>76.979462392275252</c:v>
                </c:pt>
                <c:pt idx="77">
                  <c:v>78.795133075189852</c:v>
                </c:pt>
                <c:pt idx="78">
                  <c:v>80.691481174691958</c:v>
                </c:pt>
                <c:pt idx="79">
                  <c:v>82.674547755999185</c:v>
                </c:pt>
                <c:pt idx="80">
                  <c:v>84.432407234992198</c:v>
                </c:pt>
                <c:pt idx="81">
                  <c:v>86.0318025054233</c:v>
                </c:pt>
                <c:pt idx="82">
                  <c:v>87.245477695150328</c:v>
                </c:pt>
                <c:pt idx="83">
                  <c:v>88.492862906023916</c:v>
                </c:pt>
                <c:pt idx="84">
                  <c:v>89.776435018998271</c:v>
                </c:pt>
                <c:pt idx="85">
                  <c:v>91.098892624933882</c:v>
                </c:pt>
                <c:pt idx="86">
                  <c:v>92.463152114609699</c:v>
                </c:pt>
                <c:pt idx="87">
                  <c:v>93.872374398107468</c:v>
                </c:pt>
                <c:pt idx="88">
                  <c:v>95.329995299716529</c:v>
                </c:pt>
                <c:pt idx="89">
                  <c:v>96.134145885190605</c:v>
                </c:pt>
                <c:pt idx="90">
                  <c:v>96.51144933489816</c:v>
                </c:pt>
                <c:pt idx="91">
                  <c:v>96.134145885189938</c:v>
                </c:pt>
                <c:pt idx="92">
                  <c:v>95.7281385684486</c:v>
                </c:pt>
                <c:pt idx="93">
                  <c:v>95.294654568007275</c:v>
                </c:pt>
                <c:pt idx="94">
                  <c:v>94.83490867220668</c:v>
                </c:pt>
                <c:pt idx="95">
                  <c:v>94.3500853195508</c:v>
                </c:pt>
                <c:pt idx="96">
                  <c:v>93.841324580833998</c:v>
                </c:pt>
                <c:pt idx="97">
                  <c:v>93.309711408726201</c:v>
                </c:pt>
                <c:pt idx="98">
                  <c:v>92.75626767568005</c:v>
                </c:pt>
                <c:pt idx="99">
                  <c:v>92.181946405723465</c:v>
                </c:pt>
                <c:pt idx="100">
                  <c:v>91.587627941257125</c:v>
                </c:pt>
                <c:pt idx="101">
                  <c:v>90.974117471885307</c:v>
                </c:pt>
                <c:pt idx="102">
                  <c:v>90.342143805441822</c:v>
                </c:pt>
                <c:pt idx="103">
                  <c:v>89.69235893745163</c:v>
                </c:pt>
                <c:pt idx="104">
                  <c:v>89.02533843636833</c:v>
                </c:pt>
                <c:pt idx="105">
                  <c:v>88.341692225583643</c:v>
                </c:pt>
                <c:pt idx="106">
                  <c:v>87.642640334804483</c:v>
                </c:pt>
                <c:pt idx="107">
                  <c:v>86.930059804218502</c:v>
                </c:pt>
                <c:pt idx="108">
                  <c:v>86.206143825671717</c:v>
                </c:pt>
                <c:pt idx="109">
                  <c:v>85.473176903534366</c:v>
                </c:pt>
                <c:pt idx="110">
                  <c:v>84.733399651725975</c:v>
                </c:pt>
                <c:pt idx="111">
                  <c:v>83.988930188334677</c:v>
                </c:pt>
                <c:pt idx="112">
                  <c:v>83.2417216697269</c:v>
                </c:pt>
                <c:pt idx="113">
                  <c:v>82.493542689125874</c:v>
                </c:pt>
                <c:pt idx="114">
                  <c:v>81.745972143775703</c:v>
                </c:pt>
                <c:pt idx="115">
                  <c:v>81.000402946208141</c:v>
                </c:pt>
                <c:pt idx="116">
                  <c:v>80.258051022316963</c:v>
                </c:pt>
                <c:pt idx="117">
                  <c:v>79.519967234784332</c:v>
                </c:pt>
                <c:pt idx="118">
                  <c:v>78.787050630433612</c:v>
                </c:pt>
                <c:pt idx="119">
                  <c:v>78.060062043876144</c:v>
                </c:pt>
                <c:pt idx="120">
                  <c:v>77.33963749738885</c:v>
                </c:pt>
                <c:pt idx="121">
                  <c:v>76.626300893082913</c:v>
                </c:pt>
                <c:pt idx="122">
                  <c:v>75.920475853323794</c:v>
                </c:pt>
                <c:pt idx="123">
                  <c:v>75.222496590933304</c:v>
                </c:pt>
                <c:pt idx="124">
                  <c:v>74.532617757518693</c:v>
                </c:pt>
                <c:pt idx="125">
                  <c:v>73.851023262696827</c:v>
                </c:pt>
                <c:pt idx="126">
                  <c:v>73.177834103967839</c:v>
                </c:pt>
                <c:pt idx="127">
                  <c:v>72.513115237809075</c:v>
                </c:pt>
                <c:pt idx="128">
                  <c:v>71.856881577765691</c:v>
                </c:pt>
                <c:pt idx="129">
                  <c:v>71.209103111602801</c:v>
                </c:pt>
                <c:pt idx="130">
                  <c:v>70.569709245083132</c:v>
                </c:pt>
                <c:pt idx="131">
                  <c:v>69.938592361666409</c:v>
                </c:pt>
                <c:pt idx="132">
                  <c:v>69.315610674147791</c:v>
                </c:pt>
                <c:pt idx="133">
                  <c:v>68.700590367003684</c:v>
                </c:pt>
                <c:pt idx="134">
                  <c:v>68.093327051974171</c:v>
                </c:pt>
                <c:pt idx="135">
                  <c:v>67.493586511073758</c:v>
                </c:pt>
                <c:pt idx="136">
                  <c:v>66.901104867204054</c:v>
                </c:pt>
                <c:pt idx="137">
                  <c:v>66.315594337889237</c:v>
                </c:pt>
                <c:pt idx="138">
                  <c:v>65.736762560296512</c:v>
                </c:pt>
                <c:pt idx="139">
                  <c:v>65.164319610950642</c:v>
                </c:pt>
                <c:pt idx="140">
                  <c:v>64.597978559621424</c:v>
                </c:pt>
                <c:pt idx="141">
                  <c:v>64.037455846340492</c:v>
                </c:pt>
                <c:pt idx="142">
                  <c:v>63.482471509820286</c:v>
                </c:pt>
                <c:pt idx="143">
                  <c:v>62.932749394099126</c:v>
                </c:pt>
                <c:pt idx="144">
                  <c:v>62.388017221038439</c:v>
                </c:pt>
                <c:pt idx="145">
                  <c:v>61.848006667767237</c:v>
                </c:pt>
                <c:pt idx="146">
                  <c:v>61.312453323527599</c:v>
                </c:pt>
                <c:pt idx="147">
                  <c:v>60.781096663581977</c:v>
                </c:pt>
                <c:pt idx="148">
                  <c:v>60.253679951065898</c:v>
                </c:pt>
                <c:pt idx="149">
                  <c:v>59.729950114386675</c:v>
                </c:pt>
                <c:pt idx="150">
                  <c:v>59.209657598701952</c:v>
                </c:pt>
                <c:pt idx="151">
                  <c:v>58.692556205708158</c:v>
                </c:pt>
                <c:pt idx="152">
                  <c:v>58.178402898450663</c:v>
                </c:pt>
                <c:pt idx="153">
                  <c:v>57.666957596610118</c:v>
                </c:pt>
                <c:pt idx="154">
                  <c:v>57.157982962525416</c:v>
                </c:pt>
                <c:pt idx="155">
                  <c:v>56.651244166237241</c:v>
                </c:pt>
                <c:pt idx="156">
                  <c:v>56.146508648318992</c:v>
                </c:pt>
                <c:pt idx="157">
                  <c:v>55.643545877285476</c:v>
                </c:pt>
                <c:pt idx="158">
                  <c:v>55.142127087342431</c:v>
                </c:pt>
                <c:pt idx="159">
                  <c:v>54.642025012997003</c:v>
                </c:pt>
                <c:pt idx="160">
                  <c:v>54.143013637017091</c:v>
                </c:pt>
                <c:pt idx="161">
                  <c:v>53.644867900818369</c:v>
                </c:pt>
                <c:pt idx="162">
                  <c:v>53.14736343577102</c:v>
                </c:pt>
                <c:pt idx="163">
                  <c:v>52.650276279613884</c:v>
                </c:pt>
                <c:pt idx="164">
                  <c:v>52.153382588217106</c:v>
                </c:pt>
                <c:pt idx="165">
                  <c:v>51.656458345833649</c:v>
                </c:pt>
                <c:pt idx="166">
                  <c:v>51.159279068737696</c:v>
                </c:pt>
                <c:pt idx="167">
                  <c:v>50.661619504905346</c:v>
                </c:pt>
                <c:pt idx="168">
                  <c:v>50.163253329801925</c:v>
                </c:pt>
                <c:pt idx="169">
                  <c:v>49.663952836804029</c:v>
                </c:pt>
                <c:pt idx="170">
                  <c:v>49.163488620867128</c:v>
                </c:pt>
                <c:pt idx="171">
                  <c:v>48.661629258899815</c:v>
                </c:pt>
                <c:pt idx="172">
                  <c:v>48.158140987024332</c:v>
                </c:pt>
                <c:pt idx="173">
                  <c:v>47.652787362628445</c:v>
                </c:pt>
                <c:pt idx="174">
                  <c:v>47.145328932194573</c:v>
                </c:pt>
                <c:pt idx="175">
                  <c:v>46.635522882963507</c:v>
                </c:pt>
                <c:pt idx="176">
                  <c:v>46.123122692489574</c:v>
                </c:pt>
                <c:pt idx="177">
                  <c:v>45.607877772357917</c:v>
                </c:pt>
                <c:pt idx="178">
                  <c:v>45.089533099696787</c:v>
                </c:pt>
                <c:pt idx="179">
                  <c:v>44.567828846589215</c:v>
                </c:pt>
                <c:pt idx="180">
                  <c:v>44.042500000000345</c:v>
                </c:pt>
                <c:pt idx="181">
                  <c:v>43.517171153411482</c:v>
                </c:pt>
                <c:pt idx="182">
                  <c:v>42.995466900303811</c:v>
                </c:pt>
                <c:pt idx="183">
                  <c:v>42.477122227642731</c:v>
                </c:pt>
                <c:pt idx="184">
                  <c:v>41.961877307511088</c:v>
                </c:pt>
                <c:pt idx="185">
                  <c:v>41.449477117037084</c:v>
                </c:pt>
                <c:pt idx="186">
                  <c:v>40.939671067806053</c:v>
                </c:pt>
                <c:pt idx="187">
                  <c:v>40.432212637372167</c:v>
                </c:pt>
                <c:pt idx="188">
                  <c:v>39.926859012976252</c:v>
                </c:pt>
                <c:pt idx="189">
                  <c:v>39.42337074110074</c:v>
                </c:pt>
                <c:pt idx="190">
                  <c:v>38.921511379133477</c:v>
                </c:pt>
                <c:pt idx="191">
                  <c:v>38.421047163196505</c:v>
                </c:pt>
                <c:pt idx="192">
                  <c:v>37.921746670198587</c:v>
                </c:pt>
                <c:pt idx="193">
                  <c:v>37.423380495095188</c:v>
                </c:pt>
                <c:pt idx="194">
                  <c:v>36.925720931262887</c:v>
                </c:pt>
                <c:pt idx="195">
                  <c:v>36.428541654166942</c:v>
                </c:pt>
                <c:pt idx="196">
                  <c:v>35.931617411783442</c:v>
                </c:pt>
                <c:pt idx="197">
                  <c:v>35.434723720386671</c:v>
                </c:pt>
                <c:pt idx="198">
                  <c:v>34.937636564229479</c:v>
                </c:pt>
                <c:pt idx="199">
                  <c:v>34.440132099182229</c:v>
                </c:pt>
                <c:pt idx="200">
                  <c:v>33.941986362983457</c:v>
                </c:pt>
                <c:pt idx="201">
                  <c:v>33.442974987003552</c:v>
                </c:pt>
                <c:pt idx="202">
                  <c:v>32.94287291265816</c:v>
                </c:pt>
                <c:pt idx="203">
                  <c:v>32.441454122715129</c:v>
                </c:pt>
                <c:pt idx="204">
                  <c:v>31.938491351681648</c:v>
                </c:pt>
                <c:pt idx="205">
                  <c:v>31.433755833763321</c:v>
                </c:pt>
                <c:pt idx="206">
                  <c:v>30.927017037475142</c:v>
                </c:pt>
                <c:pt idx="207">
                  <c:v>30.418042403390395</c:v>
                </c:pt>
                <c:pt idx="208">
                  <c:v>29.906597101549888</c:v>
                </c:pt>
                <c:pt idx="209">
                  <c:v>29.392443794292376</c:v>
                </c:pt>
                <c:pt idx="210">
                  <c:v>28.875342401298589</c:v>
                </c:pt>
                <c:pt idx="211">
                  <c:v>28.355049885613937</c:v>
                </c:pt>
                <c:pt idx="212">
                  <c:v>27.831320048934742</c:v>
                </c:pt>
                <c:pt idx="213">
                  <c:v>27.303903336418561</c:v>
                </c:pt>
                <c:pt idx="214">
                  <c:v>26.772546676473002</c:v>
                </c:pt>
                <c:pt idx="215">
                  <c:v>26.237029456898387</c:v>
                </c:pt>
                <c:pt idx="216">
                  <c:v>25.638346191418862</c:v>
                </c:pt>
                <c:pt idx="217">
                  <c:v>25.020085275904645</c:v>
                </c:pt>
                <c:pt idx="218">
                  <c:v>24.398500175485328</c:v>
                </c:pt>
                <c:pt idx="219">
                  <c:v>23.773336266001287</c:v>
                </c:pt>
                <c:pt idx="220">
                  <c:v>23.144339975999664</c:v>
                </c:pt>
                <c:pt idx="221">
                  <c:v>22.511259123137695</c:v>
                </c:pt>
                <c:pt idx="222">
                  <c:v>21.873843316189095</c:v>
                </c:pt>
                <c:pt idx="223">
                  <c:v>21.231844490706067</c:v>
                </c:pt>
                <c:pt idx="224">
                  <c:v>20.585017550416865</c:v>
                </c:pt>
                <c:pt idx="225">
                  <c:v>19.933128270478676</c:v>
                </c:pt>
                <c:pt idx="226">
                  <c:v>19.250347107559548</c:v>
                </c:pt>
                <c:pt idx="227">
                  <c:v>18.514042892777525</c:v>
                </c:pt>
                <c:pt idx="228">
                  <c:v>17.775901975963372</c:v>
                </c:pt>
                <c:pt idx="229">
                  <c:v>17.03589862364089</c:v>
                </c:pt>
                <c:pt idx="230">
                  <c:v>16.294049688765785</c:v>
                </c:pt>
                <c:pt idx="231">
                  <c:v>15.550416774723942</c:v>
                </c:pt>
                <c:pt idx="232">
                  <c:v>14.805108938434936</c:v>
                </c:pt>
                <c:pt idx="233">
                  <c:v>14.058286022724793</c:v>
                </c:pt>
                <c:pt idx="234">
                  <c:v>13.310162597672123</c:v>
                </c:pt>
                <c:pt idx="235">
                  <c:v>12.561012500850987</c:v>
                </c:pt>
                <c:pt idx="236">
                  <c:v>11.811173996691611</c:v>
                </c:pt>
                <c:pt idx="237">
                  <c:v>11.061053522877263</c:v>
                </c:pt>
                <c:pt idx="238">
                  <c:v>10.315625951032018</c:v>
                </c:pt>
                <c:pt idx="239">
                  <c:v>9.5770840298437072</c:v>
                </c:pt>
                <c:pt idx="240">
                  <c:v>8.8427022158363684</c:v>
                </c:pt>
                <c:pt idx="241">
                  <c:v>8.1133350098250592</c:v>
                </c:pt>
                <c:pt idx="242">
                  <c:v>7.3899456432932311</c:v>
                </c:pt>
                <c:pt idx="243">
                  <c:v>6.6736134198063723</c:v>
                </c:pt>
                <c:pt idx="244">
                  <c:v>5.9655404620462775</c:v>
                </c:pt>
                <c:pt idx="245">
                  <c:v>5.2670572898260843</c:v>
                </c:pt>
                <c:pt idx="246">
                  <c:v>4.5796263566790572</c:v>
                </c:pt>
                <c:pt idx="247">
                  <c:v>3.9048422624307659</c:v>
                </c:pt>
                <c:pt idx="248">
                  <c:v>3.244426916916467</c:v>
                </c:pt>
                <c:pt idx="249">
                  <c:v>2.6002169727904629</c:v>
                </c:pt>
                <c:pt idx="250">
                  <c:v>1.9741399169820206</c:v>
                </c:pt>
                <c:pt idx="251">
                  <c:v>1.3681732067669732</c:v>
                </c:pt>
                <c:pt idx="252">
                  <c:v>0.78427857037808235</c:v>
                </c:pt>
                <c:pt idx="253">
                  <c:v>0.22429945220477523</c:v>
                </c:pt>
                <c:pt idx="254">
                  <c:v>-0.31019624704650539</c:v>
                </c:pt>
                <c:pt idx="255">
                  <c:v>-0.81815552864574193</c:v>
                </c:pt>
                <c:pt idx="256">
                  <c:v>-1.2992445276583879</c:v>
                </c:pt>
                <c:pt idx="257">
                  <c:v>-1.7534231871140664</c:v>
                </c:pt>
                <c:pt idx="258">
                  <c:v>-2.1806283817897594</c:v>
                </c:pt>
                <c:pt idx="259">
                  <c:v>-2.5807666825802045</c:v>
                </c:pt>
                <c:pt idx="260">
                  <c:v>-2.9537203483331305</c:v>
                </c:pt>
                <c:pt idx="261">
                  <c:v>-3.2993541063183827</c:v>
                </c:pt>
                <c:pt idx="262">
                  <c:v>-3.6175229399497795</c:v>
                </c:pt>
                <c:pt idx="263">
                  <c:v>-3.9080809086761641</c:v>
                </c:pt>
                <c:pt idx="264">
                  <c:v>-4.1708913571225112</c:v>
                </c:pt>
                <c:pt idx="265">
                  <c:v>-4.4058384660206098</c:v>
                </c:pt>
                <c:pt idx="266">
                  <c:v>-4.612840465140434</c:v>
                </c:pt>
                <c:pt idx="267">
                  <c:v>-4.7918645614186692</c:v>
                </c:pt>
                <c:pt idx="268">
                  <c:v>-4.9429437589708973</c:v>
                </c:pt>
                <c:pt idx="269">
                  <c:v>-5.0661956962013459</c:v>
                </c:pt>
                <c:pt idx="270">
                  <c:v>-5.1618433907926375</c:v>
                </c:pt>
                <c:pt idx="271">
                  <c:v>-4.7801643779915892</c:v>
                </c:pt>
                <c:pt idx="272">
                  <c:v>-4.4029886614736409</c:v>
                </c:pt>
                <c:pt idx="273">
                  <c:v>-4.0298765053173389</c:v>
                </c:pt>
                <c:pt idx="274">
                  <c:v>-3.6604311902419946</c:v>
                </c:pt>
                <c:pt idx="275">
                  <c:v>-3.2942896568395348</c:v>
                </c:pt>
                <c:pt idx="276">
                  <c:v>-2.9311147790604801</c:v>
                </c:pt>
                <c:pt idx="277">
                  <c:v>-2.570589210423166</c:v>
                </c:pt>
                <c:pt idx="278">
                  <c:v>-2.2124102249623818</c:v>
                </c:pt>
                <c:pt idx="279">
                  <c:v>-1.8562856685160924</c:v>
                </c:pt>
                <c:pt idx="280">
                  <c:v>-1.5019304317208129</c:v>
                </c:pt>
                <c:pt idx="281">
                  <c:v>-1.1490637006942124</c:v>
                </c:pt>
                <c:pt idx="282">
                  <c:v>-0.79740654866802529</c:v>
                </c:pt>
                <c:pt idx="283">
                  <c:v>-0.44667989300346511</c:v>
                </c:pt>
                <c:pt idx="284">
                  <c:v>-9.6602757791593774E-2</c:v>
                </c:pt>
                <c:pt idx="285">
                  <c:v>0.25310931898969591</c:v>
                </c:pt>
                <c:pt idx="286">
                  <c:v>0.60274568692455921</c:v>
                </c:pt>
                <c:pt idx="287">
                  <c:v>0.95260192974370017</c:v>
                </c:pt>
                <c:pt idx="288">
                  <c:v>1.302981176299544</c:v>
                </c:pt>
                <c:pt idx="289">
                  <c:v>1.6541707803789643</c:v>
                </c:pt>
                <c:pt idx="290">
                  <c:v>2.0062720676440784</c:v>
                </c:pt>
                <c:pt idx="291">
                  <c:v>2.3591465001708869</c:v>
                </c:pt>
                <c:pt idx="292">
                  <c:v>2.712507505413948</c:v>
                </c:pt>
                <c:pt idx="293">
                  <c:v>3.0659899486159881</c:v>
                </c:pt>
                <c:pt idx="294">
                  <c:v>3.4191962541621073</c:v>
                </c:pt>
                <c:pt idx="295">
                  <c:v>3.7717267540735762</c:v>
                </c:pt>
                <c:pt idx="296">
                  <c:v>4.1231992169980973</c:v>
                </c:pt>
                <c:pt idx="297">
                  <c:v>4.4732608928430908</c:v>
                </c:pt>
                <c:pt idx="298">
                  <c:v>4.8215955893579165</c:v>
                </c:pt>
                <c:pt idx="299">
                  <c:v>5.1679273510098342</c:v>
                </c:pt>
                <c:pt idx="300">
                  <c:v>5.5120218724556569</c:v>
                </c:pt>
                <c:pt idx="301">
                  <c:v>5.8536864182805717</c:v>
                </c:pt>
                <c:pt idx="302">
                  <c:v>6.1927689366176155</c:v>
                </c:pt>
                <c:pt idx="303">
                  <c:v>6.5291566086947004</c:v>
                </c:pt>
                <c:pt idx="304">
                  <c:v>6.8627742026563645</c:v>
                </c:pt>
                <c:pt idx="305">
                  <c:v>7.1935824020025487</c:v>
                </c:pt>
                <c:pt idx="306">
                  <c:v>7.5215762331854261</c:v>
                </c:pt>
                <c:pt idx="307">
                  <c:v>7.8467837576667279</c:v>
                </c:pt>
                <c:pt idx="308">
                  <c:v>8.1692646642236255</c:v>
                </c:pt>
                <c:pt idx="309">
                  <c:v>8.489101489454022</c:v>
                </c:pt>
                <c:pt idx="310">
                  <c:v>8.806384327196179</c:v>
                </c:pt>
                <c:pt idx="311">
                  <c:v>9.1212075248072857</c:v>
                </c:pt>
                <c:pt idx="312">
                  <c:v>9.433669157657004</c:v>
                </c:pt>
                <c:pt idx="313">
                  <c:v>9.743870595252826</c:v>
                </c:pt>
                <c:pt idx="314">
                  <c:v>10.051916073838843</c:v>
                </c:pt>
                <c:pt idx="315">
                  <c:v>10.357912316553072</c:v>
                </c:pt>
                <c:pt idx="316">
                  <c:v>10.661968195937956</c:v>
                </c:pt>
                <c:pt idx="317">
                  <c:v>10.964194437013706</c:v>
                </c:pt>
                <c:pt idx="318">
                  <c:v>11.264703368702705</c:v>
                </c:pt>
                <c:pt idx="319">
                  <c:v>11.563608720314662</c:v>
                </c:pt>
                <c:pt idx="320">
                  <c:v>11.861025420654954</c:v>
                </c:pt>
                <c:pt idx="321">
                  <c:v>12.15706949322287</c:v>
                </c:pt>
                <c:pt idx="322">
                  <c:v>12.451857906808124</c:v>
                </c:pt>
                <c:pt idx="323">
                  <c:v>12.745508539661852</c:v>
                </c:pt>
                <c:pt idx="324">
                  <c:v>13.038140076485213</c:v>
                </c:pt>
                <c:pt idx="325">
                  <c:v>13.329872037778994</c:v>
                </c:pt>
                <c:pt idx="326">
                  <c:v>13.620824728724983</c:v>
                </c:pt>
                <c:pt idx="327">
                  <c:v>13.911119282308036</c:v>
                </c:pt>
                <c:pt idx="328">
                  <c:v>14.20087768140178</c:v>
                </c:pt>
                <c:pt idx="329">
                  <c:v>14.490222824836401</c:v>
                </c:pt>
                <c:pt idx="330">
                  <c:v>14.779278598645591</c:v>
                </c:pt>
                <c:pt idx="331">
                  <c:v>15.068169956211838</c:v>
                </c:pt>
                <c:pt idx="332">
                  <c:v>15.357023022857618</c:v>
                </c:pt>
                <c:pt idx="333">
                  <c:v>15.645965213321453</c:v>
                </c:pt>
                <c:pt idx="334">
                  <c:v>15.935125363862118</c:v>
                </c:pt>
                <c:pt idx="335">
                  <c:v>16.22463388829425</c:v>
                </c:pt>
                <c:pt idx="336">
                  <c:v>16.514622910628376</c:v>
                </c:pt>
                <c:pt idx="337">
                  <c:v>16.805226457061792</c:v>
                </c:pt>
                <c:pt idx="338">
                  <c:v>17.096580630625429</c:v>
                </c:pt>
                <c:pt idx="339">
                  <c:v>17.388823806464853</c:v>
                </c:pt>
                <c:pt idx="340">
                  <c:v>17.682096858762943</c:v>
                </c:pt>
                <c:pt idx="341">
                  <c:v>17.976543359909584</c:v>
                </c:pt>
                <c:pt idx="342">
                  <c:v>18.27230985348886</c:v>
                </c:pt>
                <c:pt idx="343">
                  <c:v>18.569546072368325</c:v>
                </c:pt>
                <c:pt idx="344">
                  <c:v>18.868405241151798</c:v>
                </c:pt>
                <c:pt idx="345">
                  <c:v>19.169044344159254</c:v>
                </c:pt>
                <c:pt idx="346">
                  <c:v>19.471624441648498</c:v>
                </c:pt>
                <c:pt idx="347">
                  <c:v>19.776310992147252</c:v>
                </c:pt>
                <c:pt idx="348">
                  <c:v>20.083274198861183</c:v>
                </c:pt>
                <c:pt idx="349">
                  <c:v>20.392689373963364</c:v>
                </c:pt>
                <c:pt idx="350">
                  <c:v>20.704737330936268</c:v>
                </c:pt>
                <c:pt idx="351">
                  <c:v>21.019604804867743</c:v>
                </c:pt>
                <c:pt idx="352">
                  <c:v>21.337484897915633</c:v>
                </c:pt>
                <c:pt idx="353">
                  <c:v>21.658577542279819</c:v>
                </c:pt>
                <c:pt idx="354">
                  <c:v>21.983090019249168</c:v>
                </c:pt>
                <c:pt idx="355">
                  <c:v>22.311237487960955</c:v>
                </c:pt>
                <c:pt idx="356">
                  <c:v>22.643243578715889</c:v>
                </c:pt>
                <c:pt idx="357">
                  <c:v>22.979340998372074</c:v>
                </c:pt>
                <c:pt idx="358">
                  <c:v>23.31977220617545</c:v>
                </c:pt>
                <c:pt idx="359">
                  <c:v>23.664790124920728</c:v>
                </c:pt>
                <c:pt idx="360">
                  <c:v>24.014658902658766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2.2234488797717287</c:v>
                </c:pt>
                <c:pt idx="1">
                  <c:v>2.2187429848997287</c:v>
                </c:pt>
                <c:pt idx="2">
                  <c:v>2.2142177438214441</c:v>
                </c:pt>
                <c:pt idx="3">
                  <c:v>2.2098665933361108</c:v>
                </c:pt>
                <c:pt idx="4">
                  <c:v>2.2056833869442798</c:v>
                </c:pt>
                <c:pt idx="5">
                  <c:v>2.201662375252786</c:v>
                </c:pt>
                <c:pt idx="6">
                  <c:v>2.1977981888545619</c:v>
                </c:pt>
                <c:pt idx="7">
                  <c:v>2.1940858214017438</c:v>
                </c:pt>
                <c:pt idx="8">
                  <c:v>2.1905206128552428</c:v>
                </c:pt>
                <c:pt idx="9">
                  <c:v>2.1870982384294173</c:v>
                </c:pt>
                <c:pt idx="10">
                  <c:v>2.1838146926148632</c:v>
                </c:pt>
                <c:pt idx="11">
                  <c:v>2.1806662788201727</c:v>
                </c:pt>
                <c:pt idx="12">
                  <c:v>2.17764959857695</c:v>
                </c:pt>
                <c:pt idx="13">
                  <c:v>2.1747615412856427</c:v>
                </c:pt>
                <c:pt idx="14">
                  <c:v>2.1719992758664914</c:v>
                </c:pt>
                <c:pt idx="15">
                  <c:v>2.1693602423708063</c:v>
                </c:pt>
                <c:pt idx="16">
                  <c:v>2.1668421480368631</c:v>
                </c:pt>
                <c:pt idx="17">
                  <c:v>2.1644429588602194</c:v>
                </c:pt>
                <c:pt idx="18">
                  <c:v>2.162160895725064</c:v>
                </c:pt>
                <c:pt idx="19">
                  <c:v>2.1599944329567444</c:v>
                </c:pt>
                <c:pt idx="20">
                  <c:v>2.1579422931471837</c:v>
                </c:pt>
                <c:pt idx="21">
                  <c:v>2.1560034484232942</c:v>
                </c:pt>
                <c:pt idx="22">
                  <c:v>2.1541771165518964</c:v>
                </c:pt>
                <c:pt idx="23">
                  <c:v>2.1524627659431248</c:v>
                </c:pt>
                <c:pt idx="24">
                  <c:v>2.1508601144105377</c:v>
                </c:pt>
                <c:pt idx="25">
                  <c:v>2.149369132547351</c:v>
                </c:pt>
                <c:pt idx="26">
                  <c:v>2.1479900494775803</c:v>
                </c:pt>
                <c:pt idx="27">
                  <c:v>2.1467233566633972</c:v>
                </c:pt>
                <c:pt idx="28">
                  <c:v>2.1455698144388728</c:v>
                </c:pt>
                <c:pt idx="29">
                  <c:v>2.1445304618615024</c:v>
                </c:pt>
                <c:pt idx="30">
                  <c:v>2.1436066240829019</c:v>
                </c:pt>
                <c:pt idx="31">
                  <c:v>2.1427999251641077</c:v>
                </c:pt>
                <c:pt idx="32">
                  <c:v>2.1421123004869593</c:v>
                </c:pt>
                <c:pt idx="33">
                  <c:v>2.1415460102508468</c:v>
                </c:pt>
                <c:pt idx="34">
                  <c:v>2.1411036579014251</c:v>
                </c:pt>
                <c:pt idx="35">
                  <c:v>2.1407882077432996</c:v>
                </c:pt>
                <c:pt idx="36">
                  <c:v>2.1406030055908269</c:v>
                </c:pt>
                <c:pt idx="37">
                  <c:v>2.1405518046456322</c:v>
                </c:pt>
                <c:pt idx="38">
                  <c:v>2.1406387899248376</c:v>
                </c:pt>
                <c:pt idx="39">
                  <c:v>2.140868608696314</c:v>
                </c:pt>
                <c:pt idx="40">
                  <c:v>2.1412464037500532</c:v>
                </c:pt>
                <c:pt idx="41">
                  <c:v>2.1417778507426513</c:v>
                </c:pt>
                <c:pt idx="42">
                  <c:v>2.1424691980726904</c:v>
                </c:pt>
                <c:pt idx="43">
                  <c:v>2.1433273153124763</c:v>
                </c:pt>
                <c:pt idx="44">
                  <c:v>2.1443597417925049</c:v>
                </c:pt>
                <c:pt idx="45">
                  <c:v>2.1455747456911904</c:v>
                </c:pt>
                <c:pt idx="46">
                  <c:v>2.146981387833427</c:v>
                </c:pt>
                <c:pt idx="47">
                  <c:v>2.1485895923209917</c:v>
                </c:pt>
                <c:pt idx="48">
                  <c:v>2.1504102268773417</c:v>
                </c:pt>
                <c:pt idx="49">
                  <c:v>2.1524551922601809</c:v>
                </c:pt>
                <c:pt idx="50">
                  <c:v>2.1547375161210822</c:v>
                </c:pt>
                <c:pt idx="51">
                  <c:v>2.1572710278945273</c:v>
                </c:pt>
                <c:pt idx="52">
                  <c:v>2.1600691442246993</c:v>
                </c:pt>
                <c:pt idx="53">
                  <c:v>2.1631444819822172</c:v>
                </c:pt>
                <c:pt idx="54">
                  <c:v>2.1665088754065902</c:v>
                </c:pt>
                <c:pt idx="55">
                  <c:v>2.1701733900368847</c:v>
                </c:pt>
                <c:pt idx="56">
                  <c:v>2.1741483271660274</c:v>
                </c:pt>
                <c:pt idx="57">
                  <c:v>2.1784432228825419</c:v>
                </c:pt>
                <c:pt idx="58">
                  <c:v>2.1830668385898315</c:v>
                </c:pt>
                <c:pt idx="59">
                  <c:v>2.1880271453989799</c:v>
                </c:pt>
                <c:pt idx="60">
                  <c:v>2.1933313017790703</c:v>
                </c:pt>
                <c:pt idx="61">
                  <c:v>2.1989856243875612</c:v>
                </c:pt>
                <c:pt idx="62">
                  <c:v>2.2049955530071088</c:v>
                </c:pt>
                <c:pt idx="63">
                  <c:v>2.2113656090202731</c:v>
                </c:pt>
                <c:pt idx="64">
                  <c:v>2.2180993471359503</c:v>
                </c:pt>
                <c:pt idx="65">
                  <c:v>2.2251993010650346</c:v>
                </c:pt>
                <c:pt idx="66">
                  <c:v>2.2326669223337192</c:v>
                </c:pt>
                <c:pt idx="67">
                  <c:v>2.2405025123581743</c:v>
                </c:pt>
                <c:pt idx="68">
                  <c:v>2.2487051485421006</c:v>
                </c:pt>
                <c:pt idx="69">
                  <c:v>2.2572726027255614</c:v>
                </c:pt>
                <c:pt idx="70">
                  <c:v>2.2662012544452268</c:v>
                </c:pt>
                <c:pt idx="71">
                  <c:v>2.2754860005638049</c:v>
                </c:pt>
                <c:pt idx="72">
                  <c:v>2.2851201645952477</c:v>
                </c:pt>
                <c:pt idx="73">
                  <c:v>2.29509541425573</c:v>
                </c:pt>
                <c:pt idx="74">
                  <c:v>2.3054017043221293</c:v>
                </c:pt>
                <c:pt idx="75">
                  <c:v>2.3160272784233387</c:v>
                </c:pt>
                <c:pt idx="76">
                  <c:v>2.3269587911859269</c:v>
                </c:pt>
                <c:pt idx="77">
                  <c:v>2.3381815431950508</c:v>
                </c:pt>
                <c:pt idx="78">
                  <c:v>2.3496795734316875</c:v>
                </c:pt>
                <c:pt idx="79">
                  <c:v>2.3614356508567966</c:v>
                </c:pt>
                <c:pt idx="80">
                  <c:v>2.3740216198898643</c:v>
                </c:pt>
                <c:pt idx="81">
                  <c:v>2.3870390294617989</c:v>
                </c:pt>
                <c:pt idx="82">
                  <c:v>2.4003371819206145</c:v>
                </c:pt>
                <c:pt idx="83">
                  <c:v>2.4138378049228533</c:v>
                </c:pt>
                <c:pt idx="84">
                  <c:v>2.4275189401516544</c:v>
                </c:pt>
                <c:pt idx="85">
                  <c:v>2.4413569993237951</c:v>
                </c:pt>
                <c:pt idx="86">
                  <c:v>2.4553267767060181</c:v>
                </c:pt>
                <c:pt idx="87">
                  <c:v>2.4694014722130242</c:v>
                </c:pt>
                <c:pt idx="88">
                  <c:v>2.4835527306546981</c:v>
                </c:pt>
                <c:pt idx="89">
                  <c:v>2.4973179638934493</c:v>
                </c:pt>
                <c:pt idx="90">
                  <c:v>2.5107267431216123</c:v>
                </c:pt>
                <c:pt idx="91">
                  <c:v>2.5272494187233097</c:v>
                </c:pt>
                <c:pt idx="92">
                  <c:v>2.5428715734194385</c:v>
                </c:pt>
                <c:pt idx="93">
                  <c:v>2.5576557831086584</c:v>
                </c:pt>
                <c:pt idx="94">
                  <c:v>2.571662194664508</c:v>
                </c:pt>
                <c:pt idx="95">
                  <c:v>2.5849480235924776</c:v>
                </c:pt>
                <c:pt idx="96">
                  <c:v>2.5975672708953175</c:v>
                </c:pt>
                <c:pt idx="97">
                  <c:v>2.6095706012482962</c:v>
                </c:pt>
                <c:pt idx="98">
                  <c:v>2.6210053366877775</c:v>
                </c:pt>
                <c:pt idx="99">
                  <c:v>2.6319155311435707</c:v>
                </c:pt>
                <c:pt idx="100">
                  <c:v>2.642342098730607</c:v>
                </c:pt>
                <c:pt idx="101">
                  <c:v>2.6523229766712837</c:v>
                </c:pt>
                <c:pt idx="102">
                  <c:v>2.6618933077183078</c:v>
                </c:pt>
                <c:pt idx="103">
                  <c:v>2.6710856321223932</c:v>
                </c:pt>
                <c:pt idx="104">
                  <c:v>2.6799300806999611</c:v>
                </c:pt>
                <c:pt idx="105">
                  <c:v>2.6884538559109377</c:v>
                </c:pt>
                <c:pt idx="106">
                  <c:v>2.6966778905612947</c:v>
                </c:pt>
                <c:pt idx="107">
                  <c:v>2.7046172245758764</c:v>
                </c:pt>
                <c:pt idx="108">
                  <c:v>2.7122836087138773</c:v>
                </c:pt>
                <c:pt idx="109">
                  <c:v>2.7196870671205886</c:v>
                </c:pt>
                <c:pt idx="110">
                  <c:v>2.7268367605188137</c:v>
                </c:pt>
                <c:pt idx="111">
                  <c:v>2.7337414478191211</c:v>
                </c:pt>
                <c:pt idx="112">
                  <c:v>2.7404097171210546</c:v>
                </c:pt>
                <c:pt idx="113">
                  <c:v>2.7468500861757947</c:v>
                </c:pt>
                <c:pt idx="114">
                  <c:v>2.7530710307837003</c:v>
                </c:pt>
                <c:pt idx="115">
                  <c:v>2.7590809756834127</c:v>
                </c:pt>
                <c:pt idx="116">
                  <c:v>2.7648882679031805</c:v>
                </c:pt>
                <c:pt idx="117">
                  <c:v>2.7705011440608036</c:v>
                </c:pt>
                <c:pt idx="118">
                  <c:v>2.775927698018708</c:v>
                </c:pt>
                <c:pt idx="119">
                  <c:v>2.7811758521361853</c:v>
                </c:pt>
                <c:pt idx="120">
                  <c:v>2.7862533335533239</c:v>
                </c:pt>
                <c:pt idx="121">
                  <c:v>2.7911676560485965</c:v>
                </c:pt>
                <c:pt idx="122">
                  <c:v>2.7959261072683441</c:v>
                </c:pt>
                <c:pt idx="123">
                  <c:v>2.800535740918221</c:v>
                </c:pt>
                <c:pt idx="124">
                  <c:v>2.805003373379479</c:v>
                </c:pt>
                <c:pt idx="125">
                  <c:v>2.8093355841808565</c:v>
                </c:pt>
                <c:pt idx="126">
                  <c:v>2.8135387197793817</c:v>
                </c:pt>
                <c:pt idx="127">
                  <c:v>2.817618900169458</c:v>
                </c:pt>
                <c:pt idx="128">
                  <c:v>2.8215820279110431</c:v>
                </c:pt>
                <c:pt idx="129">
                  <c:v>2.8254337992484007</c:v>
                </c:pt>
                <c:pt idx="130">
                  <c:v>2.8291797170669701</c:v>
                </c:pt>
                <c:pt idx="131">
                  <c:v>2.8328251055068003</c:v>
                </c:pt>
                <c:pt idx="132">
                  <c:v>2.8363751261377148</c:v>
                </c:pt>
                <c:pt idx="133">
                  <c:v>2.8398347956622092</c:v>
                </c:pt>
                <c:pt idx="134">
                  <c:v>2.8432090051912686</c:v>
                </c:pt>
                <c:pt idx="135">
                  <c:v>2.8465025411878511</c:v>
                </c:pt>
                <c:pt idx="136">
                  <c:v>2.8497201075968808</c:v>
                </c:pt>
                <c:pt idx="137">
                  <c:v>2.8528662927823247</c:v>
                </c:pt>
                <c:pt idx="138">
                  <c:v>2.855945419712699</c:v>
                </c:pt>
                <c:pt idx="139">
                  <c:v>2.8589615172392699</c:v>
                </c:pt>
                <c:pt idx="140">
                  <c:v>2.8619183479488792</c:v>
                </c:pt>
                <c:pt idx="141">
                  <c:v>2.864819433551423</c:v>
                </c:pt>
                <c:pt idx="142">
                  <c:v>2.8676680773202419</c:v>
                </c:pt>
                <c:pt idx="143">
                  <c:v>2.8704673841502424</c:v>
                </c:pt>
                <c:pt idx="144">
                  <c:v>2.8732202783640139</c:v>
                </c:pt>
                <c:pt idx="145">
                  <c:v>2.875929519773349</c:v>
                </c:pt>
                <c:pt idx="146">
                  <c:v>2.8785977179785101</c:v>
                </c:pt>
                <c:pt idx="147">
                  <c:v>2.8812273453698722</c:v>
                </c:pt>
                <c:pt idx="148">
                  <c:v>2.8838207488108978</c:v>
                </c:pt>
                <c:pt idx="149">
                  <c:v>2.8863801602357766</c:v>
                </c:pt>
                <c:pt idx="150">
                  <c:v>2.8889077062795598</c:v>
                </c:pt>
                <c:pt idx="151">
                  <c:v>2.8914054170881074</c:v>
                </c:pt>
                <c:pt idx="152">
                  <c:v>2.8938752343251068</c:v>
                </c:pt>
                <c:pt idx="153">
                  <c:v>2.8963190185241232</c:v>
                </c:pt>
                <c:pt idx="154">
                  <c:v>2.8987385558609304</c:v>
                </c:pt>
                <c:pt idx="155">
                  <c:v>2.9011355643591803</c:v>
                </c:pt>
                <c:pt idx="156">
                  <c:v>2.903511699649282</c:v>
                </c:pt>
                <c:pt idx="157">
                  <c:v>2.905868560323063</c:v>
                </c:pt>
                <c:pt idx="158">
                  <c:v>2.9082076928551448</c:v>
                </c:pt>
                <c:pt idx="159">
                  <c:v>2.9105305961916148</c:v>
                </c:pt>
                <c:pt idx="160">
                  <c:v>2.9128387261442383</c:v>
                </c:pt>
                <c:pt idx="161">
                  <c:v>2.9151334993388218</c:v>
                </c:pt>
                <c:pt idx="162">
                  <c:v>2.9174162970606914</c:v>
                </c:pt>
                <c:pt idx="163">
                  <c:v>2.9196884688294613</c:v>
                </c:pt>
                <c:pt idx="164">
                  <c:v>2.9219513357753524</c:v>
                </c:pt>
                <c:pt idx="165">
                  <c:v>2.9242061938633714</c:v>
                </c:pt>
                <c:pt idx="166">
                  <c:v>2.9264543169480839</c:v>
                </c:pt>
                <c:pt idx="167">
                  <c:v>2.9286969596946433</c:v>
                </c:pt>
                <c:pt idx="168">
                  <c:v>2.9309353603868318</c:v>
                </c:pt>
                <c:pt idx="169">
                  <c:v>2.9331707436259058</c:v>
                </c:pt>
                <c:pt idx="170">
                  <c:v>2.9354043229140068</c:v>
                </c:pt>
                <c:pt idx="171">
                  <c:v>2.9376373031760026</c:v>
                </c:pt>
                <c:pt idx="172">
                  <c:v>2.9398708832609604</c:v>
                </c:pt>
                <c:pt idx="173">
                  <c:v>2.9421062582316861</c:v>
                </c:pt>
                <c:pt idx="174">
                  <c:v>2.9443446218011395</c:v>
                </c:pt>
                <c:pt idx="175">
                  <c:v>2.9465871685577647</c:v>
                </c:pt>
                <c:pt idx="176">
                  <c:v>2.9488350962264311</c:v>
                </c:pt>
                <c:pt idx="177">
                  <c:v>2.9510896079710998</c:v>
                </c:pt>
                <c:pt idx="178">
                  <c:v>2.9533519144955345</c:v>
                </c:pt>
                <c:pt idx="179">
                  <c:v>2.9556232362926198</c:v>
                </c:pt>
                <c:pt idx="180">
                  <c:v>2.95790480584603</c:v>
                </c:pt>
                <c:pt idx="181">
                  <c:v>2.9599103888815401</c:v>
                </c:pt>
                <c:pt idx="182">
                  <c:v>2.9619029026890074</c:v>
                </c:pt>
                <c:pt idx="183">
                  <c:v>2.9638833910355489</c:v>
                </c:pt>
                <c:pt idx="184">
                  <c:v>2.965852878915106</c:v>
                </c:pt>
                <c:pt idx="185">
                  <c:v>2.9678123741564022</c:v>
                </c:pt>
                <c:pt idx="186">
                  <c:v>2.9697628689592341</c:v>
                </c:pt>
                <c:pt idx="187">
                  <c:v>2.9717053415949404</c:v>
                </c:pt>
                <c:pt idx="188">
                  <c:v>2.973640757882023</c:v>
                </c:pt>
                <c:pt idx="189">
                  <c:v>2.9755700727168737</c:v>
                </c:pt>
                <c:pt idx="190">
                  <c:v>2.977494231678909</c:v>
                </c:pt>
                <c:pt idx="191">
                  <c:v>2.97941417240872</c:v>
                </c:pt>
                <c:pt idx="192">
                  <c:v>2.9813308262267615</c:v>
                </c:pt>
                <c:pt idx="193">
                  <c:v>2.9832451195491938</c:v>
                </c:pt>
                <c:pt idx="194">
                  <c:v>2.9851579753590314</c:v>
                </c:pt>
                <c:pt idx="195">
                  <c:v>2.9870703147035025</c:v>
                </c:pt>
                <c:pt idx="196">
                  <c:v>2.9889830581618182</c:v>
                </c:pt>
                <c:pt idx="197">
                  <c:v>2.9908971273110962</c:v>
                </c:pt>
                <c:pt idx="198">
                  <c:v>2.9928134462100893</c:v>
                </c:pt>
                <c:pt idx="199">
                  <c:v>2.9947329428980285</c:v>
                </c:pt>
                <c:pt idx="200">
                  <c:v>2.9966565508807301</c:v>
                </c:pt>
                <c:pt idx="201">
                  <c:v>2.9985852106672026</c:v>
                </c:pt>
                <c:pt idx="202">
                  <c:v>3.0005198713206402</c:v>
                </c:pt>
                <c:pt idx="203">
                  <c:v>3.0024614919306281</c:v>
                </c:pt>
                <c:pt idx="204">
                  <c:v>3.004411043373266</c:v>
                </c:pt>
                <c:pt idx="205">
                  <c:v>3.0063695097754124</c:v>
                </c:pt>
                <c:pt idx="206">
                  <c:v>3.0083378902116471</c:v>
                </c:pt>
                <c:pt idx="207">
                  <c:v>3.0103172004618335</c:v>
                </c:pt>
                <c:pt idx="208">
                  <c:v>3.012308474698127</c:v>
                </c:pt>
                <c:pt idx="209">
                  <c:v>3.0143127672520569</c:v>
                </c:pt>
                <c:pt idx="210">
                  <c:v>3.0163311544965934</c:v>
                </c:pt>
                <c:pt idx="211">
                  <c:v>3.0183647367032358</c:v>
                </c:pt>
                <c:pt idx="212">
                  <c:v>3.0204146399965572</c:v>
                </c:pt>
                <c:pt idx="213">
                  <c:v>3.0224820184211141</c:v>
                </c:pt>
                <c:pt idx="214">
                  <c:v>3.0245680559527681</c:v>
                </c:pt>
                <c:pt idx="215">
                  <c:v>3.0266739064334827</c:v>
                </c:pt>
                <c:pt idx="216">
                  <c:v>3.0289036788940176</c:v>
                </c:pt>
                <c:pt idx="217">
                  <c:v>3.0311858444917101</c:v>
                </c:pt>
                <c:pt idx="218">
                  <c:v>3.0334933710688459</c:v>
                </c:pt>
                <c:pt idx="219">
                  <c:v>3.0358276970873881</c:v>
                </c:pt>
                <c:pt idx="220">
                  <c:v>3.038190305625017</c:v>
                </c:pt>
                <c:pt idx="221">
                  <c:v>3.0405827268108996</c:v>
                </c:pt>
                <c:pt idx="222">
                  <c:v>3.0430065405147935</c:v>
                </c:pt>
                <c:pt idx="223">
                  <c:v>3.0454633789412391</c:v>
                </c:pt>
                <c:pt idx="224">
                  <c:v>3.0479549294041304</c:v>
                </c:pt>
                <c:pt idx="225">
                  <c:v>3.0504829373303863</c:v>
                </c:pt>
                <c:pt idx="226">
                  <c:v>3.053091459522427</c:v>
                </c:pt>
                <c:pt idx="227">
                  <c:v>3.0557399779071468</c:v>
                </c:pt>
                <c:pt idx="228">
                  <c:v>3.0584322957281445</c:v>
                </c:pt>
                <c:pt idx="229">
                  <c:v>3.0611701895563175</c:v>
                </c:pt>
                <c:pt idx="230">
                  <c:v>3.0639554193474297</c:v>
                </c:pt>
                <c:pt idx="231">
                  <c:v>3.0667897225547605</c:v>
                </c:pt>
                <c:pt idx="232">
                  <c:v>3.0696748060406591</c:v>
                </c:pt>
                <c:pt idx="233">
                  <c:v>3.0726123350057022</c:v>
                </c:pt>
                <c:pt idx="234">
                  <c:v>3.0756039187342008</c:v>
                </c:pt>
                <c:pt idx="235">
                  <c:v>3.0786510928420263</c:v>
                </c:pt>
                <c:pt idx="236">
                  <c:v>3.0817552974732014</c:v>
                </c:pt>
                <c:pt idx="237">
                  <c:v>3.0849178903170564</c:v>
                </c:pt>
                <c:pt idx="238">
                  <c:v>3.0880652423844586</c:v>
                </c:pt>
                <c:pt idx="239">
                  <c:v>3.0912008662484776</c:v>
                </c:pt>
                <c:pt idx="240">
                  <c:v>3.0943920352129535</c:v>
                </c:pt>
                <c:pt idx="241">
                  <c:v>3.0976386318229667</c:v>
                </c:pt>
                <c:pt idx="242">
                  <c:v>3.1009401233979847</c:v>
                </c:pt>
                <c:pt idx="243">
                  <c:v>3.104295486694538</c:v>
                </c:pt>
                <c:pt idx="244">
                  <c:v>3.1077031246284852</c:v>
                </c:pt>
                <c:pt idx="245">
                  <c:v>3.1111607764301241</c:v>
                </c:pt>
                <c:pt idx="246">
                  <c:v>3.1146654244719576</c:v>
                </c:pt>
                <c:pt idx="247">
                  <c:v>3.1182132039073824</c:v>
                </c:pt>
                <c:pt idx="248">
                  <c:v>3.1217993249471614</c:v>
                </c:pt>
                <c:pt idx="249">
                  <c:v>3.1254180253907164</c:v>
                </c:pt>
                <c:pt idx="250">
                  <c:v>3.1290625803433678</c:v>
                </c:pt>
                <c:pt idx="251">
                  <c:v>3.1327254147242667</c:v>
                </c:pt>
                <c:pt idx="252">
                  <c:v>3.1363983890953775</c:v>
                </c:pt>
                <c:pt idx="253">
                  <c:v>3.1400733736090407</c:v>
                </c:pt>
                <c:pt idx="254">
                  <c:v>3.1437432927226414</c:v>
                </c:pt>
                <c:pt idx="255">
                  <c:v>3.1474039369547775</c:v>
                </c:pt>
                <c:pt idx="256">
                  <c:v>3.1510558489539995</c:v>
                </c:pt>
                <c:pt idx="257">
                  <c:v>3.1547017944070461</c:v>
                </c:pt>
                <c:pt idx="258">
                  <c:v>3.1583446046746948</c:v>
                </c:pt>
                <c:pt idx="259">
                  <c:v>3.1619870939944126</c:v>
                </c:pt>
                <c:pt idx="260">
                  <c:v>3.1656320624850984</c:v>
                </c:pt>
                <c:pt idx="261">
                  <c:v>3.1692822971769812</c:v>
                </c:pt>
                <c:pt idx="262">
                  <c:v>3.1729405711990206</c:v>
                </c:pt>
                <c:pt idx="263">
                  <c:v>3.1766096394526127</c:v>
                </c:pt>
                <c:pt idx="264">
                  <c:v>3.1802922316432172</c:v>
                </c:pt>
                <c:pt idx="265">
                  <c:v>3.1839910398640043</c:v>
                </c:pt>
                <c:pt idx="266">
                  <c:v>3.1877087008019744</c:v>
                </c:pt>
                <c:pt idx="267">
                  <c:v>3.1914477700410386</c:v>
                </c:pt>
                <c:pt idx="268">
                  <c:v>3.1952106868008219</c:v>
                </c:pt>
                <c:pt idx="269">
                  <c:v>3.1989997269451735</c:v>
                </c:pt>
                <c:pt idx="270">
                  <c:v>3.2028169395255399</c:v>
                </c:pt>
                <c:pt idx="271">
                  <c:v>3.201161385768108</c:v>
                </c:pt>
                <c:pt idx="272">
                  <c:v>3.199178389558607</c:v>
                </c:pt>
                <c:pt idx="273">
                  <c:v>3.1968493084253593</c:v>
                </c:pt>
                <c:pt idx="274">
                  <c:v>3.1941560147411088</c:v>
                </c:pt>
                <c:pt idx="275">
                  <c:v>3.1910809429828868</c:v>
                </c:pt>
                <c:pt idx="276">
                  <c:v>3.1876071365213923</c:v>
                </c:pt>
                <c:pt idx="277">
                  <c:v>3.1837182976720895</c:v>
                </c:pt>
                <c:pt idx="278">
                  <c:v>3.179398835861845</c:v>
                </c:pt>
                <c:pt idx="279">
                  <c:v>3.1746339189557986</c:v>
                </c:pt>
                <c:pt idx="280">
                  <c:v>3.1694095202804617</c:v>
                </c:pt>
                <c:pt idx="281">
                  <c:v>3.1637124677378416</c:v>
                </c:pt>
                <c:pt idx="282">
                  <c:v>3.1575304887336841</c:v>
                </c:pt>
                <c:pt idx="283">
                  <c:v>3.1508522521999023</c:v>
                </c:pt>
                <c:pt idx="284">
                  <c:v>3.1436674073526589</c:v>
                </c:pt>
                <c:pt idx="285">
                  <c:v>3.1359666162874804</c:v>
                </c:pt>
                <c:pt idx="286">
                  <c:v>3.127741581485826</c:v>
                </c:pt>
                <c:pt idx="287">
                  <c:v>3.1189850652403415</c:v>
                </c:pt>
                <c:pt idx="288">
                  <c:v>3.1096909002145203</c:v>
                </c:pt>
                <c:pt idx="289">
                  <c:v>3.0998546273530154</c:v>
                </c:pt>
                <c:pt idx="290">
                  <c:v>3.0894781854576592</c:v>
                </c:pt>
                <c:pt idx="291">
                  <c:v>3.0785722655230563</c:v>
                </c:pt>
                <c:pt idx="292">
                  <c:v>3.0671547489606827</c:v>
                </c:pt>
                <c:pt idx="293">
                  <c:v>3.0552492583849524</c:v>
                </c:pt>
                <c:pt idx="294">
                  <c:v>3.0428839848515277</c:v>
                </c:pt>
                <c:pt idx="295">
                  <c:v>3.0300907015515866</c:v>
                </c:pt>
                <c:pt idx="296">
                  <c:v>3.0169039074562845</c:v>
                </c:pt>
                <c:pt idx="297">
                  <c:v>3.0033600643715839</c:v>
                </c:pt>
                <c:pt idx="298">
                  <c:v>2.9894968989983282</c:v>
                </c:pt>
                <c:pt idx="299">
                  <c:v>2.9753527562295004</c:v>
                </c:pt>
                <c:pt idx="300">
                  <c:v>2.960965995137272</c:v>
                </c:pt>
                <c:pt idx="301">
                  <c:v>2.9463744237424723</c:v>
                </c:pt>
                <c:pt idx="302">
                  <c:v>2.9316147689607392</c:v>
                </c:pt>
                <c:pt idx="303">
                  <c:v>2.9167221847702125</c:v>
                </c:pt>
                <c:pt idx="304">
                  <c:v>2.9017297978763272</c:v>
                </c:pt>
                <c:pt idx="305">
                  <c:v>2.886668292282609</c:v>
                </c:pt>
                <c:pt idx="306">
                  <c:v>2.8715655331892549</c:v>
                </c:pt>
                <c:pt idx="307">
                  <c:v>2.8564462290801274</c:v>
                </c:pt>
                <c:pt idx="308">
                  <c:v>2.8413316586222583</c:v>
                </c:pt>
                <c:pt idx="309">
                  <c:v>2.8262401629584679</c:v>
                </c:pt>
                <c:pt idx="310">
                  <c:v>2.8111884025344716</c:v>
                </c:pt>
                <c:pt idx="311">
                  <c:v>2.7961916490466221</c:v>
                </c:pt>
                <c:pt idx="312">
                  <c:v>2.7812638374806373</c:v>
                </c:pt>
                <c:pt idx="313">
                  <c:v>2.7664176214761573</c:v>
                </c:pt>
                <c:pt idx="314">
                  <c:v>2.7516644314043086</c:v>
                </c:pt>
                <c:pt idx="315">
                  <c:v>2.7370145343267924</c:v>
                </c:pt>
                <c:pt idx="316">
                  <c:v>2.7224770950617718</c:v>
                </c:pt>
                <c:pt idx="317">
                  <c:v>2.7080602376455545</c:v>
                </c:pt>
                <c:pt idx="318">
                  <c:v>2.6937711068103525</c:v>
                </c:pt>
                <c:pt idx="319">
                  <c:v>2.6796159290987585</c:v>
                </c:pt>
                <c:pt idx="320">
                  <c:v>2.6656000719964963</c:v>
                </c:pt>
                <c:pt idx="321">
                  <c:v>2.6517281034423239</c:v>
                </c:pt>
                <c:pt idx="322">
                  <c:v>2.638003847336182</c:v>
                </c:pt>
                <c:pt idx="323">
                  <c:v>2.6244304399709191</c:v>
                </c:pt>
                <c:pt idx="324">
                  <c:v>2.6110103808496583</c:v>
                </c:pt>
                <c:pt idx="325">
                  <c:v>2.597745585619327</c:v>
                </c:pt>
                <c:pt idx="326">
                  <c:v>2.5846374322855104</c:v>
                </c:pt>
                <c:pt idx="327">
                  <c:v>2.5716868082322759</c:v>
                </c:pt>
                <c:pt idx="328">
                  <c:v>2.5588941528870861</c:v>
                </c:pt>
                <c:pt idx="329">
                  <c:v>2.546259499300529</c:v>
                </c:pt>
                <c:pt idx="330">
                  <c:v>2.5337825127430951</c:v>
                </c:pt>
                <c:pt idx="331">
                  <c:v>2.5214625264011166</c:v>
                </c:pt>
                <c:pt idx="332">
                  <c:v>2.5092985752809391</c:v>
                </c:pt>
                <c:pt idx="333">
                  <c:v>2.4972894277656144</c:v>
                </c:pt>
                <c:pt idx="334">
                  <c:v>2.4854336150511349</c:v>
                </c:pt>
                <c:pt idx="335">
                  <c:v>2.4737294594066821</c:v>
                </c:pt>
                <c:pt idx="336">
                  <c:v>2.4621750973702183</c:v>
                </c:pt>
                <c:pt idx="337">
                  <c:v>2.4507685048105214</c:v>
                </c:pt>
                <c:pt idx="338">
                  <c:v>2.4395075176570642</c:v>
                </c:pt>
                <c:pt idx="339">
                  <c:v>2.4283898514386717</c:v>
                </c:pt>
                <c:pt idx="340">
                  <c:v>2.4174131210580496</c:v>
                </c:pt>
                <c:pt idx="341">
                  <c:v>2.406574854832769</c:v>
                </c:pt>
                <c:pt idx="342">
                  <c:v>2.3958725132406564</c:v>
                </c:pt>
                <c:pt idx="343">
                  <c:v>2.3853034988756558</c:v>
                </c:pt>
                <c:pt idx="344">
                  <c:v>2.3748651726117611</c:v>
                </c:pt>
                <c:pt idx="345">
                  <c:v>2.3645548629156337</c:v>
                </c:pt>
                <c:pt idx="346">
                  <c:v>2.3543698775538071</c:v>
                </c:pt>
                <c:pt idx="347">
                  <c:v>2.3443075128306434</c:v>
                </c:pt>
                <c:pt idx="348">
                  <c:v>2.3343650623624783</c:v>
                </c:pt>
                <c:pt idx="349">
                  <c:v>2.3245398244690278</c:v>
                </c:pt>
                <c:pt idx="350">
                  <c:v>2.3148291093837727</c:v>
                </c:pt>
                <c:pt idx="351">
                  <c:v>2.3052302461914724</c:v>
                </c:pt>
                <c:pt idx="352">
                  <c:v>2.2957405888838962</c:v>
                </c:pt>
                <c:pt idx="353">
                  <c:v>2.2863575199169341</c:v>
                </c:pt>
                <c:pt idx="354">
                  <c:v>2.2770784569319864</c:v>
                </c:pt>
                <c:pt idx="355">
                  <c:v>2.2679008550666224</c:v>
                </c:pt>
                <c:pt idx="356">
                  <c:v>2.2588222132101432</c:v>
                </c:pt>
                <c:pt idx="357">
                  <c:v>2.2498400750161798</c:v>
                </c:pt>
                <c:pt idx="358">
                  <c:v>2.240952033934497</c:v>
                </c:pt>
                <c:pt idx="359">
                  <c:v>2.232155735676101</c:v>
                </c:pt>
                <c:pt idx="360">
                  <c:v>2.2234488797717953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3.8668644940987686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3.0419240010986277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L_Section_Capacity!$CB$15:$CB$375</c:f>
              <c:numCache>
                <c:formatCode>0.000</c:formatCode>
                <c:ptCount val="361"/>
                <c:pt idx="0">
                  <c:v>2.2234488797717287</c:v>
                </c:pt>
                <c:pt idx="1">
                  <c:v>2.2187429848997287</c:v>
                </c:pt>
                <c:pt idx="2">
                  <c:v>2.2142177438214441</c:v>
                </c:pt>
                <c:pt idx="3">
                  <c:v>2.2098665933361108</c:v>
                </c:pt>
                <c:pt idx="4">
                  <c:v>2.2056833869442798</c:v>
                </c:pt>
                <c:pt idx="5">
                  <c:v>2.201662375252786</c:v>
                </c:pt>
                <c:pt idx="6">
                  <c:v>2.1977981888545619</c:v>
                </c:pt>
                <c:pt idx="7">
                  <c:v>2.1940858214017438</c:v>
                </c:pt>
                <c:pt idx="8">
                  <c:v>2.1905206128552428</c:v>
                </c:pt>
                <c:pt idx="9">
                  <c:v>2.1870982384294169</c:v>
                </c:pt>
                <c:pt idx="10">
                  <c:v>2.1838146926148632</c:v>
                </c:pt>
                <c:pt idx="11">
                  <c:v>2.1806662788201727</c:v>
                </c:pt>
                <c:pt idx="12">
                  <c:v>2.17764959857695</c:v>
                </c:pt>
                <c:pt idx="13">
                  <c:v>2.1747615412856423</c:v>
                </c:pt>
                <c:pt idx="14">
                  <c:v>2.1719992758664919</c:v>
                </c:pt>
                <c:pt idx="15">
                  <c:v>2.1693602423708063</c:v>
                </c:pt>
                <c:pt idx="16">
                  <c:v>2.1668421480368636</c:v>
                </c:pt>
                <c:pt idx="17">
                  <c:v>2.1644429588602194</c:v>
                </c:pt>
                <c:pt idx="18">
                  <c:v>2.162160895725064</c:v>
                </c:pt>
                <c:pt idx="19">
                  <c:v>2.1599944329567444</c:v>
                </c:pt>
                <c:pt idx="20">
                  <c:v>2.1579422931471837</c:v>
                </c:pt>
                <c:pt idx="21">
                  <c:v>2.1560034484232942</c:v>
                </c:pt>
                <c:pt idx="22">
                  <c:v>2.1541771165518964</c:v>
                </c:pt>
                <c:pt idx="23">
                  <c:v>2.1524627659431248</c:v>
                </c:pt>
                <c:pt idx="24">
                  <c:v>2.1508601144105377</c:v>
                </c:pt>
                <c:pt idx="25">
                  <c:v>2.149369132547351</c:v>
                </c:pt>
                <c:pt idx="26">
                  <c:v>2.1479900494775803</c:v>
                </c:pt>
                <c:pt idx="27">
                  <c:v>2.1467233566633972</c:v>
                </c:pt>
                <c:pt idx="28">
                  <c:v>2.1455698144388728</c:v>
                </c:pt>
                <c:pt idx="29">
                  <c:v>2.1445304618615024</c:v>
                </c:pt>
                <c:pt idx="30">
                  <c:v>2.1436066240829019</c:v>
                </c:pt>
                <c:pt idx="31">
                  <c:v>2.1427999251641081</c:v>
                </c:pt>
                <c:pt idx="32">
                  <c:v>2.1421123004869593</c:v>
                </c:pt>
                <c:pt idx="33">
                  <c:v>2.1415460102508472</c:v>
                </c:pt>
                <c:pt idx="34">
                  <c:v>2.1411036579014255</c:v>
                </c:pt>
                <c:pt idx="35">
                  <c:v>2.1407882077432996</c:v>
                </c:pt>
                <c:pt idx="36">
                  <c:v>2.1406030055908269</c:v>
                </c:pt>
                <c:pt idx="37">
                  <c:v>2.1405518046456322</c:v>
                </c:pt>
                <c:pt idx="38">
                  <c:v>2.1406387899248376</c:v>
                </c:pt>
                <c:pt idx="39">
                  <c:v>2.140868608696314</c:v>
                </c:pt>
                <c:pt idx="40">
                  <c:v>2.1412464037500532</c:v>
                </c:pt>
                <c:pt idx="41">
                  <c:v>2.1417778507426513</c:v>
                </c:pt>
                <c:pt idx="42">
                  <c:v>2.1424691980726904</c:v>
                </c:pt>
                <c:pt idx="43">
                  <c:v>2.1433273153124763</c:v>
                </c:pt>
                <c:pt idx="44">
                  <c:v>2.1443597417925049</c:v>
                </c:pt>
                <c:pt idx="45">
                  <c:v>2.1455747456911904</c:v>
                </c:pt>
                <c:pt idx="46">
                  <c:v>2.146981387833427</c:v>
                </c:pt>
                <c:pt idx="47">
                  <c:v>2.1485895923209917</c:v>
                </c:pt>
                <c:pt idx="48">
                  <c:v>2.1504102268773417</c:v>
                </c:pt>
                <c:pt idx="49">
                  <c:v>2.1524551922601809</c:v>
                </c:pt>
                <c:pt idx="50">
                  <c:v>2.1547375161210822</c:v>
                </c:pt>
                <c:pt idx="51">
                  <c:v>2.1572710278945273</c:v>
                </c:pt>
                <c:pt idx="52">
                  <c:v>2.1600691442246993</c:v>
                </c:pt>
                <c:pt idx="53">
                  <c:v>2.1631444819822172</c:v>
                </c:pt>
                <c:pt idx="54">
                  <c:v>2.1665088754065907</c:v>
                </c:pt>
                <c:pt idx="55">
                  <c:v>2.1701733900368847</c:v>
                </c:pt>
                <c:pt idx="56">
                  <c:v>2.1741483271660274</c:v>
                </c:pt>
                <c:pt idx="57">
                  <c:v>2.1784432228825419</c:v>
                </c:pt>
                <c:pt idx="58">
                  <c:v>2.1830668385898315</c:v>
                </c:pt>
                <c:pt idx="59">
                  <c:v>2.1880271453989799</c:v>
                </c:pt>
                <c:pt idx="60">
                  <c:v>2.1933313017790703</c:v>
                </c:pt>
                <c:pt idx="61">
                  <c:v>2.1989856243875616</c:v>
                </c:pt>
                <c:pt idx="62">
                  <c:v>2.2049955530071088</c:v>
                </c:pt>
                <c:pt idx="63">
                  <c:v>2.2113656090202731</c:v>
                </c:pt>
                <c:pt idx="64">
                  <c:v>2.2180993471359503</c:v>
                </c:pt>
                <c:pt idx="65">
                  <c:v>2.2251993010650346</c:v>
                </c:pt>
                <c:pt idx="66">
                  <c:v>2.2326669223337192</c:v>
                </c:pt>
                <c:pt idx="67">
                  <c:v>2.2405025123581743</c:v>
                </c:pt>
                <c:pt idx="68">
                  <c:v>2.2487051485421006</c:v>
                </c:pt>
                <c:pt idx="69">
                  <c:v>2.2572726027255614</c:v>
                </c:pt>
                <c:pt idx="70">
                  <c:v>2.2662012544452268</c:v>
                </c:pt>
                <c:pt idx="71">
                  <c:v>2.2754860005638049</c:v>
                </c:pt>
                <c:pt idx="72">
                  <c:v>2.2851201645952477</c:v>
                </c:pt>
                <c:pt idx="73">
                  <c:v>2.29509541425573</c:v>
                </c:pt>
                <c:pt idx="74">
                  <c:v>2.3054017043221293</c:v>
                </c:pt>
                <c:pt idx="75">
                  <c:v>2.3160272784233387</c:v>
                </c:pt>
                <c:pt idx="76">
                  <c:v>2.3269587911859269</c:v>
                </c:pt>
                <c:pt idx="77">
                  <c:v>2.3381815431950508</c:v>
                </c:pt>
                <c:pt idx="78">
                  <c:v>2.3496795734316875</c:v>
                </c:pt>
                <c:pt idx="79">
                  <c:v>2.3614356508567966</c:v>
                </c:pt>
                <c:pt idx="80">
                  <c:v>2.3740216198898638</c:v>
                </c:pt>
                <c:pt idx="81">
                  <c:v>2.3870390294617989</c:v>
                </c:pt>
                <c:pt idx="82">
                  <c:v>2.4003371819206145</c:v>
                </c:pt>
                <c:pt idx="83">
                  <c:v>2.4138378049228533</c:v>
                </c:pt>
                <c:pt idx="84">
                  <c:v>2.4275189401516544</c:v>
                </c:pt>
                <c:pt idx="85">
                  <c:v>2.4413569993237951</c:v>
                </c:pt>
                <c:pt idx="86">
                  <c:v>2.4553267767060181</c:v>
                </c:pt>
                <c:pt idx="87">
                  <c:v>2.4694014722130242</c:v>
                </c:pt>
                <c:pt idx="88">
                  <c:v>2.4835527306546981</c:v>
                </c:pt>
                <c:pt idx="89">
                  <c:v>2.4973179638934493</c:v>
                </c:pt>
                <c:pt idx="90">
                  <c:v>2.5107267431216123</c:v>
                </c:pt>
                <c:pt idx="91">
                  <c:v>2.5272494187233097</c:v>
                </c:pt>
                <c:pt idx="92">
                  <c:v>2.5428715734194385</c:v>
                </c:pt>
                <c:pt idx="93">
                  <c:v>2.5576557831086584</c:v>
                </c:pt>
                <c:pt idx="94">
                  <c:v>2.571662194664508</c:v>
                </c:pt>
                <c:pt idx="95">
                  <c:v>2.5849480235924771</c:v>
                </c:pt>
                <c:pt idx="96">
                  <c:v>2.5975672708953175</c:v>
                </c:pt>
                <c:pt idx="97">
                  <c:v>2.6095706012482962</c:v>
                </c:pt>
                <c:pt idx="98">
                  <c:v>2.6210053366877775</c:v>
                </c:pt>
                <c:pt idx="99">
                  <c:v>2.6319155311435707</c:v>
                </c:pt>
                <c:pt idx="100">
                  <c:v>2.642342098730607</c:v>
                </c:pt>
                <c:pt idx="101">
                  <c:v>2.6523229766712837</c:v>
                </c:pt>
                <c:pt idx="102">
                  <c:v>2.6618933077183078</c:v>
                </c:pt>
                <c:pt idx="103">
                  <c:v>2.6710856321223932</c:v>
                </c:pt>
                <c:pt idx="104">
                  <c:v>2.6799300806999611</c:v>
                </c:pt>
                <c:pt idx="105">
                  <c:v>2.6884538559109377</c:v>
                </c:pt>
                <c:pt idx="106">
                  <c:v>2.6966778905612947</c:v>
                </c:pt>
                <c:pt idx="107">
                  <c:v>2.7046172245758764</c:v>
                </c:pt>
                <c:pt idx="108">
                  <c:v>2.7122836087138773</c:v>
                </c:pt>
                <c:pt idx="109">
                  <c:v>2.7196870671205886</c:v>
                </c:pt>
                <c:pt idx="110">
                  <c:v>2.7268367605188137</c:v>
                </c:pt>
                <c:pt idx="111">
                  <c:v>2.7337414478191207</c:v>
                </c:pt>
                <c:pt idx="112">
                  <c:v>2.7404097171210546</c:v>
                </c:pt>
                <c:pt idx="113">
                  <c:v>2.7468500861757947</c:v>
                </c:pt>
                <c:pt idx="114">
                  <c:v>2.7530710307837003</c:v>
                </c:pt>
                <c:pt idx="115">
                  <c:v>2.7590809756834127</c:v>
                </c:pt>
                <c:pt idx="116">
                  <c:v>2.7648882679031805</c:v>
                </c:pt>
                <c:pt idx="117">
                  <c:v>2.7705011440608036</c:v>
                </c:pt>
                <c:pt idx="118">
                  <c:v>2.775927698018708</c:v>
                </c:pt>
                <c:pt idx="119">
                  <c:v>2.7811758521361853</c:v>
                </c:pt>
                <c:pt idx="120">
                  <c:v>2.7862533335533239</c:v>
                </c:pt>
                <c:pt idx="121">
                  <c:v>2.7911676560485965</c:v>
                </c:pt>
                <c:pt idx="122">
                  <c:v>2.7959261072683441</c:v>
                </c:pt>
                <c:pt idx="123">
                  <c:v>2.800535740918221</c:v>
                </c:pt>
                <c:pt idx="124">
                  <c:v>2.805003373379479</c:v>
                </c:pt>
                <c:pt idx="125">
                  <c:v>2.8093355841808565</c:v>
                </c:pt>
                <c:pt idx="126">
                  <c:v>2.8135387197793817</c:v>
                </c:pt>
                <c:pt idx="127">
                  <c:v>2.817618900169458</c:v>
                </c:pt>
                <c:pt idx="128">
                  <c:v>2.8215820279110431</c:v>
                </c:pt>
                <c:pt idx="129">
                  <c:v>2.8254337992484007</c:v>
                </c:pt>
                <c:pt idx="130">
                  <c:v>2.8291797170669701</c:v>
                </c:pt>
                <c:pt idx="131">
                  <c:v>2.8328251055068003</c:v>
                </c:pt>
                <c:pt idx="132">
                  <c:v>2.8363751261377148</c:v>
                </c:pt>
                <c:pt idx="133">
                  <c:v>2.8398347956622092</c:v>
                </c:pt>
                <c:pt idx="134">
                  <c:v>2.8432090051912686</c:v>
                </c:pt>
                <c:pt idx="135">
                  <c:v>2.8465025411878511</c:v>
                </c:pt>
                <c:pt idx="136">
                  <c:v>2.8497201075968808</c:v>
                </c:pt>
                <c:pt idx="137">
                  <c:v>2.8528662927823247</c:v>
                </c:pt>
                <c:pt idx="138">
                  <c:v>2.855945419712699</c:v>
                </c:pt>
                <c:pt idx="139">
                  <c:v>2.8589615172392699</c:v>
                </c:pt>
                <c:pt idx="140">
                  <c:v>2.8619183479488792</c:v>
                </c:pt>
                <c:pt idx="141">
                  <c:v>2.864819433551423</c:v>
                </c:pt>
                <c:pt idx="142">
                  <c:v>2.8676680773202419</c:v>
                </c:pt>
                <c:pt idx="143">
                  <c:v>2.8704673841502424</c:v>
                </c:pt>
                <c:pt idx="144">
                  <c:v>2.8732202783640139</c:v>
                </c:pt>
                <c:pt idx="145">
                  <c:v>2.875929519773349</c:v>
                </c:pt>
                <c:pt idx="146">
                  <c:v>2.8785977179785101</c:v>
                </c:pt>
                <c:pt idx="147">
                  <c:v>2.8812273453698722</c:v>
                </c:pt>
                <c:pt idx="148">
                  <c:v>2.8838207488108978</c:v>
                </c:pt>
                <c:pt idx="149">
                  <c:v>2.8863801602357766</c:v>
                </c:pt>
                <c:pt idx="150">
                  <c:v>2.8889077062795598</c:v>
                </c:pt>
                <c:pt idx="151">
                  <c:v>2.8914054170881074</c:v>
                </c:pt>
                <c:pt idx="152">
                  <c:v>2.8938752343251068</c:v>
                </c:pt>
                <c:pt idx="153">
                  <c:v>2.8963190185241232</c:v>
                </c:pt>
                <c:pt idx="154">
                  <c:v>2.8987385558609304</c:v>
                </c:pt>
                <c:pt idx="155">
                  <c:v>2.9011355643591803</c:v>
                </c:pt>
                <c:pt idx="156">
                  <c:v>2.903511699649282</c:v>
                </c:pt>
                <c:pt idx="157">
                  <c:v>2.905868560323063</c:v>
                </c:pt>
                <c:pt idx="158">
                  <c:v>2.9082076928551448</c:v>
                </c:pt>
                <c:pt idx="159">
                  <c:v>2.9105305961916148</c:v>
                </c:pt>
                <c:pt idx="160">
                  <c:v>2.9128387261442383</c:v>
                </c:pt>
                <c:pt idx="161">
                  <c:v>2.9151334993388218</c:v>
                </c:pt>
                <c:pt idx="162">
                  <c:v>2.9174162970606914</c:v>
                </c:pt>
                <c:pt idx="163">
                  <c:v>2.9196884688294613</c:v>
                </c:pt>
                <c:pt idx="164">
                  <c:v>2.9219513357753524</c:v>
                </c:pt>
                <c:pt idx="165">
                  <c:v>2.9242061938633714</c:v>
                </c:pt>
                <c:pt idx="166">
                  <c:v>2.9264543169480839</c:v>
                </c:pt>
                <c:pt idx="167">
                  <c:v>2.9286969596946433</c:v>
                </c:pt>
                <c:pt idx="168">
                  <c:v>2.9309353603868318</c:v>
                </c:pt>
                <c:pt idx="169">
                  <c:v>2.9331707436259058</c:v>
                </c:pt>
                <c:pt idx="170">
                  <c:v>2.9354043229140068</c:v>
                </c:pt>
                <c:pt idx="171">
                  <c:v>2.9376373031760026</c:v>
                </c:pt>
                <c:pt idx="172">
                  <c:v>2.9398708832609604</c:v>
                </c:pt>
                <c:pt idx="173">
                  <c:v>2.9421062582316861</c:v>
                </c:pt>
                <c:pt idx="174">
                  <c:v>2.9443446218011395</c:v>
                </c:pt>
                <c:pt idx="175">
                  <c:v>2.9465871685577647</c:v>
                </c:pt>
                <c:pt idx="176">
                  <c:v>2.9488350962264311</c:v>
                </c:pt>
                <c:pt idx="177">
                  <c:v>2.9510896079710998</c:v>
                </c:pt>
                <c:pt idx="178">
                  <c:v>2.9533519144955345</c:v>
                </c:pt>
                <c:pt idx="179">
                  <c:v>2.9556232362926198</c:v>
                </c:pt>
                <c:pt idx="180">
                  <c:v>2.95790480584603</c:v>
                </c:pt>
                <c:pt idx="181">
                  <c:v>2.9599103888815401</c:v>
                </c:pt>
                <c:pt idx="182">
                  <c:v>2.9619029026890074</c:v>
                </c:pt>
                <c:pt idx="183">
                  <c:v>2.9638833910355489</c:v>
                </c:pt>
                <c:pt idx="184">
                  <c:v>2.965852878915106</c:v>
                </c:pt>
                <c:pt idx="185">
                  <c:v>2.9678123741564022</c:v>
                </c:pt>
                <c:pt idx="186">
                  <c:v>2.9697628689592341</c:v>
                </c:pt>
                <c:pt idx="187">
                  <c:v>2.9717053415949404</c:v>
                </c:pt>
                <c:pt idx="188">
                  <c:v>2.973640757882023</c:v>
                </c:pt>
                <c:pt idx="189">
                  <c:v>2.9755700727168737</c:v>
                </c:pt>
                <c:pt idx="190">
                  <c:v>2.977494231678909</c:v>
                </c:pt>
                <c:pt idx="191">
                  <c:v>2.97941417240872</c:v>
                </c:pt>
                <c:pt idx="192">
                  <c:v>2.9813308262267615</c:v>
                </c:pt>
                <c:pt idx="193">
                  <c:v>2.9832451195491938</c:v>
                </c:pt>
                <c:pt idx="194">
                  <c:v>2.9851579753590314</c:v>
                </c:pt>
                <c:pt idx="195">
                  <c:v>2.9870703147035025</c:v>
                </c:pt>
                <c:pt idx="196">
                  <c:v>2.9889830581618182</c:v>
                </c:pt>
                <c:pt idx="197">
                  <c:v>2.9908971273110962</c:v>
                </c:pt>
                <c:pt idx="198">
                  <c:v>2.9928134462100893</c:v>
                </c:pt>
                <c:pt idx="199">
                  <c:v>2.9947329428980285</c:v>
                </c:pt>
                <c:pt idx="200">
                  <c:v>2.9966565508807301</c:v>
                </c:pt>
                <c:pt idx="201">
                  <c:v>2.9985852106672026</c:v>
                </c:pt>
                <c:pt idx="202">
                  <c:v>3.0005198713206402</c:v>
                </c:pt>
                <c:pt idx="203">
                  <c:v>3.0024614919306281</c:v>
                </c:pt>
                <c:pt idx="204">
                  <c:v>3.004411043373266</c:v>
                </c:pt>
                <c:pt idx="205">
                  <c:v>3.0063695097754124</c:v>
                </c:pt>
                <c:pt idx="206">
                  <c:v>3.0083378902116471</c:v>
                </c:pt>
                <c:pt idx="207">
                  <c:v>3.0103172004618335</c:v>
                </c:pt>
                <c:pt idx="208">
                  <c:v>3.012308474698127</c:v>
                </c:pt>
                <c:pt idx="209">
                  <c:v>3.0143127672520569</c:v>
                </c:pt>
                <c:pt idx="210">
                  <c:v>3.0163311544965934</c:v>
                </c:pt>
                <c:pt idx="211">
                  <c:v>3.0183647367032358</c:v>
                </c:pt>
                <c:pt idx="212">
                  <c:v>3.0204146399965572</c:v>
                </c:pt>
                <c:pt idx="213">
                  <c:v>3.0224820184211141</c:v>
                </c:pt>
                <c:pt idx="214">
                  <c:v>3.0245680559527681</c:v>
                </c:pt>
                <c:pt idx="215">
                  <c:v>3.0266739064334827</c:v>
                </c:pt>
                <c:pt idx="216">
                  <c:v>3.0289036788940176</c:v>
                </c:pt>
                <c:pt idx="217">
                  <c:v>3.0311858444917101</c:v>
                </c:pt>
                <c:pt idx="218">
                  <c:v>3.0334933710688459</c:v>
                </c:pt>
                <c:pt idx="219">
                  <c:v>3.0358276970873881</c:v>
                </c:pt>
                <c:pt idx="220">
                  <c:v>3.038190305625017</c:v>
                </c:pt>
                <c:pt idx="221">
                  <c:v>3.0405827268108996</c:v>
                </c:pt>
                <c:pt idx="222">
                  <c:v>3.0430065405147935</c:v>
                </c:pt>
                <c:pt idx="223">
                  <c:v>3.0454633789412391</c:v>
                </c:pt>
                <c:pt idx="224">
                  <c:v>3.0479549294041304</c:v>
                </c:pt>
                <c:pt idx="225">
                  <c:v>3.0504829373303863</c:v>
                </c:pt>
                <c:pt idx="226">
                  <c:v>3.053091459522427</c:v>
                </c:pt>
                <c:pt idx="227">
                  <c:v>3.0557399779071468</c:v>
                </c:pt>
                <c:pt idx="228">
                  <c:v>3.0584322957281445</c:v>
                </c:pt>
                <c:pt idx="229">
                  <c:v>3.0611701895563175</c:v>
                </c:pt>
                <c:pt idx="230">
                  <c:v>3.0639554193474297</c:v>
                </c:pt>
                <c:pt idx="231">
                  <c:v>3.0667897225547605</c:v>
                </c:pt>
                <c:pt idx="232">
                  <c:v>3.0696748060406591</c:v>
                </c:pt>
                <c:pt idx="233">
                  <c:v>3.0726123350057022</c:v>
                </c:pt>
                <c:pt idx="234">
                  <c:v>3.0756039187342008</c:v>
                </c:pt>
                <c:pt idx="235">
                  <c:v>3.0786510928420263</c:v>
                </c:pt>
                <c:pt idx="236">
                  <c:v>3.0817552974732014</c:v>
                </c:pt>
                <c:pt idx="237">
                  <c:v>3.0849178903170564</c:v>
                </c:pt>
                <c:pt idx="238">
                  <c:v>3.0880652423844586</c:v>
                </c:pt>
                <c:pt idx="239">
                  <c:v>3.0912008662484776</c:v>
                </c:pt>
                <c:pt idx="240">
                  <c:v>3.0943920352129535</c:v>
                </c:pt>
                <c:pt idx="241">
                  <c:v>3.0976386318229667</c:v>
                </c:pt>
                <c:pt idx="242">
                  <c:v>3.1009401233979847</c:v>
                </c:pt>
                <c:pt idx="243">
                  <c:v>3.104295486694538</c:v>
                </c:pt>
                <c:pt idx="244">
                  <c:v>3.1077031246284852</c:v>
                </c:pt>
                <c:pt idx="245">
                  <c:v>3.1111607764301241</c:v>
                </c:pt>
                <c:pt idx="246">
                  <c:v>3.1146654244719576</c:v>
                </c:pt>
                <c:pt idx="247">
                  <c:v>3.1182132039073824</c:v>
                </c:pt>
                <c:pt idx="248">
                  <c:v>3.1217993249471614</c:v>
                </c:pt>
                <c:pt idx="249">
                  <c:v>3.1254180253907164</c:v>
                </c:pt>
                <c:pt idx="250">
                  <c:v>3.1290625803433678</c:v>
                </c:pt>
                <c:pt idx="251">
                  <c:v>3.1327254147242667</c:v>
                </c:pt>
                <c:pt idx="252">
                  <c:v>3.1363983890953775</c:v>
                </c:pt>
                <c:pt idx="253">
                  <c:v>3.1400733736090407</c:v>
                </c:pt>
                <c:pt idx="254">
                  <c:v>-3.1394420144569448</c:v>
                </c:pt>
                <c:pt idx="255">
                  <c:v>-3.1357813702248087</c:v>
                </c:pt>
                <c:pt idx="256">
                  <c:v>-3.1321294582255867</c:v>
                </c:pt>
                <c:pt idx="257">
                  <c:v>-3.1284835127725401</c:v>
                </c:pt>
                <c:pt idx="258">
                  <c:v>-3.1248407025048914</c:v>
                </c:pt>
                <c:pt idx="259">
                  <c:v>-3.1211982131851737</c:v>
                </c:pt>
                <c:pt idx="260">
                  <c:v>-3.1175532446944878</c:v>
                </c:pt>
                <c:pt idx="261">
                  <c:v>-3.1139030100026051</c:v>
                </c:pt>
                <c:pt idx="262">
                  <c:v>-3.1102447359805656</c:v>
                </c:pt>
                <c:pt idx="263">
                  <c:v>-3.1065756677269736</c:v>
                </c:pt>
                <c:pt idx="264">
                  <c:v>-3.1028930755363691</c:v>
                </c:pt>
                <c:pt idx="265">
                  <c:v>-3.0991942673155819</c:v>
                </c:pt>
                <c:pt idx="266">
                  <c:v>-3.0954766063776118</c:v>
                </c:pt>
                <c:pt idx="267">
                  <c:v>-3.0917375371385476</c:v>
                </c:pt>
                <c:pt idx="268">
                  <c:v>-3.0879746203787644</c:v>
                </c:pt>
                <c:pt idx="269">
                  <c:v>-3.0841855802344127</c:v>
                </c:pt>
                <c:pt idx="270">
                  <c:v>-3.0803683676540463</c:v>
                </c:pt>
                <c:pt idx="271">
                  <c:v>-3.0820239214114782</c:v>
                </c:pt>
                <c:pt idx="272">
                  <c:v>-3.0840069176209792</c:v>
                </c:pt>
                <c:pt idx="273">
                  <c:v>-3.0863359987542269</c:v>
                </c:pt>
                <c:pt idx="274">
                  <c:v>-3.0890292924384775</c:v>
                </c:pt>
                <c:pt idx="275">
                  <c:v>-3.0921043641966994</c:v>
                </c:pt>
                <c:pt idx="276">
                  <c:v>-3.0955781706581944</c:v>
                </c:pt>
                <c:pt idx="277">
                  <c:v>-3.0994670095074968</c:v>
                </c:pt>
                <c:pt idx="278">
                  <c:v>-3.1037864713177412</c:v>
                </c:pt>
                <c:pt idx="279">
                  <c:v>-3.1085513882237876</c:v>
                </c:pt>
                <c:pt idx="280">
                  <c:v>-3.1137757868991245</c:v>
                </c:pt>
                <c:pt idx="281">
                  <c:v>-3.1194728394417446</c:v>
                </c:pt>
                <c:pt idx="282">
                  <c:v>-3.1256548184459021</c:v>
                </c:pt>
                <c:pt idx="283">
                  <c:v>-3.132333054979684</c:v>
                </c:pt>
                <c:pt idx="284">
                  <c:v>-3.1395178998269273</c:v>
                </c:pt>
                <c:pt idx="285">
                  <c:v>3.1359666162874804</c:v>
                </c:pt>
                <c:pt idx="286">
                  <c:v>3.127741581485826</c:v>
                </c:pt>
                <c:pt idx="287">
                  <c:v>3.1189850652403415</c:v>
                </c:pt>
                <c:pt idx="288">
                  <c:v>3.1096909002145203</c:v>
                </c:pt>
                <c:pt idx="289">
                  <c:v>3.0998546273530154</c:v>
                </c:pt>
                <c:pt idx="290">
                  <c:v>3.0894781854576592</c:v>
                </c:pt>
                <c:pt idx="291">
                  <c:v>3.0785722655230563</c:v>
                </c:pt>
                <c:pt idx="292">
                  <c:v>3.0671547489606827</c:v>
                </c:pt>
                <c:pt idx="293">
                  <c:v>3.0552492583849524</c:v>
                </c:pt>
                <c:pt idx="294">
                  <c:v>3.0428839848515277</c:v>
                </c:pt>
                <c:pt idx="295">
                  <c:v>3.0300907015515866</c:v>
                </c:pt>
                <c:pt idx="296">
                  <c:v>3.0169039074562845</c:v>
                </c:pt>
                <c:pt idx="297">
                  <c:v>3.0033600643715839</c:v>
                </c:pt>
                <c:pt idx="298">
                  <c:v>2.9894968989983282</c:v>
                </c:pt>
                <c:pt idx="299">
                  <c:v>2.9753527562295004</c:v>
                </c:pt>
                <c:pt idx="300">
                  <c:v>2.9609659951372715</c:v>
                </c:pt>
                <c:pt idx="301">
                  <c:v>2.9463744237424723</c:v>
                </c:pt>
                <c:pt idx="302">
                  <c:v>2.9316147689607392</c:v>
                </c:pt>
                <c:pt idx="303">
                  <c:v>2.9167221847702125</c:v>
                </c:pt>
                <c:pt idx="304">
                  <c:v>2.9017297978763272</c:v>
                </c:pt>
                <c:pt idx="305">
                  <c:v>2.886668292282609</c:v>
                </c:pt>
                <c:pt idx="306">
                  <c:v>2.8715655331892549</c:v>
                </c:pt>
                <c:pt idx="307">
                  <c:v>2.8564462290801278</c:v>
                </c:pt>
                <c:pt idx="308">
                  <c:v>2.8413316586222579</c:v>
                </c:pt>
                <c:pt idx="309">
                  <c:v>2.8262401629584679</c:v>
                </c:pt>
                <c:pt idx="310">
                  <c:v>2.8111884025344716</c:v>
                </c:pt>
                <c:pt idx="311">
                  <c:v>2.7961916490466225</c:v>
                </c:pt>
                <c:pt idx="312">
                  <c:v>2.7812638374806373</c:v>
                </c:pt>
                <c:pt idx="313">
                  <c:v>2.7664176214761573</c:v>
                </c:pt>
                <c:pt idx="314">
                  <c:v>2.7516644314043086</c:v>
                </c:pt>
                <c:pt idx="315">
                  <c:v>2.7370145343267924</c:v>
                </c:pt>
                <c:pt idx="316">
                  <c:v>2.7224770950617718</c:v>
                </c:pt>
                <c:pt idx="317">
                  <c:v>2.7080602376455549</c:v>
                </c:pt>
                <c:pt idx="318">
                  <c:v>2.6937711068103529</c:v>
                </c:pt>
                <c:pt idx="319">
                  <c:v>2.6796159290987589</c:v>
                </c:pt>
                <c:pt idx="320">
                  <c:v>2.6656000719964963</c:v>
                </c:pt>
                <c:pt idx="321">
                  <c:v>2.6517281034423239</c:v>
                </c:pt>
                <c:pt idx="322">
                  <c:v>2.638003847336182</c:v>
                </c:pt>
                <c:pt idx="323">
                  <c:v>2.6244304399709195</c:v>
                </c:pt>
                <c:pt idx="324">
                  <c:v>2.6110103808496583</c:v>
                </c:pt>
                <c:pt idx="325">
                  <c:v>2.597745585619327</c:v>
                </c:pt>
                <c:pt idx="326">
                  <c:v>2.5846374322855104</c:v>
                </c:pt>
                <c:pt idx="327">
                  <c:v>2.5716868082322764</c:v>
                </c:pt>
                <c:pt idx="328">
                  <c:v>2.5588941528870861</c:v>
                </c:pt>
                <c:pt idx="329">
                  <c:v>2.546259499300529</c:v>
                </c:pt>
                <c:pt idx="330">
                  <c:v>2.5337825127430951</c:v>
                </c:pt>
                <c:pt idx="331">
                  <c:v>2.521462526401117</c:v>
                </c:pt>
                <c:pt idx="332">
                  <c:v>2.5092985752809387</c:v>
                </c:pt>
                <c:pt idx="333">
                  <c:v>2.4972894277656144</c:v>
                </c:pt>
                <c:pt idx="334">
                  <c:v>2.4854336150511349</c:v>
                </c:pt>
                <c:pt idx="335">
                  <c:v>2.4737294594066821</c:v>
                </c:pt>
                <c:pt idx="336">
                  <c:v>2.4621750973702183</c:v>
                </c:pt>
                <c:pt idx="337">
                  <c:v>2.4507685048105214</c:v>
                </c:pt>
                <c:pt idx="338">
                  <c:v>2.4395075176570642</c:v>
                </c:pt>
                <c:pt idx="339">
                  <c:v>2.4283898514386717</c:v>
                </c:pt>
                <c:pt idx="340">
                  <c:v>2.4174131210580496</c:v>
                </c:pt>
                <c:pt idx="341">
                  <c:v>2.406574854832769</c:v>
                </c:pt>
                <c:pt idx="342">
                  <c:v>2.3958725132406564</c:v>
                </c:pt>
                <c:pt idx="343">
                  <c:v>2.3853034988756558</c:v>
                </c:pt>
                <c:pt idx="344">
                  <c:v>2.3748651726117616</c:v>
                </c:pt>
                <c:pt idx="345">
                  <c:v>2.3645548629156337</c:v>
                </c:pt>
                <c:pt idx="346">
                  <c:v>2.3543698775538071</c:v>
                </c:pt>
                <c:pt idx="347">
                  <c:v>2.3443075128306434</c:v>
                </c:pt>
                <c:pt idx="348">
                  <c:v>2.3343650623624783</c:v>
                </c:pt>
                <c:pt idx="349">
                  <c:v>2.3245398244690278</c:v>
                </c:pt>
                <c:pt idx="350">
                  <c:v>2.3148291093837727</c:v>
                </c:pt>
                <c:pt idx="351">
                  <c:v>2.3052302461914724</c:v>
                </c:pt>
                <c:pt idx="352">
                  <c:v>2.2957405888838966</c:v>
                </c:pt>
                <c:pt idx="353">
                  <c:v>2.2863575199169341</c:v>
                </c:pt>
                <c:pt idx="354">
                  <c:v>2.2770784569319864</c:v>
                </c:pt>
                <c:pt idx="355">
                  <c:v>2.2679008550666224</c:v>
                </c:pt>
                <c:pt idx="356">
                  <c:v>2.2588222132101432</c:v>
                </c:pt>
                <c:pt idx="357">
                  <c:v>2.2498400750161798</c:v>
                </c:pt>
                <c:pt idx="358">
                  <c:v>2.240952033934497</c:v>
                </c:pt>
                <c:pt idx="359">
                  <c:v>2.232155735676101</c:v>
                </c:pt>
                <c:pt idx="360">
                  <c:v>2.2234488797717953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0.81847512132690259</c:v>
                </c:pt>
                <c:pt idx="1">
                  <c:v>0.8231810161989026</c:v>
                </c:pt>
                <c:pt idx="2">
                  <c:v>0.82770625727718716</c:v>
                </c:pt>
                <c:pt idx="3">
                  <c:v>0.83205740776252046</c:v>
                </c:pt>
                <c:pt idx="4">
                  <c:v>0.83624061415435147</c:v>
                </c:pt>
                <c:pt idx="5">
                  <c:v>0.84026162584584529</c:v>
                </c:pt>
                <c:pt idx="6">
                  <c:v>0.84412581224406946</c:v>
                </c:pt>
                <c:pt idx="7">
                  <c:v>0.84783817969688746</c:v>
                </c:pt>
                <c:pt idx="8">
                  <c:v>0.85140338824338835</c:v>
                </c:pt>
                <c:pt idx="9">
                  <c:v>0.85482576266921395</c:v>
                </c:pt>
                <c:pt idx="10">
                  <c:v>0.8581093084837681</c:v>
                </c:pt>
                <c:pt idx="11">
                  <c:v>0.86125772227845854</c:v>
                </c:pt>
                <c:pt idx="12">
                  <c:v>0.86427440252168131</c:v>
                </c:pt>
                <c:pt idx="13">
                  <c:v>0.86716245981298867</c:v>
                </c:pt>
                <c:pt idx="14">
                  <c:v>0.86992472523213982</c:v>
                </c:pt>
                <c:pt idx="15">
                  <c:v>0.87256375872782499</c:v>
                </c:pt>
                <c:pt idx="16">
                  <c:v>0.87508185306176811</c:v>
                </c:pt>
                <c:pt idx="17">
                  <c:v>0.87748104223841183</c:v>
                </c:pt>
                <c:pt idx="18">
                  <c:v>0.87976310537356728</c:v>
                </c:pt>
                <c:pt idx="19">
                  <c:v>0.88192956814188672</c:v>
                </c:pt>
                <c:pt idx="20">
                  <c:v>0.88398170795144759</c:v>
                </c:pt>
                <c:pt idx="21">
                  <c:v>0.88592055267533709</c:v>
                </c:pt>
                <c:pt idx="22">
                  <c:v>0.88774688454673489</c:v>
                </c:pt>
                <c:pt idx="23">
                  <c:v>0.88946123515550646</c:v>
                </c:pt>
                <c:pt idx="24">
                  <c:v>0.89106388668809355</c:v>
                </c:pt>
                <c:pt idx="25">
                  <c:v>0.8925548685512803</c:v>
                </c:pt>
                <c:pt idx="26">
                  <c:v>0.89393395162105094</c:v>
                </c:pt>
                <c:pt idx="27">
                  <c:v>0.89520064443523406</c:v>
                </c:pt>
                <c:pt idx="28">
                  <c:v>0.89635418665975852</c:v>
                </c:pt>
                <c:pt idx="29">
                  <c:v>0.89739353923712883</c:v>
                </c:pt>
                <c:pt idx="30">
                  <c:v>0.89831737701572933</c:v>
                </c:pt>
                <c:pt idx="31">
                  <c:v>0.89912407593452359</c:v>
                </c:pt>
                <c:pt idx="32">
                  <c:v>0.89981170061167193</c:v>
                </c:pt>
                <c:pt idx="33">
                  <c:v>0.90037799084778447</c:v>
                </c:pt>
                <c:pt idx="34">
                  <c:v>0.90082034319720616</c:v>
                </c:pt>
                <c:pt idx="35">
                  <c:v>0.90113579335533167</c:v>
                </c:pt>
                <c:pt idx="36">
                  <c:v>0.90132099550780431</c:v>
                </c:pt>
                <c:pt idx="37">
                  <c:v>0.90137219645299904</c:v>
                </c:pt>
                <c:pt idx="38">
                  <c:v>0.90128521117379368</c:v>
                </c:pt>
                <c:pt idx="39">
                  <c:v>0.90105539240231736</c:v>
                </c:pt>
                <c:pt idx="40">
                  <c:v>0.90067759734857811</c:v>
                </c:pt>
                <c:pt idx="41">
                  <c:v>0.90014615035598</c:v>
                </c:pt>
                <c:pt idx="42">
                  <c:v>0.89945480302594083</c:v>
                </c:pt>
                <c:pt idx="43">
                  <c:v>0.89859668578615493</c:v>
                </c:pt>
                <c:pt idx="44">
                  <c:v>0.89756425930612638</c:v>
                </c:pt>
                <c:pt idx="45">
                  <c:v>0.89634925540744081</c:v>
                </c:pt>
                <c:pt idx="46">
                  <c:v>0.8949426132652043</c:v>
                </c:pt>
                <c:pt idx="47">
                  <c:v>0.89333440877763959</c:v>
                </c:pt>
                <c:pt idx="48">
                  <c:v>0.89151377422128952</c:v>
                </c:pt>
                <c:pt idx="49">
                  <c:v>0.88946880883845048</c:v>
                </c:pt>
                <c:pt idx="50">
                  <c:v>0.88718648497754915</c:v>
                </c:pt>
                <c:pt idx="51">
                  <c:v>0.88465297320410385</c:v>
                </c:pt>
                <c:pt idx="52">
                  <c:v>0.88185485687393206</c:v>
                </c:pt>
                <c:pt idx="53">
                  <c:v>0.87877951911641405</c:v>
                </c:pt>
                <c:pt idx="54">
                  <c:v>0.87541512569204105</c:v>
                </c:pt>
                <c:pt idx="55">
                  <c:v>0.87175061106174656</c:v>
                </c:pt>
                <c:pt idx="56">
                  <c:v>0.86777567393260391</c:v>
                </c:pt>
                <c:pt idx="57">
                  <c:v>0.86348077821608937</c:v>
                </c:pt>
                <c:pt idx="58">
                  <c:v>0.85885716250879973</c:v>
                </c:pt>
                <c:pt idx="59">
                  <c:v>0.85389685569965135</c:v>
                </c:pt>
                <c:pt idx="60">
                  <c:v>0.84859269931956094</c:v>
                </c:pt>
                <c:pt idx="61">
                  <c:v>0.84293837671107008</c:v>
                </c:pt>
                <c:pt idx="62">
                  <c:v>0.83692844809152245</c:v>
                </c:pt>
                <c:pt idx="63">
                  <c:v>0.83055839207835813</c:v>
                </c:pt>
                <c:pt idx="64">
                  <c:v>0.82382465396268101</c:v>
                </c:pt>
                <c:pt idx="65">
                  <c:v>0.81672470003359676</c:v>
                </c:pt>
                <c:pt idx="66">
                  <c:v>0.80925707876491204</c:v>
                </c:pt>
                <c:pt idx="67">
                  <c:v>0.80142148874045693</c:v>
                </c:pt>
                <c:pt idx="68">
                  <c:v>0.79321885255653068</c:v>
                </c:pt>
                <c:pt idx="69">
                  <c:v>0.78465139837306985</c:v>
                </c:pt>
                <c:pt idx="70">
                  <c:v>0.77572274665340446</c:v>
                </c:pt>
                <c:pt idx="71">
                  <c:v>0.76643800053482636</c:v>
                </c:pt>
                <c:pt idx="72">
                  <c:v>0.75680383650338356</c:v>
                </c:pt>
                <c:pt idx="73">
                  <c:v>0.74682858684290121</c:v>
                </c:pt>
                <c:pt idx="74">
                  <c:v>0.73652229677650194</c:v>
                </c:pt>
                <c:pt idx="75">
                  <c:v>0.72589672267529259</c:v>
                </c:pt>
                <c:pt idx="76">
                  <c:v>0.7149652099127044</c:v>
                </c:pt>
                <c:pt idx="77">
                  <c:v>0.70374245790358059</c:v>
                </c:pt>
                <c:pt idx="78">
                  <c:v>0.69224442766694372</c:v>
                </c:pt>
                <c:pt idx="79">
                  <c:v>0.68048835024183474</c:v>
                </c:pt>
                <c:pt idx="80">
                  <c:v>0.66790238120876699</c:v>
                </c:pt>
                <c:pt idx="81">
                  <c:v>0.65488497163683235</c:v>
                </c:pt>
                <c:pt idx="82">
                  <c:v>0.64158681917801674</c:v>
                </c:pt>
                <c:pt idx="83">
                  <c:v>0.62808619617577799</c:v>
                </c:pt>
                <c:pt idx="84">
                  <c:v>0.61440506094697689</c:v>
                </c:pt>
                <c:pt idx="85">
                  <c:v>0.60056700177483613</c:v>
                </c:pt>
                <c:pt idx="86">
                  <c:v>0.58659722439261319</c:v>
                </c:pt>
                <c:pt idx="87">
                  <c:v>0.57252252888560706</c:v>
                </c:pt>
                <c:pt idx="88">
                  <c:v>0.55837127044393331</c:v>
                </c:pt>
                <c:pt idx="89">
                  <c:v>0.54460603720518197</c:v>
                </c:pt>
                <c:pt idx="90">
                  <c:v>0.531197257977019</c:v>
                </c:pt>
                <c:pt idx="91">
                  <c:v>0.5146745823753216</c:v>
                </c:pt>
                <c:pt idx="92">
                  <c:v>0.49905242767919278</c:v>
                </c:pt>
                <c:pt idx="93">
                  <c:v>0.48426821798997283</c:v>
                </c:pt>
                <c:pt idx="94">
                  <c:v>0.4702618064341233</c:v>
                </c:pt>
                <c:pt idx="95">
                  <c:v>0.45697597750615371</c:v>
                </c:pt>
                <c:pt idx="96">
                  <c:v>0.44435673020331379</c:v>
                </c:pt>
                <c:pt idx="97">
                  <c:v>0.43235339985033505</c:v>
                </c:pt>
                <c:pt idx="98">
                  <c:v>0.42091866441085379</c:v>
                </c:pt>
                <c:pt idx="99">
                  <c:v>0.41000846995506052</c:v>
                </c:pt>
                <c:pt idx="100">
                  <c:v>0.39958190236802427</c:v>
                </c:pt>
                <c:pt idx="101">
                  <c:v>0.38960102442734756</c:v>
                </c:pt>
                <c:pt idx="102">
                  <c:v>0.38003069338032347</c:v>
                </c:pt>
                <c:pt idx="103">
                  <c:v>0.37083836897623801</c:v>
                </c:pt>
                <c:pt idx="104">
                  <c:v>0.36199392039867018</c:v>
                </c:pt>
                <c:pt idx="105">
                  <c:v>0.3534701451876936</c:v>
                </c:pt>
                <c:pt idx="106">
                  <c:v>0.34524611053733661</c:v>
                </c:pt>
                <c:pt idx="107">
                  <c:v>0.33730677652275487</c:v>
                </c:pt>
                <c:pt idx="108">
                  <c:v>0.32964039238475396</c:v>
                </c:pt>
                <c:pt idx="109">
                  <c:v>0.32223693397804265</c:v>
                </c:pt>
                <c:pt idx="110">
                  <c:v>0.31508724057981752</c:v>
                </c:pt>
                <c:pt idx="111">
                  <c:v>0.30818255327951016</c:v>
                </c:pt>
                <c:pt idx="112">
                  <c:v>0.30151428397757662</c:v>
                </c:pt>
                <c:pt idx="113">
                  <c:v>0.29507391492283652</c:v>
                </c:pt>
                <c:pt idx="114">
                  <c:v>0.28885297031493096</c:v>
                </c:pt>
                <c:pt idx="115">
                  <c:v>0.2828430254152185</c:v>
                </c:pt>
                <c:pt idx="116">
                  <c:v>0.27703573319545072</c:v>
                </c:pt>
                <c:pt idx="117">
                  <c:v>0.2714228570378277</c:v>
                </c:pt>
                <c:pt idx="118">
                  <c:v>0.26599630307992328</c:v>
                </c:pt>
                <c:pt idx="119">
                  <c:v>0.26074814896244591</c:v>
                </c:pt>
                <c:pt idx="120">
                  <c:v>0.25567066754530732</c:v>
                </c:pt>
                <c:pt idx="121">
                  <c:v>0.25075634505003475</c:v>
                </c:pt>
                <c:pt idx="122">
                  <c:v>0.24599789383028717</c:v>
                </c:pt>
                <c:pt idx="123">
                  <c:v>0.24138826018041026</c:v>
                </c:pt>
                <c:pt idx="124">
                  <c:v>0.2369206277191522</c:v>
                </c:pt>
                <c:pt idx="125">
                  <c:v>0.23258841691777477</c:v>
                </c:pt>
                <c:pt idx="126">
                  <c:v>0.22838528131924951</c:v>
                </c:pt>
                <c:pt idx="127">
                  <c:v>0.22430510092917325</c:v>
                </c:pt>
                <c:pt idx="128">
                  <c:v>0.22034197318758822</c:v>
                </c:pt>
                <c:pt idx="129">
                  <c:v>0.2164902018502306</c:v>
                </c:pt>
                <c:pt idx="130">
                  <c:v>0.21274428403166112</c:v>
                </c:pt>
                <c:pt idx="131">
                  <c:v>0.2090988955918309</c:v>
                </c:pt>
                <c:pt idx="132">
                  <c:v>0.20554887496091645</c:v>
                </c:pt>
                <c:pt idx="133">
                  <c:v>0.20208920543642206</c:v>
                </c:pt>
                <c:pt idx="134">
                  <c:v>0.19871499590736263</c:v>
                </c:pt>
                <c:pt idx="135">
                  <c:v>0.19542145991078019</c:v>
                </c:pt>
                <c:pt idx="136">
                  <c:v>0.19220389350175049</c:v>
                </c:pt>
                <c:pt idx="137">
                  <c:v>0.1890577083163065</c:v>
                </c:pt>
                <c:pt idx="138">
                  <c:v>0.18597858138593226</c:v>
                </c:pt>
                <c:pt idx="139">
                  <c:v>0.18296248385936129</c:v>
                </c:pt>
                <c:pt idx="140">
                  <c:v>0.18000565314975206</c:v>
                </c:pt>
                <c:pt idx="141">
                  <c:v>0.17710456754720827</c:v>
                </c:pt>
                <c:pt idx="142">
                  <c:v>0.17425592377838939</c:v>
                </c:pt>
                <c:pt idx="143">
                  <c:v>0.17145661694838885</c:v>
                </c:pt>
                <c:pt idx="144">
                  <c:v>0.16870372273461731</c:v>
                </c:pt>
                <c:pt idx="145">
                  <c:v>0.16599448132528224</c:v>
                </c:pt>
                <c:pt idx="146">
                  <c:v>0.16332628312012121</c:v>
                </c:pt>
                <c:pt idx="147">
                  <c:v>0.16069665572875902</c:v>
                </c:pt>
                <c:pt idx="148">
                  <c:v>0.15810325228773348</c:v>
                </c:pt>
                <c:pt idx="149">
                  <c:v>0.15554384086285467</c:v>
                </c:pt>
                <c:pt idx="150">
                  <c:v>0.15301629481907142</c:v>
                </c:pt>
                <c:pt idx="151">
                  <c:v>0.15051858401052387</c:v>
                </c:pt>
                <c:pt idx="152">
                  <c:v>0.14804876677352441</c:v>
                </c:pt>
                <c:pt idx="153">
                  <c:v>0.14560498257450802</c:v>
                </c:pt>
                <c:pt idx="154">
                  <c:v>0.14318544523770083</c:v>
                </c:pt>
                <c:pt idx="155">
                  <c:v>0.14078843673945096</c:v>
                </c:pt>
                <c:pt idx="156">
                  <c:v>0.13841230144934924</c:v>
                </c:pt>
                <c:pt idx="157">
                  <c:v>0.1360554407755683</c:v>
                </c:pt>
                <c:pt idx="158">
                  <c:v>0.13371630824348646</c:v>
                </c:pt>
                <c:pt idx="159">
                  <c:v>0.13139340490701645</c:v>
                </c:pt>
                <c:pt idx="160">
                  <c:v>0.12908527495439293</c:v>
                </c:pt>
                <c:pt idx="161">
                  <c:v>0.12679050175980944</c:v>
                </c:pt>
                <c:pt idx="162">
                  <c:v>0.12450770403793986</c:v>
                </c:pt>
                <c:pt idx="163">
                  <c:v>0.12223553226916994</c:v>
                </c:pt>
                <c:pt idx="164">
                  <c:v>0.1199726653232789</c:v>
                </c:pt>
                <c:pt idx="165">
                  <c:v>0.11771780723525983</c:v>
                </c:pt>
                <c:pt idx="166">
                  <c:v>0.11546968415054737</c:v>
                </c:pt>
                <c:pt idx="167">
                  <c:v>0.11322704140398798</c:v>
                </c:pt>
                <c:pt idx="168">
                  <c:v>0.11098864071179948</c:v>
                </c:pt>
                <c:pt idx="169">
                  <c:v>0.10875325747272548</c:v>
                </c:pt>
                <c:pt idx="170">
                  <c:v>0.10651967818462449</c:v>
                </c:pt>
                <c:pt idx="171">
                  <c:v>0.10428669792262868</c:v>
                </c:pt>
                <c:pt idx="172">
                  <c:v>0.1020531178376709</c:v>
                </c:pt>
                <c:pt idx="173">
                  <c:v>9.9817742866945114E-2</c:v>
                </c:pt>
                <c:pt idx="174">
                  <c:v>9.757937929749172E-2</c:v>
                </c:pt>
                <c:pt idx="175">
                  <c:v>9.5336832540866542E-2</c:v>
                </c:pt>
                <c:pt idx="176">
                  <c:v>9.3088904872200104E-2</c:v>
                </c:pt>
                <c:pt idx="177">
                  <c:v>9.0834393127531513E-2</c:v>
                </c:pt>
                <c:pt idx="178">
                  <c:v>8.8572086603096789E-2</c:v>
                </c:pt>
                <c:pt idx="179">
                  <c:v>8.6300764806011454E-2</c:v>
                </c:pt>
                <c:pt idx="180">
                  <c:v>8.4019195252601264E-2</c:v>
                </c:pt>
                <c:pt idx="181">
                  <c:v>8.201361221709115E-2</c:v>
                </c:pt>
                <c:pt idx="182">
                  <c:v>8.0021098409623903E-2</c:v>
                </c:pt>
                <c:pt idx="183">
                  <c:v>7.8040610063082383E-2</c:v>
                </c:pt>
                <c:pt idx="184">
                  <c:v>7.6071122183525297E-2</c:v>
                </c:pt>
                <c:pt idx="185">
                  <c:v>7.4111626942229045E-2</c:v>
                </c:pt>
                <c:pt idx="186">
                  <c:v>7.2161132139397122E-2</c:v>
                </c:pt>
                <c:pt idx="187">
                  <c:v>7.0218659503690883E-2</c:v>
                </c:pt>
                <c:pt idx="188">
                  <c:v>6.828324321660828E-2</c:v>
                </c:pt>
                <c:pt idx="189">
                  <c:v>6.6353928381757576E-2</c:v>
                </c:pt>
                <c:pt idx="190">
                  <c:v>6.4429769419722241E-2</c:v>
                </c:pt>
                <c:pt idx="191">
                  <c:v>6.250982868991127E-2</c:v>
                </c:pt>
                <c:pt idx="192">
                  <c:v>6.059317487186977E-2</c:v>
                </c:pt>
                <c:pt idx="193">
                  <c:v>5.8678881549437456E-2</c:v>
                </c:pt>
                <c:pt idx="194">
                  <c:v>5.6766025739599886E-2</c:v>
                </c:pt>
                <c:pt idx="195">
                  <c:v>5.4853686395128776E-2</c:v>
                </c:pt>
                <c:pt idx="196">
                  <c:v>5.2940942936813062E-2</c:v>
                </c:pt>
                <c:pt idx="197">
                  <c:v>5.102687378753501E-2</c:v>
                </c:pt>
                <c:pt idx="198">
                  <c:v>4.9110554888541991E-2</c:v>
                </c:pt>
                <c:pt idx="199">
                  <c:v>4.7191058200602765E-2</c:v>
                </c:pt>
                <c:pt idx="200">
                  <c:v>4.5267450217901128E-2</c:v>
                </c:pt>
                <c:pt idx="201">
                  <c:v>4.3338790431428631E-2</c:v>
                </c:pt>
                <c:pt idx="202">
                  <c:v>4.1404129777991017E-2</c:v>
                </c:pt>
                <c:pt idx="203">
                  <c:v>3.9462509168003201E-2</c:v>
                </c:pt>
                <c:pt idx="204">
                  <c:v>3.7512957725365226E-2</c:v>
                </c:pt>
                <c:pt idx="205">
                  <c:v>3.5554491323218862E-2</c:v>
                </c:pt>
                <c:pt idx="206">
                  <c:v>3.3586110886984155E-2</c:v>
                </c:pt>
                <c:pt idx="207">
                  <c:v>3.1606800636797779E-2</c:v>
                </c:pt>
                <c:pt idx="208">
                  <c:v>2.9615526400504247E-2</c:v>
                </c:pt>
                <c:pt idx="209">
                  <c:v>2.7611233846574379E-2</c:v>
                </c:pt>
                <c:pt idx="210">
                  <c:v>2.5592846602037866E-2</c:v>
                </c:pt>
                <c:pt idx="211">
                  <c:v>2.3559264395395463E-2</c:v>
                </c:pt>
                <c:pt idx="212">
                  <c:v>2.1509361102074024E-2</c:v>
                </c:pt>
                <c:pt idx="213">
                  <c:v>1.9441982677517178E-2</c:v>
                </c:pt>
                <c:pt idx="214">
                  <c:v>1.7355945145863139E-2</c:v>
                </c:pt>
                <c:pt idx="215">
                  <c:v>1.5250094665148595E-2</c:v>
                </c:pt>
                <c:pt idx="216">
                  <c:v>1.3020322204613686E-2</c:v>
                </c:pt>
                <c:pt idx="217">
                  <c:v>1.0738156606921121E-2</c:v>
                </c:pt>
                <c:pt idx="218">
                  <c:v>8.4306300297853892E-3</c:v>
                </c:pt>
                <c:pt idx="219">
                  <c:v>6.096304011243169E-3</c:v>
                </c:pt>
                <c:pt idx="220">
                  <c:v>3.7336954736142398E-3</c:v>
                </c:pt>
                <c:pt idx="221">
                  <c:v>1.3412742877316752E-3</c:v>
                </c:pt>
                <c:pt idx="222">
                  <c:v>-1.0825394161622093E-3</c:v>
                </c:pt>
                <c:pt idx="223">
                  <c:v>-3.5393778426078271E-3</c:v>
                </c:pt>
                <c:pt idx="224">
                  <c:v>-6.030928305499117E-3</c:v>
                </c:pt>
                <c:pt idx="225">
                  <c:v>-8.5589362317550766E-3</c:v>
                </c:pt>
                <c:pt idx="226">
                  <c:v>-1.1167458423795738E-2</c:v>
                </c:pt>
                <c:pt idx="227">
                  <c:v>-1.3815976808515538E-2</c:v>
                </c:pt>
                <c:pt idx="228">
                  <c:v>-1.6508294629513195E-2</c:v>
                </c:pt>
                <c:pt idx="229">
                  <c:v>-1.924618845768622E-2</c:v>
                </c:pt>
                <c:pt idx="230">
                  <c:v>-2.2031418248798396E-2</c:v>
                </c:pt>
                <c:pt idx="231">
                  <c:v>-2.4865721456129197E-2</c:v>
                </c:pt>
                <c:pt idx="232">
                  <c:v>-2.7750804942027866E-2</c:v>
                </c:pt>
                <c:pt idx="233">
                  <c:v>-3.068833390707093E-2</c:v>
                </c:pt>
                <c:pt idx="234">
                  <c:v>-3.3679917635569545E-2</c:v>
                </c:pt>
                <c:pt idx="235">
                  <c:v>-3.6727091743395057E-2</c:v>
                </c:pt>
                <c:pt idx="236">
                  <c:v>-3.9831296374570169E-2</c:v>
                </c:pt>
                <c:pt idx="237">
                  <c:v>-4.2993889218425174E-2</c:v>
                </c:pt>
                <c:pt idx="238">
                  <c:v>-4.6141241285827306E-2</c:v>
                </c:pt>
                <c:pt idx="239">
                  <c:v>-4.9276865149846298E-2</c:v>
                </c:pt>
                <c:pt idx="240">
                  <c:v>-5.2468034114322208E-2</c:v>
                </c:pt>
                <c:pt idx="241">
                  <c:v>-5.5714630724335468E-2</c:v>
                </c:pt>
                <c:pt idx="242">
                  <c:v>-5.9016122299353491E-2</c:v>
                </c:pt>
                <c:pt idx="243">
                  <c:v>-6.2371485595906773E-2</c:v>
                </c:pt>
                <c:pt idx="244">
                  <c:v>-6.5779123529853933E-2</c:v>
                </c:pt>
                <c:pt idx="245">
                  <c:v>-6.9236775331492861E-2</c:v>
                </c:pt>
                <c:pt idx="246">
                  <c:v>-7.2741423373326355E-2</c:v>
                </c:pt>
                <c:pt idx="247">
                  <c:v>-7.6289202808751164E-2</c:v>
                </c:pt>
                <c:pt idx="248">
                  <c:v>-7.9875323848530133E-2</c:v>
                </c:pt>
                <c:pt idx="249">
                  <c:v>-8.3494024292085189E-2</c:v>
                </c:pt>
                <c:pt idx="250">
                  <c:v>-8.7138579244736572E-2</c:v>
                </c:pt>
                <c:pt idx="251">
                  <c:v>-9.080141362563543E-2</c:v>
                </c:pt>
                <c:pt idx="252">
                  <c:v>-9.4474387996746234E-2</c:v>
                </c:pt>
                <c:pt idx="253">
                  <c:v>-9.8149372510409449E-2</c:v>
                </c:pt>
                <c:pt idx="254">
                  <c:v>-0.10181929162401016</c:v>
                </c:pt>
                <c:pt idx="255">
                  <c:v>-0.10547993585614623</c:v>
                </c:pt>
                <c:pt idx="256">
                  <c:v>-0.10913184785536822</c:v>
                </c:pt>
                <c:pt idx="257">
                  <c:v>-0.11277779330841486</c:v>
                </c:pt>
                <c:pt idx="258">
                  <c:v>-0.11642060357606354</c:v>
                </c:pt>
                <c:pt idx="259">
                  <c:v>-0.12006309289578131</c:v>
                </c:pt>
                <c:pt idx="260">
                  <c:v>-0.12370806138646716</c:v>
                </c:pt>
                <c:pt idx="261">
                  <c:v>-0.12735829607834992</c:v>
                </c:pt>
                <c:pt idx="262">
                  <c:v>-0.13101657010038936</c:v>
                </c:pt>
                <c:pt idx="263">
                  <c:v>-0.1346856383539814</c:v>
                </c:pt>
                <c:pt idx="264">
                  <c:v>-0.13836823054458589</c:v>
                </c:pt>
                <c:pt idx="265">
                  <c:v>-0.14206703876537305</c:v>
                </c:pt>
                <c:pt idx="266">
                  <c:v>-0.14578469970334321</c:v>
                </c:pt>
                <c:pt idx="267">
                  <c:v>-0.14952376894240738</c:v>
                </c:pt>
                <c:pt idx="268">
                  <c:v>-0.15328668570219062</c:v>
                </c:pt>
                <c:pt idx="269">
                  <c:v>-0.15707572584654228</c:v>
                </c:pt>
                <c:pt idx="270">
                  <c:v>-0.16089293842690866</c:v>
                </c:pt>
                <c:pt idx="271">
                  <c:v>-0.15923738466947679</c:v>
                </c:pt>
                <c:pt idx="272">
                  <c:v>-0.15725438845997575</c:v>
                </c:pt>
                <c:pt idx="273">
                  <c:v>-0.15492530732672805</c:v>
                </c:pt>
                <c:pt idx="274">
                  <c:v>-0.15223201364247751</c:v>
                </c:pt>
                <c:pt idx="275">
                  <c:v>-0.14915694188425555</c:v>
                </c:pt>
                <c:pt idx="276">
                  <c:v>-0.14568313542276101</c:v>
                </c:pt>
                <c:pt idx="277">
                  <c:v>-0.14179429657345821</c:v>
                </c:pt>
                <c:pt idx="278">
                  <c:v>-0.13747483476321376</c:v>
                </c:pt>
                <c:pt idx="279">
                  <c:v>-0.13270991785716735</c:v>
                </c:pt>
                <c:pt idx="280">
                  <c:v>-0.12748551918183049</c:v>
                </c:pt>
                <c:pt idx="281">
                  <c:v>-0.12178846663921038</c:v>
                </c:pt>
                <c:pt idx="282">
                  <c:v>-0.11560648763505288</c:v>
                </c:pt>
                <c:pt idx="283">
                  <c:v>-0.10892825110127101</c:v>
                </c:pt>
                <c:pt idx="284">
                  <c:v>-0.10174340625402767</c:v>
                </c:pt>
                <c:pt idx="285">
                  <c:v>-9.4042615188849155E-2</c:v>
                </c:pt>
                <c:pt idx="286">
                  <c:v>-8.5817580387194795E-2</c:v>
                </c:pt>
                <c:pt idx="287">
                  <c:v>-7.7061064141710212E-2</c:v>
                </c:pt>
                <c:pt idx="288">
                  <c:v>-6.7766899115889068E-2</c:v>
                </c:pt>
                <c:pt idx="289">
                  <c:v>-5.7930626254384172E-2</c:v>
                </c:pt>
                <c:pt idx="290">
                  <c:v>-4.7554184359027911E-2</c:v>
                </c:pt>
                <c:pt idx="291">
                  <c:v>-3.6648264424425037E-2</c:v>
                </c:pt>
                <c:pt idx="292">
                  <c:v>-2.5230747862051487E-2</c:v>
                </c:pt>
                <c:pt idx="293">
                  <c:v>-1.332525728632117E-2</c:v>
                </c:pt>
                <c:pt idx="294">
                  <c:v>-9.5998375289640947E-4</c:v>
                </c:pt>
                <c:pt idx="295">
                  <c:v>1.1833299547044707E-2</c:v>
                </c:pt>
                <c:pt idx="296">
                  <c:v>2.5020093642346811E-2</c:v>
                </c:pt>
                <c:pt idx="297">
                  <c:v>3.8563936727047388E-2</c:v>
                </c:pt>
                <c:pt idx="298">
                  <c:v>5.2427102100303109E-2</c:v>
                </c:pt>
                <c:pt idx="299">
                  <c:v>6.6571244869130908E-2</c:v>
                </c:pt>
                <c:pt idx="300">
                  <c:v>8.095800596135927E-2</c:v>
                </c:pt>
                <c:pt idx="301">
                  <c:v>9.5549577356158988E-2</c:v>
                </c:pt>
                <c:pt idx="302">
                  <c:v>0.11030923213789201</c:v>
                </c:pt>
                <c:pt idx="303">
                  <c:v>0.12520181632841876</c:v>
                </c:pt>
                <c:pt idx="304">
                  <c:v>0.14019420322230403</c:v>
                </c:pt>
                <c:pt idx="305">
                  <c:v>0.15525570881602227</c:v>
                </c:pt>
                <c:pt idx="306">
                  <c:v>0.17035846790937639</c:v>
                </c:pt>
                <c:pt idx="307">
                  <c:v>0.18547777201850391</c:v>
                </c:pt>
                <c:pt idx="308">
                  <c:v>0.20059234247637292</c:v>
                </c:pt>
                <c:pt idx="309">
                  <c:v>0.21568383814016334</c:v>
                </c:pt>
                <c:pt idx="310">
                  <c:v>0.23073559856415971</c:v>
                </c:pt>
                <c:pt idx="311">
                  <c:v>0.24573235205200916</c:v>
                </c:pt>
                <c:pt idx="312">
                  <c:v>0.26066016361799393</c:v>
                </c:pt>
                <c:pt idx="313">
                  <c:v>0.27550637962247393</c:v>
                </c:pt>
                <c:pt idx="314">
                  <c:v>0.29025956969432265</c:v>
                </c:pt>
                <c:pt idx="315">
                  <c:v>0.30490946677183883</c:v>
                </c:pt>
                <c:pt idx="316">
                  <c:v>0.31944690603685938</c:v>
                </c:pt>
                <c:pt idx="317">
                  <c:v>0.33386376345307683</c:v>
                </c:pt>
                <c:pt idx="318">
                  <c:v>0.34815289428827878</c:v>
                </c:pt>
                <c:pt idx="319">
                  <c:v>0.36230807199987286</c:v>
                </c:pt>
                <c:pt idx="320">
                  <c:v>0.37632392910213491</c:v>
                </c:pt>
                <c:pt idx="321">
                  <c:v>0.39019589765630736</c:v>
                </c:pt>
                <c:pt idx="322">
                  <c:v>0.40392015376244933</c:v>
                </c:pt>
                <c:pt idx="323">
                  <c:v>0.41749356112771219</c:v>
                </c:pt>
                <c:pt idx="324">
                  <c:v>0.43091362024897295</c:v>
                </c:pt>
                <c:pt idx="325">
                  <c:v>0.44417841547930426</c:v>
                </c:pt>
                <c:pt idx="326">
                  <c:v>0.45728656881312091</c:v>
                </c:pt>
                <c:pt idx="327">
                  <c:v>0.4702371928663554</c:v>
                </c:pt>
                <c:pt idx="328">
                  <c:v>0.48302984821154515</c:v>
                </c:pt>
                <c:pt idx="329">
                  <c:v>0.49566450179810229</c:v>
                </c:pt>
                <c:pt idx="330">
                  <c:v>0.50814148835553619</c:v>
                </c:pt>
                <c:pt idx="331">
                  <c:v>0.52046147469751469</c:v>
                </c:pt>
                <c:pt idx="332">
                  <c:v>0.53262542581769212</c:v>
                </c:pt>
                <c:pt idx="333">
                  <c:v>0.5446345733330169</c:v>
                </c:pt>
                <c:pt idx="334">
                  <c:v>0.55649038604749634</c:v>
                </c:pt>
                <c:pt idx="335">
                  <c:v>0.56819454169194916</c:v>
                </c:pt>
                <c:pt idx="336">
                  <c:v>0.57974890372841281</c:v>
                </c:pt>
                <c:pt idx="337">
                  <c:v>0.59115549628810982</c:v>
                </c:pt>
                <c:pt idx="338">
                  <c:v>0.60241648344156706</c:v>
                </c:pt>
                <c:pt idx="339">
                  <c:v>0.61353414965995956</c:v>
                </c:pt>
                <c:pt idx="340">
                  <c:v>0.62451088004058164</c:v>
                </c:pt>
                <c:pt idx="341">
                  <c:v>0.63534914626586225</c:v>
                </c:pt>
                <c:pt idx="342">
                  <c:v>0.64605148785797484</c:v>
                </c:pt>
                <c:pt idx="343">
                  <c:v>0.6566205022229753</c:v>
                </c:pt>
                <c:pt idx="344">
                  <c:v>0.66705882848687015</c:v>
                </c:pt>
                <c:pt idx="345">
                  <c:v>0.6773691381829976</c:v>
                </c:pt>
                <c:pt idx="346">
                  <c:v>0.68755412354482415</c:v>
                </c:pt>
                <c:pt idx="347">
                  <c:v>0.69761648826798772</c:v>
                </c:pt>
                <c:pt idx="348">
                  <c:v>0.70755893873615294</c:v>
                </c:pt>
                <c:pt idx="349">
                  <c:v>0.71738417662960341</c:v>
                </c:pt>
                <c:pt idx="350">
                  <c:v>0.72709489171485853</c:v>
                </c:pt>
                <c:pt idx="351">
                  <c:v>0.73669375490715883</c:v>
                </c:pt>
                <c:pt idx="352">
                  <c:v>0.74618341221473505</c:v>
                </c:pt>
                <c:pt idx="353">
                  <c:v>0.75556648118169711</c:v>
                </c:pt>
                <c:pt idx="354">
                  <c:v>0.76484554416664485</c:v>
                </c:pt>
                <c:pt idx="355">
                  <c:v>0.77402314603200884</c:v>
                </c:pt>
                <c:pt idx="356">
                  <c:v>0.78310178788848805</c:v>
                </c:pt>
                <c:pt idx="357">
                  <c:v>0.79208392608245148</c:v>
                </c:pt>
                <c:pt idx="358">
                  <c:v>0.80097196716413421</c:v>
                </c:pt>
                <c:pt idx="359">
                  <c:v>0.80976826542253022</c:v>
                </c:pt>
                <c:pt idx="360">
                  <c:v>0.81847512132683609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3.8668644940987686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3.0419240010986313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User+/-pi/3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4.0891215522952287</c:v>
                </c:pt>
                <c:pt idx="1">
                  <c:v>1.9947264499020336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-0.52117986552778151</c:v>
                </c:pt>
                <c:pt idx="1">
                  <c:v>-0.51413070978881925</c:v>
                </c:pt>
                <c:pt idx="2">
                  <c:v>-0.50721595421276455</c:v>
                </c:pt>
                <c:pt idx="3">
                  <c:v>-0.50042953676134472</c:v>
                </c:pt>
                <c:pt idx="4">
                  <c:v>-0.49376561750725445</c:v>
                </c:pt>
                <c:pt idx="5">
                  <c:v>-0.48721857170462241</c:v>
                </c:pt>
                <c:pt idx="6">
                  <c:v>-0.48078298146465442</c:v>
                </c:pt>
                <c:pt idx="7">
                  <c:v>-0.47445362786119416</c:v>
                </c:pt>
                <c:pt idx="8">
                  <c:v>-0.46822548346763287</c:v>
                </c:pt>
                <c:pt idx="9">
                  <c:v>-0.46209370180589726</c:v>
                </c:pt>
                <c:pt idx="10">
                  <c:v>-0.45605361083916796</c:v>
                </c:pt>
                <c:pt idx="11">
                  <c:v>-0.45010070352866288</c:v>
                </c:pt>
                <c:pt idx="12">
                  <c:v>-0.44423062953836312</c:v>
                </c:pt>
                <c:pt idx="13">
                  <c:v>-0.43843918738574361</c:v>
                </c:pt>
                <c:pt idx="14">
                  <c:v>-0.43272231623266366</c:v>
                </c:pt>
                <c:pt idx="15">
                  <c:v>-0.42707608848090728</c:v>
                </c:pt>
                <c:pt idx="16">
                  <c:v>-0.42149670064889849</c:v>
                </c:pt>
                <c:pt idx="17">
                  <c:v>-0.41598046755628371</c:v>
                </c:pt>
                <c:pt idx="18">
                  <c:v>-0.41052381466013843</c:v>
                </c:pt>
                <c:pt idx="19">
                  <c:v>-0.40512326991682784</c:v>
                </c:pt>
                <c:pt idx="20">
                  <c:v>-0.39977545833740225</c:v>
                </c:pt>
                <c:pt idx="21">
                  <c:v>-0.3944770939035232</c:v>
                </c:pt>
                <c:pt idx="22">
                  <c:v>-0.38922497480387447</c:v>
                </c:pt>
                <c:pt idx="23">
                  <c:v>-0.38401597493781775</c:v>
                </c:pt>
                <c:pt idx="24">
                  <c:v>-0.37884703920620594</c:v>
                </c:pt>
                <c:pt idx="25">
                  <c:v>-0.37371517718922243</c:v>
                </c:pt>
                <c:pt idx="26">
                  <c:v>-0.36861745643814348</c:v>
                </c:pt>
                <c:pt idx="27">
                  <c:v>-0.36355099734273155</c:v>
                </c:pt>
                <c:pt idx="28">
                  <c:v>-0.35851296739405486</c:v>
                </c:pt>
                <c:pt idx="29">
                  <c:v>-0.35350057469303059</c:v>
                </c:pt>
                <c:pt idx="30">
                  <c:v>-0.34851106322387659</c:v>
                </c:pt>
                <c:pt idx="31">
                  <c:v>-0.3435417064823032</c:v>
                </c:pt>
                <c:pt idx="32">
                  <c:v>-0.33858980202205124</c:v>
                </c:pt>
                <c:pt idx="33">
                  <c:v>-0.33365266625620982</c:v>
                </c:pt>
                <c:pt idx="34">
                  <c:v>-0.32872762803496464</c:v>
                </c:pt>
                <c:pt idx="35">
                  <c:v>-0.32381202335716708</c:v>
                </c:pt>
                <c:pt idx="36">
                  <c:v>-0.31890318968866666</c:v>
                </c:pt>
                <c:pt idx="37">
                  <c:v>-0.31399845917919511</c:v>
                </c:pt>
                <c:pt idx="38">
                  <c:v>-0.3090951533513519</c:v>
                </c:pt>
                <c:pt idx="39">
                  <c:v>-0.30419057651520864</c:v>
                </c:pt>
                <c:pt idx="40">
                  <c:v>-0.29928200921583148</c:v>
                </c:pt>
                <c:pt idx="41">
                  <c:v>-0.29436670135779908</c:v>
                </c:pt>
                <c:pt idx="42">
                  <c:v>-0.28944186563619995</c:v>
                </c:pt>
                <c:pt idx="43">
                  <c:v>-0.28450466934689378</c:v>
                </c:pt>
                <c:pt idx="44">
                  <c:v>-0.27955222757530868</c:v>
                </c:pt>
                <c:pt idx="45">
                  <c:v>-0.27458159443476693</c:v>
                </c:pt>
                <c:pt idx="46">
                  <c:v>-0.26958975451770928</c:v>
                </c:pt>
                <c:pt idx="47">
                  <c:v>-0.26457361403716617</c:v>
                </c:pt>
                <c:pt idx="48">
                  <c:v>-0.25952999100405338</c:v>
                </c:pt>
                <c:pt idx="49">
                  <c:v>-0.25445560495050629</c:v>
                </c:pt>
                <c:pt idx="50">
                  <c:v>-0.2493470688728632</c:v>
                </c:pt>
                <c:pt idx="51">
                  <c:v>-0.24420107750685949</c:v>
                </c:pt>
                <c:pt idx="52">
                  <c:v>-0.23901497637507663</c:v>
                </c:pt>
                <c:pt idx="53">
                  <c:v>-0.2337869033124291</c:v>
                </c:pt>
                <c:pt idx="54">
                  <c:v>-0.22851574072333355</c:v>
                </c:pt>
                <c:pt idx="55">
                  <c:v>-0.2232010752753979</c:v>
                </c:pt>
                <c:pt idx="56">
                  <c:v>-0.21784316641941048</c:v>
                </c:pt>
                <c:pt idx="57">
                  <c:v>-0.21244292137182794</c:v>
                </c:pt>
                <c:pt idx="58">
                  <c:v>-0.20700187620150981</c:v>
                </c:pt>
                <c:pt idx="59">
                  <c:v>-0.20152218123545595</c:v>
                </c:pt>
                <c:pt idx="60">
                  <c:v>-0.19600658982498431</c:v>
                </c:pt>
                <c:pt idx="61">
                  <c:v>-0.19045844935875642</c:v>
                </c:pt>
                <c:pt idx="62">
                  <c:v>-0.18488169315787717</c:v>
                </c:pt>
                <c:pt idx="63">
                  <c:v>-0.17928083222498081</c:v>
                </c:pt>
                <c:pt idx="64">
                  <c:v>-0.1736609456891389</c:v>
                </c:pt>
                <c:pt idx="65">
                  <c:v>-0.16802766851011874</c:v>
                </c:pt>
                <c:pt idx="66">
                  <c:v>-0.16238717527087143</c:v>
                </c:pt>
                <c:pt idx="67">
                  <c:v>-0.15674615856667407</c:v>
                </c:pt>
                <c:pt idx="68">
                  <c:v>-0.15111180024404014</c:v>
                </c:pt>
                <c:pt idx="69">
                  <c:v>-0.14549173403694216</c:v>
                </c:pt>
                <c:pt idx="70">
                  <c:v>-0.13989399701027458</c:v>
                </c:pt>
                <c:pt idx="71">
                  <c:v>-0.13432696700543456</c:v>
                </c:pt>
                <c:pt idx="72">
                  <c:v>-0.12879928225829751</c:v>
                </c:pt>
                <c:pt idx="73">
                  <c:v>-0.12331973733069024</c:v>
                </c:pt>
                <c:pt idx="74">
                  <c:v>-0.11789714629016679</c:v>
                </c:pt>
                <c:pt idx="75">
                  <c:v>-0.11254015847238998</c:v>
                </c:pt>
                <c:pt idx="76">
                  <c:v>-0.1072570199159113</c:v>
                </c:pt>
                <c:pt idx="77">
                  <c:v>-0.10205564153375103</c:v>
                </c:pt>
                <c:pt idx="78">
                  <c:v>-9.694402263557711E-2</c:v>
                </c:pt>
                <c:pt idx="79">
                  <c:v>-9.1930253696230313E-2</c:v>
                </c:pt>
                <c:pt idx="80">
                  <c:v>-8.7265730041976575E-2</c:v>
                </c:pt>
                <c:pt idx="81">
                  <c:v>-8.2897528508541804E-2</c:v>
                </c:pt>
                <c:pt idx="82">
                  <c:v>-7.9040112108008639E-2</c:v>
                </c:pt>
                <c:pt idx="83">
                  <c:v>-7.5238278506466472E-2</c:v>
                </c:pt>
                <c:pt idx="84">
                  <c:v>-7.14992324984869E-2</c:v>
                </c:pt>
                <c:pt idx="85">
                  <c:v>-6.7830212140661317E-2</c:v>
                </c:pt>
                <c:pt idx="86">
                  <c:v>-6.4238425581205405E-2</c:v>
                </c:pt>
                <c:pt idx="87">
                  <c:v>-6.0730956301078276E-2</c:v>
                </c:pt>
                <c:pt idx="88">
                  <c:v>-5.7314666838339516E-2</c:v>
                </c:pt>
                <c:pt idx="89">
                  <c:v>-5.4498978160732577E-2</c:v>
                </c:pt>
                <c:pt idx="90">
                  <c:v>-5.2066368162956074E-2</c:v>
                </c:pt>
                <c:pt idx="91">
                  <c:v>-4.9600052701793906E-2</c:v>
                </c:pt>
                <c:pt idx="92">
                  <c:v>-4.7313782977402408E-2</c:v>
                </c:pt>
                <c:pt idx="93">
                  <c:v>-4.5193415379986668E-2</c:v>
                </c:pt>
                <c:pt idx="94">
                  <c:v>-4.3225395748526914E-2</c:v>
                </c:pt>
                <c:pt idx="95">
                  <c:v>-4.1396919862688009E-2</c:v>
                </c:pt>
                <c:pt idx="96">
                  <c:v>-3.9696021245592572E-2</c:v>
                </c:pt>
                <c:pt idx="97">
                  <c:v>-3.8111606621010985E-2</c:v>
                </c:pt>
                <c:pt idx="98">
                  <c:v>-3.6633454848569176E-2</c:v>
                </c:pt>
                <c:pt idx="99">
                  <c:v>-3.5252191325091164E-2</c:v>
                </c:pt>
                <c:pt idx="100">
                  <c:v>-3.3959246763281214E-2</c:v>
                </c:pt>
                <c:pt idx="101">
                  <c:v>-3.2746806806204017E-2</c:v>
                </c:pt>
                <c:pt idx="102">
                  <c:v>-3.1607757084544108E-2</c:v>
                </c:pt>
                <c:pt idx="103">
                  <c:v>-3.0535626902529422E-2</c:v>
                </c:pt>
                <c:pt idx="104">
                  <c:v>-2.9524533755364679E-2</c:v>
                </c:pt>
                <c:pt idx="105">
                  <c:v>-2.8569190784841769E-2</c:v>
                </c:pt>
                <c:pt idx="106">
                  <c:v>-2.7665150125617544E-2</c:v>
                </c:pt>
                <c:pt idx="107">
                  <c:v>-2.6808716171121905E-2</c:v>
                </c:pt>
                <c:pt idx="108">
                  <c:v>-2.5996684707283446E-2</c:v>
                </c:pt>
                <c:pt idx="109">
                  <c:v>-2.5226187400921422E-2</c:v>
                </c:pt>
                <c:pt idx="110">
                  <c:v>-2.4494603228252032E-2</c:v>
                </c:pt>
                <c:pt idx="111">
                  <c:v>-2.3799507079123927E-2</c:v>
                </c:pt>
                <c:pt idx="112">
                  <c:v>-2.3138639051931257E-2</c:v>
                </c:pt>
                <c:pt idx="113">
                  <c:v>-2.2509885242198994E-2</c:v>
                </c:pt>
                <c:pt idx="114">
                  <c:v>-2.1911264845106082E-2</c:v>
                </c:pt>
                <c:pt idx="115">
                  <c:v>-2.134092068645721E-2</c:v>
                </c:pt>
                <c:pt idx="116">
                  <c:v>-2.079711156988262E-2</c:v>
                </c:pt>
                <c:pt idx="117">
                  <c:v>-2.0278205566427232E-2</c:v>
                </c:pt>
                <c:pt idx="118">
                  <c:v>-1.9782673798963923E-2</c:v>
                </c:pt>
                <c:pt idx="119">
                  <c:v>-1.9309084495332751E-2</c:v>
                </c:pt>
                <c:pt idx="120">
                  <c:v>-1.8856097201561894E-2</c:v>
                </c:pt>
                <c:pt idx="121">
                  <c:v>-1.8422457145036653E-2</c:v>
                </c:pt>
                <c:pt idx="122">
                  <c:v>-1.8006989737564982E-2</c:v>
                </c:pt>
                <c:pt idx="123">
                  <c:v>-1.7608595233272961E-2</c:v>
                </c:pt>
                <c:pt idx="124">
                  <c:v>-1.7226243559830046E-2</c:v>
                </c:pt>
                <c:pt idx="125">
                  <c:v>-1.6858969339413665E-2</c:v>
                </c:pt>
                <c:pt idx="126">
                  <c:v>-1.6505867106671346E-2</c:v>
                </c:pt>
                <c:pt idx="127">
                  <c:v>-1.6166086730390994E-2</c:v>
                </c:pt>
                <c:pt idx="128">
                  <c:v>-1.5838829028421042E-2</c:v>
                </c:pt>
                <c:pt idx="129">
                  <c:v>-1.5523341582750929E-2</c:v>
                </c:pt>
                <c:pt idx="130">
                  <c:v>-1.5218914728733603E-2</c:v>
                </c:pt>
                <c:pt idx="131">
                  <c:v>-1.4924877715916995E-2</c:v>
                </c:pt>
                <c:pt idx="132">
                  <c:v>-1.4640595010299684E-2</c:v>
                </c:pt>
                <c:pt idx="133">
                  <c:v>-1.4365462721758425E-2</c:v>
                </c:pt>
                <c:pt idx="134">
                  <c:v>-1.4098905127927885E-2</c:v>
                </c:pt>
                <c:pt idx="135">
                  <c:v>-1.3840371273210472E-2</c:v>
                </c:pt>
                <c:pt idx="136">
                  <c:v>-1.358933165515319E-2</c:v>
                </c:pt>
                <c:pt idx="137">
                  <c:v>-1.3345280292575533E-2</c:v>
                </c:pt>
                <c:pt idx="138">
                  <c:v>-1.310774760747524E-2</c:v>
                </c:pt>
                <c:pt idx="139">
                  <c:v>-1.2876301666235879E-2</c:v>
                </c:pt>
                <c:pt idx="140">
                  <c:v>-1.265054423121059E-2</c:v>
                </c:pt>
                <c:pt idx="141">
                  <c:v>-1.2430107229686181E-2</c:v>
                </c:pt>
                <c:pt idx="142">
                  <c:v>-1.2214649675076572E-2</c:v>
                </c:pt>
                <c:pt idx="143">
                  <c:v>-1.2003854934797166E-2</c:v>
                </c:pt>
                <c:pt idx="144">
                  <c:v>-1.1797428342219529E-2</c:v>
                </c:pt>
                <c:pt idx="145">
                  <c:v>-1.1595095056151639E-2</c:v>
                </c:pt>
                <c:pt idx="146">
                  <c:v>-1.1396598187989772E-2</c:v>
                </c:pt>
                <c:pt idx="147">
                  <c:v>-1.1201697108678577E-2</c:v>
                </c:pt>
                <c:pt idx="148">
                  <c:v>-1.1010165950698259E-2</c:v>
                </c:pt>
                <c:pt idx="149">
                  <c:v>-1.0821792264124053E-2</c:v>
                </c:pt>
                <c:pt idx="150">
                  <c:v>-1.0636375809822241E-2</c:v>
                </c:pt>
                <c:pt idx="151">
                  <c:v>-1.0453727467079066E-2</c:v>
                </c:pt>
                <c:pt idx="152">
                  <c:v>-1.0273668255408985E-2</c:v>
                </c:pt>
                <c:pt idx="153">
                  <c:v>-1.0096028446419767E-2</c:v>
                </c:pt>
                <c:pt idx="154">
                  <c:v>-9.9206467552677147E-3</c:v>
                </c:pt>
                <c:pt idx="155">
                  <c:v>-9.7473696106282759E-3</c:v>
                </c:pt>
                <c:pt idx="156">
                  <c:v>-9.5760504846849059E-3</c:v>
                </c:pt>
                <c:pt idx="157">
                  <c:v>-9.4065492777675157E-3</c:v>
                </c:pt>
                <c:pt idx="158">
                  <c:v>-9.2387317622693033E-3</c:v>
                </c:pt>
                <c:pt idx="159">
                  <c:v>-9.0724690705163979E-3</c:v>
                </c:pt>
                <c:pt idx="160">
                  <c:v>-8.9076372077157018E-3</c:v>
                </c:pt>
                <c:pt idx="161">
                  <c:v>-8.7441166259214498E-3</c:v>
                </c:pt>
                <c:pt idx="162">
                  <c:v>-8.5817918101320778E-3</c:v>
                </c:pt>
                <c:pt idx="163">
                  <c:v>-8.4205509008361528E-3</c:v>
                </c:pt>
                <c:pt idx="164">
                  <c:v>-8.2602853426583245E-3</c:v>
                </c:pt>
                <c:pt idx="165">
                  <c:v>-8.100889553081192E-3</c:v>
                </c:pt>
                <c:pt idx="166">
                  <c:v>-7.9422606135879353E-3</c:v>
                </c:pt>
                <c:pt idx="167">
                  <c:v>-7.7842979785254229E-3</c:v>
                </c:pt>
                <c:pt idx="168">
                  <c:v>-7.6269031991218483E-3</c:v>
                </c:pt>
                <c:pt idx="169">
                  <c:v>-7.4699796622050832E-3</c:v>
                </c:pt>
                <c:pt idx="170">
                  <c:v>-7.3134323442167739E-3</c:v>
                </c:pt>
                <c:pt idx="171">
                  <c:v>-7.1571675739550145E-3</c:v>
                </c:pt>
                <c:pt idx="172">
                  <c:v>-7.0010927995469716E-3</c:v>
                </c:pt>
                <c:pt idx="173">
                  <c:v>-6.845116381491323E-3</c:v>
                </c:pt>
                <c:pt idx="174">
                  <c:v>-6.6891473704928659E-3</c:v>
                </c:pt>
                <c:pt idx="175">
                  <c:v>-6.5330953110303005E-3</c:v>
                </c:pt>
                <c:pt idx="176">
                  <c:v>-6.3768700423287852E-3</c:v>
                </c:pt>
                <c:pt idx="177">
                  <c:v>-6.2203814967776161E-3</c:v>
                </c:pt>
                <c:pt idx="178">
                  <c:v>-6.0635395217141222E-3</c:v>
                </c:pt>
                <c:pt idx="179">
                  <c:v>-5.9062536866854032E-3</c:v>
                </c:pt>
                <c:pt idx="180">
                  <c:v>-5.7484330975738906E-3</c:v>
                </c:pt>
                <c:pt idx="181">
                  <c:v>-5.6184520153048654E-3</c:v>
                </c:pt>
                <c:pt idx="182">
                  <c:v>-5.4890716076969595E-3</c:v>
                </c:pt>
                <c:pt idx="183">
                  <c:v>-5.3602235573912971E-3</c:v>
                </c:pt>
                <c:pt idx="184">
                  <c:v>-5.2318402342286241E-3</c:v>
                </c:pt>
                <c:pt idx="185">
                  <c:v>-5.1038545835160312E-3</c:v>
                </c:pt>
                <c:pt idx="186">
                  <c:v>-4.9762000179272015E-3</c:v>
                </c:pt>
                <c:pt idx="187">
                  <c:v>-4.8488102904391539E-3</c:v>
                </c:pt>
                <c:pt idx="188">
                  <c:v>-4.7216193857617661E-3</c:v>
                </c:pt>
                <c:pt idx="189">
                  <c:v>-4.5945614029800907E-3</c:v>
                </c:pt>
                <c:pt idx="190">
                  <c:v>-4.4675704280079387E-3</c:v>
                </c:pt>
                <c:pt idx="191">
                  <c:v>-4.3405804236504864E-3</c:v>
                </c:pt>
                <c:pt idx="192">
                  <c:v>-4.2135250937844751E-3</c:v>
                </c:pt>
                <c:pt idx="193">
                  <c:v>-4.0863377625055541E-3</c:v>
                </c:pt>
                <c:pt idx="194">
                  <c:v>-3.9589512440958421E-3</c:v>
                </c:pt>
                <c:pt idx="195">
                  <c:v>-3.8312977064633995E-3</c:v>
                </c:pt>
                <c:pt idx="196">
                  <c:v>-3.7033085327826676E-3</c:v>
                </c:pt>
                <c:pt idx="197">
                  <c:v>-3.5749141784422456E-3</c:v>
                </c:pt>
                <c:pt idx="198">
                  <c:v>-3.4460440212162879E-3</c:v>
                </c:pt>
                <c:pt idx="199">
                  <c:v>-3.316626204486361E-3</c:v>
                </c:pt>
                <c:pt idx="200">
                  <c:v>-3.1865874753842509E-3</c:v>
                </c:pt>
                <c:pt idx="201">
                  <c:v>-3.0558530118343086E-3</c:v>
                </c:pt>
                <c:pt idx="202">
                  <c:v>-2.9243462409818122E-3</c:v>
                </c:pt>
                <c:pt idx="203">
                  <c:v>-2.7919886558804841E-3</c:v>
                </c:pt>
                <c:pt idx="204">
                  <c:v>-2.6586995990580675E-3</c:v>
                </c:pt>
                <c:pt idx="205">
                  <c:v>-2.5243960605307869E-3</c:v>
                </c:pt>
                <c:pt idx="206">
                  <c:v>-2.388992445022442E-3</c:v>
                </c:pt>
                <c:pt idx="207">
                  <c:v>-2.2524003216535245E-3</c:v>
                </c:pt>
                <c:pt idx="208">
                  <c:v>-2.1145281650865044E-3</c:v>
                </c:pt>
                <c:pt idx="209">
                  <c:v>-1.9752810739785964E-3</c:v>
                </c:pt>
                <c:pt idx="210">
                  <c:v>-1.8345604620622071E-3</c:v>
                </c:pt>
                <c:pt idx="211">
                  <c:v>-1.6922637306868715E-3</c:v>
                </c:pt>
                <c:pt idx="212">
                  <c:v>-1.5482839102771706E-3</c:v>
                </c:pt>
                <c:pt idx="213">
                  <c:v>-1.402509266540175E-3</c:v>
                </c:pt>
                <c:pt idx="214">
                  <c:v>-1.2548228808433315E-3</c:v>
                </c:pt>
                <c:pt idx="215">
                  <c:v>-1.1051057004269893E-3</c:v>
                </c:pt>
                <c:pt idx="216">
                  <c:v>-9.4715979477300039E-4</c:v>
                </c:pt>
                <c:pt idx="217">
                  <c:v>-7.8454232042846073E-4</c:v>
                </c:pt>
                <c:pt idx="218">
                  <c:v>-6.1868665348141505E-4</c:v>
                </c:pt>
                <c:pt idx="219">
                  <c:v>-4.4941023545908015E-4</c:v>
                </c:pt>
                <c:pt idx="220">
                  <c:v>-2.7651913838466768E-4</c:v>
                </c:pt>
                <c:pt idx="221">
                  <c:v>-9.9807038905552758E-5</c:v>
                </c:pt>
                <c:pt idx="222">
                  <c:v>8.0945940399423932E-5</c:v>
                </c:pt>
                <c:pt idx="223">
                  <c:v>2.6597451408072459E-4</c:v>
                </c:pt>
                <c:pt idx="224">
                  <c:v>4.5552968286965978E-4</c:v>
                </c:pt>
                <c:pt idx="225">
                  <c:v>6.4988012645228466E-4</c:v>
                </c:pt>
                <c:pt idx="226">
                  <c:v>8.5332227561440988E-4</c:v>
                </c:pt>
                <c:pt idx="227">
                  <c:v>1.0656133499766796E-3</c:v>
                </c:pt>
                <c:pt idx="228">
                  <c:v>1.2855160833122878E-3</c:v>
                </c:pt>
                <c:pt idx="229">
                  <c:v>1.5134954213271712E-3</c:v>
                </c:pt>
                <c:pt idx="230">
                  <c:v>1.7500476753333771E-3</c:v>
                </c:pt>
                <c:pt idx="231">
                  <c:v>1.9957030612909321E-3</c:v>
                </c:pt>
                <c:pt idx="232">
                  <c:v>2.2510283839007883E-3</c:v>
                </c:pt>
                <c:pt idx="233">
                  <c:v>2.5166298261245501E-3</c:v>
                </c:pt>
                <c:pt idx="234">
                  <c:v>2.7931558474558753E-3</c:v>
                </c:pt>
                <c:pt idx="235">
                  <c:v>3.0813001845069188E-3</c:v>
                </c:pt>
                <c:pt idx="236">
                  <c:v>3.3818049261968848E-3</c:v>
                </c:pt>
                <c:pt idx="237">
                  <c:v>3.6954649673082152E-3</c:v>
                </c:pt>
                <c:pt idx="238">
                  <c:v>4.0208234430854084E-3</c:v>
                </c:pt>
                <c:pt idx="239">
                  <c:v>4.3595628722545854E-3</c:v>
                </c:pt>
                <c:pt idx="240">
                  <c:v>4.7149898739387028E-3</c:v>
                </c:pt>
                <c:pt idx="241">
                  <c:v>5.0882071719886568E-3</c:v>
                </c:pt>
                <c:pt idx="242">
                  <c:v>5.4803878020988073E-3</c:v>
                </c:pt>
                <c:pt idx="243">
                  <c:v>5.8927768395378166E-3</c:v>
                </c:pt>
                <c:pt idx="244">
                  <c:v>6.3266924996008287E-3</c:v>
                </c:pt>
                <c:pt idx="245">
                  <c:v>6.7835265772107078E-3</c:v>
                </c:pt>
                <c:pt idx="246">
                  <c:v>7.2647443597984029E-3</c:v>
                </c:pt>
                <c:pt idx="247">
                  <c:v>7.7718844628851258E-3</c:v>
                </c:pt>
                <c:pt idx="248">
                  <c:v>8.3065595268734249E-3</c:v>
                </c:pt>
                <c:pt idx="249">
                  <c:v>8.870459776122443E-3</c:v>
                </c:pt>
                <c:pt idx="250">
                  <c:v>9.4653630020284929E-3</c:v>
                </c:pt>
                <c:pt idx="251">
                  <c:v>1.0093157625626036E-2</c:v>
                </c:pt>
                <c:pt idx="252">
                  <c:v>1.0755890342132333E-2</c:v>
                </c:pt>
                <c:pt idx="253">
                  <c:v>1.1455858653911542E-2</c:v>
                </c:pt>
                <c:pt idx="254">
                  <c:v>1.2195783473045728E-2</c:v>
                </c:pt>
                <c:pt idx="255">
                  <c:v>1.2979123232903511E-2</c:v>
                </c:pt>
                <c:pt idx="256">
                  <c:v>1.3810466526402276E-2</c:v>
                </c:pt>
                <c:pt idx="257">
                  <c:v>1.469534839997122E-2</c:v>
                </c:pt>
                <c:pt idx="258">
                  <c:v>1.5640077724944135E-2</c:v>
                </c:pt>
                <c:pt idx="259">
                  <c:v>1.6651854262918597E-2</c:v>
                </c:pt>
                <c:pt idx="260">
                  <c:v>1.7738922574082494E-2</c:v>
                </c:pt>
                <c:pt idx="261">
                  <c:v>1.891075643025264E-2</c:v>
                </c:pt>
                <c:pt idx="262">
                  <c:v>2.0178280613345034E-2</c:v>
                </c:pt>
                <c:pt idx="263">
                  <c:v>2.1554138382715134E-2</c:v>
                </c:pt>
                <c:pt idx="264">
                  <c:v>2.3053015353907025E-2</c:v>
                </c:pt>
                <c:pt idx="265">
                  <c:v>2.4692032583333745E-2</c:v>
                </c:pt>
                <c:pt idx="266">
                  <c:v>2.6491225338113544E-2</c:v>
                </c:pt>
                <c:pt idx="267">
                  <c:v>2.847412765179369E-2</c:v>
                </c:pt>
                <c:pt idx="268">
                  <c:v>3.0668487865837427E-2</c:v>
                </c:pt>
                <c:pt idx="269">
                  <c:v>3.310714634563805E-2</c:v>
                </c:pt>
                <c:pt idx="270">
                  <c:v>3.58291132418187E-2</c:v>
                </c:pt>
                <c:pt idx="271">
                  <c:v>3.7683376665719415E-2</c:v>
                </c:pt>
                <c:pt idx="272">
                  <c:v>3.9523752088665987E-2</c:v>
                </c:pt>
                <c:pt idx="273">
                  <c:v>4.1330881114650442E-2</c:v>
                </c:pt>
                <c:pt idx="274">
                  <c:v>4.3082682466391464E-2</c:v>
                </c:pt>
                <c:pt idx="275">
                  <c:v>4.475413960237784E-2</c:v>
                </c:pt>
                <c:pt idx="276">
                  <c:v>4.6317082790620301E-2</c:v>
                </c:pt>
                <c:pt idx="277">
                  <c:v>4.7739969161196168E-2</c:v>
                </c:pt>
                <c:pt idx="278">
                  <c:v>4.8987662110612444E-2</c:v>
                </c:pt>
                <c:pt idx="279">
                  <c:v>5.0021216116913791E-2</c:v>
                </c:pt>
                <c:pt idx="280">
                  <c:v>5.0797669502254283E-2</c:v>
                </c:pt>
                <c:pt idx="281">
                  <c:v>5.1269854861616171E-2</c:v>
                </c:pt>
                <c:pt idx="282">
                  <c:v>5.1386233645902564E-2</c:v>
                </c:pt>
                <c:pt idx="283">
                  <c:v>5.1090766889557944E-2</c:v>
                </c:pt>
                <c:pt idx="284">
                  <c:v>5.0322836561353952E-2</c:v>
                </c:pt>
                <c:pt idx="285">
                  <c:v>4.9017234100297707E-2</c:v>
                </c:pt>
                <c:pt idx="286">
                  <c:v>4.7104239052512292E-2</c:v>
                </c:pt>
                <c:pt idx="287">
                  <c:v>4.4509813186442558E-2</c:v>
                </c:pt>
                <c:pt idx="288">
                  <c:v>4.1155941907401038E-2</c:v>
                </c:pt>
                <c:pt idx="289">
                  <c:v>3.6961542703709327E-2</c:v>
                </c:pt>
                <c:pt idx="290">
                  <c:v>3.1846344786944591E-2</c:v>
                </c:pt>
                <c:pt idx="291">
                  <c:v>2.5734608962362682E-2</c:v>
                </c:pt>
                <c:pt idx="292">
                  <c:v>1.8557025990027842E-2</c:v>
                </c:pt>
                <c:pt idx="293">
                  <c:v>1.0252752761595652E-2</c:v>
                </c:pt>
                <c:pt idx="294">
                  <c:v>7.7167764009011819E-4</c:v>
                </c:pt>
                <c:pt idx="295">
                  <c:v>-9.9231764746794404E-3</c:v>
                </c:pt>
                <c:pt idx="296">
                  <c:v>-2.1853227372184758E-2</c:v>
                </c:pt>
                <c:pt idx="297">
                  <c:v>-3.502203239697322E-2</c:v>
                </c:pt>
                <c:pt idx="298">
                  <c:v>-4.9413286937094902E-2</c:v>
                </c:pt>
                <c:pt idx="299">
                  <c:v>-6.4989311424180851E-2</c:v>
                </c:pt>
                <c:pt idx="300">
                  <c:v>-8.1690219143811138E-2</c:v>
                </c:pt>
                <c:pt idx="301">
                  <c:v>-9.9433939181787778E-2</c:v>
                </c:pt>
                <c:pt idx="302">
                  <c:v>-0.11811722641481959</c:v>
                </c:pt>
                <c:pt idx="303">
                  <c:v>-0.13761772173710307</c:v>
                </c:pt>
                <c:pt idx="304">
                  <c:v>-0.15779704062641553</c:v>
                </c:pt>
                <c:pt idx="305">
                  <c:v>-0.17850477025096145</c:v>
                </c:pt>
                <c:pt idx="306">
                  <c:v>-0.19958316256906494</c:v>
                </c:pt>
                <c:pt idx="307">
                  <c:v>-0.22087223270174139</c:v>
                </c:pt>
                <c:pt idx="308">
                  <c:v>-0.24221487811362194</c:v>
                </c:pt>
                <c:pt idx="309">
                  <c:v>-0.26346019419110123</c:v>
                </c:pt>
                <c:pt idx="310">
                  <c:v>-0.28446460060040252</c:v>
                </c:pt>
                <c:pt idx="311">
                  <c:v>-0.30509431708009505</c:v>
                </c:pt>
                <c:pt idx="312">
                  <c:v>-0.32522778144448283</c:v>
                </c:pt>
                <c:pt idx="313">
                  <c:v>-0.34475743938498526</c:v>
                </c:pt>
                <c:pt idx="314">
                  <c:v>-0.36359088245403282</c:v>
                </c:pt>
                <c:pt idx="315">
                  <c:v>-0.38165135138063588</c:v>
                </c:pt>
                <c:pt idx="316">
                  <c:v>-0.39887766461624835</c:v>
                </c:pt>
                <c:pt idx="317">
                  <c:v>-0.41522365972053565</c:v>
                </c:pt>
                <c:pt idx="318">
                  <c:v>-0.43065724919467691</c:v>
                </c:pt>
                <c:pt idx="319">
                  <c:v>-0.44515919754033284</c:v>
                </c:pt>
                <c:pt idx="320">
                  <c:v>-0.45872172757889373</c:v>
                </c:pt>
                <c:pt idx="321">
                  <c:v>-0.47134703185170362</c:v>
                </c:pt>
                <c:pt idx="322">
                  <c:v>-0.48304578520392916</c:v>
                </c:pt>
                <c:pt idx="323">
                  <c:v>-0.4938356916655548</c:v>
                </c:pt>
                <c:pt idx="324">
                  <c:v>-0.50374013691166963</c:v>
                </c:pt>
                <c:pt idx="325">
                  <c:v>-0.51278694007511305</c:v>
                </c:pt>
                <c:pt idx="326">
                  <c:v>-0.52100725646145529</c:v>
                </c:pt>
                <c:pt idx="327">
                  <c:v>-0.52843460625164962</c:v>
                </c:pt>
                <c:pt idx="328">
                  <c:v>-0.53510404750253526</c:v>
                </c:pt>
                <c:pt idx="329">
                  <c:v>-0.54105147477949378</c:v>
                </c:pt>
                <c:pt idx="330">
                  <c:v>-0.54631304018240989</c:v>
                </c:pt>
                <c:pt idx="331">
                  <c:v>-0.55092468408621187</c:v>
                </c:pt>
                <c:pt idx="332">
                  <c:v>-0.55492175981147485</c:v>
                </c:pt>
                <c:pt idx="333">
                  <c:v>-0.55833874161870367</c:v>
                </c:pt>
                <c:pt idx="334">
                  <c:v>-0.56120900355296532</c:v>
                </c:pt>
                <c:pt idx="335">
                  <c:v>-0.56356465615419304</c:v>
                </c:pt>
                <c:pt idx="336">
                  <c:v>-0.56543643997183879</c:v>
                </c:pt>
                <c:pt idx="337">
                  <c:v>-0.5668536511615776</c:v>
                </c:pt>
                <c:pt idx="338">
                  <c:v>-0.56784410606415836</c:v>
                </c:pt>
                <c:pt idx="339">
                  <c:v>-0.56843413087830075</c:v>
                </c:pt>
                <c:pt idx="340">
                  <c:v>-0.56864856880239834</c:v>
                </c:pt>
                <c:pt idx="341">
                  <c:v>-0.56851081114228075</c:v>
                </c:pt>
                <c:pt idx="342">
                  <c:v>-0.56804282948305129</c:v>
                </c:pt>
                <c:pt idx="343">
                  <c:v>-0.56726522986049166</c:v>
                </c:pt>
                <c:pt idx="344">
                  <c:v>-0.56619730049476491</c:v>
                </c:pt>
                <c:pt idx="345">
                  <c:v>-0.5648570731723177</c:v>
                </c:pt>
                <c:pt idx="346">
                  <c:v>-0.56326138146348392</c:v>
                </c:pt>
                <c:pt idx="347">
                  <c:v>-0.56142592240531519</c:v>
                </c:pt>
                <c:pt idx="348">
                  <c:v>-0.55936531753643881</c:v>
                </c:pt>
                <c:pt idx="349">
                  <c:v>-0.55709317385034995</c:v>
                </c:pt>
                <c:pt idx="350">
                  <c:v>-0.55462214253785369</c:v>
                </c:pt>
                <c:pt idx="351">
                  <c:v>-0.55196397544741949</c:v>
                </c:pt>
                <c:pt idx="352">
                  <c:v>-0.54912957979123744</c:v>
                </c:pt>
                <c:pt idx="353">
                  <c:v>-0.54612907253680065</c:v>
                </c:pt>
                <c:pt idx="354">
                  <c:v>-0.54297182817877676</c:v>
                </c:pt>
                <c:pt idx="355">
                  <c:v>-0.53966652823069505</c:v>
                </c:pt>
                <c:pt idx="356">
                  <c:v>-0.53622120362038916</c:v>
                </c:pt>
                <c:pt idx="357">
                  <c:v>-0.53264327941000245</c:v>
                </c:pt>
                <c:pt idx="358">
                  <c:v>-0.52893961272874068</c:v>
                </c:pt>
                <c:pt idx="359">
                  <c:v>-0.52511653054481289</c:v>
                </c:pt>
                <c:pt idx="360">
                  <c:v>-0.52117986552775819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364330</xdr:colOff>
      <xdr:row>2</xdr:row>
      <xdr:rowOff>61911</xdr:rowOff>
    </xdr:from>
    <xdr:to>
      <xdr:col>18</xdr:col>
      <xdr:colOff>773905</xdr:colOff>
      <xdr:row>30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971550</xdr:colOff>
      <xdr:row>27</xdr:row>
      <xdr:rowOff>154782</xdr:rowOff>
    </xdr:from>
    <xdr:to>
      <xdr:col>22</xdr:col>
      <xdr:colOff>319087</xdr:colOff>
      <xdr:row>47</xdr:row>
      <xdr:rowOff>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3</xdr:row>
          <xdr:rowOff>12700</xdr:rowOff>
        </xdr:from>
        <xdr:to>
          <xdr:col>9</xdr:col>
          <xdr:colOff>190500</xdr:colOff>
          <xdr:row>7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8</xdr:row>
          <xdr:rowOff>25400</xdr:rowOff>
        </xdr:from>
        <xdr:to>
          <xdr:col>9</xdr:col>
          <xdr:colOff>203200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24</xdr:row>
          <xdr:rowOff>88900</xdr:rowOff>
        </xdr:from>
        <xdr:to>
          <xdr:col>20</xdr:col>
          <xdr:colOff>800100</xdr:colOff>
          <xdr:row>27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827087</xdr:colOff>
      <xdr:row>29</xdr:row>
      <xdr:rowOff>79375</xdr:rowOff>
    </xdr:from>
    <xdr:to>
      <xdr:col>37</xdr:col>
      <xdr:colOff>527050</xdr:colOff>
      <xdr:row>58</xdr:row>
      <xdr:rowOff>17462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38102</xdr:colOff>
      <xdr:row>0</xdr:row>
      <xdr:rowOff>85722</xdr:rowOff>
    </xdr:from>
    <xdr:to>
      <xdr:col>37</xdr:col>
      <xdr:colOff>571502</xdr:colOff>
      <xdr:row>28</xdr:row>
      <xdr:rowOff>130966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692943</xdr:colOff>
      <xdr:row>0</xdr:row>
      <xdr:rowOff>73816</xdr:rowOff>
    </xdr:from>
    <xdr:to>
      <xdr:col>43</xdr:col>
      <xdr:colOff>380999</xdr:colOff>
      <xdr:row>28</xdr:row>
      <xdr:rowOff>119060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659605</xdr:colOff>
      <xdr:row>29</xdr:row>
      <xdr:rowOff>90489</xdr:rowOff>
    </xdr:from>
    <xdr:to>
      <xdr:col>43</xdr:col>
      <xdr:colOff>347661</xdr:colOff>
      <xdr:row>58</xdr:row>
      <xdr:rowOff>28576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292100</xdr:colOff>
          <xdr:row>2</xdr:row>
          <xdr:rowOff>88900</xdr:rowOff>
        </xdr:from>
        <xdr:to>
          <xdr:col>31</xdr:col>
          <xdr:colOff>177800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K378"/>
  <sheetViews>
    <sheetView tabSelected="1" topLeftCell="X1" zoomScale="80" zoomScaleNormal="80" workbookViewId="0">
      <selection activeCell="U13" sqref="U13"/>
    </sheetView>
  </sheetViews>
  <sheetFormatPr baseColWidth="10" defaultColWidth="8.83203125" defaultRowHeight="15" x14ac:dyDescent="0.2"/>
  <cols>
    <col min="1" max="1" width="15.33203125" customWidth="1"/>
    <col min="2" max="2" width="16" customWidth="1"/>
    <col min="3" max="3" width="12.5" customWidth="1"/>
    <col min="4" max="5" width="11.1640625" customWidth="1"/>
    <col min="6" max="7" width="11.5" bestFit="1" customWidth="1"/>
    <col min="8" max="8" width="13.1640625" bestFit="1" customWidth="1"/>
    <col min="9" max="9" width="12.1640625" bestFit="1" customWidth="1"/>
    <col min="10" max="10" width="13.1640625" bestFit="1" customWidth="1"/>
    <col min="11" max="11" width="12.1640625" bestFit="1" customWidth="1"/>
    <col min="12" max="12" width="12.5" customWidth="1"/>
    <col min="13" max="13" width="17.33203125" customWidth="1"/>
    <col min="14" max="15" width="17" bestFit="1" customWidth="1"/>
    <col min="16" max="16" width="15.5" bestFit="1" customWidth="1"/>
    <col min="17" max="18" width="16.5" bestFit="1" customWidth="1"/>
    <col min="19" max="19" width="14.83203125" bestFit="1" customWidth="1"/>
    <col min="20" max="20" width="16.5" customWidth="1"/>
    <col min="21" max="22" width="16.5" bestFit="1" customWidth="1"/>
    <col min="23" max="24" width="15.5" bestFit="1" customWidth="1"/>
    <col min="25" max="26" width="17.6640625" bestFit="1" customWidth="1"/>
    <col min="27" max="27" width="11" bestFit="1" customWidth="1"/>
    <col min="28" max="28" width="14.5" bestFit="1" customWidth="1"/>
    <col min="29" max="29" width="13.5" bestFit="1" customWidth="1"/>
    <col min="30" max="30" width="14.5" bestFit="1" customWidth="1"/>
    <col min="31" max="31" width="13.5" bestFit="1" customWidth="1"/>
    <col min="32" max="32" width="12.5" bestFit="1" customWidth="1"/>
    <col min="33" max="33" width="14.83203125" bestFit="1" customWidth="1"/>
    <col min="34" max="34" width="17" bestFit="1" customWidth="1"/>
    <col min="35" max="35" width="14.5" bestFit="1" customWidth="1"/>
    <col min="36" max="36" width="13.5" bestFit="1" customWidth="1"/>
    <col min="37" max="37" width="14.5" bestFit="1" customWidth="1"/>
    <col min="38" max="39" width="13.5" bestFit="1" customWidth="1"/>
    <col min="40" max="40" width="14.83203125" bestFit="1" customWidth="1"/>
    <col min="41" max="41" width="17" bestFit="1" customWidth="1"/>
    <col min="42" max="42" width="14.5" bestFit="1" customWidth="1"/>
    <col min="43" max="43" width="13.5" bestFit="1" customWidth="1"/>
    <col min="44" max="44" width="14.5" bestFit="1" customWidth="1"/>
    <col min="45" max="46" width="14" style="6" bestFit="1" customWidth="1"/>
    <col min="47" max="47" width="14.83203125" style="6" bestFit="1" customWidth="1"/>
    <col min="48" max="48" width="17" style="6" bestFit="1" customWidth="1"/>
    <col min="49" max="49" width="19.6640625" style="6" bestFit="1" customWidth="1"/>
    <col min="50" max="50" width="19.1640625" style="6" bestFit="1" customWidth="1"/>
    <col min="51" max="51" width="24.33203125" style="6" bestFit="1" customWidth="1"/>
    <col min="52" max="52" width="11" style="49" bestFit="1" customWidth="1"/>
    <col min="53" max="53" width="19.5" style="49" bestFit="1" customWidth="1"/>
    <col min="54" max="54" width="19.1640625" style="49" bestFit="1" customWidth="1"/>
    <col min="55" max="56" width="24.33203125" style="49" bestFit="1" customWidth="1"/>
    <col min="57" max="57" width="10.6640625" bestFit="1" customWidth="1"/>
    <col min="58" max="58" width="14.5" bestFit="1" customWidth="1"/>
    <col min="59" max="59" width="19.5" bestFit="1" customWidth="1"/>
    <col min="60" max="60" width="19.1640625" bestFit="1" customWidth="1"/>
    <col min="61" max="61" width="24.33203125" bestFit="1" customWidth="1"/>
    <col min="65" max="65" width="13.6640625" bestFit="1" customWidth="1"/>
    <col min="70" max="71" width="13.6640625" bestFit="1" customWidth="1"/>
    <col min="72" max="72" width="11" bestFit="1" customWidth="1"/>
    <col min="73" max="73" width="13" bestFit="1" customWidth="1"/>
    <col min="74" max="74" width="9.83203125" bestFit="1" customWidth="1"/>
    <col min="78" max="78" width="13" bestFit="1" customWidth="1"/>
    <col min="79" max="79" width="10.33203125" customWidth="1"/>
    <col min="80" max="80" width="12.83203125" bestFit="1" customWidth="1"/>
    <col min="81" max="81" width="14.5" customWidth="1"/>
    <col min="83" max="83" width="8.83203125" customWidth="1"/>
    <col min="84" max="84" width="9.33203125" bestFit="1" customWidth="1"/>
    <col min="85" max="85" width="13" bestFit="1" customWidth="1"/>
    <col min="86" max="88" width="13.6640625" bestFit="1" customWidth="1"/>
    <col min="89" max="89" width="12.5" bestFit="1" customWidth="1"/>
    <col min="90" max="90" width="13" bestFit="1" customWidth="1"/>
    <col min="91" max="91" width="13.6640625" bestFit="1" customWidth="1"/>
    <col min="92" max="92" width="13" bestFit="1" customWidth="1"/>
    <col min="93" max="93" width="12" bestFit="1" customWidth="1"/>
    <col min="94" max="95" width="13.6640625" bestFit="1" customWidth="1"/>
    <col min="96" max="96" width="10" bestFit="1" customWidth="1"/>
    <col min="106" max="106" width="7" customWidth="1"/>
    <col min="112" max="112" width="10.33203125" bestFit="1" customWidth="1"/>
    <col min="120" max="120" width="9.1640625" bestFit="1" customWidth="1"/>
    <col min="121" max="121" width="13.8320312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6640625" bestFit="1" customWidth="1"/>
    <col min="127" max="127" width="13.1640625" bestFit="1" customWidth="1"/>
    <col min="129" max="129" width="13.6640625" bestFit="1" customWidth="1"/>
  </cols>
  <sheetData>
    <row r="1" spans="1:141" x14ac:dyDescent="0.2">
      <c r="A1" s="8" t="s">
        <v>191</v>
      </c>
      <c r="B1" s="20" t="s">
        <v>210</v>
      </c>
      <c r="K1" s="8" t="s">
        <v>71</v>
      </c>
      <c r="L1" s="53">
        <v>1.0000000000000001E-9</v>
      </c>
      <c r="P1" s="8" t="s">
        <v>142</v>
      </c>
      <c r="Q1" s="4">
        <v>1</v>
      </c>
      <c r="T1" t="s">
        <v>152</v>
      </c>
      <c r="U1" s="4">
        <v>0</v>
      </c>
      <c r="W1" t="s">
        <v>192</v>
      </c>
      <c r="X1" s="4">
        <v>1</v>
      </c>
      <c r="Z1" s="1" t="s">
        <v>214</v>
      </c>
      <c r="AA1" s="4">
        <v>0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143</v>
      </c>
      <c r="BH1" s="6" t="s">
        <v>144</v>
      </c>
      <c r="BI1" s="6" t="s">
        <v>145</v>
      </c>
      <c r="BJ1" s="6" t="s">
        <v>212</v>
      </c>
      <c r="BK1" s="6" t="s">
        <v>213</v>
      </c>
      <c r="BW1" s="45" t="s">
        <v>146</v>
      </c>
      <c r="CU1" t="s">
        <v>113</v>
      </c>
      <c r="DC1" t="s">
        <v>136</v>
      </c>
      <c r="DK1" t="s">
        <v>141</v>
      </c>
      <c r="DN1" s="1" t="s">
        <v>220</v>
      </c>
      <c r="DO1">
        <v>1E-10</v>
      </c>
      <c r="DV1" t="s">
        <v>196</v>
      </c>
    </row>
    <row r="2" spans="1:141" ht="16" thickBot="1" x14ac:dyDescent="0.25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2960</v>
      </c>
      <c r="N2">
        <v>76</v>
      </c>
      <c r="O2">
        <v>1</v>
      </c>
      <c r="AD2" s="8" t="s">
        <v>153</v>
      </c>
      <c r="AE2" s="20">
        <v>360</v>
      </c>
      <c r="BC2">
        <v>0</v>
      </c>
      <c r="BD2">
        <v>-11.931897788626008</v>
      </c>
      <c r="BE2">
        <v>15.609528286728688</v>
      </c>
      <c r="BF2" s="6">
        <f t="shared" ref="BF2:BF33" si="0">IF(BC2&lt;&gt;"",IF(AND(BD2=0,BE2=0),0,MOD(ATAN2(BD2,BE2),2*PI())),NA())</f>
        <v>2.2234488797717287</v>
      </c>
      <c r="BG2" s="6">
        <f t="shared" ref="BG2:BG33" si="1">ABS(BC2-BF2)</f>
        <v>2.2234488797717287</v>
      </c>
      <c r="BH2" s="6">
        <f>ATAN2(COS($U$13-BF2),SIN($U$13-BF2))</f>
        <v>0.81847512132690259</v>
      </c>
      <c r="BI2" s="6">
        <f>ABS(BH2)</f>
        <v>0.81847512132690259</v>
      </c>
      <c r="BJ2">
        <v>-18.356765828655398</v>
      </c>
      <c r="BK2">
        <v>24.014658902659519</v>
      </c>
      <c r="BT2">
        <v>0.78539816339744828</v>
      </c>
      <c r="BV2" s="38"/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2.9441970937399122</v>
      </c>
      <c r="DK2" s="1" t="s">
        <v>226</v>
      </c>
      <c r="DL2" s="1" t="s">
        <v>218</v>
      </c>
      <c r="DM2" s="1" t="s">
        <v>219</v>
      </c>
      <c r="DN2" s="1" t="s">
        <v>221</v>
      </c>
      <c r="DO2" s="1" t="s">
        <v>222</v>
      </c>
      <c r="DP2" s="1" t="s">
        <v>223</v>
      </c>
      <c r="DQ2" s="1" t="s">
        <v>224</v>
      </c>
      <c r="DR2" s="1" t="s">
        <v>225</v>
      </c>
    </row>
    <row r="3" spans="1:141" x14ac:dyDescent="0.2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0.65</v>
      </c>
      <c r="V3" s="15"/>
      <c r="W3" s="29" t="s">
        <v>95</v>
      </c>
      <c r="X3" t="s">
        <v>79</v>
      </c>
      <c r="AA3" t="s">
        <v>110</v>
      </c>
      <c r="BC3">
        <v>1.7453292519943295E-2</v>
      </c>
      <c r="BD3">
        <v>-11.999361890689025</v>
      </c>
      <c r="BE3">
        <v>15.851844255113829</v>
      </c>
      <c r="BF3" s="6">
        <f t="shared" si="0"/>
        <v>2.2187429848997287</v>
      </c>
      <c r="BG3" s="6">
        <f t="shared" si="1"/>
        <v>2.2012896923797856</v>
      </c>
      <c r="BH3" s="6">
        <f t="shared" ref="BH3:BH66" si="2">ATAN2(COS($U$13-BF3),SIN($U$13-BF3))</f>
        <v>0.8231810161989026</v>
      </c>
      <c r="BI3" s="6">
        <f t="shared" ref="BI3:BI66" si="3">ABS(BH3)</f>
        <v>0.8231810161989026</v>
      </c>
      <c r="BJ3">
        <v>-18.460556754906193</v>
      </c>
      <c r="BK3">
        <v>24.387452700175121</v>
      </c>
      <c r="BV3" s="38"/>
      <c r="CU3">
        <v>4.6127203278935278</v>
      </c>
      <c r="CV3">
        <v>1.4711276743037347</v>
      </c>
      <c r="CW3">
        <v>3.0419240010986313</v>
      </c>
      <c r="CX3">
        <v>-3.1180805311287147</v>
      </c>
      <c r="CY3">
        <v>3.0711627811046203</v>
      </c>
      <c r="CZ3">
        <v>3.134948656228401</v>
      </c>
      <c r="DC3" s="1" t="s">
        <v>215</v>
      </c>
      <c r="DD3" s="1" t="s">
        <v>216</v>
      </c>
      <c r="DE3" s="1" t="s">
        <v>140</v>
      </c>
      <c r="DF3" s="1" t="s">
        <v>139</v>
      </c>
      <c r="DG3" s="1" t="s">
        <v>138</v>
      </c>
      <c r="DH3" s="1" t="s">
        <v>217</v>
      </c>
      <c r="DK3">
        <v>0.78539816339744828</v>
      </c>
      <c r="DL3">
        <v>-0.45921323017653021</v>
      </c>
      <c r="DV3" s="9"/>
      <c r="DW3" s="9" t="str">
        <f t="shared" ref="DW3:DY5" si="4">Z14</f>
        <v>P</v>
      </c>
      <c r="DX3" s="9" t="str">
        <f t="shared" si="4"/>
        <v>Mx</v>
      </c>
      <c r="DY3" s="9" t="str">
        <f t="shared" si="4"/>
        <v>My</v>
      </c>
    </row>
    <row r="4" spans="1:141" x14ac:dyDescent="0.2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810.00000000011823</v>
      </c>
      <c r="V4" s="16" t="s">
        <v>68</v>
      </c>
      <c r="W4" s="30">
        <f ca="1">U4-U10</f>
        <v>1.1823431123048067E-10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BC4">
        <v>3.4906585039886591E-2</v>
      </c>
      <c r="BD4">
        <v>-12.068738081989737</v>
      </c>
      <c r="BE4">
        <v>16.094322668395844</v>
      </c>
      <c r="BF4" s="6">
        <f t="shared" si="0"/>
        <v>2.2142177438214441</v>
      </c>
      <c r="BG4" s="6">
        <f t="shared" si="1"/>
        <v>2.1793111587815575</v>
      </c>
      <c r="BH4" s="6">
        <f t="shared" si="2"/>
        <v>0.82770625727718716</v>
      </c>
      <c r="BI4" s="6">
        <f t="shared" si="3"/>
        <v>0.82770625727718716</v>
      </c>
      <c r="BJ4">
        <v>-18.567289356907288</v>
      </c>
      <c r="BK4">
        <v>24.76049641291668</v>
      </c>
      <c r="BV4" s="38"/>
      <c r="BW4" s="1" t="s">
        <v>100</v>
      </c>
      <c r="BX4" s="1" t="s">
        <v>101</v>
      </c>
      <c r="BY4" s="1" t="s">
        <v>203</v>
      </c>
      <c r="BZ4" s="1" t="s">
        <v>148</v>
      </c>
      <c r="CA4" s="1" t="s">
        <v>149</v>
      </c>
      <c r="CB4" s="1" t="s">
        <v>228</v>
      </c>
      <c r="CD4" s="1" t="s">
        <v>231</v>
      </c>
      <c r="CE4" s="1" t="s">
        <v>235</v>
      </c>
      <c r="CF4" s="1" t="s">
        <v>236</v>
      </c>
      <c r="CG4" s="1" t="s">
        <v>228</v>
      </c>
      <c r="CH4" s="1"/>
      <c r="CI4" s="1"/>
      <c r="CK4" s="1" t="s">
        <v>228</v>
      </c>
      <c r="CU4">
        <v>4.6127203278935278</v>
      </c>
      <c r="CV4">
        <v>3.0419240010986313</v>
      </c>
      <c r="CW4">
        <v>3.8273221644960795</v>
      </c>
      <c r="CX4">
        <v>-3.1180805311287147</v>
      </c>
      <c r="CY4">
        <v>3.134948656228401</v>
      </c>
      <c r="CZ4">
        <v>3.1411928986700324</v>
      </c>
      <c r="DE4">
        <v>2.9324781751503597</v>
      </c>
      <c r="DF4">
        <v>1</v>
      </c>
      <c r="DG4">
        <v>2.9559160123294648</v>
      </c>
      <c r="DH4">
        <v>1.1718918589552541E-2</v>
      </c>
      <c r="DK4">
        <v>0.78539816339744828</v>
      </c>
      <c r="DL4">
        <v>-0.45921323017653021</v>
      </c>
      <c r="DM4">
        <v>0.78539816349744829</v>
      </c>
      <c r="DN4">
        <v>-0.45921323018442317</v>
      </c>
      <c r="DO4">
        <v>0.78539816329744827</v>
      </c>
      <c r="DP4">
        <v>-0.45921323016863064</v>
      </c>
      <c r="DQ4">
        <v>-7.8962669736171165E-2</v>
      </c>
      <c r="DR4">
        <v>1.2530097100792414</v>
      </c>
      <c r="DV4" s="9" t="str">
        <f>Y15</f>
        <v>Max</v>
      </c>
      <c r="DW4" s="9">
        <f t="shared" ca="1" si="4"/>
        <v>910.1105</v>
      </c>
      <c r="DX4" s="9">
        <f t="shared" ca="1" si="4"/>
        <v>-85.882875000000013</v>
      </c>
      <c r="DY4" s="9">
        <f t="shared" ca="1" si="4"/>
        <v>28.627624999999998</v>
      </c>
      <c r="DZ4" s="9"/>
      <c r="EA4" t="s">
        <v>204</v>
      </c>
      <c r="EB4" s="9">
        <f>U10</f>
        <v>810</v>
      </c>
      <c r="EC4" s="9">
        <f>U11</f>
        <v>-10</v>
      </c>
      <c r="ED4" s="9">
        <f>U12</f>
        <v>1</v>
      </c>
      <c r="EF4">
        <f>ATAN2(EC4,ED4)</f>
        <v>3.0419240010986313</v>
      </c>
      <c r="EG4" s="9">
        <f>SQRT(POWER(EB4,2)+POWER(EC4,2)+POWER(ED4,2))</f>
        <v>810.0623432798244</v>
      </c>
      <c r="EH4">
        <f>EB4/EG4</f>
        <v>0.99992303891133616</v>
      </c>
      <c r="EI4">
        <f>EC4/EG4</f>
        <v>-1.2344728875448595E-2</v>
      </c>
      <c r="EJ4">
        <f>ED4/EG4</f>
        <v>1.2344728875448594E-3</v>
      </c>
      <c r="EK4">
        <v>0</v>
      </c>
    </row>
    <row r="5" spans="1:141" x14ac:dyDescent="0.2">
      <c r="A5" s="8" t="s">
        <v>5</v>
      </c>
      <c r="B5" s="44">
        <v>12</v>
      </c>
      <c r="C5" t="s">
        <v>4</v>
      </c>
      <c r="E5" s="5">
        <f>E4</f>
        <v>12</v>
      </c>
      <c r="F5">
        <f>(B8-B9)</f>
        <v>16</v>
      </c>
      <c r="G5">
        <f t="shared" ref="G5:G11" si="5">((E4*F5)-(E5*F4))*0.5</f>
        <v>96</v>
      </c>
      <c r="T5" s="26" t="s">
        <v>77</v>
      </c>
      <c r="U5" s="10">
        <f ca="1">U3*IF(B1="PCA_Parabolic",B204*(1/12),B79*(1/12))</f>
        <v>-144.02722583405526</v>
      </c>
      <c r="V5" s="16" t="s">
        <v>70</v>
      </c>
      <c r="W5" s="31"/>
      <c r="X5">
        <f>X4</f>
        <v>34</v>
      </c>
      <c r="Y5">
        <f>X5</f>
        <v>34</v>
      </c>
      <c r="AA5">
        <v>0</v>
      </c>
      <c r="AB5">
        <v>0</v>
      </c>
      <c r="BC5">
        <v>5.235987755982989E-2</v>
      </c>
      <c r="BD5">
        <v>-12.1400718170066</v>
      </c>
      <c r="BE5">
        <v>16.337070123563187</v>
      </c>
      <c r="BF5" s="6">
        <f t="shared" si="0"/>
        <v>2.2098665933361108</v>
      </c>
      <c r="BG5" s="6">
        <f t="shared" si="1"/>
        <v>2.1575067157762811</v>
      </c>
      <c r="BH5" s="6">
        <f t="shared" si="2"/>
        <v>0.83205740776252046</v>
      </c>
      <c r="BI5" s="6">
        <f t="shared" si="3"/>
        <v>0.83205740776252046</v>
      </c>
      <c r="BJ5">
        <v>-18.677033564625539</v>
      </c>
      <c r="BK5">
        <v>25.133954036251055</v>
      </c>
      <c r="BU5" s="6"/>
      <c r="BV5" s="73" t="s">
        <v>239</v>
      </c>
      <c r="BW5">
        <f ca="1">B132</f>
        <v>-66.07264188172941</v>
      </c>
      <c r="BX5">
        <f ca="1">B133</f>
        <v>22.024213960576471</v>
      </c>
      <c r="BY5">
        <f ca="1">SQRT(POWER(BW5,2)+POWER(BX5,2))</f>
        <v>69.646679790299515</v>
      </c>
      <c r="BZ5">
        <f ca="1">BW5/BY5</f>
        <v>-0.94868329805051377</v>
      </c>
      <c r="CA5">
        <f ca="1">BX5/BY5</f>
        <v>0.31622776601683794</v>
      </c>
      <c r="CB5">
        <f ca="1">ATAN2(BZ5,CA5)</f>
        <v>2.819842099193151</v>
      </c>
      <c r="CD5" s="1" t="s">
        <v>232</v>
      </c>
      <c r="CE5" s="6">
        <f ca="1">0-BW5</f>
        <v>66.07264188172941</v>
      </c>
      <c r="CF5" s="6">
        <f ca="1">0-BX5</f>
        <v>-22.024213960576471</v>
      </c>
      <c r="CG5">
        <f ca="1">ATAN2(CE5,CF5)</f>
        <v>-0.32175055439664224</v>
      </c>
      <c r="CH5" s="1"/>
      <c r="CI5" s="6"/>
      <c r="CJ5" s="6"/>
      <c r="CU5">
        <v>4.6127203278935278</v>
      </c>
      <c r="CV5">
        <v>3.8273221644960795</v>
      </c>
      <c r="CW5">
        <v>4.2200212461948041</v>
      </c>
      <c r="CX5">
        <v>-3.1180805311287147</v>
      </c>
      <c r="CY5">
        <v>3.1411928986700324</v>
      </c>
      <c r="CZ5">
        <v>-3.1361964932425193</v>
      </c>
      <c r="DC5">
        <v>2.9441970937399122</v>
      </c>
      <c r="DD5">
        <v>2.9324781751503597</v>
      </c>
      <c r="DE5">
        <v>2.9339783544915101</v>
      </c>
      <c r="DF5">
        <v>7.8116784227715996</v>
      </c>
      <c r="DG5">
        <v>3.0357415172241367</v>
      </c>
      <c r="DH5">
        <v>1.0218739248402109E-2</v>
      </c>
      <c r="DK5">
        <v>1.2530097100792414</v>
      </c>
      <c r="DL5">
        <v>-0.48514544482291888</v>
      </c>
      <c r="DM5">
        <v>1.2530097101792415</v>
      </c>
      <c r="DN5">
        <v>-0.48514544482687461</v>
      </c>
      <c r="DO5">
        <v>1.2530097099792414</v>
      </c>
      <c r="DP5">
        <v>-0.48514544481896293</v>
      </c>
      <c r="DQ5">
        <v>-3.9558356590418953E-2</v>
      </c>
      <c r="DR5">
        <v>1.5553358433686104</v>
      </c>
      <c r="DV5" s="9" t="str">
        <f>Y16</f>
        <v>Min</v>
      </c>
      <c r="DW5" s="9">
        <f t="shared" ca="1" si="4"/>
        <v>-170.64000000000001</v>
      </c>
      <c r="DX5" s="9">
        <f t="shared" ca="1" si="4"/>
        <v>127.98</v>
      </c>
      <c r="DY5" s="9">
        <f t="shared" ca="1" si="4"/>
        <v>-42.660000000000004</v>
      </c>
      <c r="DZ5" s="9"/>
      <c r="EA5" t="s">
        <v>205</v>
      </c>
      <c r="EB5" s="9">
        <f ca="1">U4</f>
        <v>810.00000000011823</v>
      </c>
      <c r="EC5" s="9">
        <f ca="1">U5</f>
        <v>-144.02722583405526</v>
      </c>
      <c r="ED5" s="9">
        <f ca="1">U6</f>
        <v>14.402722583406035</v>
      </c>
      <c r="EF5">
        <f ca="1">ATAN2(EC5,ED5)</f>
        <v>3.0419240010986277</v>
      </c>
      <c r="EG5" s="9">
        <f t="shared" ref="EG5:EG6" ca="1" si="6">SQRT(POWER(EB5,2)+POWER(EC5,2)+POWER(ED5,2))</f>
        <v>822.83125864265753</v>
      </c>
      <c r="EH5">
        <f t="shared" ref="EH5:EH6" ca="1" si="7">EB5/EG5</f>
        <v>0.98440596597690544</v>
      </c>
      <c r="EI5">
        <f t="shared" ref="EI5:EI6" ca="1" si="8">EC5/EG5</f>
        <v>-0.17503859305447703</v>
      </c>
      <c r="EJ5">
        <f t="shared" ref="EJ5:EJ6" ca="1" si="9">ED5/EG5</f>
        <v>1.7503859305448319E-2</v>
      </c>
      <c r="EK5">
        <v>0</v>
      </c>
    </row>
    <row r="6" spans="1:141" x14ac:dyDescent="0.2">
      <c r="A6" s="8" t="s">
        <v>92</v>
      </c>
      <c r="B6" s="44">
        <v>0</v>
      </c>
      <c r="C6" t="s">
        <v>4</v>
      </c>
      <c r="E6" s="5">
        <f>B7+B5</f>
        <v>12</v>
      </c>
      <c r="F6">
        <f>F5</f>
        <v>16</v>
      </c>
      <c r="G6">
        <f t="shared" si="5"/>
        <v>0</v>
      </c>
      <c r="T6" s="26" t="s">
        <v>76</v>
      </c>
      <c r="U6" s="10">
        <f ca="1">U3*IF(B1="PCA_Parabolic",B205*(1/12),B80*(1/12))</f>
        <v>14.402722583406035</v>
      </c>
      <c r="V6" s="16" t="s">
        <v>70</v>
      </c>
      <c r="W6" s="30">
        <f t="shared" ref="W6" ca="1" si="10">U6</f>
        <v>14.402722583406035</v>
      </c>
      <c r="X6">
        <f>IF(B6=0,0,-1*X5)</f>
        <v>0</v>
      </c>
      <c r="Y6">
        <f>IF(B6=0,0,Y5)</f>
        <v>0</v>
      </c>
      <c r="AA6">
        <f>U14</f>
        <v>10.04987562112089</v>
      </c>
      <c r="AB6">
        <f>U10</f>
        <v>810</v>
      </c>
      <c r="BC6">
        <v>6.9813170079773182E-2</v>
      </c>
      <c r="BD6">
        <v>-12.213412644048207</v>
      </c>
      <c r="BE6">
        <v>16.580194571933351</v>
      </c>
      <c r="BF6" s="6">
        <f t="shared" si="0"/>
        <v>2.2056833869442798</v>
      </c>
      <c r="BG6" s="6">
        <f t="shared" si="1"/>
        <v>2.1358702168645065</v>
      </c>
      <c r="BH6" s="6">
        <f t="shared" si="2"/>
        <v>0.83624061415435147</v>
      </c>
      <c r="BI6" s="6">
        <f t="shared" si="3"/>
        <v>0.83624061415435147</v>
      </c>
      <c r="BJ6">
        <v>-18.789865606228009</v>
      </c>
      <c r="BK6">
        <v>25.507991649128233</v>
      </c>
      <c r="BV6" s="38" t="s">
        <v>229</v>
      </c>
      <c r="BW6" s="9">
        <f>U11</f>
        <v>-10</v>
      </c>
      <c r="BX6" s="9">
        <f>U12</f>
        <v>1</v>
      </c>
      <c r="BY6">
        <f t="shared" ref="BY6:BY7" si="11">SQRT(POWER(BW6,2)+POWER(BX6,2))</f>
        <v>10.04987562112089</v>
      </c>
      <c r="BZ6">
        <f t="shared" ref="BZ6:BZ7" si="12">BW6/BY6</f>
        <v>-0.99503719020998915</v>
      </c>
      <c r="CA6">
        <f t="shared" ref="CA6:CA7" si="13">BX6/BY6</f>
        <v>9.9503719020998915E-2</v>
      </c>
      <c r="CB6">
        <f t="shared" ref="CB6:CB7" si="14">ATAN2(BZ6,CA6)</f>
        <v>3.0419240010986313</v>
      </c>
      <c r="CD6" s="1" t="s">
        <v>233</v>
      </c>
      <c r="CE6" s="6">
        <f>BW6-0</f>
        <v>-10</v>
      </c>
      <c r="CF6" s="6">
        <f>BX6-0</f>
        <v>1</v>
      </c>
      <c r="CG6">
        <f t="shared" ref="CG6:CG8" si="15">ATAN2(CE6,CF6)</f>
        <v>3.0419240010986313</v>
      </c>
      <c r="CH6" s="1" t="s">
        <v>238</v>
      </c>
      <c r="CI6" s="6">
        <f ca="1">BW7</f>
        <v>-144.02722583405526</v>
      </c>
      <c r="CJ6" s="6">
        <f ca="1">BX7</f>
        <v>14.402722583406035</v>
      </c>
      <c r="CK6">
        <f ca="1">ATAN2(CI6,CJ6)</f>
        <v>3.0419240010986277</v>
      </c>
      <c r="CU6">
        <v>4.2200212461948041</v>
      </c>
      <c r="CV6">
        <v>3.8273221644960795</v>
      </c>
      <c r="CW6">
        <v>4.0236717053454418</v>
      </c>
      <c r="CX6">
        <v>-3.1361964932425193</v>
      </c>
      <c r="CY6">
        <v>3.1411928986700324</v>
      </c>
      <c r="CZ6">
        <v>-3.1397112637825928</v>
      </c>
      <c r="DC6">
        <v>2.9559160123294648</v>
      </c>
      <c r="DD6">
        <v>2.9339783544915101</v>
      </c>
      <c r="DE6">
        <v>2.9441994096023958</v>
      </c>
      <c r="DF6">
        <v>7.8099084711573283</v>
      </c>
      <c r="DG6">
        <v>3.0357234305501084</v>
      </c>
      <c r="DH6">
        <v>-2.3158624835595276E-6</v>
      </c>
      <c r="DK6">
        <v>1.5553358433686104</v>
      </c>
      <c r="DL6">
        <v>-0.49596572653274479</v>
      </c>
      <c r="DM6">
        <v>1.5553358434686104</v>
      </c>
      <c r="DN6">
        <v>-0.49596572653593785</v>
      </c>
      <c r="DO6">
        <v>1.5553358432686104</v>
      </c>
      <c r="DP6">
        <v>-0.49596572652955206</v>
      </c>
      <c r="DQ6">
        <v>-3.1928903965194877E-2</v>
      </c>
      <c r="DR6">
        <v>-1.4117339345070419</v>
      </c>
      <c r="DZ6" s="9"/>
      <c r="EA6" t="s">
        <v>208</v>
      </c>
      <c r="EB6" s="9">
        <f ca="1">EB5</f>
        <v>810.00000000011823</v>
      </c>
      <c r="EC6" s="9">
        <f>EC4+5</f>
        <v>-5</v>
      </c>
      <c r="ED6" s="9">
        <f>ED4+5</f>
        <v>6</v>
      </c>
      <c r="EF6">
        <f>ATAN2(EC6,ED6)</f>
        <v>2.2655346029915995</v>
      </c>
      <c r="EG6" s="9">
        <f t="shared" ca="1" si="6"/>
        <v>810.03765344593182</v>
      </c>
      <c r="EH6">
        <f t="shared" ca="1" si="7"/>
        <v>0.99995351642525088</v>
      </c>
      <c r="EI6">
        <f t="shared" ca="1" si="8"/>
        <v>-6.1725525705253383E-3</v>
      </c>
      <c r="EJ6">
        <f t="shared" ca="1" si="9"/>
        <v>7.4070630846304062E-3</v>
      </c>
      <c r="EK6">
        <v>0</v>
      </c>
    </row>
    <row r="7" spans="1:141" ht="16" thickBot="1" x14ac:dyDescent="0.25">
      <c r="A7" s="8" t="s">
        <v>91</v>
      </c>
      <c r="B7" s="44">
        <v>0</v>
      </c>
      <c r="C7" t="s">
        <v>4</v>
      </c>
      <c r="E7" s="5">
        <f>E6</f>
        <v>12</v>
      </c>
      <c r="F7">
        <f>B8</f>
        <v>24</v>
      </c>
      <c r="G7">
        <f t="shared" si="5"/>
        <v>48</v>
      </c>
      <c r="T7" s="27" t="s">
        <v>96</v>
      </c>
      <c r="U7" s="28">
        <f ca="1">IF(AND(U5=0,U6=0),0,MOD(ATAN2(U5,U6),2*PI()))</f>
        <v>3.0419240010986277</v>
      </c>
      <c r="V7" s="17" t="s">
        <v>97</v>
      </c>
      <c r="W7" s="32">
        <f ca="1">IF((U13-U7)=0,0,ATAN2(COS(U13-U7),SIN(U13-U7)))</f>
        <v>3.5527136788005009E-15</v>
      </c>
      <c r="X7" s="38">
        <f ca="1">U7+2*PI()</f>
        <v>9.3251093082782148</v>
      </c>
      <c r="AA7">
        <f ca="1">U8</f>
        <v>144.74557056873454</v>
      </c>
      <c r="AB7" s="9">
        <f ca="1">U4</f>
        <v>810.00000000011823</v>
      </c>
      <c r="AE7" s="6" t="s">
        <v>195</v>
      </c>
      <c r="AF7" s="7">
        <v>6</v>
      </c>
      <c r="BC7">
        <v>8.7266462599716474E-2</v>
      </c>
      <c r="BD7">
        <v>-12.288814345313483</v>
      </c>
      <c r="BE7">
        <v>16.82380544699128</v>
      </c>
      <c r="BF7" s="6">
        <f t="shared" si="0"/>
        <v>2.201662375252786</v>
      </c>
      <c r="BG7" s="6">
        <f t="shared" si="1"/>
        <v>2.1143959126530696</v>
      </c>
      <c r="BH7" s="6">
        <f t="shared" si="2"/>
        <v>0.84026162584584529</v>
      </c>
      <c r="BI7" s="6">
        <f t="shared" si="3"/>
        <v>0.84026162584584529</v>
      </c>
      <c r="BJ7">
        <v>-18.905868223559203</v>
      </c>
      <c r="BK7">
        <v>25.882777610755813</v>
      </c>
      <c r="BV7" s="38" t="s">
        <v>230</v>
      </c>
      <c r="BW7" s="9">
        <f ca="1">U5</f>
        <v>-144.02722583405526</v>
      </c>
      <c r="BX7" s="9">
        <f ca="1">U6</f>
        <v>14.402722583406035</v>
      </c>
      <c r="BY7">
        <f t="shared" ca="1" si="11"/>
        <v>144.74557056873454</v>
      </c>
      <c r="BZ7">
        <f t="shared" ca="1" si="12"/>
        <v>-0.99503719020998882</v>
      </c>
      <c r="CA7">
        <f t="shared" ca="1" si="13"/>
        <v>9.9503719021002399E-2</v>
      </c>
      <c r="CB7">
        <f t="shared" ca="1" si="14"/>
        <v>3.0419240010986277</v>
      </c>
      <c r="CD7" s="1" t="s">
        <v>234</v>
      </c>
      <c r="CE7" s="6">
        <f ca="1">BW6-BW5</f>
        <v>56.07264188172941</v>
      </c>
      <c r="CF7" s="6">
        <f ca="1">BX6-BX5</f>
        <v>-21.024213960576471</v>
      </c>
      <c r="CG7">
        <f t="shared" ca="1" si="15"/>
        <v>-0.35872334537696271</v>
      </c>
      <c r="CH7" s="1" t="s">
        <v>237</v>
      </c>
      <c r="CI7" s="6">
        <f ca="1">BW7-BW5</f>
        <v>-77.954583952325848</v>
      </c>
      <c r="CJ7" s="6">
        <f ca="1">BX7-BX5</f>
        <v>-7.621491377170436</v>
      </c>
      <c r="CK7">
        <f t="shared" ref="CK7:CK10" ca="1" si="16">ATAN2(CI7,CJ7)</f>
        <v>-3.0441340360937317</v>
      </c>
      <c r="CU7">
        <v>4.0236717053454418</v>
      </c>
      <c r="CV7">
        <v>3.8273221644960795</v>
      </c>
      <c r="CW7">
        <v>3.9254969349207607</v>
      </c>
      <c r="CX7">
        <v>-3.1397112637825928</v>
      </c>
      <c r="CY7">
        <v>3.1411928986700324</v>
      </c>
      <c r="CZ7">
        <v>-3.1409596030982692</v>
      </c>
      <c r="DC7">
        <v>3.0357415172241367</v>
      </c>
      <c r="DD7">
        <v>2.9441994096023958</v>
      </c>
      <c r="DE7">
        <v>2.944197088328377</v>
      </c>
      <c r="DF7">
        <v>7.7917014027324685</v>
      </c>
      <c r="DG7">
        <v>3.035723472715175</v>
      </c>
      <c r="DH7">
        <v>5.4115352199346489E-9</v>
      </c>
      <c r="DK7">
        <v>-1.4117339345070419</v>
      </c>
      <c r="DL7">
        <v>2.1496482341058316</v>
      </c>
      <c r="DM7">
        <v>-1.4117339344070419</v>
      </c>
      <c r="DN7">
        <v>2.1496482341028464</v>
      </c>
      <c r="DO7">
        <v>-1.4117339346070419</v>
      </c>
      <c r="DP7">
        <v>2.1496482341078691</v>
      </c>
      <c r="DQ7">
        <v>-2.5113244817021041E-2</v>
      </c>
      <c r="DR7">
        <v>2.5050443939679532</v>
      </c>
      <c r="DV7" t="s">
        <v>197</v>
      </c>
    </row>
    <row r="8" spans="1:141" ht="16" thickBot="1" x14ac:dyDescent="0.25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5"/>
        <v>144</v>
      </c>
      <c r="T8" s="36" t="s">
        <v>109</v>
      </c>
      <c r="U8" s="6">
        <f ca="1">SQRT(POWER(U5,2)+POWER(U6,2))</f>
        <v>144.74557056873454</v>
      </c>
      <c r="V8" s="40" t="s">
        <v>70</v>
      </c>
      <c r="X8">
        <f ca="1">DEGREES(U7)</f>
        <v>174.28940686250016</v>
      </c>
      <c r="AE8" s="6" t="s">
        <v>8</v>
      </c>
      <c r="AF8" s="6" t="s">
        <v>9</v>
      </c>
      <c r="BC8">
        <v>0.10471975511965977</v>
      </c>
      <c r="BD8">
        <v>-12.36633512901567</v>
      </c>
      <c r="BE8">
        <v>17.068013806419689</v>
      </c>
      <c r="BF8" s="6">
        <f t="shared" si="0"/>
        <v>2.1977981888545619</v>
      </c>
      <c r="BG8" s="6">
        <f t="shared" si="1"/>
        <v>2.093078433734902</v>
      </c>
      <c r="BH8" s="6">
        <f t="shared" si="2"/>
        <v>0.84412581224406946</v>
      </c>
      <c r="BI8" s="6">
        <f t="shared" si="3"/>
        <v>0.84412581224406946</v>
      </c>
      <c r="BJ8">
        <v>-19.025130967716414</v>
      </c>
      <c r="BK8">
        <v>26.258482779107212</v>
      </c>
      <c r="BV8" s="38"/>
      <c r="BW8" s="1"/>
      <c r="BX8" s="1"/>
      <c r="BY8" s="1"/>
      <c r="BZ8" s="1"/>
      <c r="CA8" s="1"/>
      <c r="CB8" s="1"/>
      <c r="CC8" s="1"/>
      <c r="CD8" s="1" t="str">
        <f>"GU-G0"</f>
        <v>GU-G0</v>
      </c>
      <c r="CE8" s="6">
        <f ca="1">CE7-CE5</f>
        <v>-10</v>
      </c>
      <c r="CF8" s="6">
        <f ca="1">CF7-CF5</f>
        <v>1</v>
      </c>
      <c r="CG8">
        <f t="shared" ca="1" si="15"/>
        <v>3.0419240010986313</v>
      </c>
      <c r="CH8" s="1" t="s">
        <v>240</v>
      </c>
      <c r="CI8" s="6">
        <f ca="1">CI7-CE7</f>
        <v>-134.02722583405526</v>
      </c>
      <c r="CJ8" s="6">
        <f ca="1">CJ7-CF7</f>
        <v>13.402722583406035</v>
      </c>
      <c r="CK8">
        <f t="shared" ca="1" si="16"/>
        <v>3.0419240010986273</v>
      </c>
      <c r="CL8" s="6">
        <f ca="1">ATAN2(COS($CG$8-CK8),SIN($CG$8-CK8))</f>
        <v>3.9968028886505635E-15</v>
      </c>
      <c r="CN8" s="1"/>
      <c r="CO8" s="1"/>
      <c r="CP8" s="1"/>
      <c r="CQ8" s="1"/>
      <c r="CU8">
        <v>3.9254969349207607</v>
      </c>
      <c r="CV8">
        <v>3.8273221644960795</v>
      </c>
      <c r="CW8">
        <v>3.8764095497084199</v>
      </c>
      <c r="CX8">
        <v>-3.1409596030982692</v>
      </c>
      <c r="CY8">
        <v>3.1411928986700324</v>
      </c>
      <c r="CZ8">
        <v>-3.1414930517074233</v>
      </c>
      <c r="DC8">
        <v>3.0357234305501084</v>
      </c>
      <c r="DD8">
        <v>2.944197088328377</v>
      </c>
      <c r="DE8">
        <v>2.9441970937394544</v>
      </c>
      <c r="DF8">
        <v>7.7923606914692671</v>
      </c>
      <c r="DG8">
        <v>3.0357234727187428</v>
      </c>
      <c r="DH8">
        <v>4.5785597535541456E-13</v>
      </c>
      <c r="DK8">
        <v>2.5050443939679532</v>
      </c>
      <c r="DL8">
        <v>-1.0072968391078543</v>
      </c>
      <c r="DM8">
        <v>2.5050443940679532</v>
      </c>
      <c r="DN8">
        <v>-1.0072968395438266</v>
      </c>
      <c r="DO8">
        <v>2.5050443938679532</v>
      </c>
      <c r="DP8">
        <v>-1.0072968386718821</v>
      </c>
      <c r="DQ8">
        <v>-4.3597225829472563</v>
      </c>
      <c r="DR8">
        <v>2.2739983079055452</v>
      </c>
      <c r="DW8" s="9">
        <f ca="1">DW5</f>
        <v>-170.64000000000001</v>
      </c>
      <c r="DX8" s="9">
        <f ca="1">DX5</f>
        <v>127.98</v>
      </c>
      <c r="DY8" s="9">
        <f ca="1">DY5</f>
        <v>-42.660000000000004</v>
      </c>
    </row>
    <row r="9" spans="1:141" x14ac:dyDescent="0.2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5"/>
        <v>0</v>
      </c>
      <c r="T9" s="34" t="s">
        <v>98</v>
      </c>
      <c r="U9" s="35"/>
      <c r="V9" s="15"/>
      <c r="AA9" s="9">
        <f ca="1">U5-U11</f>
        <v>-134.02722583405526</v>
      </c>
      <c r="AB9" s="9">
        <f ca="1">U6-U12</f>
        <v>13.402722583406035</v>
      </c>
      <c r="AC9" s="9">
        <f ca="1">AA9+AB9</f>
        <v>-120.62450325064923</v>
      </c>
      <c r="AE9" s="6">
        <v>0</v>
      </c>
      <c r="AF9" s="6">
        <v>0</v>
      </c>
      <c r="BC9">
        <v>0.12217304763960306</v>
      </c>
      <c r="BD9">
        <v>-12.446037812174673</v>
      </c>
      <c r="BE9">
        <v>17.312932481544433</v>
      </c>
      <c r="BF9" s="6">
        <f t="shared" si="0"/>
        <v>2.1940858214017438</v>
      </c>
      <c r="BG9" s="6">
        <f t="shared" si="1"/>
        <v>2.0719127737621408</v>
      </c>
      <c r="BH9" s="6">
        <f t="shared" si="2"/>
        <v>0.84783817969688746</v>
      </c>
      <c r="BI9" s="6">
        <f t="shared" si="3"/>
        <v>0.84783817969688746</v>
      </c>
      <c r="BJ9">
        <v>-19.147750480268726</v>
      </c>
      <c r="BK9">
        <v>26.635280740837587</v>
      </c>
      <c r="BV9" s="38"/>
      <c r="BW9" s="6"/>
      <c r="BX9" s="6"/>
      <c r="BY9" s="1"/>
      <c r="CD9" s="6"/>
      <c r="CF9" s="9"/>
      <c r="CH9" s="1" t="s">
        <v>241</v>
      </c>
      <c r="CI9" s="6">
        <f ca="1">BW6-BW7</f>
        <v>134.02722583405526</v>
      </c>
      <c r="CJ9" s="6">
        <f ca="1">BX6-BX7</f>
        <v>-13.402722583406035</v>
      </c>
      <c r="CK9">
        <f t="shared" ca="1" si="16"/>
        <v>-9.9668652491165799E-2</v>
      </c>
      <c r="CL9" s="1"/>
      <c r="CM9" s="9"/>
      <c r="CR9" s="38"/>
      <c r="CU9">
        <v>3.8764095497084199</v>
      </c>
      <c r="CV9">
        <v>3.8273221644960795</v>
      </c>
      <c r="CW9">
        <v>3.8518658571022497</v>
      </c>
      <c r="CX9">
        <v>-3.1414930517074233</v>
      </c>
      <c r="CY9">
        <v>3.1411928986700324</v>
      </c>
      <c r="CZ9">
        <v>3.1414386480690148</v>
      </c>
      <c r="DK9">
        <v>2.2739983079055452</v>
      </c>
      <c r="DL9">
        <v>-0.58692581847228498</v>
      </c>
      <c r="DM9">
        <v>2.2739983080055453</v>
      </c>
      <c r="DN9">
        <v>-0.58692581852533898</v>
      </c>
      <c r="DO9">
        <v>2.2739983078055452</v>
      </c>
      <c r="DP9">
        <v>-0.58692581842034408</v>
      </c>
      <c r="DQ9">
        <v>-0.5249745083091284</v>
      </c>
      <c r="DR9">
        <v>1.1559900823962852</v>
      </c>
      <c r="DW9" s="9" t="s">
        <v>201</v>
      </c>
      <c r="DX9" s="9" t="s">
        <v>8</v>
      </c>
      <c r="DY9" s="9" t="s">
        <v>9</v>
      </c>
      <c r="DZ9" s="9" t="s">
        <v>203</v>
      </c>
    </row>
    <row r="10" spans="1:141" x14ac:dyDescent="0.2">
      <c r="E10">
        <v>0</v>
      </c>
      <c r="F10">
        <f>F9</f>
        <v>16</v>
      </c>
      <c r="G10">
        <f t="shared" si="5"/>
        <v>0</v>
      </c>
      <c r="T10" s="36" t="s">
        <v>99</v>
      </c>
      <c r="U10" s="47">
        <v>810</v>
      </c>
      <c r="V10" s="16" t="s">
        <v>68</v>
      </c>
      <c r="W10" t="str">
        <f>"+ Compression"</f>
        <v>+ Compression</v>
      </c>
      <c r="AE10" s="6">
        <f>AE9+(AF7*(U11-AE9))</f>
        <v>-60</v>
      </c>
      <c r="AF10" s="6">
        <f>AF9+(AF7*(U12-AF9))</f>
        <v>6</v>
      </c>
      <c r="BC10">
        <v>0.13962634015954636</v>
      </c>
      <c r="BD10">
        <v>-12.527989994385109</v>
      </c>
      <c r="BE10">
        <v>17.558676234861245</v>
      </c>
      <c r="BF10" s="6">
        <f t="shared" si="0"/>
        <v>2.1905206128552428</v>
      </c>
      <c r="BG10" s="6">
        <f t="shared" si="1"/>
        <v>2.0508942726956962</v>
      </c>
      <c r="BH10" s="6">
        <f t="shared" si="2"/>
        <v>0.85140338824338835</v>
      </c>
      <c r="BI10" s="6">
        <f t="shared" si="3"/>
        <v>0.85140338824338835</v>
      </c>
      <c r="BJ10">
        <v>-19.273830760592475</v>
      </c>
      <c r="BK10">
        <v>27.013348053632683</v>
      </c>
      <c r="BU10" s="9"/>
      <c r="BV10" s="38"/>
      <c r="BW10" s="9"/>
      <c r="BX10" s="6"/>
      <c r="BY10" s="1"/>
      <c r="CD10" s="1"/>
      <c r="CE10" s="1"/>
      <c r="CH10" s="39" t="s">
        <v>242</v>
      </c>
      <c r="CI10" s="6">
        <f ca="1">CI7-CE5</f>
        <v>-144.02722583405526</v>
      </c>
      <c r="CJ10" s="6">
        <f ca="1">CJ7-CF5</f>
        <v>14.402722583406035</v>
      </c>
      <c r="CK10">
        <f t="shared" ca="1" si="16"/>
        <v>3.0419240010986277</v>
      </c>
      <c r="CL10" s="1"/>
      <c r="CU10">
        <v>3.8764095497084199</v>
      </c>
      <c r="CV10">
        <v>3.8518658571022497</v>
      </c>
      <c r="CW10">
        <v>3.8641377034053348</v>
      </c>
      <c r="CX10">
        <v>-3.1414930517074233</v>
      </c>
      <c r="CY10">
        <v>3.1414386480690148</v>
      </c>
      <c r="CZ10">
        <v>3.141564430377624</v>
      </c>
      <c r="DK10">
        <v>1.1559900823962852</v>
      </c>
      <c r="DL10">
        <v>-0.48103603988662424</v>
      </c>
      <c r="DM10">
        <v>1.1559900824962852</v>
      </c>
      <c r="DN10">
        <v>-0.48103603989104887</v>
      </c>
      <c r="DO10">
        <v>1.1559900822962852</v>
      </c>
      <c r="DP10">
        <v>-0.48103603988219912</v>
      </c>
      <c r="DQ10">
        <v>-4.4248771313704083E-2</v>
      </c>
      <c r="DR10">
        <v>2.8511878798586232</v>
      </c>
      <c r="DV10" t="s">
        <v>193</v>
      </c>
      <c r="DW10" s="9">
        <f ca="1">DW4-$DW$8</f>
        <v>1080.7505000000001</v>
      </c>
      <c r="DX10" s="9">
        <f ca="1">DX4-$DX$8</f>
        <v>-213.86287500000003</v>
      </c>
      <c r="DY10" s="9">
        <f ca="1">DY4-$DY$8</f>
        <v>71.287625000000006</v>
      </c>
      <c r="DZ10" s="9">
        <v>0</v>
      </c>
      <c r="EB10" s="9">
        <f ca="1">EB4-$DW$8</f>
        <v>980.64</v>
      </c>
      <c r="EC10" s="9">
        <f ca="1">EC4-$DX$8</f>
        <v>-137.98000000000002</v>
      </c>
      <c r="ED10" s="9">
        <f ca="1">ED4-$DY$8</f>
        <v>43.660000000000004</v>
      </c>
      <c r="EE10" s="9">
        <v>0</v>
      </c>
      <c r="EF10">
        <f ca="1">ATAN2(EC10,ED10)</f>
        <v>2.8351381089535321</v>
      </c>
      <c r="EG10" s="9">
        <f ca="1">SQRT(POWER(EB10,2)+POWER(EC10,2)+POWER(ED10,2))</f>
        <v>991.26156265639588</v>
      </c>
      <c r="EH10">
        <f ca="1">EB10/EG10</f>
        <v>0.98928480326834012</v>
      </c>
      <c r="EI10">
        <f ca="1">EC10/EG10</f>
        <v>-0.139196358658596</v>
      </c>
      <c r="EJ10">
        <f ca="1">ED10/EG10</f>
        <v>4.404488345437238E-2</v>
      </c>
      <c r="EK10">
        <v>0</v>
      </c>
    </row>
    <row r="11" spans="1:141" x14ac:dyDescent="0.2">
      <c r="A11" t="s">
        <v>10</v>
      </c>
      <c r="E11">
        <v>0</v>
      </c>
      <c r="F11">
        <v>0</v>
      </c>
      <c r="G11">
        <f t="shared" si="5"/>
        <v>0</v>
      </c>
      <c r="T11" s="36" t="s">
        <v>100</v>
      </c>
      <c r="U11" s="47">
        <v>-10</v>
      </c>
      <c r="V11" s="16" t="s">
        <v>70</v>
      </c>
      <c r="W11" t="str">
        <f>"+ Puts Top of Section in Compression"</f>
        <v>+ Puts Top of Section in Compression</v>
      </c>
      <c r="BC11">
        <v>0.15707963267948966</v>
      </c>
      <c r="BD11">
        <v>-12.612264380880847</v>
      </c>
      <c r="BE11">
        <v>17.805361940434118</v>
      </c>
      <c r="BF11" s="6">
        <f t="shared" si="0"/>
        <v>2.1870982384294173</v>
      </c>
      <c r="BG11" s="6">
        <f t="shared" si="1"/>
        <v>2.0300186057499277</v>
      </c>
      <c r="BH11" s="6">
        <f t="shared" si="2"/>
        <v>0.85482576266921395</v>
      </c>
      <c r="BI11" s="6">
        <f t="shared" si="3"/>
        <v>0.85482576266921395</v>
      </c>
      <c r="BJ11">
        <v>-19.40348366289361</v>
      </c>
      <c r="BK11">
        <v>27.392864523744795</v>
      </c>
      <c r="BV11" s="38"/>
      <c r="BW11" s="6"/>
      <c r="BX11" s="1"/>
      <c r="BY11" s="1"/>
      <c r="CC11" s="1"/>
      <c r="CD11" s="1"/>
      <c r="CE11" s="1"/>
      <c r="CF11" s="9"/>
      <c r="CH11" s="39"/>
      <c r="CI11" s="1"/>
      <c r="CK11" s="39">
        <f ca="1">ATAN2(COS(CK9-CK10),SIN(CK9-CK10))</f>
        <v>3.1415926535897927</v>
      </c>
      <c r="CL11" s="1"/>
      <c r="CM11" s="38"/>
      <c r="CU11">
        <v>3.8764095497084199</v>
      </c>
      <c r="CV11">
        <v>3.8641377034053348</v>
      </c>
      <c r="CW11">
        <v>3.8702736265568776</v>
      </c>
      <c r="CX11">
        <v>-3.1414930517074233</v>
      </c>
      <c r="CY11">
        <v>3.141564430377624</v>
      </c>
      <c r="CZ11">
        <v>-3.1415572246946981</v>
      </c>
      <c r="DK11">
        <v>2.8511878798586232</v>
      </c>
      <c r="DL11">
        <v>-2.2102237236341233</v>
      </c>
      <c r="DM11">
        <v>2.8511878799586232</v>
      </c>
      <c r="DN11">
        <v>-2.210223723671545</v>
      </c>
      <c r="DO11">
        <v>2.8511878797586232</v>
      </c>
      <c r="DP11">
        <v>-2.2102237235967008</v>
      </c>
      <c r="DQ11">
        <v>-0.37422065446435226</v>
      </c>
      <c r="DR11">
        <v>-3.0550166475151221</v>
      </c>
      <c r="DV11" t="s">
        <v>194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980.64000000011822</v>
      </c>
      <c r="EC11" s="9">
        <f ca="1">EC5-$DX$8</f>
        <v>-272.00722583405525</v>
      </c>
      <c r="ED11" s="9">
        <f ca="1">ED5-$DY$8</f>
        <v>57.062722583406043</v>
      </c>
      <c r="EE11" s="9">
        <v>0</v>
      </c>
      <c r="EF11">
        <f ca="1">ATAN2(EC11,ED11)</f>
        <v>2.9348074904576684</v>
      </c>
      <c r="EG11" s="9">
        <f t="shared" ref="EG11:EG12" ca="1" si="17">SQRT(POWER(EB11,2)+POWER(EC11,2)+POWER(ED11,2))</f>
        <v>1019.2638985144139</v>
      </c>
      <c r="EH11">
        <f t="shared" ref="EH11:EH12" ca="1" si="18">EB11/EG11</f>
        <v>0.96210608599932723</v>
      </c>
      <c r="EI11">
        <f t="shared" ref="EI11:EI12" ca="1" si="19">EC11/EG11</f>
        <v>-0.26686633974823221</v>
      </c>
      <c r="EJ11">
        <f t="shared" ref="EJ11:EJ12" ca="1" si="20">ED11/EG11</f>
        <v>5.5984247716980323E-2</v>
      </c>
      <c r="EK11">
        <v>0</v>
      </c>
    </row>
    <row r="12" spans="1:141" x14ac:dyDescent="0.2">
      <c r="A12" s="8" t="s">
        <v>11</v>
      </c>
      <c r="B12" s="2">
        <v>60</v>
      </c>
      <c r="C12" t="s">
        <v>1</v>
      </c>
      <c r="G12">
        <f>SUM(G4:G11)</f>
        <v>288</v>
      </c>
      <c r="T12" s="36" t="s">
        <v>101</v>
      </c>
      <c r="U12" s="47">
        <v>1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-12.698938957927197</v>
      </c>
      <c r="BE12">
        <v>18.053108759004246</v>
      </c>
      <c r="BF12" s="6">
        <f t="shared" si="0"/>
        <v>2.1838146926148632</v>
      </c>
      <c r="BG12" s="6">
        <f t="shared" si="1"/>
        <v>2.0092817674154304</v>
      </c>
      <c r="BH12" s="6">
        <f t="shared" si="2"/>
        <v>0.8581093084837681</v>
      </c>
      <c r="BI12" s="6">
        <f t="shared" si="3"/>
        <v>0.8581093084837681</v>
      </c>
      <c r="BJ12">
        <v>-19.536829166041841</v>
      </c>
      <c r="BK12">
        <v>27.774013475391147</v>
      </c>
      <c r="BV12" s="38"/>
      <c r="CE12" s="9"/>
      <c r="CF12" s="9"/>
      <c r="CG12" s="1"/>
      <c r="CH12" s="38"/>
      <c r="CK12" s="39"/>
      <c r="CN12" s="1"/>
      <c r="CO12" s="1"/>
      <c r="CP12" s="1"/>
      <c r="CQ12" s="1"/>
      <c r="CU12">
        <v>3.8702736265568776</v>
      </c>
      <c r="CV12">
        <v>3.8641377034053348</v>
      </c>
      <c r="CW12">
        <v>3.867205664981106</v>
      </c>
      <c r="CX12">
        <v>-3.1415572246946981</v>
      </c>
      <c r="CY12">
        <v>3.141564430377624</v>
      </c>
      <c r="CZ12">
        <v>-3.1415891152126179</v>
      </c>
      <c r="DK12">
        <v>-3.0550166475151221</v>
      </c>
      <c r="DL12">
        <v>-2.4089291284708096</v>
      </c>
      <c r="DM12">
        <v>-3.0550166474151221</v>
      </c>
      <c r="DN12">
        <v>-2.408929128527288</v>
      </c>
      <c r="DO12">
        <v>-3.0550166476151221</v>
      </c>
      <c r="DP12">
        <v>-2.4089291284143322</v>
      </c>
      <c r="DQ12">
        <v>-0.56477933441101413</v>
      </c>
      <c r="DR12">
        <v>-1.037088550893684</v>
      </c>
      <c r="EB12" s="9">
        <f ca="1">EB6-$DW$8</f>
        <v>980.64000000011822</v>
      </c>
      <c r="EC12" s="9">
        <f ca="1">EC6-$DX$8</f>
        <v>-132.98000000000002</v>
      </c>
      <c r="ED12" s="9">
        <f ca="1">ED6-$DY$8</f>
        <v>48.660000000000004</v>
      </c>
      <c r="EE12" s="9">
        <v>0</v>
      </c>
      <c r="EF12">
        <f ca="1">ATAN2(EC12,ED12)</f>
        <v>2.7908064725138693</v>
      </c>
      <c r="EG12" s="9">
        <f t="shared" ca="1" si="17"/>
        <v>990.81092323421205</v>
      </c>
      <c r="EH12">
        <f t="shared" ca="1" si="18"/>
        <v>0.98973474858261168</v>
      </c>
      <c r="EI12">
        <f t="shared" ca="1" si="19"/>
        <v>-0.13421329628252962</v>
      </c>
      <c r="EJ12">
        <f t="shared" ca="1" si="20"/>
        <v>4.91112873898924E-2</v>
      </c>
      <c r="EK12">
        <v>0</v>
      </c>
    </row>
    <row r="13" spans="1:141" ht="16" thickBot="1" x14ac:dyDescent="0.25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3.0419240010986313</v>
      </c>
      <c r="V13" s="17" t="s">
        <v>97</v>
      </c>
      <c r="X13" s="38"/>
      <c r="Y13" s="9"/>
      <c r="Z13" s="1">
        <f ca="1">Z15*0.8</f>
        <v>728.08840000000009</v>
      </c>
      <c r="AA13" s="48"/>
      <c r="BC13">
        <v>0.19198621771937624</v>
      </c>
      <c r="BD13">
        <v>-12.788097320242974</v>
      </c>
      <c r="BE13">
        <v>18.302038336620978</v>
      </c>
      <c r="BF13" s="6">
        <f t="shared" si="0"/>
        <v>2.1806662788201727</v>
      </c>
      <c r="BG13" s="6">
        <f t="shared" si="1"/>
        <v>1.9886800611007964</v>
      </c>
      <c r="BH13" s="6">
        <f t="shared" si="2"/>
        <v>0.86125772227845854</v>
      </c>
      <c r="BI13" s="6">
        <f t="shared" si="3"/>
        <v>0.86125772227845854</v>
      </c>
      <c r="BJ13">
        <v>-19.673995877296882</v>
      </c>
      <c r="BK13">
        <v>28.156982056339963</v>
      </c>
      <c r="BV13" s="38"/>
      <c r="BW13" t="s">
        <v>147</v>
      </c>
      <c r="CF13" s="1"/>
      <c r="CG13" s="39"/>
      <c r="CH13" s="1"/>
      <c r="CI13" s="9"/>
      <c r="CJ13" s="9"/>
      <c r="CU13">
        <v>3.867205664981106</v>
      </c>
      <c r="CV13">
        <v>3.8641377034053348</v>
      </c>
      <c r="CW13">
        <v>3.8656716841932202</v>
      </c>
      <c r="CX13">
        <v>-3.1415891152126179</v>
      </c>
      <c r="CY13">
        <v>3.141564430377624</v>
      </c>
      <c r="CZ13">
        <v>3.1415802951361051</v>
      </c>
      <c r="DK13">
        <v>-1.037088550893684</v>
      </c>
      <c r="DL13">
        <v>2.1387868021809089</v>
      </c>
      <c r="DM13">
        <v>-1.037088550793684</v>
      </c>
      <c r="DN13">
        <v>2.1387868021774414</v>
      </c>
      <c r="DO13">
        <v>-1.037088550993684</v>
      </c>
      <c r="DP13">
        <v>2.1387868021843817</v>
      </c>
      <c r="DQ13">
        <v>-3.4701130857683893E-2</v>
      </c>
      <c r="DR13">
        <v>-2.2344429963337995</v>
      </c>
      <c r="DV13" t="s">
        <v>209</v>
      </c>
    </row>
    <row r="14" spans="1:141" ht="16" thickBot="1" x14ac:dyDescent="0.25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1" t="s">
        <v>109</v>
      </c>
      <c r="U14" s="42">
        <f>SQRT(POWER(U11,2)+POWER(U12,2))</f>
        <v>10.04987562112089</v>
      </c>
      <c r="V14" s="43" t="s">
        <v>70</v>
      </c>
      <c r="Y14" s="54"/>
      <c r="Z14" s="55" t="s">
        <v>99</v>
      </c>
      <c r="AA14" s="56" t="s">
        <v>100</v>
      </c>
      <c r="AB14" s="57" t="s">
        <v>101</v>
      </c>
      <c r="AC14" s="60" t="s">
        <v>211</v>
      </c>
      <c r="AD14" s="55" t="s">
        <v>212</v>
      </c>
      <c r="AE14" s="57" t="s">
        <v>213</v>
      </c>
      <c r="BC14">
        <v>0.20943951023931953</v>
      </c>
      <c r="BD14">
        <v>-12.879828982721312</v>
      </c>
      <c r="BE14">
        <v>18.552275010968831</v>
      </c>
      <c r="BF14" s="6">
        <f t="shared" si="0"/>
        <v>2.17764959857695</v>
      </c>
      <c r="BG14" s="6">
        <f t="shared" si="1"/>
        <v>1.9682100883376303</v>
      </c>
      <c r="BH14" s="6">
        <f t="shared" si="2"/>
        <v>0.86427440252168131</v>
      </c>
      <c r="BI14" s="6">
        <f t="shared" si="3"/>
        <v>0.86427440252168131</v>
      </c>
      <c r="BJ14">
        <v>-19.815121511878942</v>
      </c>
      <c r="BK14">
        <v>28.541961555336663</v>
      </c>
      <c r="BV14" s="38"/>
      <c r="BW14" t="s">
        <v>111</v>
      </c>
      <c r="BX14" s="1" t="s">
        <v>100</v>
      </c>
      <c r="BY14" s="1" t="s">
        <v>101</v>
      </c>
      <c r="BZ14" s="1"/>
      <c r="CA14" s="1"/>
      <c r="CB14" s="1" t="s">
        <v>150</v>
      </c>
      <c r="CC14" s="1" t="s">
        <v>151</v>
      </c>
      <c r="CE14" s="1"/>
      <c r="CF14" s="1" t="s">
        <v>150</v>
      </c>
      <c r="CG14" s="39"/>
      <c r="CH14" s="1"/>
      <c r="CI14" s="1"/>
      <c r="CJ14" s="1"/>
      <c r="CL14" s="1"/>
      <c r="CM14" s="1"/>
      <c r="CN14" s="1"/>
      <c r="CO14" s="1"/>
      <c r="CP14" s="1"/>
      <c r="CU14">
        <v>3.867205664981106</v>
      </c>
      <c r="CV14">
        <v>3.8656716841932202</v>
      </c>
      <c r="CW14">
        <v>3.8664386745871631</v>
      </c>
      <c r="CX14">
        <v>-3.1415891152126179</v>
      </c>
      <c r="CY14">
        <v>3.1415802951361051</v>
      </c>
      <c r="CZ14">
        <v>3.1415882395325352</v>
      </c>
      <c r="DK14">
        <v>-2.2344429963337995</v>
      </c>
      <c r="DL14">
        <v>2.1686811572417675</v>
      </c>
      <c r="DM14">
        <v>-2.2344429962337995</v>
      </c>
      <c r="DN14">
        <v>2.1686811572389502</v>
      </c>
      <c r="DO14">
        <v>-2.2344429964337995</v>
      </c>
      <c r="DP14">
        <v>2.168681157244591</v>
      </c>
      <c r="DQ14">
        <v>-2.8204105717577477E-2</v>
      </c>
      <c r="DR14">
        <v>-0.7402745266122851</v>
      </c>
      <c r="DV14" t="s">
        <v>198</v>
      </c>
      <c r="DW14">
        <f ca="1">ATAN2(-1*DX10,-1*DY10)</f>
        <v>-0.32175055439664219</v>
      </c>
      <c r="DX14" t="s">
        <v>97</v>
      </c>
    </row>
    <row r="15" spans="1:141" x14ac:dyDescent="0.2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21">IF($B15=0,NA(),D15)</f>
        <v>2</v>
      </c>
      <c r="L15" s="1">
        <f t="shared" ref="L15:L24" si="22">IF($B15=0,NA(),E15)</f>
        <v>2</v>
      </c>
      <c r="T15" s="37" t="s">
        <v>103</v>
      </c>
      <c r="U15" s="6">
        <f>SQRT(POWER(U12,2)+POWER(U11,2)+POWER(U10,2))</f>
        <v>810.0623432798244</v>
      </c>
      <c r="Y15" s="58" t="s">
        <v>193</v>
      </c>
      <c r="Z15" s="62">
        <f ca="1">B115</f>
        <v>910.1105</v>
      </c>
      <c r="AA15" s="62">
        <f ca="1">C116</f>
        <v>-85.882875000000013</v>
      </c>
      <c r="AB15" s="63">
        <f ca="1">C117</f>
        <v>28.627624999999998</v>
      </c>
      <c r="AC15" s="64">
        <f ca="1">Z15/0.65</f>
        <v>1400.1699999999998</v>
      </c>
      <c r="AD15" s="62">
        <f t="shared" ref="AD15:AE15" ca="1" si="23">AA15/0.65</f>
        <v>-132.12750000000003</v>
      </c>
      <c r="AE15" s="63">
        <f t="shared" ca="1" si="23"/>
        <v>44.042499999999997</v>
      </c>
      <c r="BC15">
        <v>0.22689280275926282</v>
      </c>
      <c r="BD15">
        <v>-12.974229706133196</v>
      </c>
      <c r="BE15">
        <v>18.803946029044805</v>
      </c>
      <c r="BF15" s="6">
        <f t="shared" si="0"/>
        <v>2.1747615412856427</v>
      </c>
      <c r="BG15" s="6">
        <f t="shared" si="1"/>
        <v>1.9478687385263798</v>
      </c>
      <c r="BH15" s="6">
        <f t="shared" si="2"/>
        <v>0.86716245981298867</v>
      </c>
      <c r="BI15" s="6">
        <f t="shared" si="3"/>
        <v>0.86716245981298867</v>
      </c>
      <c r="BJ15">
        <v>-19.960353394051069</v>
      </c>
      <c r="BK15">
        <v>28.929147736992007</v>
      </c>
      <c r="BV15" s="38"/>
      <c r="BW15" s="6">
        <f t="shared" ref="BW15:BW78" si="24">BC2</f>
        <v>0</v>
      </c>
      <c r="BX15" s="9">
        <f ca="1">BD2-$BW$5</f>
        <v>54.1407440931034</v>
      </c>
      <c r="BY15" s="9">
        <f ca="1">BE2-$BX$5</f>
        <v>-6.4146856738477833</v>
      </c>
      <c r="BZ15" s="9">
        <f ca="1">BX15-$CE$5</f>
        <v>-11.93189778862601</v>
      </c>
      <c r="CA15" s="6">
        <f ca="1">BY15-$CF$5</f>
        <v>15.609528286728688</v>
      </c>
      <c r="CB15" s="6">
        <f ca="1">ATAN2(BZ15,CA15)</f>
        <v>2.2234488797717287</v>
      </c>
      <c r="CC15" s="6">
        <f ca="1">ATAN2(COS(CF15-CB15),SIN(CF15-CB15))</f>
        <v>-0.52117986552778151</v>
      </c>
      <c r="CD15" s="9">
        <f>BD2-$BW$6</f>
        <v>-1.9318977886260082</v>
      </c>
      <c r="CE15" s="9">
        <f>BE2-$BX$6</f>
        <v>14.609528286728688</v>
      </c>
      <c r="CF15" s="6">
        <f>ATAN2(CD15,CE15)</f>
        <v>1.7022690142439472</v>
      </c>
      <c r="CG15" s="6"/>
      <c r="CH15" s="6"/>
      <c r="CI15" s="6"/>
      <c r="CJ15" s="1"/>
      <c r="CK15" s="6"/>
      <c r="CL15" s="9"/>
      <c r="CM15" s="9"/>
      <c r="CN15" s="1"/>
      <c r="CO15" s="1"/>
      <c r="CP15" s="1"/>
      <c r="CQ15" s="1"/>
      <c r="CU15">
        <v>3.867205664981106</v>
      </c>
      <c r="CV15">
        <v>3.8664386745871631</v>
      </c>
      <c r="CW15">
        <v>3.8668221697841343</v>
      </c>
      <c r="CX15">
        <v>-3.1415891152126179</v>
      </c>
      <c r="CY15">
        <v>3.1415882395325352</v>
      </c>
      <c r="CZ15">
        <v>3.1415922147437687</v>
      </c>
      <c r="DK15">
        <v>-0.7402745266122851</v>
      </c>
      <c r="DL15">
        <v>2.1256078685304454</v>
      </c>
      <c r="DM15">
        <v>-0.74027452651228509</v>
      </c>
      <c r="DN15">
        <v>2.1256078685246571</v>
      </c>
      <c r="DO15">
        <v>-0.74027452671228511</v>
      </c>
      <c r="DP15">
        <v>2.1256078685362354</v>
      </c>
      <c r="DQ15">
        <v>-5.7891469396054163E-2</v>
      </c>
      <c r="DR15">
        <v>-1.7222691379871775</v>
      </c>
      <c r="DV15" t="s">
        <v>199</v>
      </c>
      <c r="DW15">
        <v>1</v>
      </c>
      <c r="DX15">
        <v>0</v>
      </c>
      <c r="DY15">
        <v>0</v>
      </c>
    </row>
    <row r="16" spans="1:141" ht="16" thickBot="1" x14ac:dyDescent="0.25">
      <c r="A16">
        <v>2</v>
      </c>
      <c r="B16" s="19">
        <v>8</v>
      </c>
      <c r="C16" s="6">
        <f t="shared" ref="C16:C24" ca="1" si="25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21"/>
        <v>2</v>
      </c>
      <c r="L16" s="1">
        <f t="shared" si="22"/>
        <v>4</v>
      </c>
      <c r="T16" s="37" t="s">
        <v>104</v>
      </c>
      <c r="U16" s="39">
        <f>U10/U15</f>
        <v>0.99992303891133616</v>
      </c>
      <c r="V16" s="39">
        <f>U11/U15</f>
        <v>-1.2344728875448595E-2</v>
      </c>
      <c r="W16" s="39">
        <f>U12/U15</f>
        <v>1.2344728875448594E-3</v>
      </c>
      <c r="X16" s="38"/>
      <c r="Y16" s="59" t="s">
        <v>194</v>
      </c>
      <c r="Z16" s="65">
        <f ca="1">J115</f>
        <v>-170.64000000000001</v>
      </c>
      <c r="AA16" s="65">
        <f ca="1">K116</f>
        <v>127.98</v>
      </c>
      <c r="AB16" s="66">
        <f ca="1">K117</f>
        <v>-42.660000000000004</v>
      </c>
      <c r="AC16" s="67">
        <f ca="1">Z16/0.9</f>
        <v>-189.60000000000002</v>
      </c>
      <c r="AD16" s="65">
        <f t="shared" ref="AD16:AE16" ca="1" si="26">AA16/0.9</f>
        <v>142.19999999999999</v>
      </c>
      <c r="AE16" s="66">
        <f t="shared" ca="1" si="26"/>
        <v>-47.400000000000006</v>
      </c>
      <c r="BC16">
        <v>0.24434609527920612</v>
      </c>
      <c r="BD16">
        <v>-13.071401879456358</v>
      </c>
      <c r="BE16">
        <v>19.057181780117542</v>
      </c>
      <c r="BF16" s="6">
        <f t="shared" si="0"/>
        <v>2.1719992758664914</v>
      </c>
      <c r="BG16" s="6">
        <f t="shared" si="1"/>
        <v>1.9276531805872854</v>
      </c>
      <c r="BH16" s="6">
        <f t="shared" si="2"/>
        <v>0.86992472523213982</v>
      </c>
      <c r="BI16" s="6">
        <f t="shared" si="3"/>
        <v>0.86992472523213982</v>
      </c>
      <c r="BJ16">
        <v>-20.109849045317475</v>
      </c>
      <c r="BK16">
        <v>29.318741200180831</v>
      </c>
      <c r="BV16" s="38"/>
      <c r="BW16" s="6">
        <f t="shared" ref="BW16:BW79" si="27">BC3</f>
        <v>1.7453292519943295E-2</v>
      </c>
      <c r="BX16" s="9">
        <f t="shared" ref="BX16:BX79" ca="1" si="28">BD3-$BW$5</f>
        <v>54.073279991040387</v>
      </c>
      <c r="BY16" s="9">
        <f t="shared" ref="BY16:BY79" ca="1" si="29">BE3-$BX$5</f>
        <v>-6.1723697054626427</v>
      </c>
      <c r="BZ16" s="9">
        <f t="shared" ref="BZ16:BZ79" ca="1" si="30">BX16-$CE$5</f>
        <v>-11.999361890689023</v>
      </c>
      <c r="CA16" s="6">
        <f t="shared" ref="CA16:CA79" ca="1" si="31">BY16-$CF$5</f>
        <v>15.851844255113829</v>
      </c>
      <c r="CB16" s="6">
        <f t="shared" ref="CB16:CB79" ca="1" si="32">ATAN2(BZ16,CA16)</f>
        <v>2.2187429848997287</v>
      </c>
      <c r="CC16" s="6">
        <f t="shared" ref="CC16:CC79" ca="1" si="33">ATAN2(COS(CF16-CB16),SIN(CF16-CB16))</f>
        <v>-0.51413070978881925</v>
      </c>
      <c r="CD16" s="9">
        <f t="shared" ref="CD16:CD79" si="34">BD3-$BW$6</f>
        <v>-1.9993618906890251</v>
      </c>
      <c r="CE16" s="9">
        <f t="shared" ref="CE16:CE79" si="35">BE3-$BX$6</f>
        <v>14.851844255113829</v>
      </c>
      <c r="CF16" s="6">
        <f t="shared" ref="CF16:CF79" si="36">ATAN2(CD16,CE16)</f>
        <v>1.7046122751109094</v>
      </c>
      <c r="CG16" s="6"/>
      <c r="CH16" s="6"/>
      <c r="CI16" s="6"/>
      <c r="CJ16" s="1"/>
      <c r="CK16" s="6"/>
      <c r="CU16">
        <v>3.867205664981106</v>
      </c>
      <c r="CV16">
        <v>3.8668221697841343</v>
      </c>
      <c r="CW16">
        <v>3.8670139173826201</v>
      </c>
      <c r="CX16">
        <v>-3.1415891152126179</v>
      </c>
      <c r="CY16">
        <v>3.1415922147437687</v>
      </c>
      <c r="CZ16">
        <v>-3.1415911040758364</v>
      </c>
      <c r="DK16">
        <v>-1.7222691379871775</v>
      </c>
      <c r="DL16">
        <v>2.1566417634407493</v>
      </c>
      <c r="DM16">
        <v>-1.7222691378871775</v>
      </c>
      <c r="DN16">
        <v>2.1566417634402884</v>
      </c>
      <c r="DO16">
        <v>-1.7222691380871775</v>
      </c>
      <c r="DP16">
        <v>2.1566417634438917</v>
      </c>
      <c r="DQ16">
        <v>-1.801669924361704E-2</v>
      </c>
      <c r="DR16">
        <v>-1.4004108493881351</v>
      </c>
      <c r="DV16" t="s">
        <v>200</v>
      </c>
      <c r="DW16">
        <f ca="1">(DW15*DW15*(1-COS(DW14)))+COS(DW14)</f>
        <v>1</v>
      </c>
      <c r="DX16">
        <f ca="1">(DX15*DW15*(1-COS(DW14)))-(DY15*SIN(DW14))</f>
        <v>0</v>
      </c>
      <c r="DY16">
        <f ca="1">(DY15*DW15*(1-COS(DW14)))+(DX15*SIN(DW14))</f>
        <v>0</v>
      </c>
      <c r="DZ16">
        <v>0</v>
      </c>
    </row>
    <row r="17" spans="1:136" x14ac:dyDescent="0.2">
      <c r="A17">
        <v>3</v>
      </c>
      <c r="B17" s="19">
        <v>8</v>
      </c>
      <c r="C17" s="6">
        <f t="shared" ca="1" si="25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21"/>
        <v>4</v>
      </c>
      <c r="L17" s="1">
        <f t="shared" si="22"/>
        <v>2</v>
      </c>
      <c r="Y17" s="60" t="s">
        <v>204</v>
      </c>
      <c r="Z17" s="68">
        <f>U10</f>
        <v>810</v>
      </c>
      <c r="AA17" s="68">
        <f>U11</f>
        <v>-10</v>
      </c>
      <c r="AB17" s="69">
        <f>U12</f>
        <v>1</v>
      </c>
      <c r="AC17" s="70">
        <f ca="1">Z17/$U$3</f>
        <v>1246.1538461538462</v>
      </c>
      <c r="AD17" s="68">
        <f t="shared" ref="AD17:AE17" ca="1" si="37">AA17/$U$3</f>
        <v>-15.384615384615383</v>
      </c>
      <c r="AE17" s="69">
        <f t="shared" ca="1" si="37"/>
        <v>1.5384615384615383</v>
      </c>
      <c r="BC17">
        <v>0.26179938779914941</v>
      </c>
      <c r="BD17">
        <v>-13.171454905662538</v>
      </c>
      <c r="BE17">
        <v>19.312116040340126</v>
      </c>
      <c r="BF17" s="6">
        <f t="shared" si="0"/>
        <v>2.1693602423708063</v>
      </c>
      <c r="BG17" s="6">
        <f t="shared" si="1"/>
        <v>1.9075608545716569</v>
      </c>
      <c r="BH17" s="6">
        <f t="shared" si="2"/>
        <v>0.87256375872782499</v>
      </c>
      <c r="BI17" s="6">
        <f t="shared" si="3"/>
        <v>0.87256375872782499</v>
      </c>
      <c r="BJ17">
        <v>-20.263776777942365</v>
      </c>
      <c r="BK17">
        <v>29.710947754369421</v>
      </c>
      <c r="BV17" s="38"/>
      <c r="BW17" s="6">
        <f t="shared" si="27"/>
        <v>3.4906585039886591E-2</v>
      </c>
      <c r="BX17" s="9">
        <f t="shared" ca="1" si="28"/>
        <v>54.003903799739675</v>
      </c>
      <c r="BY17" s="9">
        <f t="shared" ca="1" si="29"/>
        <v>-5.9298912921806277</v>
      </c>
      <c r="BZ17" s="9">
        <f t="shared" ca="1" si="30"/>
        <v>-12.068738081989736</v>
      </c>
      <c r="CA17" s="6">
        <f t="shared" ca="1" si="31"/>
        <v>16.094322668395844</v>
      </c>
      <c r="CB17" s="6">
        <f t="shared" ca="1" si="32"/>
        <v>2.2142177438214441</v>
      </c>
      <c r="CC17" s="6">
        <f t="shared" ca="1" si="33"/>
        <v>-0.50721595421276455</v>
      </c>
      <c r="CD17" s="9">
        <f t="shared" si="34"/>
        <v>-2.0687380819897374</v>
      </c>
      <c r="CE17" s="9">
        <f t="shared" si="35"/>
        <v>15.094322668395844</v>
      </c>
      <c r="CF17" s="6">
        <f t="shared" si="36"/>
        <v>1.7070017896086795</v>
      </c>
      <c r="CG17" s="6"/>
      <c r="CH17" s="6"/>
      <c r="CI17" s="6"/>
      <c r="CJ17" s="1"/>
      <c r="CK17" s="6"/>
      <c r="CU17">
        <v>3.8670139173826201</v>
      </c>
      <c r="CV17">
        <v>3.8668221697841343</v>
      </c>
      <c r="CW17">
        <v>3.866918043583377</v>
      </c>
      <c r="CX17">
        <v>-3.1415911040758364</v>
      </c>
      <c r="CY17">
        <v>3.1415922147437687</v>
      </c>
      <c r="CZ17">
        <v>-3.141592098318791</v>
      </c>
      <c r="DK17">
        <v>-1.4004108493881351</v>
      </c>
      <c r="DL17">
        <v>2.1493679497221168</v>
      </c>
      <c r="DM17">
        <v>-1.4004108492881351</v>
      </c>
      <c r="DN17">
        <v>2.1493679497191236</v>
      </c>
      <c r="DO17">
        <v>-1.4004108494881351</v>
      </c>
      <c r="DP17">
        <v>2.1493679497241791</v>
      </c>
      <c r="DQ17">
        <v>-2.5277557824665564E-2</v>
      </c>
      <c r="DR17">
        <v>1.9488609149249252</v>
      </c>
      <c r="DW17">
        <f ca="1">(DW15*DX15*(1-COS(DW14)))+(DY15*SIN(DW14))</f>
        <v>0</v>
      </c>
      <c r="DX17">
        <f ca="1">(DX15*DX15*(1-COS(DW14)))+COS(DW14)</f>
        <v>0.94868329805051377</v>
      </c>
      <c r="DY17">
        <f ca="1">(DY15*DX15*(1-COS(DW14)))-(DW15*SIN(DW14))</f>
        <v>0.31622776601683794</v>
      </c>
      <c r="DZ17">
        <v>0</v>
      </c>
    </row>
    <row r="18" spans="1:136" ht="16" thickBot="1" x14ac:dyDescent="0.25">
      <c r="A18">
        <v>4</v>
      </c>
      <c r="B18" s="19">
        <v>8</v>
      </c>
      <c r="C18" s="6">
        <f t="shared" ca="1" si="25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21"/>
        <v>4</v>
      </c>
      <c r="L18" s="1">
        <f t="shared" si="22"/>
        <v>4</v>
      </c>
      <c r="T18" s="8" t="s">
        <v>105</v>
      </c>
      <c r="U18" s="6">
        <f ca="1">SQRT(POWER(U6,2)+POWER(U5,2)+POWER(U4,2))</f>
        <v>822.83125864265753</v>
      </c>
      <c r="Y18" s="61" t="s">
        <v>205</v>
      </c>
      <c r="Z18" s="65">
        <f ca="1">U4</f>
        <v>810.00000000011823</v>
      </c>
      <c r="AA18" s="65">
        <f ca="1">U5</f>
        <v>-144.02722583405526</v>
      </c>
      <c r="AB18" s="66">
        <f ca="1">U6</f>
        <v>14.402722583406035</v>
      </c>
      <c r="AC18" s="67">
        <f ca="1">Z18/$U$3</f>
        <v>1246.1538461540281</v>
      </c>
      <c r="AD18" s="65">
        <f t="shared" ref="AD18" ca="1" si="38">AA18/$U$3</f>
        <v>-221.58034743700807</v>
      </c>
      <c r="AE18" s="66">
        <f t="shared" ref="AE18" ca="1" si="39">AB18/$U$3</f>
        <v>22.158034743701592</v>
      </c>
      <c r="BC18">
        <v>0.27925268031909273</v>
      </c>
      <c r="BD18">
        <v>-13.274505727069991</v>
      </c>
      <c r="BE18">
        <v>19.568886239281731</v>
      </c>
      <c r="BF18" s="6">
        <f t="shared" si="0"/>
        <v>2.1668421480368631</v>
      </c>
      <c r="BG18" s="6">
        <f t="shared" si="1"/>
        <v>1.8875894677177705</v>
      </c>
      <c r="BH18" s="6">
        <f t="shared" si="2"/>
        <v>0.87508185306176811</v>
      </c>
      <c r="BI18" s="6">
        <f t="shared" si="3"/>
        <v>0.87508185306176811</v>
      </c>
      <c r="BJ18">
        <v>-20.4223165031846</v>
      </c>
      <c r="BK18">
        <v>30.105978829664203</v>
      </c>
      <c r="BV18" s="38"/>
      <c r="BW18" s="6">
        <f t="shared" si="27"/>
        <v>5.235987755982989E-2</v>
      </c>
      <c r="BX18" s="9">
        <f t="shared" ca="1" si="28"/>
        <v>53.93257006472281</v>
      </c>
      <c r="BY18" s="9">
        <f t="shared" ca="1" si="29"/>
        <v>-5.6871438370132843</v>
      </c>
      <c r="BZ18" s="9">
        <f t="shared" ca="1" si="30"/>
        <v>-12.1400718170066</v>
      </c>
      <c r="CA18" s="6">
        <f t="shared" ca="1" si="31"/>
        <v>16.337070123563187</v>
      </c>
      <c r="CB18" s="6">
        <f t="shared" ca="1" si="32"/>
        <v>2.2098665933361108</v>
      </c>
      <c r="CC18" s="6">
        <f t="shared" ca="1" si="33"/>
        <v>-0.50042953676134472</v>
      </c>
      <c r="CD18" s="9">
        <f t="shared" si="34"/>
        <v>-2.1400718170066</v>
      </c>
      <c r="CE18" s="9">
        <f t="shared" si="35"/>
        <v>15.337070123563187</v>
      </c>
      <c r="CF18" s="6">
        <f t="shared" si="36"/>
        <v>1.7094370565747661</v>
      </c>
      <c r="CG18" s="6"/>
      <c r="CH18" s="6"/>
      <c r="CI18" s="6"/>
      <c r="CJ18" s="1"/>
      <c r="CK18" s="6"/>
      <c r="CU18">
        <v>3.866918043583377</v>
      </c>
      <c r="CV18">
        <v>3.8668221697841343</v>
      </c>
      <c r="CW18">
        <v>3.8668701066837556</v>
      </c>
      <c r="CX18">
        <v>-3.141592098318791</v>
      </c>
      <c r="CY18">
        <v>3.1415922147437687</v>
      </c>
      <c r="CZ18">
        <v>-3.1415925953930635</v>
      </c>
      <c r="DK18">
        <v>1.9488609149249252</v>
      </c>
      <c r="DL18">
        <v>-0.50726188544294071</v>
      </c>
      <c r="DM18">
        <v>1.9488609150249252</v>
      </c>
      <c r="DN18">
        <v>-0.50726188544816031</v>
      </c>
      <c r="DO18">
        <v>1.9488609148249252</v>
      </c>
      <c r="DP18">
        <v>-0.50726188544239004</v>
      </c>
      <c r="DQ18">
        <v>-2.8851365740933943E-2</v>
      </c>
      <c r="DR18">
        <v>-3.0666704852622746</v>
      </c>
      <c r="DW18">
        <f ca="1">(DW15*DY15*(1-COS(DW14)))-(DX15*SIN(DW14))</f>
        <v>0</v>
      </c>
      <c r="DX18">
        <f ca="1">(DX15*DY15*(1-COS(DW14)))+(DW15*SIN(DW14))</f>
        <v>-0.31622776601683794</v>
      </c>
      <c r="DY18">
        <f ca="1">(DY15*DY15*(1-COS(DW14)))+COS(DW14)</f>
        <v>0.94868329805051377</v>
      </c>
      <c r="DZ18">
        <v>0</v>
      </c>
    </row>
    <row r="19" spans="1:136" x14ac:dyDescent="0.2">
      <c r="A19">
        <v>5</v>
      </c>
      <c r="B19" s="19">
        <v>0</v>
      </c>
      <c r="C19" s="6">
        <f t="shared" ca="1" si="25"/>
        <v>0</v>
      </c>
      <c r="D19" s="2">
        <v>6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21"/>
        <v>#N/A</v>
      </c>
      <c r="L19" s="1" t="e">
        <f t="shared" si="22"/>
        <v>#N/A</v>
      </c>
      <c r="T19" s="8" t="s">
        <v>106</v>
      </c>
      <c r="U19" s="39">
        <f ca="1">U4/U18</f>
        <v>0.98440596597690544</v>
      </c>
      <c r="V19" s="39">
        <f ca="1">U5/U18</f>
        <v>-0.17503859305447703</v>
      </c>
      <c r="W19" s="39">
        <f ca="1">U6/U18</f>
        <v>1.7503859305448319E-2</v>
      </c>
      <c r="X19" s="38"/>
      <c r="BC19">
        <v>0.29670597283903605</v>
      </c>
      <c r="BD19">
        <v>-13.380679230394042</v>
      </c>
      <c r="BE19">
        <v>19.82763373074938</v>
      </c>
      <c r="BF19" s="6">
        <f t="shared" si="0"/>
        <v>2.1644429588602194</v>
      </c>
      <c r="BG19" s="6">
        <f t="shared" si="1"/>
        <v>1.8677369860211834</v>
      </c>
      <c r="BH19" s="6">
        <f t="shared" si="2"/>
        <v>0.87748104223841183</v>
      </c>
      <c r="BI19" s="6">
        <f t="shared" si="3"/>
        <v>0.87748104223841183</v>
      </c>
      <c r="BJ19">
        <v>-20.585660354452372</v>
      </c>
      <c r="BK19">
        <v>30.504051893460584</v>
      </c>
      <c r="BV19" s="38"/>
      <c r="BW19" s="6">
        <f t="shared" si="27"/>
        <v>6.9813170079773182E-2</v>
      </c>
      <c r="BX19" s="9">
        <f t="shared" ca="1" si="28"/>
        <v>53.859229237681205</v>
      </c>
      <c r="BY19" s="9">
        <f t="shared" ca="1" si="29"/>
        <v>-5.4440193886431203</v>
      </c>
      <c r="BZ19" s="9">
        <f t="shared" ca="1" si="30"/>
        <v>-12.213412644048205</v>
      </c>
      <c r="CA19" s="6">
        <f t="shared" ca="1" si="31"/>
        <v>16.580194571933351</v>
      </c>
      <c r="CB19" s="6">
        <f t="shared" ca="1" si="32"/>
        <v>2.2056833869442798</v>
      </c>
      <c r="CC19" s="6">
        <f t="shared" ca="1" si="33"/>
        <v>-0.49376561750725445</v>
      </c>
      <c r="CD19" s="9">
        <f t="shared" si="34"/>
        <v>-2.2134126440482067</v>
      </c>
      <c r="CE19" s="9">
        <f t="shared" si="35"/>
        <v>15.580194571933351</v>
      </c>
      <c r="CF19" s="6">
        <f t="shared" si="36"/>
        <v>1.7119177694370253</v>
      </c>
      <c r="CG19" s="6"/>
      <c r="CH19" s="6"/>
      <c r="CI19" s="6"/>
      <c r="CJ19" s="1"/>
      <c r="CK19" s="6"/>
      <c r="CU19">
        <v>3.8668701066837556</v>
      </c>
      <c r="CV19">
        <v>3.8668221697841343</v>
      </c>
      <c r="CW19">
        <v>3.866846138233945</v>
      </c>
      <c r="CX19">
        <v>-3.1415925953930635</v>
      </c>
      <c r="CY19">
        <v>3.1415922147437687</v>
      </c>
      <c r="CZ19">
        <v>3.1415924632612273</v>
      </c>
      <c r="DK19">
        <v>-3.0666704852622746</v>
      </c>
      <c r="DL19">
        <v>-2.4025035521684166</v>
      </c>
      <c r="DM19">
        <v>-3.0666704851622746</v>
      </c>
      <c r="DN19">
        <v>-2.4025035522262002</v>
      </c>
      <c r="DO19">
        <v>-3.0666704853622746</v>
      </c>
      <c r="DP19">
        <v>-2.4025035521106335</v>
      </c>
      <c r="DQ19">
        <v>-0.57783333673455672</v>
      </c>
      <c r="DR19">
        <v>-0.9412645920317162</v>
      </c>
      <c r="DW19">
        <v>0</v>
      </c>
      <c r="DX19">
        <v>0</v>
      </c>
      <c r="DY19">
        <v>0</v>
      </c>
      <c r="DZ19">
        <v>1</v>
      </c>
    </row>
    <row r="20" spans="1:136" x14ac:dyDescent="0.2">
      <c r="A20">
        <v>6</v>
      </c>
      <c r="B20" s="19">
        <v>0</v>
      </c>
      <c r="C20" s="6">
        <f t="shared" ca="1" si="25"/>
        <v>0</v>
      </c>
      <c r="D20" s="2">
        <v>0</v>
      </c>
      <c r="E20" s="2">
        <v>8.66</v>
      </c>
      <c r="G20" s="1">
        <v>8</v>
      </c>
      <c r="H20" s="6">
        <v>1</v>
      </c>
      <c r="I20" s="6">
        <v>0.79</v>
      </c>
      <c r="K20" s="1" t="e">
        <f t="shared" si="21"/>
        <v>#N/A</v>
      </c>
      <c r="L20" s="1" t="e">
        <f t="shared" si="22"/>
        <v>#N/A</v>
      </c>
      <c r="Y20" s="38"/>
      <c r="BC20">
        <v>0.31415926535897937</v>
      </c>
      <c r="BD20">
        <v>-13.490108801800774</v>
      </c>
      <c r="BE20">
        <v>20.08850408834828</v>
      </c>
      <c r="BF20" s="6">
        <f t="shared" si="0"/>
        <v>2.162160895725064</v>
      </c>
      <c r="BG20" s="6">
        <f t="shared" si="1"/>
        <v>1.8480016303660847</v>
      </c>
      <c r="BH20" s="6">
        <f t="shared" si="2"/>
        <v>0.87976310537356728</v>
      </c>
      <c r="BI20" s="6">
        <f t="shared" si="3"/>
        <v>0.87976310537356728</v>
      </c>
      <c r="BJ20">
        <v>-20.754013541231959</v>
      </c>
      <c r="BK20">
        <v>30.905390905151201</v>
      </c>
      <c r="BV20" s="38"/>
      <c r="BW20" s="6">
        <f t="shared" si="27"/>
        <v>8.7266462599716474E-2</v>
      </c>
      <c r="BX20" s="9">
        <f t="shared" ca="1" si="28"/>
        <v>53.783827536415927</v>
      </c>
      <c r="BY20" s="9">
        <f t="shared" ca="1" si="29"/>
        <v>-5.2004085135851916</v>
      </c>
      <c r="BZ20" s="9">
        <f t="shared" ca="1" si="30"/>
        <v>-12.288814345313483</v>
      </c>
      <c r="CA20" s="6">
        <f t="shared" ca="1" si="31"/>
        <v>16.82380544699128</v>
      </c>
      <c r="CB20" s="6">
        <f t="shared" ca="1" si="32"/>
        <v>2.201662375252786</v>
      </c>
      <c r="CC20" s="6">
        <f t="shared" ca="1" si="33"/>
        <v>-0.48721857170462241</v>
      </c>
      <c r="CD20" s="9">
        <f t="shared" si="34"/>
        <v>-2.288814345313483</v>
      </c>
      <c r="CE20" s="9">
        <f t="shared" si="35"/>
        <v>15.82380544699128</v>
      </c>
      <c r="CF20" s="6">
        <f t="shared" si="36"/>
        <v>1.7144438035481635</v>
      </c>
      <c r="CG20" s="6"/>
      <c r="CH20" s="6"/>
      <c r="CI20" s="6"/>
      <c r="CJ20" s="1"/>
      <c r="CK20" s="6"/>
      <c r="CU20">
        <v>3.8668701066837556</v>
      </c>
      <c r="CV20">
        <v>3.866846138233945</v>
      </c>
      <c r="CW20">
        <v>3.8668581224588503</v>
      </c>
      <c r="CX20">
        <v>-3.1415925953930635</v>
      </c>
      <c r="CY20">
        <v>3.1415924632612273</v>
      </c>
      <c r="CZ20">
        <v>3.1415925875228528</v>
      </c>
      <c r="DK20">
        <v>-0.9412645920317162</v>
      </c>
      <c r="DL20">
        <v>2.1351754361646451</v>
      </c>
      <c r="DM20">
        <v>-0.94126459193171619</v>
      </c>
      <c r="DN20">
        <v>2.135175436160603</v>
      </c>
      <c r="DO20">
        <v>-0.9412645921317162</v>
      </c>
      <c r="DP20">
        <v>2.1351754361686641</v>
      </c>
      <c r="DQ20">
        <v>-4.0305536685991683E-2</v>
      </c>
      <c r="DR20">
        <v>1.7679956713432483</v>
      </c>
      <c r="DV20" t="s">
        <v>193</v>
      </c>
      <c r="DW20">
        <f t="array" aca="1" ref="DW20:DZ20" ca="1">MMULT(DW10:DZ10,DW16:DZ19)</f>
        <v>1080.7505000000001</v>
      </c>
      <c r="DX20">
        <f ca="1"/>
        <v>-225.43126398396089</v>
      </c>
      <c r="DY20">
        <f ca="1"/>
        <v>0</v>
      </c>
      <c r="DZ20" s="9">
        <f ca="1"/>
        <v>0</v>
      </c>
      <c r="EB20">
        <f t="array" aca="1" ref="EB20:EE20" ca="1">MMULT(EB10:EE10,DW16:DZ19)</f>
        <v>980.64</v>
      </c>
      <c r="EC20">
        <f ca="1"/>
        <v>-144.70582572930505</v>
      </c>
      <c r="ED20">
        <f ca="1"/>
        <v>-2.2135943621178669</v>
      </c>
      <c r="EE20" s="9">
        <f ca="1"/>
        <v>0</v>
      </c>
    </row>
    <row r="21" spans="1:136" x14ac:dyDescent="0.2">
      <c r="A21">
        <v>7</v>
      </c>
      <c r="B21" s="19">
        <v>0</v>
      </c>
      <c r="C21" s="6">
        <f t="shared" ca="1" si="25"/>
        <v>0</v>
      </c>
      <c r="D21" s="2">
        <v>2</v>
      </c>
      <c r="E21" s="2">
        <v>22</v>
      </c>
      <c r="G21" s="1">
        <v>9</v>
      </c>
      <c r="H21" s="6">
        <v>1.1279999999999999</v>
      </c>
      <c r="I21" s="6">
        <v>1</v>
      </c>
      <c r="K21" s="1" t="e">
        <f t="shared" si="21"/>
        <v>#N/A</v>
      </c>
      <c r="L21" s="1" t="e">
        <f t="shared" si="22"/>
        <v>#N/A</v>
      </c>
      <c r="T21" s="8" t="s">
        <v>107</v>
      </c>
      <c r="U21" s="39">
        <f ca="1">U16-U19</f>
        <v>1.551707293443072E-2</v>
      </c>
      <c r="V21" s="39">
        <f t="shared" ref="V21:W21" ca="1" si="40">V16-V19</f>
        <v>0.16269386417902842</v>
      </c>
      <c r="W21" s="39">
        <f t="shared" ca="1" si="40"/>
        <v>-1.6269386417903459E-2</v>
      </c>
      <c r="BC21">
        <v>0.33161255787892269</v>
      </c>
      <c r="BD21">
        <v>-13.602936976408628</v>
      </c>
      <c r="BE21">
        <v>20.351647421215901</v>
      </c>
      <c r="BF21" s="6">
        <f t="shared" si="0"/>
        <v>2.1599944329567444</v>
      </c>
      <c r="BG21" s="6">
        <f t="shared" si="1"/>
        <v>1.8283818750778218</v>
      </c>
      <c r="BH21" s="6">
        <f t="shared" si="2"/>
        <v>0.88192956814188672</v>
      </c>
      <c r="BI21" s="6">
        <f t="shared" si="3"/>
        <v>0.88192956814188672</v>
      </c>
      <c r="BJ21">
        <v>-20.927595348320967</v>
      </c>
      <c r="BK21">
        <v>31.310226801870616</v>
      </c>
      <c r="BV21" s="38"/>
      <c r="BW21" s="6">
        <f t="shared" si="27"/>
        <v>0.10471975511965977</v>
      </c>
      <c r="BX21" s="9">
        <f t="shared" ca="1" si="28"/>
        <v>53.706306752713743</v>
      </c>
      <c r="BY21" s="9">
        <f t="shared" ca="1" si="29"/>
        <v>-4.9562001541567824</v>
      </c>
      <c r="BZ21" s="9">
        <f t="shared" ca="1" si="30"/>
        <v>-12.366335129015667</v>
      </c>
      <c r="CA21" s="6">
        <f t="shared" ca="1" si="31"/>
        <v>17.068013806419689</v>
      </c>
      <c r="CB21" s="6">
        <f t="shared" ca="1" si="32"/>
        <v>2.1977981888545619</v>
      </c>
      <c r="CC21" s="6">
        <f t="shared" ca="1" si="33"/>
        <v>-0.48078298146465442</v>
      </c>
      <c r="CD21" s="9">
        <f t="shared" si="34"/>
        <v>-2.3663351290156704</v>
      </c>
      <c r="CE21" s="9">
        <f t="shared" si="35"/>
        <v>16.068013806419689</v>
      </c>
      <c r="CF21" s="6">
        <f t="shared" si="36"/>
        <v>1.7170152073899074</v>
      </c>
      <c r="CG21" s="6"/>
      <c r="CH21" s="6"/>
      <c r="CI21" s="6"/>
      <c r="CJ21" s="1"/>
      <c r="CK21" s="6"/>
      <c r="CU21">
        <v>3.8668701066837556</v>
      </c>
      <c r="CV21">
        <v>3.8668581224588503</v>
      </c>
      <c r="CW21">
        <v>3.8668641145713032</v>
      </c>
      <c r="CX21">
        <v>-3.1415925953930635</v>
      </c>
      <c r="CY21">
        <v>3.1415925875228528</v>
      </c>
      <c r="CZ21">
        <v>3.1415926496545175</v>
      </c>
      <c r="DK21">
        <v>1.7679956713432483</v>
      </c>
      <c r="DL21">
        <v>-0.50207863697429511</v>
      </c>
      <c r="DM21">
        <v>1.7679956714432483</v>
      </c>
      <c r="DN21">
        <v>-0.50207863697501698</v>
      </c>
      <c r="DO21">
        <v>1.7679956712432483</v>
      </c>
      <c r="DP21">
        <v>-0.50207863696962018</v>
      </c>
      <c r="DQ21">
        <v>-2.698397061351443E-2</v>
      </c>
      <c r="DR21">
        <v>2.0110001640556598</v>
      </c>
      <c r="DV21" t="s">
        <v>194</v>
      </c>
      <c r="DW21">
        <f t="array" aca="1" ref="DW21:DZ21" ca="1">MMULT(DW11:DZ11,DW16:DZ19)</f>
        <v>0</v>
      </c>
      <c r="DX21">
        <f ca="1"/>
        <v>0</v>
      </c>
      <c r="DY21">
        <f ca="1"/>
        <v>0</v>
      </c>
      <c r="DZ21" s="9">
        <f ca="1"/>
        <v>0</v>
      </c>
      <c r="EB21">
        <f t="array" aca="1" ref="EB21:EE21" ca="1">MMULT(EB11:EE11,DW16:DZ19)</f>
        <v>980.64000000011822</v>
      </c>
      <c r="EC21">
        <f ca="1"/>
        <v>-276.09352938321149</v>
      </c>
      <c r="ED21">
        <f ca="1"/>
        <v>-31.88178550977365</v>
      </c>
      <c r="EE21" s="9">
        <f ca="1"/>
        <v>0</v>
      </c>
    </row>
    <row r="22" spans="1:136" x14ac:dyDescent="0.2">
      <c r="A22">
        <v>8</v>
      </c>
      <c r="B22" s="19">
        <v>0</v>
      </c>
      <c r="C22" s="6">
        <f t="shared" ca="1" si="25"/>
        <v>0</v>
      </c>
      <c r="D22" s="2">
        <v>10</v>
      </c>
      <c r="E22" s="2">
        <v>22</v>
      </c>
      <c r="G22" s="1">
        <v>10</v>
      </c>
      <c r="H22" s="6">
        <v>1.27</v>
      </c>
      <c r="I22" s="6">
        <v>1.27</v>
      </c>
      <c r="K22" s="1" t="e">
        <f t="shared" si="21"/>
        <v>#N/A</v>
      </c>
      <c r="L22" s="1" t="e">
        <f t="shared" si="22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-13.719316000225591</v>
      </c>
      <c r="BE22">
        <v>20.617218700676336</v>
      </c>
      <c r="BF22" s="6">
        <f t="shared" si="0"/>
        <v>2.1579422931471837</v>
      </c>
      <c r="BG22" s="6">
        <f t="shared" si="1"/>
        <v>1.8088764427483177</v>
      </c>
      <c r="BH22" s="6">
        <f t="shared" si="2"/>
        <v>0.88398170795144759</v>
      </c>
      <c r="BI22" s="6">
        <f t="shared" si="3"/>
        <v>0.88398170795144759</v>
      </c>
      <c r="BJ22">
        <v>-21.106640000347063</v>
      </c>
      <c r="BK22">
        <v>31.718798001040515</v>
      </c>
      <c r="BV22" s="38"/>
      <c r="BW22" s="6">
        <f t="shared" si="27"/>
        <v>0.12217304763960306</v>
      </c>
      <c r="BX22" s="9">
        <f t="shared" ca="1" si="28"/>
        <v>53.626604069554737</v>
      </c>
      <c r="BY22" s="9">
        <f t="shared" ca="1" si="29"/>
        <v>-4.7112814790320385</v>
      </c>
      <c r="BZ22" s="9">
        <f t="shared" ca="1" si="30"/>
        <v>-12.446037812174673</v>
      </c>
      <c r="CA22" s="6">
        <f t="shared" ca="1" si="31"/>
        <v>17.312932481544433</v>
      </c>
      <c r="CB22" s="6">
        <f t="shared" ca="1" si="32"/>
        <v>2.1940858214017438</v>
      </c>
      <c r="CC22" s="6">
        <f t="shared" ca="1" si="33"/>
        <v>-0.47445362786119416</v>
      </c>
      <c r="CD22" s="9">
        <f t="shared" si="34"/>
        <v>-2.4460378121746729</v>
      </c>
      <c r="CE22" s="9">
        <f t="shared" si="35"/>
        <v>16.312932481544433</v>
      </c>
      <c r="CF22" s="6">
        <f t="shared" si="36"/>
        <v>1.7196321935405496</v>
      </c>
      <c r="CG22" s="6"/>
      <c r="CH22" s="6"/>
      <c r="CI22" s="6"/>
      <c r="CJ22" s="1"/>
      <c r="CK22" s="6"/>
      <c r="CU22">
        <v>3.8668701066837556</v>
      </c>
      <c r="CV22">
        <v>3.8668641145713032</v>
      </c>
      <c r="CW22">
        <v>3.8668671106275294</v>
      </c>
      <c r="CX22">
        <v>-3.1415925953930635</v>
      </c>
      <c r="CY22">
        <v>3.1415926496545175</v>
      </c>
      <c r="CZ22">
        <v>-3.1415926264591514</v>
      </c>
      <c r="DK22">
        <v>2.0110001640556598</v>
      </c>
      <c r="DL22">
        <v>-0.50911306204408868</v>
      </c>
      <c r="DM22">
        <v>2.0110001641556599</v>
      </c>
      <c r="DN22">
        <v>-0.50911306204465423</v>
      </c>
      <c r="DO22">
        <v>2.0110001639556598</v>
      </c>
      <c r="DP22">
        <v>-0.50911306203858642</v>
      </c>
      <c r="DQ22">
        <v>-3.0339064593931653E-2</v>
      </c>
      <c r="DR22">
        <v>-2.2034057174406221</v>
      </c>
      <c r="EB22">
        <f t="array" aca="1" ref="EB22:EE22" ca="1">MMULT(EB12:EE12,DW16:DZ19)</f>
        <v>980.64000000011822</v>
      </c>
      <c r="EC22">
        <f ca="1"/>
        <v>-141.54354806913668</v>
      </c>
      <c r="ED22">
        <f ca="1"/>
        <v>4.1109609582188895</v>
      </c>
      <c r="EE22">
        <f ca="1"/>
        <v>0</v>
      </c>
    </row>
    <row r="23" spans="1:136" x14ac:dyDescent="0.2">
      <c r="A23">
        <v>9</v>
      </c>
      <c r="B23" s="19">
        <v>0</v>
      </c>
      <c r="C23" s="6">
        <f t="shared" ca="1" si="25"/>
        <v>0</v>
      </c>
      <c r="D23" s="2">
        <v>2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21"/>
        <v>#N/A</v>
      </c>
      <c r="L23" s="1" t="e">
        <f t="shared" si="22"/>
        <v>#N/A</v>
      </c>
      <c r="T23" s="8" t="s">
        <v>108</v>
      </c>
      <c r="U23" s="39">
        <f ca="1">SQRT(POWER(U21,2)+POWER(V21,2)+POWER(W21,2))</f>
        <v>0.16423996446776179</v>
      </c>
      <c r="V23" t="str">
        <f ca="1">IF(ABS(U23)&lt;=L1,"","NG")</f>
        <v>NG</v>
      </c>
      <c r="BC23">
        <v>0.36651914291880933</v>
      </c>
      <c r="BD23">
        <v>-13.839408617694636</v>
      </c>
      <c r="BE23">
        <v>20.885378117367093</v>
      </c>
      <c r="BF23" s="6">
        <f t="shared" si="0"/>
        <v>2.1560034484232942</v>
      </c>
      <c r="BG23" s="6">
        <f t="shared" si="1"/>
        <v>1.7894843055044849</v>
      </c>
      <c r="BH23" s="6">
        <f t="shared" si="2"/>
        <v>0.88592055267533709</v>
      </c>
      <c r="BI23" s="6">
        <f t="shared" si="3"/>
        <v>0.88592055267533709</v>
      </c>
      <c r="BJ23">
        <v>-21.291397873376361</v>
      </c>
      <c r="BK23">
        <v>32.131350949795525</v>
      </c>
      <c r="BV23" s="38"/>
      <c r="BW23" s="6">
        <f t="shared" si="27"/>
        <v>0.13962634015954636</v>
      </c>
      <c r="BX23" s="9">
        <f t="shared" ca="1" si="28"/>
        <v>53.544651887344301</v>
      </c>
      <c r="BY23" s="9">
        <f t="shared" ca="1" si="29"/>
        <v>-4.465537725715226</v>
      </c>
      <c r="BZ23" s="9">
        <f t="shared" ca="1" si="30"/>
        <v>-12.527989994385109</v>
      </c>
      <c r="CA23" s="6">
        <f t="shared" ca="1" si="31"/>
        <v>17.558676234861245</v>
      </c>
      <c r="CB23" s="6">
        <f t="shared" ca="1" si="32"/>
        <v>2.1905206128552428</v>
      </c>
      <c r="CC23" s="6">
        <f t="shared" ca="1" si="33"/>
        <v>-0.46822548346763287</v>
      </c>
      <c r="CD23" s="9">
        <f t="shared" si="34"/>
        <v>-2.5279899943851092</v>
      </c>
      <c r="CE23" s="9">
        <f t="shared" si="35"/>
        <v>16.558676234861245</v>
      </c>
      <c r="CF23" s="6">
        <f t="shared" si="36"/>
        <v>1.7222951293876099</v>
      </c>
      <c r="CG23" s="6"/>
      <c r="CH23" s="6"/>
      <c r="CI23" s="6"/>
      <c r="CJ23" s="1"/>
      <c r="CK23" s="6"/>
      <c r="CU23">
        <v>3.8668671106275294</v>
      </c>
      <c r="CV23">
        <v>3.8668641145713032</v>
      </c>
      <c r="CW23">
        <v>3.8668656125994163</v>
      </c>
      <c r="CX23">
        <v>-3.1415926264591514</v>
      </c>
      <c r="CY23">
        <v>3.1415926496545175</v>
      </c>
      <c r="CZ23">
        <v>-3.1415926419921316</v>
      </c>
      <c r="DK23">
        <v>-2.2034057174406221</v>
      </c>
      <c r="DL23">
        <v>2.1678252471934405</v>
      </c>
      <c r="DM23">
        <v>-2.2034057173406221</v>
      </c>
      <c r="DN23">
        <v>2.1678252471930382</v>
      </c>
      <c r="DO23">
        <v>-2.2034057175406221</v>
      </c>
      <c r="DP23">
        <v>2.1678252471983752</v>
      </c>
      <c r="DQ23">
        <v>-2.6685320619890263E-2</v>
      </c>
      <c r="DR23">
        <v>-2.6481948450344208</v>
      </c>
      <c r="DV23" t="s">
        <v>202</v>
      </c>
    </row>
    <row r="24" spans="1:136" ht="16" thickBot="1" x14ac:dyDescent="0.25">
      <c r="A24">
        <v>10</v>
      </c>
      <c r="B24" s="19">
        <v>0</v>
      </c>
      <c r="C24" s="11">
        <f t="shared" ca="1" si="25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21"/>
        <v>#N/A</v>
      </c>
      <c r="L24" s="1" t="e">
        <f t="shared" si="22"/>
        <v>#N/A</v>
      </c>
      <c r="BC24">
        <v>0.38397243543875265</v>
      </c>
      <c r="BD24">
        <v>-13.96338873667721</v>
      </c>
      <c r="BE24">
        <v>21.156291450907073</v>
      </c>
      <c r="BF24" s="6">
        <f t="shared" si="0"/>
        <v>2.1541771165518964</v>
      </c>
      <c r="BG24" s="6">
        <f t="shared" si="1"/>
        <v>1.7702046811131438</v>
      </c>
      <c r="BH24" s="6">
        <f t="shared" si="2"/>
        <v>0.88774688454673489</v>
      </c>
      <c r="BI24" s="6">
        <f t="shared" si="3"/>
        <v>0.88774688454673489</v>
      </c>
      <c r="BJ24">
        <v>-21.482136517964939</v>
      </c>
      <c r="BK24">
        <v>32.548140693703189</v>
      </c>
      <c r="BV24" s="38"/>
      <c r="BW24" s="6">
        <f t="shared" si="27"/>
        <v>0.15707963267948966</v>
      </c>
      <c r="BX24" s="9">
        <f t="shared" ca="1" si="28"/>
        <v>53.460377500848566</v>
      </c>
      <c r="BY24" s="9">
        <f t="shared" ca="1" si="29"/>
        <v>-4.2188520201423536</v>
      </c>
      <c r="BZ24" s="9">
        <f t="shared" ca="1" si="30"/>
        <v>-12.612264380880845</v>
      </c>
      <c r="CA24" s="6">
        <f t="shared" ca="1" si="31"/>
        <v>17.805361940434118</v>
      </c>
      <c r="CB24" s="6">
        <f t="shared" ca="1" si="32"/>
        <v>2.1870982384294169</v>
      </c>
      <c r="CC24" s="6">
        <f t="shared" ca="1" si="33"/>
        <v>-0.46209370180589726</v>
      </c>
      <c r="CD24" s="9">
        <f t="shared" si="34"/>
        <v>-2.6122643808808466</v>
      </c>
      <c r="CE24" s="9">
        <f t="shared" si="35"/>
        <v>16.805361940434118</v>
      </c>
      <c r="CF24" s="6">
        <f t="shared" si="36"/>
        <v>1.7250045366235196</v>
      </c>
      <c r="CG24" s="6"/>
      <c r="CH24" s="6"/>
      <c r="CI24" s="6"/>
      <c r="CJ24" s="1"/>
      <c r="CK24" s="6"/>
      <c r="CU24">
        <v>3.8668656125994163</v>
      </c>
      <c r="CV24">
        <v>3.8668641145713032</v>
      </c>
      <c r="CW24">
        <v>3.8668648635853597</v>
      </c>
      <c r="CX24">
        <v>-3.1415926419921316</v>
      </c>
      <c r="CY24">
        <v>3.1415926496545175</v>
      </c>
      <c r="CZ24">
        <v>-3.1415926497586053</v>
      </c>
      <c r="DK24">
        <v>-2.6481948450344208</v>
      </c>
      <c r="DL24">
        <v>2.387166243371448</v>
      </c>
      <c r="DM24">
        <v>-2.6481948449344208</v>
      </c>
      <c r="DN24">
        <v>2.3871662430960123</v>
      </c>
      <c r="DO24">
        <v>-2.6481948451344208</v>
      </c>
      <c r="DP24">
        <v>2.3871662436547272</v>
      </c>
      <c r="DQ24">
        <v>-2.7935742608065084</v>
      </c>
      <c r="DR24">
        <v>-1.7936744276382959</v>
      </c>
      <c r="DV24" t="s">
        <v>198</v>
      </c>
      <c r="DW24">
        <f ca="1">ATAN2(DW20,DX20)</f>
        <v>-0.20563916507936747</v>
      </c>
    </row>
    <row r="25" spans="1:136" ht="16" thickTop="1" x14ac:dyDescent="0.2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-14.091442409952712</v>
      </c>
      <c r="BE25">
        <v>21.430130475943312</v>
      </c>
      <c r="BF25" s="6">
        <f t="shared" si="0"/>
        <v>2.1524627659431248</v>
      </c>
      <c r="BG25" s="6">
        <f t="shared" si="1"/>
        <v>1.7510370379844289</v>
      </c>
      <c r="BH25" s="6">
        <f t="shared" si="2"/>
        <v>0.88946123515550646</v>
      </c>
      <c r="BI25" s="6">
        <f t="shared" si="3"/>
        <v>0.88946123515550646</v>
      </c>
      <c r="BJ25">
        <v>-21.67914216915802</v>
      </c>
      <c r="BK25">
        <v>32.969431501451247</v>
      </c>
      <c r="BV25" s="38"/>
      <c r="BW25" s="6">
        <f t="shared" si="27"/>
        <v>0.17453292519943295</v>
      </c>
      <c r="BX25" s="9">
        <f t="shared" ca="1" si="28"/>
        <v>53.373702923802213</v>
      </c>
      <c r="BY25" s="9">
        <f t="shared" ca="1" si="29"/>
        <v>-3.9711052015722252</v>
      </c>
      <c r="BZ25" s="9">
        <f t="shared" ca="1" si="30"/>
        <v>-12.698938957927197</v>
      </c>
      <c r="CA25" s="6">
        <f t="shared" ca="1" si="31"/>
        <v>18.053108759004246</v>
      </c>
      <c r="CB25" s="6">
        <f t="shared" ca="1" si="32"/>
        <v>2.1838146926148632</v>
      </c>
      <c r="CC25" s="6">
        <f t="shared" ca="1" si="33"/>
        <v>-0.45605361083916796</v>
      </c>
      <c r="CD25" s="9">
        <f t="shared" si="34"/>
        <v>-2.6989389579271972</v>
      </c>
      <c r="CE25" s="9">
        <f t="shared" si="35"/>
        <v>17.053108759004246</v>
      </c>
      <c r="CF25" s="6">
        <f t="shared" si="36"/>
        <v>1.7277610817756952</v>
      </c>
      <c r="CG25" s="6"/>
      <c r="CH25" s="6"/>
      <c r="CI25" s="6"/>
      <c r="CJ25" s="1"/>
      <c r="CK25" s="6"/>
      <c r="CU25">
        <v>3.8668648635853597</v>
      </c>
      <c r="CV25">
        <v>3.8668641145713032</v>
      </c>
      <c r="CW25">
        <v>3.8668644890783312</v>
      </c>
      <c r="CX25">
        <v>-3.1415926497586053</v>
      </c>
      <c r="CY25">
        <v>3.1415926496545175</v>
      </c>
      <c r="CZ25">
        <v>3.1415926535377481</v>
      </c>
      <c r="DK25">
        <v>-1.7936744276382959</v>
      </c>
      <c r="DL25">
        <v>2.1581561730405934</v>
      </c>
      <c r="DM25">
        <v>-1.7936744275382959</v>
      </c>
      <c r="DN25">
        <v>2.1581561730373302</v>
      </c>
      <c r="DO25">
        <v>-1.7936744277382959</v>
      </c>
      <c r="DP25">
        <v>2.158156173042391</v>
      </c>
      <c r="DQ25">
        <v>-2.5304203177256568E-2</v>
      </c>
      <c r="DR25">
        <v>1.8133628471295007</v>
      </c>
      <c r="DV25" t="s">
        <v>199</v>
      </c>
      <c r="DW25">
        <v>0</v>
      </c>
      <c r="DX25">
        <v>0</v>
      </c>
      <c r="DY25">
        <v>1</v>
      </c>
    </row>
    <row r="26" spans="1:136" x14ac:dyDescent="0.2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-14.223768672729932</v>
      </c>
      <c r="BE26">
        <v>21.707073383394224</v>
      </c>
      <c r="BF26" s="6">
        <f t="shared" si="0"/>
        <v>2.1508601144105377</v>
      </c>
      <c r="BG26" s="6">
        <f t="shared" si="1"/>
        <v>1.7319810939318985</v>
      </c>
      <c r="BH26" s="6">
        <f t="shared" si="2"/>
        <v>0.89106388668809355</v>
      </c>
      <c r="BI26" s="6">
        <f t="shared" si="3"/>
        <v>0.89106388668809355</v>
      </c>
      <c r="BJ26">
        <v>-21.882721034969126</v>
      </c>
      <c r="BK26">
        <v>33.39549751291419</v>
      </c>
      <c r="BV26" s="38"/>
      <c r="BW26" s="6">
        <f t="shared" si="27"/>
        <v>0.19198621771937624</v>
      </c>
      <c r="BX26" s="9">
        <f t="shared" ca="1" si="28"/>
        <v>53.284544561486435</v>
      </c>
      <c r="BY26" s="9">
        <f t="shared" ca="1" si="29"/>
        <v>-3.7221756239554935</v>
      </c>
      <c r="BZ26" s="9">
        <f t="shared" ca="1" si="30"/>
        <v>-12.788097320242976</v>
      </c>
      <c r="CA26" s="6">
        <f t="shared" ca="1" si="31"/>
        <v>18.302038336620978</v>
      </c>
      <c r="CB26" s="6">
        <f t="shared" ca="1" si="32"/>
        <v>2.1806662788201727</v>
      </c>
      <c r="CC26" s="6">
        <f t="shared" ca="1" si="33"/>
        <v>-0.45010070352866288</v>
      </c>
      <c r="CD26" s="9">
        <f t="shared" si="34"/>
        <v>-2.788097320242974</v>
      </c>
      <c r="CE26" s="9">
        <f t="shared" si="35"/>
        <v>17.302038336620978</v>
      </c>
      <c r="CF26" s="6">
        <f t="shared" si="36"/>
        <v>1.7305655752915099</v>
      </c>
      <c r="CG26" s="6"/>
      <c r="CH26" s="6"/>
      <c r="CI26" s="6"/>
      <c r="CJ26" s="1"/>
      <c r="CK26" s="6"/>
      <c r="CU26">
        <v>3.8668648635853597</v>
      </c>
      <c r="CV26">
        <v>3.8668644890783312</v>
      </c>
      <c r="CW26">
        <v>3.8668646763318453</v>
      </c>
      <c r="CX26">
        <v>-3.1415926497586053</v>
      </c>
      <c r="CY26">
        <v>3.1415926535377481</v>
      </c>
      <c r="CZ26">
        <v>-3.1415926517002219</v>
      </c>
      <c r="DK26">
        <v>1.8133628471295007</v>
      </c>
      <c r="DL26">
        <v>-0.50336144237662572</v>
      </c>
      <c r="DM26">
        <v>1.8133628472295007</v>
      </c>
      <c r="DN26">
        <v>-0.50336144238140368</v>
      </c>
      <c r="DO26">
        <v>1.8133628470295007</v>
      </c>
      <c r="DP26">
        <v>-0.5033614423759758</v>
      </c>
      <c r="DQ26">
        <v>-2.7139401836961952E-2</v>
      </c>
      <c r="DR26">
        <v>2.1156624436934424</v>
      </c>
      <c r="DW26">
        <f ca="1">(DW25*DW25*(1-COS(DW24)))+COS(DW24)</f>
        <v>0.97893067151958357</v>
      </c>
      <c r="DX26">
        <f ca="1">(DX25*DW25*(1-COS(DW24)))-(DY25*SIN(DW24))</f>
        <v>0.20419289987219741</v>
      </c>
      <c r="DY26">
        <f ca="1">(DY25*DW25*(1-COS(DW24)))+(DX25*SIN(DW24))</f>
        <v>0</v>
      </c>
      <c r="DZ26">
        <v>0</v>
      </c>
    </row>
    <row r="27" spans="1:136" x14ac:dyDescent="0.2">
      <c r="A27" s="8" t="s">
        <v>15</v>
      </c>
      <c r="B27" s="33">
        <v>3.8668644940987686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f>F28</f>
        <v>3.5355339059327377E-3</v>
      </c>
      <c r="I27" s="6">
        <f>IF(F26="web",(B5*F27)*H27,G12*H27)</f>
        <v>0.93338095116624276</v>
      </c>
      <c r="BC27">
        <v>0.43633231299858261</v>
      </c>
      <c r="BD27">
        <v>-14.360580578942049</v>
      </c>
      <c r="BE27">
        <v>21.987305235695761</v>
      </c>
      <c r="BF27" s="6">
        <f t="shared" si="0"/>
        <v>2.149369132547351</v>
      </c>
      <c r="BG27" s="6">
        <f t="shared" si="1"/>
        <v>1.7130368195487684</v>
      </c>
      <c r="BH27" s="6">
        <f t="shared" si="2"/>
        <v>0.8925548685512803</v>
      </c>
      <c r="BI27" s="6">
        <f t="shared" si="3"/>
        <v>0.8925548685512803</v>
      </c>
      <c r="BJ27">
        <v>-22.093200890680073</v>
      </c>
      <c r="BK27">
        <v>33.826623439531936</v>
      </c>
      <c r="BV27" s="38"/>
      <c r="BW27" s="6">
        <f t="shared" si="27"/>
        <v>0.20943951023931953</v>
      </c>
      <c r="BX27" s="9">
        <f t="shared" ca="1" si="28"/>
        <v>53.192812899008096</v>
      </c>
      <c r="BY27" s="9">
        <f t="shared" ca="1" si="29"/>
        <v>-3.4719389496076403</v>
      </c>
      <c r="BZ27" s="9">
        <f t="shared" ca="1" si="30"/>
        <v>-12.879828982721314</v>
      </c>
      <c r="CA27" s="6">
        <f t="shared" ca="1" si="31"/>
        <v>18.552275010968831</v>
      </c>
      <c r="CB27" s="6">
        <f t="shared" ca="1" si="32"/>
        <v>2.17764959857695</v>
      </c>
      <c r="CC27" s="6">
        <f t="shared" ca="1" si="33"/>
        <v>-0.44423062953836312</v>
      </c>
      <c r="CD27" s="9">
        <f t="shared" si="34"/>
        <v>-2.8798289827213122</v>
      </c>
      <c r="CE27" s="9">
        <f t="shared" si="35"/>
        <v>17.552275010968831</v>
      </c>
      <c r="CF27" s="6">
        <f t="shared" si="36"/>
        <v>1.7334189690385868</v>
      </c>
      <c r="CG27" s="6"/>
      <c r="CH27" s="6"/>
      <c r="CI27" s="6"/>
      <c r="CJ27" s="1"/>
      <c r="CK27" s="6"/>
      <c r="CU27">
        <v>3.8668646763318453</v>
      </c>
      <c r="CV27">
        <v>3.8668644890783312</v>
      </c>
      <c r="CW27">
        <v>3.8668645827050883</v>
      </c>
      <c r="CX27">
        <v>-3.1415926517002219</v>
      </c>
      <c r="CY27">
        <v>3.1415926535377481</v>
      </c>
      <c r="CZ27">
        <v>-3.1415926526710303</v>
      </c>
      <c r="DK27">
        <v>2.1156624436934424</v>
      </c>
      <c r="DL27">
        <v>-0.52030964368487465</v>
      </c>
      <c r="DM27">
        <v>2.1156624437934424</v>
      </c>
      <c r="DN27">
        <v>-0.52030964372038646</v>
      </c>
      <c r="DO27">
        <v>2.1156624435934424</v>
      </c>
      <c r="DP27">
        <v>-0.52030964364935905</v>
      </c>
      <c r="DQ27">
        <v>-0.35513703089407045</v>
      </c>
      <c r="DR27">
        <v>0.65056700609580265</v>
      </c>
      <c r="DW27">
        <f ca="1">(DW25*DX25*(1-COS(DW24)))+(DY25*SIN(DW24))</f>
        <v>-0.20419289987219741</v>
      </c>
      <c r="DX27">
        <f ca="1">(DX25*DX25*(1-COS(DW24)))+COS(DW24)</f>
        <v>0.97893067151958357</v>
      </c>
      <c r="DY27">
        <f ca="1">(DY25*DX25*(1-COS(DW24)))-(DW25*SIN(DW24))</f>
        <v>0</v>
      </c>
      <c r="DZ27">
        <v>0</v>
      </c>
    </row>
    <row r="28" spans="1:136" x14ac:dyDescent="0.2">
      <c r="A28" s="8" t="s">
        <v>17</v>
      </c>
      <c r="B28" s="33">
        <v>28.2539477377697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0.45378560551852593</v>
      </c>
      <c r="BD28">
        <v>-14.502106378743589</v>
      </c>
      <c r="BE28">
        <v>22.271018453698812</v>
      </c>
      <c r="BF28" s="6">
        <f t="shared" si="0"/>
        <v>2.1479900494775803</v>
      </c>
      <c r="BG28" s="6">
        <f t="shared" si="1"/>
        <v>1.6942044439590545</v>
      </c>
      <c r="BH28" s="6">
        <f t="shared" si="2"/>
        <v>0.89393395162105094</v>
      </c>
      <c r="BI28" s="6">
        <f t="shared" si="3"/>
        <v>0.89393395162105094</v>
      </c>
      <c r="BJ28">
        <v>-22.310932890374751</v>
      </c>
      <c r="BK28">
        <v>34.263105313382788</v>
      </c>
      <c r="BV28" s="38"/>
      <c r="BW28" s="6">
        <f t="shared" si="27"/>
        <v>0.22689280275926282</v>
      </c>
      <c r="BX28" s="9">
        <f t="shared" ca="1" si="28"/>
        <v>53.098412175596216</v>
      </c>
      <c r="BY28" s="9">
        <f t="shared" ca="1" si="29"/>
        <v>-3.2202679315316658</v>
      </c>
      <c r="BZ28" s="9">
        <f t="shared" ca="1" si="30"/>
        <v>-12.974229706133194</v>
      </c>
      <c r="CA28" s="6">
        <f t="shared" ca="1" si="31"/>
        <v>18.803946029044805</v>
      </c>
      <c r="CB28" s="6">
        <f t="shared" ca="1" si="32"/>
        <v>2.1747615412856423</v>
      </c>
      <c r="CC28" s="6">
        <f t="shared" ca="1" si="33"/>
        <v>-0.43843918738574361</v>
      </c>
      <c r="CD28" s="9">
        <f t="shared" si="34"/>
        <v>-2.9742297061331957</v>
      </c>
      <c r="CE28" s="9">
        <f t="shared" si="35"/>
        <v>17.803946029044805</v>
      </c>
      <c r="CF28" s="6">
        <f t="shared" si="36"/>
        <v>1.7363223538998986</v>
      </c>
      <c r="CG28" s="6"/>
      <c r="CH28" s="6"/>
      <c r="CI28" s="6"/>
      <c r="CJ28" s="1"/>
      <c r="CK28" s="6"/>
      <c r="CU28">
        <v>3.8668645827050883</v>
      </c>
      <c r="CV28">
        <v>3.8668644890783312</v>
      </c>
      <c r="CW28">
        <v>3.8668645358917098</v>
      </c>
      <c r="CX28">
        <v>-3.1415926526710303</v>
      </c>
      <c r="CY28">
        <v>3.1415926535377481</v>
      </c>
      <c r="CZ28">
        <v>-3.1415926531563487</v>
      </c>
      <c r="DK28">
        <v>0.65056700609580265</v>
      </c>
      <c r="DL28">
        <v>-0.44691851234159402</v>
      </c>
      <c r="DM28">
        <v>0.65056700619580266</v>
      </c>
      <c r="DN28">
        <v>-0.44691851235231622</v>
      </c>
      <c r="DO28">
        <v>0.65056700599580264</v>
      </c>
      <c r="DP28">
        <v>-0.44691851233103619</v>
      </c>
      <c r="DQ28">
        <v>-0.10640016645524497</v>
      </c>
      <c r="DR28">
        <v>2.7333969263354536</v>
      </c>
      <c r="DW28">
        <f ca="1">(DW25*DY25*(1-COS(DW24)))-(DX25*SIN(DW24))</f>
        <v>0</v>
      </c>
      <c r="DX28">
        <f ca="1">(DX25*DY25*(1-COS(DW24)))+(DW25*SIN(DW24))</f>
        <v>0</v>
      </c>
      <c r="DY28">
        <f ca="1">(DY25*DY25*(1-COS(DW24)))+COS(DW24)</f>
        <v>1</v>
      </c>
      <c r="DZ28">
        <v>0</v>
      </c>
    </row>
    <row r="29" spans="1:136" x14ac:dyDescent="0.2">
      <c r="A29" s="8" t="s">
        <v>18</v>
      </c>
      <c r="B29" s="6">
        <f>B28*B4</f>
        <v>22.603158190215758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-14.648590708474643</v>
      </c>
      <c r="BE29">
        <v>22.558413333243251</v>
      </c>
      <c r="BF29" s="6">
        <f t="shared" si="0"/>
        <v>2.1467233566633972</v>
      </c>
      <c r="BG29" s="6">
        <f t="shared" si="1"/>
        <v>1.675484458624928</v>
      </c>
      <c r="BH29" s="6">
        <f t="shared" si="2"/>
        <v>0.89520064443523406</v>
      </c>
      <c r="BI29" s="6">
        <f t="shared" si="3"/>
        <v>0.89520064443523406</v>
      </c>
      <c r="BJ29">
        <v>-22.536293397653296</v>
      </c>
      <c r="BK29">
        <v>34.705251281912695</v>
      </c>
      <c r="BV29" s="38"/>
      <c r="BW29" s="6">
        <f t="shared" si="27"/>
        <v>0.24434609527920612</v>
      </c>
      <c r="BX29" s="9">
        <f t="shared" ca="1" si="28"/>
        <v>53.00124000227305</v>
      </c>
      <c r="BY29" s="9">
        <f t="shared" ca="1" si="29"/>
        <v>-2.9670321804589292</v>
      </c>
      <c r="BZ29" s="9">
        <f t="shared" ca="1" si="30"/>
        <v>-13.07140187945636</v>
      </c>
      <c r="CA29" s="6">
        <f t="shared" ca="1" si="31"/>
        <v>19.057181780117542</v>
      </c>
      <c r="CB29" s="6">
        <f t="shared" ca="1" si="32"/>
        <v>2.1719992758664919</v>
      </c>
      <c r="CC29" s="6">
        <f t="shared" ca="1" si="33"/>
        <v>-0.43272231623266366</v>
      </c>
      <c r="CD29" s="9">
        <f t="shared" si="34"/>
        <v>-3.0714018794563582</v>
      </c>
      <c r="CE29" s="9">
        <f t="shared" si="35"/>
        <v>18.057181780117542</v>
      </c>
      <c r="CF29" s="6">
        <f t="shared" si="36"/>
        <v>1.7392769596338282</v>
      </c>
      <c r="CG29" s="6"/>
      <c r="CH29" s="6"/>
      <c r="CI29" s="6"/>
      <c r="CJ29" s="1"/>
      <c r="CK29" s="6"/>
      <c r="CU29">
        <v>3.8668645358917098</v>
      </c>
      <c r="CV29">
        <v>3.8668644890783312</v>
      </c>
      <c r="CW29">
        <v>3.8668645124850203</v>
      </c>
      <c r="CX29">
        <v>-3.1415926531563487</v>
      </c>
      <c r="CY29">
        <v>3.1415926535377481</v>
      </c>
      <c r="CZ29">
        <v>-3.1415926533991789</v>
      </c>
      <c r="DK29">
        <v>2.7333969263354536</v>
      </c>
      <c r="DL29">
        <v>-2.1689011171076373</v>
      </c>
      <c r="DM29">
        <v>2.7333969264354536</v>
      </c>
      <c r="DN29">
        <v>-2.1689011171357815</v>
      </c>
      <c r="DO29">
        <v>2.7333969262354536</v>
      </c>
      <c r="DP29">
        <v>-2.1689011170639088</v>
      </c>
      <c r="DQ29">
        <v>-0.35936364994881842</v>
      </c>
      <c r="DR29">
        <v>2.9811885107037921</v>
      </c>
      <c r="DW29">
        <v>0</v>
      </c>
      <c r="DX29">
        <v>0</v>
      </c>
      <c r="DY29">
        <v>0</v>
      </c>
      <c r="DZ29">
        <v>1</v>
      </c>
      <c r="EF29" t="s">
        <v>206</v>
      </c>
    </row>
    <row r="30" spans="1:136" x14ac:dyDescent="0.2">
      <c r="A30" s="8" t="s">
        <v>102</v>
      </c>
      <c r="B30" s="1">
        <v>3.0000000000000001E-3</v>
      </c>
      <c r="BC30">
        <v>0.48869219055841256</v>
      </c>
      <c r="BD30">
        <v>-14.800295951341207</v>
      </c>
      <c r="BE30">
        <v>22.849698599959815</v>
      </c>
      <c r="BF30" s="6">
        <f t="shared" si="0"/>
        <v>2.1455698144388728</v>
      </c>
      <c r="BG30" s="6">
        <f t="shared" si="1"/>
        <v>1.6568776238804603</v>
      </c>
      <c r="BH30" s="6">
        <f t="shared" si="2"/>
        <v>0.89635418665975852</v>
      </c>
      <c r="BI30" s="6">
        <f t="shared" si="3"/>
        <v>0.89635418665975852</v>
      </c>
      <c r="BJ30">
        <v>-22.769686078986471</v>
      </c>
      <c r="BK30">
        <v>35.153382461476639</v>
      </c>
      <c r="BV30" s="38"/>
      <c r="BW30" s="6">
        <f t="shared" si="27"/>
        <v>0.26179938779914941</v>
      </c>
      <c r="BX30" s="9">
        <f t="shared" ca="1" si="28"/>
        <v>52.901186976066874</v>
      </c>
      <c r="BY30" s="9">
        <f t="shared" ca="1" si="29"/>
        <v>-2.7120979202363458</v>
      </c>
      <c r="BZ30" s="9">
        <f t="shared" ca="1" si="30"/>
        <v>-13.171454905662536</v>
      </c>
      <c r="CA30" s="6">
        <f t="shared" ca="1" si="31"/>
        <v>19.312116040340126</v>
      </c>
      <c r="CB30" s="6">
        <f t="shared" ca="1" si="32"/>
        <v>2.1693602423708063</v>
      </c>
      <c r="CC30" s="6">
        <f t="shared" ca="1" si="33"/>
        <v>-0.42707608848090728</v>
      </c>
      <c r="CD30" s="9">
        <f t="shared" si="34"/>
        <v>-3.1714549056625376</v>
      </c>
      <c r="CE30" s="9">
        <f t="shared" si="35"/>
        <v>18.312116040340126</v>
      </c>
      <c r="CF30" s="6">
        <f t="shared" si="36"/>
        <v>1.742284153889899</v>
      </c>
      <c r="CG30" s="6"/>
      <c r="CH30" s="6"/>
      <c r="CI30" s="6"/>
      <c r="CJ30" s="1"/>
      <c r="CK30" s="6"/>
      <c r="CU30">
        <v>3.8668645124850203</v>
      </c>
      <c r="CV30">
        <v>3.8668644890783312</v>
      </c>
      <c r="CW30">
        <v>3.8668645007816758</v>
      </c>
      <c r="CX30">
        <v>-3.1415926533991789</v>
      </c>
      <c r="CY30">
        <v>3.1415926535377481</v>
      </c>
      <c r="CZ30">
        <v>-3.1415926535205085</v>
      </c>
      <c r="DK30">
        <v>2.9811885107037921</v>
      </c>
      <c r="DL30">
        <v>-2.2656400191707617</v>
      </c>
      <c r="DM30">
        <v>2.9811885108037921</v>
      </c>
      <c r="DN30">
        <v>-2.2656400192211992</v>
      </c>
      <c r="DO30">
        <v>2.9811885106037921</v>
      </c>
      <c r="DP30">
        <v>-2.2656400191203239</v>
      </c>
      <c r="DQ30">
        <v>-0.50437654053325787</v>
      </c>
      <c r="DR30">
        <v>-1.5107730241752646</v>
      </c>
      <c r="DV30" t="s">
        <v>193</v>
      </c>
      <c r="DW30">
        <f t="array" aca="1" ref="DW30:DZ30" ca="1">MMULT(DW20:DZ20,DW26:DZ29)</f>
        <v>1104.0112762248657</v>
      </c>
      <c r="DX30">
        <f ca="1"/>
        <v>-2.8421709430404007E-14</v>
      </c>
      <c r="DY30">
        <f ca="1"/>
        <v>0</v>
      </c>
      <c r="DZ30" s="9">
        <f ca="1"/>
        <v>0</v>
      </c>
      <c r="EB30">
        <f t="array" aca="1" ref="EB30:EE30" ca="1">MMULT(EB20:EE20,DW26:DZ29)</f>
        <v>989.52647590303206</v>
      </c>
      <c r="EC30">
        <f ca="1"/>
        <v>58.582754176687246</v>
      </c>
      <c r="ED30">
        <f ca="1"/>
        <v>-2.2135943621178669</v>
      </c>
      <c r="EE30" s="9">
        <f ca="1"/>
        <v>0</v>
      </c>
      <c r="EF30">
        <f ca="1">ATAN2(EC30,ED30)</f>
        <v>-3.776780040136421E-2</v>
      </c>
    </row>
    <row r="31" spans="1:136" x14ac:dyDescent="0.2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-14.95750380325334</v>
      </c>
      <c r="BE31">
        <v>23.145092004540466</v>
      </c>
      <c r="BF31" s="6">
        <f t="shared" si="0"/>
        <v>2.1445304618615024</v>
      </c>
      <c r="BG31" s="6">
        <f t="shared" si="1"/>
        <v>1.6383849787831466</v>
      </c>
      <c r="BH31" s="6">
        <f t="shared" si="2"/>
        <v>0.89739353923712883</v>
      </c>
      <c r="BI31" s="6">
        <f t="shared" si="3"/>
        <v>0.89739353923712883</v>
      </c>
      <c r="BJ31">
        <v>-23.011544312697445</v>
      </c>
      <c r="BK31">
        <v>35.607833853139176</v>
      </c>
      <c r="BV31" s="38"/>
      <c r="BW31" s="6">
        <f t="shared" si="27"/>
        <v>0.27925268031909273</v>
      </c>
      <c r="BX31" s="9">
        <f t="shared" ca="1" si="28"/>
        <v>52.798136154659417</v>
      </c>
      <c r="BY31" s="9">
        <f t="shared" ca="1" si="29"/>
        <v>-2.45532772129474</v>
      </c>
      <c r="BZ31" s="9">
        <f t="shared" ca="1" si="30"/>
        <v>-13.274505727069993</v>
      </c>
      <c r="CA31" s="6">
        <f t="shared" ca="1" si="31"/>
        <v>19.568886239281731</v>
      </c>
      <c r="CB31" s="6">
        <f t="shared" ca="1" si="32"/>
        <v>2.1668421480368636</v>
      </c>
      <c r="CC31" s="6">
        <f t="shared" ca="1" si="33"/>
        <v>-0.42149670064889849</v>
      </c>
      <c r="CD31" s="9">
        <f t="shared" si="34"/>
        <v>-3.2745057270699913</v>
      </c>
      <c r="CE31" s="9">
        <f t="shared" si="35"/>
        <v>18.568886239281731</v>
      </c>
      <c r="CF31" s="6">
        <f t="shared" si="36"/>
        <v>1.745345447387965</v>
      </c>
      <c r="CG31" s="6"/>
      <c r="CH31" s="6"/>
      <c r="CI31" s="6"/>
      <c r="CJ31" s="1"/>
      <c r="CK31" s="6"/>
      <c r="CU31">
        <v>3.8668645007816758</v>
      </c>
      <c r="CV31">
        <v>3.8668644890783312</v>
      </c>
      <c r="CW31">
        <v>3.8668644949300033</v>
      </c>
      <c r="CX31">
        <v>-3.1415926535205085</v>
      </c>
      <c r="CY31">
        <v>3.1415926535377481</v>
      </c>
      <c r="CZ31">
        <v>-3.1415926535810881</v>
      </c>
      <c r="DK31">
        <v>-1.5107730241752646</v>
      </c>
      <c r="DL31">
        <v>2.1520342189644612</v>
      </c>
      <c r="DM31">
        <v>-1.5107730240752646</v>
      </c>
      <c r="DN31">
        <v>2.1520342189615338</v>
      </c>
      <c r="DO31">
        <v>-1.5107730242752646</v>
      </c>
      <c r="DP31">
        <v>2.1520342189663131</v>
      </c>
      <c r="DQ31">
        <v>-2.3896440382031869E-2</v>
      </c>
      <c r="DR31">
        <v>0.5813182970992693</v>
      </c>
      <c r="DV31" t="s">
        <v>194</v>
      </c>
      <c r="DW31">
        <f t="array" aca="1" ref="DW31:DY31" ca="1">MMULT(DW21:DY21,DW26:DY28)</f>
        <v>0</v>
      </c>
      <c r="DX31">
        <f ca="1"/>
        <v>0</v>
      </c>
      <c r="DY31">
        <f ca="1"/>
        <v>0</v>
      </c>
      <c r="DZ31" s="9">
        <f ca="1">SQRT(POWER(DW31,2)+POWER(DX31,2)+POWER(DY31,2))</f>
        <v>0</v>
      </c>
      <c r="EB31">
        <f t="array" aca="1" ref="EB31:EE31" ca="1">MMULT(EB21:EE21,DW26:DZ29)</f>
        <v>1016.3549121197879</v>
      </c>
      <c r="EC31">
        <f ca="1"/>
        <v>-70.036698790623291</v>
      </c>
      <c r="ED31">
        <f ca="1"/>
        <v>-31.88178550977365</v>
      </c>
      <c r="EE31" s="9">
        <f ca="1"/>
        <v>0</v>
      </c>
      <c r="EF31">
        <f ca="1">ATAN2(EC31,ED31)</f>
        <v>-2.7144100522685672</v>
      </c>
    </row>
    <row r="32" spans="1:136" x14ac:dyDescent="0.2">
      <c r="J32" t="s">
        <v>88</v>
      </c>
      <c r="N32" t="s">
        <v>89</v>
      </c>
      <c r="BC32">
        <v>0.52359877559829915</v>
      </c>
      <c r="BD32">
        <v>-15.120516867457347</v>
      </c>
      <c r="BE32">
        <v>23.444820957576372</v>
      </c>
      <c r="BF32" s="6">
        <f t="shared" si="0"/>
        <v>2.1436066240829019</v>
      </c>
      <c r="BG32" s="6">
        <f t="shared" si="1"/>
        <v>1.6200078484846028</v>
      </c>
      <c r="BH32" s="6">
        <f t="shared" si="2"/>
        <v>0.89831737701572933</v>
      </c>
      <c r="BI32" s="6">
        <f t="shared" si="3"/>
        <v>0.89831737701572933</v>
      </c>
      <c r="BJ32">
        <v>-23.262333642242073</v>
      </c>
      <c r="BK32">
        <v>36.068955319348262</v>
      </c>
      <c r="BV32" s="38"/>
      <c r="BW32" s="6">
        <f t="shared" si="27"/>
        <v>0.29670597283903605</v>
      </c>
      <c r="BX32" s="9">
        <f t="shared" ca="1" si="28"/>
        <v>52.691962651335366</v>
      </c>
      <c r="BY32" s="9">
        <f t="shared" ca="1" si="29"/>
        <v>-2.1965802298270916</v>
      </c>
      <c r="BZ32" s="9">
        <f t="shared" ca="1" si="30"/>
        <v>-13.380679230394044</v>
      </c>
      <c r="CA32" s="6">
        <f t="shared" ca="1" si="31"/>
        <v>19.82763373074938</v>
      </c>
      <c r="CB32" s="6">
        <f t="shared" ca="1" si="32"/>
        <v>2.1644429588602194</v>
      </c>
      <c r="CC32" s="6">
        <f t="shared" ca="1" si="33"/>
        <v>-0.41598046755628371</v>
      </c>
      <c r="CD32" s="9">
        <f t="shared" si="34"/>
        <v>-3.3806792303940423</v>
      </c>
      <c r="CE32" s="9">
        <f t="shared" si="35"/>
        <v>18.82763373074938</v>
      </c>
      <c r="CF32" s="6">
        <f t="shared" si="36"/>
        <v>1.7484624913039357</v>
      </c>
      <c r="CG32" s="6"/>
      <c r="CH32" s="6"/>
      <c r="CI32" s="6"/>
      <c r="CJ32" s="1"/>
      <c r="CK32" s="6"/>
      <c r="CU32">
        <v>3.8668644949300033</v>
      </c>
      <c r="CV32">
        <v>3.8668644890783312</v>
      </c>
      <c r="CW32">
        <v>3.8668644920041673</v>
      </c>
      <c r="CX32">
        <v>-3.1415926535810881</v>
      </c>
      <c r="CY32">
        <v>3.1415926535377481</v>
      </c>
      <c r="CZ32">
        <v>3.1415926535681229</v>
      </c>
      <c r="DK32">
        <v>0.5813182970992693</v>
      </c>
      <c r="DL32">
        <v>-0.43892882042798442</v>
      </c>
      <c r="DM32">
        <v>0.58131829719926931</v>
      </c>
      <c r="DN32">
        <v>-0.4389288204409354</v>
      </c>
      <c r="DO32">
        <v>0.58131829699926929</v>
      </c>
      <c r="DP32">
        <v>-0.43892882041544889</v>
      </c>
      <c r="DQ32">
        <v>-0.12743250898950009</v>
      </c>
      <c r="DR32">
        <v>-2.8630839508714612</v>
      </c>
      <c r="EB32">
        <f t="array" aca="1" ref="EB32:EE32" ca="1">MMULT(EB22:EE22,DW26:DZ29)</f>
        <v>988.88076125751695</v>
      </c>
      <c r="EC32">
        <f ca="1"/>
        <v>61.678404770111399</v>
      </c>
      <c r="ED32">
        <f ca="1"/>
        <v>4.1109609582188895</v>
      </c>
      <c r="EE32" s="9">
        <f ca="1"/>
        <v>0</v>
      </c>
      <c r="EF32">
        <f ca="1">ATAN2(COS(EF30-EF31),SIN(EF30-EF31))</f>
        <v>2.6766422518672028</v>
      </c>
    </row>
    <row r="33" spans="1:139" x14ac:dyDescent="0.2">
      <c r="A33" t="s">
        <v>19</v>
      </c>
      <c r="J33">
        <f>(J38*COS(-1*$B$27))+(K38*SIN(-1*$B$27))+$I$2</f>
        <v>5.9197170917729274</v>
      </c>
      <c r="K33">
        <f>(-1*J38*SIN(-1*$B$27))+(K38*COS(-1*$B$27))+$I$3</f>
        <v>32.366752014227352</v>
      </c>
      <c r="N33" t="e">
        <f>IF(B1="PCA_Parabolic",NA(),(N38*COS(-1*$B$27))+(O38*SIN(-1*$B$27))+$I$2)</f>
        <v>#N/A</v>
      </c>
      <c r="O33">
        <f>(-1*N38*SIN(-1*$B$27))+(O38*COS(-1*$B$27))+$I$3</f>
        <v>28.138158111806888</v>
      </c>
      <c r="BC33">
        <v>0.54105206811824247</v>
      </c>
      <c r="BD33">
        <v>-15.289660552945858</v>
      </c>
      <c r="BE33">
        <v>23.749123213531501</v>
      </c>
      <c r="BF33" s="6">
        <f t="shared" si="0"/>
        <v>2.1427999251641077</v>
      </c>
      <c r="BG33" s="6">
        <f t="shared" si="1"/>
        <v>1.6017478570458652</v>
      </c>
      <c r="BH33" s="6">
        <f t="shared" si="2"/>
        <v>0.89912407593452359</v>
      </c>
      <c r="BI33" s="6">
        <f t="shared" si="3"/>
        <v>0.89912407593452359</v>
      </c>
      <c r="BJ33">
        <v>-23.52255469683978</v>
      </c>
      <c r="BK33">
        <v>36.537112636202309</v>
      </c>
      <c r="BV33" s="38"/>
      <c r="BW33" s="6">
        <f t="shared" si="27"/>
        <v>0.31415926535897937</v>
      </c>
      <c r="BX33" s="9">
        <f t="shared" ca="1" si="28"/>
        <v>52.582533079928638</v>
      </c>
      <c r="BY33" s="9">
        <f t="shared" ca="1" si="29"/>
        <v>-1.9357098722281911</v>
      </c>
      <c r="BZ33" s="9">
        <f t="shared" ca="1" si="30"/>
        <v>-13.490108801800773</v>
      </c>
      <c r="CA33" s="6">
        <f t="shared" ca="1" si="31"/>
        <v>20.08850408834828</v>
      </c>
      <c r="CB33" s="6">
        <f t="shared" ca="1" si="32"/>
        <v>2.162160895725064</v>
      </c>
      <c r="CC33" s="6">
        <f t="shared" ca="1" si="33"/>
        <v>-0.41052381466013843</v>
      </c>
      <c r="CD33" s="9">
        <f t="shared" si="34"/>
        <v>-3.4901088018007744</v>
      </c>
      <c r="CE33" s="9">
        <f t="shared" si="35"/>
        <v>19.08850408834828</v>
      </c>
      <c r="CF33" s="6">
        <f t="shared" si="36"/>
        <v>1.7516370810649255</v>
      </c>
      <c r="CG33" s="6"/>
      <c r="CH33" s="6"/>
      <c r="CI33" s="6"/>
      <c r="CJ33" s="1"/>
      <c r="CK33" s="6"/>
      <c r="CU33">
        <v>3.8668644949300033</v>
      </c>
      <c r="CV33">
        <v>3.8668644920041673</v>
      </c>
      <c r="CW33">
        <v>3.8668644934670855</v>
      </c>
      <c r="CX33">
        <v>-3.1415926535810881</v>
      </c>
      <c r="CY33">
        <v>3.1415926535681229</v>
      </c>
      <c r="CZ33">
        <v>3.141592653583225</v>
      </c>
      <c r="DK33">
        <v>-2.8630839508714612</v>
      </c>
      <c r="DL33">
        <v>-2.497582316601775</v>
      </c>
      <c r="DM33">
        <v>-2.8630839507714612</v>
      </c>
      <c r="DN33">
        <v>-2.4975823166556981</v>
      </c>
      <c r="DO33">
        <v>-2.8630839509714612</v>
      </c>
      <c r="DP33">
        <v>-2.4975823165632951</v>
      </c>
      <c r="DQ33">
        <v>-0.46201487080566039</v>
      </c>
      <c r="DR33">
        <v>-1.9857469711418057</v>
      </c>
    </row>
    <row r="34" spans="1:139" x14ac:dyDescent="0.2">
      <c r="J34">
        <f>(J39*COS(-1*$B$27))+(K39*SIN(-1*$B$27))+$I$2</f>
        <v>-14.210039669569742</v>
      </c>
      <c r="K34">
        <f>(-1*J39*SIN(-1*$B$27))+(K39*COS(-1*$B$27))+$I$3</f>
        <v>14.522960465168749</v>
      </c>
      <c r="N34" t="e">
        <f>IF(B1="PCA_Parabolic",NA(),(N39*COS(-1*$B$27))+(O39*SIN(-1*$B$27))+$I$2)</f>
        <v>#N/A</v>
      </c>
      <c r="O34">
        <f>(-1*N39*SIN(-1*$B$27))+(O39*COS(-1*$B$27))+$I$3</f>
        <v>10.294366562748289</v>
      </c>
      <c r="BC34">
        <v>0.55850536063818579</v>
      </c>
      <c r="BD34">
        <v>-15.465285103009855</v>
      </c>
      <c r="BE34">
        <v>24.058247603415403</v>
      </c>
      <c r="BF34" s="6">
        <f t="shared" ref="BF34:BF65" si="41">IF(BC34&lt;&gt;"",IF(AND(BD34=0,BE34=0),0,MOD(ATAN2(BD34,BE34),2*PI())),NA())</f>
        <v>2.1421123004869593</v>
      </c>
      <c r="BG34" s="6">
        <f t="shared" ref="BG34:BG65" si="42">ABS(BC34-BF34)</f>
        <v>1.5836069398487735</v>
      </c>
      <c r="BH34" s="6">
        <f t="shared" si="2"/>
        <v>0.89981170061167193</v>
      </c>
      <c r="BI34" s="6">
        <f t="shared" si="3"/>
        <v>0.89981170061167193</v>
      </c>
      <c r="BJ34">
        <v>-23.792746312322851</v>
      </c>
      <c r="BK34">
        <v>37.012688620639082</v>
      </c>
      <c r="BV34" s="38"/>
      <c r="BW34" s="6">
        <f t="shared" si="27"/>
        <v>0.33161255787892269</v>
      </c>
      <c r="BX34" s="9">
        <f t="shared" ca="1" si="28"/>
        <v>52.469704905320782</v>
      </c>
      <c r="BY34" s="9">
        <f t="shared" ca="1" si="29"/>
        <v>-1.6725665393605702</v>
      </c>
      <c r="BZ34" s="9">
        <f t="shared" ca="1" si="30"/>
        <v>-13.602936976408628</v>
      </c>
      <c r="CA34" s="6">
        <f t="shared" ca="1" si="31"/>
        <v>20.351647421215901</v>
      </c>
      <c r="CB34" s="6">
        <f t="shared" ca="1" si="32"/>
        <v>2.1599944329567444</v>
      </c>
      <c r="CC34" s="6">
        <f t="shared" ca="1" si="33"/>
        <v>-0.40512326991682784</v>
      </c>
      <c r="CD34" s="9">
        <f t="shared" si="34"/>
        <v>-3.6029369764086283</v>
      </c>
      <c r="CE34" s="9">
        <f t="shared" si="35"/>
        <v>19.351647421215901</v>
      </c>
      <c r="CF34" s="6">
        <f t="shared" si="36"/>
        <v>1.7548711630399165</v>
      </c>
      <c r="CG34" s="6"/>
      <c r="CH34" s="6"/>
      <c r="CI34" s="6"/>
      <c r="CJ34" s="1"/>
      <c r="CK34" s="6"/>
      <c r="CU34">
        <v>3.8668644949300033</v>
      </c>
      <c r="CV34">
        <v>3.8668644934670855</v>
      </c>
      <c r="CW34">
        <v>3.8668644941985444</v>
      </c>
      <c r="CX34">
        <v>-3.1415926535810881</v>
      </c>
      <c r="CY34">
        <v>3.141592653583225</v>
      </c>
      <c r="CZ34">
        <v>-3.1415926535888099</v>
      </c>
      <c r="DK34">
        <v>-1.9857469711418057</v>
      </c>
      <c r="DL34">
        <v>2.1623962919960009</v>
      </c>
      <c r="DM34">
        <v>-1.9857469710418056</v>
      </c>
      <c r="DN34">
        <v>2.1623962919921782</v>
      </c>
      <c r="DO34">
        <v>-1.9857469712418057</v>
      </c>
      <c r="DP34">
        <v>2.1623962919980118</v>
      </c>
      <c r="DQ34">
        <v>-2.9167779302952113E-2</v>
      </c>
      <c r="DR34">
        <v>3.0356879664215102</v>
      </c>
      <c r="EB34" t="s">
        <v>207</v>
      </c>
    </row>
    <row r="35" spans="1:139" x14ac:dyDescent="0.2">
      <c r="A35" s="8" t="s">
        <v>20</v>
      </c>
      <c r="AD35" t="s">
        <v>135</v>
      </c>
      <c r="BC35">
        <v>0.57595865315812911</v>
      </c>
      <c r="BD35">
        <v>-15.647767820723372</v>
      </c>
      <c r="BE35">
        <v>24.372454822576689</v>
      </c>
      <c r="BF35" s="6">
        <f t="shared" si="41"/>
        <v>2.1415460102508468</v>
      </c>
      <c r="BG35" s="6">
        <f t="shared" si="42"/>
        <v>1.5655873570927177</v>
      </c>
      <c r="BH35" s="6">
        <f t="shared" si="2"/>
        <v>0.90037799084778447</v>
      </c>
      <c r="BI35" s="6">
        <f t="shared" si="3"/>
        <v>0.90037799084778447</v>
      </c>
      <c r="BJ35">
        <v>-24.073488954959032</v>
      </c>
      <c r="BK35">
        <v>37.496084342425675</v>
      </c>
      <c r="BV35" s="38"/>
      <c r="BW35" s="6">
        <f t="shared" si="27"/>
        <v>0.34906585039886601</v>
      </c>
      <c r="BX35" s="9">
        <f t="shared" ca="1" si="28"/>
        <v>52.353325881503821</v>
      </c>
      <c r="BY35" s="9">
        <f t="shared" ca="1" si="29"/>
        <v>-1.4069952599001354</v>
      </c>
      <c r="BZ35" s="9">
        <f t="shared" ca="1" si="30"/>
        <v>-13.719316000225589</v>
      </c>
      <c r="CA35" s="6">
        <f t="shared" ca="1" si="31"/>
        <v>20.617218700676336</v>
      </c>
      <c r="CB35" s="6">
        <f t="shared" ca="1" si="32"/>
        <v>2.1579422931471837</v>
      </c>
      <c r="CC35" s="6">
        <f t="shared" ca="1" si="33"/>
        <v>-0.39977545833740225</v>
      </c>
      <c r="CD35" s="9">
        <f t="shared" si="34"/>
        <v>-3.7193160002255912</v>
      </c>
      <c r="CE35" s="9">
        <f t="shared" si="35"/>
        <v>19.617218700676336</v>
      </c>
      <c r="CF35" s="6">
        <f t="shared" si="36"/>
        <v>1.7581668348097814</v>
      </c>
      <c r="CG35" s="6"/>
      <c r="CH35" s="6"/>
      <c r="CI35" s="6"/>
      <c r="CJ35" s="1"/>
      <c r="CK35" s="6"/>
      <c r="CU35">
        <v>3.8668644941985444</v>
      </c>
      <c r="CV35">
        <v>3.8668644934670855</v>
      </c>
      <c r="CW35">
        <v>3.8668644938328152</v>
      </c>
      <c r="CX35">
        <v>-3.1415926535888099</v>
      </c>
      <c r="CY35">
        <v>3.141592653583225</v>
      </c>
      <c r="CZ35">
        <v>3.1415926535870007</v>
      </c>
      <c r="DK35">
        <v>3.0356879664215102</v>
      </c>
      <c r="DL35">
        <v>-2.2931533870971319</v>
      </c>
      <c r="DM35">
        <v>3.0356879665215102</v>
      </c>
      <c r="DN35">
        <v>-2.2931533871514871</v>
      </c>
      <c r="DO35">
        <v>3.0356879663215102</v>
      </c>
      <c r="DP35">
        <v>-2.2931533870509671</v>
      </c>
      <c r="DQ35">
        <v>-0.50260018369385762</v>
      </c>
      <c r="DR35">
        <v>-1.5268917171822884</v>
      </c>
      <c r="EE35" s="9"/>
    </row>
    <row r="36" spans="1:139" x14ac:dyDescent="0.2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74.421764606358451</v>
      </c>
      <c r="H36" s="14" t="s">
        <v>4</v>
      </c>
      <c r="J36" t="s">
        <v>52</v>
      </c>
      <c r="N36" t="s">
        <v>53</v>
      </c>
      <c r="AD36" t="s">
        <v>8</v>
      </c>
      <c r="AE36" t="s">
        <v>9</v>
      </c>
      <c r="BC36">
        <v>0.59341194567807243</v>
      </c>
      <c r="BD36">
        <v>-15.837515646105087</v>
      </c>
      <c r="BE36">
        <v>24.69201827882463</v>
      </c>
      <c r="BF36" s="6">
        <f t="shared" si="41"/>
        <v>2.1411036579014251</v>
      </c>
      <c r="BG36" s="6">
        <f t="shared" si="42"/>
        <v>1.5476917122233527</v>
      </c>
      <c r="BH36" s="6">
        <f t="shared" si="2"/>
        <v>0.90082034319720616</v>
      </c>
      <c r="BI36" s="6">
        <f t="shared" si="3"/>
        <v>0.90082034319720616</v>
      </c>
      <c r="BJ36">
        <v>-24.365408686315519</v>
      </c>
      <c r="BK36">
        <v>37.987720428960969</v>
      </c>
      <c r="BV36" s="38"/>
      <c r="BW36" s="6">
        <f t="shared" si="27"/>
        <v>0.36651914291880933</v>
      </c>
      <c r="BX36" s="9">
        <f t="shared" ca="1" si="28"/>
        <v>52.233233264034773</v>
      </c>
      <c r="BY36" s="9">
        <f t="shared" ca="1" si="29"/>
        <v>-1.1388358432093781</v>
      </c>
      <c r="BZ36" s="9">
        <f t="shared" ca="1" si="30"/>
        <v>-13.839408617694637</v>
      </c>
      <c r="CA36" s="6">
        <f t="shared" ca="1" si="31"/>
        <v>20.885378117367093</v>
      </c>
      <c r="CB36" s="6">
        <f t="shared" ca="1" si="32"/>
        <v>2.1560034484232942</v>
      </c>
      <c r="CC36" s="6">
        <f t="shared" ca="1" si="33"/>
        <v>-0.3944770939035232</v>
      </c>
      <c r="CD36" s="9">
        <f t="shared" si="34"/>
        <v>-3.8394086176946356</v>
      </c>
      <c r="CE36" s="9">
        <f t="shared" si="35"/>
        <v>19.885378117367093</v>
      </c>
      <c r="CF36" s="6">
        <f t="shared" si="36"/>
        <v>1.761526354519771</v>
      </c>
      <c r="CG36" s="6"/>
      <c r="CH36" s="6"/>
      <c r="CI36" s="6"/>
      <c r="CJ36" s="1"/>
      <c r="CK36" s="6"/>
      <c r="CU36">
        <v>3.8668644941985444</v>
      </c>
      <c r="CV36">
        <v>3.8668644938328152</v>
      </c>
      <c r="CW36">
        <v>3.8668644940156796</v>
      </c>
      <c r="CX36">
        <v>-3.1415926535888099</v>
      </c>
      <c r="CY36">
        <v>3.1415926535870007</v>
      </c>
      <c r="CZ36">
        <v>3.1415926535889742</v>
      </c>
      <c r="DK36">
        <v>-1.5268917171822884</v>
      </c>
      <c r="DL36">
        <v>2.1524135764296712</v>
      </c>
      <c r="DM36">
        <v>-1.5268917170822884</v>
      </c>
      <c r="DN36">
        <v>2.15241357642675</v>
      </c>
      <c r="DO36">
        <v>-1.5268917172822885</v>
      </c>
      <c r="DP36">
        <v>2.1524135764325907</v>
      </c>
      <c r="DQ36">
        <v>-2.9203306439740118E-2</v>
      </c>
      <c r="DR36">
        <v>3.0625177502220042</v>
      </c>
      <c r="EB36">
        <f ca="1">(EB32-EB30)</f>
        <v>-0.64571464551511326</v>
      </c>
      <c r="EC36">
        <f t="shared" ref="EC36:ED36" ca="1" si="43">(EC32-EC30)</f>
        <v>3.0956505934241534</v>
      </c>
      <c r="ED36">
        <f t="shared" ca="1" si="43"/>
        <v>6.3245553203367564</v>
      </c>
      <c r="EE36" s="9">
        <f ca="1">SQRT(POWER(EB36,2)+POWER(EC36,2)+POWER(ED36,2))</f>
        <v>7.0710678118654746</v>
      </c>
      <c r="EF36">
        <f ca="1">EB36/EE36</f>
        <v>-9.1317840911040865E-2</v>
      </c>
      <c r="EG36">
        <f ca="1">EC36/EE36</f>
        <v>0.43779110535887578</v>
      </c>
      <c r="EH36">
        <f ca="1">ED36/EE36</f>
        <v>0.89442719099991563</v>
      </c>
    </row>
    <row r="37" spans="1:139" x14ac:dyDescent="0.2">
      <c r="A37" s="3">
        <f t="shared" ref="A37:A45" si="44">E3-$I$2</f>
        <v>-6</v>
      </c>
      <c r="B37" s="6">
        <f t="shared" ref="B37:B45" si="45">F3-$I$3</f>
        <v>-12</v>
      </c>
      <c r="C37" s="6">
        <f t="shared" ref="C37:C45" si="46">A37*COS($B$27)+B37*SIN($B$27)</f>
        <v>12.449981450889403</v>
      </c>
      <c r="D37" s="6">
        <f t="shared" ref="D37:D45" si="47">-1*A37*SIN($B$27)+B37*COS($B$27)</f>
        <v>4.9997961830968469</v>
      </c>
      <c r="F37" s="8" t="s">
        <v>23</v>
      </c>
      <c r="G37" s="1">
        <f>MAX(D37:D41)-MIN(D37:D41)</f>
        <v>17.959659053666478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-16.034967916218168</v>
      </c>
      <c r="BE37">
        <v>25.017225004929408</v>
      </c>
      <c r="BF37" s="6">
        <f t="shared" si="41"/>
        <v>2.1407882077432996</v>
      </c>
      <c r="BG37" s="6">
        <f t="shared" si="42"/>
        <v>1.5299229695452838</v>
      </c>
      <c r="BH37" s="6">
        <f t="shared" si="2"/>
        <v>0.90113579335533167</v>
      </c>
      <c r="BI37" s="6">
        <f t="shared" si="3"/>
        <v>0.90113579335533167</v>
      </c>
      <c r="BJ37">
        <v>-24.669181409566413</v>
      </c>
      <c r="BK37">
        <v>38.488038469122166</v>
      </c>
      <c r="BV37" s="38"/>
      <c r="BW37" s="6">
        <f t="shared" si="27"/>
        <v>0.38397243543875265</v>
      </c>
      <c r="BX37" s="9">
        <f t="shared" ca="1" si="28"/>
        <v>52.1092531450522</v>
      </c>
      <c r="BY37" s="9">
        <f t="shared" ca="1" si="29"/>
        <v>-0.86792250966939832</v>
      </c>
      <c r="BZ37" s="9">
        <f t="shared" ca="1" si="30"/>
        <v>-13.96338873667721</v>
      </c>
      <c r="CA37" s="6">
        <f t="shared" ca="1" si="31"/>
        <v>21.156291450907073</v>
      </c>
      <c r="CB37" s="6">
        <f t="shared" ca="1" si="32"/>
        <v>2.1541771165518964</v>
      </c>
      <c r="CC37" s="6">
        <f t="shared" ca="1" si="33"/>
        <v>-0.38922497480387447</v>
      </c>
      <c r="CD37" s="9">
        <f t="shared" si="34"/>
        <v>-3.96338873667721</v>
      </c>
      <c r="CE37" s="9">
        <f t="shared" si="35"/>
        <v>20.156291450907073</v>
      </c>
      <c r="CF37" s="6">
        <f t="shared" si="36"/>
        <v>1.7649521417480218</v>
      </c>
      <c r="CG37" s="6"/>
      <c r="CH37" s="6"/>
      <c r="CI37" s="6"/>
      <c r="CJ37" s="1"/>
      <c r="CK37" s="6"/>
      <c r="CU37">
        <v>3.8668644941985444</v>
      </c>
      <c r="CV37">
        <v>3.8668644940156796</v>
      </c>
      <c r="CW37">
        <v>3.8668644941071122</v>
      </c>
      <c r="CX37">
        <v>-3.1415926535888099</v>
      </c>
      <c r="CY37">
        <v>3.1415926535889742</v>
      </c>
      <c r="CZ37">
        <v>-3.1415926535897114</v>
      </c>
      <c r="DK37">
        <v>3.0625177502220042</v>
      </c>
      <c r="DL37">
        <v>-2.3075767943621766</v>
      </c>
      <c r="DM37">
        <v>3.0625177503220042</v>
      </c>
      <c r="DN37">
        <v>-2.3075767944128929</v>
      </c>
      <c r="DO37">
        <v>3.0625177501220042</v>
      </c>
      <c r="DP37">
        <v>-2.3075767943048642</v>
      </c>
      <c r="DQ37">
        <v>-0.54014348549458191</v>
      </c>
      <c r="DR37">
        <v>-1.20963743878161</v>
      </c>
      <c r="EB37">
        <f ca="1">EB31-EB30</f>
        <v>26.82843621675579</v>
      </c>
      <c r="EC37">
        <f t="shared" ref="EC37:ED37" ca="1" si="48">EC31-EC30</f>
        <v>-128.61945296731054</v>
      </c>
      <c r="ED37">
        <f t="shared" ca="1" si="48"/>
        <v>-29.668191147655783</v>
      </c>
      <c r="EE37" s="9">
        <f ca="1">SQRT(POWER(EB37,2)+POWER(EC37,2)+POWER(ED37,2))</f>
        <v>134.69569494761362</v>
      </c>
      <c r="EF37">
        <f ca="1">EB37/EE37</f>
        <v>0.19917812686730643</v>
      </c>
      <c r="EG37">
        <f ca="1">EC37/EE37</f>
        <v>-0.95488911518169695</v>
      </c>
      <c r="EH37">
        <f ca="1">ED37/EE37</f>
        <v>-0.22026087143463979</v>
      </c>
    </row>
    <row r="38" spans="1:139" x14ac:dyDescent="0.2">
      <c r="A38" s="3">
        <f t="shared" si="44"/>
        <v>6</v>
      </c>
      <c r="B38" s="6">
        <f t="shared" si="45"/>
        <v>-12</v>
      </c>
      <c r="C38" s="6">
        <f t="shared" si="46"/>
        <v>3.4701519240561645</v>
      </c>
      <c r="D38" s="6">
        <f t="shared" si="47"/>
        <v>12.95986287056963</v>
      </c>
      <c r="F38" s="8" t="s">
        <v>24</v>
      </c>
      <c r="G38" s="6">
        <f>MAX(D37:D43)</f>
        <v>12.95986287056963</v>
      </c>
      <c r="H38" t="s">
        <v>4</v>
      </c>
      <c r="J38" s="9">
        <f>MIN(C37:C43,A37:A43)-1</f>
        <v>-13.449981450889403</v>
      </c>
      <c r="K38" s="9">
        <f>G40</f>
        <v>-15.29408486720007</v>
      </c>
      <c r="N38" s="9">
        <f>J38</f>
        <v>-13.449981450889403</v>
      </c>
      <c r="O38" s="9">
        <f>G41</f>
        <v>-9.6432953196461284</v>
      </c>
      <c r="AD38">
        <f>AE37</f>
        <v>6.2831853071795862</v>
      </c>
      <c r="AE38">
        <f>AE37</f>
        <v>6.2831853071795862</v>
      </c>
      <c r="BC38">
        <v>0.62831853071795907</v>
      </c>
      <c r="BD38">
        <v>-16.240599467907391</v>
      </c>
      <c r="BE38">
        <v>25.348376642916385</v>
      </c>
      <c r="BF38" s="6">
        <f t="shared" si="41"/>
        <v>2.1406030055908269</v>
      </c>
      <c r="BG38" s="6">
        <f t="shared" si="42"/>
        <v>1.5122844748728679</v>
      </c>
      <c r="BH38" s="6">
        <f t="shared" si="2"/>
        <v>0.90132099550780431</v>
      </c>
      <c r="BI38" s="6">
        <f t="shared" si="3"/>
        <v>0.90132099550780431</v>
      </c>
      <c r="BJ38">
        <v>-24.985537642934446</v>
      </c>
      <c r="BK38">
        <v>38.997502527563668</v>
      </c>
      <c r="BV38" s="38"/>
      <c r="BW38" s="6">
        <f t="shared" si="27"/>
        <v>0.40142572795869597</v>
      </c>
      <c r="BX38" s="9">
        <f t="shared" ca="1" si="28"/>
        <v>51.981199471776698</v>
      </c>
      <c r="BY38" s="9">
        <f t="shared" ca="1" si="29"/>
        <v>-0.59408348463315974</v>
      </c>
      <c r="BZ38" s="9">
        <f t="shared" ca="1" si="30"/>
        <v>-14.091442409952712</v>
      </c>
      <c r="CA38" s="6">
        <f t="shared" ca="1" si="31"/>
        <v>21.430130475943312</v>
      </c>
      <c r="CB38" s="6">
        <f t="shared" ca="1" si="32"/>
        <v>2.1524627659431248</v>
      </c>
      <c r="CC38" s="6">
        <f t="shared" ca="1" si="33"/>
        <v>-0.38401597493781775</v>
      </c>
      <c r="CD38" s="9">
        <f t="shared" si="34"/>
        <v>-4.0914424099527125</v>
      </c>
      <c r="CE38" s="9">
        <f t="shared" si="35"/>
        <v>20.430130475943312</v>
      </c>
      <c r="CF38" s="6">
        <f t="shared" si="36"/>
        <v>1.768446791005307</v>
      </c>
      <c r="CG38" s="6"/>
      <c r="CH38" s="6"/>
      <c r="CI38" s="6"/>
      <c r="CJ38" s="1"/>
      <c r="CK38" s="6"/>
      <c r="CU38">
        <v>3.8668644941071122</v>
      </c>
      <c r="CV38">
        <v>3.8668644940156796</v>
      </c>
      <c r="CW38">
        <v>3.8668644940613959</v>
      </c>
      <c r="CX38">
        <v>-3.1415926535897114</v>
      </c>
      <c r="CY38">
        <v>3.1415926535889742</v>
      </c>
      <c r="CZ38">
        <v>3.1415926535894245</v>
      </c>
      <c r="DK38">
        <v>-1.20963743878161</v>
      </c>
      <c r="DL38">
        <v>2.1442878891289894</v>
      </c>
      <c r="DM38">
        <v>-1.20963743868161</v>
      </c>
      <c r="DN38">
        <v>2.1442878891256179</v>
      </c>
      <c r="DO38">
        <v>-1.20963743888161</v>
      </c>
      <c r="DP38">
        <v>2.1442878891317347</v>
      </c>
      <c r="DQ38">
        <v>-3.0584423882373812E-2</v>
      </c>
      <c r="DR38">
        <v>-0.21422033310202962</v>
      </c>
      <c r="EF38">
        <f ca="1">EF36-EF37</f>
        <v>-0.2904959677783473</v>
      </c>
      <c r="EG38">
        <f ca="1">EG36-EG37</f>
        <v>1.3926802205405728</v>
      </c>
      <c r="EH38">
        <f ca="1">EH36-EH37</f>
        <v>1.1146880624345554</v>
      </c>
      <c r="EI38" s="9"/>
    </row>
    <row r="39" spans="1:139" x14ac:dyDescent="0.2">
      <c r="A39" s="3">
        <f t="shared" si="44"/>
        <v>6</v>
      </c>
      <c r="B39" s="6">
        <f t="shared" si="45"/>
        <v>4</v>
      </c>
      <c r="C39" s="6">
        <f t="shared" si="46"/>
        <v>-7.1432703259075474</v>
      </c>
      <c r="D39" s="6">
        <f t="shared" si="47"/>
        <v>0.98675683479197929</v>
      </c>
      <c r="J39" s="9">
        <f>MAX(C37:C43,A37:A43)+1</f>
        <v>13.449981450889403</v>
      </c>
      <c r="K39" s="9">
        <f>K38</f>
        <v>-15.29408486720007</v>
      </c>
      <c r="N39" s="9">
        <f>J39</f>
        <v>13.449981450889403</v>
      </c>
      <c r="O39" s="9">
        <f>G41</f>
        <v>-9.6432953196461284</v>
      </c>
      <c r="AD39">
        <f>AD38</f>
        <v>6.2831853071795862</v>
      </c>
      <c r="AE39">
        <v>0</v>
      </c>
      <c r="BC39">
        <v>0.64577182323790239</v>
      </c>
      <c r="BD39">
        <v>-16.454924197687816</v>
      </c>
      <c r="BE39">
        <v>25.685790504800593</v>
      </c>
      <c r="BF39" s="6">
        <f t="shared" si="41"/>
        <v>2.1405518046456322</v>
      </c>
      <c r="BG39" s="6">
        <f t="shared" si="42"/>
        <v>1.4947799814077298</v>
      </c>
      <c r="BH39" s="6">
        <f t="shared" si="2"/>
        <v>0.90137219645299904</v>
      </c>
      <c r="BI39" s="6">
        <f t="shared" si="3"/>
        <v>0.90137219645299904</v>
      </c>
      <c r="BJ39">
        <v>-25.315267996442795</v>
      </c>
      <c r="BK39">
        <v>39.516600776616293</v>
      </c>
      <c r="BV39" s="38"/>
      <c r="BW39" s="6">
        <f t="shared" si="27"/>
        <v>0.41887902047863929</v>
      </c>
      <c r="BX39" s="9">
        <f t="shared" ca="1" si="28"/>
        <v>51.848873208999478</v>
      </c>
      <c r="BY39" s="9">
        <f t="shared" ca="1" si="29"/>
        <v>-0.31714057718224709</v>
      </c>
      <c r="BZ39" s="9">
        <f t="shared" ca="1" si="30"/>
        <v>-14.223768672729932</v>
      </c>
      <c r="CA39" s="6">
        <f t="shared" ca="1" si="31"/>
        <v>21.707073383394224</v>
      </c>
      <c r="CB39" s="6">
        <f t="shared" ca="1" si="32"/>
        <v>2.1508601144105377</v>
      </c>
      <c r="CC39" s="6">
        <f t="shared" ca="1" si="33"/>
        <v>-0.37884703920620594</v>
      </c>
      <c r="CD39" s="9">
        <f t="shared" si="34"/>
        <v>-4.223768672729932</v>
      </c>
      <c r="CE39" s="9">
        <f t="shared" si="35"/>
        <v>20.707073383394224</v>
      </c>
      <c r="CF39" s="6">
        <f t="shared" si="36"/>
        <v>1.7720130752043317</v>
      </c>
      <c r="CG39" s="6"/>
      <c r="CH39" s="6"/>
      <c r="CI39" s="6"/>
      <c r="CJ39" s="1"/>
      <c r="CK39" s="6"/>
      <c r="CU39">
        <v>3.8668644941071122</v>
      </c>
      <c r="CV39">
        <v>3.8668644940613959</v>
      </c>
      <c r="CW39">
        <v>3.866864494084254</v>
      </c>
      <c r="CX39">
        <v>-3.1415926535897114</v>
      </c>
      <c r="CY39">
        <v>3.1415926535894245</v>
      </c>
      <c r="CZ39">
        <v>3.1415926535896497</v>
      </c>
      <c r="DK39">
        <v>-0.21422033310202962</v>
      </c>
      <c r="DL39">
        <v>2.0645838937026983</v>
      </c>
      <c r="DM39">
        <v>-0.21422033300202961</v>
      </c>
      <c r="DN39">
        <v>2.0645838936791003</v>
      </c>
      <c r="DO39">
        <v>-0.21422033320202963</v>
      </c>
      <c r="DP39">
        <v>2.0645838937273417</v>
      </c>
      <c r="DQ39">
        <v>-0.24120705433006151</v>
      </c>
      <c r="DR39">
        <v>2.061978741891449</v>
      </c>
    </row>
    <row r="40" spans="1:139" x14ac:dyDescent="0.2">
      <c r="A40" s="3">
        <f t="shared" si="44"/>
        <v>6</v>
      </c>
      <c r="B40" s="6">
        <f t="shared" si="45"/>
        <v>4</v>
      </c>
      <c r="C40" s="6">
        <f t="shared" si="46"/>
        <v>-7.1432703259075474</v>
      </c>
      <c r="D40" s="6">
        <f t="shared" si="47"/>
        <v>0.98675683479197929</v>
      </c>
      <c r="F40" s="8" t="s">
        <v>50</v>
      </c>
      <c r="G40" s="9">
        <f>G38-B28</f>
        <v>-15.29408486720007</v>
      </c>
      <c r="AD40">
        <f>AE39</f>
        <v>0</v>
      </c>
      <c r="AE40">
        <f>AE39</f>
        <v>0</v>
      </c>
      <c r="BC40">
        <v>0.66322511575784571</v>
      </c>
      <c r="BD40">
        <v>-16.678498883942947</v>
      </c>
      <c r="BE40">
        <v>26.029800719363656</v>
      </c>
      <c r="BF40" s="6">
        <f t="shared" si="41"/>
        <v>2.1406387899248376</v>
      </c>
      <c r="BG40" s="6">
        <f t="shared" si="42"/>
        <v>1.4774136741669919</v>
      </c>
      <c r="BH40" s="6">
        <f t="shared" si="2"/>
        <v>0.90128521117379368</v>
      </c>
      <c r="BI40" s="6">
        <f t="shared" si="3"/>
        <v>0.90128521117379368</v>
      </c>
      <c r="BJ40">
        <v>-25.659229052219917</v>
      </c>
      <c r="BK40">
        <v>40.045847260559469</v>
      </c>
      <c r="BV40" s="38"/>
      <c r="BW40" s="6">
        <f t="shared" si="27"/>
        <v>0.43633231299858261</v>
      </c>
      <c r="BX40" s="9">
        <f t="shared" ca="1" si="28"/>
        <v>51.712061302787362</v>
      </c>
      <c r="BY40" s="9">
        <f t="shared" ca="1" si="29"/>
        <v>-3.6908724880710508E-2</v>
      </c>
      <c r="BZ40" s="9">
        <f t="shared" ca="1" si="30"/>
        <v>-14.360580578942049</v>
      </c>
      <c r="CA40" s="6">
        <f t="shared" ca="1" si="31"/>
        <v>21.987305235695761</v>
      </c>
      <c r="CB40" s="6">
        <f t="shared" ca="1" si="32"/>
        <v>2.149369132547351</v>
      </c>
      <c r="CC40" s="6">
        <f t="shared" ca="1" si="33"/>
        <v>-0.37371517718922243</v>
      </c>
      <c r="CD40" s="9">
        <f t="shared" si="34"/>
        <v>-4.3605805789420486</v>
      </c>
      <c r="CE40" s="9">
        <f t="shared" si="35"/>
        <v>20.987305235695761</v>
      </c>
      <c r="CF40" s="6">
        <f t="shared" si="36"/>
        <v>1.7756539553581285</v>
      </c>
      <c r="CG40" s="6"/>
      <c r="CH40" s="6"/>
      <c r="CI40" s="6"/>
      <c r="CJ40" s="1"/>
      <c r="CK40" s="6"/>
      <c r="CU40">
        <v>3.8668644941071122</v>
      </c>
      <c r="CV40">
        <v>3.866864494084254</v>
      </c>
      <c r="CW40">
        <v>3.8668644940956831</v>
      </c>
      <c r="CX40">
        <v>-3.1415926535897114</v>
      </c>
      <c r="CY40">
        <v>3.1415926535896497</v>
      </c>
      <c r="CZ40">
        <v>3.1415926535897625</v>
      </c>
      <c r="DK40">
        <v>2.061978741891449</v>
      </c>
      <c r="DL40">
        <v>-0.51067321376283359</v>
      </c>
      <c r="DM40">
        <v>2.061978741991449</v>
      </c>
      <c r="DN40">
        <v>-0.51067321376344155</v>
      </c>
      <c r="DO40">
        <v>2.061978741791449</v>
      </c>
      <c r="DP40">
        <v>-0.51067321375706465</v>
      </c>
      <c r="DQ40">
        <v>-3.1884495044209871E-2</v>
      </c>
      <c r="DR40">
        <v>-1.3880000654589852</v>
      </c>
      <c r="DW40">
        <f t="array" aca="1" ref="DW40:DZ43" ca="1">MMULT(DW16:DZ19,DW26:DZ29)</f>
        <v>0.97893067151958357</v>
      </c>
      <c r="DX40">
        <f ca="1"/>
        <v>0.20419289987219741</v>
      </c>
      <c r="DY40">
        <f ca="1"/>
        <v>0</v>
      </c>
      <c r="DZ40">
        <f ca="1"/>
        <v>0</v>
      </c>
    </row>
    <row r="41" spans="1:139" x14ac:dyDescent="0.2">
      <c r="A41" s="3">
        <f t="shared" si="44"/>
        <v>6</v>
      </c>
      <c r="B41" s="6">
        <f t="shared" si="45"/>
        <v>12</v>
      </c>
      <c r="C41" s="6">
        <f t="shared" si="46"/>
        <v>-12.449981450889403</v>
      </c>
      <c r="D41" s="6">
        <f t="shared" si="47"/>
        <v>-4.9997961830968469</v>
      </c>
      <c r="F41" s="8" t="s">
        <v>51</v>
      </c>
      <c r="G41" s="9">
        <f>G38-B29</f>
        <v>-9.6432953196461284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-16.911927579460272</v>
      </c>
      <c r="BE41">
        <v>26.380759471045803</v>
      </c>
      <c r="BF41" s="6">
        <f t="shared" si="41"/>
        <v>2.140868608696314</v>
      </c>
      <c r="BG41" s="6">
        <f t="shared" si="42"/>
        <v>1.460190200418525</v>
      </c>
      <c r="BH41" s="6">
        <f t="shared" si="2"/>
        <v>0.90105539240231736</v>
      </c>
      <c r="BI41" s="6">
        <f t="shared" si="3"/>
        <v>0.90105539240231736</v>
      </c>
      <c r="BJ41">
        <v>-26.01835012224657</v>
      </c>
      <c r="BK41">
        <v>40.585783801608926</v>
      </c>
      <c r="BV41" s="38"/>
      <c r="BW41" s="6">
        <f t="shared" si="27"/>
        <v>0.45378560551852593</v>
      </c>
      <c r="BX41" s="9">
        <f t="shared" ca="1" si="28"/>
        <v>51.57053550298582</v>
      </c>
      <c r="BY41" s="9">
        <f t="shared" ca="1" si="29"/>
        <v>0.24680449312234032</v>
      </c>
      <c r="BZ41" s="9">
        <f t="shared" ca="1" si="30"/>
        <v>-14.502106378743591</v>
      </c>
      <c r="CA41" s="6">
        <f t="shared" ca="1" si="31"/>
        <v>22.271018453698812</v>
      </c>
      <c r="CB41" s="6">
        <f t="shared" ca="1" si="32"/>
        <v>2.1479900494775803</v>
      </c>
      <c r="CC41" s="6">
        <f t="shared" ca="1" si="33"/>
        <v>-0.36861745643814348</v>
      </c>
      <c r="CD41" s="9">
        <f t="shared" si="34"/>
        <v>-4.5021063787435889</v>
      </c>
      <c r="CE41" s="9">
        <f t="shared" si="35"/>
        <v>21.271018453698812</v>
      </c>
      <c r="CF41" s="6">
        <f t="shared" si="36"/>
        <v>1.7793725930394368</v>
      </c>
      <c r="CG41" s="6"/>
      <c r="CH41" s="6"/>
      <c r="CI41" s="6"/>
      <c r="CJ41" s="1"/>
      <c r="CK41" s="6"/>
      <c r="CU41">
        <v>3.8668644941071122</v>
      </c>
      <c r="CV41">
        <v>3.8668644940956831</v>
      </c>
      <c r="CW41">
        <v>3.8668644941013977</v>
      </c>
      <c r="CX41">
        <v>-3.1415926535897114</v>
      </c>
      <c r="CY41">
        <v>3.1415926535897625</v>
      </c>
      <c r="CZ41">
        <v>-3.1415926535897674</v>
      </c>
      <c r="DK41">
        <v>-1.3880000654589852</v>
      </c>
      <c r="DL41">
        <v>2.1490586186531777</v>
      </c>
      <c r="DM41">
        <v>-1.3880000653589852</v>
      </c>
      <c r="DN41">
        <v>2.1490586186501739</v>
      </c>
      <c r="DO41">
        <v>-1.3880000655589853</v>
      </c>
      <c r="DP41">
        <v>2.1490586186552676</v>
      </c>
      <c r="DQ41">
        <v>-2.5468516184901091E-2</v>
      </c>
      <c r="DR41">
        <v>1.3115813000887226</v>
      </c>
      <c r="DW41">
        <f ca="1"/>
        <v>-0.19371439368925458</v>
      </c>
      <c r="DX41">
        <f ca="1"/>
        <v>0.92869517802000268</v>
      </c>
      <c r="DY41">
        <f ca="1"/>
        <v>0.31622776601683794</v>
      </c>
      <c r="DZ41">
        <f ca="1"/>
        <v>0</v>
      </c>
    </row>
    <row r="42" spans="1:139" x14ac:dyDescent="0.2">
      <c r="A42" s="3">
        <f t="shared" si="44"/>
        <v>-6</v>
      </c>
      <c r="B42" s="6">
        <f t="shared" si="45"/>
        <v>12</v>
      </c>
      <c r="C42" s="6">
        <f t="shared" si="46"/>
        <v>-3.4701519240561645</v>
      </c>
      <c r="D42" s="6">
        <f t="shared" si="47"/>
        <v>-12.95986287056963</v>
      </c>
      <c r="J42" s="9"/>
      <c r="K42" s="9"/>
      <c r="N42" s="9"/>
      <c r="O42" s="9"/>
      <c r="BC42">
        <v>0.69813170079773235</v>
      </c>
      <c r="BD42">
        <v>-17.155866518417696</v>
      </c>
      <c r="BE42">
        <v>26.739038340362711</v>
      </c>
      <c r="BF42" s="6">
        <f t="shared" si="41"/>
        <v>2.1412464037500532</v>
      </c>
      <c r="BG42" s="6">
        <f t="shared" si="42"/>
        <v>1.4431147029523208</v>
      </c>
      <c r="BH42" s="6">
        <f t="shared" si="2"/>
        <v>0.90067759734857811</v>
      </c>
      <c r="BI42" s="6">
        <f t="shared" si="3"/>
        <v>0.90067759734857811</v>
      </c>
      <c r="BJ42">
        <v>-26.393640797565684</v>
      </c>
      <c r="BK42">
        <v>41.136982062096479</v>
      </c>
      <c r="BV42" s="38"/>
      <c r="BW42" s="6">
        <f t="shared" si="27"/>
        <v>0.47123889803846924</v>
      </c>
      <c r="BX42" s="9">
        <f t="shared" ca="1" si="28"/>
        <v>51.424051173254767</v>
      </c>
      <c r="BY42" s="9">
        <f t="shared" ca="1" si="29"/>
        <v>0.53419937266678019</v>
      </c>
      <c r="BZ42" s="9">
        <f t="shared" ca="1" si="30"/>
        <v>-14.648590708474643</v>
      </c>
      <c r="CA42" s="6">
        <f t="shared" ca="1" si="31"/>
        <v>22.558413333243251</v>
      </c>
      <c r="CB42" s="6">
        <f t="shared" ca="1" si="32"/>
        <v>2.1467233566633972</v>
      </c>
      <c r="CC42" s="6">
        <f t="shared" ca="1" si="33"/>
        <v>-0.36355099734273155</v>
      </c>
      <c r="CD42" s="9">
        <f t="shared" si="34"/>
        <v>-4.648590708474643</v>
      </c>
      <c r="CE42" s="9">
        <f t="shared" si="35"/>
        <v>21.558413333243251</v>
      </c>
      <c r="CF42" s="6">
        <f t="shared" si="36"/>
        <v>1.7831723593206656</v>
      </c>
      <c r="CG42" s="6"/>
      <c r="CH42" s="6"/>
      <c r="CI42" s="6"/>
      <c r="CJ42" s="1"/>
      <c r="CK42" s="6"/>
      <c r="CU42">
        <v>3.8668644941013977</v>
      </c>
      <c r="CV42">
        <v>3.8668644940956831</v>
      </c>
      <c r="CW42">
        <v>3.8668644940985404</v>
      </c>
      <c r="CX42">
        <v>-3.1415926535897674</v>
      </c>
      <c r="CY42">
        <v>3.1415926535897625</v>
      </c>
      <c r="CZ42">
        <v>3.1415926535897909</v>
      </c>
      <c r="DK42">
        <v>1.3115813000887226</v>
      </c>
      <c r="DL42">
        <v>-0.48743314214214212</v>
      </c>
      <c r="DM42">
        <v>1.3115813001887227</v>
      </c>
      <c r="DN42">
        <v>-0.48743314214587768</v>
      </c>
      <c r="DO42">
        <v>1.3115812999887226</v>
      </c>
      <c r="DP42">
        <v>-0.48743314213840594</v>
      </c>
      <c r="DQ42">
        <v>-3.7358727222880361E-2</v>
      </c>
      <c r="DR42">
        <v>0.83058177161247271</v>
      </c>
      <c r="DW42">
        <f ca="1"/>
        <v>6.4571464563084865E-2</v>
      </c>
      <c r="DX42">
        <f ca="1"/>
        <v>-0.30956505934000089</v>
      </c>
      <c r="DY42">
        <f ca="1"/>
        <v>0.94868329805051377</v>
      </c>
      <c r="DZ42">
        <f ca="1"/>
        <v>0</v>
      </c>
    </row>
    <row r="43" spans="1:139" x14ac:dyDescent="0.2">
      <c r="A43" s="3">
        <f t="shared" si="44"/>
        <v>-6</v>
      </c>
      <c r="B43" s="6">
        <f t="shared" si="45"/>
        <v>4</v>
      </c>
      <c r="C43" s="6">
        <f t="shared" si="46"/>
        <v>1.8365592009256915</v>
      </c>
      <c r="D43" s="6">
        <f t="shared" si="47"/>
        <v>-6.9733098526808046</v>
      </c>
      <c r="AD43" t="s">
        <v>134</v>
      </c>
      <c r="BC43">
        <v>0.71558499331767567</v>
      </c>
      <c r="BD43">
        <v>-17.411029645267725</v>
      </c>
      <c r="BE43">
        <v>27.105029755159325</v>
      </c>
      <c r="BF43" s="6">
        <f t="shared" si="41"/>
        <v>2.1417778507426513</v>
      </c>
      <c r="BG43" s="6">
        <f t="shared" si="42"/>
        <v>1.4261928574249756</v>
      </c>
      <c r="BH43" s="6">
        <f t="shared" si="2"/>
        <v>0.90014615035598</v>
      </c>
      <c r="BI43" s="6">
        <f t="shared" si="3"/>
        <v>0.90014615035598</v>
      </c>
      <c r="BJ43">
        <v>-26.786199454258036</v>
      </c>
      <c r="BK43">
        <v>41.700045777168192</v>
      </c>
      <c r="BV43" s="38"/>
      <c r="BW43" s="6">
        <f t="shared" si="27"/>
        <v>0.48869219055841256</v>
      </c>
      <c r="BX43" s="9">
        <f t="shared" ca="1" si="28"/>
        <v>51.272345930388205</v>
      </c>
      <c r="BY43" s="9">
        <f t="shared" ca="1" si="29"/>
        <v>0.82548463938334393</v>
      </c>
      <c r="BZ43" s="9">
        <f t="shared" ca="1" si="30"/>
        <v>-14.800295951341205</v>
      </c>
      <c r="CA43" s="6">
        <f t="shared" ca="1" si="31"/>
        <v>22.849698599959815</v>
      </c>
      <c r="CB43" s="6">
        <f t="shared" ca="1" si="32"/>
        <v>2.1455698144388728</v>
      </c>
      <c r="CC43" s="6">
        <f t="shared" ca="1" si="33"/>
        <v>-0.35851296739405486</v>
      </c>
      <c r="CD43" s="9">
        <f t="shared" si="34"/>
        <v>-4.8002959513412069</v>
      </c>
      <c r="CE43" s="9">
        <f t="shared" si="35"/>
        <v>21.849698599959815</v>
      </c>
      <c r="CF43" s="6">
        <f t="shared" si="36"/>
        <v>1.787056847044818</v>
      </c>
      <c r="CG43" s="6"/>
      <c r="CH43" s="6"/>
      <c r="CI43" s="6"/>
      <c r="CJ43" s="1"/>
      <c r="CK43" s="6"/>
      <c r="CU43">
        <v>3.8668644941013977</v>
      </c>
      <c r="CV43">
        <v>3.8668644940985404</v>
      </c>
      <c r="CW43">
        <v>3.866864494099969</v>
      </c>
      <c r="CX43">
        <v>-3.1415926535897674</v>
      </c>
      <c r="CY43">
        <v>3.1415926535897909</v>
      </c>
      <c r="CZ43">
        <v>-3.1415926535897816</v>
      </c>
      <c r="DK43">
        <v>0.83058177161247271</v>
      </c>
      <c r="DL43">
        <v>-0.46262863547510236</v>
      </c>
      <c r="DM43">
        <v>0.83058177171247272</v>
      </c>
      <c r="DN43">
        <v>-0.46262863548234806</v>
      </c>
      <c r="DO43">
        <v>0.8305817715124727</v>
      </c>
      <c r="DP43">
        <v>-0.46262863546785771</v>
      </c>
      <c r="DQ43">
        <v>-7.2451766808256934E-2</v>
      </c>
      <c r="DR43">
        <v>0.72843438291114837</v>
      </c>
      <c r="DV43" s="5"/>
      <c r="DW43">
        <f ca="1"/>
        <v>0</v>
      </c>
      <c r="DX43">
        <f ca="1"/>
        <v>0</v>
      </c>
      <c r="DY43">
        <f ca="1"/>
        <v>0</v>
      </c>
      <c r="DZ43">
        <f ca="1"/>
        <v>1</v>
      </c>
    </row>
    <row r="44" spans="1:139" x14ac:dyDescent="0.2">
      <c r="A44" s="3">
        <f t="shared" si="44"/>
        <v>-6</v>
      </c>
      <c r="B44" s="6">
        <f t="shared" si="45"/>
        <v>4</v>
      </c>
      <c r="C44" s="6">
        <f t="shared" si="46"/>
        <v>1.8365592009256915</v>
      </c>
      <c r="D44" s="6">
        <f t="shared" si="47"/>
        <v>-6.9733098526808046</v>
      </c>
      <c r="AD44" t="s">
        <v>8</v>
      </c>
      <c r="AE44" t="s">
        <v>9</v>
      </c>
      <c r="BC44">
        <v>0.73303828583761899</v>
      </c>
      <c r="BD44">
        <v>-17.678194781394147</v>
      </c>
      <c r="BE44">
        <v>27.479148566296374</v>
      </c>
      <c r="BF44" s="6">
        <f t="shared" si="41"/>
        <v>2.1424691980726904</v>
      </c>
      <c r="BG44" s="6">
        <f t="shared" si="42"/>
        <v>1.4094309122350714</v>
      </c>
      <c r="BH44" s="6">
        <f t="shared" si="2"/>
        <v>0.89945480302594083</v>
      </c>
      <c r="BI44" s="6">
        <f t="shared" si="3"/>
        <v>0.89945480302594083</v>
      </c>
      <c r="BJ44">
        <v>-27.197222740606378</v>
      </c>
      <c r="BK44">
        <v>42.275613178917496</v>
      </c>
      <c r="BV44" s="38"/>
      <c r="BW44" s="6">
        <f t="shared" si="27"/>
        <v>0.50614548307835583</v>
      </c>
      <c r="BX44" s="9">
        <f t="shared" ca="1" si="28"/>
        <v>51.115138078476072</v>
      </c>
      <c r="BY44" s="9">
        <f t="shared" ca="1" si="29"/>
        <v>1.1208780439639945</v>
      </c>
      <c r="BZ44" s="9">
        <f t="shared" ca="1" si="30"/>
        <v>-14.957503803253339</v>
      </c>
      <c r="CA44" s="6">
        <f t="shared" ca="1" si="31"/>
        <v>23.145092004540466</v>
      </c>
      <c r="CB44" s="6">
        <f t="shared" ca="1" si="32"/>
        <v>2.1445304618615024</v>
      </c>
      <c r="CC44" s="6">
        <f t="shared" ca="1" si="33"/>
        <v>-0.35350057469303059</v>
      </c>
      <c r="CD44" s="9">
        <f t="shared" si="34"/>
        <v>-4.9575038032533403</v>
      </c>
      <c r="CE44" s="9">
        <f t="shared" si="35"/>
        <v>22.145092004540466</v>
      </c>
      <c r="CF44" s="6">
        <f t="shared" si="36"/>
        <v>1.7910298871684718</v>
      </c>
      <c r="CG44" s="6"/>
      <c r="CH44" s="6"/>
      <c r="CI44" s="6"/>
      <c r="CJ44" s="1"/>
      <c r="CK44" s="6"/>
      <c r="CU44">
        <v>3.866864494099969</v>
      </c>
      <c r="CV44">
        <v>3.8668644940985404</v>
      </c>
      <c r="CW44">
        <v>3.8668644940992545</v>
      </c>
      <c r="CX44">
        <v>-3.1415926535897816</v>
      </c>
      <c r="CY44">
        <v>3.1415926535897909</v>
      </c>
      <c r="CZ44">
        <v>-3.1415926535897887</v>
      </c>
      <c r="DK44">
        <v>0.72843438291114837</v>
      </c>
      <c r="DL44">
        <v>-0.4544515021646609</v>
      </c>
      <c r="DM44">
        <v>0.72843438301114838</v>
      </c>
      <c r="DN44">
        <v>-0.45445150217352581</v>
      </c>
      <c r="DO44">
        <v>0.72843438281114836</v>
      </c>
      <c r="DP44">
        <v>-0.45445150215579339</v>
      </c>
      <c r="DQ44">
        <v>-8.8662133190808845E-2</v>
      </c>
      <c r="DR44">
        <v>1.8859647367338088</v>
      </c>
      <c r="DV44" s="5"/>
      <c r="DW44">
        <f t="array" aca="1" ref="DW44:DZ44" ca="1">MMULT(DW10:DZ10,DW40:DZ43)</f>
        <v>1104.0112762248655</v>
      </c>
      <c r="DX44">
        <f ca="1"/>
        <v>-1.7763568394002505E-14</v>
      </c>
      <c r="DY44">
        <f ca="1"/>
        <v>0</v>
      </c>
      <c r="DZ44">
        <f ca="1"/>
        <v>0</v>
      </c>
    </row>
    <row r="45" spans="1:139" x14ac:dyDescent="0.2">
      <c r="A45" s="3">
        <f t="shared" si="44"/>
        <v>-6</v>
      </c>
      <c r="B45" s="6">
        <f t="shared" si="45"/>
        <v>-12</v>
      </c>
      <c r="C45" s="6">
        <f t="shared" si="46"/>
        <v>12.449981450889403</v>
      </c>
      <c r="D45" s="6">
        <f t="shared" si="47"/>
        <v>4.9997961830968469</v>
      </c>
      <c r="AD45" s="38">
        <f>U13+PI()/3</f>
        <v>4.0891215522952287</v>
      </c>
      <c r="AE45">
        <v>0</v>
      </c>
      <c r="BC45">
        <v>0.75049157835756231</v>
      </c>
      <c r="BD45">
        <v>-17.958210741052923</v>
      </c>
      <c r="BE45">
        <v>27.861833752267625</v>
      </c>
      <c r="BF45" s="6">
        <f t="shared" si="41"/>
        <v>2.1433273153124763</v>
      </c>
      <c r="BG45" s="6">
        <f t="shared" si="42"/>
        <v>1.392835736954914</v>
      </c>
      <c r="BH45" s="6">
        <f t="shared" si="2"/>
        <v>0.89859668578615493</v>
      </c>
      <c r="BI45" s="6">
        <f t="shared" si="3"/>
        <v>0.89859668578615493</v>
      </c>
      <c r="BJ45">
        <v>-27.628016524696804</v>
      </c>
      <c r="BK45">
        <v>42.864359618873266</v>
      </c>
      <c r="BV45" s="38"/>
      <c r="BW45" s="6">
        <f t="shared" si="27"/>
        <v>0.52359877559829915</v>
      </c>
      <c r="BX45" s="9">
        <f t="shared" ca="1" si="28"/>
        <v>50.952125014272063</v>
      </c>
      <c r="BY45" s="9">
        <f t="shared" ca="1" si="29"/>
        <v>1.4206069969999007</v>
      </c>
      <c r="BZ45" s="9">
        <f t="shared" ca="1" si="30"/>
        <v>-15.120516867457347</v>
      </c>
      <c r="CA45" s="6">
        <f t="shared" ca="1" si="31"/>
        <v>23.444820957576372</v>
      </c>
      <c r="CB45" s="6">
        <f t="shared" ca="1" si="32"/>
        <v>2.1436066240829019</v>
      </c>
      <c r="CC45" s="6">
        <f t="shared" ca="1" si="33"/>
        <v>-0.34851106322387659</v>
      </c>
      <c r="CD45" s="9">
        <f t="shared" si="34"/>
        <v>-5.1205168674573471</v>
      </c>
      <c r="CE45" s="9">
        <f t="shared" si="35"/>
        <v>22.444820957576372</v>
      </c>
      <c r="CF45" s="6">
        <f t="shared" si="36"/>
        <v>1.7950955608590253</v>
      </c>
      <c r="CG45" s="6"/>
      <c r="CH45" s="6"/>
      <c r="CI45" s="6"/>
      <c r="CJ45" s="1"/>
      <c r="CK45" s="6"/>
      <c r="CU45">
        <v>3.8668644940992545</v>
      </c>
      <c r="CV45">
        <v>3.8668644940985404</v>
      </c>
      <c r="CW45">
        <v>3.8668644940988974</v>
      </c>
      <c r="CX45">
        <v>-3.1415926535897887</v>
      </c>
      <c r="CY45">
        <v>3.1415926535897909</v>
      </c>
      <c r="CZ45">
        <v>-3.1415926535897922</v>
      </c>
      <c r="DK45">
        <v>1.8859647367338088</v>
      </c>
      <c r="DL45">
        <v>-0.50543343630739357</v>
      </c>
      <c r="DM45">
        <v>1.8859647368338088</v>
      </c>
      <c r="DN45">
        <v>-0.50543343631237625</v>
      </c>
      <c r="DO45">
        <v>1.8859647366338088</v>
      </c>
      <c r="DP45">
        <v>-0.50543343630681536</v>
      </c>
      <c r="DQ45">
        <v>-2.780442542871242E-2</v>
      </c>
      <c r="DR45">
        <v>2.5573555455544161</v>
      </c>
      <c r="DV45" s="5"/>
    </row>
    <row r="46" spans="1:139" x14ac:dyDescent="0.2">
      <c r="AD46" s="38">
        <f>U13-PI()/3</f>
        <v>1.9947264499020336</v>
      </c>
      <c r="AE46">
        <f>AE45</f>
        <v>0</v>
      </c>
      <c r="BC46">
        <v>0.76794487087750563</v>
      </c>
      <c r="BD46">
        <v>-18.252005184450873</v>
      </c>
      <c r="BE46">
        <v>28.253550278647765</v>
      </c>
      <c r="BF46" s="6">
        <f t="shared" si="41"/>
        <v>2.1443597417925049</v>
      </c>
      <c r="BG46" s="6">
        <f t="shared" si="42"/>
        <v>1.3764148709149993</v>
      </c>
      <c r="BH46" s="6">
        <f t="shared" si="2"/>
        <v>0.89756425930612638</v>
      </c>
      <c r="BI46" s="6">
        <f t="shared" si="3"/>
        <v>0.89756425930612638</v>
      </c>
      <c r="BJ46">
        <v>-28.080007976078264</v>
      </c>
      <c r="BK46">
        <v>43.46700042868887</v>
      </c>
      <c r="BV46" s="38"/>
      <c r="BW46" s="6">
        <f t="shared" si="27"/>
        <v>0.54105206811824247</v>
      </c>
      <c r="BX46" s="9">
        <f t="shared" ca="1" si="28"/>
        <v>50.782981328783549</v>
      </c>
      <c r="BY46" s="9">
        <f t="shared" ca="1" si="29"/>
        <v>1.7249092529550296</v>
      </c>
      <c r="BZ46" s="9">
        <f t="shared" ca="1" si="30"/>
        <v>-15.289660552945861</v>
      </c>
      <c r="CA46" s="6">
        <f t="shared" ca="1" si="31"/>
        <v>23.749123213531501</v>
      </c>
      <c r="CB46" s="6">
        <f t="shared" ca="1" si="32"/>
        <v>2.1427999251641081</v>
      </c>
      <c r="CC46" s="6">
        <f t="shared" ca="1" si="33"/>
        <v>-0.3435417064823032</v>
      </c>
      <c r="CD46" s="9">
        <f t="shared" si="34"/>
        <v>-5.2896605529458576</v>
      </c>
      <c r="CE46" s="9">
        <f t="shared" si="35"/>
        <v>22.749123213531501</v>
      </c>
      <c r="CF46" s="6">
        <f t="shared" si="36"/>
        <v>1.7992582186818049</v>
      </c>
      <c r="CG46" s="6"/>
      <c r="CH46" s="6"/>
      <c r="CI46" s="6"/>
      <c r="CJ46" s="1"/>
      <c r="CK46" s="6"/>
      <c r="CU46">
        <v>3.8668644940988974</v>
      </c>
      <c r="CV46">
        <v>3.8668644940985404</v>
      </c>
      <c r="CW46">
        <v>3.8668644940987189</v>
      </c>
      <c r="CX46">
        <v>-3.1415926535897922</v>
      </c>
      <c r="CY46">
        <v>3.1415926535897909</v>
      </c>
      <c r="CZ46">
        <v>3.1415926535897927</v>
      </c>
      <c r="DK46">
        <v>2.5573555455544161</v>
      </c>
      <c r="DL46">
        <v>-1.2883041366617594</v>
      </c>
      <c r="DM46">
        <v>2.5573555456544161</v>
      </c>
      <c r="DN46">
        <v>-1.2883041374238555</v>
      </c>
      <c r="DO46">
        <v>2.5573555454544161</v>
      </c>
      <c r="DP46">
        <v>-1.2883041358996543</v>
      </c>
      <c r="DQ46">
        <v>-7.6210060484527276</v>
      </c>
      <c r="DR46">
        <v>2.3883090799734945</v>
      </c>
    </row>
    <row r="47" spans="1:139" x14ac:dyDescent="0.2">
      <c r="A47" t="s">
        <v>27</v>
      </c>
      <c r="BC47">
        <v>0.78539816339744895</v>
      </c>
      <c r="BD47">
        <v>-18.560593717346581</v>
      </c>
      <c r="BE47">
        <v>28.654791113083316</v>
      </c>
      <c r="BF47" s="6">
        <f t="shared" si="41"/>
        <v>2.1455747456911904</v>
      </c>
      <c r="BG47" s="6">
        <f t="shared" si="42"/>
        <v>1.3601765822937415</v>
      </c>
      <c r="BH47" s="6">
        <f t="shared" si="2"/>
        <v>0.89634925540744081</v>
      </c>
      <c r="BI47" s="6">
        <f t="shared" si="3"/>
        <v>0.89634925540744081</v>
      </c>
      <c r="BJ47">
        <v>-28.554759565148586</v>
      </c>
      <c r="BK47">
        <v>44.084294020128176</v>
      </c>
      <c r="BV47" s="38"/>
      <c r="BW47" s="6">
        <f t="shared" si="27"/>
        <v>0.55850536063818579</v>
      </c>
      <c r="BX47" s="9">
        <f t="shared" ca="1" si="28"/>
        <v>50.607356778719556</v>
      </c>
      <c r="BY47" s="9">
        <f t="shared" ca="1" si="29"/>
        <v>2.0340336428389314</v>
      </c>
      <c r="BZ47" s="9">
        <f t="shared" ca="1" si="30"/>
        <v>-15.465285103009855</v>
      </c>
      <c r="CA47" s="6">
        <f t="shared" ca="1" si="31"/>
        <v>24.058247603415403</v>
      </c>
      <c r="CB47" s="6">
        <f t="shared" ca="1" si="32"/>
        <v>2.1421123004869593</v>
      </c>
      <c r="CC47" s="6">
        <f t="shared" ca="1" si="33"/>
        <v>-0.33858980202205124</v>
      </c>
      <c r="CD47" s="9">
        <f t="shared" si="34"/>
        <v>-5.4652851030098546</v>
      </c>
      <c r="CE47" s="9">
        <f t="shared" si="35"/>
        <v>23.058247603415403</v>
      </c>
      <c r="CF47" s="6">
        <f t="shared" si="36"/>
        <v>1.8035224984649081</v>
      </c>
      <c r="CG47" s="6"/>
      <c r="CH47" s="6"/>
      <c r="CI47" s="6"/>
      <c r="CJ47" s="1"/>
      <c r="CK47" s="6"/>
      <c r="CU47">
        <v>3.8668644940988974</v>
      </c>
      <c r="CV47">
        <v>3.8668644940987189</v>
      </c>
      <c r="CW47">
        <v>3.8668644940988082</v>
      </c>
      <c r="CX47">
        <v>-3.1415926535897922</v>
      </c>
      <c r="CY47">
        <v>3.1415926535897927</v>
      </c>
      <c r="CZ47">
        <v>-3.1415926535897931</v>
      </c>
      <c r="DK47">
        <v>2.3883090799734945</v>
      </c>
      <c r="DL47">
        <v>-0.68768861460223074</v>
      </c>
      <c r="DM47">
        <v>2.3883090800734945</v>
      </c>
      <c r="DN47">
        <v>-0.68768861474463838</v>
      </c>
      <c r="DO47">
        <v>2.3883090798734945</v>
      </c>
      <c r="DP47">
        <v>-0.68768861446032337</v>
      </c>
      <c r="DQ47">
        <v>-1.4215750798740601</v>
      </c>
      <c r="DR47">
        <v>1.9045579054219863</v>
      </c>
    </row>
    <row r="48" spans="1:139" x14ac:dyDescent="0.2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-18.885090164072064</v>
      </c>
      <c r="BE48">
        <v>29.06607942156975</v>
      </c>
      <c r="BF48" s="6">
        <f t="shared" si="41"/>
        <v>2.146981387833427</v>
      </c>
      <c r="BG48" s="6">
        <f t="shared" si="42"/>
        <v>1.3441299319160347</v>
      </c>
      <c r="BH48" s="6">
        <f t="shared" si="2"/>
        <v>0.8949426132652043</v>
      </c>
      <c r="BI48" s="6">
        <f t="shared" si="3"/>
        <v>0.8949426132652043</v>
      </c>
      <c r="BJ48">
        <v>-29.053984867803173</v>
      </c>
      <c r="BK48">
        <v>44.717045263953459</v>
      </c>
      <c r="BV48" s="38"/>
      <c r="BW48" s="6">
        <f t="shared" si="27"/>
        <v>0.57595865315812911</v>
      </c>
      <c r="BX48" s="9">
        <f t="shared" ca="1" si="28"/>
        <v>50.424874061006037</v>
      </c>
      <c r="BY48" s="9">
        <f t="shared" ca="1" si="29"/>
        <v>2.3482408620002175</v>
      </c>
      <c r="BZ48" s="9">
        <f t="shared" ca="1" si="30"/>
        <v>-15.647767820723374</v>
      </c>
      <c r="CA48" s="6">
        <f t="shared" ca="1" si="31"/>
        <v>24.372454822576689</v>
      </c>
      <c r="CB48" s="6">
        <f t="shared" ca="1" si="32"/>
        <v>2.1415460102508472</v>
      </c>
      <c r="CC48" s="6">
        <f t="shared" ca="1" si="33"/>
        <v>-0.33365266625620982</v>
      </c>
      <c r="CD48" s="9">
        <f t="shared" si="34"/>
        <v>-5.6477678207233719</v>
      </c>
      <c r="CE48" s="9">
        <f t="shared" si="35"/>
        <v>23.372454822576689</v>
      </c>
      <c r="CF48" s="6">
        <f t="shared" si="36"/>
        <v>1.8078933439946374</v>
      </c>
      <c r="CG48" s="6"/>
      <c r="CH48" s="6"/>
      <c r="CI48" s="6"/>
      <c r="CJ48" s="1"/>
      <c r="CK48" s="6"/>
      <c r="CU48">
        <v>3.8668644940988082</v>
      </c>
      <c r="CV48">
        <v>3.8668644940987189</v>
      </c>
      <c r="CW48">
        <v>3.8668644940987633</v>
      </c>
      <c r="CX48">
        <v>-3.1415926535897931</v>
      </c>
      <c r="CY48">
        <v>3.1415926535897927</v>
      </c>
      <c r="CZ48">
        <v>3.1415926535897927</v>
      </c>
      <c r="DK48">
        <v>1.9045579054219863</v>
      </c>
      <c r="DL48">
        <v>-0.50597000193921637</v>
      </c>
      <c r="DM48">
        <v>1.9045579055219863</v>
      </c>
      <c r="DN48">
        <v>-0.50597000194426767</v>
      </c>
      <c r="DO48">
        <v>1.9045579053219863</v>
      </c>
      <c r="DP48">
        <v>-0.50597000193865416</v>
      </c>
      <c r="DQ48">
        <v>-2.8067548285548582E-2</v>
      </c>
      <c r="DR48">
        <v>2.7272453312991485</v>
      </c>
    </row>
    <row r="49" spans="1:122" x14ac:dyDescent="0.2">
      <c r="A49" t="s">
        <v>43</v>
      </c>
      <c r="B49" s="6">
        <f>C37</f>
        <v>12.449981450889403</v>
      </c>
      <c r="C49" s="6">
        <f>D37</f>
        <v>4.9997961830968469</v>
      </c>
      <c r="D49" s="6">
        <f t="shared" ref="D49:E56" si="49">C38</f>
        <v>3.4701519240561645</v>
      </c>
      <c r="E49" s="6">
        <f t="shared" si="49"/>
        <v>12.95986287056963</v>
      </c>
      <c r="F49" s="6">
        <f t="shared" ref="F49:F56" si="50">IF(B49=D49,"V",(C49-E49)/(B49-D49))</f>
        <v>-0.88643850795683443</v>
      </c>
      <c r="G49" s="6">
        <f t="shared" ref="G49:G56" si="51">IF(F49="V",0,(-1*B49*F49)+C49)</f>
        <v>16.035939164513515</v>
      </c>
      <c r="H49" s="6">
        <f t="shared" ref="H49:H56" si="52">IF(AND(C49&lt;$G$41,E49&lt;$G$41),0,IF(AND(C49&lt;$G$41,E49&gt;$G$41),IF(F49="V",B49,($G$41-G49)/F49),B49))</f>
        <v>12.449981450889403</v>
      </c>
      <c r="I49" s="6">
        <f t="shared" ref="I49:I56" si="53">IF(AND(C49&lt;$G$41,E49&lt;$G$41),0,IF(AND(C49&lt;$G$41,E49&gt;$G$41),$G$41,C49))</f>
        <v>4.9997961830968469</v>
      </c>
      <c r="J49" s="6">
        <f t="shared" ref="J49:J56" si="54">IF(AND(C49&lt;$G$41,E49&lt;$G$41),0,IF(E49&gt;=$G$41,D49,IF(F49="V",D49,($G$41-G49)/F49)))</f>
        <v>3.4701519240561645</v>
      </c>
      <c r="K49" s="6">
        <f t="shared" ref="K49:K56" si="55">IF(AND(C49&lt;$G$41,E49&lt;$G$41),0,IF(E49&gt;=$G$41,E49,$G$41))</f>
        <v>12.95986287056963</v>
      </c>
      <c r="L49" s="6">
        <f t="shared" ref="L49:L56" si="56">IF(AND(I49=0,K49=0,H49=0,J49=0),0,$B$31)</f>
        <v>4.25</v>
      </c>
      <c r="M49" s="6">
        <f t="shared" ref="M49:M56" si="57">IF(AND(I49=0,K49=0,H49=0,J49=0),0,$B$31)</f>
        <v>4.25</v>
      </c>
      <c r="N49" s="10">
        <f t="shared" ref="N49:N56" si="58">(1/6)*(K49-I49)*((L49*((2*H49)+J49))+(M49*(H49+(2*J49))))</f>
        <v>269.29131209330922</v>
      </c>
      <c r="O49" s="10">
        <f t="shared" ref="O49:O56" si="59">((1/12)*(K49-I49)*(L49*H49*((3*I49)+K49)+L49*J49*(I49+K49)+M49*H49*(I49+K49)+M49*J49*(I49+(3*K49))))</f>
        <v>2216.674236017232</v>
      </c>
      <c r="P49" s="10">
        <f t="shared" ref="P49:P56" si="60">((-1/24)*(K49-I49)*(H49*H49*((3*L49)+M49)+2*H49*J49*(L49+M49)+J49*J49*(L49+(3*M49))))</f>
        <v>-1185.4544017312919</v>
      </c>
      <c r="S49">
        <f t="shared" ref="S49:S56" si="61">IF(AND(I49=0,K49=0,H49=0,J49=0),NA(),H49)</f>
        <v>12.449981450889403</v>
      </c>
      <c r="T49">
        <f t="shared" ref="T49:T56" si="62">IF(AND(I49=0,K49=0,H49=0,J49=0),NA(),I49)</f>
        <v>4.9997961830968469</v>
      </c>
      <c r="V49">
        <f t="shared" ref="V49:V56" si="63">IF(AND(I49=0,K49=0,H49=0,J49=0),NA(),J49)</f>
        <v>3.4701519240561645</v>
      </c>
      <c r="W49">
        <f t="shared" ref="W49:W56" si="64">IF(AND(I49=0,K49=0,H49=0,J49=0),NA(),K49)</f>
        <v>12.95986287056963</v>
      </c>
      <c r="AC49">
        <v>0</v>
      </c>
      <c r="AD49">
        <f>-PI()</f>
        <v>-3.1415926535897931</v>
      </c>
      <c r="BC49">
        <v>0.82030474843733558</v>
      </c>
      <c r="BD49">
        <v>-19.226718262257915</v>
      </c>
      <c r="BE49">
        <v>29.487970964144939</v>
      </c>
      <c r="BF49" s="6">
        <f t="shared" si="41"/>
        <v>2.1485895923209917</v>
      </c>
      <c r="BG49" s="6">
        <f t="shared" si="42"/>
        <v>1.3282848438836561</v>
      </c>
      <c r="BH49" s="6">
        <f t="shared" si="2"/>
        <v>0.89333440877763959</v>
      </c>
      <c r="BI49" s="6">
        <f t="shared" si="3"/>
        <v>0.89333440877763959</v>
      </c>
      <c r="BJ49">
        <v>-29.579566557319868</v>
      </c>
      <c r="BK49">
        <v>45.366109175607598</v>
      </c>
      <c r="BV49" s="38"/>
      <c r="BW49" s="6">
        <f t="shared" si="27"/>
        <v>0.59341194567807243</v>
      </c>
      <c r="BX49" s="9">
        <f t="shared" ca="1" si="28"/>
        <v>50.235126235624321</v>
      </c>
      <c r="BY49" s="9">
        <f t="shared" ca="1" si="29"/>
        <v>2.6678043182481588</v>
      </c>
      <c r="BZ49" s="9">
        <f t="shared" ca="1" si="30"/>
        <v>-15.837515646105089</v>
      </c>
      <c r="CA49" s="6">
        <f t="shared" ca="1" si="31"/>
        <v>24.69201827882463</v>
      </c>
      <c r="CB49" s="6">
        <f t="shared" ca="1" si="32"/>
        <v>2.1411036579014255</v>
      </c>
      <c r="CC49" s="6">
        <f t="shared" ca="1" si="33"/>
        <v>-0.32872762803496464</v>
      </c>
      <c r="CD49" s="9">
        <f t="shared" si="34"/>
        <v>-5.8375156461050874</v>
      </c>
      <c r="CE49" s="9">
        <f t="shared" si="35"/>
        <v>23.69201827882463</v>
      </c>
      <c r="CF49" s="6">
        <f t="shared" si="36"/>
        <v>1.8123760298664608</v>
      </c>
      <c r="CG49" s="6"/>
      <c r="CH49" s="6"/>
      <c r="CI49" s="6"/>
      <c r="CJ49" s="1"/>
      <c r="CK49" s="6"/>
      <c r="CU49">
        <v>3.8668644940988082</v>
      </c>
      <c r="CV49">
        <v>3.8668644940987633</v>
      </c>
      <c r="CW49">
        <v>3.8668644940987855</v>
      </c>
      <c r="CX49">
        <v>-3.1415926535897931</v>
      </c>
      <c r="CY49">
        <v>3.1415926535897927</v>
      </c>
      <c r="CZ49">
        <v>-3.1415926535897931</v>
      </c>
      <c r="DK49">
        <v>2.7272453312991485</v>
      </c>
      <c r="DL49">
        <v>-2.1669272035456535</v>
      </c>
      <c r="DM49">
        <v>2.7272453313991485</v>
      </c>
      <c r="DN49">
        <v>-2.1669272035733607</v>
      </c>
      <c r="DO49">
        <v>2.7272453311991485</v>
      </c>
      <c r="DP49">
        <v>-2.1669272035179459</v>
      </c>
      <c r="DQ49">
        <v>-0.27707391936360182</v>
      </c>
      <c r="DR49">
        <v>1.1896757708868384</v>
      </c>
    </row>
    <row r="50" spans="1:122" x14ac:dyDescent="0.2">
      <c r="A50" t="s">
        <v>44</v>
      </c>
      <c r="B50" s="6">
        <f t="shared" ref="B50:C56" si="65">D49</f>
        <v>3.4701519240561645</v>
      </c>
      <c r="C50" s="6">
        <f t="shared" si="65"/>
        <v>12.95986287056963</v>
      </c>
      <c r="D50" s="6">
        <f t="shared" si="49"/>
        <v>-7.1432703259075474</v>
      </c>
      <c r="E50" s="6">
        <f t="shared" si="49"/>
        <v>0.98675683479197929</v>
      </c>
      <c r="F50" s="6">
        <f t="shared" si="50"/>
        <v>1.1281098361858342</v>
      </c>
      <c r="G50" s="6">
        <f t="shared" si="51"/>
        <v>9.0451503519826737</v>
      </c>
      <c r="H50" s="6">
        <f t="shared" si="52"/>
        <v>3.4701519240561645</v>
      </c>
      <c r="I50" s="6">
        <f t="shared" si="53"/>
        <v>12.95986287056963</v>
      </c>
      <c r="J50" s="6">
        <f t="shared" si="54"/>
        <v>-7.1432703259075474</v>
      </c>
      <c r="K50" s="6">
        <f t="shared" si="55"/>
        <v>0.98675683479197929</v>
      </c>
      <c r="L50" s="6">
        <f t="shared" si="56"/>
        <v>4.25</v>
      </c>
      <c r="M50" s="6">
        <f t="shared" si="57"/>
        <v>4.25</v>
      </c>
      <c r="N50" s="10">
        <f t="shared" si="58"/>
        <v>93.454601728082096</v>
      </c>
      <c r="O50" s="10">
        <f t="shared" si="59"/>
        <v>112.82685597401893</v>
      </c>
      <c r="P50" s="10">
        <f t="shared" si="60"/>
        <v>324.65104205530599</v>
      </c>
      <c r="S50">
        <f t="shared" si="61"/>
        <v>3.4701519240561645</v>
      </c>
      <c r="T50">
        <f t="shared" si="62"/>
        <v>12.95986287056963</v>
      </c>
      <c r="V50">
        <f t="shared" si="63"/>
        <v>-7.1432703259075474</v>
      </c>
      <c r="W50">
        <f t="shared" si="64"/>
        <v>0.98675683479197929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-19.586825096317057</v>
      </c>
      <c r="BE50">
        <v>29.921056706071635</v>
      </c>
      <c r="BF50" s="6">
        <f t="shared" si="41"/>
        <v>2.1504102268773417</v>
      </c>
      <c r="BG50" s="6">
        <f t="shared" si="42"/>
        <v>1.3126521859200628</v>
      </c>
      <c r="BH50" s="6">
        <f t="shared" si="2"/>
        <v>0.89151377422128952</v>
      </c>
      <c r="BI50" s="6">
        <f t="shared" si="3"/>
        <v>0.89151377422128952</v>
      </c>
      <c r="BJ50">
        <v>-30.133577071257008</v>
      </c>
      <c r="BK50">
        <v>46.032394932417901</v>
      </c>
      <c r="BV50" s="38"/>
      <c r="BW50" s="6">
        <f t="shared" si="27"/>
        <v>0.61086523819801575</v>
      </c>
      <c r="BX50" s="9">
        <f t="shared" ca="1" si="28"/>
        <v>50.037673965511246</v>
      </c>
      <c r="BY50" s="9">
        <f t="shared" ca="1" si="29"/>
        <v>2.9930110443529365</v>
      </c>
      <c r="BZ50" s="9">
        <f t="shared" ca="1" si="30"/>
        <v>-16.034967916218164</v>
      </c>
      <c r="CA50" s="6">
        <f t="shared" ca="1" si="31"/>
        <v>25.017225004929408</v>
      </c>
      <c r="CB50" s="6">
        <f t="shared" ca="1" si="32"/>
        <v>2.1407882077432996</v>
      </c>
      <c r="CC50" s="6">
        <f t="shared" ca="1" si="33"/>
        <v>-0.32381202335716708</v>
      </c>
      <c r="CD50" s="9">
        <f t="shared" si="34"/>
        <v>-6.034967916218168</v>
      </c>
      <c r="CE50" s="9">
        <f t="shared" si="35"/>
        <v>24.017225004929408</v>
      </c>
      <c r="CF50" s="6">
        <f t="shared" si="36"/>
        <v>1.8169761843861325</v>
      </c>
      <c r="CG50" s="6"/>
      <c r="CH50" s="6"/>
      <c r="CI50" s="6"/>
      <c r="CJ50" s="1"/>
      <c r="CK50" s="6"/>
      <c r="CU50">
        <v>3.8668644940987855</v>
      </c>
      <c r="CV50">
        <v>3.8668644940987633</v>
      </c>
      <c r="CW50">
        <v>3.8668644940987744</v>
      </c>
      <c r="CX50">
        <v>-3.1415926535897931</v>
      </c>
      <c r="CY50">
        <v>3.1415926535897927</v>
      </c>
      <c r="CZ50">
        <v>-3.1415926535897931</v>
      </c>
      <c r="DK50">
        <v>1.1896757708868384</v>
      </c>
      <c r="DL50">
        <v>-0.48251426257404556</v>
      </c>
      <c r="DM50">
        <v>1.1896757709868384</v>
      </c>
      <c r="DN50">
        <v>-0.48251426257829277</v>
      </c>
      <c r="DO50">
        <v>1.1896757707868384</v>
      </c>
      <c r="DP50">
        <v>-0.48251426256979868</v>
      </c>
      <c r="DQ50">
        <v>-4.2470471584010738E-2</v>
      </c>
      <c r="DR50">
        <v>2.394876033756383</v>
      </c>
    </row>
    <row r="51" spans="1:122" x14ac:dyDescent="0.2">
      <c r="A51" t="s">
        <v>45</v>
      </c>
      <c r="B51" s="6">
        <f t="shared" si="65"/>
        <v>-7.1432703259075474</v>
      </c>
      <c r="C51" s="6">
        <f t="shared" si="65"/>
        <v>0.98675683479197929</v>
      </c>
      <c r="D51" s="6">
        <f t="shared" si="49"/>
        <v>-7.1432703259075474</v>
      </c>
      <c r="E51" s="6">
        <f t="shared" si="49"/>
        <v>0.98675683479197929</v>
      </c>
      <c r="F51" s="6" t="str">
        <f t="shared" si="50"/>
        <v>V</v>
      </c>
      <c r="G51" s="6">
        <f t="shared" si="51"/>
        <v>0</v>
      </c>
      <c r="H51" s="6">
        <f t="shared" si="52"/>
        <v>-7.1432703259075474</v>
      </c>
      <c r="I51" s="6">
        <f t="shared" si="53"/>
        <v>0.98675683479197929</v>
      </c>
      <c r="J51" s="6">
        <f t="shared" si="54"/>
        <v>-7.1432703259075474</v>
      </c>
      <c r="K51" s="6">
        <f t="shared" si="55"/>
        <v>0.98675683479197929</v>
      </c>
      <c r="L51" s="6">
        <f t="shared" si="56"/>
        <v>4.25</v>
      </c>
      <c r="M51" s="6">
        <f t="shared" si="57"/>
        <v>4.25</v>
      </c>
      <c r="N51" s="10">
        <f t="shared" si="58"/>
        <v>0</v>
      </c>
      <c r="O51" s="10">
        <f t="shared" si="59"/>
        <v>0</v>
      </c>
      <c r="P51" s="10">
        <f t="shared" si="60"/>
        <v>0</v>
      </c>
      <c r="S51">
        <f t="shared" si="61"/>
        <v>-7.1432703259075474</v>
      </c>
      <c r="T51">
        <f t="shared" si="62"/>
        <v>0.98675683479197929</v>
      </c>
      <c r="V51">
        <f t="shared" si="63"/>
        <v>-7.1432703259075474</v>
      </c>
      <c r="W51">
        <f t="shared" si="64"/>
        <v>0.98675683479197929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-19.966896490127606</v>
      </c>
      <c r="BE51">
        <v>30.365965671387674</v>
      </c>
      <c r="BF51" s="6">
        <f t="shared" si="41"/>
        <v>2.1524551922601809</v>
      </c>
      <c r="BG51" s="6">
        <f t="shared" si="42"/>
        <v>1.2972438587829587</v>
      </c>
      <c r="BH51" s="6">
        <f t="shared" si="2"/>
        <v>0.88946880883845048</v>
      </c>
      <c r="BI51" s="6">
        <f t="shared" si="3"/>
        <v>0.88946880883845048</v>
      </c>
      <c r="BJ51">
        <v>-30.71830229250401</v>
      </c>
      <c r="BK51">
        <v>46.716870263673343</v>
      </c>
      <c r="BV51" s="38"/>
      <c r="BW51" s="6">
        <f t="shared" si="27"/>
        <v>0.62831853071795907</v>
      </c>
      <c r="BX51" s="9">
        <f t="shared" ca="1" si="28"/>
        <v>49.832042413822023</v>
      </c>
      <c r="BY51" s="9">
        <f t="shared" ca="1" si="29"/>
        <v>3.3241626823399137</v>
      </c>
      <c r="BZ51" s="9">
        <f t="shared" ca="1" si="30"/>
        <v>-16.240599467907387</v>
      </c>
      <c r="CA51" s="6">
        <f t="shared" ca="1" si="31"/>
        <v>25.348376642916385</v>
      </c>
      <c r="CB51" s="6">
        <f t="shared" ca="1" si="32"/>
        <v>2.1406030055908269</v>
      </c>
      <c r="CC51" s="6">
        <f t="shared" ca="1" si="33"/>
        <v>-0.31890318968866666</v>
      </c>
      <c r="CD51" s="9">
        <f t="shared" si="34"/>
        <v>-6.2405994679073906</v>
      </c>
      <c r="CE51" s="9">
        <f t="shared" si="35"/>
        <v>24.348376642916385</v>
      </c>
      <c r="CF51" s="6">
        <f t="shared" si="36"/>
        <v>1.8216998159021602</v>
      </c>
      <c r="CG51" s="6"/>
      <c r="CH51" s="6"/>
      <c r="CI51" s="6"/>
      <c r="CJ51" s="1"/>
      <c r="CK51" s="6"/>
      <c r="CU51">
        <v>3.8668644940987744</v>
      </c>
      <c r="CV51">
        <v>3.8668644940987633</v>
      </c>
      <c r="CW51">
        <v>3.8668644940987686</v>
      </c>
      <c r="CX51">
        <v>-3.1415926535897931</v>
      </c>
      <c r="CY51">
        <v>3.1415926535897927</v>
      </c>
      <c r="CZ51">
        <v>3.1415926535897927</v>
      </c>
      <c r="DK51">
        <v>2.394876033756383</v>
      </c>
      <c r="DL51">
        <v>-0.69725541353948506</v>
      </c>
      <c r="DM51">
        <v>2.394876033856383</v>
      </c>
      <c r="DN51">
        <v>-0.69725541368496624</v>
      </c>
      <c r="DO51">
        <v>2.394876033656383</v>
      </c>
      <c r="DP51">
        <v>-0.69725541339472508</v>
      </c>
      <c r="DQ51">
        <v>-1.4512058221782809</v>
      </c>
      <c r="DR51">
        <v>1.9144097877673096</v>
      </c>
    </row>
    <row r="52" spans="1:122" x14ac:dyDescent="0.2">
      <c r="A52" t="s">
        <v>46</v>
      </c>
      <c r="B52" s="6">
        <f t="shared" si="65"/>
        <v>-7.1432703259075474</v>
      </c>
      <c r="C52" s="6">
        <f t="shared" si="65"/>
        <v>0.98675683479197929</v>
      </c>
      <c r="D52" s="6">
        <f t="shared" si="49"/>
        <v>-12.449981450889403</v>
      </c>
      <c r="E52" s="6">
        <f t="shared" si="49"/>
        <v>-4.9997961830968469</v>
      </c>
      <c r="F52" s="6">
        <f t="shared" si="50"/>
        <v>1.1281098361858344</v>
      </c>
      <c r="G52" s="6">
        <f t="shared" si="51"/>
        <v>9.0451503519826737</v>
      </c>
      <c r="H52" s="6">
        <f t="shared" si="52"/>
        <v>-7.1432703259075474</v>
      </c>
      <c r="I52" s="6">
        <f t="shared" si="53"/>
        <v>0.98675683479197929</v>
      </c>
      <c r="J52" s="6">
        <f t="shared" si="54"/>
        <v>-12.449981450889403</v>
      </c>
      <c r="K52" s="6">
        <f t="shared" si="55"/>
        <v>-4.9997961830968469</v>
      </c>
      <c r="L52" s="6">
        <f t="shared" si="56"/>
        <v>4.25</v>
      </c>
      <c r="M52" s="6">
        <f t="shared" si="57"/>
        <v>4.25</v>
      </c>
      <c r="N52" s="10">
        <f t="shared" si="58"/>
        <v>249.25408617860873</v>
      </c>
      <c r="O52" s="10">
        <f t="shared" si="59"/>
        <v>-567.49085765961172</v>
      </c>
      <c r="P52" s="10">
        <f t="shared" si="60"/>
        <v>1250.7787151881098</v>
      </c>
      <c r="S52">
        <f t="shared" si="61"/>
        <v>-7.1432703259075474</v>
      </c>
      <c r="T52">
        <f t="shared" si="62"/>
        <v>0.98675683479197929</v>
      </c>
      <c r="V52">
        <f t="shared" si="63"/>
        <v>-12.449981450889403</v>
      </c>
      <c r="W52">
        <f t="shared" si="64"/>
        <v>-4.9997961830968469</v>
      </c>
      <c r="AC52">
        <f>0</f>
        <v>0</v>
      </c>
      <c r="AD52">
        <f>AD51</f>
        <v>3.1415926535897931</v>
      </c>
      <c r="BC52">
        <v>0.87266462599716554</v>
      </c>
      <c r="BD52">
        <v>-20.368574383030374</v>
      </c>
      <c r="BE52">
        <v>30.823367977137639</v>
      </c>
      <c r="BF52" s="6">
        <f t="shared" si="41"/>
        <v>2.1547375161210822</v>
      </c>
      <c r="BG52" s="6">
        <f t="shared" si="42"/>
        <v>1.2820728901239167</v>
      </c>
      <c r="BH52" s="6">
        <f t="shared" si="2"/>
        <v>0.88718648497754915</v>
      </c>
      <c r="BI52" s="6">
        <f t="shared" si="3"/>
        <v>0.88718648497754915</v>
      </c>
      <c r="BJ52">
        <v>-31.336268281585191</v>
      </c>
      <c r="BK52">
        <v>47.420566118673293</v>
      </c>
      <c r="BV52" s="38"/>
      <c r="BW52" s="6">
        <f t="shared" si="27"/>
        <v>0.64577182323790239</v>
      </c>
      <c r="BX52" s="9">
        <f t="shared" ca="1" si="28"/>
        <v>49.617717684041594</v>
      </c>
      <c r="BY52" s="9">
        <f t="shared" ca="1" si="29"/>
        <v>3.6615765442241219</v>
      </c>
      <c r="BZ52" s="9">
        <f t="shared" ca="1" si="30"/>
        <v>-16.454924197687816</v>
      </c>
      <c r="CA52" s="6">
        <f t="shared" ca="1" si="31"/>
        <v>25.685790504800593</v>
      </c>
      <c r="CB52" s="6">
        <f t="shared" ca="1" si="32"/>
        <v>2.1405518046456322</v>
      </c>
      <c r="CC52" s="6">
        <f t="shared" ca="1" si="33"/>
        <v>-0.31399845917919511</v>
      </c>
      <c r="CD52" s="9">
        <f t="shared" si="34"/>
        <v>-6.4549241976878164</v>
      </c>
      <c r="CE52" s="9">
        <f t="shared" si="35"/>
        <v>24.685790504800593</v>
      </c>
      <c r="CF52" s="6">
        <f t="shared" si="36"/>
        <v>1.8265533454664371</v>
      </c>
      <c r="CG52" s="6"/>
      <c r="CH52" s="6"/>
      <c r="CI52" s="6"/>
      <c r="CJ52" s="1"/>
      <c r="CK52" s="6"/>
      <c r="CU52">
        <v>3.8668644940987744</v>
      </c>
      <c r="CV52">
        <v>3.8668644940987686</v>
      </c>
      <c r="CW52">
        <v>3.8668644940987713</v>
      </c>
      <c r="CX52">
        <v>-3.1415926535897931</v>
      </c>
      <c r="CY52">
        <v>3.1415926535897927</v>
      </c>
      <c r="CZ52">
        <v>-3.1415926535897931</v>
      </c>
      <c r="DK52">
        <v>1.9144097877673096</v>
      </c>
      <c r="DL52">
        <v>-0.50625556088658152</v>
      </c>
      <c r="DM52">
        <v>1.9144097878673096</v>
      </c>
      <c r="DN52">
        <v>-0.50625556089166568</v>
      </c>
      <c r="DO52">
        <v>1.9144097876673096</v>
      </c>
      <c r="DP52">
        <v>-0.50625556088602019</v>
      </c>
      <c r="DQ52">
        <v>-2.8227420401094605E-2</v>
      </c>
      <c r="DR52">
        <v>2.8290799247393044</v>
      </c>
    </row>
    <row r="53" spans="1:122" x14ac:dyDescent="0.2">
      <c r="A53" t="s">
        <v>47</v>
      </c>
      <c r="B53" s="6">
        <f t="shared" si="65"/>
        <v>-12.449981450889403</v>
      </c>
      <c r="C53" s="6">
        <f t="shared" si="65"/>
        <v>-4.9997961830968469</v>
      </c>
      <c r="D53" s="6">
        <f t="shared" si="49"/>
        <v>-3.4701519240561645</v>
      </c>
      <c r="E53" s="6">
        <f t="shared" si="49"/>
        <v>-12.95986287056963</v>
      </c>
      <c r="F53" s="6">
        <f t="shared" si="50"/>
        <v>-0.88643850795683443</v>
      </c>
      <c r="G53" s="6">
        <f t="shared" si="51"/>
        <v>-16.035939164513515</v>
      </c>
      <c r="H53" s="6">
        <f t="shared" si="52"/>
        <v>-12.449981450889403</v>
      </c>
      <c r="I53" s="6">
        <f t="shared" si="53"/>
        <v>-4.9997961830968469</v>
      </c>
      <c r="J53" s="6">
        <f t="shared" si="54"/>
        <v>-7.2116044006277304</v>
      </c>
      <c r="K53" s="6">
        <f t="shared" si="55"/>
        <v>-9.6432953196461284</v>
      </c>
      <c r="L53" s="6">
        <f t="shared" si="56"/>
        <v>4.25</v>
      </c>
      <c r="M53" s="6">
        <f t="shared" si="57"/>
        <v>4.25</v>
      </c>
      <c r="N53" s="10">
        <f t="shared" si="58"/>
        <v>194.00943346500745</v>
      </c>
      <c r="O53" s="10">
        <f t="shared" si="59"/>
        <v>-1380.4457024311503</v>
      </c>
      <c r="P53" s="10">
        <f t="shared" si="60"/>
        <v>976.19730777744883</v>
      </c>
      <c r="S53">
        <f t="shared" si="61"/>
        <v>-12.449981450889403</v>
      </c>
      <c r="T53">
        <f t="shared" si="62"/>
        <v>-4.9997961830968469</v>
      </c>
      <c r="V53">
        <f t="shared" si="63"/>
        <v>-7.2116044006277304</v>
      </c>
      <c r="W53">
        <f t="shared" si="64"/>
        <v>-9.6432953196461284</v>
      </c>
      <c r="AC53">
        <f>AC49</f>
        <v>0</v>
      </c>
      <c r="AD53">
        <f>AD49</f>
        <v>-3.1415926535897931</v>
      </c>
      <c r="BC53">
        <v>0.89011791851710886</v>
      </c>
      <c r="BD53">
        <v>-20.79365313080616</v>
      </c>
      <c r="BE53">
        <v>31.293971654106841</v>
      </c>
      <c r="BF53" s="6">
        <f t="shared" si="41"/>
        <v>2.1572710278945273</v>
      </c>
      <c r="BG53" s="6">
        <f t="shared" si="42"/>
        <v>1.2671531093774184</v>
      </c>
      <c r="BH53" s="6">
        <f t="shared" si="2"/>
        <v>0.88465297320410385</v>
      </c>
      <c r="BI53" s="6">
        <f t="shared" si="3"/>
        <v>0.88465297320410385</v>
      </c>
      <c r="BJ53">
        <v>-31.990235585855629</v>
      </c>
      <c r="BK53">
        <v>48.144571775548982</v>
      </c>
      <c r="BV53" s="38"/>
      <c r="BW53" s="6">
        <f t="shared" si="27"/>
        <v>0.66322511575784571</v>
      </c>
      <c r="BX53" s="9">
        <f t="shared" ca="1" si="28"/>
        <v>49.39414299778646</v>
      </c>
      <c r="BY53" s="9">
        <f t="shared" ca="1" si="29"/>
        <v>4.0055867587871852</v>
      </c>
      <c r="BZ53" s="9">
        <f t="shared" ca="1" si="30"/>
        <v>-16.67849888394295</v>
      </c>
      <c r="CA53" s="6">
        <f t="shared" ca="1" si="31"/>
        <v>26.029800719363656</v>
      </c>
      <c r="CB53" s="6">
        <f t="shared" ca="1" si="32"/>
        <v>2.1406387899248376</v>
      </c>
      <c r="CC53" s="6">
        <f t="shared" ca="1" si="33"/>
        <v>-0.3090951533513519</v>
      </c>
      <c r="CD53" s="9">
        <f t="shared" si="34"/>
        <v>-6.6784988839429467</v>
      </c>
      <c r="CE53" s="9">
        <f t="shared" si="35"/>
        <v>25.029800719363656</v>
      </c>
      <c r="CF53" s="6">
        <f t="shared" si="36"/>
        <v>1.8315436365734856</v>
      </c>
      <c r="CG53" s="6"/>
      <c r="CH53" s="6"/>
      <c r="CI53" s="6"/>
      <c r="CJ53" s="1"/>
      <c r="CK53" s="6"/>
      <c r="CU53">
        <v>3.8668644940987713</v>
      </c>
      <c r="CV53">
        <v>3.8668644940987686</v>
      </c>
      <c r="CW53">
        <v>3.86686449409877</v>
      </c>
      <c r="CX53">
        <v>-3.1415926535897931</v>
      </c>
      <c r="CY53">
        <v>3.1415926535897927</v>
      </c>
      <c r="CZ53">
        <v>-3.1415926535897931</v>
      </c>
      <c r="DK53">
        <v>2.8290799247393044</v>
      </c>
      <c r="DL53">
        <v>-2.2019233223324575</v>
      </c>
      <c r="DM53">
        <v>2.8290799248393044</v>
      </c>
      <c r="DN53">
        <v>-2.2019233223679811</v>
      </c>
      <c r="DO53">
        <v>2.8290799246393044</v>
      </c>
      <c r="DP53">
        <v>-2.2019233222969334</v>
      </c>
      <c r="DQ53">
        <v>-0.35523806118931134</v>
      </c>
      <c r="DR53">
        <v>2.913820969047459</v>
      </c>
    </row>
    <row r="54" spans="1:122" x14ac:dyDescent="0.2">
      <c r="A54" t="s">
        <v>48</v>
      </c>
      <c r="B54" s="6">
        <f t="shared" si="65"/>
        <v>-3.4701519240561645</v>
      </c>
      <c r="C54" s="6">
        <f t="shared" si="65"/>
        <v>-12.95986287056963</v>
      </c>
      <c r="D54" s="6">
        <f t="shared" si="49"/>
        <v>1.8365592009256915</v>
      </c>
      <c r="E54" s="6">
        <f t="shared" si="49"/>
        <v>-6.9733098526808046</v>
      </c>
      <c r="F54" s="6">
        <f t="shared" si="50"/>
        <v>1.1281098361858342</v>
      </c>
      <c r="G54" s="6">
        <f t="shared" si="51"/>
        <v>-9.0451503519826737</v>
      </c>
      <c r="H54" s="6">
        <f t="shared" si="52"/>
        <v>-0.53021873267748187</v>
      </c>
      <c r="I54" s="6">
        <f t="shared" si="53"/>
        <v>-9.6432953196461284</v>
      </c>
      <c r="J54" s="6">
        <f t="shared" si="54"/>
        <v>1.8365592009256915</v>
      </c>
      <c r="K54" s="6">
        <f t="shared" si="55"/>
        <v>-6.9733098526808046</v>
      </c>
      <c r="L54" s="6">
        <f t="shared" si="56"/>
        <v>4.25</v>
      </c>
      <c r="M54" s="6">
        <f t="shared" si="57"/>
        <v>4.25</v>
      </c>
      <c r="N54" s="10">
        <f t="shared" si="58"/>
        <v>7.4118088884042148</v>
      </c>
      <c r="O54" s="10">
        <f t="shared" si="59"/>
        <v>-55.603930703969425</v>
      </c>
      <c r="P54" s="10">
        <f t="shared" si="60"/>
        <v>-5.0690964234816951</v>
      </c>
      <c r="S54">
        <f t="shared" si="61"/>
        <v>-0.53021873267748187</v>
      </c>
      <c r="T54">
        <f t="shared" si="62"/>
        <v>-9.6432953196461284</v>
      </c>
      <c r="V54">
        <f t="shared" si="63"/>
        <v>1.8365592009256915</v>
      </c>
      <c r="W54">
        <f t="shared" si="64"/>
        <v>-6.9733098526808046</v>
      </c>
      <c r="BC54">
        <v>0.90757121103705218</v>
      </c>
      <c r="BD54">
        <v>-21.244026112943818</v>
      </c>
      <c r="BE54">
        <v>31.778506415447705</v>
      </c>
      <c r="BF54" s="6">
        <f t="shared" si="41"/>
        <v>2.1600691442246993</v>
      </c>
      <c r="BG54" s="6">
        <f t="shared" si="42"/>
        <v>1.2524979331876471</v>
      </c>
      <c r="BH54" s="6">
        <f t="shared" si="2"/>
        <v>0.88185485687393206</v>
      </c>
      <c r="BI54" s="6">
        <f t="shared" si="3"/>
        <v>0.88185485687393206</v>
      </c>
      <c r="BJ54">
        <v>-32.683117096836639</v>
      </c>
      <c r="BK54">
        <v>48.890009869919545</v>
      </c>
      <c r="BV54" s="38"/>
      <c r="BW54" s="6">
        <f t="shared" si="27"/>
        <v>0.68067840827778903</v>
      </c>
      <c r="BX54" s="9">
        <f t="shared" ca="1" si="28"/>
        <v>49.160714302269142</v>
      </c>
      <c r="BY54" s="9">
        <f t="shared" ca="1" si="29"/>
        <v>4.3565455104693314</v>
      </c>
      <c r="BZ54" s="9">
        <f t="shared" ca="1" si="30"/>
        <v>-16.911927579460269</v>
      </c>
      <c r="CA54" s="6">
        <f t="shared" ca="1" si="31"/>
        <v>26.380759471045803</v>
      </c>
      <c r="CB54" s="6">
        <f t="shared" ca="1" si="32"/>
        <v>2.140868608696314</v>
      </c>
      <c r="CC54" s="6">
        <f t="shared" ca="1" si="33"/>
        <v>-0.30419057651520864</v>
      </c>
      <c r="CD54" s="9">
        <f t="shared" si="34"/>
        <v>-6.9119275794602721</v>
      </c>
      <c r="CE54" s="9">
        <f t="shared" si="35"/>
        <v>25.380759471045803</v>
      </c>
      <c r="CF54" s="6">
        <f t="shared" si="36"/>
        <v>1.8366780321811054</v>
      </c>
      <c r="CG54" s="6"/>
      <c r="CH54" s="6"/>
      <c r="CI54" s="6"/>
      <c r="CJ54" s="1"/>
      <c r="CK54" s="6"/>
      <c r="CU54">
        <v>3.86686449409877</v>
      </c>
      <c r="CV54">
        <v>3.8668644940987686</v>
      </c>
      <c r="CW54">
        <v>3.8668644940987695</v>
      </c>
      <c r="CX54">
        <v>-3.1415926535897931</v>
      </c>
      <c r="CY54">
        <v>3.1415926535897927</v>
      </c>
      <c r="CZ54">
        <v>-3.1415926535897931</v>
      </c>
      <c r="DK54">
        <v>2.913820969047459</v>
      </c>
      <c r="DL54">
        <v>-2.2353620073715215</v>
      </c>
      <c r="DM54">
        <v>2.913820969147459</v>
      </c>
      <c r="DN54">
        <v>-2.2353620074148135</v>
      </c>
      <c r="DO54">
        <v>2.913820968947459</v>
      </c>
      <c r="DP54">
        <v>-2.235362007328229</v>
      </c>
      <c r="DQ54">
        <v>-0.43292258666838279</v>
      </c>
      <c r="DR54">
        <v>-2.249601028806862</v>
      </c>
    </row>
    <row r="55" spans="1:122" x14ac:dyDescent="0.2">
      <c r="A55" t="s">
        <v>93</v>
      </c>
      <c r="B55" s="6">
        <f t="shared" si="65"/>
        <v>1.8365592009256915</v>
      </c>
      <c r="C55" s="6">
        <f t="shared" si="65"/>
        <v>-6.9733098526808046</v>
      </c>
      <c r="D55" s="6">
        <f t="shared" si="49"/>
        <v>1.8365592009256915</v>
      </c>
      <c r="E55" s="6">
        <f t="shared" si="49"/>
        <v>-6.9733098526808046</v>
      </c>
      <c r="F55" s="6" t="str">
        <f t="shared" si="50"/>
        <v>V</v>
      </c>
      <c r="G55" s="6">
        <f t="shared" si="51"/>
        <v>0</v>
      </c>
      <c r="H55" s="6">
        <f t="shared" si="52"/>
        <v>1.8365592009256915</v>
      </c>
      <c r="I55" s="6">
        <f t="shared" si="53"/>
        <v>-6.9733098526808046</v>
      </c>
      <c r="J55" s="6">
        <f t="shared" si="54"/>
        <v>1.8365592009256915</v>
      </c>
      <c r="K55" s="6">
        <f t="shared" si="55"/>
        <v>-6.9733098526808046</v>
      </c>
      <c r="L55" s="6">
        <f t="shared" si="56"/>
        <v>4.25</v>
      </c>
      <c r="M55" s="6">
        <f t="shared" si="57"/>
        <v>4.25</v>
      </c>
      <c r="N55" s="10">
        <f t="shared" si="58"/>
        <v>0</v>
      </c>
      <c r="O55" s="10">
        <f t="shared" si="59"/>
        <v>0</v>
      </c>
      <c r="P55" s="10">
        <f t="shared" si="60"/>
        <v>0</v>
      </c>
      <c r="S55">
        <f t="shared" si="61"/>
        <v>1.8365592009256915</v>
      </c>
      <c r="T55">
        <f t="shared" si="62"/>
        <v>-6.9733098526808046</v>
      </c>
      <c r="V55">
        <f t="shared" si="63"/>
        <v>1.8365592009256915</v>
      </c>
      <c r="W55">
        <f t="shared" si="64"/>
        <v>-6.9733098526808046</v>
      </c>
      <c r="BC55">
        <v>0.9250245035569955</v>
      </c>
      <c r="BD55">
        <v>-21.721674506102278</v>
      </c>
      <c r="BE55">
        <v>32.277720430922251</v>
      </c>
      <c r="BF55" s="6">
        <f t="shared" si="41"/>
        <v>2.1631444819822172</v>
      </c>
      <c r="BG55" s="6">
        <f t="shared" si="42"/>
        <v>1.2381199784252217</v>
      </c>
      <c r="BH55" s="6">
        <f t="shared" si="2"/>
        <v>0.87877951911641405</v>
      </c>
      <c r="BI55" s="6">
        <f t="shared" si="3"/>
        <v>0.87877951911641405</v>
      </c>
      <c r="BJ55">
        <v>-33.417960778618891</v>
      </c>
      <c r="BK55">
        <v>49.658031432188075</v>
      </c>
      <c r="BV55" s="38"/>
      <c r="BW55" s="6">
        <f t="shared" si="27"/>
        <v>0.69813170079773235</v>
      </c>
      <c r="BX55" s="9">
        <f t="shared" ca="1" si="28"/>
        <v>48.916775363311714</v>
      </c>
      <c r="BY55" s="9">
        <f t="shared" ca="1" si="29"/>
        <v>4.7148243797862399</v>
      </c>
      <c r="BZ55" s="9">
        <f t="shared" ca="1" si="30"/>
        <v>-17.155866518417696</v>
      </c>
      <c r="CA55" s="6">
        <f t="shared" ca="1" si="31"/>
        <v>26.739038340362711</v>
      </c>
      <c r="CB55" s="6">
        <f t="shared" ca="1" si="32"/>
        <v>2.1412464037500532</v>
      </c>
      <c r="CC55" s="6">
        <f t="shared" ca="1" si="33"/>
        <v>-0.29928200921583148</v>
      </c>
      <c r="CD55" s="9">
        <f t="shared" si="34"/>
        <v>-7.1558665184176959</v>
      </c>
      <c r="CE55" s="9">
        <f t="shared" si="35"/>
        <v>25.739038340362711</v>
      </c>
      <c r="CF55" s="6">
        <f t="shared" si="36"/>
        <v>1.8419643945342217</v>
      </c>
      <c r="CG55" s="6"/>
      <c r="CH55" s="6"/>
      <c r="CI55" s="6"/>
      <c r="CJ55" s="1"/>
      <c r="CK55" s="6"/>
      <c r="CU55">
        <v>3.8668644940987695</v>
      </c>
      <c r="CV55">
        <v>3.8668644940987686</v>
      </c>
      <c r="CW55">
        <v>3.8668644940987691</v>
      </c>
      <c r="CX55">
        <v>-3.1415926535897931</v>
      </c>
      <c r="CY55">
        <v>3.1415926535897927</v>
      </c>
      <c r="CZ55">
        <v>-3.1415926535897931</v>
      </c>
      <c r="DK55">
        <v>-2.249601028806862</v>
      </c>
      <c r="DL55">
        <v>2.1691084864416261</v>
      </c>
      <c r="DM55">
        <v>-2.249601028706862</v>
      </c>
      <c r="DN55">
        <v>2.1691084864410888</v>
      </c>
      <c r="DO55">
        <v>-2.249601028906862</v>
      </c>
      <c r="DP55">
        <v>2.1691084864445136</v>
      </c>
      <c r="DQ55">
        <v>-1.7124079931818414E-2</v>
      </c>
      <c r="DR55">
        <v>-1.2432323375348964</v>
      </c>
    </row>
    <row r="56" spans="1:122" ht="16" thickBot="1" x14ac:dyDescent="0.25">
      <c r="A56" t="s">
        <v>94</v>
      </c>
      <c r="B56" s="6">
        <f t="shared" si="65"/>
        <v>1.8365592009256915</v>
      </c>
      <c r="C56" s="6">
        <f t="shared" si="65"/>
        <v>-6.9733098526808046</v>
      </c>
      <c r="D56" s="6">
        <f t="shared" si="49"/>
        <v>12.449981450889403</v>
      </c>
      <c r="E56" s="6">
        <f t="shared" si="49"/>
        <v>4.9997961830968469</v>
      </c>
      <c r="F56" s="6">
        <f t="shared" si="50"/>
        <v>1.1281098361858342</v>
      </c>
      <c r="G56" s="6">
        <f t="shared" si="51"/>
        <v>-9.0451503519826737</v>
      </c>
      <c r="H56" s="6">
        <f t="shared" si="52"/>
        <v>1.8365592009256915</v>
      </c>
      <c r="I56" s="6">
        <f t="shared" si="53"/>
        <v>-6.9733098526808046</v>
      </c>
      <c r="J56" s="6">
        <f t="shared" si="54"/>
        <v>12.449981450889403</v>
      </c>
      <c r="K56" s="6">
        <f t="shared" si="55"/>
        <v>4.9997961830968469</v>
      </c>
      <c r="L56" s="6">
        <f t="shared" si="56"/>
        <v>4.25</v>
      </c>
      <c r="M56" s="6">
        <f t="shared" si="57"/>
        <v>4.25</v>
      </c>
      <c r="N56" s="11">
        <f t="shared" si="58"/>
        <v>363.49031548083894</v>
      </c>
      <c r="O56" s="11">
        <f t="shared" si="59"/>
        <v>180.18448585336603</v>
      </c>
      <c r="P56" s="11">
        <f t="shared" si="60"/>
        <v>-1537.0883798835532</v>
      </c>
      <c r="S56">
        <f t="shared" si="61"/>
        <v>1.8365592009256915</v>
      </c>
      <c r="T56">
        <f t="shared" si="62"/>
        <v>-6.9733098526808046</v>
      </c>
      <c r="V56">
        <f t="shared" si="63"/>
        <v>12.449981450889403</v>
      </c>
      <c r="W56">
        <f t="shared" si="64"/>
        <v>4.9997961830968469</v>
      </c>
      <c r="BC56">
        <v>0.94247779607693882</v>
      </c>
      <c r="BD56">
        <v>-22.228678159822788</v>
      </c>
      <c r="BE56">
        <v>32.792383231879022</v>
      </c>
      <c r="BF56" s="6">
        <f t="shared" si="41"/>
        <v>2.1665088754065902</v>
      </c>
      <c r="BG56" s="6">
        <f t="shared" si="42"/>
        <v>1.2240310793296514</v>
      </c>
      <c r="BH56" s="6">
        <f t="shared" si="2"/>
        <v>0.87541512569204105</v>
      </c>
      <c r="BI56" s="6">
        <f t="shared" si="3"/>
        <v>0.87541512569204105</v>
      </c>
      <c r="BJ56">
        <v>-34.197966399727363</v>
      </c>
      <c r="BK56">
        <v>50.449820356736957</v>
      </c>
      <c r="BV56" s="38"/>
      <c r="BW56" s="6">
        <f t="shared" si="27"/>
        <v>0.71558499331767567</v>
      </c>
      <c r="BX56" s="9">
        <f t="shared" ca="1" si="28"/>
        <v>48.661612236461686</v>
      </c>
      <c r="BY56" s="9">
        <f t="shared" ca="1" si="29"/>
        <v>5.080815794582854</v>
      </c>
      <c r="BZ56" s="9">
        <f t="shared" ca="1" si="30"/>
        <v>-17.411029645267725</v>
      </c>
      <c r="CA56" s="6">
        <f t="shared" ca="1" si="31"/>
        <v>27.105029755159325</v>
      </c>
      <c r="CB56" s="6">
        <f t="shared" ca="1" si="32"/>
        <v>2.1417778507426513</v>
      </c>
      <c r="CC56" s="6">
        <f t="shared" ca="1" si="33"/>
        <v>-0.29436670135779908</v>
      </c>
      <c r="CD56" s="9">
        <f t="shared" si="34"/>
        <v>-7.4110296452677247</v>
      </c>
      <c r="CE56" s="9">
        <f t="shared" si="35"/>
        <v>26.105029755159325</v>
      </c>
      <c r="CF56" s="6">
        <f t="shared" si="36"/>
        <v>1.8474111493848522</v>
      </c>
      <c r="CG56" s="6"/>
      <c r="CH56" s="6"/>
      <c r="CI56" s="6"/>
      <c r="CJ56" s="1"/>
      <c r="CK56" s="6"/>
      <c r="CU56">
        <v>3.8668644940987691</v>
      </c>
      <c r="CV56">
        <v>3.8668644940987686</v>
      </c>
      <c r="CW56">
        <v>3.8668644940987686</v>
      </c>
      <c r="CX56">
        <v>-3.1415926535897931</v>
      </c>
      <c r="CY56">
        <v>3.1415926535897927</v>
      </c>
      <c r="CZ56">
        <v>3.1415926535897927</v>
      </c>
      <c r="DK56">
        <v>-1.2432323375348964</v>
      </c>
      <c r="DL56">
        <v>2.1452428243957389</v>
      </c>
      <c r="DM56">
        <v>-1.2432323374348964</v>
      </c>
      <c r="DN56">
        <v>2.1452428243931028</v>
      </c>
      <c r="DO56">
        <v>-1.2432323376348964</v>
      </c>
      <c r="DP56">
        <v>2.1452428243983741</v>
      </c>
      <c r="DQ56">
        <v>-2.6356694604601216E-2</v>
      </c>
      <c r="DR56">
        <v>-1.5319304246531789</v>
      </c>
    </row>
    <row r="57" spans="1:122" ht="16" thickTop="1" x14ac:dyDescent="0.2">
      <c r="N57" s="6">
        <f>SUM(N49:N56)</f>
        <v>1176.9115578342507</v>
      </c>
      <c r="O57" s="6">
        <f>SUM(O49:O56)</f>
        <v>506.14508704988572</v>
      </c>
      <c r="P57" s="6">
        <f>SUM(P49:P56)</f>
        <v>-175.9848130174621</v>
      </c>
      <c r="BC57">
        <v>0.95993108859688214</v>
      </c>
      <c r="BD57">
        <v>-22.767227159871538</v>
      </c>
      <c r="BE57">
        <v>33.323288539146539</v>
      </c>
      <c r="BF57" s="6">
        <f t="shared" si="41"/>
        <v>2.1701733900368847</v>
      </c>
      <c r="BG57" s="6">
        <f t="shared" si="42"/>
        <v>1.2102423014400026</v>
      </c>
      <c r="BH57" s="6">
        <f t="shared" si="2"/>
        <v>0.87175061106174656</v>
      </c>
      <c r="BI57" s="6">
        <f t="shared" si="3"/>
        <v>0.87175061106174656</v>
      </c>
      <c r="BJ57">
        <v>-35.026503322879286</v>
      </c>
      <c r="BK57">
        <v>51.266597752533137</v>
      </c>
      <c r="BV57" s="38"/>
      <c r="BW57" s="6">
        <f t="shared" si="27"/>
        <v>0.73303828583761899</v>
      </c>
      <c r="BX57" s="9">
        <f t="shared" ca="1" si="28"/>
        <v>48.394447100335263</v>
      </c>
      <c r="BY57" s="9">
        <f t="shared" ca="1" si="29"/>
        <v>5.4549346057199024</v>
      </c>
      <c r="BZ57" s="9">
        <f t="shared" ca="1" si="30"/>
        <v>-17.678194781394147</v>
      </c>
      <c r="CA57" s="6">
        <f t="shared" ca="1" si="31"/>
        <v>27.479148566296374</v>
      </c>
      <c r="CB57" s="6">
        <f t="shared" ca="1" si="32"/>
        <v>2.1424691980726904</v>
      </c>
      <c r="CC57" s="6">
        <f t="shared" ca="1" si="33"/>
        <v>-0.28944186563619995</v>
      </c>
      <c r="CD57" s="9">
        <f t="shared" si="34"/>
        <v>-7.6781947813941471</v>
      </c>
      <c r="CE57" s="9">
        <f t="shared" si="35"/>
        <v>26.479148566296374</v>
      </c>
      <c r="CF57" s="6">
        <f t="shared" si="36"/>
        <v>1.8530273324364905</v>
      </c>
      <c r="CG57" s="6"/>
      <c r="CH57" s="6"/>
      <c r="CI57" s="6"/>
      <c r="CJ57" s="1"/>
      <c r="CK57" s="6"/>
      <c r="CU57">
        <v>3.8668644940987691</v>
      </c>
      <c r="CV57">
        <v>3.8668644940987686</v>
      </c>
      <c r="CW57">
        <v>3.8668644940987686</v>
      </c>
      <c r="CX57">
        <v>-3.1415926535897931</v>
      </c>
      <c r="CY57">
        <v>3.1415926535897927</v>
      </c>
      <c r="CZ57">
        <v>3.1415926535897927</v>
      </c>
      <c r="DK57">
        <v>-1.5319304246531789</v>
      </c>
      <c r="DL57">
        <v>2.1525317613483264</v>
      </c>
      <c r="DM57">
        <v>-1.5319304245531788</v>
      </c>
      <c r="DN57">
        <v>2.1525317613454078</v>
      </c>
      <c r="DO57">
        <v>-1.5319304247531789</v>
      </c>
      <c r="DP57">
        <v>2.1525317613501445</v>
      </c>
      <c r="DQ57">
        <v>-2.3683277561303839E-2</v>
      </c>
      <c r="DR57">
        <v>1.3917298999168077</v>
      </c>
    </row>
    <row r="58" spans="1:122" x14ac:dyDescent="0.2">
      <c r="O58" s="6">
        <f>O57/N57</f>
        <v>0.43006212631753948</v>
      </c>
      <c r="P58" s="6">
        <f>-1*P57/N57</f>
        <v>0.14953104321730756</v>
      </c>
      <c r="S58">
        <f>(P58*COS(-1*$B$27))+(O58*SIN(-1*$B$27))+$I$2</f>
        <v>6.1733799940152503</v>
      </c>
      <c r="T58">
        <f>(-1*P58*SIN(-1*$B$27))+(O58*COS(-1*$B$27))+$I$3</f>
        <v>11.578986528655328</v>
      </c>
      <c r="BC58">
        <v>0.97738438111682546</v>
      </c>
      <c r="BD58">
        <v>-23.339633802577197</v>
      </c>
      <c r="BE58">
        <v>33.871256967685341</v>
      </c>
      <c r="BF58" s="6">
        <f t="shared" si="41"/>
        <v>2.1741483271660274</v>
      </c>
      <c r="BG58" s="6">
        <f t="shared" si="42"/>
        <v>1.1967639460492019</v>
      </c>
      <c r="BH58" s="6">
        <f t="shared" si="2"/>
        <v>0.86777567393260391</v>
      </c>
      <c r="BI58" s="6">
        <f t="shared" si="3"/>
        <v>0.86777567393260391</v>
      </c>
      <c r="BJ58">
        <v>-35.907128927041839</v>
      </c>
      <c r="BK58">
        <v>52.109626104131294</v>
      </c>
      <c r="BV58" s="38"/>
      <c r="BW58" s="6">
        <f t="shared" si="27"/>
        <v>0.75049157835756231</v>
      </c>
      <c r="BX58" s="9">
        <f t="shared" ca="1" si="28"/>
        <v>48.114431140676487</v>
      </c>
      <c r="BY58" s="9">
        <f t="shared" ca="1" si="29"/>
        <v>5.8376197916911536</v>
      </c>
      <c r="BZ58" s="9">
        <f t="shared" ca="1" si="30"/>
        <v>-17.958210741052923</v>
      </c>
      <c r="CA58" s="6">
        <f t="shared" ca="1" si="31"/>
        <v>27.861833752267625</v>
      </c>
      <c r="CB58" s="6">
        <f t="shared" ca="1" si="32"/>
        <v>2.1433273153124763</v>
      </c>
      <c r="CC58" s="6">
        <f t="shared" ca="1" si="33"/>
        <v>-0.28450466934689378</v>
      </c>
      <c r="CD58" s="9">
        <f t="shared" si="34"/>
        <v>-7.9582107410529233</v>
      </c>
      <c r="CE58" s="9">
        <f t="shared" si="35"/>
        <v>26.861833752267625</v>
      </c>
      <c r="CF58" s="6">
        <f t="shared" si="36"/>
        <v>1.8588226459655826</v>
      </c>
      <c r="CG58" s="6"/>
      <c r="CH58" s="6"/>
      <c r="CI58" s="6"/>
      <c r="CJ58" s="1"/>
      <c r="CK58" s="6"/>
      <c r="CU58">
        <v>3.8668644940987691</v>
      </c>
      <c r="CV58">
        <v>3.8668644940987686</v>
      </c>
      <c r="CW58">
        <v>3.8668644940987686</v>
      </c>
      <c r="CX58">
        <v>-3.1415926535897931</v>
      </c>
      <c r="CY58">
        <v>3.1415926535897927</v>
      </c>
      <c r="CZ58">
        <v>3.1415926535897927</v>
      </c>
      <c r="DK58">
        <v>1.3917298999168077</v>
      </c>
      <c r="DL58">
        <v>-0.4903842828474656</v>
      </c>
      <c r="DM58">
        <v>1.3917299000168077</v>
      </c>
      <c r="DN58">
        <v>-0.49038428285096441</v>
      </c>
      <c r="DO58">
        <v>1.3917298998168077</v>
      </c>
      <c r="DP58">
        <v>-0.49038428284396635</v>
      </c>
      <c r="DQ58">
        <v>-3.4990343955598746E-2</v>
      </c>
      <c r="DR58">
        <v>-5.6745509236744103E-2</v>
      </c>
    </row>
    <row r="59" spans="1:122" x14ac:dyDescent="0.2">
      <c r="A59" t="s">
        <v>54</v>
      </c>
      <c r="O59">
        <f>O57/12</f>
        <v>42.178757254157141</v>
      </c>
      <c r="P59">
        <f>P57/12</f>
        <v>-14.665401084788508</v>
      </c>
      <c r="BC59">
        <v>0.99483767363676878</v>
      </c>
      <c r="BD59">
        <v>-23.948345214655525</v>
      </c>
      <c r="BE59">
        <v>34.437138611719945</v>
      </c>
      <c r="BF59" s="6">
        <f t="shared" si="41"/>
        <v>2.1784432228825419</v>
      </c>
      <c r="BG59" s="6">
        <f t="shared" si="42"/>
        <v>1.1836055492457731</v>
      </c>
      <c r="BH59" s="6">
        <f t="shared" si="2"/>
        <v>0.86348077821608937</v>
      </c>
      <c r="BI59" s="6">
        <f t="shared" si="3"/>
        <v>0.86348077821608937</v>
      </c>
      <c r="BJ59">
        <v>-36.84360802254696</v>
      </c>
      <c r="BK59">
        <v>52.980213248799913</v>
      </c>
      <c r="BV59" s="38"/>
      <c r="BW59" s="6">
        <f t="shared" si="27"/>
        <v>0.76794487087750563</v>
      </c>
      <c r="BX59" s="9">
        <f t="shared" ca="1" si="28"/>
        <v>47.820636697278537</v>
      </c>
      <c r="BY59" s="9">
        <f t="shared" ca="1" si="29"/>
        <v>6.2293363180712937</v>
      </c>
      <c r="BZ59" s="9">
        <f t="shared" ca="1" si="30"/>
        <v>-18.252005184450873</v>
      </c>
      <c r="CA59" s="6">
        <f t="shared" ca="1" si="31"/>
        <v>28.253550278647765</v>
      </c>
      <c r="CB59" s="6">
        <f t="shared" ca="1" si="32"/>
        <v>2.1443597417925049</v>
      </c>
      <c r="CC59" s="6">
        <f t="shared" ca="1" si="33"/>
        <v>-0.27955222757530868</v>
      </c>
      <c r="CD59" s="9">
        <f t="shared" si="34"/>
        <v>-8.2520051844508728</v>
      </c>
      <c r="CE59" s="9">
        <f t="shared" si="35"/>
        <v>27.253550278647765</v>
      </c>
      <c r="CF59" s="6">
        <f t="shared" si="36"/>
        <v>1.8648075142171963</v>
      </c>
      <c r="CG59" s="6"/>
      <c r="CH59" s="6"/>
      <c r="CI59" s="6"/>
      <c r="CJ59" s="1"/>
      <c r="CK59" s="6"/>
      <c r="CU59">
        <v>3.8668644940987691</v>
      </c>
      <c r="CV59">
        <v>3.8668644940987686</v>
      </c>
      <c r="CW59">
        <v>3.8668644940987686</v>
      </c>
      <c r="CX59">
        <v>-3.1415926535897931</v>
      </c>
      <c r="CY59">
        <v>3.1415926535897927</v>
      </c>
      <c r="CZ59">
        <v>3.1415926535897927</v>
      </c>
      <c r="DK59">
        <v>-5.6745509236744103E-2</v>
      </c>
      <c r="DL59">
        <v>1.9518512633441496</v>
      </c>
      <c r="DM59">
        <v>-5.6745509136744102E-2</v>
      </c>
      <c r="DN59">
        <v>1.951851263150405</v>
      </c>
      <c r="DO59">
        <v>-5.6745509336744104E-2</v>
      </c>
      <c r="DP59">
        <v>1.9518512635263872</v>
      </c>
      <c r="DQ59">
        <v>-1.8799106715761127</v>
      </c>
      <c r="DR59">
        <v>0.9815225812931756</v>
      </c>
    </row>
    <row r="60" spans="1:122" x14ac:dyDescent="0.2">
      <c r="BC60">
        <v>1.0122909661567121</v>
      </c>
      <c r="BD60">
        <v>-24.595956538189625</v>
      </c>
      <c r="BE60">
        <v>35.021815550103192</v>
      </c>
      <c r="BF60" s="6">
        <f t="shared" si="41"/>
        <v>2.1830668385898315</v>
      </c>
      <c r="BG60" s="6">
        <f t="shared" si="42"/>
        <v>1.1707758724331194</v>
      </c>
      <c r="BH60" s="6">
        <f t="shared" si="2"/>
        <v>0.85885716250879973</v>
      </c>
      <c r="BI60" s="6">
        <f t="shared" si="3"/>
        <v>0.85885716250879973</v>
      </c>
      <c r="BJ60">
        <v>-37.839933135676347</v>
      </c>
      <c r="BK60">
        <v>53.879716230927983</v>
      </c>
      <c r="BV60" s="38"/>
      <c r="BW60" s="6">
        <f t="shared" si="27"/>
        <v>0.78539816339744895</v>
      </c>
      <c r="BX60" s="9">
        <f t="shared" ca="1" si="28"/>
        <v>47.512048164382833</v>
      </c>
      <c r="BY60" s="9">
        <f t="shared" ca="1" si="29"/>
        <v>6.6305771525068451</v>
      </c>
      <c r="BZ60" s="9">
        <f t="shared" ca="1" si="30"/>
        <v>-18.560593717346578</v>
      </c>
      <c r="CA60" s="6">
        <f t="shared" ca="1" si="31"/>
        <v>28.654791113083316</v>
      </c>
      <c r="CB60" s="6">
        <f t="shared" ca="1" si="32"/>
        <v>2.1455747456911904</v>
      </c>
      <c r="CC60" s="6">
        <f t="shared" ca="1" si="33"/>
        <v>-0.27458159443476693</v>
      </c>
      <c r="CD60" s="9">
        <f t="shared" si="34"/>
        <v>-8.5605937173465811</v>
      </c>
      <c r="CE60" s="9">
        <f t="shared" si="35"/>
        <v>27.654791113083316</v>
      </c>
      <c r="CF60" s="6">
        <f t="shared" si="36"/>
        <v>1.8709931512564235</v>
      </c>
      <c r="CG60" s="6"/>
      <c r="CH60" s="6"/>
      <c r="CI60" s="6"/>
      <c r="CJ60" s="1"/>
      <c r="CK60" s="6"/>
      <c r="CU60">
        <v>3.8668644940987691</v>
      </c>
      <c r="CV60">
        <v>3.8668644940987686</v>
      </c>
      <c r="CW60">
        <v>3.8668644940987686</v>
      </c>
      <c r="CX60">
        <v>-3.1415926535897931</v>
      </c>
      <c r="CY60">
        <v>3.1415926535897927</v>
      </c>
      <c r="CZ60">
        <v>3.1415926535897927</v>
      </c>
      <c r="DK60">
        <v>0.9815225812931756</v>
      </c>
      <c r="DL60">
        <v>-0.47227227950607342</v>
      </c>
      <c r="DM60">
        <v>0.98152258139317561</v>
      </c>
      <c r="DN60">
        <v>-0.47227227951170253</v>
      </c>
      <c r="DO60">
        <v>0.98152258119317559</v>
      </c>
      <c r="DP60">
        <v>-0.47227227950044343</v>
      </c>
      <c r="DQ60">
        <v>-5.62955237981555E-2</v>
      </c>
      <c r="DR60">
        <v>-1.124454297838527</v>
      </c>
    </row>
    <row r="61" spans="1:122" x14ac:dyDescent="0.2">
      <c r="A61">
        <f t="shared" ref="A61:E71" si="66">A14</f>
        <v>0</v>
      </c>
      <c r="B61" s="1" t="str">
        <f t="shared" si="66"/>
        <v>Bar #</v>
      </c>
      <c r="C61" s="1" t="str">
        <f t="shared" si="66"/>
        <v>As (in^2)</v>
      </c>
      <c r="D61" s="1" t="str">
        <f t="shared" si="66"/>
        <v>x</v>
      </c>
      <c r="E61" s="1" t="str">
        <f t="shared" si="66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-25.285224845869326</v>
      </c>
      <c r="BE61">
        <v>35.626204281760529</v>
      </c>
      <c r="BF61" s="6">
        <f t="shared" si="41"/>
        <v>2.1880271453989799</v>
      </c>
      <c r="BG61" s="6">
        <f t="shared" si="42"/>
        <v>1.1582828867223245</v>
      </c>
      <c r="BH61" s="6">
        <f t="shared" si="2"/>
        <v>0.85389685569965135</v>
      </c>
      <c r="BI61" s="6">
        <f t="shared" si="3"/>
        <v>0.85389685569965135</v>
      </c>
      <c r="BJ61">
        <v>-38.900345916722038</v>
      </c>
      <c r="BK61">
        <v>54.809545048862354</v>
      </c>
      <c r="BV61" s="38"/>
      <c r="BW61" s="6">
        <f t="shared" si="27"/>
        <v>0.80285145591739226</v>
      </c>
      <c r="BX61" s="9">
        <f t="shared" ca="1" si="28"/>
        <v>47.187551717657342</v>
      </c>
      <c r="BY61" s="9">
        <f t="shared" ca="1" si="29"/>
        <v>7.0418654609932787</v>
      </c>
      <c r="BZ61" s="9">
        <f t="shared" ca="1" si="30"/>
        <v>-18.885090164072068</v>
      </c>
      <c r="CA61" s="6">
        <f t="shared" ca="1" si="31"/>
        <v>29.06607942156975</v>
      </c>
      <c r="CB61" s="6">
        <f t="shared" ca="1" si="32"/>
        <v>2.146981387833427</v>
      </c>
      <c r="CC61" s="6">
        <f t="shared" ca="1" si="33"/>
        <v>-0.26958975451770928</v>
      </c>
      <c r="CD61" s="9">
        <f t="shared" si="34"/>
        <v>-8.8850901640720643</v>
      </c>
      <c r="CE61" s="9">
        <f t="shared" si="35"/>
        <v>28.06607942156975</v>
      </c>
      <c r="CF61" s="6">
        <f t="shared" si="36"/>
        <v>1.8773916333157177</v>
      </c>
      <c r="CG61" s="6"/>
      <c r="CH61" s="6"/>
      <c r="CI61" s="6"/>
      <c r="CJ61" s="1"/>
      <c r="CK61" s="6"/>
      <c r="CU61">
        <v>3.8668644940987691</v>
      </c>
      <c r="CV61">
        <v>3.8668644940987686</v>
      </c>
      <c r="CW61">
        <v>3.8668644940987686</v>
      </c>
      <c r="CX61">
        <v>-3.1415926535897931</v>
      </c>
      <c r="CY61">
        <v>3.1415926535897927</v>
      </c>
      <c r="CZ61">
        <v>3.1415926535897927</v>
      </c>
      <c r="DK61">
        <v>-1.124454297838527</v>
      </c>
      <c r="DL61">
        <v>2.1417098398611412</v>
      </c>
      <c r="DM61">
        <v>-1.124454297738527</v>
      </c>
      <c r="DN61">
        <v>2.1417098398580725</v>
      </c>
      <c r="DO61">
        <v>-1.124454297938527</v>
      </c>
      <c r="DP61">
        <v>2.141709839864208</v>
      </c>
      <c r="DQ61">
        <v>-3.0677682616442326E-2</v>
      </c>
      <c r="DR61">
        <v>-0.42620636576620097</v>
      </c>
    </row>
    <row r="62" spans="1:122" x14ac:dyDescent="0.2">
      <c r="A62">
        <f t="shared" si="66"/>
        <v>1</v>
      </c>
      <c r="B62" s="1">
        <f t="shared" si="66"/>
        <v>8</v>
      </c>
      <c r="C62" s="1">
        <f t="shared" ca="1" si="66"/>
        <v>0.79</v>
      </c>
      <c r="D62" s="1">
        <f t="shared" si="66"/>
        <v>2</v>
      </c>
      <c r="E62" s="1">
        <f t="shared" si="66"/>
        <v>2</v>
      </c>
      <c r="F62" s="1">
        <f t="shared" ref="F62:F71" si="67">D62-$I$2</f>
        <v>-4</v>
      </c>
      <c r="G62" s="1">
        <f t="shared" ref="G62:G71" si="68">E62-$I$3</f>
        <v>-10</v>
      </c>
      <c r="H62" s="6">
        <f t="shared" ref="H62:H71" si="69">F62*COS($B$27)+G62*SIN($B$27)</f>
        <v>9.6266654151717326</v>
      </c>
      <c r="I62" s="6">
        <f t="shared" ref="I62:I71" si="70">-1*F62*SIN($B$27)+G62*COS($B$27)</f>
        <v>4.8298357098701032</v>
      </c>
      <c r="J62" s="6">
        <f t="shared" ref="J62:J71" si="71">$G$38-I62</f>
        <v>8.1300271606995267</v>
      </c>
      <c r="K62">
        <f t="shared" ref="K62:K71" ca="1" si="72">IF($B$28=0,-1,IF(C62=0,0,(($B$28-J62)/$B$28)*$B$30)*IF($B$28&lt;0,-1,1))</f>
        <v>2.1367549162167499E-3</v>
      </c>
      <c r="L62">
        <f t="shared" ref="L62:L71" ca="1" si="73">IF(AND(K62&gt;0,J62&lt;=$B$29),MIN((K62*B$13),B$12)-$B$31,MAX(K62*B$13,-1*B$12))</f>
        <v>55.75</v>
      </c>
      <c r="M62" s="6">
        <f t="shared" ref="M62:M71" ca="1" si="74">L62*C62</f>
        <v>44.042500000000004</v>
      </c>
      <c r="N62" s="6">
        <f t="shared" ref="N62:N71" ca="1" si="75">M62*I62</f>
        <v>212.71803925195405</v>
      </c>
      <c r="O62" s="6">
        <f t="shared" ref="O62:O71" ca="1" si="76">M62*H62*-1</f>
        <v>-423.98241154770108</v>
      </c>
      <c r="Q62">
        <f t="shared" ref="Q62:Q71" si="77">IF($B62=0,NA(),H62)</f>
        <v>9.6266654151717326</v>
      </c>
      <c r="R62">
        <f t="shared" ref="R62:R71" si="78">IF($B62=0,NA(),I62)</f>
        <v>4.8298357098701032</v>
      </c>
      <c r="BC62">
        <v>1.0471975511965987</v>
      </c>
      <c r="BD62">
        <v>-26.019083820139613</v>
      </c>
      <c r="BE62">
        <v>36.251258120390681</v>
      </c>
      <c r="BF62" s="6">
        <f t="shared" si="41"/>
        <v>2.1933313017790703</v>
      </c>
      <c r="BG62" s="6">
        <f t="shared" si="42"/>
        <v>1.1461337505824716</v>
      </c>
      <c r="BH62" s="6">
        <f t="shared" si="2"/>
        <v>0.84859269931956094</v>
      </c>
      <c r="BI62" s="6">
        <f t="shared" si="3"/>
        <v>0.84859269931956094</v>
      </c>
      <c r="BJ62">
        <v>-40.029359723291712</v>
      </c>
      <c r="BK62">
        <v>55.771166339062582</v>
      </c>
      <c r="BV62" s="38"/>
      <c r="BW62" s="6">
        <f t="shared" si="27"/>
        <v>0.82030474843733558</v>
      </c>
      <c r="BX62" s="9">
        <f t="shared" ca="1" si="28"/>
        <v>46.845923619471492</v>
      </c>
      <c r="BY62" s="9">
        <f t="shared" ca="1" si="29"/>
        <v>7.4637570035684675</v>
      </c>
      <c r="BZ62" s="9">
        <f t="shared" ca="1" si="30"/>
        <v>-19.226718262257918</v>
      </c>
      <c r="CA62" s="6">
        <f t="shared" ca="1" si="31"/>
        <v>29.487970964144939</v>
      </c>
      <c r="CB62" s="6">
        <f t="shared" ca="1" si="32"/>
        <v>2.1485895923209917</v>
      </c>
      <c r="CC62" s="6">
        <f t="shared" ca="1" si="33"/>
        <v>-0.26457361403716617</v>
      </c>
      <c r="CD62" s="9">
        <f t="shared" si="34"/>
        <v>-9.2267182622579149</v>
      </c>
      <c r="CE62" s="9">
        <f t="shared" si="35"/>
        <v>28.487970964144939</v>
      </c>
      <c r="CF62" s="6">
        <f t="shared" si="36"/>
        <v>1.8840159782838255</v>
      </c>
      <c r="CG62" s="6"/>
      <c r="CH62" s="6"/>
      <c r="CI62" s="6"/>
      <c r="CJ62" s="1"/>
      <c r="CK62" s="6"/>
      <c r="CU62">
        <v>3.8668644940987691</v>
      </c>
      <c r="CV62">
        <v>3.8668644940987686</v>
      </c>
      <c r="CW62">
        <v>3.8668644940987686</v>
      </c>
      <c r="CX62">
        <v>-3.1415926535897931</v>
      </c>
      <c r="CY62">
        <v>3.1415926535897927</v>
      </c>
      <c r="CZ62">
        <v>3.1415926535897927</v>
      </c>
      <c r="DK62">
        <v>-0.42620636576620097</v>
      </c>
      <c r="DL62">
        <v>2.0994511137167544</v>
      </c>
      <c r="DM62">
        <v>-0.42620636566620096</v>
      </c>
      <c r="DN62">
        <v>2.0994511137047374</v>
      </c>
      <c r="DO62">
        <v>-0.42620636586620098</v>
      </c>
      <c r="DP62">
        <v>2.0994511137287715</v>
      </c>
      <c r="DQ62">
        <v>-0.12017054018542694</v>
      </c>
      <c r="DR62">
        <v>-1.8051649971768213</v>
      </c>
    </row>
    <row r="63" spans="1:122" x14ac:dyDescent="0.2">
      <c r="A63">
        <f t="shared" si="66"/>
        <v>2</v>
      </c>
      <c r="B63" s="1">
        <f t="shared" si="66"/>
        <v>8</v>
      </c>
      <c r="C63" s="1">
        <f t="shared" ca="1" si="66"/>
        <v>0.79</v>
      </c>
      <c r="D63" s="1">
        <f t="shared" si="66"/>
        <v>2</v>
      </c>
      <c r="E63" s="1">
        <f t="shared" si="66"/>
        <v>4</v>
      </c>
      <c r="F63" s="1">
        <f t="shared" si="67"/>
        <v>-4</v>
      </c>
      <c r="G63" s="1">
        <f t="shared" si="68"/>
        <v>-8</v>
      </c>
      <c r="H63" s="6">
        <f t="shared" si="69"/>
        <v>8.2999876339262677</v>
      </c>
      <c r="I63" s="6">
        <f t="shared" si="70"/>
        <v>3.3331974553978974</v>
      </c>
      <c r="J63" s="6">
        <f t="shared" si="71"/>
        <v>9.6266654151717326</v>
      </c>
      <c r="K63">
        <f t="shared" ca="1" si="72"/>
        <v>1.9778420872879083E-3</v>
      </c>
      <c r="L63">
        <f t="shared" ca="1" si="73"/>
        <v>53.107420531349341</v>
      </c>
      <c r="M63" s="6">
        <f t="shared" ca="1" si="74"/>
        <v>41.954862219765978</v>
      </c>
      <c r="N63" s="6">
        <f t="shared" ca="1" si="75"/>
        <v>139.84383999249334</v>
      </c>
      <c r="O63" s="6">
        <f t="shared" ca="1" si="76"/>
        <v>-348.224837607138</v>
      </c>
      <c r="Q63">
        <f t="shared" si="77"/>
        <v>8.2999876339262677</v>
      </c>
      <c r="R63">
        <f t="shared" si="78"/>
        <v>3.3331974553978974</v>
      </c>
      <c r="BC63">
        <v>1.0646508437165421</v>
      </c>
      <c r="BD63">
        <v>-26.800659255059923</v>
      </c>
      <c r="BE63">
        <v>36.897969582887463</v>
      </c>
      <c r="BF63" s="6">
        <f t="shared" si="41"/>
        <v>2.1989856243875612</v>
      </c>
      <c r="BG63" s="6">
        <f t="shared" si="42"/>
        <v>1.1343347806710191</v>
      </c>
      <c r="BH63" s="6">
        <f t="shared" si="2"/>
        <v>0.84293837671107008</v>
      </c>
      <c r="BI63" s="6">
        <f t="shared" si="3"/>
        <v>0.84293837671107008</v>
      </c>
      <c r="BJ63">
        <v>-41.231783469322956</v>
      </c>
      <c r="BK63">
        <v>56.766107050596091</v>
      </c>
      <c r="BV63" s="38"/>
      <c r="BW63" s="6">
        <f t="shared" si="27"/>
        <v>0.8377580409572789</v>
      </c>
      <c r="BX63" s="9">
        <f t="shared" ca="1" si="28"/>
        <v>46.485816785412354</v>
      </c>
      <c r="BY63" s="9">
        <f t="shared" ca="1" si="29"/>
        <v>7.8968427454951637</v>
      </c>
      <c r="BZ63" s="9">
        <f t="shared" ca="1" si="30"/>
        <v>-19.586825096317057</v>
      </c>
      <c r="CA63" s="6">
        <f t="shared" ca="1" si="31"/>
        <v>29.921056706071635</v>
      </c>
      <c r="CB63" s="6">
        <f t="shared" ca="1" si="32"/>
        <v>2.1504102268773417</v>
      </c>
      <c r="CC63" s="6">
        <f t="shared" ca="1" si="33"/>
        <v>-0.25952999100405338</v>
      </c>
      <c r="CD63" s="9">
        <f t="shared" si="34"/>
        <v>-9.5868250963170567</v>
      </c>
      <c r="CE63" s="9">
        <f t="shared" si="35"/>
        <v>28.921056706071635</v>
      </c>
      <c r="CF63" s="6">
        <f t="shared" si="36"/>
        <v>1.8908802358732884</v>
      </c>
      <c r="CG63" s="6"/>
      <c r="CH63" s="6"/>
      <c r="CI63" s="6"/>
      <c r="CJ63" s="1"/>
      <c r="CK63" s="6"/>
      <c r="CU63">
        <v>3.8668644940987691</v>
      </c>
      <c r="CV63">
        <v>3.8668644940987686</v>
      </c>
      <c r="CW63">
        <v>3.8668644940987686</v>
      </c>
      <c r="CX63">
        <v>-3.1415926535897931</v>
      </c>
      <c r="CY63">
        <v>3.1415926535897927</v>
      </c>
      <c r="CZ63">
        <v>3.1415926535897927</v>
      </c>
      <c r="DK63">
        <v>-1.8051649971768213</v>
      </c>
      <c r="DL63">
        <v>2.1584016970070543</v>
      </c>
      <c r="DM63">
        <v>-1.8051649970768213</v>
      </c>
      <c r="DN63">
        <v>2.1584016970052451</v>
      </c>
      <c r="DO63">
        <v>-1.8051649972768213</v>
      </c>
      <c r="DP63">
        <v>2.158401697010345</v>
      </c>
      <c r="DQ63">
        <v>-2.5499602429590595E-2</v>
      </c>
      <c r="DR63">
        <v>1.1579495061518836</v>
      </c>
    </row>
    <row r="64" spans="1:122" x14ac:dyDescent="0.2">
      <c r="A64">
        <f t="shared" si="66"/>
        <v>3</v>
      </c>
      <c r="B64" s="1">
        <f t="shared" si="66"/>
        <v>8</v>
      </c>
      <c r="C64" s="1">
        <f t="shared" ca="1" si="66"/>
        <v>0.79</v>
      </c>
      <c r="D64" s="1">
        <f t="shared" si="66"/>
        <v>4</v>
      </c>
      <c r="E64" s="1">
        <f t="shared" si="66"/>
        <v>2</v>
      </c>
      <c r="F64" s="1">
        <f t="shared" si="67"/>
        <v>-2</v>
      </c>
      <c r="G64" s="1">
        <f t="shared" si="68"/>
        <v>-10</v>
      </c>
      <c r="H64" s="6">
        <f t="shared" si="69"/>
        <v>8.1300271606995267</v>
      </c>
      <c r="I64" s="6">
        <f t="shared" si="70"/>
        <v>6.1565134911155672</v>
      </c>
      <c r="J64" s="6">
        <f t="shared" si="71"/>
        <v>6.8033493794540627</v>
      </c>
      <c r="K64">
        <f t="shared" ca="1" si="72"/>
        <v>2.2776213671876315E-3</v>
      </c>
      <c r="L64">
        <f t="shared" ca="1" si="73"/>
        <v>55.75</v>
      </c>
      <c r="M64" s="6">
        <f t="shared" ca="1" si="74"/>
        <v>44.042500000000004</v>
      </c>
      <c r="N64" s="6">
        <f t="shared" ca="1" si="75"/>
        <v>271.14824543245737</v>
      </c>
      <c r="O64" s="6">
        <f t="shared" ca="1" si="76"/>
        <v>-358.06672122510895</v>
      </c>
      <c r="Q64">
        <f t="shared" si="77"/>
        <v>8.1300271606995267</v>
      </c>
      <c r="R64">
        <f t="shared" si="78"/>
        <v>6.1565134911155672</v>
      </c>
      <c r="BC64">
        <v>1.0821041362364854</v>
      </c>
      <c r="BD64">
        <v>-27.633285494237136</v>
      </c>
      <c r="BE64">
        <v>37.567372809406379</v>
      </c>
      <c r="BF64" s="6">
        <f t="shared" si="41"/>
        <v>2.2049955530071088</v>
      </c>
      <c r="BG64" s="6">
        <f t="shared" si="42"/>
        <v>1.1228914167706234</v>
      </c>
      <c r="BH64" s="6">
        <f t="shared" si="2"/>
        <v>0.83692844809152245</v>
      </c>
      <c r="BI64" s="6">
        <f t="shared" si="3"/>
        <v>0.83692844809152245</v>
      </c>
      <c r="BJ64">
        <v>-42.512746914210979</v>
      </c>
      <c r="BK64">
        <v>57.795958168317505</v>
      </c>
      <c r="BV64" s="38"/>
      <c r="BW64" s="6">
        <f t="shared" si="27"/>
        <v>0.85521133347722222</v>
      </c>
      <c r="BX64" s="9">
        <f t="shared" ca="1" si="28"/>
        <v>46.105745391601801</v>
      </c>
      <c r="BY64" s="9">
        <f t="shared" ca="1" si="29"/>
        <v>8.3417517108112023</v>
      </c>
      <c r="BZ64" s="9">
        <f t="shared" ca="1" si="30"/>
        <v>-19.96689649012761</v>
      </c>
      <c r="CA64" s="6">
        <f t="shared" ca="1" si="31"/>
        <v>30.365965671387674</v>
      </c>
      <c r="CB64" s="6">
        <f t="shared" ca="1" si="32"/>
        <v>2.1524551922601809</v>
      </c>
      <c r="CC64" s="6">
        <f t="shared" ca="1" si="33"/>
        <v>-0.25445560495050629</v>
      </c>
      <c r="CD64" s="9">
        <f t="shared" si="34"/>
        <v>-9.9668964901276063</v>
      </c>
      <c r="CE64" s="9">
        <f t="shared" si="35"/>
        <v>29.365965671387674</v>
      </c>
      <c r="CF64" s="6">
        <f t="shared" si="36"/>
        <v>1.8979995873096747</v>
      </c>
      <c r="CG64" s="6"/>
      <c r="CH64" s="6"/>
      <c r="CI64" s="6"/>
      <c r="CJ64" s="1"/>
      <c r="CK64" s="6"/>
      <c r="CU64">
        <v>3.8668644940987691</v>
      </c>
      <c r="CV64">
        <v>3.8668644940987686</v>
      </c>
      <c r="CW64">
        <v>3.8668644940987686</v>
      </c>
      <c r="CX64">
        <v>-3.1415926535897931</v>
      </c>
      <c r="CY64">
        <v>3.1415926535897927</v>
      </c>
      <c r="CZ64">
        <v>3.1415926535897927</v>
      </c>
      <c r="DK64">
        <v>1.1579495061518836</v>
      </c>
      <c r="DL64">
        <v>-0.48112365843145799</v>
      </c>
      <c r="DM64">
        <v>1.1579495062518836</v>
      </c>
      <c r="DN64">
        <v>-0.48112365843587157</v>
      </c>
      <c r="DO64">
        <v>1.1579495060518836</v>
      </c>
      <c r="DP64">
        <v>-0.48112365842704308</v>
      </c>
      <c r="DQ64">
        <v>-4.4142467459096224E-2</v>
      </c>
      <c r="DR64">
        <v>2.8249824503347782</v>
      </c>
    </row>
    <row r="65" spans="1:122" x14ac:dyDescent="0.2">
      <c r="A65">
        <f t="shared" si="66"/>
        <v>4</v>
      </c>
      <c r="B65" s="1">
        <f t="shared" si="66"/>
        <v>8</v>
      </c>
      <c r="C65" s="1">
        <f t="shared" ca="1" si="66"/>
        <v>0.79</v>
      </c>
      <c r="D65" s="1">
        <f t="shared" si="66"/>
        <v>4</v>
      </c>
      <c r="E65" s="1">
        <f t="shared" si="66"/>
        <v>4</v>
      </c>
      <c r="F65" s="1">
        <f t="shared" si="67"/>
        <v>-2</v>
      </c>
      <c r="G65" s="1">
        <f t="shared" si="68"/>
        <v>-8</v>
      </c>
      <c r="H65" s="6">
        <f t="shared" si="69"/>
        <v>6.8033493794540618</v>
      </c>
      <c r="I65" s="6">
        <f t="shared" si="70"/>
        <v>4.6598752366433613</v>
      </c>
      <c r="J65" s="6">
        <f t="shared" si="71"/>
        <v>8.2999876339262677</v>
      </c>
      <c r="K65">
        <f t="shared" ca="1" si="72"/>
        <v>2.1187085382587904E-3</v>
      </c>
      <c r="L65">
        <f t="shared" ca="1" si="73"/>
        <v>55.75</v>
      </c>
      <c r="M65" s="6">
        <f t="shared" ca="1" si="74"/>
        <v>44.042500000000004</v>
      </c>
      <c r="N65" s="6">
        <f t="shared" ca="1" si="75"/>
        <v>205.23255510986527</v>
      </c>
      <c r="O65" s="6">
        <f t="shared" ca="1" si="76"/>
        <v>-299.63651504460552</v>
      </c>
      <c r="Q65">
        <f t="shared" si="77"/>
        <v>6.8033493794540618</v>
      </c>
      <c r="R65">
        <f t="shared" si="78"/>
        <v>4.6598752366433613</v>
      </c>
      <c r="BC65">
        <v>1.0995574287564287</v>
      </c>
      <c r="BD65">
        <v>-28.520522857081076</v>
      </c>
      <c r="BE65">
        <v>38.260546084884986</v>
      </c>
      <c r="BF65" s="6">
        <f t="shared" si="41"/>
        <v>2.2113656090202731</v>
      </c>
      <c r="BG65" s="6">
        <f t="shared" si="42"/>
        <v>1.1118081802638444</v>
      </c>
      <c r="BH65" s="6">
        <f t="shared" si="2"/>
        <v>0.83055839207835813</v>
      </c>
      <c r="BI65" s="6">
        <f t="shared" si="3"/>
        <v>0.83055839207835813</v>
      </c>
      <c r="BJ65">
        <v>-43.877727472432426</v>
      </c>
      <c r="BK65">
        <v>58.862378592130746</v>
      </c>
      <c r="BV65" s="38"/>
      <c r="BW65" s="6">
        <f t="shared" si="27"/>
        <v>0.87266462599716554</v>
      </c>
      <c r="BX65" s="9">
        <f t="shared" ca="1" si="28"/>
        <v>45.704067498699033</v>
      </c>
      <c r="BY65" s="9">
        <f t="shared" ca="1" si="29"/>
        <v>8.7991540165611681</v>
      </c>
      <c r="BZ65" s="9">
        <f t="shared" ca="1" si="30"/>
        <v>-20.368574383030378</v>
      </c>
      <c r="CA65" s="6">
        <f t="shared" ca="1" si="31"/>
        <v>30.823367977137639</v>
      </c>
      <c r="CB65" s="6">
        <f t="shared" ca="1" si="32"/>
        <v>2.1547375161210822</v>
      </c>
      <c r="CC65" s="6">
        <f t="shared" ca="1" si="33"/>
        <v>-0.2493470688728632</v>
      </c>
      <c r="CD65" s="9">
        <f t="shared" si="34"/>
        <v>-10.368574383030374</v>
      </c>
      <c r="CE65" s="9">
        <f t="shared" si="35"/>
        <v>29.823367977137639</v>
      </c>
      <c r="CF65" s="6">
        <f t="shared" si="36"/>
        <v>1.905390447248219</v>
      </c>
      <c r="CG65" s="6"/>
      <c r="CH65" s="6"/>
      <c r="CI65" s="6"/>
      <c r="CJ65" s="1"/>
      <c r="CK65" s="6"/>
      <c r="CU65">
        <v>3.8668644940987691</v>
      </c>
      <c r="CV65">
        <v>3.8668644940987686</v>
      </c>
      <c r="CW65">
        <v>3.8668644940987686</v>
      </c>
      <c r="CX65">
        <v>-3.1415926535897931</v>
      </c>
      <c r="CY65">
        <v>3.1415926535897927</v>
      </c>
      <c r="CZ65">
        <v>3.1415926535897927</v>
      </c>
      <c r="DK65">
        <v>2.8249824503347782</v>
      </c>
      <c r="DL65">
        <v>-2.2004146847259158</v>
      </c>
      <c r="DM65">
        <v>2.8249824504347782</v>
      </c>
      <c r="DN65">
        <v>-2.2004146847610966</v>
      </c>
      <c r="DO65">
        <v>2.8249824502347782</v>
      </c>
      <c r="DP65">
        <v>-2.2004146846907346</v>
      </c>
      <c r="DQ65">
        <v>-0.35180969248926885</v>
      </c>
      <c r="DR65">
        <v>2.8536081711748427</v>
      </c>
    </row>
    <row r="66" spans="1:122" x14ac:dyDescent="0.2">
      <c r="A66">
        <f t="shared" si="66"/>
        <v>5</v>
      </c>
      <c r="B66" s="1">
        <f t="shared" si="66"/>
        <v>0</v>
      </c>
      <c r="C66" s="1">
        <f t="shared" ca="1" si="66"/>
        <v>0</v>
      </c>
      <c r="D66" s="1">
        <f t="shared" si="66"/>
        <v>6</v>
      </c>
      <c r="E66" s="1">
        <f t="shared" si="66"/>
        <v>2</v>
      </c>
      <c r="F66" s="1">
        <f t="shared" si="67"/>
        <v>0</v>
      </c>
      <c r="G66" s="1">
        <f t="shared" si="68"/>
        <v>-10</v>
      </c>
      <c r="H66" s="6">
        <f t="shared" si="69"/>
        <v>6.6333889062273199</v>
      </c>
      <c r="I66" s="6">
        <f t="shared" si="70"/>
        <v>7.4831912723610312</v>
      </c>
      <c r="J66" s="6">
        <f t="shared" si="71"/>
        <v>5.4766715982085987</v>
      </c>
      <c r="K66">
        <f t="shared" ca="1" si="72"/>
        <v>0</v>
      </c>
      <c r="L66">
        <f t="shared" ca="1" si="73"/>
        <v>0</v>
      </c>
      <c r="M66" s="6">
        <f t="shared" ca="1" si="74"/>
        <v>0</v>
      </c>
      <c r="N66" s="6">
        <f t="shared" ca="1" si="75"/>
        <v>0</v>
      </c>
      <c r="O66" s="6">
        <f t="shared" ca="1" si="76"/>
        <v>0</v>
      </c>
      <c r="Q66" t="e">
        <f t="shared" si="77"/>
        <v>#N/A</v>
      </c>
      <c r="R66" t="e">
        <f t="shared" si="78"/>
        <v>#N/A</v>
      </c>
      <c r="BC66">
        <v>1.117010721276372</v>
      </c>
      <c r="BD66">
        <v>-29.466176133407004</v>
      </c>
      <c r="BE66">
        <v>38.978614564321468</v>
      </c>
      <c r="BF66" s="6">
        <f t="shared" ref="BF66:BF97" si="79">IF(BC66&lt;&gt;"",IF(AND(BD66=0,BE66=0),0,MOD(ATAN2(BD66,BE66),2*PI())),NA())</f>
        <v>2.2180993471359503</v>
      </c>
      <c r="BG66" s="6">
        <f t="shared" ref="BG66:BG97" si="80">ABS(BC66-BF66)</f>
        <v>1.1010886258595782</v>
      </c>
      <c r="BH66" s="6">
        <f t="shared" si="2"/>
        <v>0.82382465396268101</v>
      </c>
      <c r="BI66" s="6">
        <f t="shared" si="3"/>
        <v>0.82382465396268101</v>
      </c>
      <c r="BJ66">
        <v>-45.332578666780002</v>
      </c>
      <c r="BK66">
        <v>59.967099329725336</v>
      </c>
      <c r="BV66" s="38"/>
      <c r="BW66" s="6">
        <f t="shared" si="27"/>
        <v>0.89011791851710886</v>
      </c>
      <c r="BX66" s="9">
        <f t="shared" ca="1" si="28"/>
        <v>45.278988750923247</v>
      </c>
      <c r="BY66" s="9">
        <f t="shared" ca="1" si="29"/>
        <v>9.2697576935303694</v>
      </c>
      <c r="BZ66" s="9">
        <f t="shared" ca="1" si="30"/>
        <v>-20.793653130806163</v>
      </c>
      <c r="CA66" s="6">
        <f t="shared" ca="1" si="31"/>
        <v>31.293971654106841</v>
      </c>
      <c r="CB66" s="6">
        <f t="shared" ca="1" si="32"/>
        <v>2.1572710278945273</v>
      </c>
      <c r="CC66" s="6">
        <f t="shared" ca="1" si="33"/>
        <v>-0.24420107750685949</v>
      </c>
      <c r="CD66" s="9">
        <f t="shared" si="34"/>
        <v>-10.79365313080616</v>
      </c>
      <c r="CE66" s="9">
        <f t="shared" si="35"/>
        <v>30.293971654106841</v>
      </c>
      <c r="CF66" s="6">
        <f t="shared" si="36"/>
        <v>1.9130699503876678</v>
      </c>
      <c r="CG66" s="6"/>
      <c r="CH66" s="6"/>
      <c r="CI66" s="6"/>
      <c r="CJ66" s="1"/>
      <c r="CK66" s="6"/>
      <c r="CU66">
        <v>3.8668644940987691</v>
      </c>
      <c r="CV66">
        <v>3.8668644940987686</v>
      </c>
      <c r="CW66">
        <v>3.8668644940987686</v>
      </c>
      <c r="CX66">
        <v>-3.1415926535897931</v>
      </c>
      <c r="CY66">
        <v>3.1415926535897927</v>
      </c>
      <c r="CZ66">
        <v>3.1415926535897927</v>
      </c>
      <c r="DK66">
        <v>2.8536081711748427</v>
      </c>
      <c r="DL66">
        <v>-2.2111493536266913</v>
      </c>
      <c r="DM66">
        <v>2.8536081712748427</v>
      </c>
      <c r="DN66">
        <v>-2.2111493536643261</v>
      </c>
      <c r="DO66">
        <v>2.8536081710748427</v>
      </c>
      <c r="DP66">
        <v>-2.2111493535890561</v>
      </c>
      <c r="DQ66">
        <v>-0.37635006222558332</v>
      </c>
      <c r="DR66">
        <v>-3.0216382431630238</v>
      </c>
    </row>
    <row r="67" spans="1:122" x14ac:dyDescent="0.2">
      <c r="A67">
        <f t="shared" si="66"/>
        <v>6</v>
      </c>
      <c r="B67" s="1">
        <f t="shared" si="66"/>
        <v>0</v>
      </c>
      <c r="C67" s="1">
        <f t="shared" ca="1" si="66"/>
        <v>0</v>
      </c>
      <c r="D67" s="1">
        <f t="shared" si="66"/>
        <v>0</v>
      </c>
      <c r="E67" s="1">
        <f t="shared" si="66"/>
        <v>8.66</v>
      </c>
      <c r="F67" s="1">
        <f t="shared" si="67"/>
        <v>-6</v>
      </c>
      <c r="G67" s="1">
        <f t="shared" si="68"/>
        <v>-3.34</v>
      </c>
      <c r="H67" s="6">
        <f t="shared" si="69"/>
        <v>6.7054666580965439</v>
      </c>
      <c r="I67" s="6">
        <f t="shared" si="70"/>
        <v>-1.4806474587678076</v>
      </c>
      <c r="J67" s="6">
        <f t="shared" si="71"/>
        <v>14.440510329337437</v>
      </c>
      <c r="K67">
        <f t="shared" ca="1" si="72"/>
        <v>0</v>
      </c>
      <c r="L67">
        <f t="shared" ca="1" si="73"/>
        <v>0</v>
      </c>
      <c r="M67" s="6">
        <f t="shared" ca="1" si="74"/>
        <v>0</v>
      </c>
      <c r="N67" s="6">
        <f t="shared" ca="1" si="75"/>
        <v>0</v>
      </c>
      <c r="O67" s="6">
        <f t="shared" ca="1" si="76"/>
        <v>0</v>
      </c>
      <c r="Q67" t="e">
        <f t="shared" si="77"/>
        <v>#N/A</v>
      </c>
      <c r="R67" t="e">
        <f t="shared" si="78"/>
        <v>#N/A</v>
      </c>
      <c r="BC67">
        <v>1.1344640137963153</v>
      </c>
      <c r="BD67">
        <v>-30.47431430625797</v>
      </c>
      <c r="BE67">
        <v>39.722753343766108</v>
      </c>
      <c r="BF67" s="6">
        <f t="shared" si="79"/>
        <v>2.2251993010650346</v>
      </c>
      <c r="BG67" s="6">
        <f t="shared" si="80"/>
        <v>1.0907352872687193</v>
      </c>
      <c r="BH67" s="6">
        <f t="shared" ref="BH67:BH130" si="81">ATAN2(COS($U$13-BF67),SIN($U$13-BF67))</f>
        <v>0.81672470003359676</v>
      </c>
      <c r="BI67" s="6">
        <f t="shared" ref="BI67:BI130" si="82">ABS(BH67)</f>
        <v>0.81672470003359676</v>
      </c>
      <c r="BJ67">
        <v>-46.883560471166106</v>
      </c>
      <c r="BK67">
        <v>61.111928221178623</v>
      </c>
      <c r="BV67" s="38"/>
      <c r="BW67" s="6">
        <f t="shared" si="27"/>
        <v>0.90757121103705218</v>
      </c>
      <c r="BX67" s="9">
        <f t="shared" ca="1" si="28"/>
        <v>44.828615768785596</v>
      </c>
      <c r="BY67" s="9">
        <f t="shared" ca="1" si="29"/>
        <v>9.7542924548712335</v>
      </c>
      <c r="BZ67" s="9">
        <f t="shared" ca="1" si="30"/>
        <v>-21.244026112943814</v>
      </c>
      <c r="CA67" s="6">
        <f t="shared" ca="1" si="31"/>
        <v>31.778506415447705</v>
      </c>
      <c r="CB67" s="6">
        <f t="shared" ca="1" si="32"/>
        <v>2.1600691442246993</v>
      </c>
      <c r="CC67" s="6">
        <f t="shared" ca="1" si="33"/>
        <v>-0.23901497637507663</v>
      </c>
      <c r="CD67" s="9">
        <f t="shared" si="34"/>
        <v>-11.244026112943818</v>
      </c>
      <c r="CE67" s="9">
        <f t="shared" si="35"/>
        <v>30.778506415447705</v>
      </c>
      <c r="CF67" s="6">
        <f t="shared" si="36"/>
        <v>1.9210541678496227</v>
      </c>
      <c r="CG67" s="6"/>
      <c r="CH67" s="6"/>
      <c r="CI67" s="6"/>
      <c r="CJ67" s="1"/>
      <c r="CK67" s="6"/>
      <c r="CU67">
        <v>3.8668644940987691</v>
      </c>
      <c r="CV67">
        <v>3.8668644940987686</v>
      </c>
      <c r="CW67">
        <v>3.8668644940987686</v>
      </c>
      <c r="CX67">
        <v>-3.1415926535897931</v>
      </c>
      <c r="CY67">
        <v>3.1415926535897927</v>
      </c>
      <c r="CZ67">
        <v>3.1415926535897927</v>
      </c>
      <c r="DK67">
        <v>-3.0216382431630238</v>
      </c>
      <c r="DL67">
        <v>-2.4265537507543087</v>
      </c>
      <c r="DM67">
        <v>-3.0216382430630238</v>
      </c>
      <c r="DN67">
        <v>-2.4265537508093558</v>
      </c>
      <c r="DO67">
        <v>-3.0216382432630238</v>
      </c>
      <c r="DP67">
        <v>-2.426553750699262</v>
      </c>
      <c r="DQ67">
        <v>-0.55046855962359587</v>
      </c>
      <c r="DR67">
        <v>-1.1466134173260201</v>
      </c>
    </row>
    <row r="68" spans="1:122" x14ac:dyDescent="0.2">
      <c r="A68">
        <f t="shared" si="66"/>
        <v>7</v>
      </c>
      <c r="B68" s="1">
        <f t="shared" si="66"/>
        <v>0</v>
      </c>
      <c r="C68" s="1">
        <f t="shared" ca="1" si="66"/>
        <v>0</v>
      </c>
      <c r="D68" s="1">
        <f t="shared" si="66"/>
        <v>2</v>
      </c>
      <c r="E68" s="1">
        <f t="shared" si="66"/>
        <v>22</v>
      </c>
      <c r="F68" s="1">
        <f t="shared" si="67"/>
        <v>-4</v>
      </c>
      <c r="G68" s="1">
        <f t="shared" si="68"/>
        <v>10</v>
      </c>
      <c r="H68" s="6">
        <f t="shared" si="69"/>
        <v>-3.6401123972829073</v>
      </c>
      <c r="I68" s="6">
        <f t="shared" si="70"/>
        <v>-10.136546834851959</v>
      </c>
      <c r="J68" s="6">
        <f t="shared" si="71"/>
        <v>23.096409705421589</v>
      </c>
      <c r="K68">
        <f t="shared" ca="1" si="72"/>
        <v>0</v>
      </c>
      <c r="L68">
        <f t="shared" ca="1" si="73"/>
        <v>0</v>
      </c>
      <c r="M68" s="6">
        <f t="shared" ca="1" si="74"/>
        <v>0</v>
      </c>
      <c r="N68" s="6">
        <f t="shared" ca="1" si="75"/>
        <v>0</v>
      </c>
      <c r="O68" s="6">
        <f t="shared" ca="1" si="76"/>
        <v>0</v>
      </c>
      <c r="Q68" t="e">
        <f t="shared" si="77"/>
        <v>#N/A</v>
      </c>
      <c r="R68" t="e">
        <f t="shared" si="78"/>
        <v>#N/A</v>
      </c>
      <c r="BC68">
        <v>1.1519173063162587</v>
      </c>
      <c r="BD68">
        <v>-31.549291637807801</v>
      </c>
      <c r="BE68">
        <v>40.494191111220125</v>
      </c>
      <c r="BF68" s="6">
        <f t="shared" si="79"/>
        <v>2.2326669223337192</v>
      </c>
      <c r="BG68" s="6">
        <f t="shared" si="80"/>
        <v>1.0807496160174606</v>
      </c>
      <c r="BH68" s="6">
        <f t="shared" si="81"/>
        <v>0.80925707876491204</v>
      </c>
      <c r="BI68" s="6">
        <f t="shared" si="82"/>
        <v>0.80925707876491204</v>
      </c>
      <c r="BJ68">
        <v>-48.53737175047354</v>
      </c>
      <c r="BK68">
        <v>62.298755555723268</v>
      </c>
      <c r="BV68" s="38"/>
      <c r="BW68" s="6">
        <f t="shared" si="27"/>
        <v>0.9250245035569955</v>
      </c>
      <c r="BX68" s="9">
        <f t="shared" ca="1" si="28"/>
        <v>44.350967375627135</v>
      </c>
      <c r="BY68" s="9">
        <f t="shared" ca="1" si="29"/>
        <v>10.25350647034578</v>
      </c>
      <c r="BZ68" s="9">
        <f t="shared" ca="1" si="30"/>
        <v>-21.721674506102275</v>
      </c>
      <c r="CA68" s="6">
        <f t="shared" ca="1" si="31"/>
        <v>32.277720430922251</v>
      </c>
      <c r="CB68" s="6">
        <f t="shared" ca="1" si="32"/>
        <v>2.1631444819822172</v>
      </c>
      <c r="CC68" s="6">
        <f t="shared" ca="1" si="33"/>
        <v>-0.2337869033124291</v>
      </c>
      <c r="CD68" s="9">
        <f t="shared" si="34"/>
        <v>-11.721674506102278</v>
      </c>
      <c r="CE68" s="9">
        <f t="shared" si="35"/>
        <v>31.277720430922251</v>
      </c>
      <c r="CF68" s="6">
        <f t="shared" si="36"/>
        <v>1.9293575786697881</v>
      </c>
      <c r="CG68" s="6"/>
      <c r="CH68" s="6"/>
      <c r="CI68" s="6"/>
      <c r="CJ68" s="1"/>
      <c r="CK68" s="6"/>
      <c r="CU68">
        <v>3.8668644940987691</v>
      </c>
      <c r="CV68">
        <v>3.8668644940987686</v>
      </c>
      <c r="CW68">
        <v>3.8668644940987686</v>
      </c>
      <c r="CX68">
        <v>-3.1415926535897931</v>
      </c>
      <c r="CY68">
        <v>3.1415926535897927</v>
      </c>
      <c r="CZ68">
        <v>3.1415926535897927</v>
      </c>
      <c r="DK68">
        <v>-1.1466134173260201</v>
      </c>
      <c r="DL68">
        <v>2.142404068265864</v>
      </c>
      <c r="DM68">
        <v>-1.1466134172260201</v>
      </c>
      <c r="DN68">
        <v>2.1424040682628869</v>
      </c>
      <c r="DO68">
        <v>-1.1466134174260201</v>
      </c>
      <c r="DP68">
        <v>2.1424040682688412</v>
      </c>
      <c r="DQ68">
        <v>-2.9771740628348198E-2</v>
      </c>
      <c r="DR68">
        <v>1.699342860017002</v>
      </c>
    </row>
    <row r="69" spans="1:122" x14ac:dyDescent="0.2">
      <c r="A69">
        <f t="shared" si="66"/>
        <v>8</v>
      </c>
      <c r="B69" s="1">
        <f t="shared" si="66"/>
        <v>0</v>
      </c>
      <c r="C69" s="1">
        <f t="shared" ca="1" si="66"/>
        <v>0</v>
      </c>
      <c r="D69" s="1">
        <f t="shared" si="66"/>
        <v>10</v>
      </c>
      <c r="E69" s="1">
        <f t="shared" si="66"/>
        <v>22</v>
      </c>
      <c r="F69" s="1">
        <f t="shared" si="67"/>
        <v>4</v>
      </c>
      <c r="G69" s="1">
        <f t="shared" si="68"/>
        <v>10</v>
      </c>
      <c r="H69" s="6">
        <f t="shared" si="69"/>
        <v>-9.6266654151717326</v>
      </c>
      <c r="I69" s="6">
        <f t="shared" si="70"/>
        <v>-4.8298357098701032</v>
      </c>
      <c r="J69" s="6">
        <f t="shared" si="71"/>
        <v>17.789698580439733</v>
      </c>
      <c r="K69">
        <f t="shared" ca="1" si="72"/>
        <v>0</v>
      </c>
      <c r="L69">
        <f t="shared" ca="1" si="73"/>
        <v>0</v>
      </c>
      <c r="M69" s="6">
        <f t="shared" ca="1" si="74"/>
        <v>0</v>
      </c>
      <c r="N69" s="6">
        <f t="shared" ca="1" si="75"/>
        <v>0</v>
      </c>
      <c r="O69" s="6">
        <f t="shared" ca="1" si="76"/>
        <v>0</v>
      </c>
      <c r="Q69" t="e">
        <f t="shared" si="77"/>
        <v>#N/A</v>
      </c>
      <c r="R69" t="e">
        <f t="shared" si="78"/>
        <v>#N/A</v>
      </c>
      <c r="BC69">
        <v>1.169370598836202</v>
      </c>
      <c r="BD69">
        <v>-32.695770385738612</v>
      </c>
      <c r="BE69">
        <v>41.294214719998443</v>
      </c>
      <c r="BF69" s="6">
        <f t="shared" si="79"/>
        <v>2.2405025123581743</v>
      </c>
      <c r="BG69" s="6">
        <f t="shared" si="80"/>
        <v>1.0711319135219723</v>
      </c>
      <c r="BH69" s="6">
        <f t="shared" si="81"/>
        <v>0.80142148874045693</v>
      </c>
      <c r="BI69" s="6">
        <f t="shared" si="82"/>
        <v>0.80142148874045693</v>
      </c>
      <c r="BJ69">
        <v>-50.301185208828635</v>
      </c>
      <c r="BK69">
        <v>63.529561107689908</v>
      </c>
      <c r="BV69" s="38"/>
      <c r="BW69" s="6">
        <f t="shared" si="27"/>
        <v>0.94247779607693882</v>
      </c>
      <c r="BX69" s="9">
        <f t="shared" ca="1" si="28"/>
        <v>43.843963721906619</v>
      </c>
      <c r="BY69" s="9">
        <f t="shared" ca="1" si="29"/>
        <v>10.768169271302551</v>
      </c>
      <c r="BZ69" s="9">
        <f t="shared" ca="1" si="30"/>
        <v>-22.228678159822792</v>
      </c>
      <c r="CA69" s="6">
        <f t="shared" ca="1" si="31"/>
        <v>32.792383231879022</v>
      </c>
      <c r="CB69" s="6">
        <f t="shared" ca="1" si="32"/>
        <v>2.1665088754065907</v>
      </c>
      <c r="CC69" s="6">
        <f t="shared" ca="1" si="33"/>
        <v>-0.22851574072333355</v>
      </c>
      <c r="CD69" s="9">
        <f t="shared" si="34"/>
        <v>-12.228678159822788</v>
      </c>
      <c r="CE69" s="9">
        <f t="shared" si="35"/>
        <v>31.792383231879022</v>
      </c>
      <c r="CF69" s="6">
        <f t="shared" si="36"/>
        <v>1.9379931346832571</v>
      </c>
      <c r="CG69" s="6"/>
      <c r="CH69" s="6"/>
      <c r="CI69" s="6"/>
      <c r="CJ69" s="1"/>
      <c r="CK69" s="6"/>
      <c r="CU69">
        <v>3.8668644940987691</v>
      </c>
      <c r="CV69">
        <v>3.8668644940987686</v>
      </c>
      <c r="CW69">
        <v>3.8668644940987686</v>
      </c>
      <c r="CX69">
        <v>-3.1415926535897931</v>
      </c>
      <c r="CY69">
        <v>3.1415926535897927</v>
      </c>
      <c r="CZ69">
        <v>3.1415926535897927</v>
      </c>
      <c r="DK69">
        <v>1.699342860017002</v>
      </c>
      <c r="DL69">
        <v>-0.50014160458193202</v>
      </c>
      <c r="DM69">
        <v>1.699342860117002</v>
      </c>
      <c r="DN69">
        <v>-0.50014160458279333</v>
      </c>
      <c r="DO69">
        <v>1.699342859917002</v>
      </c>
      <c r="DP69">
        <v>-0.50014160457736856</v>
      </c>
      <c r="DQ69">
        <v>-2.7123858714617199E-2</v>
      </c>
      <c r="DR69">
        <v>2.1097227836214083</v>
      </c>
    </row>
    <row r="70" spans="1:122" x14ac:dyDescent="0.2">
      <c r="A70">
        <f t="shared" si="66"/>
        <v>9</v>
      </c>
      <c r="B70" s="1">
        <f t="shared" si="66"/>
        <v>0</v>
      </c>
      <c r="C70" s="1">
        <f t="shared" ca="1" si="66"/>
        <v>0</v>
      </c>
      <c r="D70" s="1">
        <f t="shared" si="66"/>
        <v>2</v>
      </c>
      <c r="E70" s="1">
        <f t="shared" si="66"/>
        <v>2</v>
      </c>
      <c r="F70" s="1">
        <f t="shared" si="67"/>
        <v>-4</v>
      </c>
      <c r="G70" s="1">
        <f t="shared" si="68"/>
        <v>-10</v>
      </c>
      <c r="H70" s="6">
        <f t="shared" si="69"/>
        <v>9.6266654151717326</v>
      </c>
      <c r="I70" s="6">
        <f t="shared" si="70"/>
        <v>4.8298357098701032</v>
      </c>
      <c r="J70" s="6">
        <f t="shared" si="71"/>
        <v>8.1300271606995267</v>
      </c>
      <c r="K70">
        <f t="shared" ca="1" si="72"/>
        <v>0</v>
      </c>
      <c r="L70">
        <f t="shared" ca="1" si="73"/>
        <v>0</v>
      </c>
      <c r="M70" s="6">
        <f t="shared" ca="1" si="74"/>
        <v>0</v>
      </c>
      <c r="N70" s="6">
        <f t="shared" ca="1" si="75"/>
        <v>0</v>
      </c>
      <c r="O70" s="6">
        <f t="shared" ca="1" si="76"/>
        <v>0</v>
      </c>
      <c r="Q70" t="e">
        <f t="shared" si="77"/>
        <v>#N/A</v>
      </c>
      <c r="R70" t="e">
        <f t="shared" si="78"/>
        <v>#N/A</v>
      </c>
      <c r="BC70">
        <v>1.1868238913561453</v>
      </c>
      <c r="BD70">
        <v>-33.91874560016749</v>
      </c>
      <c r="BE70">
        <v>42.12417519306689</v>
      </c>
      <c r="BF70" s="6">
        <f t="shared" si="79"/>
        <v>2.2487051485421006</v>
      </c>
      <c r="BG70" s="6">
        <f t="shared" si="80"/>
        <v>1.0618812571859553</v>
      </c>
      <c r="BH70" s="6">
        <f t="shared" si="81"/>
        <v>0.79321885255653068</v>
      </c>
      <c r="BI70" s="6">
        <f t="shared" si="82"/>
        <v>0.79321885255653068</v>
      </c>
      <c r="BJ70">
        <v>-52.182685538719213</v>
      </c>
      <c r="BK70">
        <v>64.806423373949059</v>
      </c>
      <c r="BV70" s="38"/>
      <c r="BW70" s="6">
        <f t="shared" si="27"/>
        <v>0.95993108859688214</v>
      </c>
      <c r="BX70" s="9">
        <f t="shared" ca="1" si="28"/>
        <v>43.305414721857872</v>
      </c>
      <c r="BY70" s="9">
        <f t="shared" ca="1" si="29"/>
        <v>11.299074578570067</v>
      </c>
      <c r="BZ70" s="9">
        <f t="shared" ca="1" si="30"/>
        <v>-22.767227159871538</v>
      </c>
      <c r="CA70" s="6">
        <f t="shared" ca="1" si="31"/>
        <v>33.323288539146539</v>
      </c>
      <c r="CB70" s="6">
        <f t="shared" ca="1" si="32"/>
        <v>2.1701733900368847</v>
      </c>
      <c r="CC70" s="6">
        <f t="shared" ca="1" si="33"/>
        <v>-0.2232010752753979</v>
      </c>
      <c r="CD70" s="9">
        <f t="shared" si="34"/>
        <v>-12.767227159871538</v>
      </c>
      <c r="CE70" s="9">
        <f t="shared" si="35"/>
        <v>32.323288539146539</v>
      </c>
      <c r="CF70" s="6">
        <f t="shared" si="36"/>
        <v>1.9469723147614868</v>
      </c>
      <c r="CG70" s="6"/>
      <c r="CH70" s="6"/>
      <c r="CI70" s="6"/>
      <c r="CJ70" s="1"/>
      <c r="CK70" s="6"/>
      <c r="CU70">
        <v>3.8668644940987691</v>
      </c>
      <c r="CV70">
        <v>3.8668644940987686</v>
      </c>
      <c r="CW70">
        <v>3.8668644940987686</v>
      </c>
      <c r="CX70">
        <v>-3.1415926535897931</v>
      </c>
      <c r="CY70">
        <v>3.1415926535897927</v>
      </c>
      <c r="CZ70">
        <v>3.1415926535897927</v>
      </c>
      <c r="DK70">
        <v>2.1097227836214083</v>
      </c>
      <c r="DL70">
        <v>-0.51826610224970815</v>
      </c>
      <c r="DM70">
        <v>2.1097227837214083</v>
      </c>
      <c r="DN70">
        <v>-0.51826610228480696</v>
      </c>
      <c r="DO70">
        <v>2.1097227835214083</v>
      </c>
      <c r="DP70">
        <v>-0.51826610221461111</v>
      </c>
      <c r="DQ70">
        <v>-0.35097924566684924</v>
      </c>
      <c r="DR70">
        <v>0.6330938699515436</v>
      </c>
    </row>
    <row r="71" spans="1:122" ht="16" thickBot="1" x14ac:dyDescent="0.25">
      <c r="A71">
        <f t="shared" si="66"/>
        <v>10</v>
      </c>
      <c r="B71" s="1">
        <f t="shared" si="66"/>
        <v>0</v>
      </c>
      <c r="C71" s="1">
        <f t="shared" ca="1" si="66"/>
        <v>0</v>
      </c>
      <c r="D71" s="1">
        <f t="shared" si="66"/>
        <v>10</v>
      </c>
      <c r="E71" s="1">
        <f t="shared" si="66"/>
        <v>2</v>
      </c>
      <c r="F71" s="1">
        <f t="shared" si="67"/>
        <v>4</v>
      </c>
      <c r="G71" s="1">
        <f t="shared" si="68"/>
        <v>-10</v>
      </c>
      <c r="H71" s="6">
        <f t="shared" si="69"/>
        <v>3.6401123972829073</v>
      </c>
      <c r="I71" s="6">
        <f t="shared" si="70"/>
        <v>10.136546834851959</v>
      </c>
      <c r="J71" s="6">
        <f t="shared" si="71"/>
        <v>2.8233160357176708</v>
      </c>
      <c r="K71" s="12">
        <f t="shared" ca="1" si="72"/>
        <v>0</v>
      </c>
      <c r="L71">
        <f t="shared" ca="1" si="73"/>
        <v>0</v>
      </c>
      <c r="M71" s="11">
        <f t="shared" ca="1" si="74"/>
        <v>0</v>
      </c>
      <c r="N71" s="11">
        <f t="shared" ca="1" si="75"/>
        <v>0</v>
      </c>
      <c r="O71" s="11">
        <f t="shared" ca="1" si="76"/>
        <v>0</v>
      </c>
      <c r="Q71" t="e">
        <f t="shared" si="77"/>
        <v>#N/A</v>
      </c>
      <c r="R71" t="e">
        <f t="shared" si="78"/>
        <v>#N/A</v>
      </c>
      <c r="BC71">
        <v>1.2042771838760886</v>
      </c>
      <c r="BD71">
        <v>-35.223572561643351</v>
      </c>
      <c r="BE71">
        <v>42.985495973976917</v>
      </c>
      <c r="BF71" s="6">
        <f t="shared" si="79"/>
        <v>2.2572726027255614</v>
      </c>
      <c r="BG71" s="6">
        <f t="shared" si="80"/>
        <v>1.0529954188494728</v>
      </c>
      <c r="BH71" s="6">
        <f t="shared" si="81"/>
        <v>0.78465139837306985</v>
      </c>
      <c r="BI71" s="6">
        <f t="shared" si="82"/>
        <v>0.78465139837306985</v>
      </c>
      <c r="BJ71">
        <v>-54.190111633297462</v>
      </c>
      <c r="BK71">
        <v>66.131532267656794</v>
      </c>
      <c r="BV71" s="38"/>
      <c r="BW71" s="6">
        <f t="shared" si="27"/>
        <v>0.97738438111682546</v>
      </c>
      <c r="BX71" s="9">
        <f t="shared" ca="1" si="28"/>
        <v>42.733008079152214</v>
      </c>
      <c r="BY71" s="9">
        <f t="shared" ca="1" si="29"/>
        <v>11.847043007108869</v>
      </c>
      <c r="BZ71" s="9">
        <f t="shared" ca="1" si="30"/>
        <v>-23.339633802577197</v>
      </c>
      <c r="CA71" s="6">
        <f t="shared" ca="1" si="31"/>
        <v>33.871256967685341</v>
      </c>
      <c r="CB71" s="6">
        <f t="shared" ca="1" si="32"/>
        <v>2.1741483271660274</v>
      </c>
      <c r="CC71" s="6">
        <f t="shared" ca="1" si="33"/>
        <v>-0.21784316641941048</v>
      </c>
      <c r="CD71" s="9">
        <f t="shared" si="34"/>
        <v>-13.339633802577197</v>
      </c>
      <c r="CE71" s="9">
        <f t="shared" si="35"/>
        <v>32.871256967685341</v>
      </c>
      <c r="CF71" s="6">
        <f t="shared" si="36"/>
        <v>1.9563051607466169</v>
      </c>
      <c r="CG71" s="6"/>
      <c r="CH71" s="6"/>
      <c r="CI71" s="6"/>
      <c r="CJ71" s="1"/>
      <c r="CK71" s="6"/>
      <c r="CU71">
        <v>3.8668644940987691</v>
      </c>
      <c r="CV71">
        <v>3.8668644940987686</v>
      </c>
      <c r="CW71">
        <v>3.8668644940987686</v>
      </c>
      <c r="CX71">
        <v>-3.1415926535897931</v>
      </c>
      <c r="CY71">
        <v>3.1415926535897927</v>
      </c>
      <c r="CZ71">
        <v>3.1415926535897927</v>
      </c>
      <c r="DK71">
        <v>0.6330938699515436</v>
      </c>
      <c r="DL71">
        <v>-0.44503172456936491</v>
      </c>
      <c r="DM71">
        <v>0.63309387005154361</v>
      </c>
      <c r="DN71">
        <v>-0.44503172458037343</v>
      </c>
      <c r="DO71">
        <v>0.63309386985154359</v>
      </c>
      <c r="DP71">
        <v>-0.4450317245583581</v>
      </c>
      <c r="DQ71">
        <v>-0.11007667000129118</v>
      </c>
      <c r="DR71">
        <v>2.8733541452951852</v>
      </c>
    </row>
    <row r="72" spans="1:122" ht="16" thickTop="1" x14ac:dyDescent="0.2">
      <c r="K72" s="13">
        <f ca="1">MIN(K62:K71)</f>
        <v>0</v>
      </c>
      <c r="M72" s="9">
        <f ca="1">SUM(M62:M71)</f>
        <v>174.08236221976603</v>
      </c>
      <c r="N72" s="9">
        <f ca="1">SUM(N62:N71)</f>
        <v>828.9426797867701</v>
      </c>
      <c r="O72" s="9">
        <f ca="1">SUM(O62:O71)</f>
        <v>-1429.9104854245534</v>
      </c>
      <c r="BC72">
        <v>1.2217304763960319</v>
      </c>
      <c r="BD72">
        <v>-36.615998051885242</v>
      </c>
      <c r="BE72">
        <v>43.879684598491899</v>
      </c>
      <c r="BF72" s="6">
        <f t="shared" si="79"/>
        <v>2.2662012544452268</v>
      </c>
      <c r="BG72" s="6">
        <f t="shared" si="80"/>
        <v>1.0444707780491949</v>
      </c>
      <c r="BH72" s="6">
        <f t="shared" si="81"/>
        <v>0.77572274665340446</v>
      </c>
      <c r="BI72" s="6">
        <f t="shared" si="82"/>
        <v>0.77572274665340446</v>
      </c>
      <c r="BJ72">
        <v>-56.332304695208066</v>
      </c>
      <c r="BK72">
        <v>67.507207074602917</v>
      </c>
      <c r="BV72" s="38"/>
      <c r="BW72" s="6">
        <f t="shared" si="27"/>
        <v>0.99483767363676878</v>
      </c>
      <c r="BX72" s="9">
        <f t="shared" ca="1" si="28"/>
        <v>42.124296667073885</v>
      </c>
      <c r="BY72" s="9">
        <f t="shared" ca="1" si="29"/>
        <v>12.412924651143474</v>
      </c>
      <c r="BZ72" s="9">
        <f t="shared" ca="1" si="30"/>
        <v>-23.948345214655525</v>
      </c>
      <c r="CA72" s="6">
        <f t="shared" ca="1" si="31"/>
        <v>34.437138611719945</v>
      </c>
      <c r="CB72" s="6">
        <f t="shared" ca="1" si="32"/>
        <v>2.1784432228825419</v>
      </c>
      <c r="CC72" s="6">
        <f t="shared" ca="1" si="33"/>
        <v>-0.21244292137182794</v>
      </c>
      <c r="CD72" s="9">
        <f t="shared" si="34"/>
        <v>-13.948345214655525</v>
      </c>
      <c r="CE72" s="9">
        <f t="shared" si="35"/>
        <v>33.437138611719945</v>
      </c>
      <c r="CF72" s="6">
        <f t="shared" si="36"/>
        <v>1.9660003015107139</v>
      </c>
      <c r="CG72" s="6"/>
      <c r="CH72" s="6"/>
      <c r="CI72" s="6"/>
      <c r="CJ72" s="1"/>
      <c r="CK72" s="6"/>
      <c r="CU72">
        <v>3.8668644940987691</v>
      </c>
      <c r="CV72">
        <v>3.8668644940987686</v>
      </c>
      <c r="CW72">
        <v>3.8668644940987686</v>
      </c>
      <c r="CX72">
        <v>-3.1415926535897931</v>
      </c>
      <c r="CY72">
        <v>3.1415926535897927</v>
      </c>
      <c r="CZ72">
        <v>3.1415926535897927</v>
      </c>
      <c r="DK72">
        <v>2.8733541452951852</v>
      </c>
      <c r="DL72">
        <v>-2.2188320765383023</v>
      </c>
      <c r="DM72">
        <v>2.8733541453951852</v>
      </c>
      <c r="DN72">
        <v>-2.2188320765777156</v>
      </c>
      <c r="DO72">
        <v>2.8733541451951852</v>
      </c>
      <c r="DP72">
        <v>-2.218832076498888</v>
      </c>
      <c r="DQ72">
        <v>-0.39413805552612757</v>
      </c>
      <c r="DR72">
        <v>-2.7562267729351655</v>
      </c>
    </row>
    <row r="73" spans="1:122" x14ac:dyDescent="0.2">
      <c r="N73" s="46">
        <f ca="1">N72/12</f>
        <v>69.078556648897504</v>
      </c>
      <c r="O73" s="46">
        <f ca="1">O72/12</f>
        <v>-119.15920711871279</v>
      </c>
      <c r="BC73">
        <v>1.2391837689159753</v>
      </c>
      <c r="BD73">
        <v>-38.102197289646242</v>
      </c>
      <c r="BE73">
        <v>44.808349611215732</v>
      </c>
      <c r="BF73" s="6">
        <f t="shared" si="79"/>
        <v>2.2754860005638049</v>
      </c>
      <c r="BG73" s="6">
        <f t="shared" si="80"/>
        <v>1.0363022316478296</v>
      </c>
      <c r="BH73" s="6">
        <f t="shared" si="81"/>
        <v>0.76643800053482636</v>
      </c>
      <c r="BI73" s="6">
        <f t="shared" si="82"/>
        <v>0.76643800053482636</v>
      </c>
      <c r="BJ73">
        <v>-58.618765060994214</v>
      </c>
      <c r="BK73">
        <v>68.935922478793429</v>
      </c>
      <c r="BV73" s="38"/>
      <c r="BW73" s="6">
        <f t="shared" si="27"/>
        <v>1.0122909661567121</v>
      </c>
      <c r="BX73" s="9">
        <f t="shared" ca="1" si="28"/>
        <v>41.476685343539785</v>
      </c>
      <c r="BY73" s="9">
        <f t="shared" ca="1" si="29"/>
        <v>12.99760158952672</v>
      </c>
      <c r="BZ73" s="9">
        <f t="shared" ca="1" si="30"/>
        <v>-24.595956538189625</v>
      </c>
      <c r="CA73" s="6">
        <f t="shared" ca="1" si="31"/>
        <v>35.021815550103192</v>
      </c>
      <c r="CB73" s="6">
        <f t="shared" ca="1" si="32"/>
        <v>2.1830668385898315</v>
      </c>
      <c r="CC73" s="6">
        <f t="shared" ca="1" si="33"/>
        <v>-0.20700187620150981</v>
      </c>
      <c r="CD73" s="9">
        <f t="shared" si="34"/>
        <v>-14.595956538189625</v>
      </c>
      <c r="CE73" s="9">
        <f t="shared" si="35"/>
        <v>34.021815550103192</v>
      </c>
      <c r="CF73" s="6">
        <f t="shared" si="36"/>
        <v>1.9760649623883217</v>
      </c>
      <c r="CG73" s="6"/>
      <c r="CH73" s="6"/>
      <c r="CI73" s="6"/>
      <c r="CJ73" s="1"/>
      <c r="CK73" s="6"/>
      <c r="CU73">
        <v>3.8668644940987691</v>
      </c>
      <c r="CV73">
        <v>3.8668644940987686</v>
      </c>
      <c r="CW73">
        <v>3.8668644940987686</v>
      </c>
      <c r="CX73">
        <v>-3.1415926535897931</v>
      </c>
      <c r="CY73">
        <v>3.1415926535897927</v>
      </c>
      <c r="CZ73">
        <v>3.1415926535897927</v>
      </c>
      <c r="DK73">
        <v>-2.7562267729351655</v>
      </c>
      <c r="DL73">
        <v>-3.1115893738949691</v>
      </c>
      <c r="DM73">
        <v>-2.7562267728351655</v>
      </c>
      <c r="DN73">
        <v>-3.1115893752732222</v>
      </c>
      <c r="DO73">
        <v>-2.7562267730351655</v>
      </c>
      <c r="DP73">
        <v>-3.1115893725312911</v>
      </c>
      <c r="DQ73">
        <v>-13.709655632965223</v>
      </c>
      <c r="DR73">
        <v>-2.9831901232335545</v>
      </c>
    </row>
    <row r="74" spans="1:122" x14ac:dyDescent="0.2">
      <c r="BC74">
        <v>1.2566370614359186</v>
      </c>
      <c r="BD74">
        <v>-39.688819613991221</v>
      </c>
      <c r="BE74">
        <v>45.773225535826583</v>
      </c>
      <c r="BF74" s="6">
        <f t="shared" si="79"/>
        <v>2.2851201645952477</v>
      </c>
      <c r="BG74" s="6">
        <f t="shared" si="80"/>
        <v>1.0284831031593291</v>
      </c>
      <c r="BH74" s="6">
        <f t="shared" si="81"/>
        <v>0.75680383650338356</v>
      </c>
      <c r="BI74" s="6">
        <f t="shared" si="82"/>
        <v>0.75680383650338356</v>
      </c>
      <c r="BJ74">
        <v>-61.059722483063418</v>
      </c>
      <c r="BK74">
        <v>70.420346978194743</v>
      </c>
      <c r="BV74" s="38"/>
      <c r="BW74" s="6">
        <f t="shared" si="27"/>
        <v>1.0297442586766554</v>
      </c>
      <c r="BX74" s="9">
        <f t="shared" ca="1" si="28"/>
        <v>40.787417035860088</v>
      </c>
      <c r="BY74" s="9">
        <f t="shared" ca="1" si="29"/>
        <v>13.601990321184058</v>
      </c>
      <c r="BZ74" s="9">
        <f t="shared" ca="1" si="30"/>
        <v>-25.285224845869323</v>
      </c>
      <c r="CA74" s="6">
        <f t="shared" ca="1" si="31"/>
        <v>35.626204281760529</v>
      </c>
      <c r="CB74" s="6">
        <f t="shared" ca="1" si="32"/>
        <v>2.1880271453989799</v>
      </c>
      <c r="CC74" s="6">
        <f t="shared" ca="1" si="33"/>
        <v>-0.20152218123545595</v>
      </c>
      <c r="CD74" s="9">
        <f t="shared" si="34"/>
        <v>-15.285224845869326</v>
      </c>
      <c r="CE74" s="9">
        <f t="shared" si="35"/>
        <v>34.626204281760529</v>
      </c>
      <c r="CF74" s="6">
        <f t="shared" si="36"/>
        <v>1.986504964163524</v>
      </c>
      <c r="CG74" s="6"/>
      <c r="CH74" s="6"/>
      <c r="CI74" s="6"/>
      <c r="CJ74" s="1"/>
      <c r="CK74" s="6"/>
      <c r="CU74">
        <v>3.8668644940987691</v>
      </c>
      <c r="CV74">
        <v>3.8668644940987686</v>
      </c>
      <c r="CW74">
        <v>3.8668644940987686</v>
      </c>
      <c r="CX74">
        <v>-3.1415926535897931</v>
      </c>
      <c r="CY74">
        <v>3.1415926535897927</v>
      </c>
      <c r="CZ74">
        <v>3.1415926535897927</v>
      </c>
      <c r="DK74">
        <v>-2.9831901232335545</v>
      </c>
      <c r="DL74">
        <v>-2.4457884546205761</v>
      </c>
      <c r="DM74">
        <v>-2.9831901231335545</v>
      </c>
      <c r="DN74">
        <v>-2.4457884546712378</v>
      </c>
      <c r="DO74">
        <v>-2.9831901233335545</v>
      </c>
      <c r="DP74">
        <v>-2.4457884545699144</v>
      </c>
      <c r="DQ74">
        <v>-0.50661697059695143</v>
      </c>
      <c r="DR74">
        <v>-1.5276923918149634</v>
      </c>
    </row>
    <row r="75" spans="1:122" x14ac:dyDescent="0.2">
      <c r="A75" s="8" t="s">
        <v>63</v>
      </c>
      <c r="B75" s="9">
        <f ca="1">N57+M72</f>
        <v>1350.9939200540168</v>
      </c>
      <c r="C75" t="s">
        <v>68</v>
      </c>
      <c r="E75">
        <f>((O59*COS(-1*B27))+(P59*SIN(-1*B27)))</f>
        <v>-41.291301702455343</v>
      </c>
      <c r="F75">
        <f>(-1*(O59)*SIN(-1*B27))+((P59)*COS(-1*B27))</f>
        <v>-17.004409904481768</v>
      </c>
      <c r="BC75">
        <v>1.2740903539558619</v>
      </c>
      <c r="BD75">
        <v>-41.383048258081686</v>
      </c>
      <c r="BE75">
        <v>46.776210223063188</v>
      </c>
      <c r="BF75" s="6">
        <f t="shared" si="79"/>
        <v>2.29509541425573</v>
      </c>
      <c r="BG75" s="6">
        <f t="shared" si="80"/>
        <v>1.0210050602998682</v>
      </c>
      <c r="BH75" s="6">
        <f t="shared" si="81"/>
        <v>0.74682858684290121</v>
      </c>
      <c r="BI75" s="6">
        <f t="shared" si="82"/>
        <v>0.74682858684290121</v>
      </c>
      <c r="BJ75">
        <v>-63.666228089356437</v>
      </c>
      <c r="BK75">
        <v>71.963400343174129</v>
      </c>
      <c r="BV75" s="38"/>
      <c r="BW75" s="6">
        <f t="shared" si="27"/>
        <v>1.0471975511965987</v>
      </c>
      <c r="BX75" s="9">
        <f t="shared" ca="1" si="28"/>
        <v>40.053558061589797</v>
      </c>
      <c r="BY75" s="9">
        <f t="shared" ca="1" si="29"/>
        <v>14.227044159814209</v>
      </c>
      <c r="BZ75" s="9">
        <f t="shared" ca="1" si="30"/>
        <v>-26.019083820139613</v>
      </c>
      <c r="CA75" s="6">
        <f t="shared" ca="1" si="31"/>
        <v>36.251258120390681</v>
      </c>
      <c r="CB75" s="6">
        <f t="shared" ca="1" si="32"/>
        <v>2.1933313017790703</v>
      </c>
      <c r="CC75" s="6">
        <f t="shared" ca="1" si="33"/>
        <v>-0.19600658982498431</v>
      </c>
      <c r="CD75" s="9">
        <f t="shared" si="34"/>
        <v>-16.019083820139613</v>
      </c>
      <c r="CE75" s="9">
        <f t="shared" si="35"/>
        <v>35.251258120390681</v>
      </c>
      <c r="CF75" s="6">
        <f t="shared" si="36"/>
        <v>1.997324711954086</v>
      </c>
      <c r="CG75" s="6"/>
      <c r="CH75" s="6"/>
      <c r="CI75" s="6"/>
      <c r="CJ75" s="1"/>
      <c r="CK75" s="6"/>
      <c r="CU75">
        <v>3.8668644940987691</v>
      </c>
      <c r="CV75">
        <v>3.8668644940987686</v>
      </c>
      <c r="CW75">
        <v>3.8668644940987686</v>
      </c>
      <c r="CX75">
        <v>-3.1415926535897931</v>
      </c>
      <c r="CY75">
        <v>3.1415926535897927</v>
      </c>
      <c r="CZ75">
        <v>3.1415926535897927</v>
      </c>
      <c r="DK75">
        <v>-1.5276923918149634</v>
      </c>
      <c r="DL75">
        <v>2.1524323688980811</v>
      </c>
      <c r="DM75">
        <v>-1.5276923917149634</v>
      </c>
      <c r="DN75">
        <v>2.1524323688962559</v>
      </c>
      <c r="DO75">
        <v>-1.5276923919149634</v>
      </c>
      <c r="DP75">
        <v>2.1524323689009996</v>
      </c>
      <c r="DQ75">
        <v>-2.3718804698091844E-2</v>
      </c>
      <c r="DR75">
        <v>1.2556407979310045</v>
      </c>
    </row>
    <row r="76" spans="1:122" x14ac:dyDescent="0.2">
      <c r="A76" s="8" t="s">
        <v>66</v>
      </c>
      <c r="B76" s="9">
        <f ca="1">O57+N72</f>
        <v>1335.0877668366559</v>
      </c>
      <c r="C76" t="s">
        <v>69</v>
      </c>
      <c r="E76">
        <f ca="1">((N73*COS(-1*B27))+(O73*SIN(-1*B27)))</f>
        <v>-130.73574147984397</v>
      </c>
      <c r="F76">
        <f ca="1">(-1*(N73)*SIN(-1*B27))+((O73)*COS(-1*B27))</f>
        <v>43.346620739921988</v>
      </c>
      <c r="BC76">
        <v>1.2915436464758052</v>
      </c>
      <c r="BD76">
        <v>-43.192683447165798</v>
      </c>
      <c r="BE76">
        <v>47.819421332652055</v>
      </c>
      <c r="BF76" s="6">
        <f t="shared" si="79"/>
        <v>2.3054017043221293</v>
      </c>
      <c r="BG76" s="6">
        <f t="shared" si="80"/>
        <v>1.0138580578463241</v>
      </c>
      <c r="BH76" s="6">
        <f t="shared" si="81"/>
        <v>0.73652229677650194</v>
      </c>
      <c r="BI76" s="6">
        <f t="shared" si="82"/>
        <v>0.73652229677650194</v>
      </c>
      <c r="BJ76">
        <v>-66.450282226408916</v>
      </c>
      <c r="BK76">
        <v>73.568340511772391</v>
      </c>
      <c r="BV76" s="38"/>
      <c r="BW76" s="6">
        <f t="shared" si="27"/>
        <v>1.0646508437165421</v>
      </c>
      <c r="BX76" s="9">
        <f t="shared" ca="1" si="28"/>
        <v>39.271982626669484</v>
      </c>
      <c r="BY76" s="9">
        <f t="shared" ca="1" si="29"/>
        <v>14.873755622310991</v>
      </c>
      <c r="BZ76" s="9">
        <f t="shared" ca="1" si="30"/>
        <v>-26.800659255059927</v>
      </c>
      <c r="CA76" s="6">
        <f t="shared" ca="1" si="31"/>
        <v>36.897969582887463</v>
      </c>
      <c r="CB76" s="6">
        <f t="shared" ca="1" si="32"/>
        <v>2.1989856243875616</v>
      </c>
      <c r="CC76" s="6">
        <f t="shared" ca="1" si="33"/>
        <v>-0.19045844935875642</v>
      </c>
      <c r="CD76" s="9">
        <f t="shared" si="34"/>
        <v>-16.800659255059923</v>
      </c>
      <c r="CE76" s="9">
        <f t="shared" si="35"/>
        <v>35.897969582887463</v>
      </c>
      <c r="CF76" s="6">
        <f t="shared" si="36"/>
        <v>2.0085271750288052</v>
      </c>
      <c r="CG76" s="6"/>
      <c r="CH76" s="6"/>
      <c r="CI76" s="6"/>
      <c r="CJ76" s="1"/>
      <c r="CK76" s="6"/>
      <c r="CU76">
        <v>3.8668644940987691</v>
      </c>
      <c r="CV76">
        <v>3.8668644940987686</v>
      </c>
      <c r="CW76">
        <v>3.8668644940987686</v>
      </c>
      <c r="CX76">
        <v>-3.1415926535897931</v>
      </c>
      <c r="CY76">
        <v>3.1415926535897927</v>
      </c>
      <c r="CZ76">
        <v>3.1415926535897927</v>
      </c>
      <c r="DK76">
        <v>1.2556407979310045</v>
      </c>
      <c r="DL76">
        <v>-0.4852509865032486</v>
      </c>
      <c r="DM76">
        <v>1.2556407980310045</v>
      </c>
      <c r="DN76">
        <v>-0.48525098650719345</v>
      </c>
      <c r="DO76">
        <v>1.2556407978310045</v>
      </c>
      <c r="DP76">
        <v>-0.48525098649930398</v>
      </c>
      <c r="DQ76">
        <v>-3.9447334287956437E-2</v>
      </c>
      <c r="DR76">
        <v>1.5207749596308315</v>
      </c>
    </row>
    <row r="77" spans="1:122" x14ac:dyDescent="0.2">
      <c r="A77" s="8" t="s">
        <v>67</v>
      </c>
      <c r="B77" s="9">
        <f ca="1">P57+O72</f>
        <v>-1605.8952984420155</v>
      </c>
      <c r="C77" t="s">
        <v>69</v>
      </c>
      <c r="BC77">
        <v>1.3089969389957485</v>
      </c>
      <c r="BD77">
        <v>-45.126264988264452</v>
      </c>
      <c r="BE77">
        <v>48.905282655968556</v>
      </c>
      <c r="BF77" s="6">
        <f t="shared" si="79"/>
        <v>2.3160272784233387</v>
      </c>
      <c r="BG77" s="6">
        <f t="shared" si="80"/>
        <v>1.0070303394275901</v>
      </c>
      <c r="BH77" s="6">
        <f t="shared" si="81"/>
        <v>0.72589672267529259</v>
      </c>
      <c r="BI77" s="6">
        <f t="shared" si="82"/>
        <v>0.72589672267529259</v>
      </c>
      <c r="BJ77">
        <v>-69.425023058868391</v>
      </c>
      <c r="BK77">
        <v>75.238896393797773</v>
      </c>
      <c r="BV77" s="38"/>
      <c r="BW77" s="6">
        <f t="shared" si="27"/>
        <v>1.0821041362364854</v>
      </c>
      <c r="BX77" s="9">
        <f t="shared" ca="1" si="28"/>
        <v>38.439356387492275</v>
      </c>
      <c r="BY77" s="9">
        <f t="shared" ca="1" si="29"/>
        <v>15.543158848829908</v>
      </c>
      <c r="BZ77" s="9">
        <f t="shared" ca="1" si="30"/>
        <v>-27.633285494237136</v>
      </c>
      <c r="CA77" s="6">
        <f t="shared" ca="1" si="31"/>
        <v>37.567372809406379</v>
      </c>
      <c r="CB77" s="6">
        <f t="shared" ca="1" si="32"/>
        <v>2.2049955530071088</v>
      </c>
      <c r="CC77" s="6">
        <f t="shared" ca="1" si="33"/>
        <v>-0.18488169315787717</v>
      </c>
      <c r="CD77" s="9">
        <f t="shared" si="34"/>
        <v>-17.633285494237136</v>
      </c>
      <c r="CE77" s="9">
        <f t="shared" si="35"/>
        <v>36.567372809406379</v>
      </c>
      <c r="CF77" s="6">
        <f t="shared" si="36"/>
        <v>2.0201138598492316</v>
      </c>
      <c r="CG77" s="6"/>
      <c r="CH77" s="6"/>
      <c r="CI77" s="6"/>
      <c r="CJ77" s="1"/>
      <c r="CK77" s="6"/>
      <c r="CU77">
        <v>3.8668644940987691</v>
      </c>
      <c r="CV77">
        <v>3.8668644940987686</v>
      </c>
      <c r="CW77">
        <v>3.8668644940987686</v>
      </c>
      <c r="CX77">
        <v>-3.1415926535897931</v>
      </c>
      <c r="CY77">
        <v>3.1415926535897927</v>
      </c>
      <c r="CZ77">
        <v>3.1415926535897927</v>
      </c>
      <c r="DK77">
        <v>1.5207749596308315</v>
      </c>
      <c r="DL77">
        <v>-0.49482290663196316</v>
      </c>
      <c r="DM77">
        <v>1.5207749597308315</v>
      </c>
      <c r="DN77">
        <v>-0.49482290663520345</v>
      </c>
      <c r="DO77">
        <v>1.5207749595308315</v>
      </c>
      <c r="DP77">
        <v>-0.49482290662872336</v>
      </c>
      <c r="DQ77">
        <v>-3.2400471194904412E-2</v>
      </c>
      <c r="DR77">
        <v>-1.1849442562894832</v>
      </c>
    </row>
    <row r="78" spans="1:122" x14ac:dyDescent="0.2">
      <c r="BC78">
        <v>1.3264502315156919</v>
      </c>
      <c r="BD78">
        <v>-47.193256115173135</v>
      </c>
      <c r="BE78">
        <v>50.036650554978912</v>
      </c>
      <c r="BF78" s="6">
        <f t="shared" si="79"/>
        <v>2.3269587911859269</v>
      </c>
      <c r="BG78" s="6">
        <f t="shared" si="80"/>
        <v>1.000508559670235</v>
      </c>
      <c r="BH78" s="6">
        <f t="shared" si="81"/>
        <v>0.7149652099127044</v>
      </c>
      <c r="BI78" s="6">
        <f t="shared" si="82"/>
        <v>0.7149652099127044</v>
      </c>
      <c r="BJ78">
        <v>-72.605009407958661</v>
      </c>
      <c r="BK78">
        <v>76.979462392275252</v>
      </c>
      <c r="BV78" s="38"/>
      <c r="BW78" s="6">
        <f t="shared" si="27"/>
        <v>1.0995574287564287</v>
      </c>
      <c r="BX78" s="9">
        <f t="shared" ca="1" si="28"/>
        <v>37.552119024648334</v>
      </c>
      <c r="BY78" s="9">
        <f t="shared" ca="1" si="29"/>
        <v>16.236332124308515</v>
      </c>
      <c r="BZ78" s="9">
        <f t="shared" ca="1" si="30"/>
        <v>-28.520522857081076</v>
      </c>
      <c r="CA78" s="6">
        <f t="shared" ca="1" si="31"/>
        <v>38.260546084884986</v>
      </c>
      <c r="CB78" s="6">
        <f t="shared" ca="1" si="32"/>
        <v>2.2113656090202731</v>
      </c>
      <c r="CC78" s="6">
        <f t="shared" ca="1" si="33"/>
        <v>-0.17928083222498081</v>
      </c>
      <c r="CD78" s="9">
        <f t="shared" si="34"/>
        <v>-18.520522857081076</v>
      </c>
      <c r="CE78" s="9">
        <f t="shared" si="35"/>
        <v>37.260546084884986</v>
      </c>
      <c r="CF78" s="6">
        <f t="shared" si="36"/>
        <v>2.0320847767952923</v>
      </c>
      <c r="CG78" s="6"/>
      <c r="CH78" s="6"/>
      <c r="CI78" s="6"/>
      <c r="CJ78" s="1"/>
      <c r="CK78" s="6"/>
      <c r="DK78">
        <v>-1.1849442562894832</v>
      </c>
      <c r="DL78">
        <v>2.1435649753089887</v>
      </c>
      <c r="DM78">
        <v>-1.1849442561894832</v>
      </c>
      <c r="DN78">
        <v>2.1435649753061563</v>
      </c>
      <c r="DO78">
        <v>-1.1849442563894832</v>
      </c>
      <c r="DP78">
        <v>2.1435649753118193</v>
      </c>
      <c r="DQ78">
        <v>-2.8315128020039992E-2</v>
      </c>
      <c r="DR78">
        <v>-0.87929071498209344</v>
      </c>
    </row>
    <row r="79" spans="1:122" x14ac:dyDescent="0.2">
      <c r="A79" s="8" t="s">
        <v>64</v>
      </c>
      <c r="B79">
        <f ca="1">((B76*COS(-1*B27))+(B77*SIN(-1*B27)))</f>
        <v>-2064.3245181875918</v>
      </c>
      <c r="C79" t="s">
        <v>69</v>
      </c>
      <c r="BC79">
        <v>1.3439035240356352</v>
      </c>
      <c r="BD79">
        <v>-49.40415977119234</v>
      </c>
      <c r="BE79">
        <v>51.216836498873406</v>
      </c>
      <c r="BF79" s="6">
        <f t="shared" si="79"/>
        <v>2.3381815431950508</v>
      </c>
      <c r="BG79" s="6">
        <f t="shared" si="80"/>
        <v>0.9942780191594156</v>
      </c>
      <c r="BH79" s="6">
        <f t="shared" si="81"/>
        <v>0.70374245790358059</v>
      </c>
      <c r="BI79" s="6">
        <f t="shared" si="82"/>
        <v>0.70374245790358059</v>
      </c>
      <c r="BJ79">
        <v>-76.006399647988218</v>
      </c>
      <c r="BK79">
        <v>78.795133075189852</v>
      </c>
      <c r="BV79" s="38"/>
      <c r="BW79" s="6">
        <f t="shared" si="27"/>
        <v>1.117010721276372</v>
      </c>
      <c r="BX79" s="9">
        <f t="shared" ca="1" si="28"/>
        <v>36.606465748322407</v>
      </c>
      <c r="BY79" s="9">
        <f t="shared" ca="1" si="29"/>
        <v>16.954400603744997</v>
      </c>
      <c r="BZ79" s="9">
        <f t="shared" ca="1" si="30"/>
        <v>-29.466176133407004</v>
      </c>
      <c r="CA79" s="6">
        <f t="shared" ca="1" si="31"/>
        <v>38.978614564321468</v>
      </c>
      <c r="CB79" s="6">
        <f t="shared" ca="1" si="32"/>
        <v>2.2180993471359503</v>
      </c>
      <c r="CC79" s="6">
        <f t="shared" ca="1" si="33"/>
        <v>-0.1736609456891389</v>
      </c>
      <c r="CD79" s="9">
        <f t="shared" si="34"/>
        <v>-19.466176133407004</v>
      </c>
      <c r="CE79" s="9">
        <f t="shared" si="35"/>
        <v>37.978614564321468</v>
      </c>
      <c r="CF79" s="6">
        <f t="shared" si="36"/>
        <v>2.0444384014468113</v>
      </c>
      <c r="CG79" s="6"/>
      <c r="CH79" s="6"/>
      <c r="CI79" s="6"/>
      <c r="CJ79" s="1"/>
      <c r="CK79" s="6"/>
      <c r="DK79">
        <v>-0.87929071498209344</v>
      </c>
      <c r="DL79">
        <v>2.1325591100565742</v>
      </c>
      <c r="DM79">
        <v>-0.87929071488209343</v>
      </c>
      <c r="DN79">
        <v>2.1325591100521111</v>
      </c>
      <c r="DO79">
        <v>-0.87929071508209344</v>
      </c>
      <c r="DP79">
        <v>2.132559110061039</v>
      </c>
      <c r="DQ79">
        <v>-4.4639847374128294E-2</v>
      </c>
      <c r="DR79">
        <v>2.9109569686065253</v>
      </c>
    </row>
    <row r="80" spans="1:122" x14ac:dyDescent="0.2">
      <c r="A80" s="8" t="s">
        <v>65</v>
      </c>
      <c r="B80">
        <f ca="1">(-1*(B76)*SIN(-1*B27))+((B77)*COS(-1*B27))</f>
        <v>316.1065300252825</v>
      </c>
      <c r="C80" t="s">
        <v>69</v>
      </c>
      <c r="BC80">
        <v>1.3613568165555785</v>
      </c>
      <c r="BD80">
        <v>-51.770468976995694</v>
      </c>
      <c r="BE80">
        <v>52.449462763549775</v>
      </c>
      <c r="BF80" s="6">
        <f t="shared" si="79"/>
        <v>2.3496795734316875</v>
      </c>
      <c r="BG80" s="6">
        <f t="shared" si="80"/>
        <v>0.98832275687610904</v>
      </c>
      <c r="BH80" s="6">
        <f t="shared" si="81"/>
        <v>0.69224442766694372</v>
      </c>
      <c r="BI80" s="6">
        <f t="shared" si="82"/>
        <v>0.69224442766694372</v>
      </c>
      <c r="BJ80">
        <v>-79.646875349224146</v>
      </c>
      <c r="BK80">
        <v>80.691481174691958</v>
      </c>
      <c r="BV80" s="38"/>
      <c r="BW80" s="6">
        <f t="shared" ref="BW80:BW143" si="83">BC67</f>
        <v>1.1344640137963153</v>
      </c>
      <c r="BX80" s="9">
        <f t="shared" ref="BX80:BX143" ca="1" si="84">BD67-$BW$5</f>
        <v>35.598327575471444</v>
      </c>
      <c r="BY80" s="9">
        <f t="shared" ref="BY80:BY143" ca="1" si="85">BE67-$BX$5</f>
        <v>17.698539383189637</v>
      </c>
      <c r="BZ80" s="9">
        <f t="shared" ref="BZ80:BZ143" ca="1" si="86">BX80-$CE$5</f>
        <v>-30.474314306257966</v>
      </c>
      <c r="CA80" s="6">
        <f t="shared" ref="CA80:CA143" ca="1" si="87">BY80-$CF$5</f>
        <v>39.722753343766108</v>
      </c>
      <c r="CB80" s="6">
        <f t="shared" ref="CB80:CB143" ca="1" si="88">ATAN2(BZ80,CA80)</f>
        <v>2.2251993010650346</v>
      </c>
      <c r="CC80" s="6">
        <f t="shared" ref="CC80:CC143" ca="1" si="89">ATAN2(COS(CF80-CB80),SIN(CF80-CB80))</f>
        <v>-0.16802766851011874</v>
      </c>
      <c r="CD80" s="9">
        <f t="shared" ref="CD80:CD143" si="90">BD67-$BW$6</f>
        <v>-20.47431430625797</v>
      </c>
      <c r="CE80" s="9">
        <f t="shared" ref="CE80:CE143" si="91">BE67-$BX$6</f>
        <v>38.722753343766108</v>
      </c>
      <c r="CF80" s="6">
        <f t="shared" ref="CF80:CF143" si="92">ATAN2(CD80,CE80)</f>
        <v>2.0571716325549159</v>
      </c>
      <c r="CG80" s="6"/>
      <c r="CH80" s="6"/>
      <c r="CI80" s="6"/>
      <c r="CJ80" s="1"/>
      <c r="CK80" s="6"/>
      <c r="DK80">
        <v>2.9109569686065253</v>
      </c>
      <c r="DL80">
        <v>-2.2341549053070104</v>
      </c>
    </row>
    <row r="81" spans="1:89" x14ac:dyDescent="0.2">
      <c r="BC81">
        <v>1.3788101090755218</v>
      </c>
      <c r="BD81">
        <v>-54.30473293871794</v>
      </c>
      <c r="BE81">
        <v>53.738456041399473</v>
      </c>
      <c r="BF81" s="6">
        <f t="shared" si="79"/>
        <v>2.3614356508567966</v>
      </c>
      <c r="BG81" s="6">
        <f t="shared" si="80"/>
        <v>0.98262554178127481</v>
      </c>
      <c r="BH81" s="6">
        <f t="shared" si="81"/>
        <v>0.68048835024183474</v>
      </c>
      <c r="BI81" s="6">
        <f t="shared" si="82"/>
        <v>0.68048835024183474</v>
      </c>
      <c r="BJ81">
        <v>-83.545742982642977</v>
      </c>
      <c r="BK81">
        <v>82.674547755999185</v>
      </c>
      <c r="BV81" s="38"/>
      <c r="BW81" s="6">
        <f t="shared" si="83"/>
        <v>1.1519173063162587</v>
      </c>
      <c r="BX81" s="9">
        <f t="shared" ca="1" si="84"/>
        <v>34.523350243921612</v>
      </c>
      <c r="BY81" s="9">
        <f t="shared" ca="1" si="85"/>
        <v>18.469977150643654</v>
      </c>
      <c r="BZ81" s="9">
        <f t="shared" ca="1" si="86"/>
        <v>-31.549291637807798</v>
      </c>
      <c r="CA81" s="6">
        <f t="shared" ca="1" si="87"/>
        <v>40.494191111220125</v>
      </c>
      <c r="CB81" s="6">
        <f t="shared" ca="1" si="88"/>
        <v>2.2326669223337192</v>
      </c>
      <c r="CC81" s="6">
        <f t="shared" ca="1" si="89"/>
        <v>-0.16238717527087143</v>
      </c>
      <c r="CD81" s="9">
        <f t="shared" si="90"/>
        <v>-21.549291637807801</v>
      </c>
      <c r="CE81" s="9">
        <f t="shared" si="91"/>
        <v>39.494191111220125</v>
      </c>
      <c r="CF81" s="6">
        <f t="shared" si="92"/>
        <v>2.0702797470628478</v>
      </c>
      <c r="CG81" s="6"/>
      <c r="CH81" s="6"/>
      <c r="CI81" s="6"/>
      <c r="CJ81" s="1"/>
      <c r="CK81" s="6"/>
    </row>
    <row r="82" spans="1:89" x14ac:dyDescent="0.2">
      <c r="B82">
        <f>ATAN2(1,0)</f>
        <v>0</v>
      </c>
      <c r="BC82">
        <v>1.3962634015954651</v>
      </c>
      <c r="BD82">
        <v>-56.87353960639156</v>
      </c>
      <c r="BE82">
        <v>54.881064702744929</v>
      </c>
      <c r="BF82" s="6">
        <f t="shared" si="79"/>
        <v>2.3740216198898643</v>
      </c>
      <c r="BG82" s="6">
        <f t="shared" si="80"/>
        <v>0.97775821829439913</v>
      </c>
      <c r="BH82" s="6">
        <f t="shared" si="81"/>
        <v>0.66790238120876699</v>
      </c>
      <c r="BI82" s="6">
        <f t="shared" si="82"/>
        <v>0.66790238120876699</v>
      </c>
      <c r="BJ82">
        <v>-87.497753240602393</v>
      </c>
      <c r="BK82">
        <v>84.432407234992198</v>
      </c>
      <c r="BV82" s="38"/>
      <c r="BW82" s="6">
        <f t="shared" si="83"/>
        <v>1.169370598836202</v>
      </c>
      <c r="BX82" s="9">
        <f t="shared" ca="1" si="84"/>
        <v>33.376871495990798</v>
      </c>
      <c r="BY82" s="9">
        <f t="shared" ca="1" si="85"/>
        <v>19.270000759421972</v>
      </c>
      <c r="BZ82" s="9">
        <f t="shared" ca="1" si="86"/>
        <v>-32.695770385738612</v>
      </c>
      <c r="CA82" s="6">
        <f t="shared" ca="1" si="87"/>
        <v>41.294214719998443</v>
      </c>
      <c r="CB82" s="6">
        <f t="shared" ca="1" si="88"/>
        <v>2.2405025123581743</v>
      </c>
      <c r="CC82" s="6">
        <f t="shared" ca="1" si="89"/>
        <v>-0.15674615856667407</v>
      </c>
      <c r="CD82" s="9">
        <f t="shared" si="90"/>
        <v>-22.695770385738612</v>
      </c>
      <c r="CE82" s="9">
        <f t="shared" si="91"/>
        <v>40.294214719998443</v>
      </c>
      <c r="CF82" s="6">
        <f t="shared" si="92"/>
        <v>2.0837563537915003</v>
      </c>
      <c r="CG82" s="6"/>
      <c r="CH82" s="6"/>
      <c r="CI82" s="6"/>
      <c r="CJ82" s="1"/>
      <c r="CK82" s="6"/>
    </row>
    <row r="83" spans="1:89" x14ac:dyDescent="0.2">
      <c r="A83" t="s">
        <v>74</v>
      </c>
      <c r="B83">
        <f ca="1">ATAN2(B79,B80)</f>
        <v>2.9896446445501756</v>
      </c>
      <c r="BC83">
        <v>1.4137166941154085</v>
      </c>
      <c r="BD83">
        <v>-59.481322214930131</v>
      </c>
      <c r="BE83">
        <v>55.920671628525149</v>
      </c>
      <c r="BF83" s="6">
        <f t="shared" si="79"/>
        <v>2.3870390294617989</v>
      </c>
      <c r="BG83" s="6">
        <f t="shared" si="80"/>
        <v>0.97332233534639045</v>
      </c>
      <c r="BH83" s="6">
        <f t="shared" si="81"/>
        <v>0.65488497163683235</v>
      </c>
      <c r="BI83" s="6">
        <f t="shared" si="82"/>
        <v>0.65488497163683235</v>
      </c>
      <c r="BJ83">
        <v>-91.509726484507894</v>
      </c>
      <c r="BK83">
        <v>86.0318025054233</v>
      </c>
      <c r="BV83" s="38"/>
      <c r="BW83" s="6">
        <f t="shared" si="83"/>
        <v>1.1868238913561453</v>
      </c>
      <c r="BX83" s="9">
        <f t="shared" ca="1" si="84"/>
        <v>32.15389628156192</v>
      </c>
      <c r="BY83" s="9">
        <f t="shared" ca="1" si="85"/>
        <v>20.099961232490418</v>
      </c>
      <c r="BZ83" s="9">
        <f t="shared" ca="1" si="86"/>
        <v>-33.91874560016749</v>
      </c>
      <c r="CA83" s="6">
        <f t="shared" ca="1" si="87"/>
        <v>42.12417519306689</v>
      </c>
      <c r="CB83" s="6">
        <f t="shared" ca="1" si="88"/>
        <v>2.2487051485421006</v>
      </c>
      <c r="CC83" s="6">
        <f t="shared" ca="1" si="89"/>
        <v>-0.15111180024404014</v>
      </c>
      <c r="CD83" s="9">
        <f t="shared" si="90"/>
        <v>-23.91874560016749</v>
      </c>
      <c r="CE83" s="9">
        <f t="shared" si="91"/>
        <v>41.12417519306689</v>
      </c>
      <c r="CF83" s="6">
        <f t="shared" si="92"/>
        <v>2.0975933482980604</v>
      </c>
      <c r="CG83" s="6"/>
      <c r="CH83" s="6"/>
      <c r="CI83" s="6"/>
      <c r="CJ83" s="1"/>
      <c r="CK83" s="6"/>
    </row>
    <row r="84" spans="1:89" x14ac:dyDescent="0.2">
      <c r="BC84">
        <v>1.4311699866353518</v>
      </c>
      <c r="BD84">
        <v>-61.950960151717283</v>
      </c>
      <c r="BE84">
        <v>56.709560501847712</v>
      </c>
      <c r="BF84" s="6">
        <f t="shared" si="79"/>
        <v>2.4003371819206145</v>
      </c>
      <c r="BG84" s="6">
        <f t="shared" si="80"/>
        <v>0.96916719528526274</v>
      </c>
      <c r="BH84" s="6">
        <f t="shared" si="81"/>
        <v>0.64158681917801674</v>
      </c>
      <c r="BI84" s="6">
        <f t="shared" si="82"/>
        <v>0.64158681917801674</v>
      </c>
      <c r="BJ84">
        <v>-95.309169464180428</v>
      </c>
      <c r="BK84">
        <v>87.245477695150328</v>
      </c>
      <c r="BV84" s="38"/>
      <c r="BW84" s="6">
        <f t="shared" si="83"/>
        <v>1.2042771838760886</v>
      </c>
      <c r="BX84" s="9">
        <f t="shared" ca="1" si="84"/>
        <v>30.849069320086059</v>
      </c>
      <c r="BY84" s="9">
        <f t="shared" ca="1" si="85"/>
        <v>20.961282013400446</v>
      </c>
      <c r="BZ84" s="9">
        <f t="shared" ca="1" si="86"/>
        <v>-35.223572561643351</v>
      </c>
      <c r="CA84" s="6">
        <f t="shared" ca="1" si="87"/>
        <v>42.985495973976917</v>
      </c>
      <c r="CB84" s="6">
        <f t="shared" ca="1" si="88"/>
        <v>2.2572726027255614</v>
      </c>
      <c r="CC84" s="6">
        <f t="shared" ca="1" si="89"/>
        <v>-0.14549173403694216</v>
      </c>
      <c r="CD84" s="9">
        <f t="shared" si="90"/>
        <v>-25.223572561643351</v>
      </c>
      <c r="CE84" s="9">
        <f t="shared" si="91"/>
        <v>41.985495973976917</v>
      </c>
      <c r="CF84" s="6">
        <f t="shared" si="92"/>
        <v>2.1117808686886193</v>
      </c>
      <c r="CG84" s="6"/>
      <c r="CH84" s="6"/>
      <c r="CI84" s="6"/>
      <c r="CJ84" s="1"/>
      <c r="CK84" s="6"/>
    </row>
    <row r="85" spans="1:89" x14ac:dyDescent="0.2">
      <c r="BC85">
        <v>1.4486232791552951</v>
      </c>
      <c r="BD85">
        <v>-64.56560560870399</v>
      </c>
      <c r="BE85">
        <v>57.520360888915548</v>
      </c>
      <c r="BF85" s="6">
        <f t="shared" si="79"/>
        <v>2.4138378049228533</v>
      </c>
      <c r="BG85" s="6">
        <f t="shared" si="80"/>
        <v>0.96521452576755817</v>
      </c>
      <c r="BH85" s="6">
        <f t="shared" si="81"/>
        <v>0.62808619617577799</v>
      </c>
      <c r="BI85" s="6">
        <f t="shared" si="82"/>
        <v>0.62808619617577799</v>
      </c>
      <c r="BJ85">
        <v>-99.331700936467669</v>
      </c>
      <c r="BK85">
        <v>88.492862906023916</v>
      </c>
      <c r="BV85" s="38"/>
      <c r="BW85" s="6">
        <f t="shared" si="83"/>
        <v>1.2217304763960319</v>
      </c>
      <c r="BX85" s="9">
        <f t="shared" ca="1" si="84"/>
        <v>29.456643829844168</v>
      </c>
      <c r="BY85" s="9">
        <f t="shared" ca="1" si="85"/>
        <v>21.855470637915428</v>
      </c>
      <c r="BZ85" s="9">
        <f t="shared" ca="1" si="86"/>
        <v>-36.615998051885242</v>
      </c>
      <c r="CA85" s="6">
        <f t="shared" ca="1" si="87"/>
        <v>43.879684598491899</v>
      </c>
      <c r="CB85" s="6">
        <f t="shared" ca="1" si="88"/>
        <v>2.2662012544452268</v>
      </c>
      <c r="CC85" s="6">
        <f t="shared" ca="1" si="89"/>
        <v>-0.13989399701027458</v>
      </c>
      <c r="CD85" s="9">
        <f t="shared" si="90"/>
        <v>-26.615998051885242</v>
      </c>
      <c r="CE85" s="9">
        <f t="shared" si="91"/>
        <v>42.879684598491899</v>
      </c>
      <c r="CF85" s="6">
        <f t="shared" si="92"/>
        <v>2.1263072574349522</v>
      </c>
      <c r="CG85" s="6"/>
      <c r="CH85" s="6"/>
      <c r="CI85" s="6"/>
      <c r="CJ85" s="1"/>
      <c r="CK85" s="6"/>
    </row>
    <row r="86" spans="1:89" x14ac:dyDescent="0.2">
      <c r="BC86">
        <v>1.4660765716752384</v>
      </c>
      <c r="BD86">
        <v>-67.334637071607645</v>
      </c>
      <c r="BE86">
        <v>58.35468276234888</v>
      </c>
      <c r="BF86" s="6">
        <f t="shared" si="79"/>
        <v>2.4275189401516544</v>
      </c>
      <c r="BG86" s="6">
        <f t="shared" si="80"/>
        <v>0.96144236847641595</v>
      </c>
      <c r="BH86" s="6">
        <f t="shared" si="81"/>
        <v>0.61440506094697689</v>
      </c>
      <c r="BI86" s="6">
        <f t="shared" si="82"/>
        <v>0.61440506094697689</v>
      </c>
      <c r="BJ86">
        <v>-103.59174934093484</v>
      </c>
      <c r="BK86">
        <v>89.776435018998271</v>
      </c>
      <c r="BV86" s="38"/>
      <c r="BW86" s="6">
        <f t="shared" si="83"/>
        <v>1.2391837689159753</v>
      </c>
      <c r="BX86" s="9">
        <f t="shared" ca="1" si="84"/>
        <v>27.970444592083169</v>
      </c>
      <c r="BY86" s="9">
        <f t="shared" ca="1" si="85"/>
        <v>22.784135650639261</v>
      </c>
      <c r="BZ86" s="9">
        <f t="shared" ca="1" si="86"/>
        <v>-38.102197289646242</v>
      </c>
      <c r="CA86" s="6">
        <f t="shared" ca="1" si="87"/>
        <v>44.808349611215732</v>
      </c>
      <c r="CB86" s="6">
        <f t="shared" ca="1" si="88"/>
        <v>2.2754860005638049</v>
      </c>
      <c r="CC86" s="6">
        <f t="shared" ca="1" si="89"/>
        <v>-0.13432696700543456</v>
      </c>
      <c r="CD86" s="9">
        <f t="shared" si="90"/>
        <v>-28.102197289646242</v>
      </c>
      <c r="CE86" s="9">
        <f t="shared" si="91"/>
        <v>43.808349611215732</v>
      </c>
      <c r="CF86" s="6">
        <f t="shared" si="92"/>
        <v>2.1411590335583703</v>
      </c>
      <c r="CG86" s="6"/>
      <c r="CH86" s="6"/>
      <c r="CI86" s="6"/>
      <c r="CJ86" s="1"/>
      <c r="CK86" s="6"/>
    </row>
    <row r="87" spans="1:89" x14ac:dyDescent="0.2">
      <c r="A87" t="s">
        <v>119</v>
      </c>
      <c r="BC87">
        <v>1.4835298641951817</v>
      </c>
      <c r="BD87">
        <v>-70.268056922951857</v>
      </c>
      <c r="BE87">
        <v>59.214280206207022</v>
      </c>
      <c r="BF87" s="6">
        <f t="shared" si="79"/>
        <v>2.4413569993237951</v>
      </c>
      <c r="BG87" s="6">
        <f t="shared" si="80"/>
        <v>0.95782713512861339</v>
      </c>
      <c r="BH87" s="6">
        <f t="shared" si="81"/>
        <v>0.60056700177483613</v>
      </c>
      <c r="BI87" s="6">
        <f t="shared" si="82"/>
        <v>0.60056700177483613</v>
      </c>
      <c r="BJ87">
        <v>-108.10470295838746</v>
      </c>
      <c r="BK87">
        <v>91.098892624933882</v>
      </c>
      <c r="BV87" s="38"/>
      <c r="BW87" s="6">
        <f t="shared" si="83"/>
        <v>1.2566370614359186</v>
      </c>
      <c r="BX87" s="9">
        <f t="shared" ca="1" si="84"/>
        <v>26.383822267738189</v>
      </c>
      <c r="BY87" s="9">
        <f t="shared" ca="1" si="85"/>
        <v>23.749011575250112</v>
      </c>
      <c r="BZ87" s="9">
        <f t="shared" ca="1" si="86"/>
        <v>-39.688819613991221</v>
      </c>
      <c r="CA87" s="6">
        <f t="shared" ca="1" si="87"/>
        <v>45.773225535826583</v>
      </c>
      <c r="CB87" s="6">
        <f t="shared" ca="1" si="88"/>
        <v>2.2851201645952477</v>
      </c>
      <c r="CC87" s="6">
        <f t="shared" ca="1" si="89"/>
        <v>-0.12879928225829751</v>
      </c>
      <c r="CD87" s="9">
        <f t="shared" si="90"/>
        <v>-29.688819613991221</v>
      </c>
      <c r="CE87" s="9">
        <f t="shared" si="91"/>
        <v>44.773225535826583</v>
      </c>
      <c r="CF87" s="6">
        <f t="shared" si="92"/>
        <v>2.1563208823369502</v>
      </c>
      <c r="CG87" s="6"/>
      <c r="CH87" s="6"/>
      <c r="CI87" s="6"/>
      <c r="CJ87" s="1"/>
      <c r="CK87" s="6"/>
    </row>
    <row r="88" spans="1:89" x14ac:dyDescent="0.2">
      <c r="A88" t="s">
        <v>120</v>
      </c>
      <c r="BC88">
        <v>1.5009831567151251</v>
      </c>
      <c r="BD88">
        <v>-73.376498766370233</v>
      </c>
      <c r="BE88">
        <v>60.101048874496307</v>
      </c>
      <c r="BF88" s="6">
        <f t="shared" si="79"/>
        <v>2.4553267767060181</v>
      </c>
      <c r="BG88" s="6">
        <f t="shared" si="80"/>
        <v>0.95434361999089301</v>
      </c>
      <c r="BH88" s="6">
        <f t="shared" si="81"/>
        <v>0.58659722439261319</v>
      </c>
      <c r="BI88" s="6">
        <f t="shared" si="82"/>
        <v>0.58659722439261319</v>
      </c>
      <c r="BJ88">
        <v>-112.88692117903112</v>
      </c>
      <c r="BK88">
        <v>92.463152114609699</v>
      </c>
      <c r="BV88" s="38"/>
      <c r="BW88" s="6">
        <f t="shared" si="83"/>
        <v>1.2740903539558619</v>
      </c>
      <c r="BX88" s="9">
        <f t="shared" ca="1" si="84"/>
        <v>24.689593623647724</v>
      </c>
      <c r="BY88" s="9">
        <f t="shared" ca="1" si="85"/>
        <v>24.751996262486717</v>
      </c>
      <c r="BZ88" s="9">
        <f t="shared" ca="1" si="86"/>
        <v>-41.383048258081686</v>
      </c>
      <c r="CA88" s="6">
        <f t="shared" ca="1" si="87"/>
        <v>46.776210223063188</v>
      </c>
      <c r="CB88" s="6">
        <f t="shared" ca="1" si="88"/>
        <v>2.29509541425573</v>
      </c>
      <c r="CC88" s="6">
        <f t="shared" ca="1" si="89"/>
        <v>-0.12331973733069024</v>
      </c>
      <c r="CD88" s="9">
        <f t="shared" si="90"/>
        <v>-31.383048258081686</v>
      </c>
      <c r="CE88" s="9">
        <f t="shared" si="91"/>
        <v>45.776210223063188</v>
      </c>
      <c r="CF88" s="6">
        <f t="shared" si="92"/>
        <v>2.1717756769250398</v>
      </c>
      <c r="CG88" s="6"/>
      <c r="CH88" s="6"/>
      <c r="CI88" s="6"/>
      <c r="CJ88" s="1"/>
      <c r="CK88" s="6"/>
    </row>
    <row r="89" spans="1:89" x14ac:dyDescent="0.2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-76.671250624471938</v>
      </c>
      <c r="BE89">
        <v>61.017043358769854</v>
      </c>
      <c r="BF89" s="6">
        <f t="shared" si="79"/>
        <v>2.4694014722130242</v>
      </c>
      <c r="BG89" s="6">
        <f t="shared" si="80"/>
        <v>0.95096502297795582</v>
      </c>
      <c r="BH89" s="6">
        <f t="shared" si="81"/>
        <v>0.57252252888560706</v>
      </c>
      <c r="BI89" s="6">
        <f t="shared" si="82"/>
        <v>0.57252252888560706</v>
      </c>
      <c r="BJ89">
        <v>-117.95577019149529</v>
      </c>
      <c r="BK89">
        <v>93.872374398107468</v>
      </c>
      <c r="BV89" s="38"/>
      <c r="BW89" s="6">
        <f t="shared" si="83"/>
        <v>1.2915436464758052</v>
      </c>
      <c r="BX89" s="9">
        <f t="shared" ca="1" si="84"/>
        <v>22.879958434563612</v>
      </c>
      <c r="BY89" s="9">
        <f t="shared" ca="1" si="85"/>
        <v>25.795207372075584</v>
      </c>
      <c r="BZ89" s="9">
        <f t="shared" ca="1" si="86"/>
        <v>-43.192683447165798</v>
      </c>
      <c r="CA89" s="6">
        <f t="shared" ca="1" si="87"/>
        <v>47.819421332652055</v>
      </c>
      <c r="CB89" s="6">
        <f t="shared" ca="1" si="88"/>
        <v>2.3054017043221293</v>
      </c>
      <c r="CC89" s="6">
        <f t="shared" ca="1" si="89"/>
        <v>-0.11789714629016679</v>
      </c>
      <c r="CD89" s="9">
        <f t="shared" si="90"/>
        <v>-33.192683447165798</v>
      </c>
      <c r="CE89" s="9">
        <f t="shared" si="91"/>
        <v>46.819421332652055</v>
      </c>
      <c r="CF89" s="6">
        <f t="shared" si="92"/>
        <v>2.1875045580319625</v>
      </c>
      <c r="CG89" s="6"/>
      <c r="CH89" s="6"/>
      <c r="CI89" s="6"/>
      <c r="CJ89" s="1"/>
      <c r="CK89" s="6"/>
    </row>
    <row r="90" spans="1:89" x14ac:dyDescent="0.2">
      <c r="A90" s="6">
        <f t="shared" ref="A90:A98" si="93">E3-$I$2</f>
        <v>-6</v>
      </c>
      <c r="B90" s="1">
        <f t="shared" ref="B90:B98" si="94">F3-$I$3</f>
        <v>-12</v>
      </c>
      <c r="C90" s="1"/>
      <c r="BC90">
        <v>1.5358897417550117</v>
      </c>
      <c r="BD90">
        <v>-80.164274652084174</v>
      </c>
      <c r="BE90">
        <v>61.964496944815743</v>
      </c>
      <c r="BF90" s="6">
        <f t="shared" si="79"/>
        <v>2.4835527306546981</v>
      </c>
      <c r="BG90" s="6">
        <f t="shared" si="80"/>
        <v>0.94766298889968636</v>
      </c>
      <c r="BH90" s="6">
        <f t="shared" si="81"/>
        <v>0.55837127044393331</v>
      </c>
      <c r="BI90" s="6">
        <f t="shared" si="82"/>
        <v>0.55837127044393331</v>
      </c>
      <c r="BJ90">
        <v>-123.32965331089872</v>
      </c>
      <c r="BK90">
        <v>95.329995299716529</v>
      </c>
      <c r="BV90" s="38"/>
      <c r="BW90" s="6">
        <f t="shared" si="83"/>
        <v>1.3089969389957485</v>
      </c>
      <c r="BX90" s="9">
        <f t="shared" ca="1" si="84"/>
        <v>20.946376893464958</v>
      </c>
      <c r="BY90" s="9">
        <f t="shared" ca="1" si="85"/>
        <v>26.881068695392084</v>
      </c>
      <c r="BZ90" s="9">
        <f t="shared" ca="1" si="86"/>
        <v>-45.126264988264452</v>
      </c>
      <c r="CA90" s="6">
        <f t="shared" ca="1" si="87"/>
        <v>48.905282655968556</v>
      </c>
      <c r="CB90" s="6">
        <f t="shared" ca="1" si="88"/>
        <v>2.3160272784233387</v>
      </c>
      <c r="CC90" s="6">
        <f t="shared" ca="1" si="89"/>
        <v>-0.11254015847238998</v>
      </c>
      <c r="CD90" s="9">
        <f t="shared" si="90"/>
        <v>-35.126264988264452</v>
      </c>
      <c r="CE90" s="9">
        <f t="shared" si="91"/>
        <v>47.905282655968556</v>
      </c>
      <c r="CF90" s="6">
        <f t="shared" si="92"/>
        <v>2.2034871199509487</v>
      </c>
      <c r="CG90" s="6"/>
      <c r="CH90" s="6"/>
      <c r="CI90" s="6"/>
      <c r="CJ90" s="1"/>
      <c r="CK90" s="6"/>
    </row>
    <row r="91" spans="1:89" x14ac:dyDescent="0.2">
      <c r="A91" s="6">
        <f t="shared" si="93"/>
        <v>6</v>
      </c>
      <c r="B91" s="1">
        <f t="shared" si="94"/>
        <v>-12</v>
      </c>
      <c r="C91" s="1">
        <f t="shared" ref="C91:C98" si="95">((A90*B91)-(A91*B90))*0.5</f>
        <v>72</v>
      </c>
      <c r="D91" s="6">
        <f t="shared" ref="D91:D98" si="96">(A91+A90)*((A90*B91)-(A91*B90))*(1/6)</f>
        <v>0</v>
      </c>
      <c r="E91" s="6">
        <f t="shared" ref="E91:E98" si="97">(B91+B90)*((A90*B91)-(A91*B90))*(1/6)</f>
        <v>-576</v>
      </c>
      <c r="BC91">
        <v>1.553343034274955</v>
      </c>
      <c r="BD91">
        <v>-83.182123370318621</v>
      </c>
      <c r="BE91">
        <v>62.487194825373898</v>
      </c>
      <c r="BF91" s="6">
        <f t="shared" si="79"/>
        <v>2.4973179638934493</v>
      </c>
      <c r="BG91" s="6">
        <f t="shared" si="80"/>
        <v>0.94397492961849427</v>
      </c>
      <c r="BH91" s="6">
        <f t="shared" si="81"/>
        <v>0.54460603720518197</v>
      </c>
      <c r="BI91" s="6">
        <f t="shared" si="82"/>
        <v>0.54460603720518197</v>
      </c>
      <c r="BJ91">
        <v>-127.97249749279787</v>
      </c>
      <c r="BK91">
        <v>96.134145885190605</v>
      </c>
      <c r="BV91" s="38"/>
      <c r="BW91" s="6">
        <f t="shared" si="83"/>
        <v>1.3264502315156919</v>
      </c>
      <c r="BX91" s="9">
        <f t="shared" ca="1" si="84"/>
        <v>18.879385766556275</v>
      </c>
      <c r="BY91" s="9">
        <f t="shared" ca="1" si="85"/>
        <v>28.012436594402441</v>
      </c>
      <c r="BZ91" s="9">
        <f t="shared" ca="1" si="86"/>
        <v>-47.193256115173135</v>
      </c>
      <c r="CA91" s="6">
        <f t="shared" ca="1" si="87"/>
        <v>50.036650554978912</v>
      </c>
      <c r="CB91" s="6">
        <f t="shared" ca="1" si="88"/>
        <v>2.3269587911859269</v>
      </c>
      <c r="CC91" s="6">
        <f t="shared" ca="1" si="89"/>
        <v>-0.1072570199159113</v>
      </c>
      <c r="CD91" s="9">
        <f t="shared" si="90"/>
        <v>-37.193256115173135</v>
      </c>
      <c r="CE91" s="9">
        <f t="shared" si="91"/>
        <v>49.036650554978912</v>
      </c>
      <c r="CF91" s="6">
        <f t="shared" si="92"/>
        <v>2.2197017712700156</v>
      </c>
      <c r="CG91" s="6"/>
      <c r="CH91" s="6"/>
      <c r="CI91" s="6"/>
      <c r="CJ91" s="1"/>
      <c r="CK91" s="6"/>
    </row>
    <row r="92" spans="1:89" x14ac:dyDescent="0.2">
      <c r="A92" s="6">
        <f t="shared" si="93"/>
        <v>6</v>
      </c>
      <c r="B92" s="1">
        <f t="shared" si="94"/>
        <v>4</v>
      </c>
      <c r="C92" s="1">
        <f t="shared" si="95"/>
        <v>48</v>
      </c>
      <c r="D92" s="6">
        <f t="shared" si="96"/>
        <v>192</v>
      </c>
      <c r="E92" s="6">
        <f t="shared" si="97"/>
        <v>-128</v>
      </c>
      <c r="BC92">
        <v>1.5707963267948983</v>
      </c>
      <c r="BD92">
        <v>-85.882875000000254</v>
      </c>
      <c r="BE92">
        <v>62.732442067683806</v>
      </c>
      <c r="BF92" s="6">
        <f t="shared" si="79"/>
        <v>2.5107267431216123</v>
      </c>
      <c r="BG92" s="6">
        <f t="shared" si="80"/>
        <v>0.93993041632671392</v>
      </c>
      <c r="BH92" s="6">
        <f t="shared" si="81"/>
        <v>0.531197257977019</v>
      </c>
      <c r="BI92" s="6">
        <f t="shared" si="82"/>
        <v>0.531197257977019</v>
      </c>
      <c r="BJ92">
        <v>-132.1275000000004</v>
      </c>
      <c r="BK92">
        <v>96.51144933489816</v>
      </c>
      <c r="BV92" s="38"/>
      <c r="BW92" s="6">
        <f t="shared" si="83"/>
        <v>1.3439035240356352</v>
      </c>
      <c r="BX92" s="9">
        <f t="shared" ca="1" si="84"/>
        <v>16.66848211053707</v>
      </c>
      <c r="BY92" s="9">
        <f t="shared" ca="1" si="85"/>
        <v>29.192622538296934</v>
      </c>
      <c r="BZ92" s="9">
        <f t="shared" ca="1" si="86"/>
        <v>-49.40415977119234</v>
      </c>
      <c r="CA92" s="6">
        <f t="shared" ca="1" si="87"/>
        <v>51.216836498873406</v>
      </c>
      <c r="CB92" s="6">
        <f t="shared" ca="1" si="88"/>
        <v>2.3381815431950508</v>
      </c>
      <c r="CC92" s="6">
        <f t="shared" ca="1" si="89"/>
        <v>-0.10205564153375103</v>
      </c>
      <c r="CD92" s="9">
        <f t="shared" si="90"/>
        <v>-39.40415977119234</v>
      </c>
      <c r="CE92" s="9">
        <f t="shared" si="91"/>
        <v>50.216836498873406</v>
      </c>
      <c r="CF92" s="6">
        <f t="shared" si="92"/>
        <v>2.2361259016612998</v>
      </c>
      <c r="CG92" s="6"/>
      <c r="CH92" s="6"/>
      <c r="CI92" s="6"/>
      <c r="CJ92" s="1"/>
      <c r="CK92" s="6"/>
    </row>
    <row r="93" spans="1:89" x14ac:dyDescent="0.2">
      <c r="A93" s="6">
        <f t="shared" si="93"/>
        <v>6</v>
      </c>
      <c r="B93" s="1">
        <f t="shared" si="94"/>
        <v>4</v>
      </c>
      <c r="C93" s="1">
        <f t="shared" si="95"/>
        <v>0</v>
      </c>
      <c r="D93" s="6">
        <f t="shared" si="96"/>
        <v>0</v>
      </c>
      <c r="E93" s="6">
        <f t="shared" si="97"/>
        <v>0</v>
      </c>
      <c r="BC93">
        <v>1.5882496193148417</v>
      </c>
      <c r="BD93">
        <v>-88.583626629681874</v>
      </c>
      <c r="BE93">
        <v>62.487194825373464</v>
      </c>
      <c r="BF93" s="6">
        <f t="shared" si="79"/>
        <v>2.5272494187233097</v>
      </c>
      <c r="BG93" s="6">
        <f t="shared" si="80"/>
        <v>0.93899979940846801</v>
      </c>
      <c r="BH93" s="6">
        <f t="shared" si="81"/>
        <v>0.5146745823753216</v>
      </c>
      <c r="BI93" s="6">
        <f t="shared" si="82"/>
        <v>0.5146745823753216</v>
      </c>
      <c r="BJ93">
        <v>-136.28250250720288</v>
      </c>
      <c r="BK93">
        <v>96.134145885189938</v>
      </c>
      <c r="BV93" s="38"/>
      <c r="BW93" s="6">
        <f t="shared" si="83"/>
        <v>1.3613568165555785</v>
      </c>
      <c r="BX93" s="9">
        <f t="shared" ca="1" si="84"/>
        <v>14.302172904733716</v>
      </c>
      <c r="BY93" s="9">
        <f t="shared" ca="1" si="85"/>
        <v>30.425248802973304</v>
      </c>
      <c r="BZ93" s="9">
        <f t="shared" ca="1" si="86"/>
        <v>-51.770468976995694</v>
      </c>
      <c r="CA93" s="6">
        <f t="shared" ca="1" si="87"/>
        <v>52.449462763549775</v>
      </c>
      <c r="CB93" s="6">
        <f t="shared" ca="1" si="88"/>
        <v>2.3496795734316875</v>
      </c>
      <c r="CC93" s="6">
        <f t="shared" ca="1" si="89"/>
        <v>-9.694402263557711E-2</v>
      </c>
      <c r="CD93" s="9">
        <f t="shared" si="90"/>
        <v>-41.770468976995694</v>
      </c>
      <c r="CE93" s="9">
        <f t="shared" si="91"/>
        <v>51.449462763549775</v>
      </c>
      <c r="CF93" s="6">
        <f t="shared" si="92"/>
        <v>2.2527355507961104</v>
      </c>
      <c r="CG93" s="6"/>
      <c r="CH93" s="6"/>
      <c r="CI93" s="6"/>
      <c r="CJ93" s="1"/>
      <c r="CK93" s="6"/>
    </row>
    <row r="94" spans="1:89" x14ac:dyDescent="0.2">
      <c r="A94" s="6">
        <f t="shared" si="93"/>
        <v>6</v>
      </c>
      <c r="B94" s="1">
        <f t="shared" si="94"/>
        <v>12</v>
      </c>
      <c r="C94" s="1">
        <f t="shared" si="95"/>
        <v>24</v>
      </c>
      <c r="D94" s="6">
        <f t="shared" si="96"/>
        <v>96</v>
      </c>
      <c r="E94" s="6">
        <f t="shared" si="97"/>
        <v>128</v>
      </c>
      <c r="BC94">
        <v>1.605702911834785</v>
      </c>
      <c r="BD94">
        <v>-91.201601181718857</v>
      </c>
      <c r="BE94">
        <v>62.22329006949159</v>
      </c>
      <c r="BF94" s="6">
        <f t="shared" si="79"/>
        <v>2.5428715734194385</v>
      </c>
      <c r="BG94" s="6">
        <f t="shared" si="80"/>
        <v>0.93716866158465351</v>
      </c>
      <c r="BH94" s="6">
        <f t="shared" si="81"/>
        <v>0.49905242767919278</v>
      </c>
      <c r="BI94" s="6">
        <f t="shared" si="82"/>
        <v>0.49905242767919278</v>
      </c>
      <c r="BJ94">
        <v>-140.31015566418284</v>
      </c>
      <c r="BK94">
        <v>95.7281385684486</v>
      </c>
      <c r="BV94" s="38"/>
      <c r="BW94" s="6">
        <f t="shared" si="83"/>
        <v>1.3788101090755218</v>
      </c>
      <c r="BX94" s="9">
        <f t="shared" ca="1" si="84"/>
        <v>11.76790894301147</v>
      </c>
      <c r="BY94" s="9">
        <f t="shared" ca="1" si="85"/>
        <v>31.714242080823002</v>
      </c>
      <c r="BZ94" s="9">
        <f t="shared" ca="1" si="86"/>
        <v>-54.30473293871794</v>
      </c>
      <c r="CA94" s="6">
        <f t="shared" ca="1" si="87"/>
        <v>53.738456041399473</v>
      </c>
      <c r="CB94" s="6">
        <f t="shared" ca="1" si="88"/>
        <v>2.3614356508567966</v>
      </c>
      <c r="CC94" s="6">
        <f t="shared" ca="1" si="89"/>
        <v>-9.1930253696230313E-2</v>
      </c>
      <c r="CD94" s="9">
        <f t="shared" si="90"/>
        <v>-44.30473293871794</v>
      </c>
      <c r="CE94" s="9">
        <f t="shared" si="91"/>
        <v>52.738456041399473</v>
      </c>
      <c r="CF94" s="6">
        <f t="shared" si="92"/>
        <v>2.2695053971605663</v>
      </c>
      <c r="CG94" s="6"/>
      <c r="CH94" s="6"/>
      <c r="CI94" s="6"/>
      <c r="CJ94" s="1"/>
      <c r="CK94" s="6"/>
    </row>
    <row r="95" spans="1:89" x14ac:dyDescent="0.2">
      <c r="A95" s="6">
        <f t="shared" si="93"/>
        <v>-6</v>
      </c>
      <c r="B95" s="1">
        <f t="shared" si="94"/>
        <v>12</v>
      </c>
      <c r="C95" s="1">
        <f t="shared" si="95"/>
        <v>72</v>
      </c>
      <c r="D95" s="6">
        <f t="shared" si="96"/>
        <v>0</v>
      </c>
      <c r="E95" s="6">
        <f t="shared" si="97"/>
        <v>576</v>
      </c>
      <c r="BC95">
        <v>1.6231562043547283</v>
      </c>
      <c r="BD95">
        <v>-93.735787485662314</v>
      </c>
      <c r="BE95">
        <v>61.941525469204727</v>
      </c>
      <c r="BF95" s="6">
        <f t="shared" si="79"/>
        <v>2.5576557831086584</v>
      </c>
      <c r="BG95" s="6">
        <f t="shared" si="80"/>
        <v>0.93449957875393008</v>
      </c>
      <c r="BH95" s="6">
        <f t="shared" si="81"/>
        <v>0.48426821798997283</v>
      </c>
      <c r="BI95" s="6">
        <f t="shared" si="82"/>
        <v>0.48426821798997283</v>
      </c>
      <c r="BJ95">
        <v>-144.20890382409587</v>
      </c>
      <c r="BK95">
        <v>95.294654568007275</v>
      </c>
      <c r="BV95" s="38"/>
      <c r="BW95" s="6">
        <f t="shared" si="83"/>
        <v>1.3962634015954651</v>
      </c>
      <c r="BX95" s="9">
        <f t="shared" ca="1" si="84"/>
        <v>9.1991022753378502</v>
      </c>
      <c r="BY95" s="9">
        <f t="shared" ca="1" si="85"/>
        <v>32.856850742168461</v>
      </c>
      <c r="BZ95" s="9">
        <f t="shared" ca="1" si="86"/>
        <v>-56.87353960639156</v>
      </c>
      <c r="CA95" s="6">
        <f t="shared" ca="1" si="87"/>
        <v>54.881064702744936</v>
      </c>
      <c r="CB95" s="6">
        <f t="shared" ca="1" si="88"/>
        <v>2.3740216198898638</v>
      </c>
      <c r="CC95" s="6">
        <f t="shared" ca="1" si="89"/>
        <v>-8.7265730041976575E-2</v>
      </c>
      <c r="CD95" s="9">
        <f t="shared" si="90"/>
        <v>-46.87353960639156</v>
      </c>
      <c r="CE95" s="9">
        <f t="shared" si="91"/>
        <v>53.881064702744929</v>
      </c>
      <c r="CF95" s="6">
        <f t="shared" si="92"/>
        <v>2.2867558898478872</v>
      </c>
      <c r="CG95" s="6"/>
      <c r="CH95" s="6"/>
      <c r="CI95" s="6"/>
      <c r="CJ95" s="1"/>
      <c r="CK95" s="6"/>
    </row>
    <row r="96" spans="1:89" x14ac:dyDescent="0.2">
      <c r="A96" s="6">
        <f t="shared" si="93"/>
        <v>-6</v>
      </c>
      <c r="B96" s="1">
        <f t="shared" si="94"/>
        <v>4</v>
      </c>
      <c r="C96" s="1">
        <f t="shared" si="95"/>
        <v>24</v>
      </c>
      <c r="D96" s="6">
        <f t="shared" si="96"/>
        <v>-96</v>
      </c>
      <c r="E96" s="6">
        <f t="shared" si="97"/>
        <v>128</v>
      </c>
      <c r="BC96">
        <v>1.6406094968746716</v>
      </c>
      <c r="BD96">
        <v>-96.185884598189446</v>
      </c>
      <c r="BE96">
        <v>61.642690636934347</v>
      </c>
      <c r="BF96" s="6">
        <f t="shared" si="79"/>
        <v>2.571662194664508</v>
      </c>
      <c r="BG96" s="6">
        <f t="shared" si="80"/>
        <v>0.93105269778983635</v>
      </c>
      <c r="BH96" s="6">
        <f t="shared" si="81"/>
        <v>0.4702618064341233</v>
      </c>
      <c r="BI96" s="6">
        <f t="shared" si="82"/>
        <v>0.4702618064341233</v>
      </c>
      <c r="BJ96">
        <v>-147.97828399721453</v>
      </c>
      <c r="BK96">
        <v>94.83490867220668</v>
      </c>
      <c r="BV96" s="38"/>
      <c r="BW96" s="6">
        <f t="shared" si="83"/>
        <v>1.4137166941154085</v>
      </c>
      <c r="BX96" s="9">
        <f t="shared" ca="1" si="84"/>
        <v>6.5913196667992793</v>
      </c>
      <c r="BY96" s="9">
        <f t="shared" ca="1" si="85"/>
        <v>33.896457667948681</v>
      </c>
      <c r="BZ96" s="9">
        <f t="shared" ca="1" si="86"/>
        <v>-59.481322214930131</v>
      </c>
      <c r="CA96" s="6">
        <f t="shared" ca="1" si="87"/>
        <v>55.920671628525156</v>
      </c>
      <c r="CB96" s="6">
        <f t="shared" ca="1" si="88"/>
        <v>2.3870390294617989</v>
      </c>
      <c r="CC96" s="6">
        <f t="shared" ca="1" si="89"/>
        <v>-8.2897528508541804E-2</v>
      </c>
      <c r="CD96" s="9">
        <f t="shared" si="90"/>
        <v>-49.481322214930131</v>
      </c>
      <c r="CE96" s="9">
        <f t="shared" si="91"/>
        <v>54.920671628525149</v>
      </c>
      <c r="CF96" s="6">
        <f t="shared" si="92"/>
        <v>2.3041415009532571</v>
      </c>
      <c r="CG96" s="6"/>
      <c r="CH96" s="6"/>
      <c r="CI96" s="6"/>
      <c r="CJ96" s="1"/>
      <c r="CK96" s="6"/>
    </row>
    <row r="97" spans="1:89" x14ac:dyDescent="0.2">
      <c r="A97" s="6">
        <f t="shared" si="93"/>
        <v>-6</v>
      </c>
      <c r="B97" s="1">
        <f t="shared" si="94"/>
        <v>4</v>
      </c>
      <c r="C97" s="1">
        <f t="shared" si="95"/>
        <v>0</v>
      </c>
      <c r="D97" s="6">
        <f t="shared" si="96"/>
        <v>0</v>
      </c>
      <c r="E97" s="6">
        <f t="shared" si="97"/>
        <v>0</v>
      </c>
      <c r="BC97">
        <v>1.6580627893946149</v>
      </c>
      <c r="BD97">
        <v>-98.55218697669072</v>
      </c>
      <c r="BE97">
        <v>61.327555457708023</v>
      </c>
      <c r="BF97" s="6">
        <f t="shared" si="79"/>
        <v>2.5849480235924776</v>
      </c>
      <c r="BG97" s="6">
        <f t="shared" si="80"/>
        <v>0.92688523419786262</v>
      </c>
      <c r="BH97" s="6">
        <f t="shared" si="81"/>
        <v>0.45697597750615371</v>
      </c>
      <c r="BI97" s="6">
        <f t="shared" si="82"/>
        <v>0.45697597750615371</v>
      </c>
      <c r="BJ97">
        <v>-151.61874919490879</v>
      </c>
      <c r="BK97">
        <v>94.3500853195508</v>
      </c>
      <c r="BV97" s="38"/>
      <c r="BW97" s="6">
        <f t="shared" si="83"/>
        <v>1.4311699866353518</v>
      </c>
      <c r="BX97" s="9">
        <f t="shared" ca="1" si="84"/>
        <v>4.1216817300121278</v>
      </c>
      <c r="BY97" s="9">
        <f t="shared" ca="1" si="85"/>
        <v>34.685346541271244</v>
      </c>
      <c r="BZ97" s="9">
        <f t="shared" ca="1" si="86"/>
        <v>-61.950960151717283</v>
      </c>
      <c r="CA97" s="6">
        <f t="shared" ca="1" si="87"/>
        <v>56.709560501847719</v>
      </c>
      <c r="CB97" s="6">
        <f t="shared" ca="1" si="88"/>
        <v>2.4003371819206145</v>
      </c>
      <c r="CC97" s="6">
        <f t="shared" ca="1" si="89"/>
        <v>-7.9040112108008639E-2</v>
      </c>
      <c r="CD97" s="9">
        <f t="shared" si="90"/>
        <v>-51.950960151717283</v>
      </c>
      <c r="CE97" s="9">
        <f t="shared" si="91"/>
        <v>55.709560501847712</v>
      </c>
      <c r="CF97" s="6">
        <f t="shared" si="92"/>
        <v>2.3212970698126059</v>
      </c>
      <c r="CG97" s="6"/>
      <c r="CH97" s="6"/>
      <c r="CI97" s="6"/>
      <c r="CJ97" s="1"/>
      <c r="CK97" s="6"/>
    </row>
    <row r="98" spans="1:89" x14ac:dyDescent="0.2">
      <c r="A98" s="6">
        <f t="shared" si="93"/>
        <v>-6</v>
      </c>
      <c r="B98" s="1">
        <f t="shared" si="94"/>
        <v>-12</v>
      </c>
      <c r="C98" s="1">
        <f t="shared" si="95"/>
        <v>48</v>
      </c>
      <c r="D98" s="6">
        <f t="shared" si="96"/>
        <v>-192</v>
      </c>
      <c r="E98" s="6">
        <f t="shared" si="97"/>
        <v>-128</v>
      </c>
      <c r="BC98">
        <v>1.6755160819145583</v>
      </c>
      <c r="BD98">
        <v>-100.83548238447887</v>
      </c>
      <c r="BE98">
        <v>60.996860977542099</v>
      </c>
      <c r="BF98" s="6">
        <f t="shared" ref="BF98:BF129" si="98">IF(BC98&lt;&gt;"",IF(AND(BD98=0,BE98=0),0,MOD(ATAN2(BD98,BE98),2*PI())),NA())</f>
        <v>2.5975672708953175</v>
      </c>
      <c r="BG98" s="6">
        <f t="shared" ref="BG98:BG129" si="99">ABS(BC98-BF98)</f>
        <v>0.92205118898075922</v>
      </c>
      <c r="BH98" s="6">
        <f t="shared" si="81"/>
        <v>0.44435673020331379</v>
      </c>
      <c r="BI98" s="6">
        <f t="shared" si="82"/>
        <v>0.44435673020331379</v>
      </c>
      <c r="BJ98">
        <v>-155.13151136073671</v>
      </c>
      <c r="BK98">
        <v>93.841324580833998</v>
      </c>
      <c r="BV98" s="38"/>
      <c r="BW98" s="6">
        <f t="shared" si="83"/>
        <v>1.4486232791552951</v>
      </c>
      <c r="BX98" s="9">
        <f t="shared" ca="1" si="84"/>
        <v>1.5070362730254203</v>
      </c>
      <c r="BY98" s="9">
        <f t="shared" ca="1" si="85"/>
        <v>35.496146928339073</v>
      </c>
      <c r="BZ98" s="9">
        <f t="shared" ca="1" si="86"/>
        <v>-64.56560560870399</v>
      </c>
      <c r="CA98" s="6">
        <f t="shared" ca="1" si="87"/>
        <v>57.520360888915548</v>
      </c>
      <c r="CB98" s="6">
        <f t="shared" ca="1" si="88"/>
        <v>2.4138378049228533</v>
      </c>
      <c r="CC98" s="6">
        <f t="shared" ca="1" si="89"/>
        <v>-7.5238278506466472E-2</v>
      </c>
      <c r="CD98" s="9">
        <f t="shared" si="90"/>
        <v>-54.56560560870399</v>
      </c>
      <c r="CE98" s="9">
        <f t="shared" si="91"/>
        <v>56.520360888915548</v>
      </c>
      <c r="CF98" s="6">
        <f t="shared" si="92"/>
        <v>2.3385995264163868</v>
      </c>
      <c r="CG98" s="6"/>
      <c r="CH98" s="6"/>
      <c r="CI98" s="6"/>
      <c r="CJ98" s="1"/>
      <c r="CK98" s="6"/>
    </row>
    <row r="99" spans="1:89" x14ac:dyDescent="0.2">
      <c r="C99" s="1">
        <f>SUM(C91:C98)</f>
        <v>288</v>
      </c>
      <c r="D99" s="6">
        <f>SUM(D91:D98)/C99</f>
        <v>0</v>
      </c>
      <c r="E99" s="6">
        <f>SUM(E91:E98)/C99</f>
        <v>0</v>
      </c>
      <c r="BC99">
        <v>1.6929693744345016</v>
      </c>
      <c r="BD99">
        <v>-103.03696200622277</v>
      </c>
      <c r="BE99">
        <v>60.651312415672031</v>
      </c>
      <c r="BF99" s="6">
        <f t="shared" si="98"/>
        <v>2.6095706012482962</v>
      </c>
      <c r="BG99" s="6">
        <f t="shared" si="99"/>
        <v>0.91660122681379463</v>
      </c>
      <c r="BH99" s="6">
        <f t="shared" si="81"/>
        <v>0.43235339985033505</v>
      </c>
      <c r="BI99" s="6">
        <f t="shared" si="82"/>
        <v>0.43235339985033505</v>
      </c>
      <c r="BJ99">
        <v>-158.51840308649656</v>
      </c>
      <c r="BK99">
        <v>93.309711408726201</v>
      </c>
      <c r="BV99" s="38"/>
      <c r="BW99" s="6">
        <f t="shared" si="83"/>
        <v>1.4660765716752384</v>
      </c>
      <c r="BX99" s="9">
        <f t="shared" ca="1" si="84"/>
        <v>-1.2619951898782347</v>
      </c>
      <c r="BY99" s="9">
        <f t="shared" ca="1" si="85"/>
        <v>36.330468801772412</v>
      </c>
      <c r="BZ99" s="9">
        <f t="shared" ca="1" si="86"/>
        <v>-67.334637071607645</v>
      </c>
      <c r="CA99" s="6">
        <f t="shared" ca="1" si="87"/>
        <v>58.354682762348887</v>
      </c>
      <c r="CB99" s="6">
        <f t="shared" ca="1" si="88"/>
        <v>2.4275189401516544</v>
      </c>
      <c r="CC99" s="6">
        <f t="shared" ca="1" si="89"/>
        <v>-7.14992324984869E-2</v>
      </c>
      <c r="CD99" s="9">
        <f t="shared" si="90"/>
        <v>-57.334637071607645</v>
      </c>
      <c r="CE99" s="9">
        <f t="shared" si="91"/>
        <v>57.35468276234888</v>
      </c>
      <c r="CF99" s="6">
        <f t="shared" si="92"/>
        <v>2.3560197076531675</v>
      </c>
      <c r="CG99" s="6"/>
      <c r="CH99" s="6"/>
      <c r="CI99" s="6"/>
      <c r="CJ99" s="1"/>
      <c r="CK99" s="6"/>
    </row>
    <row r="100" spans="1:89" x14ac:dyDescent="0.2">
      <c r="A100" s="8" t="s">
        <v>124</v>
      </c>
      <c r="B100" s="1">
        <f>B31*C99*0.65</f>
        <v>795.6</v>
      </c>
      <c r="C100" t="s">
        <v>68</v>
      </c>
      <c r="BC100">
        <v>1.7104226669544449</v>
      </c>
      <c r="BD100">
        <v>-105.15814202208649</v>
      </c>
      <c r="BE100">
        <v>60.291573989192031</v>
      </c>
      <c r="BF100" s="6">
        <f t="shared" si="98"/>
        <v>2.6210053366877775</v>
      </c>
      <c r="BG100" s="6">
        <f t="shared" si="99"/>
        <v>0.91058266973333257</v>
      </c>
      <c r="BH100" s="6">
        <f t="shared" si="81"/>
        <v>0.42091866441085379</v>
      </c>
      <c r="BI100" s="6">
        <f t="shared" si="82"/>
        <v>0.42091866441085379</v>
      </c>
      <c r="BJ100">
        <v>-161.78175695705613</v>
      </c>
      <c r="BK100">
        <v>92.75626767568005</v>
      </c>
      <c r="BV100" s="38"/>
      <c r="BW100" s="6">
        <f t="shared" si="83"/>
        <v>1.4835298641951817</v>
      </c>
      <c r="BX100" s="9">
        <f t="shared" ca="1" si="84"/>
        <v>-4.1954150412224465</v>
      </c>
      <c r="BY100" s="9">
        <f t="shared" ca="1" si="85"/>
        <v>37.190066245630547</v>
      </c>
      <c r="BZ100" s="9">
        <f t="shared" ca="1" si="86"/>
        <v>-70.268056922951857</v>
      </c>
      <c r="CA100" s="6">
        <f t="shared" ca="1" si="87"/>
        <v>59.214280206207022</v>
      </c>
      <c r="CB100" s="6">
        <f t="shared" ca="1" si="88"/>
        <v>2.4413569993237951</v>
      </c>
      <c r="CC100" s="6">
        <f t="shared" ca="1" si="89"/>
        <v>-6.7830212140661317E-2</v>
      </c>
      <c r="CD100" s="9">
        <f t="shared" si="90"/>
        <v>-60.268056922951857</v>
      </c>
      <c r="CE100" s="9">
        <f t="shared" si="91"/>
        <v>58.214280206207022</v>
      </c>
      <c r="CF100" s="6">
        <f t="shared" si="92"/>
        <v>2.3735267871831338</v>
      </c>
      <c r="CG100" s="6"/>
      <c r="CH100" s="6"/>
      <c r="CI100" s="6"/>
      <c r="CJ100" s="1"/>
      <c r="CK100" s="6"/>
    </row>
    <row r="101" spans="1:89" x14ac:dyDescent="0.2">
      <c r="A101" s="8" t="s">
        <v>77</v>
      </c>
      <c r="B101" s="1">
        <f>B100*E99</f>
        <v>0</v>
      </c>
      <c r="C101" t="s">
        <v>69</v>
      </c>
      <c r="BC101">
        <v>1.7278759594743882</v>
      </c>
      <c r="BD101">
        <v>-107.2007956961865</v>
      </c>
      <c r="BE101">
        <v>59.918265163720257</v>
      </c>
      <c r="BF101" s="6">
        <f t="shared" si="98"/>
        <v>2.6319155311435707</v>
      </c>
      <c r="BG101" s="6">
        <f t="shared" si="99"/>
        <v>0.90403957166918247</v>
      </c>
      <c r="BH101" s="6">
        <f t="shared" si="81"/>
        <v>0.41000846995506052</v>
      </c>
      <c r="BI101" s="6">
        <f t="shared" si="82"/>
        <v>0.41000846995506052</v>
      </c>
      <c r="BJ101">
        <v>-164.92430107105616</v>
      </c>
      <c r="BK101">
        <v>92.181946405723465</v>
      </c>
      <c r="BV101" s="38"/>
      <c r="BW101" s="6">
        <f t="shared" si="83"/>
        <v>1.5009831567151251</v>
      </c>
      <c r="BX101" s="9">
        <f t="shared" ca="1" si="84"/>
        <v>-7.3038568846408225</v>
      </c>
      <c r="BY101" s="9">
        <f t="shared" ca="1" si="85"/>
        <v>38.076834913919839</v>
      </c>
      <c r="BZ101" s="9">
        <f t="shared" ca="1" si="86"/>
        <v>-73.376498766370233</v>
      </c>
      <c r="CA101" s="6">
        <f t="shared" ca="1" si="87"/>
        <v>60.101048874496314</v>
      </c>
      <c r="CB101" s="6">
        <f t="shared" ca="1" si="88"/>
        <v>2.4553267767060181</v>
      </c>
      <c r="CC101" s="6">
        <f t="shared" ca="1" si="89"/>
        <v>-6.4238425581205405E-2</v>
      </c>
      <c r="CD101" s="9">
        <f t="shared" si="90"/>
        <v>-63.376498766370233</v>
      </c>
      <c r="CE101" s="9">
        <f t="shared" si="91"/>
        <v>59.101048874496307</v>
      </c>
      <c r="CF101" s="6">
        <f t="shared" si="92"/>
        <v>2.3910883511248127</v>
      </c>
      <c r="CG101" s="6"/>
      <c r="CH101" s="6"/>
      <c r="CI101" s="6"/>
      <c r="CJ101" s="1"/>
      <c r="CK101" s="6"/>
    </row>
    <row r="102" spans="1:89" x14ac:dyDescent="0.2">
      <c r="A102" s="8" t="s">
        <v>125</v>
      </c>
      <c r="B102" s="1">
        <f>B100*D99*-1</f>
        <v>0</v>
      </c>
      <c r="C102" t="s">
        <v>69</v>
      </c>
      <c r="J102" t="s">
        <v>127</v>
      </c>
      <c r="BC102">
        <v>1.7453292519943315</v>
      </c>
      <c r="BD102">
        <v>-109.16689505686097</v>
      </c>
      <c r="BE102">
        <v>59.53195816181713</v>
      </c>
      <c r="BF102" s="6">
        <f t="shared" si="98"/>
        <v>2.642342098730607</v>
      </c>
      <c r="BG102" s="6">
        <f t="shared" si="99"/>
        <v>0.89701284673627546</v>
      </c>
      <c r="BH102" s="6">
        <f t="shared" si="81"/>
        <v>0.39958190236802427</v>
      </c>
      <c r="BI102" s="6">
        <f t="shared" si="82"/>
        <v>0.39958190236802427</v>
      </c>
      <c r="BJ102">
        <v>-167.94906931824764</v>
      </c>
      <c r="BK102">
        <v>91.587627941257125</v>
      </c>
      <c r="BV102" s="38"/>
      <c r="BW102" s="6">
        <f t="shared" si="83"/>
        <v>1.5184364492350684</v>
      </c>
      <c r="BX102" s="9">
        <f t="shared" ca="1" si="84"/>
        <v>-10.598608742742528</v>
      </c>
      <c r="BY102" s="9">
        <f t="shared" ca="1" si="85"/>
        <v>38.992829398193379</v>
      </c>
      <c r="BZ102" s="9">
        <f t="shared" ca="1" si="86"/>
        <v>-76.671250624471938</v>
      </c>
      <c r="CA102" s="6">
        <f t="shared" ca="1" si="87"/>
        <v>61.017043358769854</v>
      </c>
      <c r="CB102" s="6">
        <f t="shared" ca="1" si="88"/>
        <v>2.4694014722130242</v>
      </c>
      <c r="CC102" s="6">
        <f t="shared" ca="1" si="89"/>
        <v>-6.0730956301078276E-2</v>
      </c>
      <c r="CD102" s="9">
        <f t="shared" si="90"/>
        <v>-66.671250624471938</v>
      </c>
      <c r="CE102" s="9">
        <f t="shared" si="91"/>
        <v>60.017043358769854</v>
      </c>
      <c r="CF102" s="6">
        <f t="shared" si="92"/>
        <v>2.4086705159119459</v>
      </c>
      <c r="CG102" s="6"/>
      <c r="CH102" s="6"/>
      <c r="CI102" s="6"/>
      <c r="CJ102" s="1"/>
      <c r="CK102" s="6"/>
    </row>
    <row r="103" spans="1:89" x14ac:dyDescent="0.2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-111.05856111047189</v>
      </c>
      <c r="BE103">
        <v>59.13317635672545</v>
      </c>
      <c r="BF103" s="6">
        <f t="shared" si="98"/>
        <v>2.6523229766712837</v>
      </c>
      <c r="BG103" s="6">
        <f t="shared" si="99"/>
        <v>0.88954043215700884</v>
      </c>
      <c r="BH103" s="6">
        <f t="shared" si="81"/>
        <v>0.38960102442734756</v>
      </c>
      <c r="BI103" s="6">
        <f t="shared" si="82"/>
        <v>0.38960102442734756</v>
      </c>
      <c r="BJ103">
        <v>-170.85932478534136</v>
      </c>
      <c r="BK103">
        <v>90.974117471885307</v>
      </c>
      <c r="BV103" s="38"/>
      <c r="BW103" s="6">
        <f t="shared" si="83"/>
        <v>1.5358897417550117</v>
      </c>
      <c r="BX103" s="9">
        <f t="shared" ca="1" si="84"/>
        <v>-14.091632770354764</v>
      </c>
      <c r="BY103" s="9">
        <f t="shared" ca="1" si="85"/>
        <v>39.940282984239275</v>
      </c>
      <c r="BZ103" s="9">
        <f t="shared" ca="1" si="86"/>
        <v>-80.164274652084174</v>
      </c>
      <c r="CA103" s="6">
        <f t="shared" ca="1" si="87"/>
        <v>61.96449694481575</v>
      </c>
      <c r="CB103" s="6">
        <f t="shared" ca="1" si="88"/>
        <v>2.4835527306546981</v>
      </c>
      <c r="CC103" s="6">
        <f t="shared" ca="1" si="89"/>
        <v>-5.7314666838339516E-2</v>
      </c>
      <c r="CD103" s="9">
        <f t="shared" si="90"/>
        <v>-70.164274652084174</v>
      </c>
      <c r="CE103" s="9">
        <f t="shared" si="91"/>
        <v>60.964496944815743</v>
      </c>
      <c r="CF103" s="6">
        <f t="shared" si="92"/>
        <v>2.4262380638163585</v>
      </c>
      <c r="CG103" s="6"/>
      <c r="CH103" s="6"/>
      <c r="CI103" s="6"/>
      <c r="CJ103" s="1"/>
      <c r="CK103" s="6"/>
    </row>
    <row r="104" spans="1:89" x14ac:dyDescent="0.2">
      <c r="A104">
        <f t="shared" ref="A104:C113" si="100">A15</f>
        <v>1</v>
      </c>
      <c r="B104">
        <f t="shared" si="100"/>
        <v>8</v>
      </c>
      <c r="C104">
        <f t="shared" ca="1" si="100"/>
        <v>0.79</v>
      </c>
      <c r="D104" s="9">
        <f t="shared" ref="D104:D113" si="101">D15-$I$2</f>
        <v>-4</v>
      </c>
      <c r="E104" s="5">
        <f t="shared" ref="E104:E113" si="102">E15-$I$3</f>
        <v>-10</v>
      </c>
      <c r="F104" s="5">
        <f t="shared" ref="F104:F113" ca="1" si="103">($B$12-$B$31)*C104*0.65</f>
        <v>28.627625000000002</v>
      </c>
      <c r="G104">
        <f t="shared" ref="G104:G113" ca="1" si="104">E104*F104</f>
        <v>-286.27625</v>
      </c>
      <c r="H104">
        <f t="shared" ref="H104:H113" ca="1" si="105">D104*F104*-1</f>
        <v>114.51050000000001</v>
      </c>
      <c r="J104">
        <f t="shared" ref="J104:J113" ca="1" si="106">-1*C104*$B$12*0.9</f>
        <v>-42.660000000000004</v>
      </c>
      <c r="K104">
        <f t="shared" ref="K104:K113" ca="1" si="107">E104*J104</f>
        <v>426.6</v>
      </c>
      <c r="L104">
        <f t="shared" ref="L104:L113" ca="1" si="108">D104*J104*-1</f>
        <v>-170.64000000000001</v>
      </c>
      <c r="BC104">
        <v>1.7802358370342182</v>
      </c>
      <c r="BD104">
        <v>-112.87802170452537</v>
      </c>
      <c r="BE104">
        <v>58.722393473537188</v>
      </c>
      <c r="BF104" s="6">
        <f t="shared" si="98"/>
        <v>2.6618933077183078</v>
      </c>
      <c r="BG104" s="6">
        <f t="shared" si="99"/>
        <v>0.88165747068408962</v>
      </c>
      <c r="BH104" s="6">
        <f t="shared" si="81"/>
        <v>0.38003069338032347</v>
      </c>
      <c r="BI104" s="6">
        <f t="shared" si="82"/>
        <v>0.38003069338032347</v>
      </c>
      <c r="BJ104">
        <v>-173.65849493003901</v>
      </c>
      <c r="BK104">
        <v>90.342143805441822</v>
      </c>
      <c r="BV104" s="38"/>
      <c r="BW104" s="6">
        <f t="shared" si="83"/>
        <v>1.553343034274955</v>
      </c>
      <c r="BX104" s="9">
        <f t="shared" ca="1" si="84"/>
        <v>-17.109481488589211</v>
      </c>
      <c r="BY104" s="9">
        <f t="shared" ca="1" si="85"/>
        <v>40.46298086479743</v>
      </c>
      <c r="BZ104" s="9">
        <f t="shared" ca="1" si="86"/>
        <v>-83.182123370318621</v>
      </c>
      <c r="CA104" s="6">
        <f t="shared" ca="1" si="87"/>
        <v>62.487194825373905</v>
      </c>
      <c r="CB104" s="6">
        <f t="shared" ca="1" si="88"/>
        <v>2.4973179638934493</v>
      </c>
      <c r="CC104" s="6">
        <f t="shared" ca="1" si="89"/>
        <v>-5.4498978160732577E-2</v>
      </c>
      <c r="CD104" s="9">
        <f t="shared" si="90"/>
        <v>-73.182123370318621</v>
      </c>
      <c r="CE104" s="9">
        <f t="shared" si="91"/>
        <v>61.487194825373898</v>
      </c>
      <c r="CF104" s="6">
        <f t="shared" si="92"/>
        <v>2.4428189857327167</v>
      </c>
      <c r="CG104" s="6"/>
      <c r="CH104" s="6"/>
      <c r="CI104" s="6"/>
      <c r="CJ104" s="1"/>
      <c r="CK104" s="6"/>
    </row>
    <row r="105" spans="1:89" x14ac:dyDescent="0.2">
      <c r="A105">
        <f t="shared" si="100"/>
        <v>2</v>
      </c>
      <c r="B105">
        <f t="shared" si="100"/>
        <v>8</v>
      </c>
      <c r="C105">
        <f t="shared" ca="1" si="100"/>
        <v>0.79</v>
      </c>
      <c r="D105" s="9">
        <f t="shared" si="101"/>
        <v>-4</v>
      </c>
      <c r="E105" s="5">
        <f t="shared" si="102"/>
        <v>-8</v>
      </c>
      <c r="F105" s="5">
        <f t="shared" ca="1" si="103"/>
        <v>28.627625000000002</v>
      </c>
      <c r="G105">
        <f t="shared" ca="1" si="104"/>
        <v>-229.02100000000002</v>
      </c>
      <c r="H105">
        <f t="shared" ca="1" si="105"/>
        <v>114.51050000000001</v>
      </c>
      <c r="J105">
        <f t="shared" ca="1" si="106"/>
        <v>-42.660000000000004</v>
      </c>
      <c r="K105">
        <f t="shared" ca="1" si="107"/>
        <v>341.28000000000003</v>
      </c>
      <c r="L105">
        <f t="shared" ca="1" si="108"/>
        <v>-170.64000000000001</v>
      </c>
      <c r="BC105">
        <v>1.7976891295541615</v>
      </c>
      <c r="BD105">
        <v>-114.6275760586025</v>
      </c>
      <c r="BE105">
        <v>58.300033309343561</v>
      </c>
      <c r="BF105" s="6">
        <f t="shared" si="98"/>
        <v>2.6710856321223932</v>
      </c>
      <c r="BG105" s="6">
        <f t="shared" si="99"/>
        <v>0.87339650256823176</v>
      </c>
      <c r="BH105" s="6">
        <f t="shared" si="81"/>
        <v>0.37083836897623801</v>
      </c>
      <c r="BI105" s="6">
        <f t="shared" si="82"/>
        <v>0.37083836897623801</v>
      </c>
      <c r="BJ105">
        <v>-176.35011701323461</v>
      </c>
      <c r="BK105">
        <v>89.69235893745163</v>
      </c>
      <c r="BV105" s="38"/>
      <c r="BW105" s="6">
        <f t="shared" si="83"/>
        <v>1.5707963267948983</v>
      </c>
      <c r="BX105" s="9">
        <f t="shared" ca="1" si="84"/>
        <v>-19.810233118270844</v>
      </c>
      <c r="BY105" s="9">
        <f t="shared" ca="1" si="85"/>
        <v>40.708228107107331</v>
      </c>
      <c r="BZ105" s="9">
        <f t="shared" ca="1" si="86"/>
        <v>-85.882875000000254</v>
      </c>
      <c r="CA105" s="6">
        <f t="shared" ca="1" si="87"/>
        <v>62.732442067683806</v>
      </c>
      <c r="CB105" s="6">
        <f t="shared" ca="1" si="88"/>
        <v>2.5107267431216123</v>
      </c>
      <c r="CC105" s="6">
        <f t="shared" ca="1" si="89"/>
        <v>-5.2066368162956074E-2</v>
      </c>
      <c r="CD105" s="9">
        <f t="shared" si="90"/>
        <v>-75.882875000000254</v>
      </c>
      <c r="CE105" s="9">
        <f t="shared" si="91"/>
        <v>61.732442067683806</v>
      </c>
      <c r="CF105" s="6">
        <f t="shared" si="92"/>
        <v>2.4586603749586562</v>
      </c>
      <c r="CG105" s="6"/>
      <c r="CH105" s="6"/>
      <c r="CI105" s="6"/>
      <c r="CJ105" s="1"/>
      <c r="CK105" s="6"/>
    </row>
    <row r="106" spans="1:89" x14ac:dyDescent="0.2">
      <c r="A106">
        <f t="shared" si="100"/>
        <v>3</v>
      </c>
      <c r="B106">
        <f t="shared" si="100"/>
        <v>8</v>
      </c>
      <c r="C106">
        <f t="shared" ca="1" si="100"/>
        <v>0.79</v>
      </c>
      <c r="D106" s="9">
        <f t="shared" si="101"/>
        <v>-2</v>
      </c>
      <c r="E106" s="5">
        <f t="shared" si="102"/>
        <v>-10</v>
      </c>
      <c r="F106" s="5">
        <f t="shared" ca="1" si="103"/>
        <v>28.627625000000002</v>
      </c>
      <c r="G106">
        <f t="shared" ca="1" si="104"/>
        <v>-286.27625</v>
      </c>
      <c r="H106">
        <f t="shared" ca="1" si="105"/>
        <v>57.255250000000004</v>
      </c>
      <c r="J106">
        <f t="shared" ca="1" si="106"/>
        <v>-42.660000000000004</v>
      </c>
      <c r="K106">
        <f t="shared" ca="1" si="107"/>
        <v>426.6</v>
      </c>
      <c r="L106">
        <f t="shared" ca="1" si="108"/>
        <v>-85.320000000000007</v>
      </c>
      <c r="BC106">
        <v>1.8151424220741048</v>
      </c>
      <c r="BD106">
        <v>-116.30956513085593</v>
      </c>
      <c r="BE106">
        <v>57.866469983639419</v>
      </c>
      <c r="BF106" s="6">
        <f t="shared" si="98"/>
        <v>2.6799300806999611</v>
      </c>
      <c r="BG106" s="6">
        <f t="shared" si="99"/>
        <v>0.86478765862585627</v>
      </c>
      <c r="BH106" s="6">
        <f t="shared" si="81"/>
        <v>0.36199392039867018</v>
      </c>
      <c r="BI106" s="6">
        <f t="shared" si="82"/>
        <v>0.36199392039867018</v>
      </c>
      <c r="BJ106">
        <v>-178.93779250900911</v>
      </c>
      <c r="BK106">
        <v>89.02533843636833</v>
      </c>
      <c r="BV106" s="38"/>
      <c r="BW106" s="6">
        <f t="shared" si="83"/>
        <v>1.5882496193148417</v>
      </c>
      <c r="BX106" s="9">
        <f t="shared" ca="1" si="84"/>
        <v>-22.510984747952463</v>
      </c>
      <c r="BY106" s="9">
        <f t="shared" ca="1" si="85"/>
        <v>40.46298086479699</v>
      </c>
      <c r="BZ106" s="9">
        <f t="shared" ca="1" si="86"/>
        <v>-88.583626629681874</v>
      </c>
      <c r="CA106" s="6">
        <f t="shared" ca="1" si="87"/>
        <v>62.487194825373464</v>
      </c>
      <c r="CB106" s="6">
        <f t="shared" ca="1" si="88"/>
        <v>2.5272494187233097</v>
      </c>
      <c r="CC106" s="6">
        <f t="shared" ca="1" si="89"/>
        <v>-4.9600052701793906E-2</v>
      </c>
      <c r="CD106" s="9">
        <f t="shared" si="90"/>
        <v>-78.583626629681874</v>
      </c>
      <c r="CE106" s="9">
        <f t="shared" si="91"/>
        <v>61.487194825373464</v>
      </c>
      <c r="CF106" s="6">
        <f t="shared" si="92"/>
        <v>2.4776493660215158</v>
      </c>
      <c r="CG106" s="6"/>
      <c r="CH106" s="6"/>
      <c r="CI106" s="6"/>
      <c r="CJ106" s="1"/>
      <c r="CK106" s="6"/>
    </row>
    <row r="107" spans="1:89" x14ac:dyDescent="0.2">
      <c r="A107">
        <f t="shared" si="100"/>
        <v>4</v>
      </c>
      <c r="B107">
        <f t="shared" si="100"/>
        <v>8</v>
      </c>
      <c r="C107">
        <f t="shared" ca="1" si="100"/>
        <v>0.79</v>
      </c>
      <c r="D107" s="9">
        <f t="shared" si="101"/>
        <v>-2</v>
      </c>
      <c r="E107" s="5">
        <f t="shared" si="102"/>
        <v>-8</v>
      </c>
      <c r="F107" s="5">
        <f t="shared" ca="1" si="103"/>
        <v>28.627625000000002</v>
      </c>
      <c r="G107">
        <f t="shared" ca="1" si="104"/>
        <v>-229.02100000000002</v>
      </c>
      <c r="H107">
        <f t="shared" ca="1" si="105"/>
        <v>57.255250000000004</v>
      </c>
      <c r="J107">
        <f t="shared" ca="1" si="106"/>
        <v>-42.660000000000004</v>
      </c>
      <c r="K107">
        <f t="shared" ca="1" si="107"/>
        <v>341.28000000000003</v>
      </c>
      <c r="L107">
        <f t="shared" ca="1" si="108"/>
        <v>-85.320000000000007</v>
      </c>
      <c r="BC107">
        <v>1.8325957145940481</v>
      </c>
      <c r="BD107">
        <v>-117.92628144809531</v>
      </c>
      <c r="BE107">
        <v>57.422099946629366</v>
      </c>
      <c r="BF107" s="6">
        <f t="shared" si="98"/>
        <v>2.6884538559109377</v>
      </c>
      <c r="BG107" s="6">
        <f t="shared" si="99"/>
        <v>0.85585814131688953</v>
      </c>
      <c r="BH107" s="6">
        <f t="shared" si="81"/>
        <v>0.3534701451876936</v>
      </c>
      <c r="BI107" s="6">
        <f t="shared" si="82"/>
        <v>0.3534701451876936</v>
      </c>
      <c r="BJ107">
        <v>-181.42504838168509</v>
      </c>
      <c r="BK107">
        <v>88.341692225583643</v>
      </c>
      <c r="BV107" s="38"/>
      <c r="BW107" s="6">
        <f t="shared" si="83"/>
        <v>1.605702911834785</v>
      </c>
      <c r="BX107" s="9">
        <f t="shared" ca="1" si="84"/>
        <v>-25.128959299989447</v>
      </c>
      <c r="BY107" s="9">
        <f t="shared" ca="1" si="85"/>
        <v>40.199076108915122</v>
      </c>
      <c r="BZ107" s="9">
        <f t="shared" ca="1" si="86"/>
        <v>-91.201601181718857</v>
      </c>
      <c r="CA107" s="6">
        <f t="shared" ca="1" si="87"/>
        <v>62.223290069491597</v>
      </c>
      <c r="CB107" s="6">
        <f t="shared" ca="1" si="88"/>
        <v>2.5428715734194385</v>
      </c>
      <c r="CC107" s="6">
        <f t="shared" ca="1" si="89"/>
        <v>-4.7313782977402408E-2</v>
      </c>
      <c r="CD107" s="9">
        <f t="shared" si="90"/>
        <v>-81.201601181718857</v>
      </c>
      <c r="CE107" s="9">
        <f t="shared" si="91"/>
        <v>61.22329006949159</v>
      </c>
      <c r="CF107" s="6">
        <f t="shared" si="92"/>
        <v>2.4955577904420361</v>
      </c>
      <c r="CG107" s="6"/>
      <c r="CH107" s="6"/>
      <c r="CI107" s="6"/>
      <c r="CJ107" s="1"/>
      <c r="CK107" s="6"/>
    </row>
    <row r="108" spans="1:89" x14ac:dyDescent="0.2">
      <c r="A108">
        <f t="shared" si="100"/>
        <v>5</v>
      </c>
      <c r="B108">
        <f t="shared" si="100"/>
        <v>0</v>
      </c>
      <c r="C108">
        <f t="shared" ca="1" si="100"/>
        <v>0</v>
      </c>
      <c r="D108" s="9">
        <f t="shared" si="101"/>
        <v>0</v>
      </c>
      <c r="E108" s="5">
        <f t="shared" si="102"/>
        <v>-10</v>
      </c>
      <c r="F108" s="5">
        <f t="shared" ca="1" si="103"/>
        <v>0</v>
      </c>
      <c r="G108">
        <f t="shared" ca="1" si="104"/>
        <v>0</v>
      </c>
      <c r="H108">
        <f t="shared" ca="1" si="105"/>
        <v>0</v>
      </c>
      <c r="J108">
        <f t="shared" ca="1" si="106"/>
        <v>0</v>
      </c>
      <c r="K108">
        <f t="shared" ca="1" si="107"/>
        <v>0</v>
      </c>
      <c r="L108">
        <f t="shared" ca="1" si="108"/>
        <v>0</v>
      </c>
      <c r="BC108">
        <v>1.8500490071139915</v>
      </c>
      <c r="BD108">
        <v>-119.47963564966267</v>
      </c>
      <c r="BE108">
        <v>56.967716217622915</v>
      </c>
      <c r="BF108" s="6">
        <f t="shared" si="98"/>
        <v>2.6966778905612947</v>
      </c>
      <c r="BG108" s="6">
        <f t="shared" si="99"/>
        <v>0.84662888344730325</v>
      </c>
      <c r="BH108" s="6">
        <f t="shared" si="81"/>
        <v>0.34524611053733661</v>
      </c>
      <c r="BI108" s="6">
        <f t="shared" si="82"/>
        <v>0.34524611053733661</v>
      </c>
      <c r="BJ108">
        <v>-183.81482407640411</v>
      </c>
      <c r="BK108">
        <v>87.642640334804483</v>
      </c>
      <c r="BV108" s="38"/>
      <c r="BW108" s="6">
        <f t="shared" si="83"/>
        <v>1.6231562043547283</v>
      </c>
      <c r="BX108" s="9">
        <f t="shared" ca="1" si="84"/>
        <v>-27.663145603932904</v>
      </c>
      <c r="BY108" s="9">
        <f t="shared" ca="1" si="85"/>
        <v>39.917311508628259</v>
      </c>
      <c r="BZ108" s="9">
        <f t="shared" ca="1" si="86"/>
        <v>-93.735787485662314</v>
      </c>
      <c r="CA108" s="6">
        <f t="shared" ca="1" si="87"/>
        <v>61.941525469204734</v>
      </c>
      <c r="CB108" s="6">
        <f t="shared" ca="1" si="88"/>
        <v>2.5576557831086584</v>
      </c>
      <c r="CC108" s="6">
        <f t="shared" ca="1" si="89"/>
        <v>-4.5193415379986668E-2</v>
      </c>
      <c r="CD108" s="9">
        <f t="shared" si="90"/>
        <v>-83.735787485662314</v>
      </c>
      <c r="CE108" s="9">
        <f t="shared" si="91"/>
        <v>60.941525469204727</v>
      </c>
      <c r="CF108" s="6">
        <f t="shared" si="92"/>
        <v>2.5124623677286717</v>
      </c>
      <c r="CG108" s="6"/>
      <c r="CH108" s="6"/>
      <c r="CI108" s="6"/>
      <c r="CJ108" s="1"/>
      <c r="CK108" s="6"/>
    </row>
    <row r="109" spans="1:89" x14ac:dyDescent="0.2">
      <c r="A109">
        <f t="shared" si="100"/>
        <v>6</v>
      </c>
      <c r="B109">
        <f t="shared" si="100"/>
        <v>0</v>
      </c>
      <c r="C109">
        <f t="shared" ca="1" si="100"/>
        <v>0</v>
      </c>
      <c r="D109" s="9">
        <f t="shared" si="101"/>
        <v>-6</v>
      </c>
      <c r="E109" s="5">
        <f t="shared" si="102"/>
        <v>-3.34</v>
      </c>
      <c r="F109" s="5">
        <f t="shared" ca="1" si="103"/>
        <v>0</v>
      </c>
      <c r="G109">
        <f t="shared" ca="1" si="104"/>
        <v>0</v>
      </c>
      <c r="H109">
        <f t="shared" ca="1" si="105"/>
        <v>0</v>
      </c>
      <c r="J109">
        <f t="shared" ca="1" si="106"/>
        <v>0</v>
      </c>
      <c r="K109">
        <f t="shared" ca="1" si="107"/>
        <v>0</v>
      </c>
      <c r="L109">
        <f t="shared" ca="1" si="108"/>
        <v>0</v>
      </c>
      <c r="BC109">
        <v>1.8675022996339348</v>
      </c>
      <c r="BD109">
        <v>-120.9711961999257</v>
      </c>
      <c r="BE109">
        <v>56.504538872742025</v>
      </c>
      <c r="BF109" s="6">
        <f t="shared" si="98"/>
        <v>2.7046172245758764</v>
      </c>
      <c r="BG109" s="6">
        <f t="shared" si="99"/>
        <v>0.83711492494194162</v>
      </c>
      <c r="BH109" s="6">
        <f t="shared" si="81"/>
        <v>0.33730677652275487</v>
      </c>
      <c r="BI109" s="6">
        <f t="shared" si="82"/>
        <v>0.33730677652275487</v>
      </c>
      <c r="BJ109">
        <v>-186.1095326152703</v>
      </c>
      <c r="BK109">
        <v>86.930059804218502</v>
      </c>
      <c r="BV109" s="38"/>
      <c r="BW109" s="6">
        <f t="shared" si="83"/>
        <v>1.6406094968746716</v>
      </c>
      <c r="BX109" s="9">
        <f t="shared" ca="1" si="84"/>
        <v>-30.113242716460036</v>
      </c>
      <c r="BY109" s="9">
        <f t="shared" ca="1" si="85"/>
        <v>39.618476676357872</v>
      </c>
      <c r="BZ109" s="9">
        <f t="shared" ca="1" si="86"/>
        <v>-96.185884598189446</v>
      </c>
      <c r="CA109" s="6">
        <f t="shared" ca="1" si="87"/>
        <v>61.642690636934347</v>
      </c>
      <c r="CB109" s="6">
        <f t="shared" ca="1" si="88"/>
        <v>2.571662194664508</v>
      </c>
      <c r="CC109" s="6">
        <f t="shared" ca="1" si="89"/>
        <v>-4.3225395748526914E-2</v>
      </c>
      <c r="CD109" s="9">
        <f t="shared" si="90"/>
        <v>-86.185884598189446</v>
      </c>
      <c r="CE109" s="9">
        <f t="shared" si="91"/>
        <v>60.642690636934347</v>
      </c>
      <c r="CF109" s="6">
        <f t="shared" si="92"/>
        <v>2.5284367989159811</v>
      </c>
      <c r="CG109" s="6"/>
      <c r="CH109" s="6"/>
      <c r="CI109" s="6"/>
      <c r="CJ109" s="1"/>
      <c r="CK109" s="6"/>
    </row>
    <row r="110" spans="1:89" x14ac:dyDescent="0.2">
      <c r="A110">
        <f t="shared" si="100"/>
        <v>7</v>
      </c>
      <c r="B110">
        <f t="shared" si="100"/>
        <v>0</v>
      </c>
      <c r="C110">
        <f t="shared" ca="1" si="100"/>
        <v>0</v>
      </c>
      <c r="D110" s="9">
        <f t="shared" si="101"/>
        <v>-4</v>
      </c>
      <c r="E110" s="5">
        <f t="shared" si="102"/>
        <v>10</v>
      </c>
      <c r="F110" s="5">
        <f t="shared" ca="1" si="103"/>
        <v>0</v>
      </c>
      <c r="G110">
        <f t="shared" ca="1" si="104"/>
        <v>0</v>
      </c>
      <c r="H110">
        <f t="shared" ca="1" si="105"/>
        <v>0</v>
      </c>
      <c r="J110">
        <f t="shared" ca="1" si="106"/>
        <v>0</v>
      </c>
      <c r="K110">
        <f t="shared" ca="1" si="107"/>
        <v>0</v>
      </c>
      <c r="L110">
        <f t="shared" ca="1" si="108"/>
        <v>0</v>
      </c>
      <c r="BC110">
        <v>1.8849555921538781</v>
      </c>
      <c r="BD110">
        <v>-122.40242297737007</v>
      </c>
      <c r="BE110">
        <v>56.033993486686619</v>
      </c>
      <c r="BF110" s="6">
        <f t="shared" si="98"/>
        <v>2.7122836087138773</v>
      </c>
      <c r="BG110" s="6">
        <f t="shared" si="99"/>
        <v>0.82732801655999921</v>
      </c>
      <c r="BH110" s="6">
        <f t="shared" si="81"/>
        <v>0.32964039238475396</v>
      </c>
      <c r="BI110" s="6">
        <f t="shared" si="82"/>
        <v>0.32964039238475396</v>
      </c>
      <c r="BJ110">
        <v>-188.31141996518471</v>
      </c>
      <c r="BK110">
        <v>86.206143825671717</v>
      </c>
      <c r="BV110" s="38"/>
      <c r="BW110" s="6">
        <f t="shared" si="83"/>
        <v>1.6580627893946149</v>
      </c>
      <c r="BX110" s="9">
        <f t="shared" ca="1" si="84"/>
        <v>-32.47954509496131</v>
      </c>
      <c r="BY110" s="9">
        <f t="shared" ca="1" si="85"/>
        <v>39.303341497131555</v>
      </c>
      <c r="BZ110" s="9">
        <f t="shared" ca="1" si="86"/>
        <v>-98.55218697669072</v>
      </c>
      <c r="CA110" s="6">
        <f t="shared" ca="1" si="87"/>
        <v>61.32755545770803</v>
      </c>
      <c r="CB110" s="6">
        <f t="shared" ca="1" si="88"/>
        <v>2.5849480235924771</v>
      </c>
      <c r="CC110" s="6">
        <f t="shared" ca="1" si="89"/>
        <v>-4.1396919862688009E-2</v>
      </c>
      <c r="CD110" s="9">
        <f t="shared" si="90"/>
        <v>-88.55218697669072</v>
      </c>
      <c r="CE110" s="9">
        <f t="shared" si="91"/>
        <v>60.327555457708023</v>
      </c>
      <c r="CF110" s="6">
        <f t="shared" si="92"/>
        <v>2.5435511037297891</v>
      </c>
      <c r="CG110" s="6"/>
      <c r="CH110" s="6"/>
      <c r="CI110" s="6"/>
      <c r="CJ110" s="1"/>
      <c r="CK110" s="6"/>
    </row>
    <row r="111" spans="1:89" x14ac:dyDescent="0.2">
      <c r="A111">
        <f t="shared" si="100"/>
        <v>8</v>
      </c>
      <c r="B111">
        <f t="shared" si="100"/>
        <v>0</v>
      </c>
      <c r="C111">
        <f t="shared" ca="1" si="100"/>
        <v>0</v>
      </c>
      <c r="D111" s="9">
        <f t="shared" si="101"/>
        <v>4</v>
      </c>
      <c r="E111" s="5">
        <f t="shared" si="102"/>
        <v>10</v>
      </c>
      <c r="F111" s="5">
        <f t="shared" ca="1" si="103"/>
        <v>0</v>
      </c>
      <c r="G111">
        <f t="shared" ca="1" si="104"/>
        <v>0</v>
      </c>
      <c r="H111">
        <f t="shared" ca="1" si="105"/>
        <v>0</v>
      </c>
      <c r="J111">
        <f t="shared" ca="1" si="106"/>
        <v>0</v>
      </c>
      <c r="K111">
        <f t="shared" ca="1" si="107"/>
        <v>0</v>
      </c>
      <c r="L111">
        <f t="shared" ca="1" si="108"/>
        <v>0</v>
      </c>
      <c r="BC111">
        <v>1.9024088846738214</v>
      </c>
      <c r="BD111">
        <v>-123.77478871160795</v>
      </c>
      <c r="BE111">
        <v>55.55756498729734</v>
      </c>
      <c r="BF111" s="6">
        <f t="shared" si="98"/>
        <v>2.7196870671205886</v>
      </c>
      <c r="BG111" s="6">
        <f t="shared" si="99"/>
        <v>0.8172781824467672</v>
      </c>
      <c r="BH111" s="6">
        <f t="shared" si="81"/>
        <v>0.32223693397804265</v>
      </c>
      <c r="BI111" s="6">
        <f t="shared" si="82"/>
        <v>0.32223693397804265</v>
      </c>
      <c r="BJ111">
        <v>-190.42275186401224</v>
      </c>
      <c r="BK111">
        <v>85.473176903534366</v>
      </c>
      <c r="BV111" s="38"/>
      <c r="BW111" s="6">
        <f t="shared" si="83"/>
        <v>1.6755160819145583</v>
      </c>
      <c r="BX111" s="9">
        <f t="shared" ca="1" si="84"/>
        <v>-34.762840502749455</v>
      </c>
      <c r="BY111" s="9">
        <f t="shared" ca="1" si="85"/>
        <v>38.972647016965624</v>
      </c>
      <c r="BZ111" s="9">
        <f t="shared" ca="1" si="86"/>
        <v>-100.83548238447887</v>
      </c>
      <c r="CA111" s="6">
        <f t="shared" ca="1" si="87"/>
        <v>60.996860977542099</v>
      </c>
      <c r="CB111" s="6">
        <f t="shared" ca="1" si="88"/>
        <v>2.5975672708953175</v>
      </c>
      <c r="CC111" s="6">
        <f t="shared" ca="1" si="89"/>
        <v>-3.9696021245592572E-2</v>
      </c>
      <c r="CD111" s="9">
        <f t="shared" si="90"/>
        <v>-90.835482384478865</v>
      </c>
      <c r="CE111" s="9">
        <f t="shared" si="91"/>
        <v>59.996860977542099</v>
      </c>
      <c r="CF111" s="6">
        <f t="shared" si="92"/>
        <v>2.5578712496497249</v>
      </c>
      <c r="CG111" s="6"/>
      <c r="CH111" s="6"/>
      <c r="CI111" s="6"/>
      <c r="CJ111" s="1"/>
      <c r="CK111" s="6"/>
    </row>
    <row r="112" spans="1:89" x14ac:dyDescent="0.2">
      <c r="A112">
        <f t="shared" si="100"/>
        <v>9</v>
      </c>
      <c r="B112">
        <f t="shared" si="100"/>
        <v>0</v>
      </c>
      <c r="C112">
        <f t="shared" ca="1" si="100"/>
        <v>0</v>
      </c>
      <c r="D112" s="9">
        <f t="shared" si="101"/>
        <v>-4</v>
      </c>
      <c r="E112" s="5">
        <f t="shared" si="102"/>
        <v>-10</v>
      </c>
      <c r="F112" s="5">
        <f t="shared" ca="1" si="103"/>
        <v>0</v>
      </c>
      <c r="G112">
        <f t="shared" ca="1" si="104"/>
        <v>0</v>
      </c>
      <c r="H112">
        <f t="shared" ca="1" si="105"/>
        <v>0</v>
      </c>
      <c r="J112">
        <f t="shared" ca="1" si="106"/>
        <v>0</v>
      </c>
      <c r="K112">
        <f t="shared" ca="1" si="107"/>
        <v>0</v>
      </c>
      <c r="L112">
        <f t="shared" ca="1" si="108"/>
        <v>0</v>
      </c>
      <c r="BC112">
        <v>1.9198621771937647</v>
      </c>
      <c r="BD112">
        <v>-125.08983054613611</v>
      </c>
      <c r="BE112">
        <v>55.076709773621886</v>
      </c>
      <c r="BF112" s="6">
        <f t="shared" si="98"/>
        <v>2.7268367605188137</v>
      </c>
      <c r="BG112" s="6">
        <f t="shared" si="99"/>
        <v>0.80697458332504901</v>
      </c>
      <c r="BH112" s="6">
        <f t="shared" si="81"/>
        <v>0.31508724057981752</v>
      </c>
      <c r="BI112" s="6">
        <f t="shared" si="82"/>
        <v>0.31508724057981752</v>
      </c>
      <c r="BJ112">
        <v>-192.4458931479017</v>
      </c>
      <c r="BK112">
        <v>84.733399651725975</v>
      </c>
      <c r="BV112" s="38"/>
      <c r="BW112" s="6">
        <f t="shared" si="83"/>
        <v>1.6929693744345016</v>
      </c>
      <c r="BX112" s="9">
        <f t="shared" ca="1" si="84"/>
        <v>-36.964320124493355</v>
      </c>
      <c r="BY112" s="9">
        <f t="shared" ca="1" si="85"/>
        <v>38.627098455095563</v>
      </c>
      <c r="BZ112" s="9">
        <f t="shared" ca="1" si="86"/>
        <v>-103.03696200622277</v>
      </c>
      <c r="CA112" s="6">
        <f t="shared" ca="1" si="87"/>
        <v>60.651312415672038</v>
      </c>
      <c r="CB112" s="6">
        <f t="shared" ca="1" si="88"/>
        <v>2.6095706012482962</v>
      </c>
      <c r="CC112" s="6">
        <f t="shared" ca="1" si="89"/>
        <v>-3.8111606621010985E-2</v>
      </c>
      <c r="CD112" s="9">
        <f t="shared" si="90"/>
        <v>-93.036962006222765</v>
      </c>
      <c r="CE112" s="9">
        <f t="shared" si="91"/>
        <v>59.651312415672031</v>
      </c>
      <c r="CF112" s="6">
        <f t="shared" si="92"/>
        <v>2.5714589946272852</v>
      </c>
      <c r="CG112" s="6"/>
      <c r="CH112" s="6"/>
      <c r="CI112" s="6"/>
      <c r="CJ112" s="1"/>
      <c r="CK112" s="6"/>
    </row>
    <row r="113" spans="1:89" x14ac:dyDescent="0.2">
      <c r="A113">
        <f t="shared" si="100"/>
        <v>10</v>
      </c>
      <c r="B113">
        <f t="shared" si="100"/>
        <v>0</v>
      </c>
      <c r="C113">
        <f t="shared" ca="1" si="100"/>
        <v>0</v>
      </c>
      <c r="D113" s="9">
        <f t="shared" si="101"/>
        <v>4</v>
      </c>
      <c r="E113" s="5">
        <f t="shared" si="102"/>
        <v>-10</v>
      </c>
      <c r="F113" s="5">
        <f t="shared" ca="1" si="103"/>
        <v>0</v>
      </c>
      <c r="G113">
        <f t="shared" ca="1" si="104"/>
        <v>0</v>
      </c>
      <c r="H113">
        <f t="shared" ca="1" si="105"/>
        <v>0</v>
      </c>
      <c r="J113">
        <f t="shared" ca="1" si="106"/>
        <v>0</v>
      </c>
      <c r="K113">
        <f t="shared" ca="1" si="107"/>
        <v>0</v>
      </c>
      <c r="L113">
        <f t="shared" ca="1" si="108"/>
        <v>0</v>
      </c>
      <c r="BC113">
        <v>1.937315469713708</v>
      </c>
      <c r="BD113">
        <v>-126.34916433957039</v>
      </c>
      <c r="BE113">
        <v>54.592804622417539</v>
      </c>
      <c r="BF113" s="6">
        <f t="shared" si="98"/>
        <v>2.7337414478191211</v>
      </c>
      <c r="BG113" s="6">
        <f t="shared" si="99"/>
        <v>0.79642597810541305</v>
      </c>
      <c r="BH113" s="6">
        <f t="shared" si="81"/>
        <v>0.30818255327951016</v>
      </c>
      <c r="BI113" s="6">
        <f t="shared" si="82"/>
        <v>0.30818255327951016</v>
      </c>
      <c r="BJ113">
        <v>-194.38332975318522</v>
      </c>
      <c r="BK113">
        <v>83.988930188334677</v>
      </c>
      <c r="BV113" s="38"/>
      <c r="BW113" s="6">
        <f t="shared" si="83"/>
        <v>1.7104226669544449</v>
      </c>
      <c r="BX113" s="9">
        <f t="shared" ca="1" si="84"/>
        <v>-39.085500140357084</v>
      </c>
      <c r="BY113" s="9">
        <f t="shared" ca="1" si="85"/>
        <v>38.267360028615556</v>
      </c>
      <c r="BZ113" s="9">
        <f t="shared" ca="1" si="86"/>
        <v>-105.15814202208649</v>
      </c>
      <c r="CA113" s="6">
        <f t="shared" ca="1" si="87"/>
        <v>60.291573989192031</v>
      </c>
      <c r="CB113" s="6">
        <f t="shared" ca="1" si="88"/>
        <v>2.6210053366877775</v>
      </c>
      <c r="CC113" s="6">
        <f t="shared" ca="1" si="89"/>
        <v>-3.6633454848569176E-2</v>
      </c>
      <c r="CD113" s="9">
        <f t="shared" si="90"/>
        <v>-95.158142022086494</v>
      </c>
      <c r="CE113" s="9">
        <f t="shared" si="91"/>
        <v>59.291573989192031</v>
      </c>
      <c r="CF113" s="6">
        <f t="shared" si="92"/>
        <v>2.5843718818392083</v>
      </c>
      <c r="CG113" s="6"/>
      <c r="CH113" s="6"/>
      <c r="CI113" s="6"/>
      <c r="CJ113" s="1"/>
      <c r="CK113" s="6"/>
    </row>
    <row r="114" spans="1:89" x14ac:dyDescent="0.2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1.9547687622336514</v>
      </c>
      <c r="BD114">
        <v>-127.55447998184287</v>
      </c>
      <c r="BE114">
        <v>54.107119085322488</v>
      </c>
      <c r="BF114" s="6">
        <f t="shared" si="98"/>
        <v>2.7404097171210546</v>
      </c>
      <c r="BG114" s="6">
        <f t="shared" si="99"/>
        <v>0.78564095488740326</v>
      </c>
      <c r="BH114" s="6">
        <f t="shared" si="81"/>
        <v>0.30151428397757662</v>
      </c>
      <c r="BI114" s="6">
        <f t="shared" si="82"/>
        <v>0.30151428397757662</v>
      </c>
      <c r="BJ114">
        <v>-196.23766151052749</v>
      </c>
      <c r="BK114">
        <v>83.2417216697269</v>
      </c>
      <c r="BV114" s="38"/>
      <c r="BW114" s="6">
        <f t="shared" si="83"/>
        <v>1.7278759594743882</v>
      </c>
      <c r="BX114" s="9">
        <f t="shared" ca="1" si="84"/>
        <v>-41.128153814457093</v>
      </c>
      <c r="BY114" s="9">
        <f t="shared" ca="1" si="85"/>
        <v>37.894051203143789</v>
      </c>
      <c r="BZ114" s="9">
        <f t="shared" ca="1" si="86"/>
        <v>-107.2007956961865</v>
      </c>
      <c r="CA114" s="6">
        <f t="shared" ca="1" si="87"/>
        <v>59.918265163720264</v>
      </c>
      <c r="CB114" s="6">
        <f t="shared" ca="1" si="88"/>
        <v>2.6319155311435707</v>
      </c>
      <c r="CC114" s="6">
        <f t="shared" ca="1" si="89"/>
        <v>-3.5252191325091164E-2</v>
      </c>
      <c r="CD114" s="9">
        <f t="shared" si="90"/>
        <v>-97.200795696186503</v>
      </c>
      <c r="CE114" s="9">
        <f t="shared" si="91"/>
        <v>58.918265163720257</v>
      </c>
      <c r="CF114" s="6">
        <f t="shared" si="92"/>
        <v>2.5966633398184795</v>
      </c>
      <c r="CG114" s="6"/>
      <c r="CH114" s="6"/>
      <c r="CI114" s="6"/>
      <c r="CJ114" s="1"/>
      <c r="CK114" s="6"/>
    </row>
    <row r="115" spans="1:89" x14ac:dyDescent="0.2">
      <c r="A115" s="8" t="s">
        <v>99</v>
      </c>
      <c r="B115" s="5">
        <f ca="1">B100+F114</f>
        <v>910.1105</v>
      </c>
      <c r="J115">
        <f ca="1">J114</f>
        <v>-170.64000000000001</v>
      </c>
      <c r="BC115">
        <v>1.9722220547535947</v>
      </c>
      <c r="BD115">
        <v>-128.70752771478516</v>
      </c>
      <c r="BE115">
        <v>53.620802747931819</v>
      </c>
      <c r="BF115" s="6">
        <f t="shared" si="98"/>
        <v>2.7468500861757947</v>
      </c>
      <c r="BG115" s="6">
        <f t="shared" si="99"/>
        <v>0.77462803142220005</v>
      </c>
      <c r="BH115" s="6">
        <f t="shared" si="81"/>
        <v>0.29507391492283652</v>
      </c>
      <c r="BI115" s="6">
        <f t="shared" si="82"/>
        <v>0.29507391492283652</v>
      </c>
      <c r="BJ115">
        <v>-198.01158109966946</v>
      </c>
      <c r="BK115">
        <v>82.493542689125874</v>
      </c>
      <c r="BV115" s="38"/>
      <c r="BW115" s="6">
        <f t="shared" si="83"/>
        <v>1.7453292519943315</v>
      </c>
      <c r="BX115" s="9">
        <f t="shared" ca="1" si="84"/>
        <v>-43.094253175131556</v>
      </c>
      <c r="BY115" s="9">
        <f t="shared" ca="1" si="85"/>
        <v>37.507744201240655</v>
      </c>
      <c r="BZ115" s="9">
        <f t="shared" ca="1" si="86"/>
        <v>-109.16689505686097</v>
      </c>
      <c r="CA115" s="6">
        <f t="shared" ca="1" si="87"/>
        <v>59.53195816181713</v>
      </c>
      <c r="CB115" s="6">
        <f t="shared" ca="1" si="88"/>
        <v>2.642342098730607</v>
      </c>
      <c r="CC115" s="6">
        <f t="shared" ca="1" si="89"/>
        <v>-3.3959246763281214E-2</v>
      </c>
      <c r="CD115" s="9">
        <f t="shared" si="90"/>
        <v>-99.166895056860966</v>
      </c>
      <c r="CE115" s="9">
        <f t="shared" si="91"/>
        <v>58.53195816181713</v>
      </c>
      <c r="CF115" s="6">
        <f t="shared" si="92"/>
        <v>2.6083828519673258</v>
      </c>
      <c r="CG115" s="6"/>
      <c r="CH115" s="6"/>
      <c r="CI115" s="6"/>
      <c r="CJ115" s="1"/>
      <c r="CK115" s="6"/>
    </row>
    <row r="116" spans="1:89" x14ac:dyDescent="0.2">
      <c r="A116" s="8" t="s">
        <v>100</v>
      </c>
      <c r="B116" s="5">
        <f ca="1">B101+G114</f>
        <v>-1030.5945000000002</v>
      </c>
      <c r="C116">
        <f ca="1">B116/12</f>
        <v>-85.882875000000013</v>
      </c>
      <c r="J116">
        <f ca="1">K114</f>
        <v>1535.76</v>
      </c>
      <c r="K116">
        <f ca="1">J116/12</f>
        <v>127.98</v>
      </c>
      <c r="BC116">
        <v>1.989675347273538</v>
      </c>
      <c r="BD116">
        <v>-129.81010114008168</v>
      </c>
      <c r="BE116">
        <v>53.134881893454207</v>
      </c>
      <c r="BF116" s="6">
        <f t="shared" si="98"/>
        <v>2.7530710307837003</v>
      </c>
      <c r="BG116" s="6">
        <f t="shared" si="99"/>
        <v>0.76339568351016229</v>
      </c>
      <c r="BH116" s="6">
        <f t="shared" si="81"/>
        <v>0.28885297031493096</v>
      </c>
      <c r="BI116" s="6">
        <f t="shared" si="82"/>
        <v>0.28885297031493096</v>
      </c>
      <c r="BJ116">
        <v>-199.70784790781798</v>
      </c>
      <c r="BK116">
        <v>81.745972143775703</v>
      </c>
      <c r="BV116" s="38"/>
      <c r="BW116" s="6">
        <f t="shared" si="83"/>
        <v>1.7627825445142749</v>
      </c>
      <c r="BX116" s="9">
        <f t="shared" ca="1" si="84"/>
        <v>-44.985919228742475</v>
      </c>
      <c r="BY116" s="9">
        <f t="shared" ca="1" si="85"/>
        <v>37.108962396148982</v>
      </c>
      <c r="BZ116" s="9">
        <f t="shared" ca="1" si="86"/>
        <v>-111.05856111047189</v>
      </c>
      <c r="CA116" s="6">
        <f t="shared" ca="1" si="87"/>
        <v>59.133176356725457</v>
      </c>
      <c r="CB116" s="6">
        <f t="shared" ca="1" si="88"/>
        <v>2.6523229766712837</v>
      </c>
      <c r="CC116" s="6">
        <f t="shared" ca="1" si="89"/>
        <v>-3.2746806806204017E-2</v>
      </c>
      <c r="CD116" s="9">
        <f t="shared" si="90"/>
        <v>-101.05856111047189</v>
      </c>
      <c r="CE116" s="9">
        <f t="shared" si="91"/>
        <v>58.13317635672545</v>
      </c>
      <c r="CF116" s="6">
        <f t="shared" si="92"/>
        <v>2.6195761698650797</v>
      </c>
      <c r="CG116" s="6"/>
      <c r="CH116" s="6"/>
      <c r="CI116" s="6"/>
      <c r="CJ116" s="1"/>
      <c r="CK116" s="6"/>
    </row>
    <row r="117" spans="1:89" x14ac:dyDescent="0.2">
      <c r="A117" s="8" t="s">
        <v>101</v>
      </c>
      <c r="B117" s="5">
        <f ca="1">B102+H114</f>
        <v>343.53149999999999</v>
      </c>
      <c r="C117">
        <f ca="1">B117/12</f>
        <v>28.627624999999998</v>
      </c>
      <c r="J117">
        <f ca="1">L114</f>
        <v>-511.92</v>
      </c>
      <c r="K117">
        <f ca="1">J117/12</f>
        <v>-42.660000000000004</v>
      </c>
      <c r="BC117">
        <v>2.0071286397934811</v>
      </c>
      <c r="BD117">
        <v>-130.86401984739109</v>
      </c>
      <c r="BE117">
        <v>52.650261915035294</v>
      </c>
      <c r="BF117" s="6">
        <f t="shared" si="98"/>
        <v>2.7590809756834127</v>
      </c>
      <c r="BG117" s="6">
        <f t="shared" si="99"/>
        <v>0.7519523358899316</v>
      </c>
      <c r="BH117" s="6">
        <f t="shared" si="81"/>
        <v>0.2828430254152185</v>
      </c>
      <c r="BI117" s="6">
        <f t="shared" si="82"/>
        <v>0.2828430254152185</v>
      </c>
      <c r="BJ117">
        <v>-201.32926130367861</v>
      </c>
      <c r="BK117">
        <v>81.000402946208141</v>
      </c>
      <c r="BV117" s="38"/>
      <c r="BW117" s="6">
        <f t="shared" si="83"/>
        <v>1.7802358370342182</v>
      </c>
      <c r="BX117" s="9">
        <f t="shared" ca="1" si="84"/>
        <v>-46.805379822795956</v>
      </c>
      <c r="BY117" s="9">
        <f t="shared" ca="1" si="85"/>
        <v>36.698179512960721</v>
      </c>
      <c r="BZ117" s="9">
        <f t="shared" ca="1" si="86"/>
        <v>-112.87802170452537</v>
      </c>
      <c r="CA117" s="6">
        <f t="shared" ca="1" si="87"/>
        <v>58.722393473537196</v>
      </c>
      <c r="CB117" s="6">
        <f t="shared" ca="1" si="88"/>
        <v>2.6618933077183078</v>
      </c>
      <c r="CC117" s="6">
        <f t="shared" ca="1" si="89"/>
        <v>-3.1607757084544108E-2</v>
      </c>
      <c r="CD117" s="9">
        <f t="shared" si="90"/>
        <v>-102.87802170452537</v>
      </c>
      <c r="CE117" s="9">
        <f t="shared" si="91"/>
        <v>57.722393473537188</v>
      </c>
      <c r="CF117" s="6">
        <f t="shared" si="92"/>
        <v>2.6302855506337637</v>
      </c>
      <c r="CG117" s="6"/>
      <c r="CH117" s="6"/>
      <c r="CI117" s="6"/>
      <c r="CJ117" s="1"/>
      <c r="CK117" s="6"/>
    </row>
    <row r="118" spans="1:89" x14ac:dyDescent="0.2">
      <c r="BC118">
        <v>2.0245819323134242</v>
      </c>
      <c r="BD118">
        <v>-131.87111328573516</v>
      </c>
      <c r="BE118">
        <v>52.167733164506025</v>
      </c>
      <c r="BF118" s="6">
        <f t="shared" si="98"/>
        <v>2.7648882679031805</v>
      </c>
      <c r="BG118" s="6">
        <f t="shared" si="99"/>
        <v>0.74030633558975634</v>
      </c>
      <c r="BH118" s="6">
        <f t="shared" si="81"/>
        <v>0.27703573319545072</v>
      </c>
      <c r="BI118" s="6">
        <f t="shared" si="82"/>
        <v>0.27703573319545072</v>
      </c>
      <c r="BJ118">
        <v>-202.87863582420795</v>
      </c>
      <c r="BK118">
        <v>80.258051022316963</v>
      </c>
      <c r="BV118" s="38"/>
      <c r="BW118" s="6">
        <f t="shared" si="83"/>
        <v>1.7976891295541615</v>
      </c>
      <c r="BX118" s="9">
        <f t="shared" ca="1" si="84"/>
        <v>-48.55493417687309</v>
      </c>
      <c r="BY118" s="9">
        <f t="shared" ca="1" si="85"/>
        <v>36.275819348767087</v>
      </c>
      <c r="BZ118" s="9">
        <f t="shared" ca="1" si="86"/>
        <v>-114.6275760586025</v>
      </c>
      <c r="CA118" s="6">
        <f t="shared" ca="1" si="87"/>
        <v>58.300033309343561</v>
      </c>
      <c r="CB118" s="6">
        <f t="shared" ca="1" si="88"/>
        <v>2.6710856321223932</v>
      </c>
      <c r="CC118" s="6">
        <f t="shared" ca="1" si="89"/>
        <v>-3.0535626902529422E-2</v>
      </c>
      <c r="CD118" s="9">
        <f t="shared" si="90"/>
        <v>-104.6275760586025</v>
      </c>
      <c r="CE118" s="9">
        <f t="shared" si="91"/>
        <v>57.300033309343561</v>
      </c>
      <c r="CF118" s="6">
        <f t="shared" si="92"/>
        <v>2.6405500052198638</v>
      </c>
      <c r="CG118" s="6"/>
      <c r="CH118" s="6"/>
      <c r="CI118" s="6"/>
      <c r="CJ118" s="1"/>
      <c r="CK118" s="6"/>
    </row>
    <row r="119" spans="1:89" x14ac:dyDescent="0.2">
      <c r="A119" s="8" t="s">
        <v>8</v>
      </c>
      <c r="B119">
        <f ca="1">B117/B115</f>
        <v>0.37746130826971008</v>
      </c>
      <c r="J119">
        <f ca="1">J117/J115</f>
        <v>3</v>
      </c>
      <c r="BC119">
        <v>2.0420352248333673</v>
      </c>
      <c r="BD119">
        <v>-132.83320661924262</v>
      </c>
      <c r="BE119">
        <v>51.687978702609819</v>
      </c>
      <c r="BF119" s="6">
        <f t="shared" si="98"/>
        <v>2.7705011440608036</v>
      </c>
      <c r="BG119" s="6">
        <f t="shared" si="99"/>
        <v>0.72846591922743631</v>
      </c>
      <c r="BH119" s="6">
        <f t="shared" si="81"/>
        <v>0.2714228570378277</v>
      </c>
      <c r="BI119" s="6">
        <f t="shared" si="82"/>
        <v>0.2714228570378277</v>
      </c>
      <c r="BJ119">
        <v>-204.35877941421941</v>
      </c>
      <c r="BK119">
        <v>79.519967234784332</v>
      </c>
      <c r="BV119" s="38"/>
      <c r="BW119" s="6">
        <f t="shared" si="83"/>
        <v>1.8151424220741048</v>
      </c>
      <c r="BX119" s="9">
        <f t="shared" ca="1" si="84"/>
        <v>-50.236923249126519</v>
      </c>
      <c r="BY119" s="9">
        <f t="shared" ca="1" si="85"/>
        <v>35.842256023062944</v>
      </c>
      <c r="BZ119" s="9">
        <f t="shared" ca="1" si="86"/>
        <v>-116.30956513085593</v>
      </c>
      <c r="CA119" s="6">
        <f t="shared" ca="1" si="87"/>
        <v>57.866469983639419</v>
      </c>
      <c r="CB119" s="6">
        <f t="shared" ca="1" si="88"/>
        <v>2.6799300806999611</v>
      </c>
      <c r="CC119" s="6">
        <f t="shared" ca="1" si="89"/>
        <v>-2.9524533755364679E-2</v>
      </c>
      <c r="CD119" s="9">
        <f t="shared" si="90"/>
        <v>-106.30956513085593</v>
      </c>
      <c r="CE119" s="9">
        <f t="shared" si="91"/>
        <v>56.866469983639419</v>
      </c>
      <c r="CF119" s="6">
        <f t="shared" si="92"/>
        <v>2.6504055469445964</v>
      </c>
      <c r="CG119" s="6"/>
      <c r="CH119" s="6"/>
      <c r="CI119" s="6"/>
      <c r="CJ119" s="1"/>
      <c r="CK119" s="6"/>
    </row>
    <row r="120" spans="1:89" x14ac:dyDescent="0.2">
      <c r="A120" s="8" t="s">
        <v>9</v>
      </c>
      <c r="B120">
        <f ca="1">B116/B115</f>
        <v>-1.1323839248091305</v>
      </c>
      <c r="J120">
        <f ca="1">J116/J115</f>
        <v>-9</v>
      </c>
      <c r="BC120">
        <v>2.0594885173533104</v>
      </c>
      <c r="BD120">
        <v>-133.7521087489811</v>
      </c>
      <c r="BE120">
        <v>51.211582909781846</v>
      </c>
      <c r="BF120" s="6">
        <f t="shared" si="98"/>
        <v>2.775927698018708</v>
      </c>
      <c r="BG120" s="6">
        <f t="shared" si="99"/>
        <v>0.71643918066539758</v>
      </c>
      <c r="BH120" s="6">
        <f t="shared" si="81"/>
        <v>0.26599630307992328</v>
      </c>
      <c r="BI120" s="6">
        <f t="shared" si="82"/>
        <v>0.26599630307992328</v>
      </c>
      <c r="BJ120">
        <v>-205.77247499843244</v>
      </c>
      <c r="BK120">
        <v>78.787050630433612</v>
      </c>
      <c r="BV120" s="38"/>
      <c r="BW120" s="6">
        <f t="shared" si="83"/>
        <v>1.8325957145940481</v>
      </c>
      <c r="BX120" s="9">
        <f t="shared" ca="1" si="84"/>
        <v>-51.853639566365899</v>
      </c>
      <c r="BY120" s="9">
        <f t="shared" ca="1" si="85"/>
        <v>35.397885986052898</v>
      </c>
      <c r="BZ120" s="9">
        <f t="shared" ca="1" si="86"/>
        <v>-117.92628144809531</v>
      </c>
      <c r="CA120" s="6">
        <f t="shared" ca="1" si="87"/>
        <v>57.422099946629373</v>
      </c>
      <c r="CB120" s="6">
        <f t="shared" ca="1" si="88"/>
        <v>2.6884538559109377</v>
      </c>
      <c r="CC120" s="6">
        <f t="shared" ca="1" si="89"/>
        <v>-2.8569190784841769E-2</v>
      </c>
      <c r="CD120" s="9">
        <f t="shared" si="90"/>
        <v>-107.92628144809531</v>
      </c>
      <c r="CE120" s="9">
        <f t="shared" si="91"/>
        <v>56.422099946629366</v>
      </c>
      <c r="CF120" s="6">
        <f t="shared" si="92"/>
        <v>2.6598846651260959</v>
      </c>
      <c r="CG120" s="6"/>
      <c r="CH120" s="6"/>
      <c r="CI120" s="6"/>
      <c r="CJ120" s="1"/>
      <c r="CK120" s="6"/>
    </row>
    <row r="121" spans="1:89" x14ac:dyDescent="0.2">
      <c r="BC121">
        <v>2.0769418098732535</v>
      </c>
      <c r="BD121">
        <v>-134.62960251868174</v>
      </c>
      <c r="BE121">
        <v>50.739040328519494</v>
      </c>
      <c r="BF121" s="6">
        <f t="shared" si="98"/>
        <v>2.7811758521361853</v>
      </c>
      <c r="BG121" s="6">
        <f t="shared" si="99"/>
        <v>0.70423404226293185</v>
      </c>
      <c r="BH121" s="6">
        <f t="shared" si="81"/>
        <v>0.26074814896244591</v>
      </c>
      <c r="BI121" s="6">
        <f t="shared" si="82"/>
        <v>0.26074814896244591</v>
      </c>
      <c r="BJ121">
        <v>-207.12246541335651</v>
      </c>
      <c r="BK121">
        <v>78.060062043876144</v>
      </c>
      <c r="BV121" s="38"/>
      <c r="BW121" s="6">
        <f t="shared" si="83"/>
        <v>1.8500490071139915</v>
      </c>
      <c r="BX121" s="9">
        <f t="shared" ca="1" si="84"/>
        <v>-53.406993767933258</v>
      </c>
      <c r="BY121" s="9">
        <f t="shared" ca="1" si="85"/>
        <v>34.943502257046447</v>
      </c>
      <c r="BZ121" s="9">
        <f t="shared" ca="1" si="86"/>
        <v>-119.47963564966267</v>
      </c>
      <c r="CA121" s="6">
        <f t="shared" ca="1" si="87"/>
        <v>56.967716217622922</v>
      </c>
      <c r="CB121" s="6">
        <f t="shared" ca="1" si="88"/>
        <v>2.6966778905612947</v>
      </c>
      <c r="CC121" s="6">
        <f t="shared" ca="1" si="89"/>
        <v>-2.7665150125617544E-2</v>
      </c>
      <c r="CD121" s="9">
        <f t="shared" si="90"/>
        <v>-109.47963564966267</v>
      </c>
      <c r="CE121" s="9">
        <f t="shared" si="91"/>
        <v>55.967716217622915</v>
      </c>
      <c r="CF121" s="6">
        <f t="shared" si="92"/>
        <v>2.6690127404356772</v>
      </c>
      <c r="CG121" s="6"/>
      <c r="CH121" s="6"/>
      <c r="CI121" s="6"/>
      <c r="CJ121" s="1"/>
      <c r="CK121" s="6"/>
    </row>
    <row r="122" spans="1:89" x14ac:dyDescent="0.2">
      <c r="BC122">
        <v>2.0943951023931966</v>
      </c>
      <c r="BD122">
        <v>-135.46743706154129</v>
      </c>
      <c r="BE122">
        <v>50.270764373302754</v>
      </c>
      <c r="BF122" s="6">
        <f t="shared" si="98"/>
        <v>2.7862533335533239</v>
      </c>
      <c r="BG122" s="6">
        <f t="shared" si="99"/>
        <v>0.69185823116012735</v>
      </c>
      <c r="BH122" s="6">
        <f t="shared" si="81"/>
        <v>0.25567066754530732</v>
      </c>
      <c r="BI122" s="6">
        <f t="shared" si="82"/>
        <v>0.25567066754530732</v>
      </c>
      <c r="BJ122">
        <v>-208.41144163314044</v>
      </c>
      <c r="BK122">
        <v>77.33963749738885</v>
      </c>
      <c r="BV122" s="38"/>
      <c r="BW122" s="6">
        <f t="shared" si="83"/>
        <v>1.8675022996339348</v>
      </c>
      <c r="BX122" s="9">
        <f t="shared" ca="1" si="84"/>
        <v>-54.89855431819629</v>
      </c>
      <c r="BY122" s="9">
        <f t="shared" ca="1" si="85"/>
        <v>34.480324912165557</v>
      </c>
      <c r="BZ122" s="9">
        <f t="shared" ca="1" si="86"/>
        <v>-120.9711961999257</v>
      </c>
      <c r="CA122" s="6">
        <f t="shared" ca="1" si="87"/>
        <v>56.504538872742032</v>
      </c>
      <c r="CB122" s="6">
        <f t="shared" ca="1" si="88"/>
        <v>2.7046172245758764</v>
      </c>
      <c r="CC122" s="6">
        <f t="shared" ca="1" si="89"/>
        <v>-2.6808716171121905E-2</v>
      </c>
      <c r="CD122" s="9">
        <f t="shared" si="90"/>
        <v>-110.9711961999257</v>
      </c>
      <c r="CE122" s="9">
        <f t="shared" si="91"/>
        <v>55.504538872742025</v>
      </c>
      <c r="CF122" s="6">
        <f t="shared" si="92"/>
        <v>2.6778085084047545</v>
      </c>
      <c r="CG122" s="6"/>
      <c r="CH122" s="6"/>
      <c r="CI122" s="6"/>
      <c r="CJ122" s="1"/>
      <c r="CK122" s="6"/>
    </row>
    <row r="123" spans="1:89" x14ac:dyDescent="0.2">
      <c r="A123" t="s">
        <v>128</v>
      </c>
      <c r="BC123">
        <v>2.1118483949131397</v>
      </c>
      <c r="BD123">
        <v>-136.26732192159383</v>
      </c>
      <c r="BE123">
        <v>49.807095580503898</v>
      </c>
      <c r="BF123" s="6">
        <f t="shared" si="98"/>
        <v>2.7911676560485965</v>
      </c>
      <c r="BG123" s="6">
        <f t="shared" si="99"/>
        <v>0.67931926113545682</v>
      </c>
      <c r="BH123" s="6">
        <f t="shared" si="81"/>
        <v>0.25075634505003475</v>
      </c>
      <c r="BI123" s="6">
        <f t="shared" si="82"/>
        <v>0.25075634505003475</v>
      </c>
      <c r="BJ123">
        <v>-209.64203372552896</v>
      </c>
      <c r="BK123">
        <v>76.626300893082913</v>
      </c>
      <c r="BV123" s="38"/>
      <c r="BW123" s="6">
        <f t="shared" si="83"/>
        <v>1.8849555921538781</v>
      </c>
      <c r="BX123" s="9">
        <f t="shared" ca="1" si="84"/>
        <v>-56.329781095640655</v>
      </c>
      <c r="BY123" s="9">
        <f t="shared" ca="1" si="85"/>
        <v>34.009779526110151</v>
      </c>
      <c r="BZ123" s="9">
        <f t="shared" ca="1" si="86"/>
        <v>-122.40242297737007</v>
      </c>
      <c r="CA123" s="6">
        <f t="shared" ca="1" si="87"/>
        <v>56.033993486686626</v>
      </c>
      <c r="CB123" s="6">
        <f t="shared" ca="1" si="88"/>
        <v>2.7122836087138773</v>
      </c>
      <c r="CC123" s="6">
        <f t="shared" ca="1" si="89"/>
        <v>-2.5996684707283446E-2</v>
      </c>
      <c r="CD123" s="9">
        <f t="shared" si="90"/>
        <v>-112.40242297737007</v>
      </c>
      <c r="CE123" s="9">
        <f t="shared" si="91"/>
        <v>55.033993486686619</v>
      </c>
      <c r="CF123" s="6">
        <f t="shared" si="92"/>
        <v>2.6862869240065939</v>
      </c>
      <c r="CG123" s="6"/>
      <c r="CH123" s="6"/>
      <c r="CI123" s="6"/>
      <c r="CJ123" s="1"/>
      <c r="CK123" s="6"/>
    </row>
    <row r="124" spans="1:89" x14ac:dyDescent="0.2">
      <c r="BC124">
        <v>2.1293016874330828</v>
      </c>
      <c r="BD124">
        <v>-137.03092282521939</v>
      </c>
      <c r="BE124">
        <v>49.348309304660468</v>
      </c>
      <c r="BF124" s="6">
        <f t="shared" si="98"/>
        <v>2.7959261072683441</v>
      </c>
      <c r="BG124" s="6">
        <f t="shared" si="99"/>
        <v>0.66662441983526133</v>
      </c>
      <c r="BH124" s="6">
        <f t="shared" si="81"/>
        <v>0.24599789383028717</v>
      </c>
      <c r="BI124" s="6">
        <f t="shared" si="82"/>
        <v>0.24599789383028717</v>
      </c>
      <c r="BJ124">
        <v>-210.81680434649135</v>
      </c>
      <c r="BK124">
        <v>75.920475853323794</v>
      </c>
      <c r="BV124" s="38"/>
      <c r="BW124" s="6">
        <f t="shared" si="83"/>
        <v>1.9024088846738214</v>
      </c>
      <c r="BX124" s="9">
        <f t="shared" ca="1" si="84"/>
        <v>-57.702146829878544</v>
      </c>
      <c r="BY124" s="9">
        <f t="shared" ca="1" si="85"/>
        <v>33.533351026720865</v>
      </c>
      <c r="BZ124" s="9">
        <f t="shared" ca="1" si="86"/>
        <v>-123.77478871160795</v>
      </c>
      <c r="CA124" s="6">
        <f t="shared" ca="1" si="87"/>
        <v>55.55756498729734</v>
      </c>
      <c r="CB124" s="6">
        <f t="shared" ca="1" si="88"/>
        <v>2.7196870671205886</v>
      </c>
      <c r="CC124" s="6">
        <f t="shared" ca="1" si="89"/>
        <v>-2.5226187400921422E-2</v>
      </c>
      <c r="CD124" s="9">
        <f t="shared" si="90"/>
        <v>-113.77478871160795</v>
      </c>
      <c r="CE124" s="9">
        <f t="shared" si="91"/>
        <v>54.55756498729734</v>
      </c>
      <c r="CF124" s="6">
        <f t="shared" si="92"/>
        <v>2.6944608797196672</v>
      </c>
      <c r="CG124" s="6"/>
      <c r="CH124" s="6"/>
      <c r="CI124" s="6"/>
      <c r="CJ124" s="1"/>
      <c r="CK124" s="6"/>
    </row>
    <row r="125" spans="1:89" x14ac:dyDescent="0.2">
      <c r="A125" s="8" t="s">
        <v>77</v>
      </c>
      <c r="B125" s="3">
        <f ca="1">B116</f>
        <v>-1030.5945000000002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-1030.5945000000002</v>
      </c>
      <c r="G125" s="1" t="s">
        <v>130</v>
      </c>
      <c r="BC125">
        <v>2.1467549799530259</v>
      </c>
      <c r="BD125">
        <v>-137.75985888028555</v>
      </c>
      <c r="BE125">
        <v>48.894622784106652</v>
      </c>
      <c r="BF125" s="6">
        <f t="shared" si="98"/>
        <v>2.800535740918221</v>
      </c>
      <c r="BG125" s="6">
        <f t="shared" si="99"/>
        <v>0.65378076096519511</v>
      </c>
      <c r="BH125" s="6">
        <f t="shared" si="81"/>
        <v>0.24138826018041026</v>
      </c>
      <c r="BI125" s="6">
        <f t="shared" si="82"/>
        <v>0.24138826018041026</v>
      </c>
      <c r="BJ125">
        <v>-211.93824443120852</v>
      </c>
      <c r="BK125">
        <v>75.222496590933304</v>
      </c>
      <c r="BV125" s="38"/>
      <c r="BW125" s="6">
        <f t="shared" si="83"/>
        <v>1.9198621771937647</v>
      </c>
      <c r="BX125" s="9">
        <f t="shared" ca="1" si="84"/>
        <v>-59.017188664406703</v>
      </c>
      <c r="BY125" s="9">
        <f t="shared" ca="1" si="85"/>
        <v>33.052495813045411</v>
      </c>
      <c r="BZ125" s="9">
        <f t="shared" ca="1" si="86"/>
        <v>-125.08983054613611</v>
      </c>
      <c r="CA125" s="6">
        <f t="shared" ca="1" si="87"/>
        <v>55.076709773621886</v>
      </c>
      <c r="CB125" s="6">
        <f t="shared" ca="1" si="88"/>
        <v>2.7268367605188137</v>
      </c>
      <c r="CC125" s="6">
        <f t="shared" ca="1" si="89"/>
        <v>-2.4494603228252032E-2</v>
      </c>
      <c r="CD125" s="9">
        <f t="shared" si="90"/>
        <v>-115.08983054613611</v>
      </c>
      <c r="CE125" s="9">
        <f t="shared" si="91"/>
        <v>54.076709773621886</v>
      </c>
      <c r="CF125" s="6">
        <f t="shared" si="92"/>
        <v>2.7023421572905617</v>
      </c>
      <c r="CG125" s="6"/>
      <c r="CH125" s="6"/>
      <c r="CI125" s="6"/>
      <c r="CJ125" s="1"/>
      <c r="CK125" s="6"/>
    </row>
    <row r="126" spans="1:89" x14ac:dyDescent="0.2">
      <c r="A126" s="8" t="s">
        <v>125</v>
      </c>
      <c r="B126" s="3">
        <f ca="1">B117</f>
        <v>343.53149999999999</v>
      </c>
      <c r="D126" s="1">
        <f ca="1">J117</f>
        <v>-511.92</v>
      </c>
      <c r="F126" s="3">
        <f ca="1">B117</f>
        <v>343.53149999999999</v>
      </c>
      <c r="BC126">
        <v>2.164208272472969</v>
      </c>
      <c r="BD126">
        <v>-138.45570098832837</v>
      </c>
      <c r="BE126">
        <v>48.446201542387151</v>
      </c>
      <c r="BF126" s="6">
        <f t="shared" si="98"/>
        <v>2.805003373379479</v>
      </c>
      <c r="BG126" s="6">
        <f t="shared" si="99"/>
        <v>0.64079510090651004</v>
      </c>
      <c r="BH126" s="6">
        <f t="shared" si="81"/>
        <v>0.2369206277191522</v>
      </c>
      <c r="BI126" s="6">
        <f t="shared" si="82"/>
        <v>0.2369206277191522</v>
      </c>
      <c r="BJ126">
        <v>-213.00877075127443</v>
      </c>
      <c r="BK126">
        <v>74.532617757518693</v>
      </c>
      <c r="BV126" s="38"/>
      <c r="BW126" s="6">
        <f t="shared" si="83"/>
        <v>1.937315469713708</v>
      </c>
      <c r="BX126" s="9">
        <f t="shared" ca="1" si="84"/>
        <v>-60.276522457840983</v>
      </c>
      <c r="BY126" s="9">
        <f t="shared" ca="1" si="85"/>
        <v>32.568590661841071</v>
      </c>
      <c r="BZ126" s="9">
        <f t="shared" ca="1" si="86"/>
        <v>-126.34916433957039</v>
      </c>
      <c r="CA126" s="6">
        <f t="shared" ca="1" si="87"/>
        <v>54.592804622417546</v>
      </c>
      <c r="CB126" s="6">
        <f t="shared" ca="1" si="88"/>
        <v>2.7337414478191207</v>
      </c>
      <c r="CC126" s="6">
        <f t="shared" ca="1" si="89"/>
        <v>-2.3799507079123927E-2</v>
      </c>
      <c r="CD126" s="9">
        <f t="shared" si="90"/>
        <v>-116.34916433957039</v>
      </c>
      <c r="CE126" s="9">
        <f t="shared" si="91"/>
        <v>53.592804622417539</v>
      </c>
      <c r="CF126" s="6">
        <f t="shared" si="92"/>
        <v>2.7099419407399967</v>
      </c>
      <c r="CG126" s="6"/>
      <c r="CH126" s="6"/>
      <c r="CI126" s="6"/>
      <c r="CJ126" s="1"/>
      <c r="CK126" s="6"/>
    </row>
    <row r="127" spans="1:89" x14ac:dyDescent="0.2">
      <c r="A127" s="8" t="s">
        <v>75</v>
      </c>
      <c r="B127" s="3">
        <f ca="1">B115</f>
        <v>910.1105</v>
      </c>
      <c r="D127" s="1">
        <f ca="1">J115</f>
        <v>-170.64000000000001</v>
      </c>
      <c r="F127" s="3">
        <f ca="1">B115</f>
        <v>910.1105</v>
      </c>
      <c r="BC127">
        <v>2.1816615649929121</v>
      </c>
      <c r="BD127">
        <v>-139.11997127282552</v>
      </c>
      <c r="BE127">
        <v>48.003165120752939</v>
      </c>
      <c r="BF127" s="6">
        <f t="shared" si="98"/>
        <v>2.8093355841808565</v>
      </c>
      <c r="BG127" s="6">
        <f t="shared" si="99"/>
        <v>0.62767401918794441</v>
      </c>
      <c r="BH127" s="6">
        <f t="shared" si="81"/>
        <v>0.23258841691777477</v>
      </c>
      <c r="BI127" s="6">
        <f t="shared" si="82"/>
        <v>0.23258841691777477</v>
      </c>
      <c r="BJ127">
        <v>-214.03072503511618</v>
      </c>
      <c r="BK127">
        <v>73.851023262696827</v>
      </c>
      <c r="BV127" s="38"/>
      <c r="BW127" s="6">
        <f t="shared" si="83"/>
        <v>1.9547687622336514</v>
      </c>
      <c r="BX127" s="9">
        <f t="shared" ca="1" si="84"/>
        <v>-61.481838100113464</v>
      </c>
      <c r="BY127" s="9">
        <f t="shared" ca="1" si="85"/>
        <v>32.08290512474602</v>
      </c>
      <c r="BZ127" s="9">
        <f t="shared" ca="1" si="86"/>
        <v>-127.55447998184287</v>
      </c>
      <c r="CA127" s="6">
        <f t="shared" ca="1" si="87"/>
        <v>54.107119085322495</v>
      </c>
      <c r="CB127" s="6">
        <f t="shared" ca="1" si="88"/>
        <v>2.7404097171210546</v>
      </c>
      <c r="CC127" s="6">
        <f t="shared" ca="1" si="89"/>
        <v>-2.3138639051931257E-2</v>
      </c>
      <c r="CD127" s="9">
        <f t="shared" si="90"/>
        <v>-117.55447998184287</v>
      </c>
      <c r="CE127" s="9">
        <f t="shared" si="91"/>
        <v>53.107119085322488</v>
      </c>
      <c r="CF127" s="6">
        <f t="shared" si="92"/>
        <v>2.7172710780691234</v>
      </c>
      <c r="CG127" s="6"/>
      <c r="CH127" s="6"/>
      <c r="CI127" s="6"/>
      <c r="CJ127" s="1"/>
      <c r="CK127" s="6"/>
    </row>
    <row r="128" spans="1:89" x14ac:dyDescent="0.2">
      <c r="BC128">
        <v>2.1991148575128552</v>
      </c>
      <c r="BD128">
        <v>-139.75414338415746</v>
      </c>
      <c r="BE128">
        <v>47.565592167579098</v>
      </c>
      <c r="BF128" s="6">
        <f t="shared" si="98"/>
        <v>2.8135387197793817</v>
      </c>
      <c r="BG128" s="6">
        <f t="shared" si="99"/>
        <v>0.61442386226652657</v>
      </c>
      <c r="BH128" s="6">
        <f t="shared" si="81"/>
        <v>0.22838528131924951</v>
      </c>
      <c r="BI128" s="6">
        <f t="shared" si="82"/>
        <v>0.22838528131924951</v>
      </c>
      <c r="BJ128">
        <v>-215.00637443716531</v>
      </c>
      <c r="BK128">
        <v>73.177834103967839</v>
      </c>
      <c r="BV128" s="38"/>
      <c r="BW128" s="6">
        <f t="shared" si="83"/>
        <v>1.9722220547535947</v>
      </c>
      <c r="BX128" s="9">
        <f t="shared" ca="1" si="84"/>
        <v>-62.634885833055748</v>
      </c>
      <c r="BY128" s="9">
        <f t="shared" ca="1" si="85"/>
        <v>31.596588787355348</v>
      </c>
      <c r="BZ128" s="9">
        <f t="shared" ca="1" si="86"/>
        <v>-128.70752771478516</v>
      </c>
      <c r="CA128" s="6">
        <f t="shared" ca="1" si="87"/>
        <v>53.620802747931819</v>
      </c>
      <c r="CB128" s="6">
        <f t="shared" ca="1" si="88"/>
        <v>2.7468500861757947</v>
      </c>
      <c r="CC128" s="6">
        <f t="shared" ca="1" si="89"/>
        <v>-2.2509885242198994E-2</v>
      </c>
      <c r="CD128" s="9">
        <f t="shared" si="90"/>
        <v>-118.70752771478516</v>
      </c>
      <c r="CE128" s="9">
        <f t="shared" si="91"/>
        <v>52.620802747931819</v>
      </c>
      <c r="CF128" s="6">
        <f t="shared" si="92"/>
        <v>2.7243402009335957</v>
      </c>
      <c r="CG128" s="6"/>
      <c r="CH128" s="6"/>
      <c r="CI128" s="6"/>
      <c r="CJ128" s="1"/>
      <c r="CK128" s="6"/>
    </row>
    <row r="129" spans="1:89" x14ac:dyDescent="0.2">
      <c r="A129" s="14" t="s">
        <v>131</v>
      </c>
      <c r="BC129">
        <v>2.2165681500327983</v>
      </c>
      <c r="BD129">
        <v>-140.35964352485141</v>
      </c>
      <c r="BE129">
        <v>47.1335249045759</v>
      </c>
      <c r="BF129" s="6">
        <f t="shared" si="98"/>
        <v>2.817618900169458</v>
      </c>
      <c r="BG129" s="6">
        <f t="shared" si="99"/>
        <v>0.60105075013665976</v>
      </c>
      <c r="BH129" s="6">
        <f t="shared" si="81"/>
        <v>0.22430510092917325</v>
      </c>
      <c r="BI129" s="6">
        <f t="shared" si="82"/>
        <v>0.22430510092917325</v>
      </c>
      <c r="BJ129">
        <v>-215.93791311515599</v>
      </c>
      <c r="BK129">
        <v>72.513115237809075</v>
      </c>
      <c r="BV129" s="38"/>
      <c r="BW129" s="6">
        <f t="shared" si="83"/>
        <v>1.989675347273538</v>
      </c>
      <c r="BX129" s="9">
        <f t="shared" ca="1" si="84"/>
        <v>-63.737459258352274</v>
      </c>
      <c r="BY129" s="9">
        <f t="shared" ca="1" si="85"/>
        <v>31.110667932877735</v>
      </c>
      <c r="BZ129" s="9">
        <f t="shared" ca="1" si="86"/>
        <v>-129.81010114008168</v>
      </c>
      <c r="CA129" s="6">
        <f t="shared" ca="1" si="87"/>
        <v>53.134881893454207</v>
      </c>
      <c r="CB129" s="6">
        <f t="shared" ca="1" si="88"/>
        <v>2.7530710307837003</v>
      </c>
      <c r="CC129" s="6">
        <f t="shared" ca="1" si="89"/>
        <v>-2.1911264845106082E-2</v>
      </c>
      <c r="CD129" s="9">
        <f t="shared" si="90"/>
        <v>-119.81010114008168</v>
      </c>
      <c r="CE129" s="9">
        <f t="shared" si="91"/>
        <v>52.134881893454207</v>
      </c>
      <c r="CF129" s="6">
        <f t="shared" si="92"/>
        <v>2.7311597659385942</v>
      </c>
      <c r="CG129" s="6"/>
      <c r="CH129" s="6"/>
      <c r="CI129" s="6"/>
      <c r="CJ129" s="1"/>
      <c r="CK129" s="6"/>
    </row>
    <row r="130" spans="1:89" x14ac:dyDescent="0.2">
      <c r="A130" s="8" t="s">
        <v>133</v>
      </c>
      <c r="B130" s="1">
        <f>U10</f>
        <v>810</v>
      </c>
      <c r="BC130">
        <v>2.2340214425527414</v>
      </c>
      <c r="BD130">
        <v>-140.93785215391949</v>
      </c>
      <c r="BE130">
        <v>46.706973025547704</v>
      </c>
      <c r="BF130" s="6">
        <f t="shared" ref="BF130:BF155" si="109">IF(BC130&lt;&gt;"",IF(AND(BD130=0,BE130=0),0,MOD(ATAN2(BD130,BE130),2*PI())),NA())</f>
        <v>2.8215820279110431</v>
      </c>
      <c r="BG130" s="6">
        <f t="shared" ref="BG130:BG155" si="110">ABS(BC130-BF130)</f>
        <v>0.58756058535830169</v>
      </c>
      <c r="BH130" s="6">
        <f t="shared" si="81"/>
        <v>0.22034197318758822</v>
      </c>
      <c r="BI130" s="6">
        <f t="shared" si="82"/>
        <v>0.22034197318758822</v>
      </c>
      <c r="BJ130">
        <v>-216.82746485218382</v>
      </c>
      <c r="BK130">
        <v>71.856881577765691</v>
      </c>
      <c r="BV130" s="38"/>
      <c r="BW130" s="6">
        <f t="shared" si="83"/>
        <v>2.0071286397934811</v>
      </c>
      <c r="BX130" s="9">
        <f t="shared" ca="1" si="84"/>
        <v>-64.791377965661681</v>
      </c>
      <c r="BY130" s="9">
        <f t="shared" ca="1" si="85"/>
        <v>30.626047954458823</v>
      </c>
      <c r="BZ130" s="9">
        <f t="shared" ca="1" si="86"/>
        <v>-130.86401984739109</v>
      </c>
      <c r="CA130" s="6">
        <f t="shared" ca="1" si="87"/>
        <v>52.650261915035294</v>
      </c>
      <c r="CB130" s="6">
        <f t="shared" ca="1" si="88"/>
        <v>2.7590809756834127</v>
      </c>
      <c r="CC130" s="6">
        <f t="shared" ca="1" si="89"/>
        <v>-2.134092068645721E-2</v>
      </c>
      <c r="CD130" s="9">
        <f t="shared" si="90"/>
        <v>-120.86401984739109</v>
      </c>
      <c r="CE130" s="9">
        <f t="shared" si="91"/>
        <v>51.650261915035294</v>
      </c>
      <c r="CF130" s="6">
        <f t="shared" si="92"/>
        <v>2.7377400549969555</v>
      </c>
      <c r="CG130" s="6"/>
      <c r="CH130" s="6"/>
      <c r="CI130" s="6"/>
      <c r="CJ130" s="1"/>
      <c r="CK130" s="6"/>
    </row>
    <row r="131" spans="1:89" x14ac:dyDescent="0.2">
      <c r="A131" s="8" t="s">
        <v>132</v>
      </c>
      <c r="B131">
        <f ca="1">(U10-B127)/(D127-F127)</f>
        <v>9.2630537760565457E-2</v>
      </c>
      <c r="BC131">
        <v>2.2514747350726845</v>
      </c>
      <c r="BD131">
        <v>-141.4901061713197</v>
      </c>
      <c r="BE131">
        <v>46.285917022541824</v>
      </c>
      <c r="BF131" s="6">
        <f t="shared" si="109"/>
        <v>2.8254337992484007</v>
      </c>
      <c r="BG131" s="6">
        <f t="shared" si="110"/>
        <v>0.57395906417571618</v>
      </c>
      <c r="BH131" s="6">
        <f t="shared" ref="BH131:BH155" si="111">ATAN2(COS($U$13-BF131),SIN($U$13-BF131))</f>
        <v>0.2164902018502306</v>
      </c>
      <c r="BI131" s="6">
        <f t="shared" ref="BI131:BI155" si="112">ABS(BH131)</f>
        <v>0.2164902018502306</v>
      </c>
      <c r="BJ131">
        <v>-217.6770864174149</v>
      </c>
      <c r="BK131">
        <v>71.209103111602801</v>
      </c>
      <c r="BV131" s="38"/>
      <c r="BW131" s="6">
        <f t="shared" si="83"/>
        <v>2.0245819323134242</v>
      </c>
      <c r="BX131" s="9">
        <f t="shared" ca="1" si="84"/>
        <v>-65.798471404005753</v>
      </c>
      <c r="BY131" s="9">
        <f t="shared" ca="1" si="85"/>
        <v>30.143519203929554</v>
      </c>
      <c r="BZ131" s="9">
        <f t="shared" ca="1" si="86"/>
        <v>-131.87111328573516</v>
      </c>
      <c r="CA131" s="6">
        <f t="shared" ca="1" si="87"/>
        <v>52.167733164506025</v>
      </c>
      <c r="CB131" s="6">
        <f t="shared" ca="1" si="88"/>
        <v>2.7648882679031805</v>
      </c>
      <c r="CC131" s="6">
        <f t="shared" ca="1" si="89"/>
        <v>-2.079711156988262E-2</v>
      </c>
      <c r="CD131" s="9">
        <f t="shared" si="90"/>
        <v>-121.87111328573516</v>
      </c>
      <c r="CE131" s="9">
        <f t="shared" si="91"/>
        <v>51.167733164506025</v>
      </c>
      <c r="CF131" s="6">
        <f t="shared" si="92"/>
        <v>2.7440911563332979</v>
      </c>
      <c r="CG131" s="6"/>
      <c r="CH131" s="6"/>
      <c r="CI131" s="6"/>
      <c r="CJ131" s="1"/>
      <c r="CK131" s="6"/>
    </row>
    <row r="132" spans="1:89" x14ac:dyDescent="0.2">
      <c r="A132" s="8" t="s">
        <v>77</v>
      </c>
      <c r="B132">
        <f ca="1">(B125+(B131*(D125-F125)))/12</f>
        <v>-66.07264188172941</v>
      </c>
      <c r="BC132">
        <v>2.2689280275926276</v>
      </c>
      <c r="BD132">
        <v>-142.01770162901593</v>
      </c>
      <c r="BE132">
        <v>45.870311009304039</v>
      </c>
      <c r="BF132" s="6">
        <f t="shared" si="109"/>
        <v>2.8291797170669701</v>
      </c>
      <c r="BG132" s="6">
        <f t="shared" si="110"/>
        <v>0.56025168947434256</v>
      </c>
      <c r="BH132" s="6">
        <f t="shared" si="111"/>
        <v>0.21274428403166112</v>
      </c>
      <c r="BI132" s="6">
        <f t="shared" si="112"/>
        <v>0.21274428403166112</v>
      </c>
      <c r="BJ132">
        <v>-218.48877173694757</v>
      </c>
      <c r="BK132">
        <v>70.569709245083132</v>
      </c>
      <c r="BV132" s="38"/>
      <c r="BW132" s="6">
        <f t="shared" si="83"/>
        <v>2.0420352248333673</v>
      </c>
      <c r="BX132" s="9">
        <f t="shared" ca="1" si="84"/>
        <v>-66.760564737513207</v>
      </c>
      <c r="BY132" s="9">
        <f t="shared" ca="1" si="85"/>
        <v>29.663764742033347</v>
      </c>
      <c r="BZ132" s="9">
        <f t="shared" ca="1" si="86"/>
        <v>-132.83320661924262</v>
      </c>
      <c r="CA132" s="6">
        <f t="shared" ca="1" si="87"/>
        <v>51.687978702609819</v>
      </c>
      <c r="CB132" s="6">
        <f t="shared" ca="1" si="88"/>
        <v>2.7705011440608036</v>
      </c>
      <c r="CC132" s="6">
        <f t="shared" ca="1" si="89"/>
        <v>-2.0278205566427232E-2</v>
      </c>
      <c r="CD132" s="9">
        <f t="shared" si="90"/>
        <v>-122.83320661924262</v>
      </c>
      <c r="CE132" s="9">
        <f t="shared" si="91"/>
        <v>50.687978702609819</v>
      </c>
      <c r="CF132" s="6">
        <f t="shared" si="92"/>
        <v>2.7502229384943764</v>
      </c>
      <c r="CG132" s="6"/>
      <c r="CH132" s="6"/>
      <c r="CI132" s="6"/>
      <c r="CJ132" s="1"/>
      <c r="CK132" s="6"/>
    </row>
    <row r="133" spans="1:89" x14ac:dyDescent="0.2">
      <c r="A133" s="8" t="s">
        <v>125</v>
      </c>
      <c r="B133">
        <f ca="1">(B126+(B131*(D126-F126)))/12</f>
        <v>22.024213960576471</v>
      </c>
      <c r="BC133">
        <v>2.2863813201125707</v>
      </c>
      <c r="BD133">
        <v>-142.52189681386821</v>
      </c>
      <c r="BE133">
        <v>45.460085035083168</v>
      </c>
      <c r="BF133" s="6">
        <f t="shared" si="109"/>
        <v>2.8328251055068003</v>
      </c>
      <c r="BG133" s="6">
        <f t="shared" si="110"/>
        <v>0.54644378539422966</v>
      </c>
      <c r="BH133" s="6">
        <f t="shared" si="111"/>
        <v>0.2090988955918309</v>
      </c>
      <c r="BI133" s="6">
        <f t="shared" si="112"/>
        <v>0.2090988955918309</v>
      </c>
      <c r="BJ133">
        <v>-219.26445663672033</v>
      </c>
      <c r="BK133">
        <v>69.938592361666409</v>
      </c>
      <c r="BV133" s="38"/>
      <c r="BW133" s="6">
        <f t="shared" si="83"/>
        <v>2.0594885173533104</v>
      </c>
      <c r="BX133" s="9">
        <f t="shared" ca="1" si="84"/>
        <v>-67.679466867251691</v>
      </c>
      <c r="BY133" s="9">
        <f t="shared" ca="1" si="85"/>
        <v>29.187368949205375</v>
      </c>
      <c r="BZ133" s="9">
        <f t="shared" ca="1" si="86"/>
        <v>-133.7521087489811</v>
      </c>
      <c r="CA133" s="6">
        <f t="shared" ca="1" si="87"/>
        <v>51.211582909781846</v>
      </c>
      <c r="CB133" s="6">
        <f t="shared" ca="1" si="88"/>
        <v>2.775927698018708</v>
      </c>
      <c r="CC133" s="6">
        <f t="shared" ca="1" si="89"/>
        <v>-1.9782673798963923E-2</v>
      </c>
      <c r="CD133" s="9">
        <f t="shared" si="90"/>
        <v>-123.7521087489811</v>
      </c>
      <c r="CE133" s="9">
        <f t="shared" si="91"/>
        <v>50.211582909781846</v>
      </c>
      <c r="CF133" s="6">
        <f t="shared" si="92"/>
        <v>2.7561450242197441</v>
      </c>
      <c r="CG133" s="6"/>
      <c r="CH133" s="6"/>
      <c r="CI133" s="6"/>
      <c r="CJ133" s="1"/>
      <c r="CK133" s="6"/>
    </row>
    <row r="134" spans="1:89" x14ac:dyDescent="0.2">
      <c r="BC134">
        <v>2.3038346126325138</v>
      </c>
      <c r="BD134">
        <v>-143.00391575513763</v>
      </c>
      <c r="BE134">
        <v>45.055146938196067</v>
      </c>
      <c r="BF134" s="6">
        <f t="shared" si="109"/>
        <v>2.8363751261377148</v>
      </c>
      <c r="BG134" s="6">
        <f t="shared" si="110"/>
        <v>0.53254051350520104</v>
      </c>
      <c r="BH134" s="6">
        <f t="shared" si="111"/>
        <v>0.20554887496091645</v>
      </c>
      <c r="BI134" s="6">
        <f t="shared" si="112"/>
        <v>0.20554887496091645</v>
      </c>
      <c r="BJ134">
        <v>-220.00602423867326</v>
      </c>
      <c r="BK134">
        <v>69.315610674147791</v>
      </c>
      <c r="BV134" s="38"/>
      <c r="BW134" s="6">
        <f t="shared" si="83"/>
        <v>2.0769418098732535</v>
      </c>
      <c r="BX134" s="9">
        <f t="shared" ca="1" si="84"/>
        <v>-68.556960636952326</v>
      </c>
      <c r="BY134" s="9">
        <f t="shared" ca="1" si="85"/>
        <v>28.714826367943022</v>
      </c>
      <c r="BZ134" s="9">
        <f t="shared" ca="1" si="86"/>
        <v>-134.62960251868174</v>
      </c>
      <c r="CA134" s="6">
        <f t="shared" ca="1" si="87"/>
        <v>50.739040328519494</v>
      </c>
      <c r="CB134" s="6">
        <f t="shared" ca="1" si="88"/>
        <v>2.7811758521361853</v>
      </c>
      <c r="CC134" s="6">
        <f t="shared" ca="1" si="89"/>
        <v>-1.9309084495332751E-2</v>
      </c>
      <c r="CD134" s="9">
        <f t="shared" si="90"/>
        <v>-124.62960251868174</v>
      </c>
      <c r="CE134" s="9">
        <f t="shared" si="91"/>
        <v>49.739040328519494</v>
      </c>
      <c r="CF134" s="6">
        <f t="shared" si="92"/>
        <v>2.7618667676408526</v>
      </c>
      <c r="CG134" s="6"/>
      <c r="CH134" s="6"/>
      <c r="CI134" s="6"/>
      <c r="CJ134" s="1"/>
      <c r="CK134" s="6"/>
    </row>
    <row r="135" spans="1:89" x14ac:dyDescent="0.2">
      <c r="A135" s="8"/>
      <c r="BC135">
        <v>2.3212879051524569</v>
      </c>
      <c r="BD135">
        <v>-143.46495208721453</v>
      </c>
      <c r="BE135">
        <v>44.655383738552395</v>
      </c>
      <c r="BF135" s="6">
        <f t="shared" si="109"/>
        <v>2.8398347956622092</v>
      </c>
      <c r="BG135" s="6">
        <f t="shared" si="110"/>
        <v>0.51854689050975233</v>
      </c>
      <c r="BH135" s="6">
        <f t="shared" si="111"/>
        <v>0.20208920543642206</v>
      </c>
      <c r="BI135" s="6">
        <f t="shared" si="112"/>
        <v>0.20208920543642206</v>
      </c>
      <c r="BJ135">
        <v>-220.71531090340696</v>
      </c>
      <c r="BK135">
        <v>68.700590367003684</v>
      </c>
      <c r="BV135" s="38"/>
      <c r="BW135" s="6">
        <f t="shared" si="83"/>
        <v>2.0943951023931966</v>
      </c>
      <c r="BX135" s="9">
        <f t="shared" ca="1" si="84"/>
        <v>-69.394795179811879</v>
      </c>
      <c r="BY135" s="9">
        <f t="shared" ca="1" si="85"/>
        <v>28.246550412726283</v>
      </c>
      <c r="BZ135" s="9">
        <f t="shared" ca="1" si="86"/>
        <v>-135.46743706154129</v>
      </c>
      <c r="CA135" s="6">
        <f t="shared" ca="1" si="87"/>
        <v>50.270764373302754</v>
      </c>
      <c r="CB135" s="6">
        <f t="shared" ca="1" si="88"/>
        <v>2.7862533335533239</v>
      </c>
      <c r="CC135" s="6">
        <f t="shared" ca="1" si="89"/>
        <v>-1.8856097201561894E-2</v>
      </c>
      <c r="CD135" s="9">
        <f t="shared" si="90"/>
        <v>-125.46743706154129</v>
      </c>
      <c r="CE135" s="9">
        <f t="shared" si="91"/>
        <v>49.270764373302754</v>
      </c>
      <c r="CF135" s="6">
        <f t="shared" si="92"/>
        <v>2.767397236351762</v>
      </c>
      <c r="CG135" s="6"/>
      <c r="CH135" s="6"/>
      <c r="CI135" s="6"/>
      <c r="CJ135" s="1"/>
      <c r="CK135" s="6"/>
    </row>
    <row r="136" spans="1:89" x14ac:dyDescent="0.2">
      <c r="A136" s="51" t="s">
        <v>154</v>
      </c>
      <c r="BC136">
        <v>2.3387411976724</v>
      </c>
      <c r="BD136">
        <v>-143.90617328556095</v>
      </c>
      <c r="BE136">
        <v>44.260662583783215</v>
      </c>
      <c r="BF136" s="6">
        <f t="shared" si="109"/>
        <v>2.8432090051912686</v>
      </c>
      <c r="BG136" s="6">
        <f t="shared" si="110"/>
        <v>0.50446780751886866</v>
      </c>
      <c r="BH136" s="6">
        <f t="shared" si="111"/>
        <v>0.19871499590736263</v>
      </c>
      <c r="BI136" s="6">
        <f t="shared" si="112"/>
        <v>0.19871499590736263</v>
      </c>
      <c r="BJ136">
        <v>-221.39411274701683</v>
      </c>
      <c r="BK136">
        <v>68.093327051974171</v>
      </c>
      <c r="BV136" s="38"/>
      <c r="BW136" s="6">
        <f t="shared" si="83"/>
        <v>2.1118483949131397</v>
      </c>
      <c r="BX136" s="9">
        <f t="shared" ca="1" si="84"/>
        <v>-70.194680039864423</v>
      </c>
      <c r="BY136" s="9">
        <f t="shared" ca="1" si="85"/>
        <v>27.782881619927426</v>
      </c>
      <c r="BZ136" s="9">
        <f t="shared" ca="1" si="86"/>
        <v>-136.26732192159383</v>
      </c>
      <c r="CA136" s="6">
        <f t="shared" ca="1" si="87"/>
        <v>49.807095580503898</v>
      </c>
      <c r="CB136" s="6">
        <f t="shared" ca="1" si="88"/>
        <v>2.7911676560485965</v>
      </c>
      <c r="CC136" s="6">
        <f t="shared" ca="1" si="89"/>
        <v>-1.8422457145036653E-2</v>
      </c>
      <c r="CD136" s="9">
        <f t="shared" si="90"/>
        <v>-126.26732192159383</v>
      </c>
      <c r="CE136" s="9">
        <f t="shared" si="91"/>
        <v>48.807095580503898</v>
      </c>
      <c r="CF136" s="6">
        <f t="shared" si="92"/>
        <v>2.7727451989035599</v>
      </c>
      <c r="CG136" s="6"/>
      <c r="CH136" s="6"/>
      <c r="CI136" s="6"/>
      <c r="CJ136" s="1"/>
      <c r="CK136" s="6"/>
    </row>
    <row r="137" spans="1:89" x14ac:dyDescent="0.2">
      <c r="A137" t="s">
        <v>155</v>
      </c>
      <c r="BC137">
        <v>2.3561944901923431</v>
      </c>
      <c r="BD137">
        <v>-144.32872522239202</v>
      </c>
      <c r="BE137">
        <v>43.870831232197943</v>
      </c>
      <c r="BF137" s="6">
        <f t="shared" si="109"/>
        <v>2.8465025411878511</v>
      </c>
      <c r="BG137" s="6">
        <f t="shared" si="110"/>
        <v>0.490308050995508</v>
      </c>
      <c r="BH137" s="6">
        <f t="shared" si="111"/>
        <v>0.19542145991078019</v>
      </c>
      <c r="BI137" s="6">
        <f t="shared" si="112"/>
        <v>0.19542145991078019</v>
      </c>
      <c r="BJ137">
        <v>-222.04419264983389</v>
      </c>
      <c r="BK137">
        <v>67.493586511073758</v>
      </c>
      <c r="BV137" s="38"/>
      <c r="BW137" s="6">
        <f t="shared" si="83"/>
        <v>2.1293016874330828</v>
      </c>
      <c r="BX137" s="9">
        <f t="shared" ca="1" si="84"/>
        <v>-70.958280943489981</v>
      </c>
      <c r="BY137" s="9">
        <f t="shared" ca="1" si="85"/>
        <v>27.324095344083997</v>
      </c>
      <c r="BZ137" s="9">
        <f t="shared" ca="1" si="86"/>
        <v>-137.03092282521939</v>
      </c>
      <c r="CA137" s="6">
        <f t="shared" ca="1" si="87"/>
        <v>49.348309304660468</v>
      </c>
      <c r="CB137" s="6">
        <f t="shared" ca="1" si="88"/>
        <v>2.7959261072683441</v>
      </c>
      <c r="CC137" s="6">
        <f t="shared" ca="1" si="89"/>
        <v>-1.8006989737564982E-2</v>
      </c>
      <c r="CD137" s="9">
        <f t="shared" si="90"/>
        <v>-127.03092282521939</v>
      </c>
      <c r="CE137" s="9">
        <f t="shared" si="91"/>
        <v>48.348309304660468</v>
      </c>
      <c r="CF137" s="6">
        <f t="shared" si="92"/>
        <v>2.7779191175307791</v>
      </c>
      <c r="CG137" s="6"/>
      <c r="CH137" s="6"/>
      <c r="CI137" s="6"/>
      <c r="CJ137" s="1"/>
      <c r="CK137" s="6"/>
    </row>
    <row r="138" spans="1:89" ht="17" x14ac:dyDescent="0.25">
      <c r="A138" t="s">
        <v>156</v>
      </c>
      <c r="B138" t="s">
        <v>157</v>
      </c>
      <c r="BC138">
        <v>2.3736477827122862</v>
      </c>
      <c r="BD138">
        <v>-144.73373704495242</v>
      </c>
      <c r="BE138">
        <v>43.485718163682634</v>
      </c>
      <c r="BF138" s="6">
        <f t="shared" si="109"/>
        <v>2.8497201075968808</v>
      </c>
      <c r="BG138" s="6">
        <f t="shared" si="110"/>
        <v>0.47607232488459461</v>
      </c>
      <c r="BH138" s="6">
        <f t="shared" si="111"/>
        <v>0.19220389350175049</v>
      </c>
      <c r="BI138" s="6">
        <f t="shared" si="112"/>
        <v>0.19220389350175049</v>
      </c>
      <c r="BJ138">
        <v>-222.66728776146525</v>
      </c>
      <c r="BK138">
        <v>66.901104867204054</v>
      </c>
      <c r="BV138" s="38"/>
      <c r="BW138" s="6">
        <f t="shared" si="83"/>
        <v>2.1467549799530259</v>
      </c>
      <c r="BX138" s="9">
        <f t="shared" ca="1" si="84"/>
        <v>-71.687216998556138</v>
      </c>
      <c r="BY138" s="9">
        <f t="shared" ca="1" si="85"/>
        <v>26.87040882353018</v>
      </c>
      <c r="BZ138" s="9">
        <f t="shared" ca="1" si="86"/>
        <v>-137.75985888028555</v>
      </c>
      <c r="CA138" s="6">
        <f t="shared" ca="1" si="87"/>
        <v>48.894622784106652</v>
      </c>
      <c r="CB138" s="6">
        <f t="shared" ca="1" si="88"/>
        <v>2.800535740918221</v>
      </c>
      <c r="CC138" s="6">
        <f t="shared" ca="1" si="89"/>
        <v>-1.7608595233272961E-2</v>
      </c>
      <c r="CD138" s="9">
        <f t="shared" si="90"/>
        <v>-127.75985888028555</v>
      </c>
      <c r="CE138" s="9">
        <f t="shared" si="91"/>
        <v>47.894622784106652</v>
      </c>
      <c r="CF138" s="6">
        <f t="shared" si="92"/>
        <v>2.782927145684948</v>
      </c>
      <c r="CG138" s="6"/>
      <c r="CH138" s="6"/>
      <c r="CI138" s="6"/>
      <c r="CJ138" s="1"/>
      <c r="CK138" s="6"/>
    </row>
    <row r="139" spans="1:89" ht="17" x14ac:dyDescent="0.25">
      <c r="A139" t="s">
        <v>158</v>
      </c>
      <c r="B139" t="s">
        <v>159</v>
      </c>
      <c r="BC139">
        <v>2.3911010752322293</v>
      </c>
      <c r="BD139">
        <v>-145.12230982610939</v>
      </c>
      <c r="BE139">
        <v>43.105136319628009</v>
      </c>
      <c r="BF139" s="6">
        <f t="shared" si="109"/>
        <v>2.8528662927823247</v>
      </c>
      <c r="BG139" s="6">
        <f t="shared" si="110"/>
        <v>0.46176521755009547</v>
      </c>
      <c r="BH139" s="6">
        <f t="shared" si="111"/>
        <v>0.1890577083163065</v>
      </c>
      <c r="BI139" s="6">
        <f t="shared" si="112"/>
        <v>0.1890577083163065</v>
      </c>
      <c r="BJ139">
        <v>-223.26509204016827</v>
      </c>
      <c r="BK139">
        <v>66.315594337889237</v>
      </c>
      <c r="BV139" s="38"/>
      <c r="BW139" s="6">
        <f t="shared" si="83"/>
        <v>2.164208272472969</v>
      </c>
      <c r="BX139" s="9">
        <f t="shared" ca="1" si="84"/>
        <v>-72.383059106598964</v>
      </c>
      <c r="BY139" s="9">
        <f t="shared" ca="1" si="85"/>
        <v>26.421987581810679</v>
      </c>
      <c r="BZ139" s="9">
        <f t="shared" ca="1" si="86"/>
        <v>-138.45570098832837</v>
      </c>
      <c r="CA139" s="6">
        <f t="shared" ca="1" si="87"/>
        <v>48.446201542387151</v>
      </c>
      <c r="CB139" s="6">
        <f t="shared" ca="1" si="88"/>
        <v>2.805003373379479</v>
      </c>
      <c r="CC139" s="6">
        <f t="shared" ca="1" si="89"/>
        <v>-1.7226243559830046E-2</v>
      </c>
      <c r="CD139" s="9">
        <f t="shared" si="90"/>
        <v>-128.45570098832837</v>
      </c>
      <c r="CE139" s="9">
        <f t="shared" si="91"/>
        <v>47.446201542387151</v>
      </c>
      <c r="CF139" s="6">
        <f t="shared" si="92"/>
        <v>2.787777129819649</v>
      </c>
      <c r="CG139" s="6"/>
      <c r="CH139" s="6"/>
      <c r="CI139" s="6"/>
      <c r="CJ139" s="1"/>
      <c r="CK139" s="6"/>
    </row>
    <row r="140" spans="1:89" ht="17" x14ac:dyDescent="0.25">
      <c r="A140" t="s">
        <v>160</v>
      </c>
      <c r="BC140">
        <v>2.4085543677521724</v>
      </c>
      <c r="BD140">
        <v>-145.49547202044374</v>
      </c>
      <c r="BE140">
        <v>42.728895664192734</v>
      </c>
      <c r="BF140" s="6">
        <f t="shared" si="109"/>
        <v>2.855945419712699</v>
      </c>
      <c r="BG140" s="6">
        <f t="shared" si="110"/>
        <v>0.44739105196052664</v>
      </c>
      <c r="BH140" s="6">
        <f t="shared" si="111"/>
        <v>0.18597858138593226</v>
      </c>
      <c r="BI140" s="6">
        <f t="shared" si="112"/>
        <v>0.18597858138593226</v>
      </c>
      <c r="BJ140">
        <v>-223.83918772375961</v>
      </c>
      <c r="BK140">
        <v>65.736762560296512</v>
      </c>
      <c r="BV140" s="38"/>
      <c r="BW140" s="6">
        <f t="shared" si="83"/>
        <v>2.1816615649929121</v>
      </c>
      <c r="BX140" s="9">
        <f t="shared" ca="1" si="84"/>
        <v>-73.047329391096113</v>
      </c>
      <c r="BY140" s="9">
        <f t="shared" ca="1" si="85"/>
        <v>25.978951160176468</v>
      </c>
      <c r="BZ140" s="9">
        <f t="shared" ca="1" si="86"/>
        <v>-139.11997127282552</v>
      </c>
      <c r="CA140" s="6">
        <f t="shared" ca="1" si="87"/>
        <v>48.003165120752939</v>
      </c>
      <c r="CB140" s="6">
        <f t="shared" ca="1" si="88"/>
        <v>2.8093355841808565</v>
      </c>
      <c r="CC140" s="6">
        <f t="shared" ca="1" si="89"/>
        <v>-1.6858969339413665E-2</v>
      </c>
      <c r="CD140" s="9">
        <f t="shared" si="90"/>
        <v>-129.11997127282552</v>
      </c>
      <c r="CE140" s="9">
        <f t="shared" si="91"/>
        <v>47.003165120752939</v>
      </c>
      <c r="CF140" s="6">
        <f t="shared" si="92"/>
        <v>2.7924766148414428</v>
      </c>
      <c r="CG140" s="6"/>
      <c r="CH140" s="6"/>
      <c r="CI140" s="6"/>
      <c r="CJ140" s="1"/>
      <c r="CK140" s="6"/>
    </row>
    <row r="141" spans="1:89" ht="18" x14ac:dyDescent="0.25">
      <c r="A141" t="s">
        <v>161</v>
      </c>
      <c r="B141" t="s">
        <v>162</v>
      </c>
      <c r="BC141">
        <v>2.4260076602721155</v>
      </c>
      <c r="BD141">
        <v>-145.85417046294401</v>
      </c>
      <c r="BE141">
        <v>42.356807747117919</v>
      </c>
      <c r="BF141" s="6">
        <f t="shared" si="109"/>
        <v>2.8589615172392699</v>
      </c>
      <c r="BG141" s="6">
        <f t="shared" si="110"/>
        <v>0.43295385696715449</v>
      </c>
      <c r="BH141" s="6">
        <f t="shared" si="111"/>
        <v>0.18296248385936129</v>
      </c>
      <c r="BI141" s="6">
        <f t="shared" si="112"/>
        <v>0.18296248385936129</v>
      </c>
      <c r="BJ141">
        <v>-224.39103148145233</v>
      </c>
      <c r="BK141">
        <v>65.164319610950642</v>
      </c>
      <c r="BV141" s="38"/>
      <c r="BW141" s="6">
        <f t="shared" si="83"/>
        <v>2.1991148575128552</v>
      </c>
      <c r="BX141" s="9">
        <f t="shared" ca="1" si="84"/>
        <v>-73.681501502428048</v>
      </c>
      <c r="BY141" s="9">
        <f t="shared" ca="1" si="85"/>
        <v>25.541378207002627</v>
      </c>
      <c r="BZ141" s="9">
        <f t="shared" ca="1" si="86"/>
        <v>-139.75414338415746</v>
      </c>
      <c r="CA141" s="6">
        <f t="shared" ca="1" si="87"/>
        <v>47.565592167579098</v>
      </c>
      <c r="CB141" s="6">
        <f t="shared" ca="1" si="88"/>
        <v>2.8135387197793817</v>
      </c>
      <c r="CC141" s="6">
        <f t="shared" ca="1" si="89"/>
        <v>-1.6505867106671346E-2</v>
      </c>
      <c r="CD141" s="9">
        <f t="shared" si="90"/>
        <v>-129.75414338415746</v>
      </c>
      <c r="CE141" s="9">
        <f t="shared" si="91"/>
        <v>46.565592167579098</v>
      </c>
      <c r="CF141" s="6">
        <f t="shared" si="92"/>
        <v>2.7970328526727104</v>
      </c>
      <c r="CG141" s="6"/>
      <c r="CH141" s="6"/>
      <c r="CI141" s="6"/>
      <c r="CJ141" s="1"/>
      <c r="CK141" s="6"/>
    </row>
    <row r="142" spans="1:89" x14ac:dyDescent="0.2">
      <c r="BC142">
        <v>2.4434609527920585</v>
      </c>
      <c r="BD142">
        <v>-146.19927792821696</v>
      </c>
      <c r="BE142">
        <v>41.988686063753924</v>
      </c>
      <c r="BF142" s="6">
        <f t="shared" si="109"/>
        <v>2.8619183479488792</v>
      </c>
      <c r="BG142" s="6">
        <f t="shared" si="110"/>
        <v>0.41845739515682068</v>
      </c>
      <c r="BH142" s="6">
        <f t="shared" si="111"/>
        <v>0.18000565314975206</v>
      </c>
      <c r="BI142" s="6">
        <f t="shared" si="112"/>
        <v>0.18000565314975206</v>
      </c>
      <c r="BJ142">
        <v>-224.92196604341069</v>
      </c>
      <c r="BK142">
        <v>64.597978559621424</v>
      </c>
      <c r="BV142" s="38"/>
      <c r="BW142" s="6">
        <f t="shared" si="83"/>
        <v>2.2165681500327983</v>
      </c>
      <c r="BX142" s="9">
        <f t="shared" ca="1" si="84"/>
        <v>-74.287001643121997</v>
      </c>
      <c r="BY142" s="9">
        <f t="shared" ca="1" si="85"/>
        <v>25.109310943999429</v>
      </c>
      <c r="BZ142" s="9">
        <f t="shared" ca="1" si="86"/>
        <v>-140.35964352485141</v>
      </c>
      <c r="CA142" s="6">
        <f t="shared" ca="1" si="87"/>
        <v>47.1335249045759</v>
      </c>
      <c r="CB142" s="6">
        <f t="shared" ca="1" si="88"/>
        <v>2.817618900169458</v>
      </c>
      <c r="CC142" s="6">
        <f t="shared" ca="1" si="89"/>
        <v>-1.6166086730390994E-2</v>
      </c>
      <c r="CD142" s="9">
        <f t="shared" si="90"/>
        <v>-130.35964352485141</v>
      </c>
      <c r="CE142" s="9">
        <f t="shared" si="91"/>
        <v>46.1335249045759</v>
      </c>
      <c r="CF142" s="6">
        <f t="shared" si="92"/>
        <v>2.801452813439067</v>
      </c>
      <c r="CG142" s="6"/>
      <c r="CH142" s="6"/>
      <c r="CI142" s="6"/>
      <c r="CJ142" s="1"/>
      <c r="CK142" s="6"/>
    </row>
    <row r="143" spans="1:89" x14ac:dyDescent="0.2">
      <c r="A143" t="s">
        <v>163</v>
      </c>
      <c r="B143" s="3">
        <f>B2*1000</f>
        <v>5000</v>
      </c>
      <c r="C143" t="s">
        <v>164</v>
      </c>
      <c r="BC143">
        <v>2.4609142453120016</v>
      </c>
      <c r="BD143">
        <v>-146.53160013702669</v>
      </c>
      <c r="BE143">
        <v>41.624346300121324</v>
      </c>
      <c r="BF143" s="6">
        <f t="shared" si="109"/>
        <v>2.864819433551423</v>
      </c>
      <c r="BG143" s="6">
        <f t="shared" si="110"/>
        <v>0.40390518823942134</v>
      </c>
      <c r="BH143" s="6">
        <f t="shared" si="111"/>
        <v>0.17710456754720827</v>
      </c>
      <c r="BI143" s="6">
        <f t="shared" si="112"/>
        <v>0.17710456754720827</v>
      </c>
      <c r="BJ143">
        <v>-225.43323098004106</v>
      </c>
      <c r="BK143">
        <v>64.037455846340492</v>
      </c>
      <c r="BV143" s="38"/>
      <c r="BW143" s="6">
        <f t="shared" si="83"/>
        <v>2.2340214425527414</v>
      </c>
      <c r="BX143" s="9">
        <f t="shared" ca="1" si="84"/>
        <v>-74.865210272190083</v>
      </c>
      <c r="BY143" s="9">
        <f t="shared" ca="1" si="85"/>
        <v>24.682759064971233</v>
      </c>
      <c r="BZ143" s="9">
        <f t="shared" ca="1" si="86"/>
        <v>-140.93785215391949</v>
      </c>
      <c r="CA143" s="6">
        <f t="shared" ca="1" si="87"/>
        <v>46.706973025547704</v>
      </c>
      <c r="CB143" s="6">
        <f t="shared" ca="1" si="88"/>
        <v>2.8215820279110431</v>
      </c>
      <c r="CC143" s="6">
        <f t="shared" ca="1" si="89"/>
        <v>-1.5838829028421042E-2</v>
      </c>
      <c r="CD143" s="9">
        <f t="shared" si="90"/>
        <v>-130.93785215391949</v>
      </c>
      <c r="CE143" s="9">
        <f t="shared" si="91"/>
        <v>45.706973025547704</v>
      </c>
      <c r="CF143" s="6">
        <f t="shared" si="92"/>
        <v>2.805743198882622</v>
      </c>
      <c r="CG143" s="6"/>
      <c r="CH143" s="6"/>
      <c r="CI143" s="6"/>
      <c r="CJ143" s="1"/>
      <c r="CK143" s="6"/>
    </row>
    <row r="144" spans="1:89" x14ac:dyDescent="0.2">
      <c r="A144" t="s">
        <v>2</v>
      </c>
      <c r="B144" s="3">
        <f>B3*1000</f>
        <v>4074280.688047891</v>
      </c>
      <c r="C144" t="s">
        <v>164</v>
      </c>
      <c r="BC144">
        <v>2.4783675378319447</v>
      </c>
      <c r="BD144">
        <v>-146.85188184221354</v>
      </c>
      <c r="BE144">
        <v>41.263606481383185</v>
      </c>
      <c r="BF144" s="6">
        <f t="shared" si="109"/>
        <v>2.8676680773202419</v>
      </c>
      <c r="BG144" s="6">
        <f t="shared" si="110"/>
        <v>0.38930053948829713</v>
      </c>
      <c r="BH144" s="6">
        <f t="shared" si="111"/>
        <v>0.17425592377838939</v>
      </c>
      <c r="BI144" s="6">
        <f t="shared" si="112"/>
        <v>0.17425592377838939</v>
      </c>
      <c r="BJ144">
        <v>-225.92597206494389</v>
      </c>
      <c r="BK144">
        <v>63.482471509820286</v>
      </c>
      <c r="BV144" s="38"/>
      <c r="BW144" s="6">
        <f t="shared" ref="BW144:BW207" si="113">BC131</f>
        <v>2.2514747350726845</v>
      </c>
      <c r="BX144" s="9">
        <f t="shared" ref="BX144:BX207" ca="1" si="114">BD131-$BW$5</f>
        <v>-75.417464289590285</v>
      </c>
      <c r="BY144" s="9">
        <f t="shared" ref="BY144:BY207" ca="1" si="115">BE131-$BX$5</f>
        <v>24.261703061965353</v>
      </c>
      <c r="BZ144" s="9">
        <f t="shared" ref="BZ144:BZ207" ca="1" si="116">BX144-$CE$5</f>
        <v>-141.4901061713197</v>
      </c>
      <c r="CA144" s="6">
        <f t="shared" ref="CA144:CA207" ca="1" si="117">BY144-$CF$5</f>
        <v>46.285917022541824</v>
      </c>
      <c r="CB144" s="6">
        <f t="shared" ref="CB144:CB207" ca="1" si="118">ATAN2(BZ144,CA144)</f>
        <v>2.8254337992484007</v>
      </c>
      <c r="CC144" s="6">
        <f t="shared" ref="CC144:CC207" ca="1" si="119">ATAN2(COS(CF144-CB144),SIN(CF144-CB144))</f>
        <v>-1.5523341582750929E-2</v>
      </c>
      <c r="CD144" s="9">
        <f t="shared" ref="CD144:CD207" si="120">BD131-$BW$6</f>
        <v>-131.4901061713197</v>
      </c>
      <c r="CE144" s="9">
        <f t="shared" ref="CE144:CE207" si="121">BE131-$BX$6</f>
        <v>45.285917022541824</v>
      </c>
      <c r="CF144" s="6">
        <f t="shared" ref="CF144:CF207" si="122">ATAN2(CD144,CE144)</f>
        <v>2.8099104576656497</v>
      </c>
      <c r="CG144" s="6"/>
      <c r="CH144" s="6"/>
      <c r="CI144" s="6"/>
      <c r="CJ144" s="1"/>
      <c r="CK144" s="6"/>
    </row>
    <row r="145" spans="1:89" ht="17" x14ac:dyDescent="0.25">
      <c r="A145" t="s">
        <v>156</v>
      </c>
      <c r="B145" s="1">
        <f>(2*0.85*B143)/B144</f>
        <v>2.0862578331765852E-3</v>
      </c>
      <c r="C145" t="s">
        <v>165</v>
      </c>
      <c r="BC145">
        <v>2.4958208303518878</v>
      </c>
      <c r="BD145">
        <v>-147.16081243857866</v>
      </c>
      <c r="BE145">
        <v>40.906287106164434</v>
      </c>
      <c r="BF145" s="6">
        <f t="shared" si="109"/>
        <v>2.8704673841502424</v>
      </c>
      <c r="BG145" s="6">
        <f t="shared" si="110"/>
        <v>0.37464655379835454</v>
      </c>
      <c r="BH145" s="6">
        <f t="shared" si="111"/>
        <v>0.17145661694838885</v>
      </c>
      <c r="BI145" s="6">
        <f t="shared" si="112"/>
        <v>0.17145661694838885</v>
      </c>
      <c r="BJ145">
        <v>-226.40124990550561</v>
      </c>
      <c r="BK145">
        <v>62.932749394099126</v>
      </c>
      <c r="BV145" s="38"/>
      <c r="BW145" s="6">
        <f t="shared" si="113"/>
        <v>2.2689280275926276</v>
      </c>
      <c r="BX145" s="9">
        <f t="shared" ca="1" si="114"/>
        <v>-75.945059747286521</v>
      </c>
      <c r="BY145" s="9">
        <f t="shared" ca="1" si="115"/>
        <v>23.846097048727568</v>
      </c>
      <c r="BZ145" s="9">
        <f t="shared" ca="1" si="116"/>
        <v>-142.01770162901593</v>
      </c>
      <c r="CA145" s="6">
        <f t="shared" ca="1" si="117"/>
        <v>45.870311009304039</v>
      </c>
      <c r="CB145" s="6">
        <f t="shared" ca="1" si="118"/>
        <v>2.8291797170669701</v>
      </c>
      <c r="CC145" s="6">
        <f t="shared" ca="1" si="119"/>
        <v>-1.5218914728733603E-2</v>
      </c>
      <c r="CD145" s="9">
        <f t="shared" si="120"/>
        <v>-132.01770162901593</v>
      </c>
      <c r="CE145" s="9">
        <f t="shared" si="121"/>
        <v>44.870311009304039</v>
      </c>
      <c r="CF145" s="6">
        <f t="shared" si="122"/>
        <v>2.8139608023382365</v>
      </c>
      <c r="CG145" s="6"/>
      <c r="CH145" s="6"/>
      <c r="CI145" s="6"/>
      <c r="CJ145" s="1"/>
      <c r="CK145" s="6"/>
    </row>
    <row r="146" spans="1:89" ht="17" x14ac:dyDescent="0.25">
      <c r="A146" t="s">
        <v>166</v>
      </c>
      <c r="B146" s="1">
        <v>3.0000000000000001E-3</v>
      </c>
      <c r="C146" t="s">
        <v>165</v>
      </c>
      <c r="BC146">
        <v>2.5132741228718309</v>
      </c>
      <c r="BD146">
        <v>-147.45903078334831</v>
      </c>
      <c r="BE146">
        <v>40.552211193674985</v>
      </c>
      <c r="BF146" s="6">
        <f t="shared" si="109"/>
        <v>2.8732202783640139</v>
      </c>
      <c r="BG146" s="6">
        <f t="shared" si="110"/>
        <v>0.35994615549218301</v>
      </c>
      <c r="BH146" s="6">
        <f t="shared" si="111"/>
        <v>0.16870372273461731</v>
      </c>
      <c r="BI146" s="6">
        <f t="shared" si="112"/>
        <v>0.16870372273461731</v>
      </c>
      <c r="BJ146">
        <v>-226.86004735899741</v>
      </c>
      <c r="BK146">
        <v>62.388017221038439</v>
      </c>
      <c r="BV146" s="38"/>
      <c r="BW146" s="6">
        <f t="shared" si="113"/>
        <v>2.2863813201125707</v>
      </c>
      <c r="BX146" s="9">
        <f t="shared" ca="1" si="114"/>
        <v>-76.4492549321388</v>
      </c>
      <c r="BY146" s="9">
        <f t="shared" ca="1" si="115"/>
        <v>23.435871074506696</v>
      </c>
      <c r="BZ146" s="9">
        <f t="shared" ca="1" si="116"/>
        <v>-142.52189681386821</v>
      </c>
      <c r="CA146" s="6">
        <f t="shared" ca="1" si="117"/>
        <v>45.460085035083168</v>
      </c>
      <c r="CB146" s="6">
        <f t="shared" ca="1" si="118"/>
        <v>2.8328251055068003</v>
      </c>
      <c r="CC146" s="6">
        <f t="shared" ca="1" si="119"/>
        <v>-1.4924877715916995E-2</v>
      </c>
      <c r="CD146" s="9">
        <f t="shared" si="120"/>
        <v>-132.52189681386821</v>
      </c>
      <c r="CE146" s="9">
        <f t="shared" si="121"/>
        <v>44.460085035083168</v>
      </c>
      <c r="CF146" s="6">
        <f t="shared" si="122"/>
        <v>2.8179002277908833</v>
      </c>
      <c r="CG146" s="6"/>
      <c r="CH146" s="6"/>
      <c r="CI146" s="6"/>
      <c r="CJ146" s="1"/>
      <c r="CK146" s="6"/>
    </row>
    <row r="147" spans="1:89" ht="17" x14ac:dyDescent="0.25">
      <c r="A147" t="s">
        <v>167</v>
      </c>
      <c r="B147" s="1">
        <f>B146/B145</f>
        <v>1.4379814193110203</v>
      </c>
      <c r="C147" t="s">
        <v>168</v>
      </c>
      <c r="BC147">
        <v>2.530727415391774</v>
      </c>
      <c r="BD147">
        <v>-147.74712972133008</v>
      </c>
      <c r="BE147">
        <v>40.201204334048704</v>
      </c>
      <c r="BF147" s="6">
        <f t="shared" si="109"/>
        <v>2.875929519773349</v>
      </c>
      <c r="BG147" s="6">
        <f t="shared" si="110"/>
        <v>0.34520210438157495</v>
      </c>
      <c r="BH147" s="6">
        <f t="shared" si="111"/>
        <v>0.16599448132528224</v>
      </c>
      <c r="BI147" s="6">
        <f t="shared" si="112"/>
        <v>0.16599448132528224</v>
      </c>
      <c r="BJ147">
        <v>-227.30327649435395</v>
      </c>
      <c r="BK147">
        <v>61.848006667767237</v>
      </c>
      <c r="BV147" s="38"/>
      <c r="BW147" s="6">
        <f t="shared" si="113"/>
        <v>2.3038346126325138</v>
      </c>
      <c r="BX147" s="9">
        <f t="shared" ca="1" si="114"/>
        <v>-76.931273873408216</v>
      </c>
      <c r="BY147" s="9">
        <f t="shared" ca="1" si="115"/>
        <v>23.030932977619596</v>
      </c>
      <c r="BZ147" s="9">
        <f t="shared" ca="1" si="116"/>
        <v>-143.00391575513763</v>
      </c>
      <c r="CA147" s="6">
        <f t="shared" ca="1" si="117"/>
        <v>45.055146938196067</v>
      </c>
      <c r="CB147" s="6">
        <f t="shared" ca="1" si="118"/>
        <v>2.8363751261377148</v>
      </c>
      <c r="CC147" s="6">
        <f t="shared" ca="1" si="119"/>
        <v>-1.4640595010299684E-2</v>
      </c>
      <c r="CD147" s="9">
        <f t="shared" si="120"/>
        <v>-133.00391575513763</v>
      </c>
      <c r="CE147" s="9">
        <f t="shared" si="121"/>
        <v>44.055146938196067</v>
      </c>
      <c r="CF147" s="6">
        <f t="shared" si="122"/>
        <v>2.8217345311274151</v>
      </c>
      <c r="CG147" s="6"/>
      <c r="CH147" s="6"/>
      <c r="CI147" s="6"/>
      <c r="CJ147" s="1"/>
      <c r="CK147" s="6"/>
    </row>
    <row r="148" spans="1:89" ht="17" x14ac:dyDescent="0.25">
      <c r="A148" t="s">
        <v>169</v>
      </c>
      <c r="B148" s="6">
        <f>G38</f>
        <v>12.95986287056963</v>
      </c>
      <c r="C148" t="s">
        <v>4</v>
      </c>
      <c r="BC148">
        <v>2.5481807079117171</v>
      </c>
      <c r="BD148">
        <v>-148.02565991667595</v>
      </c>
      <c r="BE148">
        <v>39.853094660292939</v>
      </c>
      <c r="BF148" s="6">
        <f t="shared" si="109"/>
        <v>2.8785977179785101</v>
      </c>
      <c r="BG148" s="6">
        <f t="shared" si="110"/>
        <v>0.33041701006679292</v>
      </c>
      <c r="BH148" s="6">
        <f t="shared" si="111"/>
        <v>0.16332628312012121</v>
      </c>
      <c r="BI148" s="6">
        <f t="shared" si="112"/>
        <v>0.16332628312012121</v>
      </c>
      <c r="BJ148">
        <v>-227.73178448719375</v>
      </c>
      <c r="BK148">
        <v>61.312453323527599</v>
      </c>
      <c r="BV148" s="38"/>
      <c r="BW148" s="6">
        <f t="shared" si="113"/>
        <v>2.3212879051524569</v>
      </c>
      <c r="BX148" s="9">
        <f t="shared" ca="1" si="114"/>
        <v>-77.392310205485117</v>
      </c>
      <c r="BY148" s="9">
        <f t="shared" ca="1" si="115"/>
        <v>22.631169777975924</v>
      </c>
      <c r="BZ148" s="9">
        <f t="shared" ca="1" si="116"/>
        <v>-143.46495208721453</v>
      </c>
      <c r="CA148" s="6">
        <f t="shared" ca="1" si="117"/>
        <v>44.655383738552395</v>
      </c>
      <c r="CB148" s="6">
        <f t="shared" ca="1" si="118"/>
        <v>2.8398347956622092</v>
      </c>
      <c r="CC148" s="6">
        <f t="shared" ca="1" si="119"/>
        <v>-1.4365462721758425E-2</v>
      </c>
      <c r="CD148" s="9">
        <f t="shared" si="120"/>
        <v>-133.46495208721453</v>
      </c>
      <c r="CE148" s="9">
        <f t="shared" si="121"/>
        <v>43.655383738552395</v>
      </c>
      <c r="CF148" s="6">
        <f t="shared" si="122"/>
        <v>2.8254693329404508</v>
      </c>
      <c r="CG148" s="6"/>
      <c r="CH148" s="6"/>
      <c r="CI148" s="6"/>
      <c r="CJ148" s="1"/>
      <c r="CK148" s="6"/>
    </row>
    <row r="149" spans="1:89" x14ac:dyDescent="0.2">
      <c r="B149" s="1"/>
      <c r="BC149">
        <v>2.5656340004316602</v>
      </c>
      <c r="BD149">
        <v>-148.29513349810384</v>
      </c>
      <c r="BE149">
        <v>39.507712831328284</v>
      </c>
      <c r="BF149" s="6">
        <f t="shared" si="109"/>
        <v>2.8812273453698722</v>
      </c>
      <c r="BG149" s="6">
        <f t="shared" si="110"/>
        <v>0.31559334493821201</v>
      </c>
      <c r="BH149" s="6">
        <f t="shared" si="111"/>
        <v>0.16069665572875902</v>
      </c>
      <c r="BI149" s="6">
        <f t="shared" si="112"/>
        <v>0.16069665572875902</v>
      </c>
      <c r="BJ149">
        <v>-228.14635922785206</v>
      </c>
      <c r="BK149">
        <v>60.781096663581977</v>
      </c>
      <c r="BV149" s="38"/>
      <c r="BW149" s="6">
        <f t="shared" si="113"/>
        <v>2.3387411976724</v>
      </c>
      <c r="BX149" s="9">
        <f t="shared" ca="1" si="114"/>
        <v>-77.833531403831543</v>
      </c>
      <c r="BY149" s="9">
        <f t="shared" ca="1" si="115"/>
        <v>22.236448623206744</v>
      </c>
      <c r="BZ149" s="9">
        <f t="shared" ca="1" si="116"/>
        <v>-143.90617328556095</v>
      </c>
      <c r="CA149" s="6">
        <f t="shared" ca="1" si="117"/>
        <v>44.260662583783215</v>
      </c>
      <c r="CB149" s="6">
        <f t="shared" ca="1" si="118"/>
        <v>2.8432090051912686</v>
      </c>
      <c r="CC149" s="6">
        <f t="shared" ca="1" si="119"/>
        <v>-1.4098905127927885E-2</v>
      </c>
      <c r="CD149" s="9">
        <f t="shared" si="120"/>
        <v>-133.90617328556095</v>
      </c>
      <c r="CE149" s="9">
        <f t="shared" si="121"/>
        <v>43.260662583783215</v>
      </c>
      <c r="CF149" s="6">
        <f t="shared" si="122"/>
        <v>2.8291101000633407</v>
      </c>
      <c r="CG149" s="6"/>
      <c r="CH149" s="6"/>
      <c r="CI149" s="6"/>
      <c r="CJ149" s="1"/>
      <c r="CK149" s="6"/>
    </row>
    <row r="150" spans="1:89" x14ac:dyDescent="0.2">
      <c r="A150" t="s">
        <v>170</v>
      </c>
      <c r="B150" s="50">
        <f>B28</f>
        <v>28.2539477377697</v>
      </c>
      <c r="C150" t="s">
        <v>4</v>
      </c>
      <c r="D150" t="s">
        <v>171</v>
      </c>
      <c r="BC150">
        <v>2.5830872929516033</v>
      </c>
      <c r="BD150">
        <v>-148.556027225907</v>
      </c>
      <c r="BE150">
        <v>39.164891968192833</v>
      </c>
      <c r="BF150" s="6">
        <f t="shared" si="109"/>
        <v>2.8838207488108978</v>
      </c>
      <c r="BG150" s="6">
        <f t="shared" si="110"/>
        <v>0.30073345585929445</v>
      </c>
      <c r="BH150" s="6">
        <f t="shared" si="111"/>
        <v>0.15810325228773348</v>
      </c>
      <c r="BI150" s="6">
        <f t="shared" si="112"/>
        <v>0.15810325228773348</v>
      </c>
      <c r="BJ150">
        <v>-228.54773419370306</v>
      </c>
      <c r="BK150">
        <v>60.253679951065898</v>
      </c>
      <c r="BV150" s="38"/>
      <c r="BW150" s="6">
        <f t="shared" si="113"/>
        <v>2.3561944901923431</v>
      </c>
      <c r="BX150" s="9">
        <f t="shared" ca="1" si="114"/>
        <v>-78.256083340662613</v>
      </c>
      <c r="BY150" s="9">
        <f t="shared" ca="1" si="115"/>
        <v>21.846617271621472</v>
      </c>
      <c r="BZ150" s="9">
        <f t="shared" ca="1" si="116"/>
        <v>-144.32872522239202</v>
      </c>
      <c r="CA150" s="6">
        <f t="shared" ca="1" si="117"/>
        <v>43.870831232197943</v>
      </c>
      <c r="CB150" s="6">
        <f t="shared" ca="1" si="118"/>
        <v>2.8465025411878511</v>
      </c>
      <c r="CC150" s="6">
        <f t="shared" ca="1" si="119"/>
        <v>-1.3840371273210472E-2</v>
      </c>
      <c r="CD150" s="9">
        <f t="shared" si="120"/>
        <v>-134.32872522239202</v>
      </c>
      <c r="CE150" s="9">
        <f t="shared" si="121"/>
        <v>42.870831232197943</v>
      </c>
      <c r="CF150" s="6">
        <f t="shared" si="122"/>
        <v>2.8326621699146406</v>
      </c>
      <c r="CG150" s="6"/>
      <c r="CH150" s="6"/>
      <c r="CI150" s="6"/>
      <c r="CJ150" s="1"/>
      <c r="CK150" s="6"/>
    </row>
    <row r="151" spans="1:89" ht="17" x14ac:dyDescent="0.25">
      <c r="A151" t="s">
        <v>172</v>
      </c>
      <c r="B151" s="1">
        <f>(((B145/B146)*B150)-B150)*-1</f>
        <v>8.6056078090750674</v>
      </c>
      <c r="C151" t="s">
        <v>4</v>
      </c>
      <c r="D151" t="s">
        <v>173</v>
      </c>
      <c r="BC151">
        <v>2.6005405854715464</v>
      </c>
      <c r="BD151">
        <v>-148.80878536629251</v>
      </c>
      <c r="BE151">
        <v>38.824467574351338</v>
      </c>
      <c r="BF151" s="6">
        <f t="shared" si="109"/>
        <v>2.8863801602357766</v>
      </c>
      <c r="BG151" s="6">
        <f t="shared" si="110"/>
        <v>0.28583957476423016</v>
      </c>
      <c r="BH151" s="6">
        <f t="shared" si="111"/>
        <v>0.15554384086285467</v>
      </c>
      <c r="BI151" s="6">
        <f t="shared" si="112"/>
        <v>0.15554384086285467</v>
      </c>
      <c r="BJ151">
        <v>-228.93659287121923</v>
      </c>
      <c r="BK151">
        <v>59.729950114386675</v>
      </c>
      <c r="BV151" s="38"/>
      <c r="BW151" s="6">
        <f t="shared" si="113"/>
        <v>2.3736477827122862</v>
      </c>
      <c r="BX151" s="9">
        <f t="shared" ca="1" si="114"/>
        <v>-78.66109516322301</v>
      </c>
      <c r="BY151" s="9">
        <f t="shared" ca="1" si="115"/>
        <v>21.461504203106163</v>
      </c>
      <c r="BZ151" s="9">
        <f t="shared" ca="1" si="116"/>
        <v>-144.73373704495242</v>
      </c>
      <c r="CA151" s="6">
        <f t="shared" ca="1" si="117"/>
        <v>43.485718163682634</v>
      </c>
      <c r="CB151" s="6">
        <f t="shared" ca="1" si="118"/>
        <v>2.8497201075968808</v>
      </c>
      <c r="CC151" s="6">
        <f t="shared" ca="1" si="119"/>
        <v>-1.358933165515319E-2</v>
      </c>
      <c r="CD151" s="9">
        <f t="shared" si="120"/>
        <v>-134.73373704495242</v>
      </c>
      <c r="CE151" s="9">
        <f t="shared" si="121"/>
        <v>42.485718163682634</v>
      </c>
      <c r="CF151" s="6">
        <f t="shared" si="122"/>
        <v>2.8361307759417276</v>
      </c>
      <c r="CG151" s="6"/>
      <c r="CH151" s="6"/>
      <c r="CI151" s="6"/>
      <c r="CJ151" s="1"/>
      <c r="CK151" s="6"/>
    </row>
    <row r="152" spans="1:89" x14ac:dyDescent="0.2">
      <c r="A152" t="s">
        <v>174</v>
      </c>
      <c r="B152" s="1">
        <f>B148-B151</f>
        <v>4.3542550614945625</v>
      </c>
      <c r="C152" t="s">
        <v>4</v>
      </c>
      <c r="D152" t="s">
        <v>175</v>
      </c>
      <c r="BC152">
        <v>2.6179938779914895</v>
      </c>
      <c r="BD152">
        <v>-149.0538222865105</v>
      </c>
      <c r="BE152">
        <v>38.486277439156268</v>
      </c>
      <c r="BF152" s="6">
        <f t="shared" si="109"/>
        <v>2.8889077062795598</v>
      </c>
      <c r="BG152" s="6">
        <f t="shared" si="110"/>
        <v>0.27091382828807031</v>
      </c>
      <c r="BH152" s="6">
        <f t="shared" si="111"/>
        <v>0.15301629481907142</v>
      </c>
      <c r="BI152" s="6">
        <f t="shared" si="112"/>
        <v>0.15301629481907142</v>
      </c>
      <c r="BJ152">
        <v>-229.31357274847767</v>
      </c>
      <c r="BK152">
        <v>59.209657598701952</v>
      </c>
      <c r="BV152" s="38"/>
      <c r="BW152" s="6">
        <f t="shared" si="113"/>
        <v>2.3911010752322293</v>
      </c>
      <c r="BX152" s="9">
        <f t="shared" ca="1" si="114"/>
        <v>-79.049667944379976</v>
      </c>
      <c r="BY152" s="9">
        <f t="shared" ca="1" si="115"/>
        <v>21.080922359051538</v>
      </c>
      <c r="BZ152" s="9">
        <f t="shared" ca="1" si="116"/>
        <v>-145.12230982610939</v>
      </c>
      <c r="CA152" s="6">
        <f t="shared" ca="1" si="117"/>
        <v>43.105136319628009</v>
      </c>
      <c r="CB152" s="6">
        <f t="shared" ca="1" si="118"/>
        <v>2.8528662927823247</v>
      </c>
      <c r="CC152" s="6">
        <f t="shared" ca="1" si="119"/>
        <v>-1.3345280292575533E-2</v>
      </c>
      <c r="CD152" s="9">
        <f t="shared" si="120"/>
        <v>-135.12230982610939</v>
      </c>
      <c r="CE152" s="9">
        <f t="shared" si="121"/>
        <v>42.105136319628009</v>
      </c>
      <c r="CF152" s="6">
        <f t="shared" si="122"/>
        <v>2.8395210124897492</v>
      </c>
      <c r="CG152" s="6"/>
      <c r="CH152" s="6"/>
      <c r="CI152" s="6"/>
      <c r="CJ152" s="1"/>
      <c r="CK152" s="6"/>
    </row>
    <row r="153" spans="1:89" x14ac:dyDescent="0.2">
      <c r="A153" t="s">
        <v>176</v>
      </c>
      <c r="B153" s="1">
        <f>B148-B150</f>
        <v>-15.29408486720007</v>
      </c>
      <c r="C153" t="s">
        <v>4</v>
      </c>
      <c r="D153" t="s">
        <v>177</v>
      </c>
      <c r="BC153">
        <v>2.6354471705114326</v>
      </c>
      <c r="BD153">
        <v>-149.29152484887521</v>
      </c>
      <c r="BE153">
        <v>38.150161533710303</v>
      </c>
      <c r="BF153" s="6">
        <f t="shared" si="109"/>
        <v>2.8914054170881074</v>
      </c>
      <c r="BG153" s="6">
        <f t="shared" si="110"/>
        <v>0.25595824657667476</v>
      </c>
      <c r="BH153" s="6">
        <f t="shared" si="111"/>
        <v>0.15051858401052387</v>
      </c>
      <c r="BI153" s="6">
        <f t="shared" si="112"/>
        <v>0.15051858401052387</v>
      </c>
      <c r="BJ153">
        <v>-229.67926899826955</v>
      </c>
      <c r="BK153">
        <v>58.692556205708158</v>
      </c>
      <c r="BV153" s="38"/>
      <c r="BW153" s="6">
        <f t="shared" si="113"/>
        <v>2.4085543677521724</v>
      </c>
      <c r="BX153" s="9">
        <f t="shared" ca="1" si="114"/>
        <v>-79.422830138714332</v>
      </c>
      <c r="BY153" s="9">
        <f t="shared" ca="1" si="115"/>
        <v>20.704681703616263</v>
      </c>
      <c r="BZ153" s="9">
        <f t="shared" ca="1" si="116"/>
        <v>-145.49547202044374</v>
      </c>
      <c r="CA153" s="6">
        <f t="shared" ca="1" si="117"/>
        <v>42.728895664192734</v>
      </c>
      <c r="CB153" s="6">
        <f t="shared" ca="1" si="118"/>
        <v>2.855945419712699</v>
      </c>
      <c r="CC153" s="6">
        <f t="shared" ca="1" si="119"/>
        <v>-1.310774760747524E-2</v>
      </c>
      <c r="CD153" s="9">
        <f t="shared" si="120"/>
        <v>-135.49547202044374</v>
      </c>
      <c r="CE153" s="9">
        <f t="shared" si="121"/>
        <v>41.728895664192734</v>
      </c>
      <c r="CF153" s="6">
        <f t="shared" si="122"/>
        <v>2.8428376721052238</v>
      </c>
      <c r="CG153" s="6"/>
      <c r="CH153" s="6"/>
      <c r="CI153" s="6"/>
      <c r="CJ153" s="1"/>
      <c r="CK153" s="6"/>
    </row>
    <row r="154" spans="1:89" x14ac:dyDescent="0.2">
      <c r="BC154">
        <v>2.6529004630313757</v>
      </c>
      <c r="BD154">
        <v>-149.52225451464184</v>
      </c>
      <c r="BE154">
        <v>37.815961883992934</v>
      </c>
      <c r="BF154" s="6">
        <f t="shared" si="109"/>
        <v>2.8938752343251068</v>
      </c>
      <c r="BG154" s="6">
        <f t="shared" si="110"/>
        <v>0.24097477129373113</v>
      </c>
      <c r="BH154" s="6">
        <f t="shared" si="111"/>
        <v>0.14804876677352441</v>
      </c>
      <c r="BI154" s="6">
        <f t="shared" si="112"/>
        <v>0.14804876677352441</v>
      </c>
      <c r="BJ154">
        <v>-230.03423771483361</v>
      </c>
      <c r="BK154">
        <v>58.178402898450663</v>
      </c>
      <c r="BV154" s="38"/>
      <c r="BW154" s="6">
        <f t="shared" si="113"/>
        <v>2.4260076602721155</v>
      </c>
      <c r="BX154" s="9">
        <f t="shared" ca="1" si="114"/>
        <v>-79.781528581214602</v>
      </c>
      <c r="BY154" s="9">
        <f t="shared" ca="1" si="115"/>
        <v>20.332593786541448</v>
      </c>
      <c r="BZ154" s="9">
        <f t="shared" ca="1" si="116"/>
        <v>-145.85417046294401</v>
      </c>
      <c r="CA154" s="6">
        <f t="shared" ca="1" si="117"/>
        <v>42.356807747117919</v>
      </c>
      <c r="CB154" s="6">
        <f t="shared" ca="1" si="118"/>
        <v>2.8589615172392699</v>
      </c>
      <c r="CC154" s="6">
        <f t="shared" ca="1" si="119"/>
        <v>-1.2876301666235879E-2</v>
      </c>
      <c r="CD154" s="9">
        <f t="shared" si="120"/>
        <v>-135.85417046294401</v>
      </c>
      <c r="CE154" s="9">
        <f t="shared" si="121"/>
        <v>41.356807747117919</v>
      </c>
      <c r="CF154" s="6">
        <f t="shared" si="122"/>
        <v>2.8460852155730341</v>
      </c>
      <c r="CG154" s="6"/>
      <c r="CH154" s="6"/>
      <c r="CI154" s="6"/>
      <c r="CJ154" s="1"/>
      <c r="CK154" s="6"/>
    </row>
    <row r="155" spans="1:89" x14ac:dyDescent="0.2">
      <c r="A155" t="s">
        <v>178</v>
      </c>
      <c r="BC155">
        <v>2.6703537555513188</v>
      </c>
      <c r="BD155">
        <v>-149.74634927455611</v>
      </c>
      <c r="BE155">
        <v>37.48352243779658</v>
      </c>
      <c r="BF155" s="6">
        <f t="shared" si="109"/>
        <v>2.8963190185241232</v>
      </c>
      <c r="BG155" s="6">
        <f t="shared" si="110"/>
        <v>0.22596526297280439</v>
      </c>
      <c r="BH155" s="6">
        <f t="shared" si="111"/>
        <v>0.14560498257450802</v>
      </c>
      <c r="BI155" s="6">
        <f t="shared" si="112"/>
        <v>0.14560498257450802</v>
      </c>
      <c r="BJ155">
        <v>-230.37899888393247</v>
      </c>
      <c r="BK155">
        <v>57.666957596610118</v>
      </c>
      <c r="BV155" s="38"/>
      <c r="BW155" s="6">
        <f t="shared" si="113"/>
        <v>2.4434609527920585</v>
      </c>
      <c r="BX155" s="9">
        <f t="shared" ca="1" si="114"/>
        <v>-80.126636046487548</v>
      </c>
      <c r="BY155" s="9">
        <f t="shared" ca="1" si="115"/>
        <v>19.964472103177453</v>
      </c>
      <c r="BZ155" s="9">
        <f t="shared" ca="1" si="116"/>
        <v>-146.19927792821696</v>
      </c>
      <c r="CA155" s="6">
        <f t="shared" ca="1" si="117"/>
        <v>41.988686063753924</v>
      </c>
      <c r="CB155" s="6">
        <f t="shared" ca="1" si="118"/>
        <v>2.8619183479488792</v>
      </c>
      <c r="CC155" s="6">
        <f t="shared" ca="1" si="119"/>
        <v>-1.265054423121059E-2</v>
      </c>
      <c r="CD155" s="9">
        <f t="shared" si="120"/>
        <v>-136.19927792821696</v>
      </c>
      <c r="CE155" s="9">
        <f t="shared" si="121"/>
        <v>40.988686063753924</v>
      </c>
      <c r="CF155" s="6">
        <f t="shared" si="122"/>
        <v>2.8492678037176686</v>
      </c>
      <c r="CG155" s="6"/>
      <c r="CH155" s="6"/>
      <c r="CI155" s="6"/>
      <c r="CJ155" s="1"/>
      <c r="CK155" s="6"/>
    </row>
    <row r="156" spans="1:89" x14ac:dyDescent="0.2">
      <c r="B156" t="str">
        <f>B48</f>
        <v>xi (in)</v>
      </c>
      <c r="C156" t="str">
        <f t="shared" ref="C156:E156" si="123">C48</f>
        <v>yi (in)</v>
      </c>
      <c r="D156" t="str">
        <f t="shared" si="123"/>
        <v>xj (in)</v>
      </c>
      <c r="E156" t="str">
        <f t="shared" si="123"/>
        <v>yj (in)</v>
      </c>
      <c r="F156" s="1" t="s">
        <v>184</v>
      </c>
      <c r="G156" s="1" t="s">
        <v>185</v>
      </c>
      <c r="H156" s="1" t="s">
        <v>179</v>
      </c>
      <c r="I156" s="1" t="s">
        <v>180</v>
      </c>
      <c r="J156" s="1" t="s">
        <v>181</v>
      </c>
      <c r="K156" s="1" t="s">
        <v>182</v>
      </c>
      <c r="M156" s="1" t="s">
        <v>99</v>
      </c>
      <c r="N156" s="1" t="s">
        <v>100</v>
      </c>
      <c r="O156" s="1" t="s">
        <v>101</v>
      </c>
      <c r="P156" t="s">
        <v>186</v>
      </c>
      <c r="AB156" t="s">
        <v>187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-149.96412542343583</v>
      </c>
      <c r="BE156">
        <v>37.15268892564152</v>
      </c>
      <c r="BF156" s="6">
        <f t="shared" ref="BF156:BF157" si="124">IF(BC156&lt;&gt;"",IF(AND(BD156=0,BE156=0),0,MOD(ATAN2(BD156,BE156),2*PI())),NA())</f>
        <v>2.8987385558609304</v>
      </c>
      <c r="BG156" s="6">
        <f t="shared" ref="BG156:BG157" si="125">ABS(BC156-BF156)</f>
        <v>0.21093150778966852</v>
      </c>
      <c r="BH156" s="6">
        <f t="shared" ref="BH156:BH157" si="126">ATAN2(COS($U$13-BF156),SIN($U$13-BF156))</f>
        <v>0.14318544523770083</v>
      </c>
      <c r="BI156" s="6">
        <f t="shared" ref="BI156:BI157" si="127">ABS(BH156)</f>
        <v>0.14318544523770083</v>
      </c>
      <c r="BJ156">
        <v>-230.71403911297818</v>
      </c>
      <c r="BK156">
        <v>57.157982962525416</v>
      </c>
      <c r="BV156" s="38"/>
      <c r="BW156" s="6">
        <f t="shared" si="113"/>
        <v>2.4609142453120016</v>
      </c>
      <c r="BX156" s="9">
        <f t="shared" ca="1" si="114"/>
        <v>-80.458958255297276</v>
      </c>
      <c r="BY156" s="9">
        <f t="shared" ca="1" si="115"/>
        <v>19.600132339544853</v>
      </c>
      <c r="BZ156" s="9">
        <f t="shared" ca="1" si="116"/>
        <v>-146.53160013702669</v>
      </c>
      <c r="CA156" s="6">
        <f t="shared" ca="1" si="117"/>
        <v>41.624346300121324</v>
      </c>
      <c r="CB156" s="6">
        <f t="shared" ca="1" si="118"/>
        <v>2.864819433551423</v>
      </c>
      <c r="CC156" s="6">
        <f t="shared" ca="1" si="119"/>
        <v>-1.2430107229686181E-2</v>
      </c>
      <c r="CD156" s="9">
        <f t="shared" si="120"/>
        <v>-136.53160013702669</v>
      </c>
      <c r="CE156" s="9">
        <f t="shared" si="121"/>
        <v>40.624346300121324</v>
      </c>
      <c r="CF156" s="6">
        <f t="shared" si="122"/>
        <v>2.8523893263217368</v>
      </c>
      <c r="CG156" s="6"/>
      <c r="CH156" s="6"/>
      <c r="CI156" s="6"/>
      <c r="CJ156" s="1"/>
      <c r="CK156" s="6"/>
    </row>
    <row r="157" spans="1:89" x14ac:dyDescent="0.2">
      <c r="A157" s="1" t="s">
        <v>43</v>
      </c>
      <c r="B157" s="6">
        <f t="shared" ref="B157:E157" si="128">B49</f>
        <v>12.449981450889403</v>
      </c>
      <c r="C157" s="6">
        <f t="shared" si="128"/>
        <v>4.9997961830968469</v>
      </c>
      <c r="D157" s="6">
        <f t="shared" si="128"/>
        <v>3.4701519240561645</v>
      </c>
      <c r="E157" s="6">
        <f t="shared" si="128"/>
        <v>12.95986287056963</v>
      </c>
      <c r="F157" s="6">
        <f>IF(E157-C157=0,0,MIN(MAX(($B$152-C157)/(E157-C157),0),1))</f>
        <v>0</v>
      </c>
      <c r="G157" s="6">
        <f>IF(E157-C157=0,0,MIN(MAX(($B$153-C157)/(E157-C157),0),1))</f>
        <v>0</v>
      </c>
      <c r="H157" s="6">
        <f>IF(AND(F157=0,G157=0),0,IF(C157&gt;E157,B157+(F157*(D157-B157)),B157+(G157*(D157-B157))))</f>
        <v>0</v>
      </c>
      <c r="I157" s="6">
        <f>IF(AND(F157=0,G157=0),0,IF(C157&gt;E157,C157+(F157*(E157-C157)),C157+(G157*(E157-C157))))</f>
        <v>0</v>
      </c>
      <c r="J157" s="6">
        <f>IF(AND(F157=0,G157=0),0,IF(C157&gt;E157,B157+(G157*(D157-B157)),B157+(F157*(D157-B157))))</f>
        <v>0</v>
      </c>
      <c r="K157" s="6">
        <f>IF(AND(F157=0,G157=0),0,IF(C157&gt;E157,C157+(G157*(E157-C157)),C157+(F157*(E157-C157))))</f>
        <v>0</v>
      </c>
      <c r="L157" s="6"/>
      <c r="M157" s="6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6">
        <f>((1/(1200*$B$150*$B$150))*17*$B$143*$B$147*(I157-K157))*Z157</f>
        <v>0</v>
      </c>
      <c r="O157" s="6">
        <f>((1/(1200*$B$150*$B$150))*17*$B$143*$B$147*(I157-K157))*AW157</f>
        <v>0</v>
      </c>
      <c r="P157" s="6">
        <f t="shared" ref="P157:P164" si="129">((2*I157*I157)*((5*$B$150*($B$147-1))+(3*$B$147*K157)-(5*$B$147*$B$148)))</f>
        <v>0</v>
      </c>
      <c r="Q157" s="6">
        <f>(I157)*((20*K157)*(($B$150*($B$147-1))-($B$147*$B$148))+((10*($B$150-$B$148))*(($B$150*($B$147-2))-($B$147*$B$148)))+(9*$B$147*K157*K157))</f>
        <v>0</v>
      </c>
      <c r="R157" s="6">
        <f t="shared" ref="R157:R164" si="130">(2*K157)*((15*K157)*(($B$150*($B$147-1))-($B$147*$B$148))+((10*($B$150-$B$148))*(($B$150*($B$147-2))-($B$147*$B$148)))+(6*$B$147*K157*K157))</f>
        <v>0</v>
      </c>
      <c r="S157" s="6">
        <f t="shared" ref="S157:S164" si="131">3*$B$147*I157*I157*I157</f>
        <v>0</v>
      </c>
      <c r="T157" s="71">
        <f>J157*(SUM(P157:S157))</f>
        <v>0</v>
      </c>
      <c r="U157" s="10">
        <f t="shared" ref="U157:U164" si="132">(I157*I157)*((30*$B$150*($B$147-1))+(9*$B$147*K157)-(30*$B$147*$B$148))</f>
        <v>0</v>
      </c>
      <c r="V157" s="10">
        <f t="shared" ref="V157:V164" si="133">I157*(((20*K157)*(($B$150*($B$147-1))-($B$147*$B$148)))+(20*($B$150-$B$148)*(($B$150*($B$147-2))-($B$147*$B$148)))+(6*$B$147*K157*K157))</f>
        <v>0</v>
      </c>
      <c r="W157" s="10">
        <f t="shared" ref="W157:W164" si="134">K157*(((10*K157)*(($B$150*($B$147-1))-($B$147*$B$148)))+(10*($B$150-$B$148)*(($B$150*($B$147-2))-($B$147*$B$148)))+(3*$B$147*K157*K157))</f>
        <v>0</v>
      </c>
      <c r="X157" s="10">
        <f t="shared" ref="X157:X164" si="135">12*$B$147*I157*I157*I157</f>
        <v>0</v>
      </c>
      <c r="Y157" s="71">
        <f t="shared" ref="Y157:Y164" si="136">H157*SUM(U157:X157)</f>
        <v>0</v>
      </c>
      <c r="Z157" s="71">
        <f t="shared" ref="Z157:Z164" si="137">T157+Y157</f>
        <v>0</v>
      </c>
      <c r="AA157" s="6"/>
      <c r="AB157" s="6">
        <f>(3*I157)*(((5*$B$150)*($B$147-1))+($B$147*K157)-(5*$B$147*$B$148))</f>
        <v>0</v>
      </c>
      <c r="AC157" s="6">
        <f>(10*($B$150-$B$148))*(($B$150*($B$147-2))-($B$147*$B$148))</f>
        <v>-5278.7970735242225</v>
      </c>
      <c r="AD157" s="6">
        <f>(5*K157)*(($B$150*($B$147-1))-($B$147*$B$148))</f>
        <v>0</v>
      </c>
      <c r="AE157" s="6">
        <f>6*$B$147*I157*I157</f>
        <v>0</v>
      </c>
      <c r="AF157" s="6">
        <f>$B$147*K157*K157</f>
        <v>0</v>
      </c>
      <c r="AG157" s="6">
        <f>SUM(AB157:AF157)</f>
        <v>-5278.7970735242225</v>
      </c>
      <c r="AH157" s="72">
        <f>AG157*H157*H157</f>
        <v>0</v>
      </c>
      <c r="AI157" s="6">
        <f>(2*I157)*(((5*$B$150)*($B$147-1))+(2*$B$147*K157)-(5*$B$147*$B$148))</f>
        <v>0</v>
      </c>
      <c r="AJ157" s="6">
        <f>(10*($B$150-$B$148))*(($B$150*($B$147-2))-($B$147*$B$148))</f>
        <v>-5278.7970735242225</v>
      </c>
      <c r="AK157" s="6">
        <f>(10*K157)*(($B$150*($B$147-1))-($B$147*$B$148))</f>
        <v>0</v>
      </c>
      <c r="AL157" s="6">
        <f>3*$B$147*I157*I157</f>
        <v>0</v>
      </c>
      <c r="AM157" s="6">
        <f>3*$B$147*K157*K157</f>
        <v>0</v>
      </c>
      <c r="AN157" s="6">
        <f>SUM(AI157:AM157)</f>
        <v>-5278.7970735242225</v>
      </c>
      <c r="AO157" s="72">
        <f>(H157*J157)*AN157</f>
        <v>0</v>
      </c>
      <c r="AP157" s="6">
        <f>(I157)*(((5*$B$150)*($B$147-1))+(3*$B$147*K157)-(5*$B$147*$B$148))</f>
        <v>0</v>
      </c>
      <c r="AQ157" s="6">
        <f>(10*($B$150-$B$148))*(($B$150*($B$147-2))-($B$147*$B$148))</f>
        <v>-5278.7970735242225</v>
      </c>
      <c r="AR157" s="6">
        <f>(15*K157)*(($B$150*($B$147-1))-($B$147*$B$148))</f>
        <v>0</v>
      </c>
      <c r="AS157" s="6">
        <f>$B$147*I157*I157</f>
        <v>0</v>
      </c>
      <c r="AT157" s="6">
        <f>6*$B$147*K157*K157</f>
        <v>0</v>
      </c>
      <c r="AU157" s="6">
        <f>SUM(AP157:AT157)</f>
        <v>-5278.7970735242225</v>
      </c>
      <c r="AV157" s="72">
        <f>(J157*J157)*AU157</f>
        <v>0</v>
      </c>
      <c r="AW157" s="72">
        <f>AH157+AO157+AV157</f>
        <v>0</v>
      </c>
      <c r="BA157"/>
      <c r="BC157">
        <v>2.705260340591205</v>
      </c>
      <c r="BD157">
        <v>-150.17587912818783</v>
      </c>
      <c r="BE157">
        <v>36.823308708054206</v>
      </c>
      <c r="BF157" s="6">
        <f t="shared" si="124"/>
        <v>2.9011355643591803</v>
      </c>
      <c r="BG157" s="6">
        <f t="shared" si="125"/>
        <v>0.19587522376797528</v>
      </c>
      <c r="BH157" s="6">
        <f t="shared" si="126"/>
        <v>0.14078843673945096</v>
      </c>
      <c r="BI157" s="6">
        <f t="shared" si="127"/>
        <v>0.14078843673945096</v>
      </c>
      <c r="BJ157">
        <v>-231.03981404336588</v>
      </c>
      <c r="BK157">
        <v>56.651244166237241</v>
      </c>
      <c r="BV157" s="38"/>
      <c r="BW157" s="6">
        <f t="shared" si="113"/>
        <v>2.4783675378319447</v>
      </c>
      <c r="BX157" s="9">
        <f t="shared" ca="1" si="114"/>
        <v>-80.779239960484134</v>
      </c>
      <c r="BY157" s="9">
        <f t="shared" ca="1" si="115"/>
        <v>19.239392520806714</v>
      </c>
      <c r="BZ157" s="9">
        <f t="shared" ca="1" si="116"/>
        <v>-146.85188184221354</v>
      </c>
      <c r="CA157" s="6">
        <f t="shared" ca="1" si="117"/>
        <v>41.263606481383185</v>
      </c>
      <c r="CB157" s="6">
        <f t="shared" ca="1" si="118"/>
        <v>2.8676680773202419</v>
      </c>
      <c r="CC157" s="6">
        <f t="shared" ca="1" si="119"/>
        <v>-1.2214649675076572E-2</v>
      </c>
      <c r="CD157" s="9">
        <f t="shared" si="120"/>
        <v>-136.85188184221354</v>
      </c>
      <c r="CE157" s="9">
        <f t="shared" si="121"/>
        <v>40.263606481383185</v>
      </c>
      <c r="CF157" s="6">
        <f t="shared" si="122"/>
        <v>2.8554534276451653</v>
      </c>
      <c r="CG157" s="6"/>
      <c r="CH157" s="6"/>
      <c r="CI157" s="6"/>
      <c r="CJ157" s="1"/>
      <c r="CK157" s="6"/>
    </row>
    <row r="158" spans="1:89" x14ac:dyDescent="0.2">
      <c r="A158" s="1" t="s">
        <v>44</v>
      </c>
      <c r="B158" s="6">
        <f t="shared" ref="B158:E158" si="138">B50</f>
        <v>3.4701519240561645</v>
      </c>
      <c r="C158" s="6">
        <f t="shared" si="138"/>
        <v>12.95986287056963</v>
      </c>
      <c r="D158" s="6">
        <f t="shared" si="138"/>
        <v>-7.1432703259075474</v>
      </c>
      <c r="E158" s="6">
        <f t="shared" si="138"/>
        <v>0.98675683479197929</v>
      </c>
      <c r="F158" s="6">
        <f t="shared" ref="F158:F164" si="139">IF(E158-C158=0,0,MIN(MAX(($B$152-C158)/(E158-C158),0),1))</f>
        <v>0.71874480885411574</v>
      </c>
      <c r="G158" s="6">
        <f t="shared" ref="G158:G164" si="140">IF(E158-C158=0,0,MIN(MAX(($B$153-C158)/(E158-C158),0),1))</f>
        <v>1</v>
      </c>
      <c r="H158" s="6">
        <f t="shared" ref="H158:H164" si="141">IF(AND(F158=0,G158=0),0,IF(C158&gt;E158,B158+(F158*(D158-B158)),B158+(G158*(D158-B158))))</f>
        <v>-4.1581902222820224</v>
      </c>
      <c r="I158" s="6">
        <f t="shared" ref="I158:I164" si="142">IF(AND(F158=0,G158=0),0,IF(C158&gt;E158,C158+(F158*(E158-C158)),C158+(G158*(E158-C158))))</f>
        <v>4.3542550614945625</v>
      </c>
      <c r="J158" s="6">
        <f t="shared" ref="J158:J164" si="143">IF(AND(F158=0,G158=0),0,IF(C158&gt;E158,B158+(G158*(D158-B158)),B158+(F158*(D158-B158))))</f>
        <v>-7.1432703259075474</v>
      </c>
      <c r="K158" s="6">
        <f t="shared" ref="K158:K164" si="144">IF(AND(F158=0,G158=0),0,IF(C158&gt;E158,C158+(G158*(E158-C158)),C158+(F158*(E158-C158))))</f>
        <v>0.98675683479197929</v>
      </c>
      <c r="L158" s="6"/>
      <c r="M158" s="6">
        <f t="shared" ref="M158:M164" si="145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79976.076748620617</v>
      </c>
      <c r="N158" s="6">
        <f t="shared" ref="N158:N164" si="146">((1/(1200*$B$150*$B$150))*17*$B$143*$B$147*(I158-K158))*Z158</f>
        <v>202395.2162781191</v>
      </c>
      <c r="O158" s="6">
        <f t="shared" ref="O158:O164" si="147">((1/(1200*$B$150*$B$150))*17*$B$143*$B$147*(I158-K158))*AW158</f>
        <v>-230917.41857174764</v>
      </c>
      <c r="P158" s="6">
        <f t="shared" si="129"/>
        <v>-1025.7062340344339</v>
      </c>
      <c r="Q158" s="6">
        <f t="shared" ref="Q158:Q164" si="148">(I158)*((20*K158)*(($B$150*($B$147-1))-($B$147*$B$148))+((10*($B$150-$B$148))*(($B$150*($B$147-2))-($B$147*$B$148)))+(9*$B$147*K158*K158))</f>
        <v>-23468.407662683054</v>
      </c>
      <c r="R158" s="6">
        <f t="shared" si="130"/>
        <v>-10584.096814855258</v>
      </c>
      <c r="S158" s="6">
        <f t="shared" si="131"/>
        <v>356.13620387909998</v>
      </c>
      <c r="T158" s="71">
        <f t="shared" ref="T158:T164" si="149">J158*(SUM(P158:S158))</f>
        <v>248029.16448475898</v>
      </c>
      <c r="U158" s="10">
        <f t="shared" si="132"/>
        <v>-3319.2403704471494</v>
      </c>
      <c r="V158" s="10">
        <f t="shared" si="133"/>
        <v>-46471.926327074485</v>
      </c>
      <c r="W158" s="10">
        <f t="shared" si="134"/>
        <v>-5265.7102399336936</v>
      </c>
      <c r="X158" s="10">
        <f t="shared" si="135"/>
        <v>1424.5448155163999</v>
      </c>
      <c r="Y158" s="71">
        <f t="shared" si="136"/>
        <v>223013.43902762851</v>
      </c>
      <c r="Z158" s="71">
        <f t="shared" si="137"/>
        <v>471042.60351238749</v>
      </c>
      <c r="AA158" s="6"/>
      <c r="AB158" s="6">
        <f t="shared" ref="AB158:AB164" si="150">(3*I158)*(((5*$B$150)*($B$147-1))+($B$147*K158)-(5*$B$147*$B$148))</f>
        <v>-390.41667807827389</v>
      </c>
      <c r="AC158" s="6">
        <f t="shared" ref="AC158:AC164" si="151">(10*($B$150-$B$148))*(($B$150*($B$147-2))-($B$147*$B$148))</f>
        <v>-5278.7970735242225</v>
      </c>
      <c r="AD158" s="6">
        <f t="shared" ref="AD158:AD164" si="152">(5*K158)*(($B$150*($B$147-1))-($B$147*$B$148))</f>
        <v>-30.892089707449337</v>
      </c>
      <c r="AE158" s="6">
        <f t="shared" ref="AE158:AE164" si="153">6*$B$147*I158*I158</f>
        <v>163.58077276109734</v>
      </c>
      <c r="AF158" s="6">
        <f t="shared" ref="AF158:AF164" si="154">$B$147*K158*K158</f>
        <v>1.4001467635370699</v>
      </c>
      <c r="AG158" s="6">
        <f t="shared" ref="AG158:AG164" si="155">SUM(AB158:AF158)</f>
        <v>-5535.124921785311</v>
      </c>
      <c r="AH158" s="72">
        <f t="shared" ref="AH158:AH164" si="156">AG158*H158*H158</f>
        <v>-95705.331658979747</v>
      </c>
      <c r="AI158" s="6">
        <f t="shared" ref="AI158:AI164" si="157">(2*I158)*(((5*$B$150)*($B$147-1))+(2*$B$147*K158)-(5*$B$147*$B$148))</f>
        <v>-247.92094950253622</v>
      </c>
      <c r="AJ158" s="6">
        <f t="shared" ref="AJ158:AJ164" si="158">(10*($B$150-$B$148))*(($B$150*($B$147-2))-($B$147*$B$148))</f>
        <v>-5278.7970735242225</v>
      </c>
      <c r="AK158" s="6">
        <f t="shared" ref="AK158:AK164" si="159">(10*K158)*(($B$150*($B$147-1))-($B$147*$B$148))</f>
        <v>-61.784179414898674</v>
      </c>
      <c r="AL158" s="6">
        <f t="shared" ref="AL158:AL164" si="160">3*$B$147*I158*I158</f>
        <v>81.790386380548668</v>
      </c>
      <c r="AM158" s="6">
        <f t="shared" ref="AM158:AM164" si="161">3*$B$147*K158*K158</f>
        <v>4.2004402906112093</v>
      </c>
      <c r="AN158" s="6">
        <f t="shared" ref="AN158:AN164" si="162">SUM(AI158:AM158)</f>
        <v>-5502.5113757704976</v>
      </c>
      <c r="AO158" s="72">
        <f t="shared" ref="AO158:AO164" si="163">(H158*J158)*AN158</f>
        <v>-163441.51812112922</v>
      </c>
      <c r="AP158" s="6">
        <f t="shared" ref="AP158:AP164" si="164">(I158)*(((5*$B$150)*($B$147-1))+(3*$B$147*K158)-(5*$B$147*$B$148))</f>
        <v>-117.78205680977823</v>
      </c>
      <c r="AQ158" s="6">
        <f t="shared" ref="AQ158:AQ164" si="165">(10*($B$150-$B$148))*(($B$150*($B$147-2))-($B$147*$B$148))</f>
        <v>-5278.7970735242225</v>
      </c>
      <c r="AR158" s="6">
        <f t="shared" ref="AR158:AR164" si="166">(15*K158)*(($B$150*($B$147-1))-($B$147*$B$148))</f>
        <v>-92.676269122348003</v>
      </c>
      <c r="AS158" s="6">
        <f t="shared" ref="AS158:AS164" si="167">$B$147*I158*I158</f>
        <v>27.263462126849554</v>
      </c>
      <c r="AT158" s="6">
        <f t="shared" ref="AT158:AT164" si="168">6*$B$147*K158*K158</f>
        <v>8.4008805812224185</v>
      </c>
      <c r="AU158" s="6">
        <f t="shared" ref="AU158:AU164" si="169">SUM(AP158:AT158)</f>
        <v>-5453.591056748277</v>
      </c>
      <c r="AV158" s="72">
        <f t="shared" ref="AV158:AV164" si="170">(J158*J158)*AU158</f>
        <v>-278276.63305027573</v>
      </c>
      <c r="AW158" s="72">
        <f t="shared" ref="AW158:AW164" si="171">AH158+AO158+AV158</f>
        <v>-537423.48283038475</v>
      </c>
      <c r="BC158">
        <v>2.7227136331111481</v>
      </c>
      <c r="BD158">
        <v>-150.38188788851741</v>
      </c>
      <c r="BE158">
        <v>36.495230621407345</v>
      </c>
      <c r="BF158" s="6">
        <f t="shared" ref="BF158:BF194" si="172">IF(BC158&lt;&gt;"",IF(AND(BD158=0,BE158=0),0,MOD(ATAN2(BD158,BE158),2*PI())),NA())</f>
        <v>2.903511699649282</v>
      </c>
      <c r="BG158" s="6">
        <f t="shared" ref="BG158:BG194" si="173">ABS(BC158-BF158)</f>
        <v>0.18079806653813391</v>
      </c>
      <c r="BH158" s="6">
        <f t="shared" ref="BH158:BH194" si="174">ATAN2(COS($U$13-BF158),SIN($U$13-BF158))</f>
        <v>0.13841230144934924</v>
      </c>
      <c r="BI158" s="6">
        <f t="shared" ref="BI158:BI194" si="175">ABS(BH158)</f>
        <v>0.13841230144934924</v>
      </c>
      <c r="BJ158">
        <v>-231.3567505977191</v>
      </c>
      <c r="BK158">
        <v>56.146508648318992</v>
      </c>
      <c r="BV158" s="38"/>
      <c r="BW158" s="6">
        <f t="shared" si="113"/>
        <v>2.4958208303518878</v>
      </c>
      <c r="BX158" s="9">
        <f t="shared" ca="1" si="114"/>
        <v>-81.088170556849249</v>
      </c>
      <c r="BY158" s="9">
        <f t="shared" ca="1" si="115"/>
        <v>18.882073145587963</v>
      </c>
      <c r="BZ158" s="9">
        <f t="shared" ca="1" si="116"/>
        <v>-147.16081243857866</v>
      </c>
      <c r="CA158" s="6">
        <f t="shared" ca="1" si="117"/>
        <v>40.906287106164434</v>
      </c>
      <c r="CB158" s="6">
        <f t="shared" ca="1" si="118"/>
        <v>2.8704673841502424</v>
      </c>
      <c r="CC158" s="6">
        <f t="shared" ca="1" si="119"/>
        <v>-1.2003854934797166E-2</v>
      </c>
      <c r="CD158" s="9">
        <f t="shared" si="120"/>
        <v>-137.16081243857866</v>
      </c>
      <c r="CE158" s="9">
        <f t="shared" si="121"/>
        <v>39.906287106164434</v>
      </c>
      <c r="CF158" s="6">
        <f t="shared" si="122"/>
        <v>2.8584635292154452</v>
      </c>
      <c r="CG158" s="6"/>
      <c r="CH158" s="6"/>
      <c r="CI158" s="6"/>
      <c r="CJ158" s="1"/>
      <c r="CK158" s="6"/>
    </row>
    <row r="159" spans="1:89" x14ac:dyDescent="0.2">
      <c r="A159" s="1" t="s">
        <v>45</v>
      </c>
      <c r="B159" s="6">
        <f t="shared" ref="B159:E159" si="176">B51</f>
        <v>-7.1432703259075474</v>
      </c>
      <c r="C159" s="6">
        <f t="shared" si="176"/>
        <v>0.98675683479197929</v>
      </c>
      <c r="D159" s="6">
        <f t="shared" si="176"/>
        <v>-7.1432703259075474</v>
      </c>
      <c r="E159" s="6">
        <f t="shared" si="176"/>
        <v>0.98675683479197929</v>
      </c>
      <c r="F159" s="6">
        <f t="shared" si="139"/>
        <v>0</v>
      </c>
      <c r="G159" s="6">
        <f t="shared" si="140"/>
        <v>0</v>
      </c>
      <c r="H159" s="6">
        <f t="shared" si="141"/>
        <v>0</v>
      </c>
      <c r="I159" s="6">
        <f t="shared" si="142"/>
        <v>0</v>
      </c>
      <c r="J159" s="6">
        <f t="shared" si="143"/>
        <v>0</v>
      </c>
      <c r="K159" s="6">
        <f t="shared" si="144"/>
        <v>0</v>
      </c>
      <c r="L159" s="6"/>
      <c r="M159" s="6">
        <f t="shared" si="145"/>
        <v>0</v>
      </c>
      <c r="N159" s="6">
        <f t="shared" si="146"/>
        <v>0</v>
      </c>
      <c r="O159" s="6">
        <f t="shared" si="147"/>
        <v>0</v>
      </c>
      <c r="P159" s="6">
        <f t="shared" si="129"/>
        <v>0</v>
      </c>
      <c r="Q159" s="6">
        <f t="shared" si="148"/>
        <v>0</v>
      </c>
      <c r="R159" s="6">
        <f t="shared" si="130"/>
        <v>0</v>
      </c>
      <c r="S159" s="6">
        <f t="shared" si="131"/>
        <v>0</v>
      </c>
      <c r="T159" s="71">
        <f t="shared" si="149"/>
        <v>0</v>
      </c>
      <c r="U159" s="10">
        <f t="shared" si="132"/>
        <v>0</v>
      </c>
      <c r="V159" s="10">
        <f t="shared" si="133"/>
        <v>0</v>
      </c>
      <c r="W159" s="10">
        <f t="shared" si="134"/>
        <v>0</v>
      </c>
      <c r="X159" s="10">
        <f t="shared" si="135"/>
        <v>0</v>
      </c>
      <c r="Y159" s="71">
        <f t="shared" si="136"/>
        <v>0</v>
      </c>
      <c r="Z159" s="71">
        <f t="shared" si="137"/>
        <v>0</v>
      </c>
      <c r="AA159" s="6"/>
      <c r="AB159" s="6">
        <f t="shared" si="150"/>
        <v>0</v>
      </c>
      <c r="AC159" s="6">
        <f t="shared" si="151"/>
        <v>-5278.7970735242225</v>
      </c>
      <c r="AD159" s="6">
        <f t="shared" si="152"/>
        <v>0</v>
      </c>
      <c r="AE159" s="6">
        <f t="shared" si="153"/>
        <v>0</v>
      </c>
      <c r="AF159" s="6">
        <f t="shared" si="154"/>
        <v>0</v>
      </c>
      <c r="AG159" s="6">
        <f t="shared" si="155"/>
        <v>-5278.7970735242225</v>
      </c>
      <c r="AH159" s="72">
        <f t="shared" si="156"/>
        <v>0</v>
      </c>
      <c r="AI159" s="6">
        <f t="shared" si="157"/>
        <v>0</v>
      </c>
      <c r="AJ159" s="6">
        <f t="shared" si="158"/>
        <v>-5278.7970735242225</v>
      </c>
      <c r="AK159" s="6">
        <f t="shared" si="159"/>
        <v>0</v>
      </c>
      <c r="AL159" s="6">
        <f t="shared" si="160"/>
        <v>0</v>
      </c>
      <c r="AM159" s="6">
        <f t="shared" si="161"/>
        <v>0</v>
      </c>
      <c r="AN159" s="6">
        <f t="shared" si="162"/>
        <v>-5278.7970735242225</v>
      </c>
      <c r="AO159" s="72">
        <f t="shared" si="163"/>
        <v>0</v>
      </c>
      <c r="AP159" s="6">
        <f t="shared" si="164"/>
        <v>0</v>
      </c>
      <c r="AQ159" s="6">
        <f t="shared" si="165"/>
        <v>-5278.7970735242225</v>
      </c>
      <c r="AR159" s="6">
        <f t="shared" si="166"/>
        <v>0</v>
      </c>
      <c r="AS159" s="6">
        <f t="shared" si="167"/>
        <v>0</v>
      </c>
      <c r="AT159" s="6">
        <f t="shared" si="168"/>
        <v>0</v>
      </c>
      <c r="AU159" s="6">
        <f t="shared" si="169"/>
        <v>-5278.7970735242225</v>
      </c>
      <c r="AV159" s="72">
        <f t="shared" si="170"/>
        <v>0</v>
      </c>
      <c r="AW159" s="72">
        <f t="shared" si="171"/>
        <v>0</v>
      </c>
      <c r="BC159">
        <v>2.7401669256310912</v>
      </c>
      <c r="BD159">
        <v>-150.5824118894034</v>
      </c>
      <c r="BE159">
        <v>36.168304820235562</v>
      </c>
      <c r="BF159" s="6">
        <f t="shared" si="172"/>
        <v>2.905868560323063</v>
      </c>
      <c r="BG159" s="6">
        <f t="shared" si="173"/>
        <v>0.16570163469197174</v>
      </c>
      <c r="BH159" s="6">
        <f t="shared" si="174"/>
        <v>0.1360554407755683</v>
      </c>
      <c r="BI159" s="6">
        <f t="shared" si="175"/>
        <v>0.1360554407755683</v>
      </c>
      <c r="BJ159">
        <v>-231.66524906062062</v>
      </c>
      <c r="BK159">
        <v>55.643545877285476</v>
      </c>
      <c r="BV159" s="38"/>
      <c r="BW159" s="6">
        <f t="shared" si="113"/>
        <v>2.5132741228718309</v>
      </c>
      <c r="BX159" s="9">
        <f t="shared" ca="1" si="114"/>
        <v>-81.386388901618901</v>
      </c>
      <c r="BY159" s="9">
        <f t="shared" ca="1" si="115"/>
        <v>18.527997233098514</v>
      </c>
      <c r="BZ159" s="9">
        <f t="shared" ca="1" si="116"/>
        <v>-147.45903078334831</v>
      </c>
      <c r="CA159" s="6">
        <f t="shared" ca="1" si="117"/>
        <v>40.552211193674985</v>
      </c>
      <c r="CB159" s="6">
        <f t="shared" ca="1" si="118"/>
        <v>2.8732202783640139</v>
      </c>
      <c r="CC159" s="6">
        <f t="shared" ca="1" si="119"/>
        <v>-1.1797428342219529E-2</v>
      </c>
      <c r="CD159" s="9">
        <f t="shared" si="120"/>
        <v>-137.45903078334831</v>
      </c>
      <c r="CE159" s="9">
        <f t="shared" si="121"/>
        <v>39.552211193674985</v>
      </c>
      <c r="CF159" s="6">
        <f t="shared" si="122"/>
        <v>2.8614228500217944</v>
      </c>
      <c r="CG159" s="6"/>
      <c r="CH159" s="6"/>
      <c r="CI159" s="6"/>
      <c r="CJ159" s="1"/>
      <c r="CK159" s="6"/>
    </row>
    <row r="160" spans="1:89" x14ac:dyDescent="0.2">
      <c r="A160" s="1" t="s">
        <v>46</v>
      </c>
      <c r="B160" s="6">
        <f t="shared" ref="B160:E160" si="177">B52</f>
        <v>-7.1432703259075474</v>
      </c>
      <c r="C160" s="6">
        <f t="shared" si="177"/>
        <v>0.98675683479197929</v>
      </c>
      <c r="D160" s="6">
        <f t="shared" si="177"/>
        <v>-12.449981450889403</v>
      </c>
      <c r="E160" s="6">
        <f t="shared" si="177"/>
        <v>-4.9997961830968469</v>
      </c>
      <c r="F160" s="6">
        <f t="shared" si="139"/>
        <v>0</v>
      </c>
      <c r="G160" s="6">
        <f t="shared" si="140"/>
        <v>1</v>
      </c>
      <c r="H160" s="6">
        <f t="shared" si="141"/>
        <v>-7.1432703259075474</v>
      </c>
      <c r="I160" s="6">
        <f t="shared" si="142"/>
        <v>0.98675683479197929</v>
      </c>
      <c r="J160" s="6">
        <f t="shared" si="143"/>
        <v>-12.449981450889403</v>
      </c>
      <c r="K160" s="6">
        <f t="shared" si="144"/>
        <v>-4.9997961830968469</v>
      </c>
      <c r="L160" s="6"/>
      <c r="M160" s="6">
        <f t="shared" si="145"/>
        <v>218983.98530456185</v>
      </c>
      <c r="N160" s="6">
        <f t="shared" si="146"/>
        <v>-474225.8528375146</v>
      </c>
      <c r="O160" s="6">
        <f t="shared" si="147"/>
        <v>-1088089.4952985907</v>
      </c>
      <c r="P160" s="6">
        <f t="shared" si="129"/>
        <v>-102.96865198431348</v>
      </c>
      <c r="Q160" s="6">
        <f t="shared" si="148"/>
        <v>-4271.8374621329212</v>
      </c>
      <c r="R160" s="6">
        <f t="shared" si="130"/>
        <v>45933.489992925075</v>
      </c>
      <c r="S160" s="6">
        <f t="shared" si="131"/>
        <v>4.1448131658962186</v>
      </c>
      <c r="T160" s="71">
        <f t="shared" si="149"/>
        <v>-517456.44626156689</v>
      </c>
      <c r="U160" s="10">
        <f t="shared" si="132"/>
        <v>-245.90191995596791</v>
      </c>
      <c r="V160" s="10">
        <f t="shared" si="133"/>
        <v>-9587.1382275189262</v>
      </c>
      <c r="W160" s="10">
        <f t="shared" si="134"/>
        <v>24288.525514432349</v>
      </c>
      <c r="X160" s="10">
        <f t="shared" si="135"/>
        <v>16.579252663584874</v>
      </c>
      <c r="Y160" s="71">
        <f t="shared" si="136"/>
        <v>-103377.86975195547</v>
      </c>
      <c r="Z160" s="71">
        <f t="shared" si="137"/>
        <v>-620834.31601352233</v>
      </c>
      <c r="AA160" s="6"/>
      <c r="AB160" s="6">
        <f t="shared" si="150"/>
        <v>-113.95947141884035</v>
      </c>
      <c r="AC160" s="6">
        <f t="shared" si="151"/>
        <v>-5278.7970735242225</v>
      </c>
      <c r="AD160" s="6">
        <f t="shared" si="152"/>
        <v>156.52706600177891</v>
      </c>
      <c r="AE160" s="6">
        <f t="shared" si="153"/>
        <v>8.4008805812224185</v>
      </c>
      <c r="AF160" s="6">
        <f t="shared" si="154"/>
        <v>35.946604693314413</v>
      </c>
      <c r="AG160" s="6">
        <f t="shared" si="155"/>
        <v>-5191.8819936667469</v>
      </c>
      <c r="AH160" s="72">
        <f t="shared" si="156"/>
        <v>-264922.58501930838</v>
      </c>
      <c r="AI160" s="6">
        <f t="shared" si="157"/>
        <v>-90.161782476888447</v>
      </c>
      <c r="AJ160" s="6">
        <f t="shared" si="158"/>
        <v>-5278.7970735242225</v>
      </c>
      <c r="AK160" s="6">
        <f t="shared" si="159"/>
        <v>313.05413200355781</v>
      </c>
      <c r="AL160" s="6">
        <f t="shared" si="160"/>
        <v>4.2004402906112093</v>
      </c>
      <c r="AM160" s="6">
        <f t="shared" si="161"/>
        <v>107.83981407994324</v>
      </c>
      <c r="AN160" s="6">
        <f t="shared" si="162"/>
        <v>-4943.8644696269976</v>
      </c>
      <c r="AO160" s="72">
        <f t="shared" si="163"/>
        <v>-439675.58142835496</v>
      </c>
      <c r="AP160" s="6">
        <f t="shared" si="164"/>
        <v>-52.175292003941664</v>
      </c>
      <c r="AQ160" s="6">
        <f t="shared" si="165"/>
        <v>-5278.7970735242225</v>
      </c>
      <c r="AR160" s="6">
        <f t="shared" si="166"/>
        <v>469.58119800533672</v>
      </c>
      <c r="AS160" s="6">
        <f t="shared" si="167"/>
        <v>1.4001467635370699</v>
      </c>
      <c r="AT160" s="6">
        <f t="shared" si="168"/>
        <v>215.67962815988648</v>
      </c>
      <c r="AU160" s="6">
        <f t="shared" si="169"/>
        <v>-4644.3113925994039</v>
      </c>
      <c r="AV160" s="72">
        <f t="shared" si="170"/>
        <v>-719877.73155162996</v>
      </c>
      <c r="AW160" s="72">
        <f t="shared" si="171"/>
        <v>-1424475.8979992932</v>
      </c>
      <c r="BC160">
        <v>2.7576202181510343</v>
      </c>
      <c r="BD160">
        <v>-150.77769516786924</v>
      </c>
      <c r="BE160">
        <v>35.842382606772581</v>
      </c>
      <c r="BF160" s="6">
        <f t="shared" si="172"/>
        <v>2.9082076928551448</v>
      </c>
      <c r="BG160" s="6">
        <f t="shared" si="173"/>
        <v>0.15058747470411049</v>
      </c>
      <c r="BH160" s="6">
        <f t="shared" si="174"/>
        <v>0.13371630824348646</v>
      </c>
      <c r="BI160" s="6">
        <f t="shared" si="175"/>
        <v>0.13371630824348646</v>
      </c>
      <c r="BJ160">
        <v>-231.96568487364499</v>
      </c>
      <c r="BK160">
        <v>55.142127087342431</v>
      </c>
      <c r="BV160" s="38"/>
      <c r="BW160" s="6">
        <f t="shared" si="113"/>
        <v>2.530727415391774</v>
      </c>
      <c r="BX160" s="9">
        <f t="shared" ca="1" si="114"/>
        <v>-81.674487839600673</v>
      </c>
      <c r="BY160" s="9">
        <f t="shared" ca="1" si="115"/>
        <v>18.176990373472233</v>
      </c>
      <c r="BZ160" s="9">
        <f t="shared" ca="1" si="116"/>
        <v>-147.74712972133008</v>
      </c>
      <c r="CA160" s="6">
        <f t="shared" ca="1" si="117"/>
        <v>40.201204334048704</v>
      </c>
      <c r="CB160" s="6">
        <f t="shared" ca="1" si="118"/>
        <v>2.875929519773349</v>
      </c>
      <c r="CC160" s="6">
        <f t="shared" ca="1" si="119"/>
        <v>-1.1595095056151639E-2</v>
      </c>
      <c r="CD160" s="9">
        <f t="shared" si="120"/>
        <v>-137.74712972133008</v>
      </c>
      <c r="CE160" s="9">
        <f t="shared" si="121"/>
        <v>39.201204334048704</v>
      </c>
      <c r="CF160" s="6">
        <f t="shared" si="122"/>
        <v>2.8643344247171973</v>
      </c>
      <c r="CG160" s="6"/>
      <c r="CH160" s="6"/>
      <c r="CI160" s="6"/>
      <c r="CJ160" s="1"/>
      <c r="CK160" s="6"/>
    </row>
    <row r="161" spans="1:89" x14ac:dyDescent="0.2">
      <c r="A161" s="1" t="s">
        <v>47</v>
      </c>
      <c r="B161" s="6">
        <f t="shared" ref="B161:E161" si="178">B53</f>
        <v>-12.449981450889403</v>
      </c>
      <c r="C161" s="6">
        <f t="shared" si="178"/>
        <v>-4.9997961830968469</v>
      </c>
      <c r="D161" s="6">
        <f t="shared" si="178"/>
        <v>-3.4701519240561645</v>
      </c>
      <c r="E161" s="6">
        <f t="shared" si="178"/>
        <v>-12.95986287056963</v>
      </c>
      <c r="F161" s="6">
        <f t="shared" si="139"/>
        <v>0</v>
      </c>
      <c r="G161" s="6">
        <f t="shared" si="140"/>
        <v>1</v>
      </c>
      <c r="H161" s="6">
        <f>IF(AND(F161=0,G161=0),0,IF(C161&gt;E161,B161+(F161*(D161-B161)),B161+(G161*(D161-B161))))</f>
        <v>-12.449981450889403</v>
      </c>
      <c r="I161" s="6">
        <f t="shared" si="142"/>
        <v>-4.9997961830968469</v>
      </c>
      <c r="J161" s="6">
        <f t="shared" si="143"/>
        <v>-3.4701519240561645</v>
      </c>
      <c r="K161" s="6">
        <f t="shared" si="144"/>
        <v>-12.95986287056963</v>
      </c>
      <c r="L161" s="6"/>
      <c r="M161" s="6">
        <f t="shared" si="145"/>
        <v>155506.98600144521</v>
      </c>
      <c r="N161" s="6">
        <f t="shared" si="146"/>
        <v>-1194455.5723812091</v>
      </c>
      <c r="O161" s="6">
        <f t="shared" si="147"/>
        <v>-732845.52912162559</v>
      </c>
      <c r="P161" s="6">
        <f t="shared" si="129"/>
        <v>-4360.3852592216617</v>
      </c>
      <c r="Q161" s="6">
        <f t="shared" si="148"/>
        <v>7410.6505522216639</v>
      </c>
      <c r="R161" s="6">
        <f t="shared" si="130"/>
        <v>67714.831903495578</v>
      </c>
      <c r="S161" s="6">
        <f t="shared" si="131"/>
        <v>-539.17709082277383</v>
      </c>
      <c r="T161" s="71">
        <f t="shared" si="149"/>
        <v>-243694.61177331497</v>
      </c>
      <c r="U161" s="10">
        <f t="shared" si="132"/>
        <v>-8888.3881702736162</v>
      </c>
      <c r="V161" s="10">
        <f t="shared" si="133"/>
        <v>37426.22056632585</v>
      </c>
      <c r="W161" s="10">
        <f t="shared" si="134"/>
        <v>48505.84589258652</v>
      </c>
      <c r="X161" s="10">
        <f t="shared" si="135"/>
        <v>-2156.7083632910953</v>
      </c>
      <c r="Y161" s="71">
        <f t="shared" si="136"/>
        <v>-932341.38648389094</v>
      </c>
      <c r="Z161" s="71">
        <f t="shared" si="137"/>
        <v>-1176035.9982572058</v>
      </c>
      <c r="AA161" s="6"/>
      <c r="AB161" s="6">
        <f t="shared" si="150"/>
        <v>749.11043305470014</v>
      </c>
      <c r="AC161" s="6">
        <f t="shared" si="151"/>
        <v>-5278.7970735242225</v>
      </c>
      <c r="AD161" s="6">
        <f t="shared" si="152"/>
        <v>405.7304011259057</v>
      </c>
      <c r="AE161" s="6">
        <f t="shared" si="153"/>
        <v>215.67962815988648</v>
      </c>
      <c r="AF161" s="6">
        <f t="shared" si="154"/>
        <v>241.52054883106044</v>
      </c>
      <c r="AG161" s="6">
        <f t="shared" si="155"/>
        <v>-3666.7560623526697</v>
      </c>
      <c r="AH161" s="72">
        <f t="shared" si="156"/>
        <v>-568354.66298099444</v>
      </c>
      <c r="AI161" s="6">
        <f t="shared" si="157"/>
        <v>685.75977873604234</v>
      </c>
      <c r="AJ161" s="6">
        <f t="shared" si="158"/>
        <v>-5278.7970735242225</v>
      </c>
      <c r="AK161" s="6">
        <f t="shared" si="159"/>
        <v>811.4608022518114</v>
      </c>
      <c r="AL161" s="6">
        <f t="shared" si="160"/>
        <v>107.83981407994324</v>
      </c>
      <c r="AM161" s="6">
        <f t="shared" si="161"/>
        <v>724.56164649318134</v>
      </c>
      <c r="AN161" s="6">
        <f t="shared" si="162"/>
        <v>-2949.1750319632447</v>
      </c>
      <c r="AO161" s="72">
        <f t="shared" si="163"/>
        <v>-127414.17354056124</v>
      </c>
      <c r="AP161" s="6">
        <f t="shared" si="164"/>
        <v>436.05630105114227</v>
      </c>
      <c r="AQ161" s="6">
        <f t="shared" si="165"/>
        <v>-5278.7970735242225</v>
      </c>
      <c r="AR161" s="6">
        <f t="shared" si="166"/>
        <v>1217.1912033777173</v>
      </c>
      <c r="AS161" s="6">
        <f t="shared" si="167"/>
        <v>35.946604693314413</v>
      </c>
      <c r="AT161" s="6">
        <f t="shared" si="168"/>
        <v>1449.1232929863627</v>
      </c>
      <c r="AU161" s="6">
        <f t="shared" si="169"/>
        <v>-2140.479671415686</v>
      </c>
      <c r="AV161" s="72">
        <f t="shared" si="170"/>
        <v>-25775.558546008877</v>
      </c>
      <c r="AW161" s="72">
        <f t="shared" si="171"/>
        <v>-721544.39506756456</v>
      </c>
      <c r="BC161">
        <v>2.7750735106709774</v>
      </c>
      <c r="BD161">
        <v>-150.96796668434573</v>
      </c>
      <c r="BE161">
        <v>35.517316258448055</v>
      </c>
      <c r="BF161" s="6">
        <f t="shared" si="172"/>
        <v>2.9105305961916148</v>
      </c>
      <c r="BG161" s="6">
        <f t="shared" si="173"/>
        <v>0.1354570855206374</v>
      </c>
      <c r="BH161" s="6">
        <f t="shared" si="174"/>
        <v>0.13139340490701645</v>
      </c>
      <c r="BI161" s="6">
        <f t="shared" si="175"/>
        <v>0.13139340490701645</v>
      </c>
      <c r="BJ161">
        <v>-232.25841028360881</v>
      </c>
      <c r="BK161">
        <v>54.642025012997003</v>
      </c>
      <c r="BV161" s="38"/>
      <c r="BW161" s="6">
        <f t="shared" si="113"/>
        <v>2.5481807079117171</v>
      </c>
      <c r="BX161" s="9">
        <f t="shared" ca="1" si="114"/>
        <v>-81.953018034946538</v>
      </c>
      <c r="BY161" s="9">
        <f t="shared" ca="1" si="115"/>
        <v>17.828880699716468</v>
      </c>
      <c r="BZ161" s="9">
        <f t="shared" ca="1" si="116"/>
        <v>-148.02565991667595</v>
      </c>
      <c r="CA161" s="6">
        <f t="shared" ca="1" si="117"/>
        <v>39.853094660292939</v>
      </c>
      <c r="CB161" s="6">
        <f t="shared" ca="1" si="118"/>
        <v>2.8785977179785101</v>
      </c>
      <c r="CC161" s="6">
        <f t="shared" ca="1" si="119"/>
        <v>-1.1396598187989772E-2</v>
      </c>
      <c r="CD161" s="9">
        <f t="shared" si="120"/>
        <v>-138.02565991667595</v>
      </c>
      <c r="CE161" s="9">
        <f t="shared" si="121"/>
        <v>38.853094660292939</v>
      </c>
      <c r="CF161" s="6">
        <f t="shared" si="122"/>
        <v>2.8672011197905203</v>
      </c>
      <c r="CG161" s="6"/>
      <c r="CH161" s="6"/>
      <c r="CI161" s="6"/>
      <c r="CJ161" s="1"/>
      <c r="CK161" s="6"/>
    </row>
    <row r="162" spans="1:89" x14ac:dyDescent="0.2">
      <c r="A162" s="1" t="s">
        <v>48</v>
      </c>
      <c r="B162" s="6">
        <f t="shared" ref="B162:E162" si="179">B54</f>
        <v>-3.4701519240561645</v>
      </c>
      <c r="C162" s="6">
        <f t="shared" si="179"/>
        <v>-12.95986287056963</v>
      </c>
      <c r="D162" s="6">
        <f t="shared" si="179"/>
        <v>1.8365592009256915</v>
      </c>
      <c r="E162" s="6">
        <f t="shared" si="179"/>
        <v>-6.9733098526808046</v>
      </c>
      <c r="F162" s="6">
        <f t="shared" si="139"/>
        <v>1</v>
      </c>
      <c r="G162" s="6">
        <f t="shared" si="140"/>
        <v>0</v>
      </c>
      <c r="H162" s="6">
        <f t="shared" si="141"/>
        <v>-3.4701519240561645</v>
      </c>
      <c r="I162" s="6">
        <f t="shared" si="142"/>
        <v>-12.95986287056963</v>
      </c>
      <c r="J162" s="6">
        <f t="shared" si="143"/>
        <v>1.8365592009256915</v>
      </c>
      <c r="K162" s="6">
        <f t="shared" si="144"/>
        <v>-6.9733098526808046</v>
      </c>
      <c r="L162" s="6"/>
      <c r="M162" s="6">
        <f t="shared" si="145"/>
        <v>-4583.6862884205775</v>
      </c>
      <c r="N162" s="6">
        <f t="shared" si="146"/>
        <v>71716.091078423196</v>
      </c>
      <c r="O162" s="6">
        <f t="shared" si="147"/>
        <v>13410.023768445169</v>
      </c>
      <c r="P162" s="6">
        <f t="shared" si="129"/>
        <v>-20621.606458756956</v>
      </c>
      <c r="Q162" s="6">
        <f t="shared" si="148"/>
        <v>48939.409211775535</v>
      </c>
      <c r="R162" s="6">
        <f t="shared" si="130"/>
        <v>58635.976407430047</v>
      </c>
      <c r="S162" s="6">
        <f t="shared" si="131"/>
        <v>-9390.2195798257781</v>
      </c>
      <c r="T162" s="71">
        <f t="shared" si="149"/>
        <v>142450.06900434097</v>
      </c>
      <c r="U162" s="10">
        <f t="shared" si="132"/>
        <v>-46707.040771174266</v>
      </c>
      <c r="V162" s="10">
        <f t="shared" si="133"/>
        <v>120070.5426621634</v>
      </c>
      <c r="W162" s="10">
        <f t="shared" si="134"/>
        <v>32303.161944104479</v>
      </c>
      <c r="X162" s="10">
        <f t="shared" si="135"/>
        <v>-37560.878319303112</v>
      </c>
      <c r="Y162" s="71">
        <f t="shared" si="136"/>
        <v>-236337.42264697686</v>
      </c>
      <c r="Z162" s="71">
        <f t="shared" si="137"/>
        <v>-93887.353642635891</v>
      </c>
      <c r="AA162" s="6"/>
      <c r="AB162" s="6">
        <f t="shared" si="150"/>
        <v>1607.0558893567172</v>
      </c>
      <c r="AC162" s="6">
        <f t="shared" si="151"/>
        <v>-5278.7970735242225</v>
      </c>
      <c r="AD162" s="6">
        <f t="shared" si="152"/>
        <v>218.31124541667756</v>
      </c>
      <c r="AE162" s="6">
        <f t="shared" si="153"/>
        <v>1449.1232929863627</v>
      </c>
      <c r="AF162" s="6">
        <f t="shared" si="154"/>
        <v>69.924794809452422</v>
      </c>
      <c r="AG162" s="6">
        <f t="shared" si="155"/>
        <v>-1934.3818509550126</v>
      </c>
      <c r="AH162" s="72">
        <f t="shared" si="156"/>
        <v>-23293.737995022078</v>
      </c>
      <c r="AI162" s="6">
        <f t="shared" si="157"/>
        <v>1331.2803835571449</v>
      </c>
      <c r="AJ162" s="6">
        <f t="shared" si="158"/>
        <v>-5278.7970735242225</v>
      </c>
      <c r="AK162" s="6">
        <f t="shared" si="159"/>
        <v>436.62249083335513</v>
      </c>
      <c r="AL162" s="6">
        <f t="shared" si="160"/>
        <v>724.56164649318134</v>
      </c>
      <c r="AM162" s="6">
        <f t="shared" si="161"/>
        <v>209.77438442835725</v>
      </c>
      <c r="AN162" s="6">
        <f t="shared" si="162"/>
        <v>-2576.5581682121838</v>
      </c>
      <c r="AO162" s="72">
        <f t="shared" si="163"/>
        <v>16420.764493488103</v>
      </c>
      <c r="AP162" s="6">
        <f t="shared" si="164"/>
        <v>795.5950871049057</v>
      </c>
      <c r="AQ162" s="6">
        <f t="shared" si="165"/>
        <v>-5278.7970735242225</v>
      </c>
      <c r="AR162" s="6">
        <f t="shared" si="166"/>
        <v>654.93373625003267</v>
      </c>
      <c r="AS162" s="6">
        <f t="shared" si="167"/>
        <v>241.52054883106044</v>
      </c>
      <c r="AT162" s="6">
        <f t="shared" si="168"/>
        <v>419.5487688567145</v>
      </c>
      <c r="AU162" s="6">
        <f t="shared" si="169"/>
        <v>-3167.1989324815095</v>
      </c>
      <c r="AV162" s="72">
        <f t="shared" si="170"/>
        <v>-10682.802684418277</v>
      </c>
      <c r="AW162" s="72">
        <f t="shared" si="171"/>
        <v>-17555.776185952251</v>
      </c>
      <c r="BC162">
        <v>2.7925268031909205</v>
      </c>
      <c r="BD162">
        <v>-151.15344142373064</v>
      </c>
      <c r="BE162">
        <v>35.192958864061112</v>
      </c>
      <c r="BF162" s="6">
        <f t="shared" si="172"/>
        <v>2.9128387261442383</v>
      </c>
      <c r="BG162" s="6">
        <f t="shared" si="173"/>
        <v>0.12031192295331783</v>
      </c>
      <c r="BH162" s="6">
        <f t="shared" si="174"/>
        <v>0.12908527495439293</v>
      </c>
      <c r="BI162" s="6">
        <f t="shared" si="175"/>
        <v>0.12908527495439293</v>
      </c>
      <c r="BJ162">
        <v>-232.54375603650868</v>
      </c>
      <c r="BK162">
        <v>54.143013637017091</v>
      </c>
      <c r="BV162" s="38"/>
      <c r="BW162" s="6">
        <f t="shared" si="113"/>
        <v>2.5656340004316602</v>
      </c>
      <c r="BX162" s="9">
        <f t="shared" ca="1" si="114"/>
        <v>-82.222491616374427</v>
      </c>
      <c r="BY162" s="9">
        <f t="shared" ca="1" si="115"/>
        <v>17.483498870751813</v>
      </c>
      <c r="BZ162" s="9">
        <f t="shared" ca="1" si="116"/>
        <v>-148.29513349810384</v>
      </c>
      <c r="CA162" s="6">
        <f t="shared" ca="1" si="117"/>
        <v>39.507712831328284</v>
      </c>
      <c r="CB162" s="6">
        <f t="shared" ca="1" si="118"/>
        <v>2.8812273453698722</v>
      </c>
      <c r="CC162" s="6">
        <f t="shared" ca="1" si="119"/>
        <v>-1.1201697108678577E-2</v>
      </c>
      <c r="CD162" s="9">
        <f t="shared" si="120"/>
        <v>-138.29513349810384</v>
      </c>
      <c r="CE162" s="9">
        <f t="shared" si="121"/>
        <v>38.507712831328284</v>
      </c>
      <c r="CF162" s="6">
        <f t="shared" si="122"/>
        <v>2.8700256482611937</v>
      </c>
      <c r="CG162" s="6"/>
      <c r="CH162" s="6"/>
      <c r="CI162" s="6"/>
      <c r="CJ162" s="1"/>
      <c r="CK162" s="6"/>
    </row>
    <row r="163" spans="1:89" x14ac:dyDescent="0.2">
      <c r="A163" s="1" t="s">
        <v>93</v>
      </c>
      <c r="B163" s="6">
        <f t="shared" ref="B163:E163" si="180">B55</f>
        <v>1.8365592009256915</v>
      </c>
      <c r="C163" s="6">
        <f t="shared" si="180"/>
        <v>-6.9733098526808046</v>
      </c>
      <c r="D163" s="6">
        <f t="shared" si="180"/>
        <v>1.8365592009256915</v>
      </c>
      <c r="E163" s="6">
        <f t="shared" si="180"/>
        <v>-6.9733098526808046</v>
      </c>
      <c r="F163" s="6">
        <f t="shared" si="139"/>
        <v>0</v>
      </c>
      <c r="G163" s="6">
        <f t="shared" si="140"/>
        <v>0</v>
      </c>
      <c r="H163" s="6">
        <f t="shared" si="141"/>
        <v>0</v>
      </c>
      <c r="I163" s="6">
        <f t="shared" si="142"/>
        <v>0</v>
      </c>
      <c r="J163" s="6">
        <f t="shared" si="143"/>
        <v>0</v>
      </c>
      <c r="K163" s="6">
        <f t="shared" si="144"/>
        <v>0</v>
      </c>
      <c r="L163" s="6"/>
      <c r="M163" s="6">
        <f t="shared" si="145"/>
        <v>0</v>
      </c>
      <c r="N163" s="6">
        <f t="shared" si="146"/>
        <v>0</v>
      </c>
      <c r="O163" s="6">
        <f t="shared" si="147"/>
        <v>0</v>
      </c>
      <c r="P163" s="6">
        <f t="shared" si="129"/>
        <v>0</v>
      </c>
      <c r="Q163" s="6">
        <f t="shared" si="148"/>
        <v>0</v>
      </c>
      <c r="R163" s="6">
        <f t="shared" si="130"/>
        <v>0</v>
      </c>
      <c r="S163" s="6">
        <f t="shared" si="131"/>
        <v>0</v>
      </c>
      <c r="T163" s="71">
        <f t="shared" si="149"/>
        <v>0</v>
      </c>
      <c r="U163" s="10">
        <f t="shared" si="132"/>
        <v>0</v>
      </c>
      <c r="V163" s="10">
        <f t="shared" si="133"/>
        <v>0</v>
      </c>
      <c r="W163" s="10">
        <f t="shared" si="134"/>
        <v>0</v>
      </c>
      <c r="X163" s="10">
        <f t="shared" si="135"/>
        <v>0</v>
      </c>
      <c r="Y163" s="71">
        <f t="shared" si="136"/>
        <v>0</v>
      </c>
      <c r="Z163" s="71">
        <f t="shared" si="137"/>
        <v>0</v>
      </c>
      <c r="AA163" s="6"/>
      <c r="AB163" s="6">
        <f t="shared" si="150"/>
        <v>0</v>
      </c>
      <c r="AC163" s="6">
        <f t="shared" si="151"/>
        <v>-5278.7970735242225</v>
      </c>
      <c r="AD163" s="6">
        <f t="shared" si="152"/>
        <v>0</v>
      </c>
      <c r="AE163" s="6">
        <f t="shared" si="153"/>
        <v>0</v>
      </c>
      <c r="AF163" s="6">
        <f t="shared" si="154"/>
        <v>0</v>
      </c>
      <c r="AG163" s="6">
        <f t="shared" si="155"/>
        <v>-5278.7970735242225</v>
      </c>
      <c r="AH163" s="72">
        <f t="shared" si="156"/>
        <v>0</v>
      </c>
      <c r="AI163" s="6">
        <f t="shared" si="157"/>
        <v>0</v>
      </c>
      <c r="AJ163" s="6">
        <f t="shared" si="158"/>
        <v>-5278.7970735242225</v>
      </c>
      <c r="AK163" s="6">
        <f t="shared" si="159"/>
        <v>0</v>
      </c>
      <c r="AL163" s="6">
        <f t="shared" si="160"/>
        <v>0</v>
      </c>
      <c r="AM163" s="6">
        <f t="shared" si="161"/>
        <v>0</v>
      </c>
      <c r="AN163" s="6">
        <f t="shared" si="162"/>
        <v>-5278.7970735242225</v>
      </c>
      <c r="AO163" s="72">
        <f t="shared" si="163"/>
        <v>0</v>
      </c>
      <c r="AP163" s="6">
        <f t="shared" si="164"/>
        <v>0</v>
      </c>
      <c r="AQ163" s="6">
        <f t="shared" si="165"/>
        <v>-5278.7970735242225</v>
      </c>
      <c r="AR163" s="6">
        <f t="shared" si="166"/>
        <v>0</v>
      </c>
      <c r="AS163" s="6">
        <f t="shared" si="167"/>
        <v>0</v>
      </c>
      <c r="AT163" s="6">
        <f t="shared" si="168"/>
        <v>0</v>
      </c>
      <c r="AU163" s="6">
        <f t="shared" si="169"/>
        <v>-5278.7970735242225</v>
      </c>
      <c r="AV163" s="72">
        <f t="shared" si="170"/>
        <v>0</v>
      </c>
      <c r="AW163" s="72">
        <f t="shared" si="171"/>
        <v>0</v>
      </c>
      <c r="BC163">
        <v>2.8099800957108636</v>
      </c>
      <c r="BD163">
        <v>-151.33432120331662</v>
      </c>
      <c r="BE163">
        <v>34.869164135531939</v>
      </c>
      <c r="BF163" s="6">
        <f t="shared" si="172"/>
        <v>2.9151334993388218</v>
      </c>
      <c r="BG163" s="6">
        <f t="shared" si="173"/>
        <v>0.10515340362795822</v>
      </c>
      <c r="BH163" s="6">
        <f t="shared" si="174"/>
        <v>0.12679050175980944</v>
      </c>
      <c r="BI163" s="6">
        <f t="shared" si="175"/>
        <v>0.12679050175980944</v>
      </c>
      <c r="BJ163">
        <v>-232.82203262048711</v>
      </c>
      <c r="BK163">
        <v>53.644867900818369</v>
      </c>
      <c r="BV163" s="38"/>
      <c r="BW163" s="6">
        <f t="shared" si="113"/>
        <v>2.5830872929516033</v>
      </c>
      <c r="BX163" s="9">
        <f t="shared" ca="1" si="114"/>
        <v>-82.483385344177591</v>
      </c>
      <c r="BY163" s="9">
        <f t="shared" ca="1" si="115"/>
        <v>17.140678007616362</v>
      </c>
      <c r="BZ163" s="9">
        <f t="shared" ca="1" si="116"/>
        <v>-148.556027225907</v>
      </c>
      <c r="CA163" s="6">
        <f t="shared" ca="1" si="117"/>
        <v>39.164891968192833</v>
      </c>
      <c r="CB163" s="6">
        <f t="shared" ca="1" si="118"/>
        <v>2.8838207488108978</v>
      </c>
      <c r="CC163" s="6">
        <f t="shared" ca="1" si="119"/>
        <v>-1.1010165950698259E-2</v>
      </c>
      <c r="CD163" s="9">
        <f t="shared" si="120"/>
        <v>-138.556027225907</v>
      </c>
      <c r="CE163" s="9">
        <f t="shared" si="121"/>
        <v>38.164891968192833</v>
      </c>
      <c r="CF163" s="6">
        <f t="shared" si="122"/>
        <v>2.8728105828601995</v>
      </c>
      <c r="CG163" s="6"/>
      <c r="CH163" s="6"/>
      <c r="CI163" s="6"/>
      <c r="CJ163" s="1"/>
      <c r="CK163" s="6"/>
    </row>
    <row r="164" spans="1:89" ht="16" thickBot="1" x14ac:dyDescent="0.25">
      <c r="A164" s="1" t="s">
        <v>94</v>
      </c>
      <c r="B164" s="6">
        <f t="shared" ref="B164:E164" si="181">B56</f>
        <v>1.8365592009256915</v>
      </c>
      <c r="C164" s="6">
        <f t="shared" si="181"/>
        <v>-6.9733098526808046</v>
      </c>
      <c r="D164" s="6">
        <f t="shared" si="181"/>
        <v>12.449981450889403</v>
      </c>
      <c r="E164" s="6">
        <f t="shared" si="181"/>
        <v>4.9997961830968469</v>
      </c>
      <c r="F164" s="6">
        <f t="shared" si="139"/>
        <v>0.9460840721135102</v>
      </c>
      <c r="G164" s="6">
        <f t="shared" si="140"/>
        <v>0</v>
      </c>
      <c r="H164" s="6">
        <f t="shared" si="141"/>
        <v>1.8365592009256915</v>
      </c>
      <c r="I164" s="6">
        <f t="shared" si="142"/>
        <v>-6.9733098526808046</v>
      </c>
      <c r="J164" s="6">
        <f t="shared" si="143"/>
        <v>11.877748942231493</v>
      </c>
      <c r="K164" s="6">
        <f t="shared" si="144"/>
        <v>4.3542550614945625</v>
      </c>
      <c r="L164" s="6"/>
      <c r="M164" s="11">
        <f t="shared" si="145"/>
        <v>306933.47455348034</v>
      </c>
      <c r="N164" s="11">
        <f t="shared" si="146"/>
        <v>97285.11354659246</v>
      </c>
      <c r="O164" s="11">
        <f t="shared" si="147"/>
        <v>1273610.2668224184</v>
      </c>
      <c r="P164" s="6">
        <f t="shared" si="129"/>
        <v>-1217.8815668921077</v>
      </c>
      <c r="Q164" s="6">
        <f t="shared" si="148"/>
        <v>38901.969902849909</v>
      </c>
      <c r="R164" s="6">
        <f t="shared" si="130"/>
        <v>-48107.27497526566</v>
      </c>
      <c r="S164" s="6">
        <f t="shared" si="131"/>
        <v>-1462.8217817743143</v>
      </c>
      <c r="T164" s="71">
        <f t="shared" si="149"/>
        <v>-141179.0239508634</v>
      </c>
      <c r="U164" s="10">
        <f t="shared" si="132"/>
        <v>-6393.8782261835622</v>
      </c>
      <c r="V164" s="10">
        <f t="shared" si="133"/>
        <v>76283.00725316102</v>
      </c>
      <c r="W164" s="10">
        <f t="shared" si="134"/>
        <v>-23816.213351713432</v>
      </c>
      <c r="X164" s="10">
        <f t="shared" si="135"/>
        <v>-5851.2871270972573</v>
      </c>
      <c r="Y164" s="71">
        <f t="shared" si="136"/>
        <v>73869.401986351149</v>
      </c>
      <c r="Z164" s="71">
        <f t="shared" si="137"/>
        <v>-67309.621964512247</v>
      </c>
      <c r="AA164" s="6"/>
      <c r="AB164" s="6">
        <f t="shared" si="150"/>
        <v>523.94698900002641</v>
      </c>
      <c r="AC164" s="6">
        <f t="shared" si="151"/>
        <v>-5278.7970735242225</v>
      </c>
      <c r="AD164" s="6">
        <f t="shared" si="152"/>
        <v>-136.31731063424778</v>
      </c>
      <c r="AE164" s="6">
        <f t="shared" si="153"/>
        <v>419.5487688567145</v>
      </c>
      <c r="AF164" s="6">
        <f t="shared" si="154"/>
        <v>27.263462126849554</v>
      </c>
      <c r="AG164" s="6">
        <f t="shared" si="155"/>
        <v>-4444.3551641748791</v>
      </c>
      <c r="AH164" s="72">
        <f t="shared" si="156"/>
        <v>-14990.586411051972</v>
      </c>
      <c r="AI164" s="6">
        <f t="shared" si="157"/>
        <v>261.97349450001315</v>
      </c>
      <c r="AJ164" s="6">
        <f t="shared" si="158"/>
        <v>-5278.7970735242225</v>
      </c>
      <c r="AK164" s="6">
        <f t="shared" si="159"/>
        <v>-272.63462126849555</v>
      </c>
      <c r="AL164" s="6">
        <f t="shared" si="160"/>
        <v>209.77438442835725</v>
      </c>
      <c r="AM164" s="6">
        <f t="shared" si="161"/>
        <v>81.790386380548668</v>
      </c>
      <c r="AN164" s="6">
        <f t="shared" si="162"/>
        <v>-4997.8934294838</v>
      </c>
      <c r="AO164" s="72">
        <f t="shared" si="163"/>
        <v>-109024.99240309744</v>
      </c>
      <c r="AP164" s="6">
        <f t="shared" si="164"/>
        <v>87.32449816667102</v>
      </c>
      <c r="AQ164" s="6">
        <f t="shared" si="165"/>
        <v>-5278.7970735242225</v>
      </c>
      <c r="AR164" s="6">
        <f t="shared" si="166"/>
        <v>-408.9519319027433</v>
      </c>
      <c r="AS164" s="6">
        <f t="shared" si="167"/>
        <v>69.924794809452422</v>
      </c>
      <c r="AT164" s="6">
        <f t="shared" si="168"/>
        <v>163.58077276109734</v>
      </c>
      <c r="AU164" s="6">
        <f t="shared" si="169"/>
        <v>-5366.9189396897445</v>
      </c>
      <c r="AV164" s="72">
        <f t="shared" si="170"/>
        <v>-757169.86122629384</v>
      </c>
      <c r="AW164" s="72">
        <f t="shared" si="171"/>
        <v>-881185.44004044321</v>
      </c>
      <c r="BC164">
        <v>2.8274333882308067</v>
      </c>
      <c r="BD164">
        <v>-151.51079556547791</v>
      </c>
      <c r="BE164">
        <v>34.545786233251164</v>
      </c>
      <c r="BF164" s="6">
        <f t="shared" si="172"/>
        <v>2.9174162970606914</v>
      </c>
      <c r="BG164" s="6">
        <f t="shared" si="173"/>
        <v>8.9982908829884689E-2</v>
      </c>
      <c r="BH164" s="6">
        <f t="shared" si="174"/>
        <v>0.12450770403793986</v>
      </c>
      <c r="BI164" s="6">
        <f t="shared" si="175"/>
        <v>0.12450770403793986</v>
      </c>
      <c r="BJ164">
        <v>-233.09353163919678</v>
      </c>
      <c r="BK164">
        <v>53.14736343577102</v>
      </c>
      <c r="BV164" s="38"/>
      <c r="BW164" s="6">
        <f t="shared" si="113"/>
        <v>2.6005405854715464</v>
      </c>
      <c r="BX164" s="9">
        <f t="shared" ca="1" si="114"/>
        <v>-82.736143484563101</v>
      </c>
      <c r="BY164" s="9">
        <f t="shared" ca="1" si="115"/>
        <v>16.800253613774867</v>
      </c>
      <c r="BZ164" s="9">
        <f t="shared" ca="1" si="116"/>
        <v>-148.80878536629251</v>
      </c>
      <c r="CA164" s="6">
        <f t="shared" ca="1" si="117"/>
        <v>38.824467574351338</v>
      </c>
      <c r="CB164" s="6">
        <f t="shared" ca="1" si="118"/>
        <v>2.8863801602357766</v>
      </c>
      <c r="CC164" s="6">
        <f t="shared" ca="1" si="119"/>
        <v>-1.0821792264124053E-2</v>
      </c>
      <c r="CD164" s="9">
        <f t="shared" si="120"/>
        <v>-138.80878536629251</v>
      </c>
      <c r="CE164" s="9">
        <f t="shared" si="121"/>
        <v>37.824467574351338</v>
      </c>
      <c r="CF164" s="6">
        <f t="shared" si="122"/>
        <v>2.8755583679716525</v>
      </c>
      <c r="CG164" s="6"/>
      <c r="CH164" s="6"/>
      <c r="CI164" s="6"/>
      <c r="CJ164" s="1"/>
      <c r="CK164" s="6"/>
    </row>
    <row r="165" spans="1:89" ht="16" thickTop="1" x14ac:dyDescent="0.2">
      <c r="M165" s="6">
        <f>SUM(M157:M164)</f>
        <v>756816.83631968743</v>
      </c>
      <c r="N165" s="6">
        <f t="shared" ref="N165:O165" si="182">SUM(N157:N164)</f>
        <v>-1297285.0043155891</v>
      </c>
      <c r="O165" s="6">
        <f t="shared" si="182"/>
        <v>-764832.15240110038</v>
      </c>
      <c r="AA165" s="52"/>
      <c r="AC165" s="52"/>
      <c r="BC165">
        <v>2.8448866807507498</v>
      </c>
      <c r="BD165">
        <v>-151.68304253396451</v>
      </c>
      <c r="BE165">
        <v>34.222679581749027</v>
      </c>
      <c r="BF165" s="6">
        <f t="shared" si="172"/>
        <v>2.9196884688294613</v>
      </c>
      <c r="BG165" s="6">
        <f t="shared" si="173"/>
        <v>7.4801788078711517E-2</v>
      </c>
      <c r="BH165" s="6">
        <f t="shared" si="174"/>
        <v>0.12223553226916994</v>
      </c>
      <c r="BI165" s="6">
        <f t="shared" si="175"/>
        <v>0.12223553226916994</v>
      </c>
      <c r="BJ165">
        <v>-233.35852697532999</v>
      </c>
      <c r="BK165">
        <v>52.650276279613884</v>
      </c>
      <c r="BV165" s="38"/>
      <c r="BW165" s="6">
        <f t="shared" si="113"/>
        <v>2.6179938779914895</v>
      </c>
      <c r="BX165" s="9">
        <f t="shared" ca="1" si="114"/>
        <v>-82.981180404781085</v>
      </c>
      <c r="BY165" s="9">
        <f t="shared" ca="1" si="115"/>
        <v>16.462063478579797</v>
      </c>
      <c r="BZ165" s="9">
        <f t="shared" ca="1" si="116"/>
        <v>-149.0538222865105</v>
      </c>
      <c r="CA165" s="6">
        <f t="shared" ca="1" si="117"/>
        <v>38.486277439156268</v>
      </c>
      <c r="CB165" s="6">
        <f t="shared" ca="1" si="118"/>
        <v>2.8889077062795598</v>
      </c>
      <c r="CC165" s="6">
        <f t="shared" ca="1" si="119"/>
        <v>-1.0636375809822241E-2</v>
      </c>
      <c r="CD165" s="9">
        <f t="shared" si="120"/>
        <v>-139.0538222865105</v>
      </c>
      <c r="CE165" s="9">
        <f t="shared" si="121"/>
        <v>37.486277439156268</v>
      </c>
      <c r="CF165" s="6">
        <f t="shared" si="122"/>
        <v>2.8782713304697376</v>
      </c>
      <c r="CG165" s="6"/>
      <c r="CH165" s="6"/>
      <c r="CI165" s="6"/>
      <c r="CJ165" s="1"/>
      <c r="CK165" s="6"/>
    </row>
    <row r="166" spans="1:89" x14ac:dyDescent="0.2">
      <c r="A166" t="s">
        <v>183</v>
      </c>
      <c r="M166" s="6"/>
      <c r="N166" s="1"/>
      <c r="O166" s="1"/>
      <c r="BC166">
        <v>2.8623399732706929</v>
      </c>
      <c r="BD166">
        <v>-151.85122929968588</v>
      </c>
      <c r="BE166">
        <v>33.899698682341118</v>
      </c>
      <c r="BF166" s="6">
        <f t="shared" si="172"/>
        <v>2.9219513357753524</v>
      </c>
      <c r="BG166" s="6">
        <f t="shared" si="173"/>
        <v>5.9611362504659482E-2</v>
      </c>
      <c r="BH166" s="6">
        <f t="shared" si="174"/>
        <v>0.1199726653232789</v>
      </c>
      <c r="BI166" s="6">
        <f t="shared" si="175"/>
        <v>0.1199726653232789</v>
      </c>
      <c r="BJ166">
        <v>-233.61727584567058</v>
      </c>
      <c r="BK166">
        <v>52.153382588217106</v>
      </c>
      <c r="BV166" s="38"/>
      <c r="BW166" s="6">
        <f t="shared" si="113"/>
        <v>2.6354471705114326</v>
      </c>
      <c r="BX166" s="9">
        <f t="shared" ca="1" si="114"/>
        <v>-83.218882967145802</v>
      </c>
      <c r="BY166" s="9">
        <f t="shared" ca="1" si="115"/>
        <v>16.125947573133832</v>
      </c>
      <c r="BZ166" s="9">
        <f t="shared" ca="1" si="116"/>
        <v>-149.29152484887521</v>
      </c>
      <c r="CA166" s="6">
        <f t="shared" ca="1" si="117"/>
        <v>38.150161533710303</v>
      </c>
      <c r="CB166" s="6">
        <f t="shared" ca="1" si="118"/>
        <v>2.8914054170881074</v>
      </c>
      <c r="CC166" s="6">
        <f t="shared" ca="1" si="119"/>
        <v>-1.0453727467079066E-2</v>
      </c>
      <c r="CD166" s="9">
        <f t="shared" si="120"/>
        <v>-139.29152484887521</v>
      </c>
      <c r="CE166" s="9">
        <f t="shared" si="121"/>
        <v>37.150161533710303</v>
      </c>
      <c r="CF166" s="6">
        <f t="shared" si="122"/>
        <v>2.8809516896210283</v>
      </c>
      <c r="CG166" s="6"/>
      <c r="CH166" s="6"/>
      <c r="CI166" s="6"/>
      <c r="CJ166" s="1"/>
      <c r="CK166" s="6"/>
    </row>
    <row r="167" spans="1:89" x14ac:dyDescent="0.2">
      <c r="B167" t="str">
        <f t="shared" ref="B167:E167" si="183">B156</f>
        <v>xi (in)</v>
      </c>
      <c r="C167" t="str">
        <f t="shared" si="183"/>
        <v>yi (in)</v>
      </c>
      <c r="D167" t="str">
        <f t="shared" si="183"/>
        <v>xj (in)</v>
      </c>
      <c r="E167" t="str">
        <f t="shared" si="183"/>
        <v>yj (in)</v>
      </c>
      <c r="F167" s="1" t="s">
        <v>184</v>
      </c>
      <c r="G167" s="1" t="s">
        <v>185</v>
      </c>
      <c r="H167" s="1" t="s">
        <v>179</v>
      </c>
      <c r="I167" s="1" t="s">
        <v>180</v>
      </c>
      <c r="J167" s="1" t="s">
        <v>181</v>
      </c>
      <c r="K167" s="1" t="s">
        <v>182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-152.01551286871248</v>
      </c>
      <c r="BE167">
        <v>33.576697924791873</v>
      </c>
      <c r="BF167" s="6">
        <f t="shared" si="172"/>
        <v>2.9242061938633714</v>
      </c>
      <c r="BG167" s="6">
        <f t="shared" si="173"/>
        <v>4.4412928072735447E-2</v>
      </c>
      <c r="BH167" s="6">
        <f t="shared" si="174"/>
        <v>0.11771780723525983</v>
      </c>
      <c r="BI167" s="6">
        <f t="shared" si="175"/>
        <v>0.11771780723525983</v>
      </c>
      <c r="BJ167">
        <v>-233.8700197980192</v>
      </c>
      <c r="BK167">
        <v>51.656458345833649</v>
      </c>
      <c r="BV167" s="38"/>
      <c r="BW167" s="6">
        <f t="shared" si="113"/>
        <v>2.6529004630313757</v>
      </c>
      <c r="BX167" s="9">
        <f t="shared" ca="1" si="114"/>
        <v>-83.449612632912434</v>
      </c>
      <c r="BY167" s="9">
        <f t="shared" ca="1" si="115"/>
        <v>15.791747923416462</v>
      </c>
      <c r="BZ167" s="9">
        <f t="shared" ca="1" si="116"/>
        <v>-149.52225451464184</v>
      </c>
      <c r="CA167" s="6">
        <f t="shared" ca="1" si="117"/>
        <v>37.815961883992934</v>
      </c>
      <c r="CB167" s="6">
        <f t="shared" ca="1" si="118"/>
        <v>2.8938752343251068</v>
      </c>
      <c r="CC167" s="6">
        <f t="shared" ca="1" si="119"/>
        <v>-1.0273668255408985E-2</v>
      </c>
      <c r="CD167" s="9">
        <f t="shared" si="120"/>
        <v>-139.52225451464184</v>
      </c>
      <c r="CE167" s="9">
        <f t="shared" si="121"/>
        <v>36.815961883992934</v>
      </c>
      <c r="CF167" s="6">
        <f t="shared" si="122"/>
        <v>2.8836015660696979</v>
      </c>
      <c r="CG167" s="6"/>
      <c r="CH167" s="6"/>
      <c r="CI167" s="6"/>
      <c r="CJ167" s="1"/>
      <c r="CK167" s="6"/>
    </row>
    <row r="168" spans="1:89" x14ac:dyDescent="0.2">
      <c r="A168" s="1" t="str">
        <f t="shared" ref="A168:E175" si="184">A157</f>
        <v>Segment 1</v>
      </c>
      <c r="B168" s="6">
        <f t="shared" si="184"/>
        <v>12.449981450889403</v>
      </c>
      <c r="C168" s="6">
        <f t="shared" si="184"/>
        <v>4.9997961830968469</v>
      </c>
      <c r="D168" s="6">
        <f t="shared" si="184"/>
        <v>3.4701519240561645</v>
      </c>
      <c r="E168" s="6">
        <f t="shared" si="184"/>
        <v>12.95986287056963</v>
      </c>
      <c r="F168" s="6">
        <f>IF(E168-C168=0,0,MIN(MAX(($B$148-C168)/(E168-C168),0),1))</f>
        <v>1</v>
      </c>
      <c r="G168" s="6">
        <f>IF(E168-C168=0,0,MIN(MAX(($B$152-C168)/(E168-C168),0),1))</f>
        <v>0</v>
      </c>
      <c r="H168" s="6">
        <f>IF(AND(F168=0,G168=0),0,IF(C168&gt;E168,B168+(F168*(D168-B168)),B168+(G168*(D168-B168))))</f>
        <v>12.449981450889403</v>
      </c>
      <c r="I168" s="6">
        <f>IF(AND(F168=0,G168=0),0,IF(C168&gt;E168,C168+(F168*(E168-C168)),C168+(G168*(E168-C168))))</f>
        <v>4.9997961830968469</v>
      </c>
      <c r="J168" s="9">
        <f>IF(AND(F168=0,G168=0),0,IF(C168&gt;E168,B168+(G168*(D168-B168)),B168+(F168*(D168-B168))))</f>
        <v>3.4701519240561645</v>
      </c>
      <c r="K168" s="9">
        <f>IF(AND(F168=0,G168=0),0,IF(C168&gt;E168,C168+(G168*(E168-C168)),C168+(F168*(E168-C168))))</f>
        <v>12.95986287056963</v>
      </c>
      <c r="L168" s="6">
        <f>0.85*$B$143</f>
        <v>4250</v>
      </c>
      <c r="M168" s="6">
        <f>L168</f>
        <v>4250</v>
      </c>
      <c r="N168" s="10">
        <f t="shared" ref="N168" si="185">(1/6)*(K168-I168)*((L168*((2*H168)+J168))+(M168*(H168+(2*J168))))</f>
        <v>269291.31209330919</v>
      </c>
      <c r="O168" s="10">
        <f t="shared" ref="O168" si="186">((1/12)*(K168-I168)*(L168*H168*((3*I168)+K168)+L168*J168*(I168+K168)+M168*H168*(I168+K168)+M168*J168*(I168+(3*K168))))</f>
        <v>2216674.2360172328</v>
      </c>
      <c r="P168" s="10">
        <f>((1/24)*(K168-I168)*(H168*H168*((3*L168)+M168)+2*H168*J168*(L168+M168)+J168*J168*(L168+(3*M168))))</f>
        <v>1185454.4017312918</v>
      </c>
      <c r="BC168">
        <v>2.8972465583105791</v>
      </c>
      <c r="BD168">
        <v>-152.17604063772973</v>
      </c>
      <c r="BE168">
        <v>33.253531394679506</v>
      </c>
      <c r="BF168" s="6">
        <f t="shared" si="172"/>
        <v>2.9264543169480839</v>
      </c>
      <c r="BG168" s="6">
        <f t="shared" si="173"/>
        <v>2.9207758637504799E-2</v>
      </c>
      <c r="BH168" s="6">
        <f t="shared" si="174"/>
        <v>0.11546968415054737</v>
      </c>
      <c r="BI168" s="6">
        <f t="shared" si="175"/>
        <v>0.11546968415054737</v>
      </c>
      <c r="BJ168">
        <v>-234.11698559650728</v>
      </c>
      <c r="BK168">
        <v>51.159279068737696</v>
      </c>
      <c r="BV168" s="38"/>
      <c r="BW168" s="6">
        <f t="shared" si="113"/>
        <v>2.6703537555513188</v>
      </c>
      <c r="BX168" s="9">
        <f t="shared" ca="1" si="114"/>
        <v>-83.673707392826699</v>
      </c>
      <c r="BY168" s="9">
        <f t="shared" ca="1" si="115"/>
        <v>15.459308477220109</v>
      </c>
      <c r="BZ168" s="9">
        <f t="shared" ca="1" si="116"/>
        <v>-149.74634927455611</v>
      </c>
      <c r="CA168" s="6">
        <f t="shared" ca="1" si="117"/>
        <v>37.48352243779658</v>
      </c>
      <c r="CB168" s="6">
        <f t="shared" ca="1" si="118"/>
        <v>2.8963190185241232</v>
      </c>
      <c r="CC168" s="6">
        <f t="shared" ca="1" si="119"/>
        <v>-1.0096028446419767E-2</v>
      </c>
      <c r="CD168" s="9">
        <f t="shared" si="120"/>
        <v>-139.74634927455611</v>
      </c>
      <c r="CE168" s="9">
        <f t="shared" si="121"/>
        <v>36.48352243779658</v>
      </c>
      <c r="CF168" s="6">
        <f t="shared" si="122"/>
        <v>2.8862229900777034</v>
      </c>
      <c r="CG168" s="6"/>
      <c r="CH168" s="6"/>
      <c r="CI168" s="6"/>
      <c r="CJ168" s="1"/>
      <c r="CK168" s="6"/>
    </row>
    <row r="169" spans="1:89" x14ac:dyDescent="0.2">
      <c r="A169" s="1" t="str">
        <f t="shared" si="184"/>
        <v>Segment 2</v>
      </c>
      <c r="B169" s="6">
        <f t="shared" si="184"/>
        <v>3.4701519240561645</v>
      </c>
      <c r="C169" s="6">
        <f t="shared" si="184"/>
        <v>12.95986287056963</v>
      </c>
      <c r="D169" s="6">
        <f t="shared" si="184"/>
        <v>-7.1432703259075474</v>
      </c>
      <c r="E169" s="6">
        <f t="shared" si="184"/>
        <v>0.98675683479197929</v>
      </c>
      <c r="F169" s="6">
        <f t="shared" ref="F169:F175" si="187">IF(E169-C169=0,0,MIN(MAX(($B$148-C169)/(E169-C169),0),1))</f>
        <v>0</v>
      </c>
      <c r="G169" s="6">
        <f t="shared" ref="G169:G175" si="188">IF(E169-C169=0,0,MIN(MAX(($B$152-C169)/(E169-C169),0),1))</f>
        <v>0.71874480885411574</v>
      </c>
      <c r="H169" s="6">
        <f t="shared" ref="H169:H175" si="189">IF(AND(F169=0,G169=0),0,IF(C169&gt;E169,B169+(F169*(D169-B169)),B169+(G169*(D169-B169))))</f>
        <v>3.4701519240561645</v>
      </c>
      <c r="I169" s="6">
        <f t="shared" ref="I169:I175" si="190">IF(AND(F169=0,G169=0),0,IF(C169&gt;E169,C169+(F169*(E169-C169)),C169+(G169*(E169-C169))))</f>
        <v>12.95986287056963</v>
      </c>
      <c r="J169" s="9">
        <f t="shared" ref="J169:J175" si="191">IF(AND(F169=0,G169=0),0,IF(C169&gt;E169,B169+(G169*(D169-B169)),B169+(F169*(D169-B169))))</f>
        <v>-4.1581902222820224</v>
      </c>
      <c r="K169" s="9">
        <f t="shared" ref="K169:K175" si="192">IF(AND(F169=0,G169=0),0,IF(C169&gt;E169,C169+(G169*(E169-C169)),C169+(F169*(E169-C169))))</f>
        <v>4.3542550614945625</v>
      </c>
      <c r="L169" s="6">
        <f t="shared" ref="L169:L175" si="193">0.85*$B$143</f>
        <v>4250</v>
      </c>
      <c r="M169" s="6">
        <f t="shared" ref="M169:M175" si="194">L169</f>
        <v>4250</v>
      </c>
      <c r="N169" s="10">
        <f t="shared" ref="N169:N175" si="195">(1/6)*(K169-I169)*((L169*((2*H169)+J169))+(M169*(H169+(2*J169))))</f>
        <v>12582.098973329723</v>
      </c>
      <c r="O169" s="10">
        <f t="shared" ref="O169:O175" si="196">((1/12)*(K169-I169)*(L169*H169*((3*I169)+K169)+L169*J169*(I169+K169)+M169*H169*(I169+K169)+M169*J169*(I169+(3*K169))))</f>
        <v>-91154.768865694597</v>
      </c>
      <c r="P169" s="10">
        <f t="shared" ref="P169:P175" si="197">((1/24)*(K169-I169)*(H169*H169*((3*L169)+M169)+2*H169*J169*(L169+M169)+J169*J169*(L169+(3*M169))))</f>
        <v>-90842.992077779054</v>
      </c>
      <c r="BC169">
        <v>2.9146998508305222</v>
      </c>
      <c r="BD169">
        <v>-152.33295092199955</v>
      </c>
      <c r="BE169">
        <v>32.930052678188474</v>
      </c>
      <c r="BF169" s="6">
        <f t="shared" si="172"/>
        <v>2.9286969596946433</v>
      </c>
      <c r="BG169" s="6">
        <f t="shared" si="173"/>
        <v>1.3997108864121088E-2</v>
      </c>
      <c r="BH169" s="6">
        <f t="shared" si="174"/>
        <v>0.11322704140398798</v>
      </c>
      <c r="BI169" s="6">
        <f t="shared" si="175"/>
        <v>0.11322704140398798</v>
      </c>
      <c r="BJ169">
        <v>-234.35838603384545</v>
      </c>
      <c r="BK169">
        <v>50.661619504905346</v>
      </c>
      <c r="BV169" s="38"/>
      <c r="BW169" s="6">
        <f t="shared" si="113"/>
        <v>2.6878070480712619</v>
      </c>
      <c r="BX169" s="9">
        <f t="shared" ca="1" si="114"/>
        <v>-83.891483541706421</v>
      </c>
      <c r="BY169" s="9">
        <f t="shared" ca="1" si="115"/>
        <v>15.128474965065049</v>
      </c>
      <c r="BZ169" s="9">
        <f t="shared" ca="1" si="116"/>
        <v>-149.96412542343583</v>
      </c>
      <c r="CA169" s="6">
        <f t="shared" ca="1" si="117"/>
        <v>37.15268892564152</v>
      </c>
      <c r="CB169" s="6">
        <f t="shared" ca="1" si="118"/>
        <v>2.8987385558609304</v>
      </c>
      <c r="CC169" s="6">
        <f t="shared" ca="1" si="119"/>
        <v>-9.9206467552677147E-3</v>
      </c>
      <c r="CD169" s="9">
        <f t="shared" si="120"/>
        <v>-139.96412542343583</v>
      </c>
      <c r="CE169" s="9">
        <f t="shared" si="121"/>
        <v>36.15268892564152</v>
      </c>
      <c r="CF169" s="6">
        <f t="shared" si="122"/>
        <v>2.8888179091056627</v>
      </c>
      <c r="CG169" s="6"/>
      <c r="CH169" s="6"/>
      <c r="CI169" s="6"/>
      <c r="CJ169" s="1"/>
      <c r="CK169" s="6"/>
    </row>
    <row r="170" spans="1:89" x14ac:dyDescent="0.2">
      <c r="A170" s="1" t="str">
        <f t="shared" si="184"/>
        <v>Segment 3</v>
      </c>
      <c r="B170" s="6">
        <f t="shared" si="184"/>
        <v>-7.1432703259075474</v>
      </c>
      <c r="C170" s="6">
        <f t="shared" si="184"/>
        <v>0.98675683479197929</v>
      </c>
      <c r="D170" s="6">
        <f t="shared" si="184"/>
        <v>-7.1432703259075474</v>
      </c>
      <c r="E170" s="6">
        <f t="shared" si="184"/>
        <v>0.98675683479197929</v>
      </c>
      <c r="F170" s="6">
        <f t="shared" si="187"/>
        <v>0</v>
      </c>
      <c r="G170" s="6">
        <f t="shared" si="188"/>
        <v>0</v>
      </c>
      <c r="H170" s="6">
        <f t="shared" si="189"/>
        <v>0</v>
      </c>
      <c r="I170" s="6">
        <f t="shared" si="190"/>
        <v>0</v>
      </c>
      <c r="J170" s="9">
        <f t="shared" si="191"/>
        <v>0</v>
      </c>
      <c r="K170" s="9">
        <f t="shared" si="192"/>
        <v>0</v>
      </c>
      <c r="L170" s="6">
        <f t="shared" si="193"/>
        <v>4250</v>
      </c>
      <c r="M170" s="6">
        <f t="shared" si="194"/>
        <v>4250</v>
      </c>
      <c r="N170" s="10">
        <f t="shared" si="195"/>
        <v>0</v>
      </c>
      <c r="O170" s="10">
        <f t="shared" si="196"/>
        <v>0</v>
      </c>
      <c r="P170" s="10">
        <f t="shared" si="197"/>
        <v>0</v>
      </c>
      <c r="BC170">
        <v>2.9321531433504653</v>
      </c>
      <c r="BD170">
        <v>-152.48637344455287</v>
      </c>
      <c r="BE170">
        <v>32.606114664371255</v>
      </c>
      <c r="BF170" s="6">
        <f t="shared" si="172"/>
        <v>2.9309353603868318</v>
      </c>
      <c r="BG170" s="6">
        <f t="shared" si="173"/>
        <v>1.2177829636335069E-3</v>
      </c>
      <c r="BH170" s="6">
        <f t="shared" si="174"/>
        <v>0.11098864071179948</v>
      </c>
      <c r="BI170" s="6">
        <f t="shared" si="175"/>
        <v>0.11098864071179948</v>
      </c>
      <c r="BJ170">
        <v>-234.59442068392747</v>
      </c>
      <c r="BK170">
        <v>50.163253329801925</v>
      </c>
      <c r="BV170" s="38"/>
      <c r="BW170" s="6">
        <f t="shared" si="113"/>
        <v>2.705260340591205</v>
      </c>
      <c r="BX170" s="9">
        <f t="shared" ca="1" si="114"/>
        <v>-84.10323724645842</v>
      </c>
      <c r="BY170" s="9">
        <f t="shared" ca="1" si="115"/>
        <v>14.799094747477735</v>
      </c>
      <c r="BZ170" s="9">
        <f t="shared" ca="1" si="116"/>
        <v>-150.17587912818783</v>
      </c>
      <c r="CA170" s="6">
        <f t="shared" ca="1" si="117"/>
        <v>36.823308708054206</v>
      </c>
      <c r="CB170" s="6">
        <f t="shared" ca="1" si="118"/>
        <v>2.9011355643591803</v>
      </c>
      <c r="CC170" s="6">
        <f t="shared" ca="1" si="119"/>
        <v>-9.7473696106282759E-3</v>
      </c>
      <c r="CD170" s="9">
        <f t="shared" si="120"/>
        <v>-140.17587912818783</v>
      </c>
      <c r="CE170" s="9">
        <f t="shared" si="121"/>
        <v>35.823308708054206</v>
      </c>
      <c r="CF170" s="6">
        <f t="shared" si="122"/>
        <v>2.891388194748552</v>
      </c>
      <c r="CG170" s="6"/>
      <c r="CH170" s="6"/>
      <c r="CI170" s="6"/>
      <c r="CJ170" s="1"/>
      <c r="CK170" s="6"/>
    </row>
    <row r="171" spans="1:89" x14ac:dyDescent="0.2">
      <c r="A171" s="1" t="str">
        <f t="shared" si="184"/>
        <v>Segment 4</v>
      </c>
      <c r="B171" s="6">
        <f t="shared" si="184"/>
        <v>-7.1432703259075474</v>
      </c>
      <c r="C171" s="6">
        <f t="shared" si="184"/>
        <v>0.98675683479197929</v>
      </c>
      <c r="D171" s="6">
        <f t="shared" si="184"/>
        <v>-12.449981450889403</v>
      </c>
      <c r="E171" s="6">
        <f t="shared" si="184"/>
        <v>-4.9997961830968469</v>
      </c>
      <c r="F171" s="6">
        <f t="shared" si="187"/>
        <v>0</v>
      </c>
      <c r="G171" s="6">
        <f t="shared" si="188"/>
        <v>0</v>
      </c>
      <c r="H171" s="6">
        <f t="shared" si="189"/>
        <v>0</v>
      </c>
      <c r="I171" s="6">
        <f t="shared" si="190"/>
        <v>0</v>
      </c>
      <c r="J171" s="9">
        <f t="shared" si="191"/>
        <v>0</v>
      </c>
      <c r="K171" s="9">
        <f t="shared" si="192"/>
        <v>0</v>
      </c>
      <c r="L171" s="6">
        <f t="shared" si="193"/>
        <v>4250</v>
      </c>
      <c r="M171" s="6">
        <f t="shared" si="194"/>
        <v>4250</v>
      </c>
      <c r="N171" s="10">
        <f t="shared" si="195"/>
        <v>0</v>
      </c>
      <c r="O171" s="10">
        <f t="shared" si="196"/>
        <v>0</v>
      </c>
      <c r="P171" s="10">
        <f t="shared" si="197"/>
        <v>0</v>
      </c>
      <c r="BC171">
        <v>2.9496064358704084</v>
      </c>
      <c r="BD171">
        <v>-152.63642977898962</v>
      </c>
      <c r="BE171">
        <v>32.281569343922619</v>
      </c>
      <c r="BF171" s="6">
        <f t="shared" si="172"/>
        <v>2.9331707436259058</v>
      </c>
      <c r="BG171" s="6">
        <f t="shared" si="173"/>
        <v>1.6435692244502587E-2</v>
      </c>
      <c r="BH171" s="6">
        <f t="shared" si="174"/>
        <v>0.10875325747272548</v>
      </c>
      <c r="BI171" s="6">
        <f t="shared" si="175"/>
        <v>0.10875325747272548</v>
      </c>
      <c r="BJ171">
        <v>-234.82527658306094</v>
      </c>
      <c r="BK171">
        <v>49.663952836804029</v>
      </c>
      <c r="BV171" s="38"/>
      <c r="BW171" s="6">
        <f t="shared" si="113"/>
        <v>2.7227136331111481</v>
      </c>
      <c r="BX171" s="9">
        <f t="shared" ca="1" si="114"/>
        <v>-84.309246006788001</v>
      </c>
      <c r="BY171" s="9">
        <f t="shared" ca="1" si="115"/>
        <v>14.471016660830873</v>
      </c>
      <c r="BZ171" s="9">
        <f t="shared" ca="1" si="116"/>
        <v>-150.38188788851741</v>
      </c>
      <c r="CA171" s="6">
        <f t="shared" ca="1" si="117"/>
        <v>36.495230621407345</v>
      </c>
      <c r="CB171" s="6">
        <f t="shared" ca="1" si="118"/>
        <v>2.903511699649282</v>
      </c>
      <c r="CC171" s="6">
        <f t="shared" ca="1" si="119"/>
        <v>-9.5760504846849059E-3</v>
      </c>
      <c r="CD171" s="9">
        <f t="shared" si="120"/>
        <v>-140.38188788851741</v>
      </c>
      <c r="CE171" s="9">
        <f t="shared" si="121"/>
        <v>35.495230621407345</v>
      </c>
      <c r="CF171" s="6">
        <f t="shared" si="122"/>
        <v>2.8939356491645971</v>
      </c>
      <c r="CG171" s="6"/>
      <c r="CH171" s="6"/>
      <c r="CI171" s="6"/>
      <c r="CJ171" s="1"/>
      <c r="CK171" s="6"/>
    </row>
    <row r="172" spans="1:89" x14ac:dyDescent="0.2">
      <c r="A172" s="1" t="str">
        <f t="shared" si="184"/>
        <v>Segment 5</v>
      </c>
      <c r="B172" s="6">
        <f t="shared" si="184"/>
        <v>-12.449981450889403</v>
      </c>
      <c r="C172" s="6">
        <f t="shared" si="184"/>
        <v>-4.9997961830968469</v>
      </c>
      <c r="D172" s="6">
        <f t="shared" si="184"/>
        <v>-3.4701519240561645</v>
      </c>
      <c r="E172" s="6">
        <f t="shared" si="184"/>
        <v>-12.95986287056963</v>
      </c>
      <c r="F172" s="6">
        <f t="shared" si="187"/>
        <v>0</v>
      </c>
      <c r="G172" s="6">
        <f t="shared" si="188"/>
        <v>0</v>
      </c>
      <c r="H172" s="6">
        <f t="shared" si="189"/>
        <v>0</v>
      </c>
      <c r="I172" s="6">
        <f t="shared" si="190"/>
        <v>0</v>
      </c>
      <c r="J172" s="9">
        <f t="shared" si="191"/>
        <v>0</v>
      </c>
      <c r="K172" s="9">
        <f t="shared" si="192"/>
        <v>0</v>
      </c>
      <c r="L172" s="6">
        <f t="shared" si="193"/>
        <v>4250</v>
      </c>
      <c r="M172" s="6">
        <f t="shared" si="194"/>
        <v>4250</v>
      </c>
      <c r="N172" s="10">
        <f t="shared" si="195"/>
        <v>0</v>
      </c>
      <c r="O172" s="10">
        <f t="shared" si="196"/>
        <v>0</v>
      </c>
      <c r="P172" s="10">
        <f t="shared" si="197"/>
        <v>0</v>
      </c>
      <c r="BC172">
        <v>2.9670597283903515</v>
      </c>
      <c r="BD172">
        <v>-152.78323373051052</v>
      </c>
      <c r="BE172">
        <v>31.956267603563635</v>
      </c>
      <c r="BF172" s="6">
        <f t="shared" si="172"/>
        <v>2.9354043229140068</v>
      </c>
      <c r="BG172" s="6">
        <f t="shared" si="173"/>
        <v>3.1655405476344711E-2</v>
      </c>
      <c r="BH172" s="6">
        <f t="shared" si="174"/>
        <v>0.10651967818462449</v>
      </c>
      <c r="BI172" s="6">
        <f t="shared" si="175"/>
        <v>0.10651967818462449</v>
      </c>
      <c r="BJ172">
        <v>-235.05112881617001</v>
      </c>
      <c r="BK172">
        <v>49.163488620867128</v>
      </c>
      <c r="BV172" s="38"/>
      <c r="BW172" s="6">
        <f t="shared" si="113"/>
        <v>2.7401669256310912</v>
      </c>
      <c r="BX172" s="9">
        <f t="shared" ca="1" si="114"/>
        <v>-84.509770007673993</v>
      </c>
      <c r="BY172" s="9">
        <f t="shared" ca="1" si="115"/>
        <v>14.144090859659091</v>
      </c>
      <c r="BZ172" s="9">
        <f t="shared" ca="1" si="116"/>
        <v>-150.5824118894034</v>
      </c>
      <c r="CA172" s="6">
        <f t="shared" ca="1" si="117"/>
        <v>36.168304820235562</v>
      </c>
      <c r="CB172" s="6">
        <f t="shared" ca="1" si="118"/>
        <v>2.905868560323063</v>
      </c>
      <c r="CC172" s="6">
        <f t="shared" ca="1" si="119"/>
        <v>-9.4065492777675157E-3</v>
      </c>
      <c r="CD172" s="9">
        <f t="shared" si="120"/>
        <v>-140.5824118894034</v>
      </c>
      <c r="CE172" s="9">
        <f t="shared" si="121"/>
        <v>35.168304820235562</v>
      </c>
      <c r="CF172" s="6">
        <f t="shared" si="122"/>
        <v>2.8964620110452954</v>
      </c>
      <c r="CG172" s="6"/>
      <c r="CH172" s="6"/>
      <c r="CI172" s="6"/>
      <c r="CJ172" s="1"/>
      <c r="CK172" s="6"/>
    </row>
    <row r="173" spans="1:89" x14ac:dyDescent="0.2">
      <c r="A173" s="1" t="str">
        <f t="shared" si="184"/>
        <v>Segment 6</v>
      </c>
      <c r="B173" s="6">
        <f t="shared" si="184"/>
        <v>-3.4701519240561645</v>
      </c>
      <c r="C173" s="6">
        <f t="shared" si="184"/>
        <v>-12.95986287056963</v>
      </c>
      <c r="D173" s="6">
        <f t="shared" si="184"/>
        <v>1.8365592009256915</v>
      </c>
      <c r="E173" s="6">
        <f t="shared" si="184"/>
        <v>-6.9733098526808046</v>
      </c>
      <c r="F173" s="6">
        <f t="shared" si="187"/>
        <v>1</v>
      </c>
      <c r="G173" s="6">
        <f t="shared" si="188"/>
        <v>1</v>
      </c>
      <c r="H173" s="6">
        <f t="shared" si="189"/>
        <v>1.8365592009256915</v>
      </c>
      <c r="I173" s="6">
        <f t="shared" si="190"/>
        <v>-6.9733098526808046</v>
      </c>
      <c r="J173" s="9">
        <f t="shared" si="191"/>
        <v>1.8365592009256915</v>
      </c>
      <c r="K173" s="9">
        <f t="shared" si="192"/>
        <v>-6.9733098526808046</v>
      </c>
      <c r="L173" s="6">
        <f t="shared" si="193"/>
        <v>4250</v>
      </c>
      <c r="M173" s="6">
        <f t="shared" si="194"/>
        <v>4250</v>
      </c>
      <c r="N173" s="10">
        <f t="shared" si="195"/>
        <v>0</v>
      </c>
      <c r="O173" s="10">
        <f t="shared" si="196"/>
        <v>0</v>
      </c>
      <c r="P173" s="10">
        <f t="shared" si="197"/>
        <v>0</v>
      </c>
      <c r="BC173">
        <v>2.9845130209102946</v>
      </c>
      <c r="BD173">
        <v>-152.92689170030698</v>
      </c>
      <c r="BE173">
        <v>31.630059018284882</v>
      </c>
      <c r="BF173" s="6">
        <f t="shared" si="172"/>
        <v>2.9376373031760026</v>
      </c>
      <c r="BG173" s="6">
        <f t="shared" si="173"/>
        <v>4.6875717734292E-2</v>
      </c>
      <c r="BH173" s="6">
        <f t="shared" si="174"/>
        <v>0.10428669792262868</v>
      </c>
      <c r="BI173" s="6">
        <f t="shared" si="175"/>
        <v>0.10428669792262868</v>
      </c>
      <c r="BJ173">
        <v>-235.27214107739536</v>
      </c>
      <c r="BK173">
        <v>48.661629258899815</v>
      </c>
      <c r="BV173" s="38"/>
      <c r="BW173" s="6">
        <f t="shared" si="113"/>
        <v>2.7576202181510343</v>
      </c>
      <c r="BX173" s="9">
        <f t="shared" ca="1" si="114"/>
        <v>-84.70505328613983</v>
      </c>
      <c r="BY173" s="9">
        <f t="shared" ca="1" si="115"/>
        <v>13.81816864619611</v>
      </c>
      <c r="BZ173" s="9">
        <f t="shared" ca="1" si="116"/>
        <v>-150.77769516786924</v>
      </c>
      <c r="CA173" s="6">
        <f t="shared" ca="1" si="117"/>
        <v>35.842382606772581</v>
      </c>
      <c r="CB173" s="6">
        <f t="shared" ca="1" si="118"/>
        <v>2.9082076928551448</v>
      </c>
      <c r="CC173" s="6">
        <f t="shared" ca="1" si="119"/>
        <v>-9.2387317622693033E-3</v>
      </c>
      <c r="CD173" s="9">
        <f t="shared" si="120"/>
        <v>-140.77769516786924</v>
      </c>
      <c r="CE173" s="9">
        <f t="shared" si="121"/>
        <v>34.842382606772581</v>
      </c>
      <c r="CF173" s="6">
        <f t="shared" si="122"/>
        <v>2.8989689610928755</v>
      </c>
      <c r="CG173" s="6"/>
      <c r="CH173" s="6"/>
      <c r="CI173" s="6"/>
      <c r="CJ173" s="1"/>
      <c r="CK173" s="6"/>
    </row>
    <row r="174" spans="1:89" x14ac:dyDescent="0.2">
      <c r="A174" s="1" t="str">
        <f t="shared" si="184"/>
        <v>Segment 7</v>
      </c>
      <c r="B174" s="6">
        <f t="shared" si="184"/>
        <v>1.8365592009256915</v>
      </c>
      <c r="C174" s="6">
        <f t="shared" si="184"/>
        <v>-6.9733098526808046</v>
      </c>
      <c r="D174" s="6">
        <f t="shared" si="184"/>
        <v>1.8365592009256915</v>
      </c>
      <c r="E174" s="6">
        <f t="shared" si="184"/>
        <v>-6.9733098526808046</v>
      </c>
      <c r="F174" s="6">
        <f t="shared" si="187"/>
        <v>0</v>
      </c>
      <c r="G174" s="6">
        <f t="shared" si="188"/>
        <v>0</v>
      </c>
      <c r="H174" s="6">
        <f t="shared" si="189"/>
        <v>0</v>
      </c>
      <c r="I174" s="6">
        <f t="shared" si="190"/>
        <v>0</v>
      </c>
      <c r="J174" s="9">
        <f t="shared" si="191"/>
        <v>0</v>
      </c>
      <c r="K174" s="9">
        <f t="shared" si="192"/>
        <v>0</v>
      </c>
      <c r="L174" s="6">
        <f t="shared" si="193"/>
        <v>4250</v>
      </c>
      <c r="M174" s="6">
        <f t="shared" si="194"/>
        <v>4250</v>
      </c>
      <c r="N174" s="10">
        <f t="shared" si="195"/>
        <v>0</v>
      </c>
      <c r="O174" s="10">
        <f t="shared" si="196"/>
        <v>0</v>
      </c>
      <c r="P174" s="10">
        <f t="shared" si="197"/>
        <v>0</v>
      </c>
      <c r="BC174">
        <v>3.0019663134302377</v>
      </c>
      <c r="BD174">
        <v>-153.06750306250569</v>
      </c>
      <c r="BE174">
        <v>31.302791641565818</v>
      </c>
      <c r="BF174" s="6">
        <f t="shared" si="172"/>
        <v>2.9398708832609604</v>
      </c>
      <c r="BG174" s="6">
        <f t="shared" si="173"/>
        <v>6.2095430169277321E-2</v>
      </c>
      <c r="BH174" s="6">
        <f t="shared" si="174"/>
        <v>0.1020531178376709</v>
      </c>
      <c r="BI174" s="6">
        <f t="shared" si="175"/>
        <v>0.1020531178376709</v>
      </c>
      <c r="BJ174">
        <v>-235.48846625000874</v>
      </c>
      <c r="BK174">
        <v>48.158140987024332</v>
      </c>
      <c r="BV174" s="38"/>
      <c r="BW174" s="6">
        <f t="shared" si="113"/>
        <v>2.7750735106709774</v>
      </c>
      <c r="BX174" s="9">
        <f t="shared" ca="1" si="114"/>
        <v>-84.895324802616315</v>
      </c>
      <c r="BY174" s="9">
        <f t="shared" ca="1" si="115"/>
        <v>13.493102297871584</v>
      </c>
      <c r="BZ174" s="9">
        <f t="shared" ca="1" si="116"/>
        <v>-150.96796668434573</v>
      </c>
      <c r="CA174" s="6">
        <f t="shared" ca="1" si="117"/>
        <v>35.517316258448055</v>
      </c>
      <c r="CB174" s="6">
        <f t="shared" ca="1" si="118"/>
        <v>2.9105305961916148</v>
      </c>
      <c r="CC174" s="6">
        <f t="shared" ca="1" si="119"/>
        <v>-9.0724690705163979E-3</v>
      </c>
      <c r="CD174" s="9">
        <f t="shared" si="120"/>
        <v>-140.96796668434573</v>
      </c>
      <c r="CE174" s="9">
        <f t="shared" si="121"/>
        <v>34.517316258448055</v>
      </c>
      <c r="CF174" s="6">
        <f t="shared" si="122"/>
        <v>2.9014581271210984</v>
      </c>
      <c r="CG174" s="6"/>
      <c r="CH174" s="6"/>
      <c r="CI174" s="6"/>
      <c r="CJ174" s="1"/>
      <c r="CK174" s="6"/>
    </row>
    <row r="175" spans="1:89" ht="16" thickBot="1" x14ac:dyDescent="0.25">
      <c r="A175" s="1" t="str">
        <f t="shared" si="184"/>
        <v>Segment 8</v>
      </c>
      <c r="B175" s="6">
        <f t="shared" si="184"/>
        <v>1.8365592009256915</v>
      </c>
      <c r="C175" s="6">
        <f t="shared" si="184"/>
        <v>-6.9733098526808046</v>
      </c>
      <c r="D175" s="6">
        <f t="shared" si="184"/>
        <v>12.449981450889403</v>
      </c>
      <c r="E175" s="6">
        <f t="shared" si="184"/>
        <v>4.9997961830968469</v>
      </c>
      <c r="F175" s="6">
        <f t="shared" si="187"/>
        <v>1</v>
      </c>
      <c r="G175" s="6">
        <f t="shared" si="188"/>
        <v>0.9460840721135102</v>
      </c>
      <c r="H175" s="6">
        <f t="shared" si="189"/>
        <v>11.877748942231493</v>
      </c>
      <c r="I175" s="6">
        <f t="shared" si="190"/>
        <v>4.3542550614945625</v>
      </c>
      <c r="J175" s="9">
        <f t="shared" si="191"/>
        <v>12.449981450889403</v>
      </c>
      <c r="K175" s="9">
        <f t="shared" si="192"/>
        <v>4.999796183096846</v>
      </c>
      <c r="L175" s="6">
        <f t="shared" si="193"/>
        <v>4250</v>
      </c>
      <c r="M175" s="6">
        <f t="shared" si="194"/>
        <v>4250</v>
      </c>
      <c r="N175" s="11">
        <f t="shared" si="195"/>
        <v>33372.169523528108</v>
      </c>
      <c r="O175" s="11">
        <f t="shared" si="196"/>
        <v>156166.94745220715</v>
      </c>
      <c r="P175" s="11">
        <f t="shared" si="197"/>
        <v>203004.71801263612</v>
      </c>
      <c r="BC175">
        <v>3.0194196059501808</v>
      </c>
      <c r="BD175">
        <v>-153.20516036269623</v>
      </c>
      <c r="BE175">
        <v>30.97431178570849</v>
      </c>
      <c r="BF175" s="6">
        <f t="shared" si="172"/>
        <v>2.9421062582316861</v>
      </c>
      <c r="BG175" s="6">
        <f t="shared" si="173"/>
        <v>7.7313347718494629E-2</v>
      </c>
      <c r="BH175" s="6">
        <f t="shared" si="174"/>
        <v>9.9817742866945114E-2</v>
      </c>
      <c r="BI175" s="6">
        <f t="shared" si="175"/>
        <v>9.9817742866945114E-2</v>
      </c>
      <c r="BJ175">
        <v>-235.70024671184035</v>
      </c>
      <c r="BK175">
        <v>47.652787362628445</v>
      </c>
      <c r="BV175" s="38"/>
      <c r="BW175" s="6">
        <f t="shared" si="113"/>
        <v>2.7925268031909205</v>
      </c>
      <c r="BX175" s="9">
        <f t="shared" ca="1" si="114"/>
        <v>-85.08079954200123</v>
      </c>
      <c r="BY175" s="9">
        <f t="shared" ca="1" si="115"/>
        <v>13.16874490348464</v>
      </c>
      <c r="BZ175" s="9">
        <f t="shared" ca="1" si="116"/>
        <v>-151.15344142373064</v>
      </c>
      <c r="CA175" s="6">
        <f t="shared" ca="1" si="117"/>
        <v>35.192958864061112</v>
      </c>
      <c r="CB175" s="6">
        <f t="shared" ca="1" si="118"/>
        <v>2.9128387261442383</v>
      </c>
      <c r="CC175" s="6">
        <f t="shared" ca="1" si="119"/>
        <v>-8.9076372077157018E-3</v>
      </c>
      <c r="CD175" s="9">
        <f t="shared" si="120"/>
        <v>-141.15344142373064</v>
      </c>
      <c r="CE175" s="9">
        <f t="shared" si="121"/>
        <v>34.192958864061112</v>
      </c>
      <c r="CF175" s="6">
        <f t="shared" si="122"/>
        <v>2.9039310889365226</v>
      </c>
      <c r="CG175" s="6"/>
      <c r="CH175" s="6"/>
      <c r="CI175" s="6"/>
      <c r="CJ175" s="1"/>
      <c r="CK175" s="6"/>
    </row>
    <row r="176" spans="1:89" ht="16" thickTop="1" x14ac:dyDescent="0.2">
      <c r="M176" s="9"/>
      <c r="N176" s="6">
        <f>SUM(N168:N175)</f>
        <v>315245.58059016697</v>
      </c>
      <c r="O176" s="6">
        <f t="shared" ref="O176:P176" si="198">SUM(O168:O175)</f>
        <v>2281686.4146037451</v>
      </c>
      <c r="P176" s="6">
        <f t="shared" si="198"/>
        <v>1297616.1276661488</v>
      </c>
      <c r="BC176">
        <v>3.0368728984701239</v>
      </c>
      <c r="BD176">
        <v>-153.33994967624048</v>
      </c>
      <c r="BE176">
        <v>30.644463805926474</v>
      </c>
      <c r="BF176" s="6">
        <f t="shared" si="172"/>
        <v>2.9443446218011395</v>
      </c>
      <c r="BG176" s="6">
        <f t="shared" si="173"/>
        <v>9.2528276668984333E-2</v>
      </c>
      <c r="BH176" s="6">
        <f t="shared" si="174"/>
        <v>9.757937929749172E-2</v>
      </c>
      <c r="BI176" s="6">
        <f t="shared" si="175"/>
        <v>9.757937929749172E-2</v>
      </c>
      <c r="BJ176">
        <v>-235.90761488652382</v>
      </c>
      <c r="BK176">
        <v>47.145328932194573</v>
      </c>
      <c r="BV176" s="38"/>
      <c r="BW176" s="6">
        <f t="shared" si="113"/>
        <v>2.8099800957108636</v>
      </c>
      <c r="BX176" s="9">
        <f t="shared" ca="1" si="114"/>
        <v>-85.261679321587209</v>
      </c>
      <c r="BY176" s="9">
        <f t="shared" ca="1" si="115"/>
        <v>12.844950174955468</v>
      </c>
      <c r="BZ176" s="9">
        <f t="shared" ca="1" si="116"/>
        <v>-151.33432120331662</v>
      </c>
      <c r="CA176" s="6">
        <f t="shared" ca="1" si="117"/>
        <v>34.869164135531939</v>
      </c>
      <c r="CB176" s="6">
        <f t="shared" ca="1" si="118"/>
        <v>2.9151334993388218</v>
      </c>
      <c r="CC176" s="6">
        <f t="shared" ca="1" si="119"/>
        <v>-8.7441166259214498E-3</v>
      </c>
      <c r="CD176" s="9">
        <f t="shared" si="120"/>
        <v>-141.33432120331662</v>
      </c>
      <c r="CE176" s="9">
        <f t="shared" si="121"/>
        <v>33.869164135531939</v>
      </c>
      <c r="CF176" s="6">
        <f t="shared" si="122"/>
        <v>2.9063893827129004</v>
      </c>
      <c r="CG176" s="6"/>
      <c r="CH176" s="6"/>
      <c r="CI176" s="6"/>
      <c r="CJ176" s="1"/>
      <c r="CK176" s="6"/>
    </row>
    <row r="177" spans="1:89" x14ac:dyDescent="0.2">
      <c r="BC177">
        <v>3.054326190990067</v>
      </c>
      <c r="BD177">
        <v>-153.47195077665106</v>
      </c>
      <c r="BE177">
        <v>30.31308987392628</v>
      </c>
      <c r="BF177" s="6">
        <f t="shared" si="172"/>
        <v>2.9465871685577647</v>
      </c>
      <c r="BG177" s="6">
        <f t="shared" si="173"/>
        <v>0.10773902243230227</v>
      </c>
      <c r="BH177" s="6">
        <f t="shared" si="174"/>
        <v>9.5336832540866542E-2</v>
      </c>
      <c r="BI177" s="6">
        <f t="shared" si="175"/>
        <v>9.5336832540866542E-2</v>
      </c>
      <c r="BJ177">
        <v>-236.11069350254007</v>
      </c>
      <c r="BK177">
        <v>46.635522882963507</v>
      </c>
      <c r="BV177" s="38"/>
      <c r="BW177" s="6">
        <f t="shared" si="113"/>
        <v>2.8274333882308067</v>
      </c>
      <c r="BX177" s="9">
        <f t="shared" ca="1" si="114"/>
        <v>-85.438153683748496</v>
      </c>
      <c r="BY177" s="9">
        <f t="shared" ca="1" si="115"/>
        <v>12.521572272674693</v>
      </c>
      <c r="BZ177" s="9">
        <f t="shared" ca="1" si="116"/>
        <v>-151.51079556547791</v>
      </c>
      <c r="CA177" s="6">
        <f t="shared" ca="1" si="117"/>
        <v>34.545786233251164</v>
      </c>
      <c r="CB177" s="6">
        <f t="shared" ca="1" si="118"/>
        <v>2.9174162970606914</v>
      </c>
      <c r="CC177" s="6">
        <f t="shared" ca="1" si="119"/>
        <v>-8.5817918101320778E-3</v>
      </c>
      <c r="CD177" s="9">
        <f t="shared" si="120"/>
        <v>-141.51079556547791</v>
      </c>
      <c r="CE177" s="9">
        <f t="shared" si="121"/>
        <v>33.545786233251164</v>
      </c>
      <c r="CF177" s="6">
        <f t="shared" si="122"/>
        <v>2.9088345052505593</v>
      </c>
      <c r="CG177" s="6"/>
      <c r="CH177" s="6"/>
      <c r="CI177" s="6"/>
      <c r="CJ177" s="1"/>
      <c r="CK177" s="6"/>
    </row>
    <row r="178" spans="1:89" x14ac:dyDescent="0.2">
      <c r="A178" t="s">
        <v>188</v>
      </c>
      <c r="B178">
        <f>(N176+M165)/1000</f>
        <v>1072.0624169098544</v>
      </c>
      <c r="C178" t="s">
        <v>68</v>
      </c>
      <c r="BC178">
        <v>3.0717794835100101</v>
      </c>
      <c r="BD178">
        <v>-153.6012373449696</v>
      </c>
      <c r="BE178">
        <v>29.980029750118224</v>
      </c>
      <c r="BF178" s="6">
        <f t="shared" si="172"/>
        <v>2.9488350962264311</v>
      </c>
      <c r="BG178" s="6">
        <f t="shared" si="173"/>
        <v>0.12294438728357893</v>
      </c>
      <c r="BH178" s="6">
        <f t="shared" si="174"/>
        <v>9.3088904872200104E-2</v>
      </c>
      <c r="BI178" s="6">
        <f t="shared" si="175"/>
        <v>9.3088904872200104E-2</v>
      </c>
      <c r="BJ178">
        <v>-236.30959591533784</v>
      </c>
      <c r="BK178">
        <v>46.123122692489574</v>
      </c>
      <c r="BV178" s="38"/>
      <c r="BW178" s="6">
        <f t="shared" si="113"/>
        <v>2.8448866807507498</v>
      </c>
      <c r="BX178" s="9">
        <f t="shared" ca="1" si="114"/>
        <v>-85.6104006522351</v>
      </c>
      <c r="BY178" s="9">
        <f t="shared" ca="1" si="115"/>
        <v>12.198465621172556</v>
      </c>
      <c r="BZ178" s="9">
        <f t="shared" ca="1" si="116"/>
        <v>-151.68304253396451</v>
      </c>
      <c r="CA178" s="6">
        <f t="shared" ca="1" si="117"/>
        <v>34.222679581749027</v>
      </c>
      <c r="CB178" s="6">
        <f t="shared" ca="1" si="118"/>
        <v>2.9196884688294613</v>
      </c>
      <c r="CC178" s="6">
        <f t="shared" ca="1" si="119"/>
        <v>-8.4205509008361528E-3</v>
      </c>
      <c r="CD178" s="9">
        <f t="shared" si="120"/>
        <v>-141.68304253396451</v>
      </c>
      <c r="CE178" s="9">
        <f t="shared" si="121"/>
        <v>33.222679581749027</v>
      </c>
      <c r="CF178" s="6">
        <f t="shared" si="122"/>
        <v>2.9112679179286252</v>
      </c>
      <c r="CG178" s="6"/>
      <c r="CH178" s="6"/>
      <c r="CI178" s="6"/>
      <c r="CJ178" s="1"/>
      <c r="CK178" s="6"/>
    </row>
    <row r="179" spans="1:89" x14ac:dyDescent="0.2">
      <c r="A179" t="s">
        <v>100</v>
      </c>
      <c r="B179">
        <f>(N165+O176)/1000</f>
        <v>984.40141028815606</v>
      </c>
      <c r="C179" t="s">
        <v>69</v>
      </c>
      <c r="BC179">
        <v>3.0892327760299532</v>
      </c>
      <c r="BD179">
        <v>-153.72787721461953</v>
      </c>
      <c r="BE179">
        <v>29.645120552032648</v>
      </c>
      <c r="BF179" s="6">
        <f t="shared" si="172"/>
        <v>2.9510896079710998</v>
      </c>
      <c r="BG179" s="6">
        <f t="shared" si="173"/>
        <v>0.13814316805885341</v>
      </c>
      <c r="BH179" s="6">
        <f t="shared" si="174"/>
        <v>9.0834393127531513E-2</v>
      </c>
      <c r="BI179" s="6">
        <f t="shared" si="175"/>
        <v>9.0834393127531513E-2</v>
      </c>
      <c r="BJ179">
        <v>-236.50442648403003</v>
      </c>
      <c r="BK179">
        <v>45.607877772357917</v>
      </c>
      <c r="BV179" s="38"/>
      <c r="BW179" s="6">
        <f t="shared" si="113"/>
        <v>2.8623399732706929</v>
      </c>
      <c r="BX179" s="9">
        <f t="shared" ca="1" si="114"/>
        <v>-85.778587417956473</v>
      </c>
      <c r="BY179" s="9">
        <f t="shared" ca="1" si="115"/>
        <v>11.875484721764646</v>
      </c>
      <c r="BZ179" s="9">
        <f t="shared" ca="1" si="116"/>
        <v>-151.85122929968588</v>
      </c>
      <c r="CA179" s="6">
        <f t="shared" ca="1" si="117"/>
        <v>33.899698682341118</v>
      </c>
      <c r="CB179" s="6">
        <f t="shared" ca="1" si="118"/>
        <v>2.9219513357753524</v>
      </c>
      <c r="CC179" s="6">
        <f t="shared" ca="1" si="119"/>
        <v>-8.2602853426583245E-3</v>
      </c>
      <c r="CD179" s="9">
        <f t="shared" si="120"/>
        <v>-141.85122929968588</v>
      </c>
      <c r="CE179" s="9">
        <f t="shared" si="121"/>
        <v>32.899698682341118</v>
      </c>
      <c r="CF179" s="6">
        <f t="shared" si="122"/>
        <v>2.9136910504326941</v>
      </c>
      <c r="CG179" s="6"/>
      <c r="CH179" s="6"/>
      <c r="CI179" s="6"/>
      <c r="CJ179" s="1"/>
      <c r="CK179" s="6"/>
    </row>
    <row r="180" spans="1:89" x14ac:dyDescent="0.2">
      <c r="A180" t="s">
        <v>101</v>
      </c>
      <c r="B180">
        <f>-1*(O165+P176)/1000</f>
        <v>-532.78397526504841</v>
      </c>
      <c r="C180" t="s">
        <v>69</v>
      </c>
      <c r="BC180">
        <v>3.1066860685498963</v>
      </c>
      <c r="BD180">
        <v>-153.85193242770785</v>
      </c>
      <c r="BE180">
        <v>29.308196514802912</v>
      </c>
      <c r="BF180" s="6">
        <f t="shared" si="172"/>
        <v>2.9533519144955345</v>
      </c>
      <c r="BG180" s="6">
        <f t="shared" si="173"/>
        <v>0.15333415405436179</v>
      </c>
      <c r="BH180" s="6">
        <f t="shared" si="174"/>
        <v>8.8572086603096789E-2</v>
      </c>
      <c r="BI180" s="6">
        <f t="shared" si="175"/>
        <v>8.8572086603096789E-2</v>
      </c>
      <c r="BJ180">
        <v>-236.69528065801208</v>
      </c>
      <c r="BK180">
        <v>45.089533099696787</v>
      </c>
      <c r="BV180" s="38"/>
      <c r="BW180" s="6">
        <f t="shared" si="113"/>
        <v>2.879793265790636</v>
      </c>
      <c r="BX180" s="9">
        <f t="shared" ca="1" si="114"/>
        <v>-85.942870986983067</v>
      </c>
      <c r="BY180" s="9">
        <f t="shared" ca="1" si="115"/>
        <v>11.552483964215401</v>
      </c>
      <c r="BZ180" s="9">
        <f t="shared" ca="1" si="116"/>
        <v>-152.01551286871248</v>
      </c>
      <c r="CA180" s="6">
        <f t="shared" ca="1" si="117"/>
        <v>33.576697924791873</v>
      </c>
      <c r="CB180" s="6">
        <f t="shared" ca="1" si="118"/>
        <v>2.9242061938633714</v>
      </c>
      <c r="CC180" s="6">
        <f t="shared" ca="1" si="119"/>
        <v>-8.100889553081192E-3</v>
      </c>
      <c r="CD180" s="9">
        <f t="shared" si="120"/>
        <v>-142.01551286871248</v>
      </c>
      <c r="CE180" s="9">
        <f t="shared" si="121"/>
        <v>32.576697924791873</v>
      </c>
      <c r="CF180" s="6">
        <f t="shared" si="122"/>
        <v>2.9161053043102902</v>
      </c>
      <c r="CG180" s="6"/>
      <c r="CH180" s="6"/>
      <c r="CI180" s="6"/>
      <c r="CJ180" s="1"/>
      <c r="CK180" s="6"/>
    </row>
    <row r="181" spans="1:89" x14ac:dyDescent="0.2">
      <c r="BC181">
        <v>3.1241393610698394</v>
      </c>
      <c r="BD181">
        <v>-153.97345941702042</v>
      </c>
      <c r="BE181">
        <v>28.969088750282992</v>
      </c>
      <c r="BF181" s="6">
        <f t="shared" si="172"/>
        <v>2.9556232362926198</v>
      </c>
      <c r="BG181" s="6">
        <f t="shared" si="173"/>
        <v>0.16851612477721956</v>
      </c>
      <c r="BH181" s="6">
        <f t="shared" si="174"/>
        <v>8.6300764806011454E-2</v>
      </c>
      <c r="BI181" s="6">
        <f t="shared" si="175"/>
        <v>8.6300764806011454E-2</v>
      </c>
      <c r="BJ181">
        <v>-236.88224525695449</v>
      </c>
      <c r="BK181">
        <v>44.567828846589215</v>
      </c>
      <c r="BV181" s="38"/>
      <c r="BW181" s="6">
        <f t="shared" si="113"/>
        <v>2.8972465583105791</v>
      </c>
      <c r="BX181" s="9">
        <f t="shared" ca="1" si="114"/>
        <v>-86.103398756000317</v>
      </c>
      <c r="BY181" s="9">
        <f t="shared" ca="1" si="115"/>
        <v>11.229317434103034</v>
      </c>
      <c r="BZ181" s="9">
        <f t="shared" ca="1" si="116"/>
        <v>-152.17604063772973</v>
      </c>
      <c r="CA181" s="6">
        <f t="shared" ca="1" si="117"/>
        <v>33.253531394679506</v>
      </c>
      <c r="CB181" s="6">
        <f t="shared" ca="1" si="118"/>
        <v>2.9264543169480839</v>
      </c>
      <c r="CC181" s="6">
        <f t="shared" ca="1" si="119"/>
        <v>-7.9422606135879353E-3</v>
      </c>
      <c r="CD181" s="9">
        <f t="shared" si="120"/>
        <v>-142.17604063772973</v>
      </c>
      <c r="CE181" s="9">
        <f t="shared" si="121"/>
        <v>32.253531394679506</v>
      </c>
      <c r="CF181" s="6">
        <f t="shared" si="122"/>
        <v>2.918512056334496</v>
      </c>
      <c r="CG181" s="6"/>
      <c r="CH181" s="6"/>
      <c r="CI181" s="6"/>
      <c r="CJ181" s="1"/>
      <c r="CK181" s="6"/>
    </row>
    <row r="182" spans="1:89" x14ac:dyDescent="0.2">
      <c r="A182" t="s">
        <v>54</v>
      </c>
      <c r="BC182">
        <v>3.1415926535897825</v>
      </c>
      <c r="BD182">
        <v>-154.09250912924213</v>
      </c>
      <c r="BE182">
        <v>28.627625000000226</v>
      </c>
      <c r="BF182" s="6">
        <f t="shared" si="172"/>
        <v>2.95790480584603</v>
      </c>
      <c r="BG182" s="6">
        <f t="shared" si="173"/>
        <v>0.18368784774375246</v>
      </c>
      <c r="BH182" s="6">
        <f t="shared" si="174"/>
        <v>8.4019195252601264E-2</v>
      </c>
      <c r="BI182" s="6">
        <f t="shared" si="175"/>
        <v>8.4019195252601264E-2</v>
      </c>
      <c r="BJ182">
        <v>-237.06539866037249</v>
      </c>
      <c r="BK182">
        <v>44.042500000000345</v>
      </c>
      <c r="BV182" s="38"/>
      <c r="BW182" s="6">
        <f t="shared" si="113"/>
        <v>2.9146998508305222</v>
      </c>
      <c r="BX182" s="9">
        <f t="shared" ca="1" si="114"/>
        <v>-86.260309040270144</v>
      </c>
      <c r="BY182" s="9">
        <f t="shared" ca="1" si="115"/>
        <v>10.905838717612003</v>
      </c>
      <c r="BZ182" s="9">
        <f t="shared" ca="1" si="116"/>
        <v>-152.33295092199955</v>
      </c>
      <c r="CA182" s="6">
        <f t="shared" ca="1" si="117"/>
        <v>32.930052678188474</v>
      </c>
      <c r="CB182" s="6">
        <f t="shared" ca="1" si="118"/>
        <v>2.9286969596946433</v>
      </c>
      <c r="CC182" s="6">
        <f t="shared" ca="1" si="119"/>
        <v>-7.7842979785254229E-3</v>
      </c>
      <c r="CD182" s="9">
        <f t="shared" si="120"/>
        <v>-142.33295092199955</v>
      </c>
      <c r="CE182" s="9">
        <f t="shared" si="121"/>
        <v>31.930052678188474</v>
      </c>
      <c r="CF182" s="6">
        <f t="shared" si="122"/>
        <v>2.9209126617161179</v>
      </c>
      <c r="CG182" s="6"/>
      <c r="CH182" s="6"/>
      <c r="CI182" s="6"/>
      <c r="CJ182" s="1"/>
      <c r="CK182" s="6"/>
    </row>
    <row r="183" spans="1:89" x14ac:dyDescent="0.2">
      <c r="BC183">
        <v>3.1590459461097256</v>
      </c>
      <c r="BD183">
        <v>-153.97345941702125</v>
      </c>
      <c r="BE183">
        <v>28.286161249717463</v>
      </c>
      <c r="BF183" s="6">
        <f t="shared" si="172"/>
        <v>2.9599103888815401</v>
      </c>
      <c r="BG183" s="6">
        <f t="shared" si="173"/>
        <v>0.19913555722818543</v>
      </c>
      <c r="BH183" s="6">
        <f t="shared" si="174"/>
        <v>8.201361221709115E-2</v>
      </c>
      <c r="BI183" s="6">
        <f t="shared" si="175"/>
        <v>8.201361221709115E-2</v>
      </c>
      <c r="BJ183">
        <v>-236.88224525695574</v>
      </c>
      <c r="BK183">
        <v>43.517171153411482</v>
      </c>
      <c r="BV183" s="38"/>
      <c r="BW183" s="6">
        <f t="shared" si="113"/>
        <v>2.9321531433504653</v>
      </c>
      <c r="BX183" s="9">
        <f t="shared" ca="1" si="114"/>
        <v>-86.413731562823457</v>
      </c>
      <c r="BY183" s="9">
        <f t="shared" ca="1" si="115"/>
        <v>10.581900703794783</v>
      </c>
      <c r="BZ183" s="9">
        <f t="shared" ca="1" si="116"/>
        <v>-152.48637344455287</v>
      </c>
      <c r="CA183" s="6">
        <f t="shared" ca="1" si="117"/>
        <v>32.606114664371255</v>
      </c>
      <c r="CB183" s="6">
        <f t="shared" ca="1" si="118"/>
        <v>2.9309353603868318</v>
      </c>
      <c r="CC183" s="6">
        <f t="shared" ca="1" si="119"/>
        <v>-7.6269031991218483E-3</v>
      </c>
      <c r="CD183" s="9">
        <f t="shared" si="120"/>
        <v>-142.48637344455287</v>
      </c>
      <c r="CE183" s="9">
        <f t="shared" si="121"/>
        <v>31.606114664371255</v>
      </c>
      <c r="CF183" s="6">
        <f t="shared" si="122"/>
        <v>2.9233084571877099</v>
      </c>
      <c r="CG183" s="6"/>
      <c r="CH183" s="6"/>
      <c r="CI183" s="6"/>
      <c r="CJ183" s="1"/>
      <c r="CK183" s="6"/>
    </row>
    <row r="184" spans="1:89" x14ac:dyDescent="0.2">
      <c r="A184">
        <f>A14</f>
        <v>0</v>
      </c>
      <c r="B184" t="str">
        <f t="shared" ref="B184:E184" si="199">B14</f>
        <v>Bar #</v>
      </c>
      <c r="C184" t="str">
        <f t="shared" si="199"/>
        <v>As (in^2)</v>
      </c>
      <c r="D184" t="str">
        <f t="shared" si="199"/>
        <v>x</v>
      </c>
      <c r="E184" t="str">
        <f t="shared" si="199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189</v>
      </c>
      <c r="M184" s="1" t="s">
        <v>227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-153.85193242770873</v>
      </c>
      <c r="BE184">
        <v>27.947053485197479</v>
      </c>
      <c r="BF184" s="6">
        <f t="shared" si="172"/>
        <v>2.9619029026890074</v>
      </c>
      <c r="BG184" s="6">
        <f t="shared" si="173"/>
        <v>0.2145963359406613</v>
      </c>
      <c r="BH184" s="6">
        <f t="shared" si="174"/>
        <v>8.0021098409623903E-2</v>
      </c>
      <c r="BI184" s="6">
        <f t="shared" si="175"/>
        <v>8.0021098409623903E-2</v>
      </c>
      <c r="BJ184">
        <v>-236.69528065801342</v>
      </c>
      <c r="BK184">
        <v>42.995466900303811</v>
      </c>
      <c r="BV184" s="38"/>
      <c r="BW184" s="6">
        <f t="shared" si="113"/>
        <v>2.9496064358704084</v>
      </c>
      <c r="BX184" s="9">
        <f t="shared" ca="1" si="114"/>
        <v>-86.563787897260212</v>
      </c>
      <c r="BY184" s="9">
        <f t="shared" ca="1" si="115"/>
        <v>10.257355383346148</v>
      </c>
      <c r="BZ184" s="9">
        <f t="shared" ca="1" si="116"/>
        <v>-152.63642977898962</v>
      </c>
      <c r="CA184" s="6">
        <f t="shared" ca="1" si="117"/>
        <v>32.281569343922619</v>
      </c>
      <c r="CB184" s="6">
        <f t="shared" ca="1" si="118"/>
        <v>2.9331707436259058</v>
      </c>
      <c r="CC184" s="6">
        <f t="shared" ca="1" si="119"/>
        <v>-7.4699796622050832E-3</v>
      </c>
      <c r="CD184" s="9">
        <f t="shared" si="120"/>
        <v>-142.63642977898962</v>
      </c>
      <c r="CE184" s="9">
        <f t="shared" si="121"/>
        <v>31.281569343922619</v>
      </c>
      <c r="CF184" s="6">
        <f t="shared" si="122"/>
        <v>2.9257007639637007</v>
      </c>
      <c r="CG184" s="6"/>
      <c r="CH184" s="6"/>
      <c r="CI184" s="6"/>
      <c r="CJ184" s="1"/>
      <c r="CK184" s="6"/>
    </row>
    <row r="185" spans="1:89" x14ac:dyDescent="0.2">
      <c r="A185">
        <f t="shared" ref="A185:E194" si="200">A15</f>
        <v>1</v>
      </c>
      <c r="B185">
        <f t="shared" si="200"/>
        <v>8</v>
      </c>
      <c r="C185" s="6">
        <f t="shared" ca="1" si="200"/>
        <v>0.79</v>
      </c>
      <c r="D185" s="6">
        <f t="shared" si="200"/>
        <v>2</v>
      </c>
      <c r="E185" s="6">
        <f t="shared" si="200"/>
        <v>2</v>
      </c>
      <c r="F185" s="6">
        <f t="shared" ref="F185:F194" si="201">D185-$I$2</f>
        <v>-4</v>
      </c>
      <c r="G185" s="6">
        <f t="shared" ref="G185:G194" si="202">E185-$I$3</f>
        <v>-10</v>
      </c>
      <c r="H185" s="6">
        <f t="shared" ref="H185:H194" si="203">F185*COS($B$27)+G185*SIN($B$27)</f>
        <v>9.6266654151717326</v>
      </c>
      <c r="I185" s="6">
        <f t="shared" ref="I185:I194" si="204">-1*F185*SIN($B$27)+G185*COS($B$27)</f>
        <v>4.8298357098701032</v>
      </c>
      <c r="J185" s="6">
        <f t="shared" ref="J185:J194" si="205">$G$38-I185</f>
        <v>8.1300271606995267</v>
      </c>
      <c r="K185" s="6">
        <f t="shared" ref="K185:K194" ca="1" si="206">IF($B$28=0,-1,IF(C185=0,0,(($B$28-J185)/$B$28)*$B$30)*IF($B$28&lt;0,-1,1))</f>
        <v>2.1367549162167499E-3</v>
      </c>
      <c r="L185" s="6">
        <f ca="1">IF(K185&lt;0,0,IF(K185&lt;=$B$145,0.85*$B$143*((2*K185/$B$145)-POWER(K185/$B$145,2)),0.85*$B$143))/1000</f>
        <v>4.25</v>
      </c>
      <c r="M185" s="6">
        <f ca="1">IF(K185&gt;0,MIN((K185*B$13),B$12)-L185,MAX(K185*B$13,-1*B$12))</f>
        <v>55.75</v>
      </c>
      <c r="N185" s="6">
        <f t="shared" ref="N185:N194" ca="1" si="207">M185*C185</f>
        <v>44.042500000000004</v>
      </c>
      <c r="O185" s="6">
        <f t="shared" ref="O185:O194" ca="1" si="208">N185*I185</f>
        <v>212.71803925195405</v>
      </c>
      <c r="P185" s="6">
        <f t="shared" ref="P185:P194" ca="1" si="209">N185*H185*-1</f>
        <v>-423.98241154770108</v>
      </c>
      <c r="BC185">
        <v>3.1939525311496118</v>
      </c>
      <c r="BD185">
        <v>-153.72787721462029</v>
      </c>
      <c r="BE185">
        <v>27.610129447967775</v>
      </c>
      <c r="BF185" s="6">
        <f t="shared" si="172"/>
        <v>2.9638833910355489</v>
      </c>
      <c r="BG185" s="6">
        <f t="shared" si="173"/>
        <v>0.23006914011406288</v>
      </c>
      <c r="BH185" s="6">
        <f t="shared" si="174"/>
        <v>7.8040610063082383E-2</v>
      </c>
      <c r="BI185" s="6">
        <f t="shared" si="175"/>
        <v>7.8040610063082383E-2</v>
      </c>
      <c r="BJ185">
        <v>-236.5044264840312</v>
      </c>
      <c r="BK185">
        <v>42.477122227642731</v>
      </c>
      <c r="BV185" s="38"/>
      <c r="BW185" s="6">
        <f t="shared" si="113"/>
        <v>2.9670597283903515</v>
      </c>
      <c r="BX185" s="9">
        <f t="shared" ca="1" si="114"/>
        <v>-86.710591848781107</v>
      </c>
      <c r="BY185" s="9">
        <f t="shared" ca="1" si="115"/>
        <v>9.9320536429871638</v>
      </c>
      <c r="BZ185" s="9">
        <f t="shared" ca="1" si="116"/>
        <v>-152.78323373051052</v>
      </c>
      <c r="CA185" s="6">
        <f t="shared" ca="1" si="117"/>
        <v>31.956267603563635</v>
      </c>
      <c r="CB185" s="6">
        <f t="shared" ca="1" si="118"/>
        <v>2.9354043229140068</v>
      </c>
      <c r="CC185" s="6">
        <f t="shared" ca="1" si="119"/>
        <v>-7.3134323442167739E-3</v>
      </c>
      <c r="CD185" s="9">
        <f t="shared" si="120"/>
        <v>-142.78323373051052</v>
      </c>
      <c r="CE185" s="9">
        <f t="shared" si="121"/>
        <v>30.956267603563635</v>
      </c>
      <c r="CF185" s="6">
        <f t="shared" si="122"/>
        <v>2.92809089056979</v>
      </c>
      <c r="CG185" s="6"/>
      <c r="CH185" s="6"/>
      <c r="CI185" s="6"/>
      <c r="CJ185" s="1"/>
      <c r="CK185" s="6"/>
    </row>
    <row r="186" spans="1:89" x14ac:dyDescent="0.2">
      <c r="A186">
        <f t="shared" si="200"/>
        <v>2</v>
      </c>
      <c r="B186">
        <f t="shared" si="200"/>
        <v>8</v>
      </c>
      <c r="C186" s="6">
        <f t="shared" ca="1" si="200"/>
        <v>0.79</v>
      </c>
      <c r="D186" s="6">
        <f t="shared" si="200"/>
        <v>2</v>
      </c>
      <c r="E186" s="6">
        <f t="shared" si="200"/>
        <v>4</v>
      </c>
      <c r="F186" s="6">
        <f t="shared" si="201"/>
        <v>-4</v>
      </c>
      <c r="G186" s="6">
        <f t="shared" si="202"/>
        <v>-8</v>
      </c>
      <c r="H186" s="6">
        <f t="shared" si="203"/>
        <v>8.2999876339262677</v>
      </c>
      <c r="I186" s="6">
        <f t="shared" si="204"/>
        <v>3.3331974553978974</v>
      </c>
      <c r="J186" s="6">
        <f t="shared" si="205"/>
        <v>9.6266654151717326</v>
      </c>
      <c r="K186" s="6">
        <f t="shared" ca="1" si="206"/>
        <v>1.9778420872879083E-3</v>
      </c>
      <c r="L186" s="6">
        <f t="shared" ref="L186:L194" ca="1" si="210">IF(K186&lt;0,0,IF(K186&lt;=$B$145,0.85*$B$143*((2*K186/$B$145)-POWER(K186/$B$145,2)),0.85*$B$143))/1000</f>
        <v>4.2385227539142969</v>
      </c>
      <c r="M186" s="6">
        <f t="shared" ref="M186:M194" ca="1" si="211">IF(K186&gt;0,MIN((K186*B$13),B$12)-L186,MAX(K186*B$13,-1*B$12))</f>
        <v>53.118897777435045</v>
      </c>
      <c r="N186" s="6">
        <f t="shared" ca="1" si="207"/>
        <v>41.963929244173684</v>
      </c>
      <c r="O186" s="6">
        <f t="shared" ca="1" si="208"/>
        <v>139.87406217517713</v>
      </c>
      <c r="P186" s="6">
        <f t="shared" ca="1" si="209"/>
        <v>-348.30009379759844</v>
      </c>
      <c r="BC186">
        <v>3.2114058236695548</v>
      </c>
      <c r="BD186">
        <v>-153.60123734497043</v>
      </c>
      <c r="BE186">
        <v>27.275220249882207</v>
      </c>
      <c r="BF186" s="6">
        <f t="shared" si="172"/>
        <v>2.965852878915106</v>
      </c>
      <c r="BG186" s="6">
        <f t="shared" si="173"/>
        <v>0.24555294475444889</v>
      </c>
      <c r="BH186" s="6">
        <f t="shared" si="174"/>
        <v>7.6071122183525297E-2</v>
      </c>
      <c r="BI186" s="6">
        <f t="shared" si="175"/>
        <v>7.6071122183525297E-2</v>
      </c>
      <c r="BJ186">
        <v>-236.30959591533912</v>
      </c>
      <c r="BK186">
        <v>41.961877307511088</v>
      </c>
      <c r="BV186" s="38"/>
      <c r="BW186" s="6">
        <f t="shared" si="113"/>
        <v>2.9845130209102946</v>
      </c>
      <c r="BX186" s="9">
        <f t="shared" ca="1" si="114"/>
        <v>-86.854249818577571</v>
      </c>
      <c r="BY186" s="9">
        <f t="shared" ca="1" si="115"/>
        <v>9.6058450577084109</v>
      </c>
      <c r="BZ186" s="9">
        <f t="shared" ca="1" si="116"/>
        <v>-152.92689170030698</v>
      </c>
      <c r="CA186" s="6">
        <f t="shared" ca="1" si="117"/>
        <v>31.630059018284882</v>
      </c>
      <c r="CB186" s="6">
        <f t="shared" ca="1" si="118"/>
        <v>2.9376373031760026</v>
      </c>
      <c r="CC186" s="6">
        <f t="shared" ca="1" si="119"/>
        <v>-7.1571675739550145E-3</v>
      </c>
      <c r="CD186" s="9">
        <f t="shared" si="120"/>
        <v>-142.92689170030698</v>
      </c>
      <c r="CE186" s="9">
        <f t="shared" si="121"/>
        <v>30.630059018284882</v>
      </c>
      <c r="CF186" s="6">
        <f t="shared" si="122"/>
        <v>2.9304801356020476</v>
      </c>
      <c r="CG186" s="6"/>
      <c r="CH186" s="6"/>
      <c r="CI186" s="6"/>
      <c r="CJ186" s="1"/>
      <c r="CK186" s="6"/>
    </row>
    <row r="187" spans="1:89" x14ac:dyDescent="0.2">
      <c r="A187">
        <f t="shared" si="200"/>
        <v>3</v>
      </c>
      <c r="B187">
        <f t="shared" si="200"/>
        <v>8</v>
      </c>
      <c r="C187" s="6">
        <f t="shared" ca="1" si="200"/>
        <v>0.79</v>
      </c>
      <c r="D187" s="6">
        <f t="shared" si="200"/>
        <v>4</v>
      </c>
      <c r="E187" s="6">
        <f t="shared" si="200"/>
        <v>2</v>
      </c>
      <c r="F187" s="6">
        <f t="shared" si="201"/>
        <v>-2</v>
      </c>
      <c r="G187" s="6">
        <f t="shared" si="202"/>
        <v>-10</v>
      </c>
      <c r="H187" s="6">
        <f t="shared" si="203"/>
        <v>8.1300271606995267</v>
      </c>
      <c r="I187" s="6">
        <f t="shared" si="204"/>
        <v>6.1565134911155672</v>
      </c>
      <c r="J187" s="6">
        <f t="shared" si="205"/>
        <v>6.8033493794540627</v>
      </c>
      <c r="K187" s="6">
        <f t="shared" ca="1" si="206"/>
        <v>2.2776213671876315E-3</v>
      </c>
      <c r="L187" s="6">
        <f t="shared" ca="1" si="210"/>
        <v>4.25</v>
      </c>
      <c r="M187" s="6">
        <f t="shared" ca="1" si="211"/>
        <v>55.75</v>
      </c>
      <c r="N187" s="6">
        <f t="shared" ca="1" si="207"/>
        <v>44.042500000000004</v>
      </c>
      <c r="O187" s="6">
        <f t="shared" ca="1" si="208"/>
        <v>271.14824543245737</v>
      </c>
      <c r="P187" s="6">
        <f t="shared" ca="1" si="209"/>
        <v>-358.06672122510895</v>
      </c>
      <c r="BC187">
        <v>3.2288591161894979</v>
      </c>
      <c r="BD187">
        <v>-153.47195077665191</v>
      </c>
      <c r="BE187">
        <v>26.942160126074107</v>
      </c>
      <c r="BF187" s="6">
        <f t="shared" si="172"/>
        <v>2.9678123741564022</v>
      </c>
      <c r="BG187" s="6">
        <f t="shared" si="173"/>
        <v>0.26104674203309575</v>
      </c>
      <c r="BH187" s="6">
        <f t="shared" si="174"/>
        <v>7.4111626942229045E-2</v>
      </c>
      <c r="BI187" s="6">
        <f t="shared" si="175"/>
        <v>7.4111626942229045E-2</v>
      </c>
      <c r="BJ187">
        <v>-236.11069350254138</v>
      </c>
      <c r="BK187">
        <v>41.449477117037084</v>
      </c>
      <c r="BV187" s="38"/>
      <c r="BW187" s="6">
        <f t="shared" si="113"/>
        <v>3.0019663134302377</v>
      </c>
      <c r="BX187" s="9">
        <f t="shared" ca="1" si="114"/>
        <v>-86.994861180776283</v>
      </c>
      <c r="BY187" s="9">
        <f t="shared" ca="1" si="115"/>
        <v>9.278577680989347</v>
      </c>
      <c r="BZ187" s="9">
        <f t="shared" ca="1" si="116"/>
        <v>-153.06750306250569</v>
      </c>
      <c r="CA187" s="6">
        <f t="shared" ca="1" si="117"/>
        <v>31.302791641565818</v>
      </c>
      <c r="CB187" s="6">
        <f t="shared" ca="1" si="118"/>
        <v>2.9398708832609604</v>
      </c>
      <c r="CC187" s="6">
        <f t="shared" ca="1" si="119"/>
        <v>-7.0010927995469716E-3</v>
      </c>
      <c r="CD187" s="9">
        <f t="shared" si="120"/>
        <v>-143.06750306250569</v>
      </c>
      <c r="CE187" s="9">
        <f t="shared" si="121"/>
        <v>30.302791641565818</v>
      </c>
      <c r="CF187" s="6">
        <f t="shared" si="122"/>
        <v>2.9328697904614134</v>
      </c>
      <c r="CG187" s="6"/>
      <c r="CH187" s="6"/>
      <c r="CI187" s="6"/>
      <c r="CJ187" s="1"/>
      <c r="CK187" s="6"/>
    </row>
    <row r="188" spans="1:89" x14ac:dyDescent="0.2">
      <c r="A188">
        <f t="shared" si="200"/>
        <v>4</v>
      </c>
      <c r="B188">
        <f t="shared" si="200"/>
        <v>8</v>
      </c>
      <c r="C188" s="6">
        <f t="shared" ca="1" si="200"/>
        <v>0.79</v>
      </c>
      <c r="D188" s="6">
        <f t="shared" si="200"/>
        <v>4</v>
      </c>
      <c r="E188" s="6">
        <f t="shared" si="200"/>
        <v>4</v>
      </c>
      <c r="F188" s="6">
        <f t="shared" si="201"/>
        <v>-2</v>
      </c>
      <c r="G188" s="6">
        <f t="shared" si="202"/>
        <v>-8</v>
      </c>
      <c r="H188" s="6">
        <f t="shared" si="203"/>
        <v>6.8033493794540618</v>
      </c>
      <c r="I188" s="6">
        <f t="shared" si="204"/>
        <v>4.6598752366433613</v>
      </c>
      <c r="J188" s="6">
        <f t="shared" si="205"/>
        <v>8.2999876339262677</v>
      </c>
      <c r="K188" s="6">
        <f t="shared" ca="1" si="206"/>
        <v>2.1187085382587904E-3</v>
      </c>
      <c r="L188" s="6">
        <f t="shared" ca="1" si="210"/>
        <v>4.25</v>
      </c>
      <c r="M188" s="6">
        <f t="shared" ca="1" si="211"/>
        <v>55.75</v>
      </c>
      <c r="N188" s="6">
        <f t="shared" ca="1" si="207"/>
        <v>44.042500000000004</v>
      </c>
      <c r="O188" s="6">
        <f t="shared" ca="1" si="208"/>
        <v>205.23255510986527</v>
      </c>
      <c r="P188" s="6">
        <f t="shared" ca="1" si="209"/>
        <v>-299.63651504460552</v>
      </c>
      <c r="BC188">
        <v>3.246312408709441</v>
      </c>
      <c r="BD188">
        <v>-153.33994967624125</v>
      </c>
      <c r="BE188">
        <v>26.610786194073935</v>
      </c>
      <c r="BF188" s="6">
        <f t="shared" si="172"/>
        <v>2.9697628689592341</v>
      </c>
      <c r="BG188" s="6">
        <f t="shared" si="173"/>
        <v>0.27654953975020691</v>
      </c>
      <c r="BH188" s="6">
        <f t="shared" si="174"/>
        <v>7.2161132139397122E-2</v>
      </c>
      <c r="BI188" s="6">
        <f t="shared" si="175"/>
        <v>7.2161132139397122E-2</v>
      </c>
      <c r="BJ188">
        <v>-235.90761488652498</v>
      </c>
      <c r="BK188">
        <v>40.939671067806053</v>
      </c>
      <c r="BV188" s="38"/>
      <c r="BW188" s="6">
        <f t="shared" si="113"/>
        <v>3.0194196059501808</v>
      </c>
      <c r="BX188" s="9">
        <f t="shared" ca="1" si="114"/>
        <v>-87.132518480966823</v>
      </c>
      <c r="BY188" s="9">
        <f t="shared" ca="1" si="115"/>
        <v>8.9500978251320191</v>
      </c>
      <c r="BZ188" s="9">
        <f t="shared" ca="1" si="116"/>
        <v>-153.20516036269623</v>
      </c>
      <c r="CA188" s="6">
        <f t="shared" ca="1" si="117"/>
        <v>30.97431178570849</v>
      </c>
      <c r="CB188" s="6">
        <f t="shared" ca="1" si="118"/>
        <v>2.9421062582316861</v>
      </c>
      <c r="CC188" s="6">
        <f t="shared" ca="1" si="119"/>
        <v>-6.845116381491323E-3</v>
      </c>
      <c r="CD188" s="9">
        <f t="shared" si="120"/>
        <v>-143.20516036269623</v>
      </c>
      <c r="CE188" s="9">
        <f t="shared" si="121"/>
        <v>29.97431178570849</v>
      </c>
      <c r="CF188" s="6">
        <f t="shared" si="122"/>
        <v>2.9352611418501948</v>
      </c>
      <c r="CG188" s="6"/>
      <c r="CH188" s="6"/>
      <c r="CI188" s="6"/>
      <c r="CJ188" s="1"/>
      <c r="CK188" s="6"/>
    </row>
    <row r="189" spans="1:89" x14ac:dyDescent="0.2">
      <c r="A189">
        <f t="shared" si="200"/>
        <v>5</v>
      </c>
      <c r="B189">
        <f t="shared" si="200"/>
        <v>0</v>
      </c>
      <c r="C189" s="6">
        <f t="shared" ca="1" si="200"/>
        <v>0</v>
      </c>
      <c r="D189" s="6">
        <f t="shared" si="200"/>
        <v>6</v>
      </c>
      <c r="E189" s="6">
        <f t="shared" si="200"/>
        <v>2</v>
      </c>
      <c r="F189" s="6">
        <f t="shared" si="201"/>
        <v>0</v>
      </c>
      <c r="G189" s="6">
        <f t="shared" si="202"/>
        <v>-10</v>
      </c>
      <c r="H189" s="6">
        <f t="shared" si="203"/>
        <v>6.6333889062273199</v>
      </c>
      <c r="I189" s="6">
        <f t="shared" si="204"/>
        <v>7.4831912723610312</v>
      </c>
      <c r="J189" s="6">
        <f t="shared" si="205"/>
        <v>5.4766715982085987</v>
      </c>
      <c r="K189" s="6">
        <f t="shared" ca="1" si="206"/>
        <v>0</v>
      </c>
      <c r="L189" s="6">
        <f t="shared" ca="1" si="210"/>
        <v>0</v>
      </c>
      <c r="M189" s="6">
        <f t="shared" ca="1" si="211"/>
        <v>0</v>
      </c>
      <c r="N189" s="6">
        <f t="shared" ca="1" si="207"/>
        <v>0</v>
      </c>
      <c r="O189" s="6">
        <f t="shared" ca="1" si="208"/>
        <v>0</v>
      </c>
      <c r="P189" s="6">
        <f t="shared" ca="1" si="209"/>
        <v>0</v>
      </c>
      <c r="BC189">
        <v>3.2637657012293841</v>
      </c>
      <c r="BD189">
        <v>-153.20516036269706</v>
      </c>
      <c r="BE189">
        <v>26.280938214291911</v>
      </c>
      <c r="BF189" s="6">
        <f t="shared" si="172"/>
        <v>2.9717053415949404</v>
      </c>
      <c r="BG189" s="6">
        <f t="shared" si="173"/>
        <v>0.29206035963444377</v>
      </c>
      <c r="BH189" s="6">
        <f t="shared" si="174"/>
        <v>7.0218659503690883E-2</v>
      </c>
      <c r="BI189" s="6">
        <f t="shared" si="175"/>
        <v>7.0218659503690883E-2</v>
      </c>
      <c r="BJ189">
        <v>-235.70024671184163</v>
      </c>
      <c r="BK189">
        <v>40.432212637372167</v>
      </c>
      <c r="BV189" s="38"/>
      <c r="BW189" s="6">
        <f t="shared" si="113"/>
        <v>3.0368728984701239</v>
      </c>
      <c r="BX189" s="9">
        <f t="shared" ca="1" si="114"/>
        <v>-87.267307794511069</v>
      </c>
      <c r="BY189" s="9">
        <f t="shared" ca="1" si="115"/>
        <v>8.6202498453500027</v>
      </c>
      <c r="BZ189" s="9">
        <f t="shared" ca="1" si="116"/>
        <v>-153.33994967624048</v>
      </c>
      <c r="CA189" s="6">
        <f t="shared" ca="1" si="117"/>
        <v>30.644463805926474</v>
      </c>
      <c r="CB189" s="6">
        <f t="shared" ca="1" si="118"/>
        <v>2.9443446218011395</v>
      </c>
      <c r="CC189" s="6">
        <f t="shared" ca="1" si="119"/>
        <v>-6.6891473704928659E-3</v>
      </c>
      <c r="CD189" s="9">
        <f t="shared" si="120"/>
        <v>-143.33994967624048</v>
      </c>
      <c r="CE189" s="9">
        <f t="shared" si="121"/>
        <v>29.644463805926474</v>
      </c>
      <c r="CF189" s="6">
        <f t="shared" si="122"/>
        <v>2.9376554744306467</v>
      </c>
      <c r="CG189" s="6"/>
      <c r="CH189" s="6"/>
      <c r="CI189" s="6"/>
      <c r="CJ189" s="1"/>
      <c r="CK189" s="6"/>
    </row>
    <row r="190" spans="1:89" x14ac:dyDescent="0.2">
      <c r="A190">
        <f t="shared" si="200"/>
        <v>6</v>
      </c>
      <c r="B190">
        <f t="shared" si="200"/>
        <v>0</v>
      </c>
      <c r="C190" s="6">
        <f t="shared" ca="1" si="200"/>
        <v>0</v>
      </c>
      <c r="D190" s="6">
        <f t="shared" si="200"/>
        <v>0</v>
      </c>
      <c r="E190" s="6">
        <f t="shared" si="200"/>
        <v>8.66</v>
      </c>
      <c r="F190" s="6">
        <f t="shared" si="201"/>
        <v>-6</v>
      </c>
      <c r="G190" s="6">
        <f t="shared" si="202"/>
        <v>-3.34</v>
      </c>
      <c r="H190" s="6">
        <f t="shared" si="203"/>
        <v>6.7054666580965439</v>
      </c>
      <c r="I190" s="6">
        <f t="shared" si="204"/>
        <v>-1.4806474587678076</v>
      </c>
      <c r="J190" s="6">
        <f t="shared" si="205"/>
        <v>14.440510329337437</v>
      </c>
      <c r="K190" s="6">
        <f t="shared" ca="1" si="206"/>
        <v>0</v>
      </c>
      <c r="L190" s="6">
        <f t="shared" ca="1" si="210"/>
        <v>0</v>
      </c>
      <c r="M190" s="6">
        <f t="shared" ca="1" si="211"/>
        <v>0</v>
      </c>
      <c r="N190" s="6">
        <f t="shared" ca="1" si="207"/>
        <v>0</v>
      </c>
      <c r="O190" s="6">
        <f t="shared" ca="1" si="208"/>
        <v>0</v>
      </c>
      <c r="P190" s="6">
        <f t="shared" ca="1" si="209"/>
        <v>0</v>
      </c>
      <c r="BC190">
        <v>3.2812189937493272</v>
      </c>
      <c r="BD190">
        <v>-153.06750306250638</v>
      </c>
      <c r="BE190">
        <v>25.952458358434566</v>
      </c>
      <c r="BF190" s="6">
        <f t="shared" si="172"/>
        <v>2.973640757882023</v>
      </c>
      <c r="BG190" s="6">
        <f t="shared" si="173"/>
        <v>0.30757823586730426</v>
      </c>
      <c r="BH190" s="6">
        <f t="shared" si="174"/>
        <v>6.828324321660828E-2</v>
      </c>
      <c r="BI190" s="6">
        <f t="shared" si="175"/>
        <v>6.828324321660828E-2</v>
      </c>
      <c r="BJ190">
        <v>-235.48846625000979</v>
      </c>
      <c r="BK190">
        <v>39.926859012976252</v>
      </c>
      <c r="BV190" s="38"/>
      <c r="BW190" s="6">
        <f t="shared" si="113"/>
        <v>3.054326190990067</v>
      </c>
      <c r="BX190" s="9">
        <f t="shared" ca="1" si="114"/>
        <v>-87.399308894921646</v>
      </c>
      <c r="BY190" s="9">
        <f t="shared" ca="1" si="115"/>
        <v>8.2888759133498091</v>
      </c>
      <c r="BZ190" s="9">
        <f t="shared" ca="1" si="116"/>
        <v>-153.47195077665106</v>
      </c>
      <c r="CA190" s="6">
        <f t="shared" ca="1" si="117"/>
        <v>30.31308987392628</v>
      </c>
      <c r="CB190" s="6">
        <f t="shared" ca="1" si="118"/>
        <v>2.9465871685577647</v>
      </c>
      <c r="CC190" s="6">
        <f t="shared" ca="1" si="119"/>
        <v>-6.5330953110303005E-3</v>
      </c>
      <c r="CD190" s="9">
        <f t="shared" si="120"/>
        <v>-143.47195077665106</v>
      </c>
      <c r="CE190" s="9">
        <f t="shared" si="121"/>
        <v>29.31308987392628</v>
      </c>
      <c r="CF190" s="6">
        <f t="shared" si="122"/>
        <v>2.9400540732467344</v>
      </c>
      <c r="CG190" s="6"/>
      <c r="CH190" s="6"/>
      <c r="CI190" s="6"/>
      <c r="CJ190" s="1"/>
      <c r="CK190" s="6"/>
    </row>
    <row r="191" spans="1:89" x14ac:dyDescent="0.2">
      <c r="A191">
        <f t="shared" si="200"/>
        <v>7</v>
      </c>
      <c r="B191">
        <f t="shared" si="200"/>
        <v>0</v>
      </c>
      <c r="C191" s="6">
        <f t="shared" ca="1" si="200"/>
        <v>0</v>
      </c>
      <c r="D191" s="6">
        <f t="shared" si="200"/>
        <v>2</v>
      </c>
      <c r="E191" s="6">
        <f t="shared" si="200"/>
        <v>22</v>
      </c>
      <c r="F191" s="6">
        <f t="shared" si="201"/>
        <v>-4</v>
      </c>
      <c r="G191" s="6">
        <f t="shared" si="202"/>
        <v>10</v>
      </c>
      <c r="H191" s="6">
        <f t="shared" si="203"/>
        <v>-3.6401123972829073</v>
      </c>
      <c r="I191" s="6">
        <f t="shared" si="204"/>
        <v>-10.136546834851959</v>
      </c>
      <c r="J191" s="6">
        <f t="shared" si="205"/>
        <v>23.096409705421589</v>
      </c>
      <c r="K191" s="6">
        <f t="shared" ca="1" si="206"/>
        <v>0</v>
      </c>
      <c r="L191" s="6">
        <f t="shared" ca="1" si="210"/>
        <v>0</v>
      </c>
      <c r="M191" s="6">
        <f t="shared" ca="1" si="211"/>
        <v>0</v>
      </c>
      <c r="N191" s="6">
        <f t="shared" ca="1" si="207"/>
        <v>0</v>
      </c>
      <c r="O191" s="6">
        <f t="shared" ca="1" si="208"/>
        <v>0</v>
      </c>
      <c r="P191" s="6">
        <f t="shared" ca="1" si="209"/>
        <v>0</v>
      </c>
      <c r="BC191">
        <v>3.2986722862692703</v>
      </c>
      <c r="BD191">
        <v>-152.92689170030783</v>
      </c>
      <c r="BE191">
        <v>25.62519098171548</v>
      </c>
      <c r="BF191" s="6">
        <f t="shared" si="172"/>
        <v>2.9755700727168737</v>
      </c>
      <c r="BG191" s="6">
        <f t="shared" si="173"/>
        <v>0.32310221355239666</v>
      </c>
      <c r="BH191" s="6">
        <f t="shared" si="174"/>
        <v>6.6353928381757576E-2</v>
      </c>
      <c r="BI191" s="6">
        <f t="shared" si="175"/>
        <v>6.6353928381757576E-2</v>
      </c>
      <c r="BJ191">
        <v>-235.27214107739667</v>
      </c>
      <c r="BK191">
        <v>39.42337074110074</v>
      </c>
      <c r="BV191" s="38"/>
      <c r="BW191" s="6">
        <f t="shared" si="113"/>
        <v>3.0717794835100101</v>
      </c>
      <c r="BX191" s="9">
        <f t="shared" ca="1" si="114"/>
        <v>-87.528595463240194</v>
      </c>
      <c r="BY191" s="9">
        <f t="shared" ca="1" si="115"/>
        <v>7.9558157895417523</v>
      </c>
      <c r="BZ191" s="9">
        <f t="shared" ca="1" si="116"/>
        <v>-153.6012373449696</v>
      </c>
      <c r="CA191" s="6">
        <f t="shared" ca="1" si="117"/>
        <v>29.980029750118224</v>
      </c>
      <c r="CB191" s="6">
        <f t="shared" ca="1" si="118"/>
        <v>2.9488350962264311</v>
      </c>
      <c r="CC191" s="6">
        <f t="shared" ca="1" si="119"/>
        <v>-6.3768700423287852E-3</v>
      </c>
      <c r="CD191" s="9">
        <f t="shared" si="120"/>
        <v>-143.6012373449696</v>
      </c>
      <c r="CE191" s="9">
        <f t="shared" si="121"/>
        <v>28.980029750118224</v>
      </c>
      <c r="CF191" s="6">
        <f t="shared" si="122"/>
        <v>2.9424582261841024</v>
      </c>
      <c r="CG191" s="6"/>
      <c r="CH191" s="6"/>
      <c r="CI191" s="6"/>
      <c r="CJ191" s="1"/>
      <c r="CK191" s="6"/>
    </row>
    <row r="192" spans="1:89" x14ac:dyDescent="0.2">
      <c r="A192">
        <f t="shared" si="200"/>
        <v>8</v>
      </c>
      <c r="B192">
        <f t="shared" si="200"/>
        <v>0</v>
      </c>
      <c r="C192" s="6">
        <f t="shared" ca="1" si="200"/>
        <v>0</v>
      </c>
      <c r="D192" s="6">
        <f t="shared" si="200"/>
        <v>10</v>
      </c>
      <c r="E192" s="6">
        <f t="shared" si="200"/>
        <v>22</v>
      </c>
      <c r="F192" s="6">
        <f t="shared" si="201"/>
        <v>4</v>
      </c>
      <c r="G192" s="6">
        <f t="shared" si="202"/>
        <v>10</v>
      </c>
      <c r="H192" s="6">
        <f t="shared" si="203"/>
        <v>-9.6266654151717326</v>
      </c>
      <c r="I192" s="6">
        <f t="shared" si="204"/>
        <v>-4.8298357098701032</v>
      </c>
      <c r="J192" s="6">
        <f t="shared" si="205"/>
        <v>17.789698580439733</v>
      </c>
      <c r="K192" s="6">
        <f t="shared" ca="1" si="206"/>
        <v>0</v>
      </c>
      <c r="L192" s="6">
        <f t="shared" ca="1" si="210"/>
        <v>0</v>
      </c>
      <c r="M192" s="6">
        <f t="shared" ca="1" si="211"/>
        <v>0</v>
      </c>
      <c r="N192" s="6">
        <f t="shared" ca="1" si="207"/>
        <v>0</v>
      </c>
      <c r="O192" s="6">
        <f t="shared" ca="1" si="208"/>
        <v>0</v>
      </c>
      <c r="P192" s="6">
        <f t="shared" ca="1" si="209"/>
        <v>0</v>
      </c>
      <c r="BC192">
        <v>3.3161255787892134</v>
      </c>
      <c r="BD192">
        <v>-152.78323373051109</v>
      </c>
      <c r="BE192">
        <v>25.29898239643676</v>
      </c>
      <c r="BF192" s="6">
        <f t="shared" si="172"/>
        <v>2.977494231678909</v>
      </c>
      <c r="BG192" s="6">
        <f t="shared" si="173"/>
        <v>0.3386313471103044</v>
      </c>
      <c r="BH192" s="6">
        <f t="shared" si="174"/>
        <v>6.4429769419722241E-2</v>
      </c>
      <c r="BI192" s="6">
        <f t="shared" si="175"/>
        <v>6.4429769419722241E-2</v>
      </c>
      <c r="BJ192">
        <v>-235.05112881617089</v>
      </c>
      <c r="BK192">
        <v>38.921511379133477</v>
      </c>
      <c r="BV192" s="38"/>
      <c r="BW192" s="6">
        <f t="shared" si="113"/>
        <v>3.0892327760299532</v>
      </c>
      <c r="BX192" s="9">
        <f t="shared" ca="1" si="114"/>
        <v>-87.655235332890115</v>
      </c>
      <c r="BY192" s="9">
        <f t="shared" ca="1" si="115"/>
        <v>7.6209065914561762</v>
      </c>
      <c r="BZ192" s="9">
        <f t="shared" ca="1" si="116"/>
        <v>-153.72787721461953</v>
      </c>
      <c r="CA192" s="6">
        <f t="shared" ca="1" si="117"/>
        <v>29.645120552032648</v>
      </c>
      <c r="CB192" s="6">
        <f t="shared" ca="1" si="118"/>
        <v>2.9510896079710998</v>
      </c>
      <c r="CC192" s="6">
        <f t="shared" ca="1" si="119"/>
        <v>-6.2203814967776161E-3</v>
      </c>
      <c r="CD192" s="9">
        <f t="shared" si="120"/>
        <v>-143.72787721461953</v>
      </c>
      <c r="CE192" s="9">
        <f t="shared" si="121"/>
        <v>28.645120552032648</v>
      </c>
      <c r="CF192" s="6">
        <f t="shared" si="122"/>
        <v>2.9448692264743221</v>
      </c>
      <c r="CG192" s="6"/>
      <c r="CH192" s="6"/>
      <c r="CI192" s="6"/>
      <c r="CJ192" s="1"/>
      <c r="CK192" s="6"/>
    </row>
    <row r="193" spans="1:89" x14ac:dyDescent="0.2">
      <c r="A193">
        <f t="shared" si="200"/>
        <v>9</v>
      </c>
      <c r="B193">
        <f t="shared" si="200"/>
        <v>0</v>
      </c>
      <c r="C193" s="6">
        <f t="shared" ca="1" si="200"/>
        <v>0</v>
      </c>
      <c r="D193" s="6">
        <f t="shared" si="200"/>
        <v>2</v>
      </c>
      <c r="E193" s="6">
        <f t="shared" si="200"/>
        <v>2</v>
      </c>
      <c r="F193" s="6">
        <f t="shared" si="201"/>
        <v>-4</v>
      </c>
      <c r="G193" s="6">
        <f t="shared" si="202"/>
        <v>-10</v>
      </c>
      <c r="H193" s="6">
        <f t="shared" si="203"/>
        <v>9.6266654151717326</v>
      </c>
      <c r="I193" s="6">
        <f t="shared" si="204"/>
        <v>4.8298357098701032</v>
      </c>
      <c r="J193" s="6">
        <f t="shared" si="205"/>
        <v>8.1300271606995267</v>
      </c>
      <c r="K193" s="6">
        <f t="shared" ca="1" si="206"/>
        <v>0</v>
      </c>
      <c r="L193" s="6">
        <f t="shared" ca="1" si="210"/>
        <v>0</v>
      </c>
      <c r="M193" s="6">
        <f t="shared" ca="1" si="211"/>
        <v>0</v>
      </c>
      <c r="N193" s="6">
        <f t="shared" ca="1" si="207"/>
        <v>0</v>
      </c>
      <c r="O193" s="6">
        <f t="shared" ca="1" si="208"/>
        <v>0</v>
      </c>
      <c r="P193" s="6">
        <f t="shared" ca="1" si="209"/>
        <v>0</v>
      </c>
      <c r="BC193">
        <v>3.3335788713091565</v>
      </c>
      <c r="BD193">
        <v>-152.63642977899039</v>
      </c>
      <c r="BE193">
        <v>24.973680656077729</v>
      </c>
      <c r="BF193" s="6">
        <f t="shared" si="172"/>
        <v>2.97941417240872</v>
      </c>
      <c r="BG193" s="6">
        <f t="shared" si="173"/>
        <v>0.35416469890043656</v>
      </c>
      <c r="BH193" s="6">
        <f t="shared" si="174"/>
        <v>6.250982868991127E-2</v>
      </c>
      <c r="BI193" s="6">
        <f t="shared" si="175"/>
        <v>6.250982868991127E-2</v>
      </c>
      <c r="BJ193">
        <v>-234.82527658306213</v>
      </c>
      <c r="BK193">
        <v>38.421047163196505</v>
      </c>
      <c r="BV193" s="38"/>
      <c r="BW193" s="6">
        <f t="shared" si="113"/>
        <v>3.1066860685498963</v>
      </c>
      <c r="BX193" s="9">
        <f t="shared" ca="1" si="114"/>
        <v>-87.779290545978441</v>
      </c>
      <c r="BY193" s="9">
        <f t="shared" ca="1" si="115"/>
        <v>7.2839825542264407</v>
      </c>
      <c r="BZ193" s="9">
        <f t="shared" ca="1" si="116"/>
        <v>-153.85193242770785</v>
      </c>
      <c r="CA193" s="6">
        <f t="shared" ca="1" si="117"/>
        <v>29.308196514802912</v>
      </c>
      <c r="CB193" s="6">
        <f t="shared" ca="1" si="118"/>
        <v>2.9533519144955345</v>
      </c>
      <c r="CC193" s="6">
        <f t="shared" ca="1" si="119"/>
        <v>-6.0635395217141222E-3</v>
      </c>
      <c r="CD193" s="9">
        <f t="shared" si="120"/>
        <v>-143.85193242770785</v>
      </c>
      <c r="CE193" s="9">
        <f t="shared" si="121"/>
        <v>28.308196514802912</v>
      </c>
      <c r="CF193" s="6">
        <f t="shared" si="122"/>
        <v>2.9472883749738203</v>
      </c>
      <c r="CG193" s="6"/>
      <c r="CH193" s="6"/>
      <c r="CI193" s="6"/>
      <c r="CJ193" s="1"/>
      <c r="CK193" s="6"/>
    </row>
    <row r="194" spans="1:89" ht="16" thickBot="1" x14ac:dyDescent="0.25">
      <c r="A194">
        <f t="shared" si="200"/>
        <v>10</v>
      </c>
      <c r="B194">
        <f t="shared" si="200"/>
        <v>0</v>
      </c>
      <c r="C194" s="6">
        <f t="shared" ca="1" si="200"/>
        <v>0</v>
      </c>
      <c r="D194" s="6">
        <f t="shared" si="200"/>
        <v>10</v>
      </c>
      <c r="E194" s="6">
        <f t="shared" si="200"/>
        <v>2</v>
      </c>
      <c r="F194" s="6">
        <f t="shared" si="201"/>
        <v>4</v>
      </c>
      <c r="G194" s="6">
        <f t="shared" si="202"/>
        <v>-10</v>
      </c>
      <c r="H194" s="6">
        <f t="shared" si="203"/>
        <v>3.6401123972829073</v>
      </c>
      <c r="I194" s="6">
        <f t="shared" si="204"/>
        <v>10.136546834851959</v>
      </c>
      <c r="J194" s="6">
        <f t="shared" si="205"/>
        <v>2.8233160357176708</v>
      </c>
      <c r="K194" s="11">
        <f t="shared" ca="1" si="206"/>
        <v>0</v>
      </c>
      <c r="L194" s="6">
        <f t="shared" ca="1" si="210"/>
        <v>0</v>
      </c>
      <c r="M194" s="6">
        <f t="shared" ca="1" si="211"/>
        <v>0</v>
      </c>
      <c r="N194" s="11">
        <f t="shared" ca="1" si="207"/>
        <v>0</v>
      </c>
      <c r="O194" s="11">
        <f t="shared" ca="1" si="208"/>
        <v>0</v>
      </c>
      <c r="P194" s="11">
        <f t="shared" ca="1" si="209"/>
        <v>0</v>
      </c>
      <c r="BC194">
        <v>3.3510321638290996</v>
      </c>
      <c r="BD194">
        <v>-152.48637344455361</v>
      </c>
      <c r="BE194">
        <v>24.649135335629083</v>
      </c>
      <c r="BF194" s="6">
        <f t="shared" si="172"/>
        <v>2.9813308262267615</v>
      </c>
      <c r="BG194" s="6">
        <f t="shared" si="173"/>
        <v>0.36970133760233814</v>
      </c>
      <c r="BH194" s="6">
        <f t="shared" si="174"/>
        <v>6.059317487186977E-2</v>
      </c>
      <c r="BI194" s="6">
        <f t="shared" si="175"/>
        <v>6.059317487186977E-2</v>
      </c>
      <c r="BJ194">
        <v>-234.5944206839286</v>
      </c>
      <c r="BK194">
        <v>37.921746670198587</v>
      </c>
      <c r="BV194" s="38"/>
      <c r="BW194" s="6">
        <f t="shared" si="113"/>
        <v>3.1241393610698394</v>
      </c>
      <c r="BX194" s="9">
        <f t="shared" ca="1" si="114"/>
        <v>-87.900817535291011</v>
      </c>
      <c r="BY194" s="9">
        <f t="shared" ca="1" si="115"/>
        <v>6.9448747897065211</v>
      </c>
      <c r="BZ194" s="9">
        <f t="shared" ca="1" si="116"/>
        <v>-153.97345941702042</v>
      </c>
      <c r="CA194" s="6">
        <f t="shared" ca="1" si="117"/>
        <v>28.969088750282992</v>
      </c>
      <c r="CB194" s="6">
        <f t="shared" ca="1" si="118"/>
        <v>2.9556232362926198</v>
      </c>
      <c r="CC194" s="6">
        <f t="shared" ca="1" si="119"/>
        <v>-5.9062536866854032E-3</v>
      </c>
      <c r="CD194" s="9">
        <f t="shared" si="120"/>
        <v>-143.97345941702042</v>
      </c>
      <c r="CE194" s="9">
        <f t="shared" si="121"/>
        <v>27.969088750282992</v>
      </c>
      <c r="CF194" s="6">
        <f t="shared" si="122"/>
        <v>2.9497169826059344</v>
      </c>
      <c r="CG194" s="6"/>
      <c r="CH194" s="6"/>
      <c r="CI194" s="6"/>
      <c r="CJ194" s="1"/>
      <c r="CK194" s="6"/>
    </row>
    <row r="195" spans="1:89" ht="16" thickTop="1" x14ac:dyDescent="0.2">
      <c r="K195" s="13">
        <f ca="1">MIN(K185:K194)</f>
        <v>0</v>
      </c>
      <c r="N195" s="6">
        <f ca="1">SUM(N185:N194)</f>
        <v>174.0914292441737</v>
      </c>
      <c r="O195" s="6">
        <f ca="1">SUM(O185:O194)</f>
        <v>828.9729019694538</v>
      </c>
      <c r="P195" s="6">
        <f ca="1">SUM(P185:P194)</f>
        <v>-1429.9857416150139</v>
      </c>
      <c r="BC195">
        <v>3.3684854563490427</v>
      </c>
      <c r="BD195">
        <v>-152.33295092200041</v>
      </c>
      <c r="BE195">
        <v>24.325197321811874</v>
      </c>
      <c r="BF195" s="6">
        <f t="shared" ref="BF195:BF258" si="212">IF(BC195&lt;&gt;"",IF(AND(BD195=0,BE195=0),0,MOD(ATAN2(BD195,BE195),2*PI())),NA())</f>
        <v>2.9832451195491938</v>
      </c>
      <c r="BG195" s="6">
        <f t="shared" ref="BG195:BG258" si="213">ABS(BC195-BF195)</f>
        <v>0.38524033679984893</v>
      </c>
      <c r="BH195" s="6">
        <f t="shared" ref="BH195:BH258" si="214">ATAN2(COS($U$13-BF195),SIN($U$13-BF195))</f>
        <v>5.8678881549437456E-2</v>
      </c>
      <c r="BI195" s="6">
        <f t="shared" ref="BI195:BI258" si="215">ABS(BH195)</f>
        <v>5.8678881549437456E-2</v>
      </c>
      <c r="BJ195">
        <v>-234.35838603384678</v>
      </c>
      <c r="BK195">
        <v>37.423380495095188</v>
      </c>
      <c r="BV195" s="38"/>
      <c r="BW195" s="6">
        <f t="shared" si="113"/>
        <v>3.1415926535897825</v>
      </c>
      <c r="BX195" s="9">
        <f t="shared" ca="1" si="114"/>
        <v>-88.019867247512721</v>
      </c>
      <c r="BY195" s="9">
        <f t="shared" ca="1" si="115"/>
        <v>6.6034110394237544</v>
      </c>
      <c r="BZ195" s="9">
        <f t="shared" ca="1" si="116"/>
        <v>-154.09250912924213</v>
      </c>
      <c r="CA195" s="6">
        <f t="shared" ca="1" si="117"/>
        <v>28.627625000000226</v>
      </c>
      <c r="CB195" s="6">
        <f t="shared" ca="1" si="118"/>
        <v>2.95790480584603</v>
      </c>
      <c r="CC195" s="6">
        <f t="shared" ca="1" si="119"/>
        <v>-5.7484330975738906E-3</v>
      </c>
      <c r="CD195" s="9">
        <f t="shared" si="120"/>
        <v>-144.09250912924213</v>
      </c>
      <c r="CE195" s="9">
        <f t="shared" si="121"/>
        <v>27.627625000000226</v>
      </c>
      <c r="CF195" s="6">
        <f t="shared" si="122"/>
        <v>2.9521563727484561</v>
      </c>
      <c r="CG195" s="6"/>
      <c r="CH195" s="6"/>
      <c r="CI195" s="6"/>
      <c r="CJ195" s="1"/>
      <c r="CK195" s="6"/>
    </row>
    <row r="196" spans="1:89" x14ac:dyDescent="0.2">
      <c r="A196" t="s">
        <v>190</v>
      </c>
      <c r="B196" s="9">
        <f ca="1">N195</f>
        <v>174.0914292441737</v>
      </c>
      <c r="C196" t="s">
        <v>68</v>
      </c>
      <c r="BC196">
        <v>3.3859387488689858</v>
      </c>
      <c r="BD196">
        <v>-152.17604063773052</v>
      </c>
      <c r="BE196">
        <v>24.001718605320878</v>
      </c>
      <c r="BF196" s="6">
        <f t="shared" si="212"/>
        <v>2.9851579753590314</v>
      </c>
      <c r="BG196" s="6">
        <f t="shared" si="213"/>
        <v>0.40078077350995445</v>
      </c>
      <c r="BH196" s="6">
        <f t="shared" si="214"/>
        <v>5.6766025739599886E-2</v>
      </c>
      <c r="BI196" s="6">
        <f t="shared" si="215"/>
        <v>5.6766025739599886E-2</v>
      </c>
      <c r="BJ196">
        <v>-234.1169855965085</v>
      </c>
      <c r="BK196">
        <v>36.925720931262887</v>
      </c>
      <c r="BV196" s="38"/>
      <c r="BW196" s="6">
        <f t="shared" si="113"/>
        <v>3.1590459461097256</v>
      </c>
      <c r="BX196" s="9">
        <f t="shared" ca="1" si="114"/>
        <v>-87.900817535291836</v>
      </c>
      <c r="BY196" s="9">
        <f t="shared" ca="1" si="115"/>
        <v>6.2619472891409913</v>
      </c>
      <c r="BZ196" s="9">
        <f t="shared" ca="1" si="116"/>
        <v>-153.97345941702125</v>
      </c>
      <c r="CA196" s="6">
        <f t="shared" ca="1" si="117"/>
        <v>28.286161249717463</v>
      </c>
      <c r="CB196" s="6">
        <f t="shared" ca="1" si="118"/>
        <v>2.9599103888815401</v>
      </c>
      <c r="CC196" s="6">
        <f t="shared" ca="1" si="119"/>
        <v>-5.6184520153048654E-3</v>
      </c>
      <c r="CD196" s="9">
        <f t="shared" si="120"/>
        <v>-143.97345941702125</v>
      </c>
      <c r="CE196" s="9">
        <f t="shared" si="121"/>
        <v>27.286161249717463</v>
      </c>
      <c r="CF196" s="6">
        <f t="shared" si="122"/>
        <v>2.9542919368662353</v>
      </c>
      <c r="CG196" s="6"/>
      <c r="CH196" s="6"/>
      <c r="CI196" s="6"/>
      <c r="CJ196" s="1"/>
      <c r="CK196" s="6"/>
    </row>
    <row r="197" spans="1:89" x14ac:dyDescent="0.2">
      <c r="A197" t="s">
        <v>100</v>
      </c>
      <c r="B197" s="9">
        <f ca="1">O195</f>
        <v>828.9729019694538</v>
      </c>
      <c r="C197" t="s">
        <v>69</v>
      </c>
      <c r="BC197">
        <v>3.4033920413889289</v>
      </c>
      <c r="BD197">
        <v>-152.01551286871316</v>
      </c>
      <c r="BE197">
        <v>23.678552075208515</v>
      </c>
      <c r="BF197" s="6">
        <f t="shared" si="212"/>
        <v>2.9870703147035025</v>
      </c>
      <c r="BG197" s="6">
        <f t="shared" si="213"/>
        <v>0.41632172668542644</v>
      </c>
      <c r="BH197" s="6">
        <f t="shared" si="214"/>
        <v>5.4853686395128776E-2</v>
      </c>
      <c r="BI197" s="6">
        <f t="shared" si="215"/>
        <v>5.4853686395128776E-2</v>
      </c>
      <c r="BJ197">
        <v>-233.87001979802022</v>
      </c>
      <c r="BK197">
        <v>36.428541654166942</v>
      </c>
      <c r="BV197" s="38"/>
      <c r="BW197" s="6">
        <f t="shared" si="113"/>
        <v>3.1764992386296687</v>
      </c>
      <c r="BX197" s="9">
        <f t="shared" ca="1" si="114"/>
        <v>-87.779290545979322</v>
      </c>
      <c r="BY197" s="9">
        <f t="shared" ca="1" si="115"/>
        <v>5.9228395246210077</v>
      </c>
      <c r="BZ197" s="9">
        <f t="shared" ca="1" si="116"/>
        <v>-153.85193242770873</v>
      </c>
      <c r="CA197" s="6">
        <f t="shared" ca="1" si="117"/>
        <v>27.947053485197479</v>
      </c>
      <c r="CB197" s="6">
        <f t="shared" ca="1" si="118"/>
        <v>2.9619029026890074</v>
      </c>
      <c r="CC197" s="6">
        <f t="shared" ca="1" si="119"/>
        <v>-5.4890716076969595E-3</v>
      </c>
      <c r="CD197" s="9">
        <f t="shared" si="120"/>
        <v>-143.85193242770873</v>
      </c>
      <c r="CE197" s="9">
        <f t="shared" si="121"/>
        <v>26.947053485197479</v>
      </c>
      <c r="CF197" s="6">
        <f t="shared" si="122"/>
        <v>2.9564138310813104</v>
      </c>
      <c r="CG197" s="6"/>
      <c r="CH197" s="6"/>
      <c r="CI197" s="6"/>
      <c r="CJ197" s="1"/>
      <c r="CK197" s="6"/>
    </row>
    <row r="198" spans="1:89" x14ac:dyDescent="0.2">
      <c r="A198" t="s">
        <v>101</v>
      </c>
      <c r="B198" s="9">
        <f ca="1">P195</f>
        <v>-1429.9857416150139</v>
      </c>
      <c r="C198" t="s">
        <v>69</v>
      </c>
      <c r="BC198">
        <v>3.420845333908872</v>
      </c>
      <c r="BD198">
        <v>-151.85122929968648</v>
      </c>
      <c r="BE198">
        <v>23.355551317659238</v>
      </c>
      <c r="BF198" s="6">
        <f t="shared" si="212"/>
        <v>2.9889830581618182</v>
      </c>
      <c r="BG198" s="6">
        <f t="shared" si="213"/>
        <v>0.43186227574705383</v>
      </c>
      <c r="BH198" s="6">
        <f t="shared" si="214"/>
        <v>5.2940942936813062E-2</v>
      </c>
      <c r="BI198" s="6">
        <f t="shared" si="215"/>
        <v>5.2940942936813062E-2</v>
      </c>
      <c r="BJ198">
        <v>-233.61727584567149</v>
      </c>
      <c r="BK198">
        <v>35.931617411783442</v>
      </c>
      <c r="BV198" s="38"/>
      <c r="BW198" s="6">
        <f t="shared" si="113"/>
        <v>3.1939525311496118</v>
      </c>
      <c r="BX198" s="9">
        <f t="shared" ca="1" si="114"/>
        <v>-87.655235332890882</v>
      </c>
      <c r="BY198" s="9">
        <f t="shared" ca="1" si="115"/>
        <v>5.5859154873913042</v>
      </c>
      <c r="BZ198" s="9">
        <f t="shared" ca="1" si="116"/>
        <v>-153.72787721462029</v>
      </c>
      <c r="CA198" s="6">
        <f t="shared" ca="1" si="117"/>
        <v>27.610129447967775</v>
      </c>
      <c r="CB198" s="6">
        <f t="shared" ca="1" si="118"/>
        <v>2.9638833910355489</v>
      </c>
      <c r="CC198" s="6">
        <f t="shared" ca="1" si="119"/>
        <v>-5.3602235573912971E-3</v>
      </c>
      <c r="CD198" s="9">
        <f t="shared" si="120"/>
        <v>-143.72787721462029</v>
      </c>
      <c r="CE198" s="9">
        <f t="shared" si="121"/>
        <v>26.610129447967775</v>
      </c>
      <c r="CF198" s="6">
        <f t="shared" si="122"/>
        <v>2.9585231674781576</v>
      </c>
      <c r="CG198" s="6"/>
      <c r="CH198" s="6"/>
      <c r="CI198" s="6"/>
      <c r="CJ198" s="1"/>
      <c r="CK198" s="6"/>
    </row>
    <row r="199" spans="1:89" x14ac:dyDescent="0.2">
      <c r="BC199">
        <v>3.4382986264288151</v>
      </c>
      <c r="BD199">
        <v>-151.68304253396531</v>
      </c>
      <c r="BE199">
        <v>23.032570418251336</v>
      </c>
      <c r="BF199" s="6">
        <f t="shared" si="212"/>
        <v>2.9908971273110962</v>
      </c>
      <c r="BG199" s="6">
        <f t="shared" si="213"/>
        <v>0.44740149911771887</v>
      </c>
      <c r="BH199" s="6">
        <f t="shared" si="214"/>
        <v>5.102687378753501E-2</v>
      </c>
      <c r="BI199" s="6">
        <f t="shared" si="215"/>
        <v>5.102687378753501E-2</v>
      </c>
      <c r="BJ199">
        <v>-233.35852697533124</v>
      </c>
      <c r="BK199">
        <v>35.434723720386671</v>
      </c>
      <c r="BV199" s="38"/>
      <c r="BW199" s="6">
        <f t="shared" si="113"/>
        <v>3.2114058236695548</v>
      </c>
      <c r="BX199" s="9">
        <f t="shared" ca="1" si="114"/>
        <v>-87.528595463241018</v>
      </c>
      <c r="BY199" s="9">
        <f t="shared" ca="1" si="115"/>
        <v>5.2510062893057352</v>
      </c>
      <c r="BZ199" s="9">
        <f t="shared" ca="1" si="116"/>
        <v>-153.60123734497043</v>
      </c>
      <c r="CA199" s="6">
        <f t="shared" ca="1" si="117"/>
        <v>27.275220249882207</v>
      </c>
      <c r="CB199" s="6">
        <f t="shared" ca="1" si="118"/>
        <v>2.965852878915106</v>
      </c>
      <c r="CC199" s="6">
        <f t="shared" ca="1" si="119"/>
        <v>-5.2318402342286241E-3</v>
      </c>
      <c r="CD199" s="9">
        <f t="shared" si="120"/>
        <v>-143.60123734497043</v>
      </c>
      <c r="CE199" s="9">
        <f t="shared" si="121"/>
        <v>26.275220249882207</v>
      </c>
      <c r="CF199" s="6">
        <f t="shared" si="122"/>
        <v>2.9606210386808773</v>
      </c>
      <c r="CG199" s="6"/>
      <c r="CH199" s="6"/>
      <c r="CI199" s="6"/>
      <c r="CJ199" s="1"/>
      <c r="CK199" s="6"/>
    </row>
    <row r="200" spans="1:89" x14ac:dyDescent="0.2">
      <c r="A200" t="s">
        <v>99</v>
      </c>
      <c r="B200" s="9">
        <f ca="1">B178+B196</f>
        <v>1246.1538461540281</v>
      </c>
      <c r="C200" t="s">
        <v>68</v>
      </c>
      <c r="BC200">
        <v>3.4557519189487582</v>
      </c>
      <c r="BD200">
        <v>-151.51079556547856</v>
      </c>
      <c r="BE200">
        <v>22.709463766749163</v>
      </c>
      <c r="BF200" s="6">
        <f t="shared" si="212"/>
        <v>2.9928134462100893</v>
      </c>
      <c r="BG200" s="6">
        <f t="shared" si="213"/>
        <v>0.46293847273866895</v>
      </c>
      <c r="BH200" s="6">
        <f t="shared" si="214"/>
        <v>4.9110554888541991E-2</v>
      </c>
      <c r="BI200" s="6">
        <f t="shared" si="215"/>
        <v>4.9110554888541991E-2</v>
      </c>
      <c r="BJ200">
        <v>-233.09353163919778</v>
      </c>
      <c r="BK200">
        <v>34.937636564229479</v>
      </c>
      <c r="BV200" s="38"/>
      <c r="BW200" s="6">
        <f t="shared" si="113"/>
        <v>3.2288591161894979</v>
      </c>
      <c r="BX200" s="9">
        <f t="shared" ca="1" si="114"/>
        <v>-87.399308894922498</v>
      </c>
      <c r="BY200" s="9">
        <f t="shared" ca="1" si="115"/>
        <v>4.9179461654976357</v>
      </c>
      <c r="BZ200" s="9">
        <f t="shared" ca="1" si="116"/>
        <v>-153.47195077665191</v>
      </c>
      <c r="CA200" s="6">
        <f t="shared" ca="1" si="117"/>
        <v>26.942160126074107</v>
      </c>
      <c r="CB200" s="6">
        <f t="shared" ca="1" si="118"/>
        <v>2.9678123741564022</v>
      </c>
      <c r="CC200" s="6">
        <f t="shared" ca="1" si="119"/>
        <v>-5.1038545835160312E-3</v>
      </c>
      <c r="CD200" s="9">
        <f t="shared" si="120"/>
        <v>-143.47195077665191</v>
      </c>
      <c r="CE200" s="9">
        <f t="shared" si="121"/>
        <v>25.942160126074107</v>
      </c>
      <c r="CF200" s="6">
        <f t="shared" si="122"/>
        <v>2.9627085195728862</v>
      </c>
      <c r="CG200" s="6"/>
      <c r="CH200" s="6"/>
      <c r="CI200" s="6"/>
      <c r="CJ200" s="1"/>
      <c r="CK200" s="6"/>
    </row>
    <row r="201" spans="1:89" x14ac:dyDescent="0.2">
      <c r="A201" t="s">
        <v>100</v>
      </c>
      <c r="B201" s="9">
        <f ca="1">B197+B179</f>
        <v>1813.3743122576097</v>
      </c>
      <c r="C201" t="s">
        <v>69</v>
      </c>
      <c r="BC201">
        <v>3.4732052114687013</v>
      </c>
      <c r="BD201">
        <v>-151.33432120331724</v>
      </c>
      <c r="BE201">
        <v>22.386085864468448</v>
      </c>
      <c r="BF201" s="6">
        <f t="shared" si="212"/>
        <v>2.9947329428980285</v>
      </c>
      <c r="BG201" s="6">
        <f t="shared" si="213"/>
        <v>0.47847226857067282</v>
      </c>
      <c r="BH201" s="6">
        <f t="shared" si="214"/>
        <v>4.7191058200602765E-2</v>
      </c>
      <c r="BI201" s="6">
        <f t="shared" si="215"/>
        <v>4.7191058200602765E-2</v>
      </c>
      <c r="BJ201">
        <v>-232.82203262048807</v>
      </c>
      <c r="BK201">
        <v>34.440132099182229</v>
      </c>
      <c r="BV201" s="38"/>
      <c r="BW201" s="6">
        <f t="shared" si="113"/>
        <v>3.246312408709441</v>
      </c>
      <c r="BX201" s="9">
        <f t="shared" ca="1" si="114"/>
        <v>-87.267307794511837</v>
      </c>
      <c r="BY201" s="9">
        <f t="shared" ca="1" si="115"/>
        <v>4.5865722334974635</v>
      </c>
      <c r="BZ201" s="9">
        <f t="shared" ca="1" si="116"/>
        <v>-153.33994967624125</v>
      </c>
      <c r="CA201" s="6">
        <f t="shared" ca="1" si="117"/>
        <v>26.610786194073935</v>
      </c>
      <c r="CB201" s="6">
        <f t="shared" ca="1" si="118"/>
        <v>2.9697628689592341</v>
      </c>
      <c r="CC201" s="6">
        <f t="shared" ca="1" si="119"/>
        <v>-4.9762000179272015E-3</v>
      </c>
      <c r="CD201" s="9">
        <f t="shared" si="120"/>
        <v>-143.33994967624125</v>
      </c>
      <c r="CE201" s="9">
        <f t="shared" si="121"/>
        <v>25.610786194073935</v>
      </c>
      <c r="CF201" s="6">
        <f t="shared" si="122"/>
        <v>2.9647866689413069</v>
      </c>
      <c r="CG201" s="6"/>
      <c r="CH201" s="6"/>
      <c r="CI201" s="6"/>
      <c r="CJ201" s="1"/>
      <c r="CK201" s="6"/>
    </row>
    <row r="202" spans="1:89" x14ac:dyDescent="0.2">
      <c r="A202" t="s">
        <v>101</v>
      </c>
      <c r="B202" s="9">
        <f ca="1">B198+B180</f>
        <v>-1962.7697168800623</v>
      </c>
      <c r="C202" t="s">
        <v>69</v>
      </c>
      <c r="BC202">
        <v>3.4906585039886444</v>
      </c>
      <c r="BD202">
        <v>-151.15344142373129</v>
      </c>
      <c r="BE202">
        <v>22.062291135939248</v>
      </c>
      <c r="BF202" s="6">
        <f t="shared" si="212"/>
        <v>2.9966565508807301</v>
      </c>
      <c r="BG202" s="6">
        <f t="shared" si="213"/>
        <v>0.49400195310791428</v>
      </c>
      <c r="BH202" s="6">
        <f t="shared" si="214"/>
        <v>4.5267450217901128E-2</v>
      </c>
      <c r="BI202" s="6">
        <f t="shared" si="215"/>
        <v>4.5267450217901128E-2</v>
      </c>
      <c r="BJ202">
        <v>-232.54375603650968</v>
      </c>
      <c r="BK202">
        <v>33.941986362983457</v>
      </c>
      <c r="BV202" s="38"/>
      <c r="BW202" s="6">
        <f t="shared" si="113"/>
        <v>3.2637657012293841</v>
      </c>
      <c r="BX202" s="9">
        <f t="shared" ca="1" si="114"/>
        <v>-87.132518480967647</v>
      </c>
      <c r="BY202" s="9">
        <f t="shared" ca="1" si="115"/>
        <v>4.2567242537154399</v>
      </c>
      <c r="BZ202" s="9">
        <f t="shared" ca="1" si="116"/>
        <v>-153.20516036269706</v>
      </c>
      <c r="CA202" s="6">
        <f t="shared" ca="1" si="117"/>
        <v>26.280938214291911</v>
      </c>
      <c r="CB202" s="6">
        <f t="shared" ca="1" si="118"/>
        <v>2.9717053415949404</v>
      </c>
      <c r="CC202" s="6">
        <f t="shared" ca="1" si="119"/>
        <v>-4.8488102904391539E-3</v>
      </c>
      <c r="CD202" s="9">
        <f t="shared" si="120"/>
        <v>-143.20516036269706</v>
      </c>
      <c r="CE202" s="9">
        <f t="shared" si="121"/>
        <v>25.280938214291911</v>
      </c>
      <c r="CF202" s="6">
        <f t="shared" si="122"/>
        <v>2.9668565313045012</v>
      </c>
      <c r="CG202" s="6"/>
      <c r="CH202" s="6"/>
      <c r="CI202" s="6"/>
      <c r="CJ202" s="1"/>
      <c r="CK202" s="6"/>
    </row>
    <row r="203" spans="1:89" x14ac:dyDescent="0.2">
      <c r="BC203">
        <v>3.5081117965085875</v>
      </c>
      <c r="BD203">
        <v>-150.96796668434646</v>
      </c>
      <c r="BE203">
        <v>21.737933741552311</v>
      </c>
      <c r="BF203" s="6">
        <f t="shared" si="212"/>
        <v>2.9985852106672026</v>
      </c>
      <c r="BG203" s="6">
        <f t="shared" si="213"/>
        <v>0.50952658584138488</v>
      </c>
      <c r="BH203" s="6">
        <f t="shared" si="214"/>
        <v>4.3338790431428631E-2</v>
      </c>
      <c r="BI203" s="6">
        <f t="shared" si="215"/>
        <v>4.3338790431428631E-2</v>
      </c>
      <c r="BJ203">
        <v>-232.25841028360995</v>
      </c>
      <c r="BK203">
        <v>33.442974987003552</v>
      </c>
      <c r="BV203" s="38"/>
      <c r="BW203" s="6">
        <f t="shared" si="113"/>
        <v>3.2812189937493272</v>
      </c>
      <c r="BX203" s="9">
        <f t="shared" ca="1" si="114"/>
        <v>-86.994861180776965</v>
      </c>
      <c r="BY203" s="9">
        <f t="shared" ca="1" si="115"/>
        <v>3.9282443978580943</v>
      </c>
      <c r="BZ203" s="9">
        <f t="shared" ca="1" si="116"/>
        <v>-153.06750306250638</v>
      </c>
      <c r="CA203" s="6">
        <f t="shared" ca="1" si="117"/>
        <v>25.952458358434566</v>
      </c>
      <c r="CB203" s="6">
        <f t="shared" ca="1" si="118"/>
        <v>2.973640757882023</v>
      </c>
      <c r="CC203" s="6">
        <f t="shared" ca="1" si="119"/>
        <v>-4.7216193857617661E-3</v>
      </c>
      <c r="CD203" s="9">
        <f t="shared" si="120"/>
        <v>-143.06750306250638</v>
      </c>
      <c r="CE203" s="9">
        <f t="shared" si="121"/>
        <v>24.952458358434566</v>
      </c>
      <c r="CF203" s="6">
        <f t="shared" si="122"/>
        <v>2.9689191384962612</v>
      </c>
      <c r="CG203" s="6"/>
      <c r="CH203" s="6"/>
      <c r="CI203" s="6"/>
      <c r="CJ203" s="1"/>
      <c r="CK203" s="6"/>
    </row>
    <row r="204" spans="1:89" x14ac:dyDescent="0.2">
      <c r="A204" s="8" t="s">
        <v>64</v>
      </c>
      <c r="B204">
        <f ca="1">((B201*COS(-1*B27))+(B202*SIN(-1*B27)))</f>
        <v>-2658.9641692440973</v>
      </c>
      <c r="C204" t="s">
        <v>69</v>
      </c>
      <c r="BC204">
        <v>3.5255650890285306</v>
      </c>
      <c r="BD204">
        <v>-150.77769516786984</v>
      </c>
      <c r="BE204">
        <v>21.412867393227806</v>
      </c>
      <c r="BF204" s="6">
        <f t="shared" si="212"/>
        <v>3.0005198713206402</v>
      </c>
      <c r="BG204" s="6">
        <f t="shared" si="213"/>
        <v>0.52504521770789037</v>
      </c>
      <c r="BH204" s="6">
        <f t="shared" si="214"/>
        <v>4.1404129777991017E-2</v>
      </c>
      <c r="BI204" s="6">
        <f t="shared" si="215"/>
        <v>4.1404129777991017E-2</v>
      </c>
      <c r="BJ204">
        <v>-231.9656848736459</v>
      </c>
      <c r="BK204">
        <v>32.94287291265816</v>
      </c>
      <c r="BV204" s="38"/>
      <c r="BW204" s="6">
        <f t="shared" si="113"/>
        <v>3.2986722862692703</v>
      </c>
      <c r="BX204" s="9">
        <f t="shared" ca="1" si="114"/>
        <v>-86.854249818578424</v>
      </c>
      <c r="BY204" s="9">
        <f t="shared" ca="1" si="115"/>
        <v>3.6009770211390091</v>
      </c>
      <c r="BZ204" s="9">
        <f t="shared" ca="1" si="116"/>
        <v>-152.92689170030783</v>
      </c>
      <c r="CA204" s="6">
        <f t="shared" ca="1" si="117"/>
        <v>25.62519098171548</v>
      </c>
      <c r="CB204" s="6">
        <f t="shared" ca="1" si="118"/>
        <v>2.9755700727168737</v>
      </c>
      <c r="CC204" s="6">
        <f t="shared" ca="1" si="119"/>
        <v>-4.5945614029800907E-3</v>
      </c>
      <c r="CD204" s="9">
        <f t="shared" si="120"/>
        <v>-142.92689170030783</v>
      </c>
      <c r="CE204" s="9">
        <f t="shared" si="121"/>
        <v>24.62519098171548</v>
      </c>
      <c r="CF204" s="6">
        <f t="shared" si="122"/>
        <v>2.9709755113138936</v>
      </c>
      <c r="CG204" s="6"/>
      <c r="CH204" s="6"/>
      <c r="CI204" s="6"/>
      <c r="CJ204" s="1"/>
      <c r="CK204" s="6"/>
    </row>
    <row r="205" spans="1:89" x14ac:dyDescent="0.2">
      <c r="A205" s="8" t="s">
        <v>65</v>
      </c>
      <c r="B205">
        <f ca="1">(-1*(B201)*SIN(-1*B27))+((B202)*COS(-1*B27))</f>
        <v>265.8964169244191</v>
      </c>
      <c r="C205" t="s">
        <v>69</v>
      </c>
      <c r="BC205">
        <v>3.5430183815484737</v>
      </c>
      <c r="BD205">
        <v>-150.58241188940403</v>
      </c>
      <c r="BE205">
        <v>21.086945179764836</v>
      </c>
      <c r="BF205" s="6">
        <f t="shared" si="212"/>
        <v>3.0024614919306281</v>
      </c>
      <c r="BG205" s="6">
        <f t="shared" si="213"/>
        <v>0.54055688961784565</v>
      </c>
      <c r="BH205" s="6">
        <f t="shared" si="214"/>
        <v>3.9462509168003201E-2</v>
      </c>
      <c r="BI205" s="6">
        <f t="shared" si="215"/>
        <v>3.9462509168003201E-2</v>
      </c>
      <c r="BJ205">
        <v>-231.66524906062156</v>
      </c>
      <c r="BK205">
        <v>32.441454122715129</v>
      </c>
      <c r="BV205" s="38"/>
      <c r="BW205" s="6">
        <f t="shared" si="113"/>
        <v>3.3161255787892134</v>
      </c>
      <c r="BX205" s="9">
        <f t="shared" ca="1" si="114"/>
        <v>-86.710591848781675</v>
      </c>
      <c r="BY205" s="9">
        <f t="shared" ca="1" si="115"/>
        <v>3.2747684358602882</v>
      </c>
      <c r="BZ205" s="9">
        <f t="shared" ca="1" si="116"/>
        <v>-152.78323373051109</v>
      </c>
      <c r="CA205" s="6">
        <f t="shared" ca="1" si="117"/>
        <v>25.29898239643676</v>
      </c>
      <c r="CB205" s="6">
        <f t="shared" ca="1" si="118"/>
        <v>2.977494231678909</v>
      </c>
      <c r="CC205" s="6">
        <f t="shared" ca="1" si="119"/>
        <v>-4.4675704280079387E-3</v>
      </c>
      <c r="CD205" s="9">
        <f t="shared" si="120"/>
        <v>-142.78323373051109</v>
      </c>
      <c r="CE205" s="9">
        <f t="shared" si="121"/>
        <v>24.29898239643676</v>
      </c>
      <c r="CF205" s="6">
        <f t="shared" si="122"/>
        <v>2.9730266612509011</v>
      </c>
      <c r="CG205" s="6"/>
      <c r="CH205" s="6"/>
      <c r="CI205" s="6"/>
      <c r="CJ205" s="1"/>
      <c r="CK205" s="6"/>
    </row>
    <row r="206" spans="1:89" x14ac:dyDescent="0.2">
      <c r="BC206">
        <v>3.5604716740684168</v>
      </c>
      <c r="BD206">
        <v>-150.38188788851792</v>
      </c>
      <c r="BE206">
        <v>20.760019378593071</v>
      </c>
      <c r="BF206" s="6">
        <f t="shared" si="212"/>
        <v>3.004411043373266</v>
      </c>
      <c r="BG206" s="6">
        <f t="shared" si="213"/>
        <v>0.55606063069515077</v>
      </c>
      <c r="BH206" s="6">
        <f t="shared" si="214"/>
        <v>3.7512957725365226E-2</v>
      </c>
      <c r="BI206" s="6">
        <f t="shared" si="215"/>
        <v>3.7512957725365226E-2</v>
      </c>
      <c r="BJ206">
        <v>-231.35675059771987</v>
      </c>
      <c r="BK206">
        <v>31.938491351681648</v>
      </c>
      <c r="BV206" s="38"/>
      <c r="BW206" s="6">
        <f t="shared" si="113"/>
        <v>3.3335788713091565</v>
      </c>
      <c r="BX206" s="9">
        <f t="shared" ca="1" si="114"/>
        <v>-86.56378789726098</v>
      </c>
      <c r="BY206" s="9">
        <f t="shared" ca="1" si="115"/>
        <v>2.9494666955012576</v>
      </c>
      <c r="BZ206" s="9">
        <f t="shared" ca="1" si="116"/>
        <v>-152.63642977899039</v>
      </c>
      <c r="CA206" s="6">
        <f t="shared" ca="1" si="117"/>
        <v>24.973680656077729</v>
      </c>
      <c r="CB206" s="6">
        <f t="shared" ca="1" si="118"/>
        <v>2.97941417240872</v>
      </c>
      <c r="CC206" s="6">
        <f t="shared" ca="1" si="119"/>
        <v>-4.3405804236504864E-3</v>
      </c>
      <c r="CD206" s="9">
        <f t="shared" si="120"/>
        <v>-142.63642977899039</v>
      </c>
      <c r="CE206" s="9">
        <f t="shared" si="121"/>
        <v>23.973680656077729</v>
      </c>
      <c r="CF206" s="6">
        <f t="shared" si="122"/>
        <v>2.9750735919850695</v>
      </c>
      <c r="CG206" s="6"/>
      <c r="CH206" s="6"/>
      <c r="CI206" s="6"/>
      <c r="CJ206" s="1"/>
      <c r="CK206" s="6"/>
    </row>
    <row r="207" spans="1:89" x14ac:dyDescent="0.2">
      <c r="BC207">
        <v>3.5779249665883599</v>
      </c>
      <c r="BD207">
        <v>-150.17587912818848</v>
      </c>
      <c r="BE207">
        <v>20.43194129194616</v>
      </c>
      <c r="BF207" s="6">
        <f t="shared" si="212"/>
        <v>3.0063695097754124</v>
      </c>
      <c r="BG207" s="6">
        <f t="shared" si="213"/>
        <v>0.5715554568129475</v>
      </c>
      <c r="BH207" s="6">
        <f t="shared" si="214"/>
        <v>3.5554491323218862E-2</v>
      </c>
      <c r="BI207" s="6">
        <f t="shared" si="215"/>
        <v>3.5554491323218862E-2</v>
      </c>
      <c r="BJ207">
        <v>-231.0398140433669</v>
      </c>
      <c r="BK207">
        <v>31.433755833763321</v>
      </c>
      <c r="BV207" s="38"/>
      <c r="BW207" s="6">
        <f t="shared" si="113"/>
        <v>3.3510321638290996</v>
      </c>
      <c r="BX207" s="9">
        <f t="shared" ca="1" si="114"/>
        <v>-86.413731562824196</v>
      </c>
      <c r="BY207" s="9">
        <f t="shared" ca="1" si="115"/>
        <v>2.6249213750526117</v>
      </c>
      <c r="BZ207" s="9">
        <f t="shared" ca="1" si="116"/>
        <v>-152.48637344455361</v>
      </c>
      <c r="CA207" s="6">
        <f t="shared" ca="1" si="117"/>
        <v>24.649135335629083</v>
      </c>
      <c r="CB207" s="6">
        <f t="shared" ca="1" si="118"/>
        <v>2.9813308262267615</v>
      </c>
      <c r="CC207" s="6">
        <f t="shared" ca="1" si="119"/>
        <v>-4.2135250937844751E-3</v>
      </c>
      <c r="CD207" s="9">
        <f t="shared" si="120"/>
        <v>-142.48637344455361</v>
      </c>
      <c r="CE207" s="9">
        <f t="shared" si="121"/>
        <v>23.649135335629083</v>
      </c>
      <c r="CF207" s="6">
        <f t="shared" si="122"/>
        <v>2.977117301132977</v>
      </c>
      <c r="CG207" s="6"/>
      <c r="CH207" s="6"/>
      <c r="CI207" s="6"/>
      <c r="CJ207" s="1"/>
      <c r="CK207" s="6"/>
    </row>
    <row r="208" spans="1:89" x14ac:dyDescent="0.2">
      <c r="BC208">
        <v>3.595378259108303</v>
      </c>
      <c r="BD208">
        <v>-149.96412542343651</v>
      </c>
      <c r="BE208">
        <v>20.102561074358842</v>
      </c>
      <c r="BF208" s="6">
        <f t="shared" si="212"/>
        <v>3.0083378902116471</v>
      </c>
      <c r="BG208" s="6">
        <f t="shared" si="213"/>
        <v>0.5870403688966559</v>
      </c>
      <c r="BH208" s="6">
        <f t="shared" si="214"/>
        <v>3.3586110886984155E-2</v>
      </c>
      <c r="BI208" s="6">
        <f t="shared" si="215"/>
        <v>3.3586110886984155E-2</v>
      </c>
      <c r="BJ208">
        <v>-230.71403911297924</v>
      </c>
      <c r="BK208">
        <v>30.927017037475142</v>
      </c>
      <c r="BV208" s="38"/>
      <c r="BW208" s="6">
        <f t="shared" ref="BW208:BW271" si="216">BC195</f>
        <v>3.3684854563490427</v>
      </c>
      <c r="BX208" s="9">
        <f t="shared" ref="BX208:BX271" ca="1" si="217">BD195-$BW$5</f>
        <v>-86.260309040270997</v>
      </c>
      <c r="BY208" s="9">
        <f t="shared" ref="BY208:BY271" ca="1" si="218">BE195-$BX$5</f>
        <v>2.3009833612354029</v>
      </c>
      <c r="BZ208" s="9">
        <f t="shared" ref="BZ208:BZ271" ca="1" si="219">BX208-$CE$5</f>
        <v>-152.33295092200041</v>
      </c>
      <c r="CA208" s="6">
        <f t="shared" ref="CA208:CA271" ca="1" si="220">BY208-$CF$5</f>
        <v>24.325197321811874</v>
      </c>
      <c r="CB208" s="6">
        <f t="shared" ref="CB208:CB271" ca="1" si="221">ATAN2(BZ208,CA208)</f>
        <v>2.9832451195491938</v>
      </c>
      <c r="CC208" s="6">
        <f t="shared" ref="CC208:CC271" ca="1" si="222">ATAN2(COS(CF208-CB208),SIN(CF208-CB208))</f>
        <v>-4.0863377625055541E-3</v>
      </c>
      <c r="CD208" s="9">
        <f t="shared" ref="CD208:CD271" si="223">BD195-$BW$6</f>
        <v>-142.33295092200041</v>
      </c>
      <c r="CE208" s="9">
        <f t="shared" ref="CE208:CE271" si="224">BE195-$BX$6</f>
        <v>23.325197321811874</v>
      </c>
      <c r="CF208" s="6">
        <f t="shared" ref="CF208:CF271" si="225">ATAN2(CD208,CE208)</f>
        <v>2.9791587817866882</v>
      </c>
      <c r="CG208" s="6"/>
      <c r="CH208" s="6"/>
      <c r="CI208" s="6"/>
      <c r="CJ208" s="1"/>
      <c r="CK208" s="6"/>
    </row>
    <row r="209" spans="55:89" x14ac:dyDescent="0.2">
      <c r="BC209">
        <v>3.6128315516282461</v>
      </c>
      <c r="BD209">
        <v>-149.74634927455676</v>
      </c>
      <c r="BE209">
        <v>19.771727562203758</v>
      </c>
      <c r="BF209" s="6">
        <f t="shared" si="212"/>
        <v>3.0103172004618335</v>
      </c>
      <c r="BG209" s="6">
        <f t="shared" si="213"/>
        <v>0.60251435116641261</v>
      </c>
      <c r="BH209" s="6">
        <f t="shared" si="214"/>
        <v>3.1606800636797779E-2</v>
      </c>
      <c r="BI209" s="6">
        <f t="shared" si="215"/>
        <v>3.1606800636797779E-2</v>
      </c>
      <c r="BJ209">
        <v>-230.37899888393346</v>
      </c>
      <c r="BK209">
        <v>30.418042403390395</v>
      </c>
      <c r="BV209" s="38"/>
      <c r="BW209" s="6">
        <f t="shared" si="216"/>
        <v>3.3859387488689858</v>
      </c>
      <c r="BX209" s="9">
        <f t="shared" ca="1" si="217"/>
        <v>-86.103398756001113</v>
      </c>
      <c r="BY209" s="9">
        <f t="shared" ca="1" si="218"/>
        <v>1.9775046447444069</v>
      </c>
      <c r="BZ209" s="9">
        <f t="shared" ca="1" si="219"/>
        <v>-152.17604063773052</v>
      </c>
      <c r="CA209" s="6">
        <f t="shared" ca="1" si="220"/>
        <v>24.001718605320878</v>
      </c>
      <c r="CB209" s="6">
        <f t="shared" ca="1" si="221"/>
        <v>2.9851579753590314</v>
      </c>
      <c r="CC209" s="6">
        <f t="shared" ca="1" si="222"/>
        <v>-3.9589512440958421E-3</v>
      </c>
      <c r="CD209" s="9">
        <f t="shared" si="223"/>
        <v>-142.17604063773052</v>
      </c>
      <c r="CE209" s="9">
        <f t="shared" si="224"/>
        <v>23.001718605320878</v>
      </c>
      <c r="CF209" s="6">
        <f t="shared" si="225"/>
        <v>2.9811990241149355</v>
      </c>
      <c r="CG209" s="6"/>
      <c r="CH209" s="6"/>
      <c r="CI209" s="6"/>
      <c r="CJ209" s="1"/>
      <c r="CK209" s="6"/>
    </row>
    <row r="210" spans="55:89" x14ac:dyDescent="0.2">
      <c r="BC210">
        <v>3.6302848441481892</v>
      </c>
      <c r="BD210">
        <v>-149.52225451464258</v>
      </c>
      <c r="BE210">
        <v>19.439288116007429</v>
      </c>
      <c r="BF210" s="6">
        <f t="shared" si="212"/>
        <v>3.012308474698127</v>
      </c>
      <c r="BG210" s="6">
        <f t="shared" si="213"/>
        <v>0.61797636945006218</v>
      </c>
      <c r="BH210" s="6">
        <f t="shared" si="214"/>
        <v>2.9615526400504247E-2</v>
      </c>
      <c r="BI210" s="6">
        <f t="shared" si="215"/>
        <v>2.9615526400504247E-2</v>
      </c>
      <c r="BJ210">
        <v>-230.03423771483475</v>
      </c>
      <c r="BK210">
        <v>29.906597101549888</v>
      </c>
      <c r="BV210" s="38"/>
      <c r="BW210" s="6">
        <f t="shared" si="216"/>
        <v>3.4033920413889289</v>
      </c>
      <c r="BX210" s="9">
        <f t="shared" ca="1" si="217"/>
        <v>-85.942870986983749</v>
      </c>
      <c r="BY210" s="9">
        <f t="shared" ca="1" si="218"/>
        <v>1.6543381146320435</v>
      </c>
      <c r="BZ210" s="9">
        <f t="shared" ca="1" si="219"/>
        <v>-152.01551286871316</v>
      </c>
      <c r="CA210" s="6">
        <f t="shared" ca="1" si="220"/>
        <v>23.678552075208515</v>
      </c>
      <c r="CB210" s="6">
        <f t="shared" ca="1" si="221"/>
        <v>2.9870703147035025</v>
      </c>
      <c r="CC210" s="6">
        <f t="shared" ca="1" si="222"/>
        <v>-3.8312977064633995E-3</v>
      </c>
      <c r="CD210" s="9">
        <f t="shared" si="223"/>
        <v>-142.01551286871316</v>
      </c>
      <c r="CE210" s="9">
        <f t="shared" si="224"/>
        <v>22.678552075208515</v>
      </c>
      <c r="CF210" s="6">
        <f t="shared" si="225"/>
        <v>2.9832390169970391</v>
      </c>
      <c r="CG210" s="6"/>
      <c r="CH210" s="6"/>
      <c r="CI210" s="6"/>
      <c r="CJ210" s="1"/>
      <c r="CK210" s="6"/>
    </row>
    <row r="211" spans="55:89" x14ac:dyDescent="0.2">
      <c r="BC211">
        <v>3.6477381366681323</v>
      </c>
      <c r="BD211">
        <v>-149.29152484887575</v>
      </c>
      <c r="BE211">
        <v>19.105088466290045</v>
      </c>
      <c r="BF211" s="6">
        <f t="shared" si="212"/>
        <v>3.0143127672520569</v>
      </c>
      <c r="BG211" s="6">
        <f t="shared" si="213"/>
        <v>0.63342536941607541</v>
      </c>
      <c r="BH211" s="6">
        <f t="shared" si="214"/>
        <v>2.7611233846574379E-2</v>
      </c>
      <c r="BI211" s="6">
        <f t="shared" si="215"/>
        <v>2.7611233846574379E-2</v>
      </c>
      <c r="BJ211">
        <v>-229.67926899827037</v>
      </c>
      <c r="BK211">
        <v>29.392443794292376</v>
      </c>
      <c r="BV211" s="38"/>
      <c r="BW211" s="6">
        <f t="shared" si="216"/>
        <v>3.420845333908872</v>
      </c>
      <c r="BX211" s="9">
        <f t="shared" ca="1" si="217"/>
        <v>-85.77858741795707</v>
      </c>
      <c r="BY211" s="9">
        <f t="shared" ca="1" si="218"/>
        <v>1.3313373570827665</v>
      </c>
      <c r="BZ211" s="9">
        <f t="shared" ca="1" si="219"/>
        <v>-151.85122929968648</v>
      </c>
      <c r="CA211" s="6">
        <f t="shared" ca="1" si="220"/>
        <v>23.355551317659238</v>
      </c>
      <c r="CB211" s="6">
        <f t="shared" ca="1" si="221"/>
        <v>2.9889830581618182</v>
      </c>
      <c r="CC211" s="6">
        <f t="shared" ca="1" si="222"/>
        <v>-3.7033085327826676E-3</v>
      </c>
      <c r="CD211" s="9">
        <f t="shared" si="223"/>
        <v>-141.85122929968648</v>
      </c>
      <c r="CE211" s="9">
        <f t="shared" si="224"/>
        <v>22.355551317659238</v>
      </c>
      <c r="CF211" s="6">
        <f t="shared" si="225"/>
        <v>2.9852797496290355</v>
      </c>
      <c r="CG211" s="6"/>
      <c r="CH211" s="6"/>
      <c r="CI211" s="6"/>
      <c r="CJ211" s="1"/>
      <c r="CK211" s="6"/>
    </row>
    <row r="212" spans="55:89" x14ac:dyDescent="0.2">
      <c r="BC212">
        <v>3.6651914291880754</v>
      </c>
      <c r="BD212">
        <v>-149.05382228651112</v>
      </c>
      <c r="BE212">
        <v>18.768972560844084</v>
      </c>
      <c r="BF212" s="6">
        <f t="shared" si="212"/>
        <v>3.0163311544965934</v>
      </c>
      <c r="BG212" s="6">
        <f t="shared" si="213"/>
        <v>0.648860274691482</v>
      </c>
      <c r="BH212" s="6">
        <f t="shared" si="214"/>
        <v>2.5592846602037866E-2</v>
      </c>
      <c r="BI212" s="6">
        <f t="shared" si="215"/>
        <v>2.5592846602037866E-2</v>
      </c>
      <c r="BJ212">
        <v>-229.31357274847863</v>
      </c>
      <c r="BK212">
        <v>28.875342401298589</v>
      </c>
      <c r="BV212" s="38"/>
      <c r="BW212" s="6">
        <f t="shared" si="216"/>
        <v>3.4382986264288151</v>
      </c>
      <c r="BX212" s="9">
        <f t="shared" ca="1" si="217"/>
        <v>-85.610400652235896</v>
      </c>
      <c r="BY212" s="9">
        <f t="shared" ca="1" si="218"/>
        <v>1.0083564576748643</v>
      </c>
      <c r="BZ212" s="9">
        <f t="shared" ca="1" si="219"/>
        <v>-151.68304253396531</v>
      </c>
      <c r="CA212" s="6">
        <f t="shared" ca="1" si="220"/>
        <v>23.032570418251336</v>
      </c>
      <c r="CB212" s="6">
        <f t="shared" ca="1" si="221"/>
        <v>2.9908971273110962</v>
      </c>
      <c r="CC212" s="6">
        <f t="shared" ca="1" si="222"/>
        <v>-3.5749141784422456E-3</v>
      </c>
      <c r="CD212" s="9">
        <f t="shared" si="223"/>
        <v>-141.68304253396531</v>
      </c>
      <c r="CE212" s="9">
        <f t="shared" si="224"/>
        <v>22.032570418251336</v>
      </c>
      <c r="CF212" s="6">
        <f t="shared" si="225"/>
        <v>2.987322213132654</v>
      </c>
      <c r="CG212" s="6"/>
      <c r="CH212" s="6"/>
      <c r="CI212" s="6"/>
      <c r="CJ212" s="1"/>
      <c r="CK212" s="6"/>
    </row>
    <row r="213" spans="55:89" x14ac:dyDescent="0.2">
      <c r="BC213">
        <v>3.6826447217080185</v>
      </c>
      <c r="BD213">
        <v>-148.80878536629319</v>
      </c>
      <c r="BE213">
        <v>18.43078242564906</v>
      </c>
      <c r="BF213" s="6">
        <f t="shared" si="212"/>
        <v>3.0183647367032358</v>
      </c>
      <c r="BG213" s="6">
        <f t="shared" si="213"/>
        <v>0.66427998500478269</v>
      </c>
      <c r="BH213" s="6">
        <f t="shared" si="214"/>
        <v>2.3559264395395463E-2</v>
      </c>
      <c r="BI213" s="6">
        <f t="shared" si="215"/>
        <v>2.3559264395395463E-2</v>
      </c>
      <c r="BJ213">
        <v>-228.93659287122028</v>
      </c>
      <c r="BK213">
        <v>28.355049885613937</v>
      </c>
      <c r="BV213" s="38"/>
      <c r="BW213" s="6">
        <f t="shared" si="216"/>
        <v>3.4557519189487582</v>
      </c>
      <c r="BX213" s="9">
        <f t="shared" ca="1" si="217"/>
        <v>-85.43815368374915</v>
      </c>
      <c r="BY213" s="9">
        <f t="shared" ca="1" si="218"/>
        <v>0.68524980617269193</v>
      </c>
      <c r="BZ213" s="9">
        <f t="shared" ca="1" si="219"/>
        <v>-151.51079556547856</v>
      </c>
      <c r="CA213" s="6">
        <f t="shared" ca="1" si="220"/>
        <v>22.709463766749163</v>
      </c>
      <c r="CB213" s="6">
        <f t="shared" ca="1" si="221"/>
        <v>2.9928134462100893</v>
      </c>
      <c r="CC213" s="6">
        <f t="shared" ca="1" si="222"/>
        <v>-3.4460440212162879E-3</v>
      </c>
      <c r="CD213" s="9">
        <f t="shared" si="223"/>
        <v>-141.51079556547856</v>
      </c>
      <c r="CE213" s="9">
        <f t="shared" si="224"/>
        <v>21.709463766749163</v>
      </c>
      <c r="CF213" s="6">
        <f t="shared" si="225"/>
        <v>2.989367402188873</v>
      </c>
      <c r="CG213" s="6"/>
      <c r="CH213" s="6"/>
      <c r="CI213" s="6"/>
      <c r="CJ213" s="1"/>
      <c r="CK213" s="6"/>
    </row>
    <row r="214" spans="55:89" x14ac:dyDescent="0.2">
      <c r="BC214">
        <v>3.7000980142279616</v>
      </c>
      <c r="BD214">
        <v>-148.55602722590774</v>
      </c>
      <c r="BE214">
        <v>18.090358031807583</v>
      </c>
      <c r="BF214" s="6">
        <f t="shared" si="212"/>
        <v>3.0204146399965572</v>
      </c>
      <c r="BG214" s="6">
        <f t="shared" si="213"/>
        <v>0.67968337423140435</v>
      </c>
      <c r="BH214" s="6">
        <f t="shared" si="214"/>
        <v>2.1509361102074024E-2</v>
      </c>
      <c r="BI214" s="6">
        <f t="shared" si="215"/>
        <v>2.1509361102074024E-2</v>
      </c>
      <c r="BJ214">
        <v>-228.5477341937042</v>
      </c>
      <c r="BK214">
        <v>27.831320048934742</v>
      </c>
      <c r="BV214" s="38"/>
      <c r="BW214" s="6">
        <f t="shared" si="216"/>
        <v>3.4732052114687013</v>
      </c>
      <c r="BX214" s="9">
        <f t="shared" ca="1" si="217"/>
        <v>-85.261679321587835</v>
      </c>
      <c r="BY214" s="9">
        <f t="shared" ca="1" si="218"/>
        <v>0.3618719038919771</v>
      </c>
      <c r="BZ214" s="9">
        <f t="shared" ca="1" si="219"/>
        <v>-151.33432120331724</v>
      </c>
      <c r="CA214" s="6">
        <f t="shared" ca="1" si="220"/>
        <v>22.386085864468448</v>
      </c>
      <c r="CB214" s="6">
        <f t="shared" ca="1" si="221"/>
        <v>2.9947329428980285</v>
      </c>
      <c r="CC214" s="6">
        <f t="shared" ca="1" si="222"/>
        <v>-3.316626204486361E-3</v>
      </c>
      <c r="CD214" s="9">
        <f t="shared" si="223"/>
        <v>-141.33432120331724</v>
      </c>
      <c r="CE214" s="9">
        <f t="shared" si="224"/>
        <v>21.386085864468448</v>
      </c>
      <c r="CF214" s="6">
        <f t="shared" si="225"/>
        <v>2.9914163166935421</v>
      </c>
      <c r="CG214" s="6"/>
      <c r="CH214" s="6"/>
      <c r="CI214" s="6"/>
      <c r="CJ214" s="1"/>
      <c r="CK214" s="6"/>
    </row>
    <row r="215" spans="55:89" x14ac:dyDescent="0.2">
      <c r="BC215">
        <v>3.7175513067479047</v>
      </c>
      <c r="BD215">
        <v>-148.29513349810449</v>
      </c>
      <c r="BE215">
        <v>17.747537168672064</v>
      </c>
      <c r="BF215" s="6">
        <f t="shared" si="212"/>
        <v>3.0224820184211141</v>
      </c>
      <c r="BG215" s="6">
        <f t="shared" si="213"/>
        <v>0.6950692883267906</v>
      </c>
      <c r="BH215" s="6">
        <f t="shared" si="214"/>
        <v>1.9441982677517178E-2</v>
      </c>
      <c r="BI215" s="6">
        <f t="shared" si="215"/>
        <v>1.9441982677517178E-2</v>
      </c>
      <c r="BJ215">
        <v>-228.14635922785305</v>
      </c>
      <c r="BK215">
        <v>27.303903336418561</v>
      </c>
      <c r="BV215" s="38"/>
      <c r="BW215" s="6">
        <f t="shared" si="216"/>
        <v>3.4906585039886444</v>
      </c>
      <c r="BX215" s="9">
        <f t="shared" ca="1" si="217"/>
        <v>-85.080799542001884</v>
      </c>
      <c r="BY215" s="9">
        <f t="shared" ca="1" si="218"/>
        <v>3.8077175362776217E-2</v>
      </c>
      <c r="BZ215" s="9">
        <f t="shared" ca="1" si="219"/>
        <v>-151.15344142373129</v>
      </c>
      <c r="CA215" s="6">
        <f t="shared" ca="1" si="220"/>
        <v>22.062291135939248</v>
      </c>
      <c r="CB215" s="6">
        <f t="shared" ca="1" si="221"/>
        <v>2.9966565508807301</v>
      </c>
      <c r="CC215" s="6">
        <f t="shared" ca="1" si="222"/>
        <v>-3.1865874753842509E-3</v>
      </c>
      <c r="CD215" s="9">
        <f t="shared" si="223"/>
        <v>-141.15344142373129</v>
      </c>
      <c r="CE215" s="9">
        <f t="shared" si="224"/>
        <v>21.062291135939248</v>
      </c>
      <c r="CF215" s="6">
        <f t="shared" si="225"/>
        <v>2.9934699634053459</v>
      </c>
      <c r="CG215" s="6"/>
      <c r="CH215" s="6"/>
      <c r="CI215" s="6"/>
      <c r="CJ215" s="1"/>
      <c r="CK215" s="6"/>
    </row>
    <row r="216" spans="55:89" x14ac:dyDescent="0.2">
      <c r="BC216">
        <v>3.7350045992678478</v>
      </c>
      <c r="BD216">
        <v>-148.02565991667649</v>
      </c>
      <c r="BE216">
        <v>17.402155339707452</v>
      </c>
      <c r="BF216" s="6">
        <f t="shared" si="212"/>
        <v>3.0245680559527681</v>
      </c>
      <c r="BG216" s="6">
        <f t="shared" si="213"/>
        <v>0.71043654331507966</v>
      </c>
      <c r="BH216" s="6">
        <f t="shared" si="214"/>
        <v>1.7355945145863139E-2</v>
      </c>
      <c r="BI216" s="6">
        <f t="shared" si="215"/>
        <v>1.7355945145863139E-2</v>
      </c>
      <c r="BJ216">
        <v>-227.7317844871946</v>
      </c>
      <c r="BK216">
        <v>26.772546676473002</v>
      </c>
      <c r="BV216" s="38"/>
      <c r="BW216" s="6">
        <f t="shared" si="216"/>
        <v>3.5081117965085875</v>
      </c>
      <c r="BX216" s="9">
        <f t="shared" ca="1" si="217"/>
        <v>-84.895324802617054</v>
      </c>
      <c r="BY216" s="9">
        <f t="shared" ca="1" si="218"/>
        <v>-0.28628021902416023</v>
      </c>
      <c r="BZ216" s="9">
        <f t="shared" ca="1" si="219"/>
        <v>-150.96796668434646</v>
      </c>
      <c r="CA216" s="6">
        <f t="shared" ca="1" si="220"/>
        <v>21.737933741552311</v>
      </c>
      <c r="CB216" s="6">
        <f t="shared" ca="1" si="221"/>
        <v>2.9985852106672026</v>
      </c>
      <c r="CC216" s="6">
        <f t="shared" ca="1" si="222"/>
        <v>-3.0558530118343086E-3</v>
      </c>
      <c r="CD216" s="9">
        <f t="shared" si="223"/>
        <v>-140.96796668434646</v>
      </c>
      <c r="CE216" s="9">
        <f t="shared" si="224"/>
        <v>20.737933741552311</v>
      </c>
      <c r="CF216" s="6">
        <f t="shared" si="225"/>
        <v>2.9955293576553683</v>
      </c>
      <c r="CG216" s="6"/>
      <c r="CH216" s="6"/>
      <c r="CI216" s="6"/>
      <c r="CJ216" s="1"/>
      <c r="CK216" s="6"/>
    </row>
    <row r="217" spans="55:89" x14ac:dyDescent="0.2">
      <c r="BC217">
        <v>3.7524578917877909</v>
      </c>
      <c r="BD217">
        <v>-147.74725242519997</v>
      </c>
      <c r="BE217">
        <v>17.054069146983952</v>
      </c>
      <c r="BF217" s="6">
        <f t="shared" si="212"/>
        <v>3.0266739064334827</v>
      </c>
      <c r="BG217" s="6">
        <f t="shared" si="213"/>
        <v>0.72578398535430821</v>
      </c>
      <c r="BH217" s="6">
        <f t="shared" si="214"/>
        <v>1.5250094665148595E-2</v>
      </c>
      <c r="BI217" s="6">
        <f t="shared" si="215"/>
        <v>1.5250094665148595E-2</v>
      </c>
      <c r="BJ217">
        <v>-227.30346526953841</v>
      </c>
      <c r="BK217">
        <v>26.237029456898387</v>
      </c>
      <c r="BV217" s="38"/>
      <c r="BW217" s="6">
        <f t="shared" si="216"/>
        <v>3.5255650890285306</v>
      </c>
      <c r="BX217" s="9">
        <f t="shared" ca="1" si="217"/>
        <v>-84.705053286140426</v>
      </c>
      <c r="BY217" s="9">
        <f t="shared" ca="1" si="218"/>
        <v>-0.6113465673486651</v>
      </c>
      <c r="BZ217" s="9">
        <f t="shared" ca="1" si="219"/>
        <v>-150.77769516786984</v>
      </c>
      <c r="CA217" s="6">
        <f t="shared" ca="1" si="220"/>
        <v>21.412867393227806</v>
      </c>
      <c r="CB217" s="6">
        <f t="shared" ca="1" si="221"/>
        <v>3.0005198713206402</v>
      </c>
      <c r="CC217" s="6">
        <f t="shared" ca="1" si="222"/>
        <v>-2.9243462409818122E-3</v>
      </c>
      <c r="CD217" s="9">
        <f t="shared" si="223"/>
        <v>-140.77769516786984</v>
      </c>
      <c r="CE217" s="9">
        <f t="shared" si="224"/>
        <v>20.412867393227806</v>
      </c>
      <c r="CF217" s="6">
        <f t="shared" si="225"/>
        <v>2.9975955250796584</v>
      </c>
      <c r="CG217" s="6"/>
      <c r="CH217" s="6"/>
      <c r="CI217" s="6"/>
      <c r="CJ217" s="1"/>
      <c r="CK217" s="6"/>
    </row>
    <row r="218" spans="55:89" x14ac:dyDescent="0.2">
      <c r="BC218">
        <v>3.769911184307734</v>
      </c>
      <c r="BD218">
        <v>-147.25773956894722</v>
      </c>
      <c r="BE218">
        <v>16.66492502442226</v>
      </c>
      <c r="BF218" s="6">
        <f t="shared" si="212"/>
        <v>3.0289036788940176</v>
      </c>
      <c r="BG218" s="6">
        <f t="shared" si="213"/>
        <v>0.74100750541371641</v>
      </c>
      <c r="BH218" s="6">
        <f t="shared" si="214"/>
        <v>1.3020322204613686E-2</v>
      </c>
      <c r="BI218" s="6">
        <f t="shared" si="215"/>
        <v>1.3020322204613686E-2</v>
      </c>
      <c r="BJ218">
        <v>-226.55036856761109</v>
      </c>
      <c r="BK218">
        <v>25.638346191418862</v>
      </c>
      <c r="BV218" s="38"/>
      <c r="BW218" s="6">
        <f t="shared" si="216"/>
        <v>3.5430183815484737</v>
      </c>
      <c r="BX218" s="9">
        <f t="shared" ca="1" si="217"/>
        <v>-84.509770007674618</v>
      </c>
      <c r="BY218" s="9">
        <f t="shared" ca="1" si="218"/>
        <v>-0.93726878081163534</v>
      </c>
      <c r="BZ218" s="9">
        <f t="shared" ca="1" si="219"/>
        <v>-150.58241188940403</v>
      </c>
      <c r="CA218" s="6">
        <f t="shared" ca="1" si="220"/>
        <v>21.086945179764836</v>
      </c>
      <c r="CB218" s="6">
        <f t="shared" ca="1" si="221"/>
        <v>3.0024614919306281</v>
      </c>
      <c r="CC218" s="6">
        <f t="shared" ca="1" si="222"/>
        <v>-2.7919886558804841E-3</v>
      </c>
      <c r="CD218" s="9">
        <f t="shared" si="223"/>
        <v>-140.58241188940403</v>
      </c>
      <c r="CE218" s="9">
        <f t="shared" si="224"/>
        <v>20.086945179764836</v>
      </c>
      <c r="CF218" s="6">
        <f t="shared" si="225"/>
        <v>2.9996695032747476</v>
      </c>
      <c r="CG218" s="6"/>
      <c r="CH218" s="6"/>
      <c r="CI218" s="6"/>
      <c r="CJ218" s="1"/>
      <c r="CK218" s="6"/>
    </row>
    <row r="219" spans="55:89" x14ac:dyDescent="0.2">
      <c r="BC219">
        <v>3.7873644768276771</v>
      </c>
      <c r="BD219">
        <v>-146.70219534787697</v>
      </c>
      <c r="BE219">
        <v>16.263055429338021</v>
      </c>
      <c r="BF219" s="6">
        <f t="shared" si="212"/>
        <v>3.0311858444917101</v>
      </c>
      <c r="BG219" s="6">
        <f t="shared" si="213"/>
        <v>0.75617863233596694</v>
      </c>
      <c r="BH219" s="6">
        <f t="shared" si="214"/>
        <v>1.0738156606921121E-2</v>
      </c>
      <c r="BI219" s="6">
        <f t="shared" si="215"/>
        <v>1.0738156606921121E-2</v>
      </c>
      <c r="BJ219">
        <v>-225.69568515057995</v>
      </c>
      <c r="BK219">
        <v>25.020085275904645</v>
      </c>
      <c r="BV219" s="38"/>
      <c r="BW219" s="6">
        <f t="shared" si="216"/>
        <v>3.5604716740684168</v>
      </c>
      <c r="BX219" s="9">
        <f t="shared" ca="1" si="217"/>
        <v>-84.309246006788513</v>
      </c>
      <c r="BY219" s="9">
        <f t="shared" ca="1" si="218"/>
        <v>-1.2641945819834</v>
      </c>
      <c r="BZ219" s="9">
        <f t="shared" ca="1" si="219"/>
        <v>-150.38188788851792</v>
      </c>
      <c r="CA219" s="6">
        <f t="shared" ca="1" si="220"/>
        <v>20.760019378593071</v>
      </c>
      <c r="CB219" s="6">
        <f t="shared" ca="1" si="221"/>
        <v>3.004411043373266</v>
      </c>
      <c r="CC219" s="6">
        <f t="shared" ca="1" si="222"/>
        <v>-2.6586995990580675E-3</v>
      </c>
      <c r="CD219" s="9">
        <f t="shared" si="223"/>
        <v>-140.38188788851792</v>
      </c>
      <c r="CE219" s="9">
        <f t="shared" si="224"/>
        <v>19.760019378593071</v>
      </c>
      <c r="CF219" s="6">
        <f t="shared" si="225"/>
        <v>3.001752343774208</v>
      </c>
      <c r="CG219" s="6"/>
      <c r="CH219" s="6"/>
      <c r="CI219" s="6"/>
      <c r="CJ219" s="1"/>
      <c r="CK219" s="6"/>
    </row>
    <row r="220" spans="55:89" x14ac:dyDescent="0.2">
      <c r="BC220">
        <v>3.8048177693476202</v>
      </c>
      <c r="BD220">
        <v>-146.13606363785883</v>
      </c>
      <c r="BE220">
        <v>15.859025114065464</v>
      </c>
      <c r="BF220" s="6">
        <f t="shared" si="212"/>
        <v>3.0334933710688459</v>
      </c>
      <c r="BG220" s="6">
        <f t="shared" si="213"/>
        <v>0.7713243982787743</v>
      </c>
      <c r="BH220" s="6">
        <f t="shared" si="214"/>
        <v>8.4306300297853892E-3</v>
      </c>
      <c r="BI220" s="6">
        <f t="shared" si="215"/>
        <v>8.4306300297853892E-3</v>
      </c>
      <c r="BJ220">
        <v>-224.82471328901357</v>
      </c>
      <c r="BK220">
        <v>24.398500175485328</v>
      </c>
      <c r="BV220" s="38"/>
      <c r="BW220" s="6">
        <f t="shared" si="216"/>
        <v>3.5779249665883599</v>
      </c>
      <c r="BX220" s="9">
        <f t="shared" ca="1" si="217"/>
        <v>-84.103237246459074</v>
      </c>
      <c r="BY220" s="9">
        <f t="shared" ca="1" si="218"/>
        <v>-1.5922726686303115</v>
      </c>
      <c r="BZ220" s="9">
        <f t="shared" ca="1" si="219"/>
        <v>-150.17587912818848</v>
      </c>
      <c r="CA220" s="6">
        <f t="shared" ca="1" si="220"/>
        <v>20.43194129194616</v>
      </c>
      <c r="CB220" s="6">
        <f t="shared" ca="1" si="221"/>
        <v>3.0063695097754124</v>
      </c>
      <c r="CC220" s="6">
        <f t="shared" ca="1" si="222"/>
        <v>-2.5243960605307869E-3</v>
      </c>
      <c r="CD220" s="9">
        <f t="shared" si="223"/>
        <v>-140.17587912818848</v>
      </c>
      <c r="CE220" s="9">
        <f t="shared" si="224"/>
        <v>19.43194129194616</v>
      </c>
      <c r="CF220" s="6">
        <f t="shared" si="225"/>
        <v>3.0038451137148816</v>
      </c>
      <c r="CG220" s="6"/>
      <c r="CH220" s="6"/>
      <c r="CI220" s="6"/>
      <c r="CJ220" s="1"/>
      <c r="CK220" s="6"/>
    </row>
    <row r="221" spans="55:89" x14ac:dyDescent="0.2">
      <c r="BC221">
        <v>3.8222710618675633</v>
      </c>
      <c r="BD221">
        <v>-145.55867134489685</v>
      </c>
      <c r="BE221">
        <v>15.452668572900837</v>
      </c>
      <c r="BF221" s="6">
        <f t="shared" si="212"/>
        <v>3.0358276970873881</v>
      </c>
      <c r="BG221" s="6">
        <f t="shared" si="213"/>
        <v>0.78644336478017518</v>
      </c>
      <c r="BH221" s="6">
        <f t="shared" si="214"/>
        <v>6.096304011243169E-3</v>
      </c>
      <c r="BI221" s="6">
        <f t="shared" si="215"/>
        <v>6.096304011243169E-3</v>
      </c>
      <c r="BJ221">
        <v>-223.93641745368745</v>
      </c>
      <c r="BK221">
        <v>23.773336266001287</v>
      </c>
      <c r="BV221" s="38"/>
      <c r="BW221" s="6">
        <f t="shared" si="216"/>
        <v>3.595378259108303</v>
      </c>
      <c r="BX221" s="9">
        <f t="shared" ca="1" si="217"/>
        <v>-83.891483541707103</v>
      </c>
      <c r="BY221" s="9">
        <f t="shared" ca="1" si="218"/>
        <v>-1.921652886217629</v>
      </c>
      <c r="BZ221" s="9">
        <f t="shared" ca="1" si="219"/>
        <v>-149.96412542343651</v>
      </c>
      <c r="CA221" s="6">
        <f t="shared" ca="1" si="220"/>
        <v>20.102561074358842</v>
      </c>
      <c r="CB221" s="6">
        <f t="shared" ca="1" si="221"/>
        <v>3.0083378902116471</v>
      </c>
      <c r="CC221" s="6">
        <f t="shared" ca="1" si="222"/>
        <v>-2.388992445022442E-3</v>
      </c>
      <c r="CD221" s="9">
        <f t="shared" si="223"/>
        <v>-139.96412542343651</v>
      </c>
      <c r="CE221" s="9">
        <f t="shared" si="224"/>
        <v>19.102561074358842</v>
      </c>
      <c r="CF221" s="6">
        <f t="shared" si="225"/>
        <v>3.0059488977666247</v>
      </c>
      <c r="CG221" s="6"/>
      <c r="CH221" s="6"/>
      <c r="CI221" s="6"/>
      <c r="CJ221" s="1"/>
      <c r="CK221" s="6"/>
    </row>
    <row r="222" spans="55:89" x14ac:dyDescent="0.2">
      <c r="BC222">
        <v>3.8397243543875064</v>
      </c>
      <c r="BD222">
        <v>-144.96930307746092</v>
      </c>
      <c r="BE222">
        <v>15.043820984399781</v>
      </c>
      <c r="BF222" s="6">
        <f t="shared" si="212"/>
        <v>3.038190305625017</v>
      </c>
      <c r="BG222" s="6">
        <f t="shared" si="213"/>
        <v>0.80153404876248935</v>
      </c>
      <c r="BH222" s="6">
        <f t="shared" si="214"/>
        <v>3.7336954736142398E-3</v>
      </c>
      <c r="BI222" s="6">
        <f t="shared" si="215"/>
        <v>3.7336954736142398E-3</v>
      </c>
      <c r="BJ222">
        <v>-223.02969704224756</v>
      </c>
      <c r="BK222">
        <v>23.144339975999664</v>
      </c>
      <c r="BV222" s="38"/>
      <c r="BW222" s="6">
        <f t="shared" si="216"/>
        <v>3.6128315516282461</v>
      </c>
      <c r="BX222" s="9">
        <f t="shared" ca="1" si="217"/>
        <v>-83.673707392827353</v>
      </c>
      <c r="BY222" s="9">
        <f t="shared" ca="1" si="218"/>
        <v>-2.2524863983727137</v>
      </c>
      <c r="BZ222" s="9">
        <f t="shared" ca="1" si="219"/>
        <v>-149.74634927455676</v>
      </c>
      <c r="CA222" s="6">
        <f t="shared" ca="1" si="220"/>
        <v>19.771727562203758</v>
      </c>
      <c r="CB222" s="6">
        <f t="shared" ca="1" si="221"/>
        <v>3.0103172004618335</v>
      </c>
      <c r="CC222" s="6">
        <f t="shared" ca="1" si="222"/>
        <v>-2.2524003216535245E-3</v>
      </c>
      <c r="CD222" s="9">
        <f t="shared" si="223"/>
        <v>-139.74634927455676</v>
      </c>
      <c r="CE222" s="9">
        <f t="shared" si="224"/>
        <v>18.771727562203758</v>
      </c>
      <c r="CF222" s="6">
        <f t="shared" si="225"/>
        <v>3.00806480014018</v>
      </c>
      <c r="CG222" s="6"/>
      <c r="CH222" s="6"/>
      <c r="CI222" s="6"/>
      <c r="CJ222" s="1"/>
      <c r="CK222" s="6"/>
    </row>
    <row r="223" spans="55:89" x14ac:dyDescent="0.2">
      <c r="BC223">
        <v>3.8571776469074495</v>
      </c>
      <c r="BD223">
        <v>-144.36719708060295</v>
      </c>
      <c r="BE223">
        <v>14.632318430039502</v>
      </c>
      <c r="BF223" s="6">
        <f t="shared" si="212"/>
        <v>3.0405827268108996</v>
      </c>
      <c r="BG223" s="6">
        <f t="shared" si="213"/>
        <v>0.81659492009654988</v>
      </c>
      <c r="BH223" s="6">
        <f t="shared" si="214"/>
        <v>1.3412742877316752E-3</v>
      </c>
      <c r="BI223" s="6">
        <f t="shared" si="215"/>
        <v>1.3412742877316752E-3</v>
      </c>
      <c r="BJ223">
        <v>-222.10338012400453</v>
      </c>
      <c r="BK223">
        <v>22.511259123137695</v>
      </c>
      <c r="BV223" s="38"/>
      <c r="BW223" s="6">
        <f t="shared" si="216"/>
        <v>3.6302848441481892</v>
      </c>
      <c r="BX223" s="9">
        <f t="shared" ca="1" si="217"/>
        <v>-83.449612632913173</v>
      </c>
      <c r="BY223" s="9">
        <f t="shared" ca="1" si="218"/>
        <v>-2.5849258445690424</v>
      </c>
      <c r="BZ223" s="9">
        <f t="shared" ca="1" si="219"/>
        <v>-149.52225451464258</v>
      </c>
      <c r="CA223" s="6">
        <f t="shared" ca="1" si="220"/>
        <v>19.439288116007429</v>
      </c>
      <c r="CB223" s="6">
        <f t="shared" ca="1" si="221"/>
        <v>3.012308474698127</v>
      </c>
      <c r="CC223" s="6">
        <f t="shared" ca="1" si="222"/>
        <v>-2.1145281650865044E-3</v>
      </c>
      <c r="CD223" s="9">
        <f t="shared" si="223"/>
        <v>-139.52225451464258</v>
      </c>
      <c r="CE223" s="9">
        <f t="shared" si="224"/>
        <v>18.439288116007429</v>
      </c>
      <c r="CF223" s="6">
        <f t="shared" si="225"/>
        <v>3.0101939465330405</v>
      </c>
      <c r="CG223" s="6"/>
      <c r="CH223" s="6"/>
      <c r="CI223" s="6"/>
      <c r="CJ223" s="1"/>
      <c r="CK223" s="6"/>
    </row>
    <row r="224" spans="55:89" x14ac:dyDescent="0.2">
      <c r="BC224">
        <v>3.8746309394273926</v>
      </c>
      <c r="BD224">
        <v>-143.75154080308491</v>
      </c>
      <c r="BE224">
        <v>14.217998155522912</v>
      </c>
      <c r="BF224" s="6">
        <f t="shared" si="212"/>
        <v>3.0430065405147935</v>
      </c>
      <c r="BG224" s="6">
        <f t="shared" si="213"/>
        <v>0.83162439891259909</v>
      </c>
      <c r="BH224" s="6">
        <f t="shared" si="214"/>
        <v>-1.0825394161622093E-3</v>
      </c>
      <c r="BI224" s="6">
        <f t="shared" si="215"/>
        <v>1.0825394161622093E-3</v>
      </c>
      <c r="BJ224">
        <v>-221.15621662013061</v>
      </c>
      <c r="BK224">
        <v>21.873843316189095</v>
      </c>
      <c r="BV224" s="38"/>
      <c r="BW224" s="6">
        <f t="shared" si="216"/>
        <v>3.6477381366681323</v>
      </c>
      <c r="BX224" s="9">
        <f t="shared" ca="1" si="217"/>
        <v>-83.218882967146342</v>
      </c>
      <c r="BY224" s="9">
        <f t="shared" ca="1" si="218"/>
        <v>-2.9191254942864262</v>
      </c>
      <c r="BZ224" s="9">
        <f t="shared" ca="1" si="219"/>
        <v>-149.29152484887575</v>
      </c>
      <c r="CA224" s="6">
        <f t="shared" ca="1" si="220"/>
        <v>19.105088466290045</v>
      </c>
      <c r="CB224" s="6">
        <f t="shared" ca="1" si="221"/>
        <v>3.0143127672520569</v>
      </c>
      <c r="CC224" s="6">
        <f t="shared" ca="1" si="222"/>
        <v>-1.9752810739785964E-3</v>
      </c>
      <c r="CD224" s="9">
        <f t="shared" si="223"/>
        <v>-139.29152484887575</v>
      </c>
      <c r="CE224" s="9">
        <f t="shared" si="224"/>
        <v>18.105088466290045</v>
      </c>
      <c r="CF224" s="6">
        <f t="shared" si="225"/>
        <v>3.0123374861780783</v>
      </c>
      <c r="CG224" s="6"/>
      <c r="CH224" s="6"/>
      <c r="CI224" s="6"/>
      <c r="CJ224" s="1"/>
      <c r="CK224" s="6"/>
    </row>
    <row r="225" spans="55:89" x14ac:dyDescent="0.2">
      <c r="BC225">
        <v>3.8920842319473357</v>
      </c>
      <c r="BD225">
        <v>-143.12146588583551</v>
      </c>
      <c r="BE225">
        <v>13.800698918958943</v>
      </c>
      <c r="BF225" s="6">
        <f t="shared" si="212"/>
        <v>3.0454633789412391</v>
      </c>
      <c r="BG225" s="6">
        <f t="shared" si="213"/>
        <v>0.84662085300609657</v>
      </c>
      <c r="BH225" s="6">
        <f t="shared" si="214"/>
        <v>-3.5393778426078271E-3</v>
      </c>
      <c r="BI225" s="6">
        <f t="shared" si="215"/>
        <v>3.5393778426078271E-3</v>
      </c>
      <c r="BJ225">
        <v>-220.18687059359308</v>
      </c>
      <c r="BK225">
        <v>21.231844490706067</v>
      </c>
      <c r="BV225" s="38"/>
      <c r="BW225" s="6">
        <f t="shared" si="216"/>
        <v>3.6651914291880754</v>
      </c>
      <c r="BX225" s="9">
        <f t="shared" ca="1" si="217"/>
        <v>-82.981180404781711</v>
      </c>
      <c r="BY225" s="9">
        <f t="shared" ca="1" si="218"/>
        <v>-3.2552413997323875</v>
      </c>
      <c r="BZ225" s="9">
        <f t="shared" ca="1" si="219"/>
        <v>-149.05382228651112</v>
      </c>
      <c r="CA225" s="6">
        <f t="shared" ca="1" si="220"/>
        <v>18.768972560844084</v>
      </c>
      <c r="CB225" s="6">
        <f t="shared" ca="1" si="221"/>
        <v>3.0163311544965934</v>
      </c>
      <c r="CC225" s="6">
        <f t="shared" ca="1" si="222"/>
        <v>-1.8345604620622071E-3</v>
      </c>
      <c r="CD225" s="9">
        <f t="shared" si="223"/>
        <v>-139.05382228651112</v>
      </c>
      <c r="CE225" s="9">
        <f t="shared" si="224"/>
        <v>17.768972560844084</v>
      </c>
      <c r="CF225" s="6">
        <f t="shared" si="225"/>
        <v>3.0144965940345312</v>
      </c>
      <c r="CG225" s="6"/>
      <c r="CH225" s="6"/>
      <c r="CI225" s="6"/>
      <c r="CJ225" s="1"/>
      <c r="CK225" s="6"/>
    </row>
    <row r="226" spans="55:89" x14ac:dyDescent="0.2">
      <c r="BC226">
        <v>3.9095375244672788</v>
      </c>
      <c r="BD226">
        <v>-142.47604261475828</v>
      </c>
      <c r="BE226">
        <v>13.380261407770963</v>
      </c>
      <c r="BF226" s="6">
        <f t="shared" si="212"/>
        <v>3.0479549294041304</v>
      </c>
      <c r="BG226" s="6">
        <f t="shared" si="213"/>
        <v>0.86158259506314838</v>
      </c>
      <c r="BH226" s="6">
        <f t="shared" si="214"/>
        <v>-6.030928305499117E-3</v>
      </c>
      <c r="BI226" s="6">
        <f t="shared" si="215"/>
        <v>6.030928305499117E-3</v>
      </c>
      <c r="BJ226">
        <v>-219.19391171501275</v>
      </c>
      <c r="BK226">
        <v>20.585017550416865</v>
      </c>
      <c r="BV226" s="38"/>
      <c r="BW226" s="6">
        <f t="shared" si="216"/>
        <v>3.6826447217080185</v>
      </c>
      <c r="BX226" s="9">
        <f t="shared" ca="1" si="217"/>
        <v>-82.736143484563783</v>
      </c>
      <c r="BY226" s="9">
        <f t="shared" ca="1" si="218"/>
        <v>-3.5934315349274115</v>
      </c>
      <c r="BZ226" s="9">
        <f t="shared" ca="1" si="219"/>
        <v>-148.80878536629319</v>
      </c>
      <c r="CA226" s="6">
        <f t="shared" ca="1" si="220"/>
        <v>18.43078242564906</v>
      </c>
      <c r="CB226" s="6">
        <f t="shared" ca="1" si="221"/>
        <v>3.0183647367032358</v>
      </c>
      <c r="CC226" s="6">
        <f t="shared" ca="1" si="222"/>
        <v>-1.6922637306868715E-3</v>
      </c>
      <c r="CD226" s="9">
        <f t="shared" si="223"/>
        <v>-138.80878536629319</v>
      </c>
      <c r="CE226" s="9">
        <f t="shared" si="224"/>
        <v>17.43078242564906</v>
      </c>
      <c r="CF226" s="6">
        <f t="shared" si="225"/>
        <v>3.0166724729725489</v>
      </c>
      <c r="CG226" s="6"/>
      <c r="CH226" s="6"/>
      <c r="CI226" s="6"/>
      <c r="CJ226" s="1"/>
      <c r="CK226" s="6"/>
    </row>
    <row r="227" spans="55:89" x14ac:dyDescent="0.2">
      <c r="BC227">
        <v>3.9269908169872219</v>
      </c>
      <c r="BD227">
        <v>-141.81432461537622</v>
      </c>
      <c r="BE227">
        <v>12.956533375811139</v>
      </c>
      <c r="BF227" s="6">
        <f t="shared" si="212"/>
        <v>3.0504829373303863</v>
      </c>
      <c r="BG227" s="6">
        <f t="shared" si="213"/>
        <v>0.87650787965683552</v>
      </c>
      <c r="BH227" s="6">
        <f t="shared" si="214"/>
        <v>-8.5589362317550766E-3</v>
      </c>
      <c r="BI227" s="6">
        <f t="shared" si="215"/>
        <v>8.5589362317550766E-3</v>
      </c>
      <c r="BJ227">
        <v>-218.17588402365573</v>
      </c>
      <c r="BK227">
        <v>19.933128270478676</v>
      </c>
      <c r="BV227" s="38"/>
      <c r="BW227" s="6">
        <f t="shared" si="216"/>
        <v>3.7000980142279616</v>
      </c>
      <c r="BX227" s="9">
        <f t="shared" ca="1" si="217"/>
        <v>-82.48338534417833</v>
      </c>
      <c r="BY227" s="9">
        <f t="shared" ca="1" si="218"/>
        <v>-3.9338559287688888</v>
      </c>
      <c r="BZ227" s="9">
        <f t="shared" ca="1" si="219"/>
        <v>-148.55602722590774</v>
      </c>
      <c r="CA227" s="6">
        <f t="shared" ca="1" si="220"/>
        <v>18.090358031807583</v>
      </c>
      <c r="CB227" s="6">
        <f t="shared" ca="1" si="221"/>
        <v>3.0204146399965572</v>
      </c>
      <c r="CC227" s="6">
        <f t="shared" ca="1" si="222"/>
        <v>-1.5482839102771706E-3</v>
      </c>
      <c r="CD227" s="9">
        <f t="shared" si="223"/>
        <v>-138.55602722590774</v>
      </c>
      <c r="CE227" s="9">
        <f t="shared" si="224"/>
        <v>17.090358031807583</v>
      </c>
      <c r="CF227" s="6">
        <f t="shared" si="225"/>
        <v>3.0188663560862801</v>
      </c>
      <c r="CG227" s="6"/>
      <c r="CH227" s="6"/>
      <c r="CI227" s="6"/>
      <c r="CJ227" s="1"/>
      <c r="CK227" s="6"/>
    </row>
    <row r="228" spans="55:89" x14ac:dyDescent="0.2">
      <c r="BC228">
        <v>3.944444109507165</v>
      </c>
      <c r="BD228">
        <v>-141.01549928730938</v>
      </c>
      <c r="BE228">
        <v>12.512725619913708</v>
      </c>
      <c r="BF228" s="6">
        <f t="shared" si="212"/>
        <v>3.053091459522427</v>
      </c>
      <c r="BG228" s="6">
        <f t="shared" si="213"/>
        <v>0.89135264998473795</v>
      </c>
      <c r="BH228" s="6">
        <f t="shared" si="214"/>
        <v>-1.1167458423795738E-2</v>
      </c>
      <c r="BI228" s="6">
        <f t="shared" si="215"/>
        <v>1.1167458423795738E-2</v>
      </c>
      <c r="BJ228">
        <v>-216.94692198047596</v>
      </c>
      <c r="BK228">
        <v>19.250347107559548</v>
      </c>
      <c r="BV228" s="38"/>
      <c r="BW228" s="6">
        <f t="shared" si="216"/>
        <v>3.7175513067479047</v>
      </c>
      <c r="BX228" s="9">
        <f t="shared" ca="1" si="217"/>
        <v>-82.222491616375081</v>
      </c>
      <c r="BY228" s="9">
        <f t="shared" ca="1" si="218"/>
        <v>-4.2766767919044071</v>
      </c>
      <c r="BZ228" s="9">
        <f t="shared" ca="1" si="219"/>
        <v>-148.29513349810449</v>
      </c>
      <c r="CA228" s="6">
        <f t="shared" ca="1" si="220"/>
        <v>17.747537168672064</v>
      </c>
      <c r="CB228" s="6">
        <f t="shared" ca="1" si="221"/>
        <v>3.0224820184211141</v>
      </c>
      <c r="CC228" s="6">
        <f t="shared" ca="1" si="222"/>
        <v>-1.402509266540175E-3</v>
      </c>
      <c r="CD228" s="9">
        <f t="shared" si="223"/>
        <v>-138.29513349810449</v>
      </c>
      <c r="CE228" s="9">
        <f t="shared" si="224"/>
        <v>16.747537168672064</v>
      </c>
      <c r="CF228" s="6">
        <f t="shared" si="225"/>
        <v>3.0210795091545739</v>
      </c>
      <c r="CG228" s="6"/>
      <c r="CH228" s="6"/>
      <c r="CI228" s="6"/>
      <c r="CJ228" s="1"/>
      <c r="CK228" s="6"/>
    </row>
    <row r="229" spans="55:89" x14ac:dyDescent="0.2">
      <c r="BC229">
        <v>3.9618974020271081</v>
      </c>
      <c r="BD229">
        <v>-139.82728750137667</v>
      </c>
      <c r="BE229">
        <v>12.034127880305391</v>
      </c>
      <c r="BF229" s="6">
        <f t="shared" si="212"/>
        <v>3.0557399779071468</v>
      </c>
      <c r="BG229" s="6">
        <f t="shared" si="213"/>
        <v>0.90615742411996125</v>
      </c>
      <c r="BH229" s="6">
        <f t="shared" si="214"/>
        <v>-1.3815976808515538E-2</v>
      </c>
      <c r="BI229" s="6">
        <f t="shared" si="215"/>
        <v>1.3815976808515538E-2</v>
      </c>
      <c r="BJ229">
        <v>-215.1189038482718</v>
      </c>
      <c r="BK229">
        <v>18.514042892777525</v>
      </c>
      <c r="BV229" s="38"/>
      <c r="BW229" s="6">
        <f t="shared" si="216"/>
        <v>3.7350045992678478</v>
      </c>
      <c r="BX229" s="9">
        <f t="shared" ca="1" si="217"/>
        <v>-81.953018034947078</v>
      </c>
      <c r="BY229" s="9">
        <f t="shared" ca="1" si="218"/>
        <v>-4.6220586208690193</v>
      </c>
      <c r="BZ229" s="9">
        <f t="shared" ca="1" si="219"/>
        <v>-148.02565991667649</v>
      </c>
      <c r="CA229" s="6">
        <f t="shared" ca="1" si="220"/>
        <v>17.402155339707452</v>
      </c>
      <c r="CB229" s="6">
        <f t="shared" ca="1" si="221"/>
        <v>3.0245680559527681</v>
      </c>
      <c r="CC229" s="6">
        <f t="shared" ca="1" si="222"/>
        <v>-1.2548228808433315E-3</v>
      </c>
      <c r="CD229" s="9">
        <f t="shared" si="223"/>
        <v>-138.02565991667649</v>
      </c>
      <c r="CE229" s="9">
        <f t="shared" si="224"/>
        <v>16.402155339707452</v>
      </c>
      <c r="CF229" s="6">
        <f t="shared" si="225"/>
        <v>3.0233132330719248</v>
      </c>
      <c r="CG229" s="6"/>
      <c r="CH229" s="6"/>
      <c r="CI229" s="6"/>
      <c r="CJ229" s="1"/>
      <c r="CK229" s="6"/>
    </row>
    <row r="230" spans="55:89" x14ac:dyDescent="0.2">
      <c r="BC230">
        <v>3.9793506945470511</v>
      </c>
      <c r="BD230">
        <v>-138.6199995158228</v>
      </c>
      <c r="BE230">
        <v>11.554336284376191</v>
      </c>
      <c r="BF230" s="6">
        <f t="shared" si="212"/>
        <v>3.0584322957281445</v>
      </c>
      <c r="BG230" s="6">
        <f t="shared" si="213"/>
        <v>0.92091839881890669</v>
      </c>
      <c r="BH230" s="6">
        <f t="shared" si="214"/>
        <v>-1.6508294629513195E-2</v>
      </c>
      <c r="BI230" s="6">
        <f t="shared" si="215"/>
        <v>1.6508294629513195E-2</v>
      </c>
      <c r="BJ230">
        <v>-213.26153771665045</v>
      </c>
      <c r="BK230">
        <v>17.775901975963372</v>
      </c>
      <c r="BV230" s="38"/>
      <c r="BW230" s="6">
        <f t="shared" si="216"/>
        <v>3.7524578917877909</v>
      </c>
      <c r="BX230" s="9">
        <f t="shared" ca="1" si="217"/>
        <v>-81.674610543470564</v>
      </c>
      <c r="BY230" s="9">
        <f t="shared" ca="1" si="218"/>
        <v>-4.970144813592519</v>
      </c>
      <c r="BZ230" s="9">
        <f t="shared" ca="1" si="219"/>
        <v>-147.74725242519997</v>
      </c>
      <c r="CA230" s="6">
        <f t="shared" ca="1" si="220"/>
        <v>17.054069146983952</v>
      </c>
      <c r="CB230" s="6">
        <f t="shared" ca="1" si="221"/>
        <v>3.0266739064334827</v>
      </c>
      <c r="CC230" s="6">
        <f t="shared" ca="1" si="222"/>
        <v>-1.1051057004269893E-3</v>
      </c>
      <c r="CD230" s="9">
        <f t="shared" si="223"/>
        <v>-137.74725242519997</v>
      </c>
      <c r="CE230" s="9">
        <f t="shared" si="224"/>
        <v>16.054069146983952</v>
      </c>
      <c r="CF230" s="6">
        <f t="shared" si="225"/>
        <v>3.0255688007330557</v>
      </c>
      <c r="CG230" s="6"/>
      <c r="CH230" s="6"/>
      <c r="CI230" s="6"/>
      <c r="CJ230" s="1"/>
      <c r="CK230" s="6"/>
    </row>
    <row r="231" spans="55:89" x14ac:dyDescent="0.2">
      <c r="BC231">
        <v>3.9968039870669942</v>
      </c>
      <c r="BD231">
        <v>-137.39258885689614</v>
      </c>
      <c r="BE231">
        <v>11.073334105366579</v>
      </c>
      <c r="BF231" s="6">
        <f t="shared" si="212"/>
        <v>3.0611701895563175</v>
      </c>
      <c r="BG231" s="6">
        <f t="shared" si="213"/>
        <v>0.93563379751067677</v>
      </c>
      <c r="BH231" s="6">
        <f t="shared" si="214"/>
        <v>-1.924618845768622E-2</v>
      </c>
      <c r="BI231" s="6">
        <f t="shared" si="215"/>
        <v>1.924618845768622E-2</v>
      </c>
      <c r="BJ231">
        <v>-211.37321362599405</v>
      </c>
      <c r="BK231">
        <v>17.03589862364089</v>
      </c>
      <c r="BV231" s="38"/>
      <c r="BW231" s="6">
        <f t="shared" si="216"/>
        <v>3.769911184307734</v>
      </c>
      <c r="BX231" s="9">
        <f t="shared" ca="1" si="217"/>
        <v>-81.185097687217805</v>
      </c>
      <c r="BY231" s="9">
        <f t="shared" ca="1" si="218"/>
        <v>-5.3592889361542113</v>
      </c>
      <c r="BZ231" s="9">
        <f t="shared" ca="1" si="219"/>
        <v>-147.25773956894722</v>
      </c>
      <c r="CA231" s="6">
        <f t="shared" ca="1" si="220"/>
        <v>16.66492502442226</v>
      </c>
      <c r="CB231" s="6">
        <f t="shared" ca="1" si="221"/>
        <v>3.0289036788940176</v>
      </c>
      <c r="CC231" s="6">
        <f t="shared" ca="1" si="222"/>
        <v>-9.4715979477300039E-4</v>
      </c>
      <c r="CD231" s="9">
        <f t="shared" si="223"/>
        <v>-137.25773956894722</v>
      </c>
      <c r="CE231" s="9">
        <f t="shared" si="224"/>
        <v>15.66492502442226</v>
      </c>
      <c r="CF231" s="6">
        <f t="shared" si="225"/>
        <v>3.0279565190992446</v>
      </c>
      <c r="CG231" s="6"/>
      <c r="CH231" s="6"/>
      <c r="CI231" s="6"/>
      <c r="CJ231" s="1"/>
      <c r="CK231" s="6"/>
    </row>
    <row r="232" spans="55:89" x14ac:dyDescent="0.2">
      <c r="BC232">
        <v>4.0142572795869373</v>
      </c>
      <c r="BD232">
        <v>-136.14400813450948</v>
      </c>
      <c r="BE232">
        <v>10.591132297697762</v>
      </c>
      <c r="BF232" s="6">
        <f t="shared" si="212"/>
        <v>3.0639554193474297</v>
      </c>
      <c r="BG232" s="6">
        <f t="shared" si="213"/>
        <v>0.95030186023950769</v>
      </c>
      <c r="BH232" s="6">
        <f t="shared" si="214"/>
        <v>-2.2031418248798396E-2</v>
      </c>
      <c r="BI232" s="6">
        <f t="shared" si="215"/>
        <v>2.2031418248798396E-2</v>
      </c>
      <c r="BJ232">
        <v>-209.45232020693766</v>
      </c>
      <c r="BK232">
        <v>16.294049688765785</v>
      </c>
      <c r="BV232" s="38"/>
      <c r="BW232" s="6">
        <f t="shared" si="216"/>
        <v>3.7873644768276771</v>
      </c>
      <c r="BX232" s="9">
        <f t="shared" ca="1" si="217"/>
        <v>-80.629553466147556</v>
      </c>
      <c r="BY232" s="9">
        <f t="shared" ca="1" si="218"/>
        <v>-5.7611585312384506</v>
      </c>
      <c r="BZ232" s="9">
        <f t="shared" ca="1" si="219"/>
        <v>-146.70219534787697</v>
      </c>
      <c r="CA232" s="6">
        <f t="shared" ca="1" si="220"/>
        <v>16.263055429338021</v>
      </c>
      <c r="CB232" s="6">
        <f t="shared" ca="1" si="221"/>
        <v>3.0311858444917101</v>
      </c>
      <c r="CC232" s="6">
        <f t="shared" ca="1" si="222"/>
        <v>-7.8454232042846073E-4</v>
      </c>
      <c r="CD232" s="9">
        <f t="shared" si="223"/>
        <v>-136.70219534787697</v>
      </c>
      <c r="CE232" s="9">
        <f t="shared" si="224"/>
        <v>15.263055429338021</v>
      </c>
      <c r="CF232" s="6">
        <f t="shared" si="225"/>
        <v>3.0304013021712817</v>
      </c>
      <c r="CG232" s="6"/>
      <c r="CH232" s="6"/>
      <c r="CI232" s="6"/>
      <c r="CJ232" s="1"/>
      <c r="CK232" s="6"/>
    </row>
    <row r="233" spans="55:89" x14ac:dyDescent="0.2">
      <c r="BC233">
        <v>4.0317105721068804</v>
      </c>
      <c r="BD233">
        <v>-134.87320781022649</v>
      </c>
      <c r="BE233">
        <v>10.107770903570563</v>
      </c>
      <c r="BF233" s="6">
        <f t="shared" si="212"/>
        <v>3.0667897225547605</v>
      </c>
      <c r="BG233" s="6">
        <f t="shared" si="213"/>
        <v>0.96492084955211999</v>
      </c>
      <c r="BH233" s="6">
        <f t="shared" si="214"/>
        <v>-2.4865721456129197E-2</v>
      </c>
      <c r="BI233" s="6">
        <f t="shared" si="215"/>
        <v>2.4865721456129197E-2</v>
      </c>
      <c r="BJ233">
        <v>-207.49724278496382</v>
      </c>
      <c r="BK233">
        <v>15.550416774723942</v>
      </c>
      <c r="BV233" s="38"/>
      <c r="BW233" s="6">
        <f t="shared" si="216"/>
        <v>3.8048177693476202</v>
      </c>
      <c r="BX233" s="9">
        <f t="shared" ca="1" si="217"/>
        <v>-80.063421756129415</v>
      </c>
      <c r="BY233" s="9">
        <f t="shared" ca="1" si="218"/>
        <v>-6.1651888465110076</v>
      </c>
      <c r="BZ233" s="9">
        <f t="shared" ca="1" si="219"/>
        <v>-146.13606363785883</v>
      </c>
      <c r="CA233" s="6">
        <f t="shared" ca="1" si="220"/>
        <v>15.859025114065464</v>
      </c>
      <c r="CB233" s="6">
        <f t="shared" ca="1" si="221"/>
        <v>3.0334933710688459</v>
      </c>
      <c r="CC233" s="6">
        <f t="shared" ca="1" si="222"/>
        <v>-6.1868665348141505E-4</v>
      </c>
      <c r="CD233" s="9">
        <f t="shared" si="223"/>
        <v>-136.13606363785883</v>
      </c>
      <c r="CE233" s="9">
        <f t="shared" si="224"/>
        <v>14.859025114065464</v>
      </c>
      <c r="CF233" s="6">
        <f t="shared" si="225"/>
        <v>3.0328746844153645</v>
      </c>
      <c r="CG233" s="6"/>
      <c r="CH233" s="6"/>
      <c r="CI233" s="6"/>
      <c r="CJ233" s="1"/>
      <c r="CK233" s="6"/>
    </row>
    <row r="234" spans="55:89" x14ac:dyDescent="0.2">
      <c r="BC234">
        <v>4.0491638646268235</v>
      </c>
      <c r="BD234">
        <v>-133.57913565989253</v>
      </c>
      <c r="BE234">
        <v>9.6233208099827081</v>
      </c>
      <c r="BF234" s="6">
        <f t="shared" si="212"/>
        <v>3.0696748060406591</v>
      </c>
      <c r="BG234" s="6">
        <f t="shared" si="213"/>
        <v>0.97948905858616442</v>
      </c>
      <c r="BH234" s="6">
        <f t="shared" si="214"/>
        <v>-2.7750804942027866E-2</v>
      </c>
      <c r="BI234" s="6">
        <f t="shared" si="215"/>
        <v>2.7750804942027866E-2</v>
      </c>
      <c r="BJ234">
        <v>-205.50636255368082</v>
      </c>
      <c r="BK234">
        <v>14.805108938434936</v>
      </c>
      <c r="BV234" s="38"/>
      <c r="BW234" s="6">
        <f t="shared" si="216"/>
        <v>3.8222710618675633</v>
      </c>
      <c r="BX234" s="9">
        <f t="shared" ca="1" si="217"/>
        <v>-79.486029463167441</v>
      </c>
      <c r="BY234" s="9">
        <f t="shared" ca="1" si="218"/>
        <v>-6.5715453876756342</v>
      </c>
      <c r="BZ234" s="9">
        <f t="shared" ca="1" si="219"/>
        <v>-145.55867134489685</v>
      </c>
      <c r="CA234" s="6">
        <f t="shared" ca="1" si="220"/>
        <v>15.452668572900837</v>
      </c>
      <c r="CB234" s="6">
        <f t="shared" ca="1" si="221"/>
        <v>3.0358276970873881</v>
      </c>
      <c r="CC234" s="6">
        <f t="shared" ca="1" si="222"/>
        <v>-4.4941023545908015E-4</v>
      </c>
      <c r="CD234" s="9">
        <f t="shared" si="223"/>
        <v>-135.55867134489685</v>
      </c>
      <c r="CE234" s="9">
        <f t="shared" si="224"/>
        <v>14.452668572900837</v>
      </c>
      <c r="CF234" s="6">
        <f t="shared" si="225"/>
        <v>3.035378286851929</v>
      </c>
      <c r="CG234" s="6"/>
      <c r="CH234" s="6"/>
      <c r="CI234" s="6"/>
      <c r="CJ234" s="1"/>
      <c r="CK234" s="6"/>
    </row>
    <row r="235" spans="55:89" x14ac:dyDescent="0.2">
      <c r="BC235">
        <v>4.0666171571467666</v>
      </c>
      <c r="BD235">
        <v>-132.26073681797791</v>
      </c>
      <c r="BE235">
        <v>9.1378859147711164</v>
      </c>
      <c r="BF235" s="6">
        <f t="shared" si="212"/>
        <v>3.0726123350057022</v>
      </c>
      <c r="BG235" s="6">
        <f t="shared" si="213"/>
        <v>0.99400482214106445</v>
      </c>
      <c r="BH235" s="6">
        <f t="shared" si="214"/>
        <v>-3.068833390707093E-2</v>
      </c>
      <c r="BI235" s="6">
        <f t="shared" si="215"/>
        <v>3.068833390707093E-2</v>
      </c>
      <c r="BJ235">
        <v>-203.47805664304295</v>
      </c>
      <c r="BK235">
        <v>14.058286022724793</v>
      </c>
      <c r="BV235" s="38"/>
      <c r="BW235" s="6">
        <f t="shared" si="216"/>
        <v>3.8397243543875064</v>
      </c>
      <c r="BX235" s="9">
        <f t="shared" ca="1" si="217"/>
        <v>-78.896661195731511</v>
      </c>
      <c r="BY235" s="9">
        <f t="shared" ca="1" si="218"/>
        <v>-6.9803929761766899</v>
      </c>
      <c r="BZ235" s="9">
        <f t="shared" ca="1" si="219"/>
        <v>-144.96930307746092</v>
      </c>
      <c r="CA235" s="6">
        <f t="shared" ca="1" si="220"/>
        <v>15.043820984399781</v>
      </c>
      <c r="CB235" s="6">
        <f t="shared" ca="1" si="221"/>
        <v>3.038190305625017</v>
      </c>
      <c r="CC235" s="6">
        <f t="shared" ca="1" si="222"/>
        <v>-2.7651913838466768E-4</v>
      </c>
      <c r="CD235" s="9">
        <f t="shared" si="223"/>
        <v>-134.96930307746092</v>
      </c>
      <c r="CE235" s="9">
        <f t="shared" si="224"/>
        <v>14.043820984399781</v>
      </c>
      <c r="CF235" s="6">
        <f t="shared" si="225"/>
        <v>3.0379137864866324</v>
      </c>
      <c r="CG235" s="6"/>
      <c r="CH235" s="6"/>
      <c r="CI235" s="6"/>
      <c r="CJ235" s="1"/>
      <c r="CK235" s="6"/>
    </row>
    <row r="236" spans="55:89" x14ac:dyDescent="0.2">
      <c r="BC236">
        <v>4.0840704496667097</v>
      </c>
      <c r="BD236">
        <v>-130.91695448944427</v>
      </c>
      <c r="BE236">
        <v>8.6516056884868799</v>
      </c>
      <c r="BF236" s="6">
        <f t="shared" si="212"/>
        <v>3.0756039187342008</v>
      </c>
      <c r="BG236" s="6">
        <f t="shared" si="213"/>
        <v>1.0084665309325089</v>
      </c>
      <c r="BH236" s="6">
        <f t="shared" si="214"/>
        <v>-3.3679917635569545E-2</v>
      </c>
      <c r="BI236" s="6">
        <f t="shared" si="215"/>
        <v>3.3679917635569545E-2</v>
      </c>
      <c r="BJ236">
        <v>-201.41069921452964</v>
      </c>
      <c r="BK236">
        <v>13.310162597672123</v>
      </c>
      <c r="BV236" s="38"/>
      <c r="BW236" s="6">
        <f t="shared" si="216"/>
        <v>3.8571776469074495</v>
      </c>
      <c r="BX236" s="9">
        <f t="shared" ca="1" si="217"/>
        <v>-78.294555198873539</v>
      </c>
      <c r="BY236" s="9">
        <f t="shared" ca="1" si="218"/>
        <v>-7.3918955305369689</v>
      </c>
      <c r="BZ236" s="9">
        <f t="shared" ca="1" si="219"/>
        <v>-144.36719708060295</v>
      </c>
      <c r="CA236" s="6">
        <f t="shared" ca="1" si="220"/>
        <v>14.632318430039502</v>
      </c>
      <c r="CB236" s="6">
        <f t="shared" ca="1" si="221"/>
        <v>3.0405827268108996</v>
      </c>
      <c r="CC236" s="6">
        <f t="shared" ca="1" si="222"/>
        <v>-9.9807038905552758E-5</v>
      </c>
      <c r="CD236" s="9">
        <f t="shared" si="223"/>
        <v>-134.36719708060295</v>
      </c>
      <c r="CE236" s="9">
        <f t="shared" si="224"/>
        <v>13.632318430039502</v>
      </c>
      <c r="CF236" s="6">
        <f t="shared" si="225"/>
        <v>3.040482919771994</v>
      </c>
      <c r="CG236" s="6"/>
      <c r="CH236" s="6"/>
      <c r="CI236" s="6"/>
      <c r="CJ236" s="1"/>
      <c r="CK236" s="6"/>
    </row>
    <row r="237" spans="55:89" x14ac:dyDescent="0.2">
      <c r="BC237">
        <v>4.1015237421866528</v>
      </c>
      <c r="BD237">
        <v>-129.54673140877577</v>
      </c>
      <c r="BE237">
        <v>8.1646581255531423</v>
      </c>
      <c r="BF237" s="6">
        <f t="shared" si="212"/>
        <v>3.0786510928420263</v>
      </c>
      <c r="BG237" s="6">
        <f t="shared" si="213"/>
        <v>1.0228726493446265</v>
      </c>
      <c r="BH237" s="6">
        <f t="shared" si="214"/>
        <v>-3.6727091743395057E-2</v>
      </c>
      <c r="BI237" s="6">
        <f t="shared" si="215"/>
        <v>3.6727091743395057E-2</v>
      </c>
      <c r="BJ237">
        <v>-199.30266370580887</v>
      </c>
      <c r="BK237">
        <v>12.561012500850987</v>
      </c>
      <c r="BV237" s="38"/>
      <c r="BW237" s="6">
        <f t="shared" si="216"/>
        <v>3.8746309394273926</v>
      </c>
      <c r="BX237" s="9">
        <f t="shared" ca="1" si="217"/>
        <v>-77.678898921355497</v>
      </c>
      <c r="BY237" s="9">
        <f t="shared" ca="1" si="218"/>
        <v>-7.8062158050535597</v>
      </c>
      <c r="BZ237" s="9">
        <f t="shared" ca="1" si="219"/>
        <v>-143.75154080308491</v>
      </c>
      <c r="CA237" s="6">
        <f t="shared" ca="1" si="220"/>
        <v>14.217998155522912</v>
      </c>
      <c r="CB237" s="6">
        <f t="shared" ca="1" si="221"/>
        <v>3.0430065405147935</v>
      </c>
      <c r="CC237" s="6">
        <f t="shared" ca="1" si="222"/>
        <v>8.0945940399423932E-5</v>
      </c>
      <c r="CD237" s="9">
        <f t="shared" si="223"/>
        <v>-133.75154080308491</v>
      </c>
      <c r="CE237" s="9">
        <f t="shared" si="224"/>
        <v>13.217998155522912</v>
      </c>
      <c r="CF237" s="6">
        <f t="shared" si="225"/>
        <v>3.0430874864551929</v>
      </c>
      <c r="CG237" s="6"/>
      <c r="CH237" s="6"/>
      <c r="CI237" s="6"/>
      <c r="CJ237" s="1"/>
      <c r="CK237" s="6"/>
    </row>
    <row r="238" spans="55:89" x14ac:dyDescent="0.2">
      <c r="BC238">
        <v>4.1189770347065959</v>
      </c>
      <c r="BD238">
        <v>-128.14901209822563</v>
      </c>
      <c r="BE238">
        <v>7.6772630978495471</v>
      </c>
      <c r="BF238" s="6">
        <f t="shared" si="212"/>
        <v>3.0817552974732014</v>
      </c>
      <c r="BG238" s="6">
        <f t="shared" si="213"/>
        <v>1.0372217372333945</v>
      </c>
      <c r="BH238" s="6">
        <f t="shared" si="214"/>
        <v>-3.9831296374570169E-2</v>
      </c>
      <c r="BI238" s="6">
        <f t="shared" si="215"/>
        <v>3.9831296374570169E-2</v>
      </c>
      <c r="BJ238">
        <v>-197.15232630496249</v>
      </c>
      <c r="BK238">
        <v>11.811173996691611</v>
      </c>
      <c r="BV238" s="38"/>
      <c r="BW238" s="6">
        <f t="shared" si="216"/>
        <v>3.8920842319473357</v>
      </c>
      <c r="BX238" s="9">
        <f t="shared" ca="1" si="217"/>
        <v>-77.048824004106095</v>
      </c>
      <c r="BY238" s="9">
        <f t="shared" ca="1" si="218"/>
        <v>-8.223515041617528</v>
      </c>
      <c r="BZ238" s="9">
        <f t="shared" ca="1" si="219"/>
        <v>-143.12146588583551</v>
      </c>
      <c r="CA238" s="6">
        <f t="shared" ca="1" si="220"/>
        <v>13.800698918958943</v>
      </c>
      <c r="CB238" s="6">
        <f t="shared" ca="1" si="221"/>
        <v>3.0454633789412391</v>
      </c>
      <c r="CC238" s="6">
        <f t="shared" ca="1" si="222"/>
        <v>2.6597451408072459E-4</v>
      </c>
      <c r="CD238" s="9">
        <f t="shared" si="223"/>
        <v>-133.12146588583551</v>
      </c>
      <c r="CE238" s="9">
        <f t="shared" si="224"/>
        <v>12.800698918958943</v>
      </c>
      <c r="CF238" s="6">
        <f t="shared" si="225"/>
        <v>3.0457293534553198</v>
      </c>
      <c r="CG238" s="6"/>
      <c r="CH238" s="6"/>
      <c r="CI238" s="6"/>
      <c r="CJ238" s="1"/>
      <c r="CK238" s="6"/>
    </row>
    <row r="239" spans="55:89" x14ac:dyDescent="0.2">
      <c r="BC239">
        <v>4.136430327226539</v>
      </c>
      <c r="BD239">
        <v>-126.72281102574671</v>
      </c>
      <c r="BE239">
        <v>7.1896847898702205</v>
      </c>
      <c r="BF239" s="6">
        <f t="shared" si="212"/>
        <v>3.0849178903170564</v>
      </c>
      <c r="BG239" s="6">
        <f t="shared" si="213"/>
        <v>1.0515124369094826</v>
      </c>
      <c r="BH239" s="6">
        <f t="shared" si="214"/>
        <v>-4.2993889218425174E-2</v>
      </c>
      <c r="BI239" s="6">
        <f t="shared" si="215"/>
        <v>4.2993889218425174E-2</v>
      </c>
      <c r="BJ239">
        <v>-194.95817080884109</v>
      </c>
      <c r="BK239">
        <v>11.061053522877263</v>
      </c>
      <c r="BV239" s="38"/>
      <c r="BW239" s="6">
        <f t="shared" si="216"/>
        <v>3.9095375244672788</v>
      </c>
      <c r="BX239" s="9">
        <f t="shared" ca="1" si="217"/>
        <v>-76.403400733028874</v>
      </c>
      <c r="BY239" s="9">
        <f t="shared" ca="1" si="218"/>
        <v>-8.6439525528055086</v>
      </c>
      <c r="BZ239" s="9">
        <f t="shared" ca="1" si="219"/>
        <v>-142.47604261475828</v>
      </c>
      <c r="CA239" s="6">
        <f t="shared" ca="1" si="220"/>
        <v>13.380261407770963</v>
      </c>
      <c r="CB239" s="6">
        <f t="shared" ca="1" si="221"/>
        <v>3.0479549294041304</v>
      </c>
      <c r="CC239" s="6">
        <f t="shared" ca="1" si="222"/>
        <v>4.5552968286965978E-4</v>
      </c>
      <c r="CD239" s="9">
        <f t="shared" si="223"/>
        <v>-132.47604261475828</v>
      </c>
      <c r="CE239" s="9">
        <f t="shared" si="224"/>
        <v>12.380261407770963</v>
      </c>
      <c r="CF239" s="6">
        <f t="shared" si="225"/>
        <v>3.048410459087</v>
      </c>
      <c r="CG239" s="6"/>
      <c r="CH239" s="6"/>
      <c r="CI239" s="6"/>
      <c r="CJ239" s="1"/>
      <c r="CK239" s="6"/>
    </row>
    <row r="240" spans="55:89" x14ac:dyDescent="0.2">
      <c r="BC240">
        <v>4.1538836197464821</v>
      </c>
      <c r="BD240">
        <v>-125.14619441295815</v>
      </c>
      <c r="BE240">
        <v>6.7051568681708122</v>
      </c>
      <c r="BF240" s="6">
        <f t="shared" si="212"/>
        <v>3.0880652423844586</v>
      </c>
      <c r="BG240" s="6">
        <f t="shared" si="213"/>
        <v>1.0658183773620236</v>
      </c>
      <c r="BH240" s="6">
        <f t="shared" si="214"/>
        <v>-4.6141241285827306E-2</v>
      </c>
      <c r="BI240" s="6">
        <f t="shared" si="215"/>
        <v>4.6141241285827306E-2</v>
      </c>
      <c r="BJ240">
        <v>-192.53260678916638</v>
      </c>
      <c r="BK240">
        <v>10.315625951032018</v>
      </c>
      <c r="BV240" s="38"/>
      <c r="BW240" s="6">
        <f t="shared" si="216"/>
        <v>3.9269908169872219</v>
      </c>
      <c r="BX240" s="9">
        <f t="shared" ca="1" si="217"/>
        <v>-75.741682733646812</v>
      </c>
      <c r="BY240" s="9">
        <f t="shared" ca="1" si="218"/>
        <v>-9.0676805847653323</v>
      </c>
      <c r="BZ240" s="9">
        <f t="shared" ca="1" si="219"/>
        <v>-141.81432461537622</v>
      </c>
      <c r="CA240" s="6">
        <f t="shared" ca="1" si="220"/>
        <v>12.956533375811139</v>
      </c>
      <c r="CB240" s="6">
        <f t="shared" ca="1" si="221"/>
        <v>3.0504829373303863</v>
      </c>
      <c r="CC240" s="6">
        <f t="shared" ca="1" si="222"/>
        <v>6.4988012645228466E-4</v>
      </c>
      <c r="CD240" s="9">
        <f t="shared" si="223"/>
        <v>-131.81432461537622</v>
      </c>
      <c r="CE240" s="9">
        <f t="shared" si="224"/>
        <v>11.956533375811139</v>
      </c>
      <c r="CF240" s="6">
        <f t="shared" si="225"/>
        <v>3.0511328174568386</v>
      </c>
      <c r="CG240" s="6"/>
      <c r="CH240" s="6"/>
      <c r="CI240" s="6"/>
      <c r="CJ240" s="1"/>
      <c r="CK240" s="6"/>
    </row>
    <row r="241" spans="55:89" x14ac:dyDescent="0.2">
      <c r="BC241">
        <v>4.1713369122664252</v>
      </c>
      <c r="BD241">
        <v>-123.42952795268708</v>
      </c>
      <c r="BE241">
        <v>6.2251046193984099</v>
      </c>
      <c r="BF241" s="6">
        <f t="shared" si="212"/>
        <v>3.0912008662484776</v>
      </c>
      <c r="BG241" s="6">
        <f t="shared" si="213"/>
        <v>1.0801360460179477</v>
      </c>
      <c r="BH241" s="6">
        <f t="shared" si="214"/>
        <v>-4.9276865149846298E-2</v>
      </c>
      <c r="BI241" s="6">
        <f t="shared" si="215"/>
        <v>4.9276865149846298E-2</v>
      </c>
      <c r="BJ241">
        <v>-189.89158146567243</v>
      </c>
      <c r="BK241">
        <v>9.5770840298437072</v>
      </c>
      <c r="BV241" s="38"/>
      <c r="BW241" s="6">
        <f t="shared" si="216"/>
        <v>3.944444109507165</v>
      </c>
      <c r="BX241" s="9">
        <f t="shared" ca="1" si="217"/>
        <v>-74.942857405579971</v>
      </c>
      <c r="BY241" s="9">
        <f t="shared" ca="1" si="218"/>
        <v>-9.5114883406627637</v>
      </c>
      <c r="BZ241" s="9">
        <f t="shared" ca="1" si="219"/>
        <v>-141.01549928730938</v>
      </c>
      <c r="CA241" s="6">
        <f t="shared" ca="1" si="220"/>
        <v>12.512725619913708</v>
      </c>
      <c r="CB241" s="6">
        <f t="shared" ca="1" si="221"/>
        <v>3.053091459522427</v>
      </c>
      <c r="CC241" s="6">
        <f t="shared" ca="1" si="222"/>
        <v>8.5332227561440988E-4</v>
      </c>
      <c r="CD241" s="9">
        <f t="shared" si="223"/>
        <v>-131.01549928730938</v>
      </c>
      <c r="CE241" s="9">
        <f t="shared" si="224"/>
        <v>11.512725619913708</v>
      </c>
      <c r="CF241" s="6">
        <f t="shared" si="225"/>
        <v>3.0539447817980414</v>
      </c>
      <c r="CG241" s="6"/>
      <c r="CH241" s="6"/>
      <c r="CI241" s="6"/>
      <c r="CJ241" s="1"/>
      <c r="CK241" s="6"/>
    </row>
    <row r="242" spans="55:89" x14ac:dyDescent="0.2">
      <c r="BC242">
        <v>4.1887902047863683</v>
      </c>
      <c r="BD242">
        <v>-121.6824594947344</v>
      </c>
      <c r="BE242">
        <v>5.7477564402936396</v>
      </c>
      <c r="BF242" s="6">
        <f t="shared" si="212"/>
        <v>3.0943920352129535</v>
      </c>
      <c r="BG242" s="6">
        <f t="shared" si="213"/>
        <v>1.0943981695734148</v>
      </c>
      <c r="BH242" s="6">
        <f t="shared" si="214"/>
        <v>-5.2468034114322208E-2</v>
      </c>
      <c r="BI242" s="6">
        <f t="shared" si="215"/>
        <v>5.2468034114322208E-2</v>
      </c>
      <c r="BJ242">
        <v>-187.20378383805291</v>
      </c>
      <c r="BK242">
        <v>8.8427022158363684</v>
      </c>
      <c r="BV242" s="38"/>
      <c r="BW242" s="6">
        <f t="shared" si="216"/>
        <v>3.9618974020271081</v>
      </c>
      <c r="BX242" s="9">
        <f t="shared" ca="1" si="217"/>
        <v>-73.754645619647263</v>
      </c>
      <c r="BY242" s="9">
        <f t="shared" ca="1" si="218"/>
        <v>-9.9900860802710802</v>
      </c>
      <c r="BZ242" s="9">
        <f t="shared" ca="1" si="219"/>
        <v>-139.82728750137667</v>
      </c>
      <c r="CA242" s="6">
        <f t="shared" ca="1" si="220"/>
        <v>12.034127880305391</v>
      </c>
      <c r="CB242" s="6">
        <f t="shared" ca="1" si="221"/>
        <v>3.0557399779071468</v>
      </c>
      <c r="CC242" s="6">
        <f t="shared" ca="1" si="222"/>
        <v>1.0656133499766796E-3</v>
      </c>
      <c r="CD242" s="9">
        <f t="shared" si="223"/>
        <v>-129.82728750137667</v>
      </c>
      <c r="CE242" s="9">
        <f t="shared" si="224"/>
        <v>11.034127880305391</v>
      </c>
      <c r="CF242" s="6">
        <f t="shared" si="225"/>
        <v>3.0568055912571235</v>
      </c>
      <c r="CG242" s="6"/>
      <c r="CH242" s="6"/>
      <c r="CI242" s="6"/>
      <c r="CJ242" s="1"/>
      <c r="CK242" s="6"/>
    </row>
    <row r="243" spans="55:89" x14ac:dyDescent="0.2">
      <c r="BC243">
        <v>4.2062434973063114</v>
      </c>
      <c r="BD243">
        <v>-119.90418492552132</v>
      </c>
      <c r="BE243">
        <v>5.2736677563862884</v>
      </c>
      <c r="BF243" s="6">
        <f t="shared" si="212"/>
        <v>3.0976386318229667</v>
      </c>
      <c r="BG243" s="6">
        <f t="shared" si="213"/>
        <v>1.1086048654833447</v>
      </c>
      <c r="BH243" s="6">
        <f t="shared" si="214"/>
        <v>-5.5714630724335468E-2</v>
      </c>
      <c r="BI243" s="6">
        <f t="shared" si="215"/>
        <v>5.5714630724335468E-2</v>
      </c>
      <c r="BJ243">
        <v>-184.46797680849434</v>
      </c>
      <c r="BK243">
        <v>8.1133350098250592</v>
      </c>
      <c r="BV243" s="38"/>
      <c r="BW243" s="6">
        <f t="shared" si="216"/>
        <v>3.9793506945470511</v>
      </c>
      <c r="BX243" s="9">
        <f t="shared" ca="1" si="217"/>
        <v>-72.547357634093387</v>
      </c>
      <c r="BY243" s="9">
        <f t="shared" ca="1" si="218"/>
        <v>-10.46987767620028</v>
      </c>
      <c r="BZ243" s="9">
        <f t="shared" ca="1" si="219"/>
        <v>-138.6199995158228</v>
      </c>
      <c r="CA243" s="6">
        <f t="shared" ca="1" si="220"/>
        <v>11.554336284376191</v>
      </c>
      <c r="CB243" s="6">
        <f t="shared" ca="1" si="221"/>
        <v>3.0584322957281445</v>
      </c>
      <c r="CC243" s="6">
        <f t="shared" ca="1" si="222"/>
        <v>1.2855160833122878E-3</v>
      </c>
      <c r="CD243" s="9">
        <f t="shared" si="223"/>
        <v>-128.6199995158228</v>
      </c>
      <c r="CE243" s="9">
        <f t="shared" si="224"/>
        <v>10.554336284376191</v>
      </c>
      <c r="CF243" s="6">
        <f t="shared" si="225"/>
        <v>3.0597178118114567</v>
      </c>
      <c r="CG243" s="6"/>
      <c r="CH243" s="6"/>
      <c r="CI243" s="6"/>
      <c r="CJ243" s="1"/>
      <c r="CK243" s="6"/>
    </row>
    <row r="244" spans="55:89" x14ac:dyDescent="0.2">
      <c r="BC244">
        <v>4.2236967898262545</v>
      </c>
      <c r="BD244">
        <v>-118.0939597158348</v>
      </c>
      <c r="BE244">
        <v>4.8034646681406006</v>
      </c>
      <c r="BF244" s="6">
        <f t="shared" si="212"/>
        <v>3.1009401233979847</v>
      </c>
      <c r="BG244" s="6">
        <f t="shared" si="213"/>
        <v>1.1227566664282698</v>
      </c>
      <c r="BH244" s="6">
        <f t="shared" si="214"/>
        <v>-5.9016122299353491E-2</v>
      </c>
      <c r="BI244" s="6">
        <f t="shared" si="215"/>
        <v>5.9016122299353491E-2</v>
      </c>
      <c r="BJ244">
        <v>-181.68301494743815</v>
      </c>
      <c r="BK244">
        <v>7.3899456432932311</v>
      </c>
      <c r="BV244" s="38"/>
      <c r="BW244" s="6">
        <f t="shared" si="216"/>
        <v>3.9968039870669942</v>
      </c>
      <c r="BX244" s="9">
        <f t="shared" ca="1" si="217"/>
        <v>-71.319946975166729</v>
      </c>
      <c r="BY244" s="9">
        <f t="shared" ca="1" si="218"/>
        <v>-10.950879855209893</v>
      </c>
      <c r="BZ244" s="9">
        <f t="shared" ca="1" si="219"/>
        <v>-137.39258885689614</v>
      </c>
      <c r="CA244" s="6">
        <f t="shared" ca="1" si="220"/>
        <v>11.073334105366579</v>
      </c>
      <c r="CB244" s="6">
        <f t="shared" ca="1" si="221"/>
        <v>3.0611701895563175</v>
      </c>
      <c r="CC244" s="6">
        <f t="shared" ca="1" si="222"/>
        <v>1.5134954213271712E-3</v>
      </c>
      <c r="CD244" s="9">
        <f t="shared" si="223"/>
        <v>-127.39258885689614</v>
      </c>
      <c r="CE244" s="9">
        <f t="shared" si="224"/>
        <v>10.073334105366579</v>
      </c>
      <c r="CF244" s="6">
        <f t="shared" si="225"/>
        <v>3.0626836849776446</v>
      </c>
      <c r="CG244" s="6"/>
      <c r="CH244" s="6"/>
      <c r="CI244" s="6"/>
      <c r="CJ244" s="1"/>
      <c r="CK244" s="6"/>
    </row>
    <row r="245" spans="55:89" x14ac:dyDescent="0.2">
      <c r="BC245">
        <v>4.2411500823461976</v>
      </c>
      <c r="BD245">
        <v>-116.25111148241058</v>
      </c>
      <c r="BE245">
        <v>4.337848722874142</v>
      </c>
      <c r="BF245" s="6">
        <f t="shared" si="212"/>
        <v>3.104295486694538</v>
      </c>
      <c r="BG245" s="6">
        <f t="shared" si="213"/>
        <v>1.1368545956516596</v>
      </c>
      <c r="BH245" s="6">
        <f t="shared" si="214"/>
        <v>-6.2371485595906773E-2</v>
      </c>
      <c r="BI245" s="6">
        <f t="shared" si="215"/>
        <v>6.2371485595906773E-2</v>
      </c>
      <c r="BJ245">
        <v>-178.84786381909319</v>
      </c>
      <c r="BK245">
        <v>6.6736134198063723</v>
      </c>
      <c r="BV245" s="38"/>
      <c r="BW245" s="6">
        <f t="shared" si="216"/>
        <v>4.0142572795869373</v>
      </c>
      <c r="BX245" s="9">
        <f t="shared" ca="1" si="217"/>
        <v>-70.071366252780066</v>
      </c>
      <c r="BY245" s="9">
        <f t="shared" ca="1" si="218"/>
        <v>-11.43308166287871</v>
      </c>
      <c r="BZ245" s="9">
        <f t="shared" ca="1" si="219"/>
        <v>-136.14400813450948</v>
      </c>
      <c r="CA245" s="6">
        <f t="shared" ca="1" si="220"/>
        <v>10.591132297697762</v>
      </c>
      <c r="CB245" s="6">
        <f t="shared" ca="1" si="221"/>
        <v>3.0639554193474297</v>
      </c>
      <c r="CC245" s="6">
        <f t="shared" ca="1" si="222"/>
        <v>1.7500476753333771E-3</v>
      </c>
      <c r="CD245" s="9">
        <f t="shared" si="223"/>
        <v>-126.14400813450948</v>
      </c>
      <c r="CE245" s="9">
        <f t="shared" si="224"/>
        <v>9.5911322976977615</v>
      </c>
      <c r="CF245" s="6">
        <f t="shared" si="225"/>
        <v>3.065705467022763</v>
      </c>
      <c r="CG245" s="6"/>
      <c r="CH245" s="6"/>
      <c r="CI245" s="6"/>
      <c r="CJ245" s="1"/>
      <c r="CK245" s="6"/>
    </row>
    <row r="246" spans="55:89" x14ac:dyDescent="0.2">
      <c r="BC246">
        <v>4.2586033748661407</v>
      </c>
      <c r="BD246">
        <v>-114.37505418935393</v>
      </c>
      <c r="BE246">
        <v>3.8776013003300807</v>
      </c>
      <c r="BF246" s="6">
        <f t="shared" si="212"/>
        <v>3.1077031246284852</v>
      </c>
      <c r="BG246" s="6">
        <f t="shared" si="213"/>
        <v>1.1509002502376555</v>
      </c>
      <c r="BH246" s="6">
        <f t="shared" si="214"/>
        <v>-6.5779123529853933E-2</v>
      </c>
      <c r="BI246" s="6">
        <f t="shared" si="215"/>
        <v>6.5779123529853933E-2</v>
      </c>
      <c r="BJ246">
        <v>-175.96162182977528</v>
      </c>
      <c r="BK246">
        <v>5.9655404620462775</v>
      </c>
      <c r="BV246" s="38"/>
      <c r="BW246" s="6">
        <f t="shared" si="216"/>
        <v>4.0317105721068804</v>
      </c>
      <c r="BX246" s="9">
        <f t="shared" ca="1" si="217"/>
        <v>-68.800565928497079</v>
      </c>
      <c r="BY246" s="9">
        <f t="shared" ca="1" si="218"/>
        <v>-11.916443057005909</v>
      </c>
      <c r="BZ246" s="9">
        <f t="shared" ca="1" si="219"/>
        <v>-134.87320781022649</v>
      </c>
      <c r="CA246" s="6">
        <f t="shared" ca="1" si="220"/>
        <v>10.107770903570563</v>
      </c>
      <c r="CB246" s="6">
        <f t="shared" ca="1" si="221"/>
        <v>3.0667897225547605</v>
      </c>
      <c r="CC246" s="6">
        <f t="shared" ca="1" si="222"/>
        <v>1.9957030612909321E-3</v>
      </c>
      <c r="CD246" s="9">
        <f t="shared" si="223"/>
        <v>-124.87320781022649</v>
      </c>
      <c r="CE246" s="9">
        <f t="shared" si="224"/>
        <v>9.1077709035705627</v>
      </c>
      <c r="CF246" s="6">
        <f t="shared" si="225"/>
        <v>3.0687854256160514</v>
      </c>
      <c r="CG246" s="6"/>
      <c r="CH246" s="6"/>
      <c r="CI246" s="6"/>
      <c r="CJ246" s="1"/>
      <c r="CK246" s="6"/>
    </row>
    <row r="247" spans="55:89" x14ac:dyDescent="0.2">
      <c r="BC247">
        <v>4.2760566673860838</v>
      </c>
      <c r="BD247">
        <v>-112.46530389058429</v>
      </c>
      <c r="BE247">
        <v>3.423587238386955</v>
      </c>
      <c r="BF247" s="6">
        <f t="shared" si="212"/>
        <v>3.1111607764301241</v>
      </c>
      <c r="BG247" s="6">
        <f t="shared" si="213"/>
        <v>1.1648958909559597</v>
      </c>
      <c r="BH247" s="6">
        <f t="shared" si="214"/>
        <v>-6.9236775331492861E-2</v>
      </c>
      <c r="BI247" s="6">
        <f t="shared" si="215"/>
        <v>6.9236775331492861E-2</v>
      </c>
      <c r="BJ247">
        <v>-173.02354444705276</v>
      </c>
      <c r="BK247">
        <v>5.2670572898260843</v>
      </c>
      <c r="BV247" s="38"/>
      <c r="BW247" s="6">
        <f t="shared" si="216"/>
        <v>4.0491638646268235</v>
      </c>
      <c r="BX247" s="9">
        <f t="shared" ca="1" si="217"/>
        <v>-67.506493778163119</v>
      </c>
      <c r="BY247" s="9">
        <f t="shared" ca="1" si="218"/>
        <v>-12.400893150593763</v>
      </c>
      <c r="BZ247" s="9">
        <f t="shared" ca="1" si="219"/>
        <v>-133.57913565989253</v>
      </c>
      <c r="CA247" s="6">
        <f t="shared" ca="1" si="220"/>
        <v>9.6233208099827081</v>
      </c>
      <c r="CB247" s="6">
        <f t="shared" ca="1" si="221"/>
        <v>3.0696748060406591</v>
      </c>
      <c r="CC247" s="6">
        <f t="shared" ca="1" si="222"/>
        <v>2.2510283839007883E-3</v>
      </c>
      <c r="CD247" s="9">
        <f t="shared" si="223"/>
        <v>-123.57913565989253</v>
      </c>
      <c r="CE247" s="9">
        <f t="shared" si="224"/>
        <v>8.6233208099827081</v>
      </c>
      <c r="CF247" s="6">
        <f t="shared" si="225"/>
        <v>3.0719258344245599</v>
      </c>
      <c r="CG247" s="6"/>
      <c r="CH247" s="6"/>
      <c r="CI247" s="6"/>
      <c r="CJ247" s="1"/>
      <c r="CK247" s="6"/>
    </row>
    <row r="248" spans="55:89" x14ac:dyDescent="0.2">
      <c r="BC248">
        <v>4.2935099599060269</v>
      </c>
      <c r="BD248">
        <v>-110.52149576857485</v>
      </c>
      <c r="BE248">
        <v>2.9767571318413872</v>
      </c>
      <c r="BF248" s="6">
        <f t="shared" si="212"/>
        <v>3.1146654244719576</v>
      </c>
      <c r="BG248" s="6">
        <f t="shared" si="213"/>
        <v>1.1788445354340693</v>
      </c>
      <c r="BH248" s="6">
        <f t="shared" si="214"/>
        <v>-7.2741423373326355E-2</v>
      </c>
      <c r="BI248" s="6">
        <f t="shared" si="215"/>
        <v>7.2741423373326355E-2</v>
      </c>
      <c r="BJ248">
        <v>-170.03307041319206</v>
      </c>
      <c r="BK248">
        <v>4.5796263566790572</v>
      </c>
      <c r="BV248" s="38"/>
      <c r="BW248" s="6">
        <f t="shared" si="216"/>
        <v>4.0666171571467666</v>
      </c>
      <c r="BX248" s="9">
        <f t="shared" ca="1" si="217"/>
        <v>-66.188094936248504</v>
      </c>
      <c r="BY248" s="9">
        <f t="shared" ca="1" si="218"/>
        <v>-12.886328045805355</v>
      </c>
      <c r="BZ248" s="9">
        <f t="shared" ca="1" si="219"/>
        <v>-132.26073681797791</v>
      </c>
      <c r="CA248" s="6">
        <f t="shared" ca="1" si="220"/>
        <v>9.1378859147711164</v>
      </c>
      <c r="CB248" s="6">
        <f t="shared" ca="1" si="221"/>
        <v>3.0726123350057022</v>
      </c>
      <c r="CC248" s="6">
        <f t="shared" ca="1" si="222"/>
        <v>2.5166298261245501E-3</v>
      </c>
      <c r="CD248" s="9">
        <f t="shared" si="223"/>
        <v>-122.26073681797791</v>
      </c>
      <c r="CE248" s="9">
        <f t="shared" si="224"/>
        <v>8.1378859147711164</v>
      </c>
      <c r="CF248" s="6">
        <f t="shared" si="225"/>
        <v>3.0751289648318267</v>
      </c>
      <c r="CG248" s="6"/>
      <c r="CH248" s="6"/>
      <c r="CI248" s="6"/>
      <c r="CJ248" s="1"/>
      <c r="CK248" s="6"/>
    </row>
    <row r="249" spans="55:89" x14ac:dyDescent="0.2">
      <c r="BC249">
        <v>4.31096325242597</v>
      </c>
      <c r="BD249">
        <v>-108.5434019559064</v>
      </c>
      <c r="BE249">
        <v>2.538147470579998</v>
      </c>
      <c r="BF249" s="6">
        <f t="shared" si="212"/>
        <v>3.1182132039073824</v>
      </c>
      <c r="BG249" s="6">
        <f t="shared" si="213"/>
        <v>1.1927500485185876</v>
      </c>
      <c r="BH249" s="6">
        <f t="shared" si="214"/>
        <v>-7.6289202808751164E-2</v>
      </c>
      <c r="BI249" s="6">
        <f t="shared" si="215"/>
        <v>7.6289202808751164E-2</v>
      </c>
      <c r="BJ249">
        <v>-166.98984916293293</v>
      </c>
      <c r="BK249">
        <v>3.9048422624307659</v>
      </c>
      <c r="BV249" s="38"/>
      <c r="BW249" s="6">
        <f t="shared" si="216"/>
        <v>4.0840704496667097</v>
      </c>
      <c r="BX249" s="9">
        <f t="shared" ca="1" si="217"/>
        <v>-64.844312607714855</v>
      </c>
      <c r="BY249" s="9">
        <f t="shared" ca="1" si="218"/>
        <v>-13.372608272089591</v>
      </c>
      <c r="BZ249" s="9">
        <f t="shared" ca="1" si="219"/>
        <v>-130.91695448944427</v>
      </c>
      <c r="CA249" s="6">
        <f t="shared" ca="1" si="220"/>
        <v>8.6516056884868799</v>
      </c>
      <c r="CB249" s="6">
        <f t="shared" ca="1" si="221"/>
        <v>3.0756039187342008</v>
      </c>
      <c r="CC249" s="6">
        <f t="shared" ca="1" si="222"/>
        <v>2.7931558474558753E-3</v>
      </c>
      <c r="CD249" s="9">
        <f t="shared" si="223"/>
        <v>-120.91695448944427</v>
      </c>
      <c r="CE249" s="9">
        <f t="shared" si="224"/>
        <v>7.6516056884868799</v>
      </c>
      <c r="CF249" s="6">
        <f t="shared" si="225"/>
        <v>3.0783970745816567</v>
      </c>
      <c r="CG249" s="6"/>
      <c r="CH249" s="6"/>
      <c r="CI249" s="6"/>
      <c r="CJ249" s="1"/>
      <c r="CK249" s="6"/>
    </row>
    <row r="250" spans="55:89" x14ac:dyDescent="0.2">
      <c r="BC250">
        <v>4.3284165449459131</v>
      </c>
      <c r="BD250">
        <v>-106.53094911131309</v>
      </c>
      <c r="BE250">
        <v>2.1088774959957037</v>
      </c>
      <c r="BF250" s="6">
        <f t="shared" si="212"/>
        <v>3.1217993249471614</v>
      </c>
      <c r="BG250" s="6">
        <f t="shared" si="213"/>
        <v>1.2066172199987517</v>
      </c>
      <c r="BH250" s="6">
        <f t="shared" si="214"/>
        <v>-7.9875323848530133E-2</v>
      </c>
      <c r="BI250" s="6">
        <f t="shared" si="215"/>
        <v>7.9875323848530133E-2</v>
      </c>
      <c r="BJ250">
        <v>-163.89376786355859</v>
      </c>
      <c r="BK250">
        <v>3.244426916916467</v>
      </c>
      <c r="BV250" s="38"/>
      <c r="BW250" s="6">
        <f t="shared" si="216"/>
        <v>4.1015237421866528</v>
      </c>
      <c r="BX250" s="9">
        <f t="shared" ca="1" si="217"/>
        <v>-63.47408952704636</v>
      </c>
      <c r="BY250" s="9">
        <f t="shared" ca="1" si="218"/>
        <v>-13.859555835023329</v>
      </c>
      <c r="BZ250" s="9">
        <f t="shared" ca="1" si="219"/>
        <v>-129.54673140877577</v>
      </c>
      <c r="CA250" s="6">
        <f t="shared" ca="1" si="220"/>
        <v>8.1646581255531423</v>
      </c>
      <c r="CB250" s="6">
        <f t="shared" ca="1" si="221"/>
        <v>3.0786510928420263</v>
      </c>
      <c r="CC250" s="6">
        <f t="shared" ca="1" si="222"/>
        <v>3.0813001845069188E-3</v>
      </c>
      <c r="CD250" s="9">
        <f t="shared" si="223"/>
        <v>-119.54673140877577</v>
      </c>
      <c r="CE250" s="9">
        <f t="shared" si="224"/>
        <v>7.1646581255531423</v>
      </c>
      <c r="CF250" s="6">
        <f t="shared" si="225"/>
        <v>3.0817323930265332</v>
      </c>
      <c r="CG250" s="6"/>
      <c r="CH250" s="6"/>
      <c r="CI250" s="6"/>
      <c r="CJ250" s="1"/>
      <c r="CK250" s="6"/>
    </row>
    <row r="251" spans="55:89" x14ac:dyDescent="0.2">
      <c r="BC251">
        <v>4.3458698374658562</v>
      </c>
      <c r="BD251">
        <v>-104.48423408360743</v>
      </c>
      <c r="BE251">
        <v>1.6901410323138009</v>
      </c>
      <c r="BF251" s="6">
        <f t="shared" si="212"/>
        <v>3.1254180253907164</v>
      </c>
      <c r="BG251" s="6">
        <f t="shared" si="213"/>
        <v>1.2204518120751398</v>
      </c>
      <c r="BH251" s="6">
        <f t="shared" si="214"/>
        <v>-8.3494024292085189E-2</v>
      </c>
      <c r="BI251" s="6">
        <f t="shared" si="215"/>
        <v>8.3494024292085189E-2</v>
      </c>
      <c r="BJ251">
        <v>-160.7449755132422</v>
      </c>
      <c r="BK251">
        <v>2.6002169727904629</v>
      </c>
      <c r="BV251" s="38"/>
      <c r="BW251" s="6">
        <f t="shared" si="216"/>
        <v>4.1189770347065959</v>
      </c>
      <c r="BX251" s="9">
        <f t="shared" ca="1" si="217"/>
        <v>-62.076370216496215</v>
      </c>
      <c r="BY251" s="9">
        <f t="shared" ca="1" si="218"/>
        <v>-14.346950862726924</v>
      </c>
      <c r="BZ251" s="9">
        <f t="shared" ca="1" si="219"/>
        <v>-128.14901209822563</v>
      </c>
      <c r="CA251" s="6">
        <f t="shared" ca="1" si="220"/>
        <v>7.6772630978495471</v>
      </c>
      <c r="CB251" s="6">
        <f t="shared" ca="1" si="221"/>
        <v>3.0817552974732014</v>
      </c>
      <c r="CC251" s="6">
        <f t="shared" ca="1" si="222"/>
        <v>3.3818049261968848E-3</v>
      </c>
      <c r="CD251" s="9">
        <f t="shared" si="223"/>
        <v>-118.14901209822563</v>
      </c>
      <c r="CE251" s="9">
        <f t="shared" si="224"/>
        <v>6.6772630978495471</v>
      </c>
      <c r="CF251" s="6">
        <f t="shared" si="225"/>
        <v>3.0851371023993983</v>
      </c>
      <c r="CG251" s="6"/>
      <c r="CH251" s="6"/>
      <c r="CI251" s="6"/>
      <c r="CJ251" s="1"/>
      <c r="CK251" s="6"/>
    </row>
    <row r="252" spans="55:89" x14ac:dyDescent="0.2">
      <c r="BC252">
        <v>4.3633231299857993</v>
      </c>
      <c r="BD252">
        <v>-102.40353470175226</v>
      </c>
      <c r="BE252">
        <v>1.2831909460383135</v>
      </c>
      <c r="BF252" s="6">
        <f t="shared" si="212"/>
        <v>3.1290625803433678</v>
      </c>
      <c r="BG252" s="6">
        <f t="shared" si="213"/>
        <v>1.2342605496424315</v>
      </c>
      <c r="BH252" s="6">
        <f t="shared" si="214"/>
        <v>-8.7138579244736572E-2</v>
      </c>
      <c r="BI252" s="6">
        <f t="shared" si="215"/>
        <v>8.7138579244736572E-2</v>
      </c>
      <c r="BJ252">
        <v>-157.54389954115732</v>
      </c>
      <c r="BK252">
        <v>1.9741399169820206</v>
      </c>
      <c r="BV252" s="38"/>
      <c r="BW252" s="6">
        <f t="shared" si="216"/>
        <v>4.136430327226539</v>
      </c>
      <c r="BX252" s="9">
        <f t="shared" ca="1" si="217"/>
        <v>-60.650169144017298</v>
      </c>
      <c r="BY252" s="9">
        <f t="shared" ca="1" si="218"/>
        <v>-14.834529170706251</v>
      </c>
      <c r="BZ252" s="9">
        <f t="shared" ca="1" si="219"/>
        <v>-126.72281102574671</v>
      </c>
      <c r="CA252" s="6">
        <f t="shared" ca="1" si="220"/>
        <v>7.1896847898702205</v>
      </c>
      <c r="CB252" s="6">
        <f t="shared" ca="1" si="221"/>
        <v>3.0849178903170564</v>
      </c>
      <c r="CC252" s="6">
        <f t="shared" ca="1" si="222"/>
        <v>3.6954649673082152E-3</v>
      </c>
      <c r="CD252" s="9">
        <f t="shared" si="223"/>
        <v>-116.72281102574671</v>
      </c>
      <c r="CE252" s="9">
        <f t="shared" si="224"/>
        <v>6.1896847898702205</v>
      </c>
      <c r="CF252" s="6">
        <f t="shared" si="225"/>
        <v>3.0886133552843646</v>
      </c>
      <c r="CG252" s="6"/>
      <c r="CH252" s="6"/>
      <c r="CI252" s="6"/>
      <c r="CJ252" s="1"/>
      <c r="CK252" s="6"/>
    </row>
    <row r="253" spans="55:89" x14ac:dyDescent="0.2">
      <c r="BC253">
        <v>4.3807764225057424</v>
      </c>
      <c r="BD253">
        <v>-100.28931096758234</v>
      </c>
      <c r="BE253">
        <v>0.88931258439853256</v>
      </c>
      <c r="BF253" s="6">
        <f t="shared" si="212"/>
        <v>3.1327254147242667</v>
      </c>
      <c r="BG253" s="6">
        <f t="shared" si="213"/>
        <v>1.2480510077814757</v>
      </c>
      <c r="BH253" s="6">
        <f t="shared" si="214"/>
        <v>-9.080141362563543E-2</v>
      </c>
      <c r="BI253" s="6">
        <f t="shared" si="215"/>
        <v>9.080141362563543E-2</v>
      </c>
      <c r="BJ253">
        <v>-154.29124764243437</v>
      </c>
      <c r="BK253">
        <v>1.3681732067669732</v>
      </c>
      <c r="BV253" s="38"/>
      <c r="BW253" s="6">
        <f t="shared" si="216"/>
        <v>4.1538836197464821</v>
      </c>
      <c r="BX253" s="9">
        <f t="shared" ca="1" si="217"/>
        <v>-59.073552531228742</v>
      </c>
      <c r="BY253" s="9">
        <f t="shared" ca="1" si="218"/>
        <v>-15.319057092405659</v>
      </c>
      <c r="BZ253" s="9">
        <f t="shared" ca="1" si="219"/>
        <v>-125.14619441295815</v>
      </c>
      <c r="CA253" s="6">
        <f t="shared" ca="1" si="220"/>
        <v>6.7051568681708122</v>
      </c>
      <c r="CB253" s="6">
        <f t="shared" ca="1" si="221"/>
        <v>3.0880652423844586</v>
      </c>
      <c r="CC253" s="6">
        <f t="shared" ca="1" si="222"/>
        <v>4.0208234430854084E-3</v>
      </c>
      <c r="CD253" s="9">
        <f t="shared" si="223"/>
        <v>-115.14619441295815</v>
      </c>
      <c r="CE253" s="9">
        <f t="shared" si="224"/>
        <v>5.7051568681708122</v>
      </c>
      <c r="CF253" s="6">
        <f t="shared" si="225"/>
        <v>3.092086065827544</v>
      </c>
      <c r="CG253" s="6"/>
      <c r="CH253" s="6"/>
      <c r="CI253" s="6"/>
      <c r="CJ253" s="1"/>
      <c r="CK253" s="6"/>
    </row>
    <row r="254" spans="55:89" x14ac:dyDescent="0.2">
      <c r="BC254">
        <v>4.3982297150256855</v>
      </c>
      <c r="BD254">
        <v>-98.142188675467338</v>
      </c>
      <c r="BE254">
        <v>0.50978107074575352</v>
      </c>
      <c r="BF254" s="6">
        <f t="shared" si="212"/>
        <v>3.1363983890953775</v>
      </c>
      <c r="BG254" s="6">
        <f t="shared" si="213"/>
        <v>1.261831325930308</v>
      </c>
      <c r="BH254" s="6">
        <f t="shared" si="214"/>
        <v>-9.4474387996746234E-2</v>
      </c>
      <c r="BI254" s="6">
        <f t="shared" si="215"/>
        <v>9.4474387996746234E-2</v>
      </c>
      <c r="BJ254">
        <v>-150.98798257764204</v>
      </c>
      <c r="BK254">
        <v>0.78427857037808235</v>
      </c>
      <c r="BV254" s="38"/>
      <c r="BW254" s="6">
        <f t="shared" si="216"/>
        <v>4.1713369122664252</v>
      </c>
      <c r="BX254" s="9">
        <f t="shared" ca="1" si="217"/>
        <v>-57.356886070957671</v>
      </c>
      <c r="BY254" s="9">
        <f t="shared" ca="1" si="218"/>
        <v>-15.799109341178061</v>
      </c>
      <c r="BZ254" s="9">
        <f t="shared" ca="1" si="219"/>
        <v>-123.42952795268708</v>
      </c>
      <c r="CA254" s="6">
        <f t="shared" ca="1" si="220"/>
        <v>6.2251046193984099</v>
      </c>
      <c r="CB254" s="6">
        <f t="shared" ca="1" si="221"/>
        <v>3.0912008662484776</v>
      </c>
      <c r="CC254" s="6">
        <f t="shared" ca="1" si="222"/>
        <v>4.3595628722545854E-3</v>
      </c>
      <c r="CD254" s="9">
        <f t="shared" si="223"/>
        <v>-113.42952795268708</v>
      </c>
      <c r="CE254" s="9">
        <f t="shared" si="224"/>
        <v>5.2251046193984099</v>
      </c>
      <c r="CF254" s="6">
        <f t="shared" si="225"/>
        <v>3.0955604291207321</v>
      </c>
      <c r="CG254" s="6"/>
      <c r="CH254" s="6"/>
      <c r="CI254" s="6"/>
      <c r="CJ254" s="1"/>
      <c r="CK254" s="6"/>
    </row>
    <row r="255" spans="55:89" x14ac:dyDescent="0.2">
      <c r="BC255">
        <v>4.4156830075456286</v>
      </c>
      <c r="BD255">
        <v>-95.962912435607336</v>
      </c>
      <c r="BE255">
        <v>0.1457946439331039</v>
      </c>
      <c r="BF255" s="6">
        <f t="shared" si="212"/>
        <v>3.1400733736090407</v>
      </c>
      <c r="BG255" s="6">
        <f t="shared" si="213"/>
        <v>1.2756096339365879</v>
      </c>
      <c r="BH255" s="6">
        <f t="shared" si="214"/>
        <v>-9.8149372510409449E-2</v>
      </c>
      <c r="BI255" s="6">
        <f t="shared" si="215"/>
        <v>9.8149372510409449E-2</v>
      </c>
      <c r="BJ255">
        <v>-147.63524990093435</v>
      </c>
      <c r="BK255">
        <v>0.22429945220477523</v>
      </c>
      <c r="BV255" s="38"/>
      <c r="BW255" s="6">
        <f t="shared" si="216"/>
        <v>4.1887902047863683</v>
      </c>
      <c r="BX255" s="9">
        <f t="shared" ca="1" si="217"/>
        <v>-55.609817613004992</v>
      </c>
      <c r="BY255" s="9">
        <f t="shared" ca="1" si="218"/>
        <v>-16.276457520282833</v>
      </c>
      <c r="BZ255" s="9">
        <f t="shared" ca="1" si="219"/>
        <v>-121.6824594947344</v>
      </c>
      <c r="CA255" s="6">
        <f t="shared" ca="1" si="220"/>
        <v>5.7477564402936387</v>
      </c>
      <c r="CB255" s="6">
        <f t="shared" ca="1" si="221"/>
        <v>3.0943920352129535</v>
      </c>
      <c r="CC255" s="6">
        <f t="shared" ca="1" si="222"/>
        <v>4.7149898739387028E-3</v>
      </c>
      <c r="CD255" s="9">
        <f t="shared" si="223"/>
        <v>-111.6824594947344</v>
      </c>
      <c r="CE255" s="9">
        <f t="shared" si="224"/>
        <v>4.7477564402936396</v>
      </c>
      <c r="CF255" s="6">
        <f t="shared" si="225"/>
        <v>3.0991070250868922</v>
      </c>
      <c r="CG255" s="6"/>
      <c r="CH255" s="6"/>
      <c r="CI255" s="6"/>
      <c r="CJ255" s="1"/>
      <c r="CK255" s="6"/>
    </row>
    <row r="256" spans="55:89" x14ac:dyDescent="0.2">
      <c r="BC256">
        <v>4.4331363000655717</v>
      </c>
      <c r="BD256">
        <v>-93.752246316607497</v>
      </c>
      <c r="BE256">
        <v>-0.20162756058022852</v>
      </c>
      <c r="BF256" s="6">
        <f t="shared" si="212"/>
        <v>3.1437432927226414</v>
      </c>
      <c r="BG256" s="6">
        <f t="shared" si="213"/>
        <v>1.2893930073429303</v>
      </c>
      <c r="BH256" s="6">
        <f t="shared" si="214"/>
        <v>-0.10181929162401016</v>
      </c>
      <c r="BI256" s="6">
        <f t="shared" si="215"/>
        <v>0.10181929162401016</v>
      </c>
      <c r="BJ256">
        <v>-144.23422510247306</v>
      </c>
      <c r="BK256">
        <v>-0.31019624704650539</v>
      </c>
      <c r="BV256" s="38"/>
      <c r="BW256" s="6">
        <f t="shared" si="216"/>
        <v>4.2062434973063114</v>
      </c>
      <c r="BX256" s="9">
        <f t="shared" ca="1" si="217"/>
        <v>-53.83154304379191</v>
      </c>
      <c r="BY256" s="9">
        <f t="shared" ca="1" si="218"/>
        <v>-16.750546204190183</v>
      </c>
      <c r="BZ256" s="9">
        <f t="shared" ca="1" si="219"/>
        <v>-119.90418492552132</v>
      </c>
      <c r="CA256" s="6">
        <f t="shared" ca="1" si="220"/>
        <v>5.2736677563862884</v>
      </c>
      <c r="CB256" s="6">
        <f t="shared" ca="1" si="221"/>
        <v>3.0976386318229667</v>
      </c>
      <c r="CC256" s="6">
        <f t="shared" ca="1" si="222"/>
        <v>5.0882071719886568E-3</v>
      </c>
      <c r="CD256" s="9">
        <f t="shared" si="223"/>
        <v>-109.90418492552132</v>
      </c>
      <c r="CE256" s="9">
        <f t="shared" si="224"/>
        <v>4.2736677563862884</v>
      </c>
      <c r="CF256" s="6">
        <f t="shared" si="225"/>
        <v>3.1027268389949554</v>
      </c>
      <c r="CG256" s="6"/>
      <c r="CH256" s="6"/>
      <c r="CI256" s="6"/>
      <c r="CJ256" s="1"/>
      <c r="CK256" s="6"/>
    </row>
    <row r="257" spans="55:89" x14ac:dyDescent="0.2">
      <c r="BC257">
        <v>4.4505895925855148</v>
      </c>
      <c r="BD257">
        <v>-91.510785779800756</v>
      </c>
      <c r="BE257">
        <v>-0.53180109361973227</v>
      </c>
      <c r="BF257" s="6">
        <f t="shared" si="212"/>
        <v>3.1474039369547775</v>
      </c>
      <c r="BG257" s="6">
        <f t="shared" si="213"/>
        <v>1.3031856556307373</v>
      </c>
      <c r="BH257" s="6">
        <f t="shared" si="214"/>
        <v>-0.10547993585614623</v>
      </c>
      <c r="BI257" s="6">
        <f t="shared" si="215"/>
        <v>0.10547993585614623</v>
      </c>
      <c r="BJ257">
        <v>-140.78582427661655</v>
      </c>
      <c r="BK257">
        <v>-0.81815552864574193</v>
      </c>
      <c r="BV257" s="38"/>
      <c r="BW257" s="6">
        <f t="shared" si="216"/>
        <v>4.2236967898262545</v>
      </c>
      <c r="BX257" s="9">
        <f t="shared" ca="1" si="217"/>
        <v>-52.021317834105389</v>
      </c>
      <c r="BY257" s="9">
        <f t="shared" ca="1" si="218"/>
        <v>-17.220749292435869</v>
      </c>
      <c r="BZ257" s="9">
        <f t="shared" ca="1" si="219"/>
        <v>-118.0939597158348</v>
      </c>
      <c r="CA257" s="6">
        <f t="shared" ca="1" si="220"/>
        <v>4.8034646681406024</v>
      </c>
      <c r="CB257" s="6">
        <f t="shared" ca="1" si="221"/>
        <v>3.1009401233979847</v>
      </c>
      <c r="CC257" s="6">
        <f t="shared" ca="1" si="222"/>
        <v>5.4803878020988073E-3</v>
      </c>
      <c r="CD257" s="9">
        <f t="shared" si="223"/>
        <v>-108.0939597158348</v>
      </c>
      <c r="CE257" s="9">
        <f t="shared" si="224"/>
        <v>3.8034646681406006</v>
      </c>
      <c r="CF257" s="6">
        <f t="shared" si="225"/>
        <v>3.1064205112000836</v>
      </c>
      <c r="CG257" s="6"/>
      <c r="CH257" s="6"/>
      <c r="CI257" s="6"/>
      <c r="CJ257" s="1"/>
      <c r="CK257" s="6"/>
    </row>
    <row r="258" spans="55:89" x14ac:dyDescent="0.2">
      <c r="BC258">
        <v>4.4680428851054579</v>
      </c>
      <c r="BD258">
        <v>-89.238750881962631</v>
      </c>
      <c r="BE258">
        <v>-0.8445089429779522</v>
      </c>
      <c r="BF258" s="6">
        <f t="shared" si="212"/>
        <v>3.1510558489539995</v>
      </c>
      <c r="BG258" s="6">
        <f t="shared" si="213"/>
        <v>1.3169870361514584</v>
      </c>
      <c r="BH258" s="6">
        <f t="shared" si="214"/>
        <v>-0.10913184785536822</v>
      </c>
      <c r="BI258" s="6">
        <f t="shared" si="215"/>
        <v>0.10913184785536822</v>
      </c>
      <c r="BJ258">
        <v>-137.29038597225019</v>
      </c>
      <c r="BK258">
        <v>-1.2992445276583879</v>
      </c>
      <c r="BV258" s="38"/>
      <c r="BW258" s="6">
        <f t="shared" si="216"/>
        <v>4.2411500823461976</v>
      </c>
      <c r="BX258" s="9">
        <f t="shared" ca="1" si="217"/>
        <v>-50.178469600681169</v>
      </c>
      <c r="BY258" s="9">
        <f t="shared" ca="1" si="218"/>
        <v>-17.686365237702329</v>
      </c>
      <c r="BZ258" s="9">
        <f t="shared" ca="1" si="219"/>
        <v>-116.25111148241058</v>
      </c>
      <c r="CA258" s="6">
        <f t="shared" ca="1" si="220"/>
        <v>4.337848722874142</v>
      </c>
      <c r="CB258" s="6">
        <f t="shared" ca="1" si="221"/>
        <v>3.104295486694538</v>
      </c>
      <c r="CC258" s="6">
        <f t="shared" ca="1" si="222"/>
        <v>5.8927768395378166E-3</v>
      </c>
      <c r="CD258" s="9">
        <f t="shared" si="223"/>
        <v>-106.25111148241058</v>
      </c>
      <c r="CE258" s="9">
        <f t="shared" si="224"/>
        <v>3.337848722874142</v>
      </c>
      <c r="CF258" s="6">
        <f t="shared" si="225"/>
        <v>3.1101882635340758</v>
      </c>
      <c r="CG258" s="6"/>
      <c r="CH258" s="6"/>
      <c r="CI258" s="6"/>
      <c r="CJ258" s="1"/>
      <c r="CK258" s="6"/>
    </row>
    <row r="259" spans="55:89" x14ac:dyDescent="0.2">
      <c r="BC259">
        <v>4.485496177625401</v>
      </c>
      <c r="BD259">
        <v>-86.936268339363977</v>
      </c>
      <c r="BE259">
        <v>-1.1397250716241432</v>
      </c>
      <c r="BF259" s="6">
        <f t="shared" ref="BF259:BF322" si="226">IF(BC259&lt;&gt;"",IF(AND(BD259=0,BE259=0),0,MOD(ATAN2(BD259,BE259),2*PI())),NA())</f>
        <v>3.1547017944070461</v>
      </c>
      <c r="BG259" s="6">
        <f t="shared" ref="BG259:BG322" si="227">ABS(BC259-BF259)</f>
        <v>1.3307943832183549</v>
      </c>
      <c r="BH259" s="6">
        <f t="shared" ref="BH259:BH322" si="228">ATAN2(COS($U$13-BF259),SIN($U$13-BF259))</f>
        <v>-0.11277779330841486</v>
      </c>
      <c r="BI259" s="6">
        <f t="shared" ref="BI259:BI322" si="229">ABS(BH259)</f>
        <v>0.11277779330841486</v>
      </c>
      <c r="BJ259">
        <v>-133.74810513748304</v>
      </c>
      <c r="BK259">
        <v>-1.7534231871140664</v>
      </c>
      <c r="BV259" s="38"/>
      <c r="BW259" s="6">
        <f t="shared" si="216"/>
        <v>4.2586033748661407</v>
      </c>
      <c r="BX259" s="9">
        <f t="shared" ca="1" si="217"/>
        <v>-48.302412307624522</v>
      </c>
      <c r="BY259" s="9">
        <f t="shared" ca="1" si="218"/>
        <v>-18.14661266024639</v>
      </c>
      <c r="BZ259" s="9">
        <f t="shared" ca="1" si="219"/>
        <v>-114.37505418935393</v>
      </c>
      <c r="CA259" s="6">
        <f t="shared" ca="1" si="220"/>
        <v>3.8776013003300811</v>
      </c>
      <c r="CB259" s="6">
        <f t="shared" ca="1" si="221"/>
        <v>3.1077031246284852</v>
      </c>
      <c r="CC259" s="6">
        <f t="shared" ca="1" si="222"/>
        <v>6.3266924996008287E-3</v>
      </c>
      <c r="CD259" s="9">
        <f t="shared" si="223"/>
        <v>-104.37505418935393</v>
      </c>
      <c r="CE259" s="9">
        <f t="shared" si="224"/>
        <v>2.8776013003300807</v>
      </c>
      <c r="CF259" s="6">
        <f t="shared" si="225"/>
        <v>3.114029817128086</v>
      </c>
      <c r="CG259" s="6"/>
      <c r="CH259" s="6"/>
      <c r="CI259" s="6"/>
      <c r="CJ259" s="1"/>
      <c r="CK259" s="6"/>
    </row>
    <row r="260" spans="55:89" x14ac:dyDescent="0.2">
      <c r="BC260">
        <v>4.5029494701453441</v>
      </c>
      <c r="BD260">
        <v>-84.603629177131651</v>
      </c>
      <c r="BE260">
        <v>-1.4174084481633435</v>
      </c>
      <c r="BF260" s="6">
        <f t="shared" si="226"/>
        <v>3.1583446046746948</v>
      </c>
      <c r="BG260" s="6">
        <f t="shared" si="227"/>
        <v>1.3446048654706493</v>
      </c>
      <c r="BH260" s="6">
        <f t="shared" si="228"/>
        <v>-0.11642060357606354</v>
      </c>
      <c r="BI260" s="6">
        <f t="shared" si="229"/>
        <v>0.11642060357606354</v>
      </c>
      <c r="BJ260">
        <v>-130.15942950327945</v>
      </c>
      <c r="BK260">
        <v>-2.1806283817897594</v>
      </c>
      <c r="BV260" s="38"/>
      <c r="BW260" s="6">
        <f t="shared" si="216"/>
        <v>4.2760566673860838</v>
      </c>
      <c r="BX260" s="9">
        <f t="shared" ca="1" si="217"/>
        <v>-46.392662008854884</v>
      </c>
      <c r="BY260" s="9">
        <f t="shared" ca="1" si="218"/>
        <v>-18.600626722189517</v>
      </c>
      <c r="BZ260" s="9">
        <f t="shared" ca="1" si="219"/>
        <v>-112.46530389058429</v>
      </c>
      <c r="CA260" s="6">
        <f t="shared" ca="1" si="220"/>
        <v>3.4235872383869541</v>
      </c>
      <c r="CB260" s="6">
        <f t="shared" ca="1" si="221"/>
        <v>3.1111607764301241</v>
      </c>
      <c r="CC260" s="6">
        <f t="shared" ca="1" si="222"/>
        <v>6.7835265772107078E-3</v>
      </c>
      <c r="CD260" s="9">
        <f t="shared" si="223"/>
        <v>-102.46530389058429</v>
      </c>
      <c r="CE260" s="9">
        <f t="shared" si="224"/>
        <v>2.423587238386955</v>
      </c>
      <c r="CF260" s="6">
        <f t="shared" si="225"/>
        <v>3.1179443030073348</v>
      </c>
      <c r="CG260" s="6"/>
      <c r="CH260" s="6"/>
      <c r="CI260" s="6"/>
      <c r="CJ260" s="1"/>
      <c r="CK260" s="6"/>
    </row>
    <row r="261" spans="55:89" x14ac:dyDescent="0.2">
      <c r="BC261">
        <v>4.5204027626652872</v>
      </c>
      <c r="BD261">
        <v>-82.241323037079198</v>
      </c>
      <c r="BE261">
        <v>-1.6774983436771329</v>
      </c>
      <c r="BF261" s="6">
        <f t="shared" si="226"/>
        <v>3.1619870939944126</v>
      </c>
      <c r="BG261" s="6">
        <f t="shared" si="227"/>
        <v>1.3584156686708746</v>
      </c>
      <c r="BH261" s="6">
        <f t="shared" si="228"/>
        <v>-0.12006309289578131</v>
      </c>
      <c r="BI261" s="6">
        <f t="shared" si="229"/>
        <v>0.12006309289578131</v>
      </c>
      <c r="BJ261">
        <v>-126.52511236473723</v>
      </c>
      <c r="BK261">
        <v>-2.5807666825802045</v>
      </c>
      <c r="BV261" s="38"/>
      <c r="BW261" s="6">
        <f t="shared" si="216"/>
        <v>4.2935099599060269</v>
      </c>
      <c r="BX261" s="9">
        <f t="shared" ca="1" si="217"/>
        <v>-44.448853886845441</v>
      </c>
      <c r="BY261" s="9">
        <f t="shared" ca="1" si="218"/>
        <v>-19.047456828735083</v>
      </c>
      <c r="BZ261" s="9">
        <f t="shared" ca="1" si="219"/>
        <v>-110.52149576857485</v>
      </c>
      <c r="CA261" s="6">
        <f t="shared" ca="1" si="220"/>
        <v>2.9767571318413886</v>
      </c>
      <c r="CB261" s="6">
        <f t="shared" ca="1" si="221"/>
        <v>3.1146654244719576</v>
      </c>
      <c r="CC261" s="6">
        <f t="shared" ca="1" si="222"/>
        <v>7.2647443597984029E-3</v>
      </c>
      <c r="CD261" s="9">
        <f t="shared" si="223"/>
        <v>-100.52149576857485</v>
      </c>
      <c r="CE261" s="9">
        <f t="shared" si="224"/>
        <v>1.9767571318413872</v>
      </c>
      <c r="CF261" s="6">
        <f t="shared" si="225"/>
        <v>3.121930168831756</v>
      </c>
      <c r="CG261" s="6"/>
      <c r="CH261" s="6"/>
      <c r="CI261" s="6"/>
      <c r="CJ261" s="1"/>
      <c r="CK261" s="6"/>
    </row>
    <row r="262" spans="55:89" x14ac:dyDescent="0.2">
      <c r="BC262">
        <v>4.5378560551852303</v>
      </c>
      <c r="BD262">
        <v>-79.850065558772641</v>
      </c>
      <c r="BE262">
        <v>-1.9199182264165349</v>
      </c>
      <c r="BF262" s="6">
        <f t="shared" si="226"/>
        <v>3.1656320624850984</v>
      </c>
      <c r="BG262" s="6">
        <f t="shared" si="227"/>
        <v>1.3722239927001318</v>
      </c>
      <c r="BH262" s="6">
        <f t="shared" si="228"/>
        <v>-0.12370806138646716</v>
      </c>
      <c r="BI262" s="6">
        <f t="shared" si="229"/>
        <v>0.12370806138646716</v>
      </c>
      <c r="BJ262">
        <v>-122.84625470580406</v>
      </c>
      <c r="BK262">
        <v>-2.9537203483331305</v>
      </c>
      <c r="BV262" s="38"/>
      <c r="BW262" s="6">
        <f t="shared" si="216"/>
        <v>4.31096325242597</v>
      </c>
      <c r="BX262" s="9">
        <f t="shared" ca="1" si="217"/>
        <v>-42.470760074176994</v>
      </c>
      <c r="BY262" s="9">
        <f t="shared" ca="1" si="218"/>
        <v>-19.486066489996475</v>
      </c>
      <c r="BZ262" s="9">
        <f t="shared" ca="1" si="219"/>
        <v>-108.5434019559064</v>
      </c>
      <c r="CA262" s="6">
        <f t="shared" ca="1" si="220"/>
        <v>2.5381474705799967</v>
      </c>
      <c r="CB262" s="6">
        <f t="shared" ca="1" si="221"/>
        <v>3.1182132039073824</v>
      </c>
      <c r="CC262" s="6">
        <f t="shared" ca="1" si="222"/>
        <v>7.7718844628851258E-3</v>
      </c>
      <c r="CD262" s="9">
        <f t="shared" si="223"/>
        <v>-98.543401955906404</v>
      </c>
      <c r="CE262" s="9">
        <f t="shared" si="224"/>
        <v>1.538147470579998</v>
      </c>
      <c r="CF262" s="6">
        <f t="shared" si="225"/>
        <v>3.1259850883702676</v>
      </c>
      <c r="CG262" s="6"/>
      <c r="CH262" s="6"/>
      <c r="CI262" s="6"/>
      <c r="CJ262" s="1"/>
      <c r="CK262" s="6"/>
    </row>
    <row r="263" spans="55:89" x14ac:dyDescent="0.2">
      <c r="BC263">
        <v>4.5553093477051734</v>
      </c>
      <c r="BD263">
        <v>-77.430828585299949</v>
      </c>
      <c r="BE263">
        <v>-2.1445801691069488</v>
      </c>
      <c r="BF263" s="6">
        <f t="shared" si="226"/>
        <v>3.1692822971769812</v>
      </c>
      <c r="BG263" s="6">
        <f t="shared" si="227"/>
        <v>1.3860270505281922</v>
      </c>
      <c r="BH263" s="6">
        <f t="shared" si="228"/>
        <v>-0.12735829607834992</v>
      </c>
      <c r="BI263" s="6">
        <f t="shared" si="229"/>
        <v>0.12735829607834992</v>
      </c>
      <c r="BJ263">
        <v>-119.12435166969223</v>
      </c>
      <c r="BK263">
        <v>-3.2993541063183827</v>
      </c>
      <c r="BV263" s="38"/>
      <c r="BW263" s="6">
        <f t="shared" si="216"/>
        <v>4.3284165449459131</v>
      </c>
      <c r="BX263" s="9">
        <f t="shared" ca="1" si="217"/>
        <v>-40.458307229583681</v>
      </c>
      <c r="BY263" s="9">
        <f t="shared" ca="1" si="218"/>
        <v>-19.915336464580768</v>
      </c>
      <c r="BZ263" s="9">
        <f t="shared" ca="1" si="219"/>
        <v>-106.53094911131309</v>
      </c>
      <c r="CA263" s="6">
        <f t="shared" ca="1" si="220"/>
        <v>2.1088774959957028</v>
      </c>
      <c r="CB263" s="6">
        <f t="shared" ca="1" si="221"/>
        <v>3.1217993249471614</v>
      </c>
      <c r="CC263" s="6">
        <f t="shared" ca="1" si="222"/>
        <v>8.3065595268734249E-3</v>
      </c>
      <c r="CD263" s="9">
        <f t="shared" si="223"/>
        <v>-96.530949111313092</v>
      </c>
      <c r="CE263" s="9">
        <f t="shared" si="224"/>
        <v>1.1088774959957037</v>
      </c>
      <c r="CF263" s="6">
        <f t="shared" si="225"/>
        <v>3.1301058844740348</v>
      </c>
      <c r="CG263" s="6"/>
      <c r="CH263" s="6"/>
      <c r="CI263" s="6"/>
      <c r="CJ263" s="1"/>
      <c r="CK263" s="6"/>
    </row>
    <row r="264" spans="55:89" x14ac:dyDescent="0.2">
      <c r="BC264">
        <v>4.5727626402251165</v>
      </c>
      <c r="BD264">
        <v>-74.984873291047862</v>
      </c>
      <c r="BE264">
        <v>-2.3513899109673568</v>
      </c>
      <c r="BF264" s="6">
        <f t="shared" si="226"/>
        <v>3.1729405711990206</v>
      </c>
      <c r="BG264" s="6">
        <f t="shared" si="227"/>
        <v>1.3998220690260958</v>
      </c>
      <c r="BH264" s="6">
        <f t="shared" si="228"/>
        <v>-0.13101657010038936</v>
      </c>
      <c r="BI264" s="6">
        <f t="shared" si="229"/>
        <v>0.13101657010038936</v>
      </c>
      <c r="BJ264">
        <v>-115.36134352468902</v>
      </c>
      <c r="BK264">
        <v>-3.6175229399497795</v>
      </c>
      <c r="BV264" s="38"/>
      <c r="BW264" s="6">
        <f t="shared" si="216"/>
        <v>4.3458698374658562</v>
      </c>
      <c r="BX264" s="9">
        <f t="shared" ca="1" si="217"/>
        <v>-38.411592201878022</v>
      </c>
      <c r="BY264" s="9">
        <f t="shared" ca="1" si="218"/>
        <v>-20.334072928262671</v>
      </c>
      <c r="BZ264" s="9">
        <f t="shared" ca="1" si="219"/>
        <v>-104.48423408360743</v>
      </c>
      <c r="CA264" s="6">
        <f t="shared" ca="1" si="220"/>
        <v>1.6901410323138002</v>
      </c>
      <c r="CB264" s="6">
        <f t="shared" ca="1" si="221"/>
        <v>3.1254180253907164</v>
      </c>
      <c r="CC264" s="6">
        <f t="shared" ca="1" si="222"/>
        <v>8.870459776122443E-3</v>
      </c>
      <c r="CD264" s="9">
        <f t="shared" si="223"/>
        <v>-94.484234083607433</v>
      </c>
      <c r="CE264" s="9">
        <f t="shared" si="224"/>
        <v>0.69014103231380086</v>
      </c>
      <c r="CF264" s="6">
        <f t="shared" si="225"/>
        <v>3.1342884851668389</v>
      </c>
      <c r="CG264" s="6"/>
      <c r="CH264" s="6"/>
      <c r="CI264" s="6"/>
      <c r="CJ264" s="1"/>
      <c r="CK264" s="6"/>
    </row>
    <row r="265" spans="55:89" x14ac:dyDescent="0.2">
      <c r="BC265">
        <v>4.5902159327450596</v>
      </c>
      <c r="BD265">
        <v>-72.513786276592157</v>
      </c>
      <c r="BE265">
        <v>-2.5402525906395068</v>
      </c>
      <c r="BF265" s="6">
        <f t="shared" si="226"/>
        <v>3.1766096394526127</v>
      </c>
      <c r="BG265" s="6">
        <f t="shared" si="227"/>
        <v>1.4136062932924469</v>
      </c>
      <c r="BH265" s="6">
        <f t="shared" si="228"/>
        <v>-0.1346856383539814</v>
      </c>
      <c r="BI265" s="6">
        <f t="shared" si="229"/>
        <v>0.1346856383539814</v>
      </c>
      <c r="BJ265">
        <v>-111.55967119475716</v>
      </c>
      <c r="BK265">
        <v>-3.9080809086761641</v>
      </c>
      <c r="BV265" s="38"/>
      <c r="BW265" s="6">
        <f t="shared" si="216"/>
        <v>4.3633231299857993</v>
      </c>
      <c r="BX265" s="9">
        <f t="shared" ca="1" si="217"/>
        <v>-36.330892820022854</v>
      </c>
      <c r="BY265" s="9">
        <f t="shared" ca="1" si="218"/>
        <v>-20.741023014538158</v>
      </c>
      <c r="BZ265" s="9">
        <f t="shared" ca="1" si="219"/>
        <v>-102.40353470175226</v>
      </c>
      <c r="CA265" s="6">
        <f t="shared" ca="1" si="220"/>
        <v>1.2831909460383137</v>
      </c>
      <c r="CB265" s="6">
        <f t="shared" ca="1" si="221"/>
        <v>3.1290625803433678</v>
      </c>
      <c r="CC265" s="6">
        <f t="shared" ca="1" si="222"/>
        <v>9.4653630020284929E-3</v>
      </c>
      <c r="CD265" s="9">
        <f t="shared" si="223"/>
        <v>-92.403534701752264</v>
      </c>
      <c r="CE265" s="9">
        <f t="shared" si="224"/>
        <v>0.28319094603831352</v>
      </c>
      <c r="CF265" s="6">
        <f t="shared" si="225"/>
        <v>3.1385279433453963</v>
      </c>
      <c r="CG265" s="6"/>
      <c r="CH265" s="6"/>
      <c r="CI265" s="6"/>
      <c r="CJ265" s="1"/>
      <c r="CK265" s="6"/>
    </row>
    <row r="266" spans="55:89" x14ac:dyDescent="0.2">
      <c r="BC266">
        <v>4.6076692252650027</v>
      </c>
      <c r="BD266">
        <v>-70.019518574389835</v>
      </c>
      <c r="BE266">
        <v>-2.7110793821296326</v>
      </c>
      <c r="BF266" s="6">
        <f t="shared" si="226"/>
        <v>3.1802922316432172</v>
      </c>
      <c r="BG266" s="6">
        <f t="shared" si="227"/>
        <v>1.4273769936217855</v>
      </c>
      <c r="BH266" s="6">
        <f t="shared" si="228"/>
        <v>-0.13836823054458589</v>
      </c>
      <c r="BI266" s="6">
        <f t="shared" si="229"/>
        <v>0.13836823054458589</v>
      </c>
      <c r="BJ266">
        <v>-107.72233626829205</v>
      </c>
      <c r="BK266">
        <v>-4.1708913571225112</v>
      </c>
      <c r="BV266" s="38"/>
      <c r="BW266" s="6">
        <f t="shared" si="216"/>
        <v>4.3807764225057424</v>
      </c>
      <c r="BX266" s="9">
        <f t="shared" ca="1" si="217"/>
        <v>-34.216669085852928</v>
      </c>
      <c r="BY266" s="9">
        <f t="shared" ca="1" si="218"/>
        <v>-21.13490137617794</v>
      </c>
      <c r="BZ266" s="9">
        <f t="shared" ca="1" si="219"/>
        <v>-100.28931096758234</v>
      </c>
      <c r="CA266" s="6">
        <f t="shared" ca="1" si="220"/>
        <v>0.88931258439853167</v>
      </c>
      <c r="CB266" s="6">
        <f t="shared" ca="1" si="221"/>
        <v>3.1327254147242667</v>
      </c>
      <c r="CC266" s="6">
        <f t="shared" ca="1" si="222"/>
        <v>1.0093157625626036E-2</v>
      </c>
      <c r="CD266" s="9">
        <f t="shared" si="223"/>
        <v>-90.289310967582338</v>
      </c>
      <c r="CE266" s="9">
        <f t="shared" si="224"/>
        <v>-0.11068741560146744</v>
      </c>
      <c r="CF266" s="6">
        <f t="shared" si="225"/>
        <v>-3.1403667348296938</v>
      </c>
      <c r="CG266" s="6"/>
      <c r="CH266" s="6"/>
      <c r="CI266" s="6"/>
      <c r="CJ266" s="1"/>
      <c r="CK266" s="6"/>
    </row>
    <row r="267" spans="55:89" x14ac:dyDescent="0.2">
      <c r="BC267">
        <v>4.6251225177849458</v>
      </c>
      <c r="BD267">
        <v>-67.50442742432881</v>
      </c>
      <c r="BE267">
        <v>-2.8637950029133963</v>
      </c>
      <c r="BF267" s="6">
        <f t="shared" si="226"/>
        <v>3.1839910398640043</v>
      </c>
      <c r="BG267" s="6">
        <f t="shared" si="227"/>
        <v>1.4411314779209414</v>
      </c>
      <c r="BH267" s="6">
        <f t="shared" si="228"/>
        <v>-0.14206703876537305</v>
      </c>
      <c r="BI267" s="6">
        <f t="shared" si="229"/>
        <v>0.14206703876537305</v>
      </c>
      <c r="BJ267">
        <v>-103.85296526819816</v>
      </c>
      <c r="BK267">
        <v>-4.4058384660206098</v>
      </c>
      <c r="BV267" s="38"/>
      <c r="BW267" s="6">
        <f t="shared" si="216"/>
        <v>4.3982297150256855</v>
      </c>
      <c r="BX267" s="9">
        <f t="shared" ca="1" si="217"/>
        <v>-32.069546793737928</v>
      </c>
      <c r="BY267" s="9">
        <f t="shared" ca="1" si="218"/>
        <v>-21.514432889830719</v>
      </c>
      <c r="BZ267" s="9">
        <f t="shared" ca="1" si="219"/>
        <v>-98.142188675467338</v>
      </c>
      <c r="CA267" s="6">
        <f t="shared" ca="1" si="220"/>
        <v>0.50978107074575263</v>
      </c>
      <c r="CB267" s="6">
        <f t="shared" ca="1" si="221"/>
        <v>3.1363983890953775</v>
      </c>
      <c r="CC267" s="6">
        <f t="shared" ca="1" si="222"/>
        <v>1.0755890342132333E-2</v>
      </c>
      <c r="CD267" s="9">
        <f t="shared" si="223"/>
        <v>-88.142188675467338</v>
      </c>
      <c r="CE267" s="9">
        <f t="shared" si="224"/>
        <v>-0.49021892925424648</v>
      </c>
      <c r="CF267" s="6">
        <f t="shared" si="225"/>
        <v>-3.1360310277420762</v>
      </c>
      <c r="CG267" s="6"/>
      <c r="CH267" s="6"/>
      <c r="CI267" s="6"/>
      <c r="CJ267" s="1"/>
      <c r="CK267" s="6"/>
    </row>
    <row r="268" spans="55:89" x14ac:dyDescent="0.2">
      <c r="BC268">
        <v>4.6425758103048889</v>
      </c>
      <c r="BD268">
        <v>-64.971320495667797</v>
      </c>
      <c r="BE268">
        <v>-2.9983463023412824</v>
      </c>
      <c r="BF268" s="6">
        <f t="shared" si="226"/>
        <v>3.1877087008019744</v>
      </c>
      <c r="BG268" s="6">
        <f t="shared" si="227"/>
        <v>1.4548671095029144</v>
      </c>
      <c r="BH268" s="6">
        <f t="shared" si="228"/>
        <v>-0.14578469970334321</v>
      </c>
      <c r="BI268" s="6">
        <f t="shared" si="229"/>
        <v>0.14578469970334321</v>
      </c>
      <c r="BJ268">
        <v>-99.955877685642761</v>
      </c>
      <c r="BK268">
        <v>-4.612840465140434</v>
      </c>
      <c r="BV268" s="38"/>
      <c r="BW268" s="6">
        <f t="shared" si="216"/>
        <v>4.4156830075456286</v>
      </c>
      <c r="BX268" s="9">
        <f t="shared" ca="1" si="217"/>
        <v>-29.890270553877926</v>
      </c>
      <c r="BY268" s="9">
        <f t="shared" ca="1" si="218"/>
        <v>-21.878419316643367</v>
      </c>
      <c r="BZ268" s="9">
        <f t="shared" ca="1" si="219"/>
        <v>-95.962912435607336</v>
      </c>
      <c r="CA268" s="6">
        <f t="shared" ca="1" si="220"/>
        <v>0.1457946439331046</v>
      </c>
      <c r="CB268" s="6">
        <f t="shared" ca="1" si="221"/>
        <v>3.1400733736090407</v>
      </c>
      <c r="CC268" s="6">
        <f t="shared" ca="1" si="222"/>
        <v>1.1455858653911542E-2</v>
      </c>
      <c r="CD268" s="9">
        <f t="shared" si="223"/>
        <v>-85.962912435607336</v>
      </c>
      <c r="CE268" s="9">
        <f t="shared" si="224"/>
        <v>-0.85420535606689607</v>
      </c>
      <c r="CF268" s="6">
        <f t="shared" si="225"/>
        <v>-3.1316560749166342</v>
      </c>
      <c r="CG268" s="6"/>
      <c r="CH268" s="6"/>
      <c r="CI268" s="6"/>
      <c r="CJ268" s="1"/>
      <c r="CK268" s="6"/>
    </row>
    <row r="269" spans="55:89" x14ac:dyDescent="0.2">
      <c r="BC269">
        <v>4.660029102824832</v>
      </c>
      <c r="BD269">
        <v>-62.423502059424003</v>
      </c>
      <c r="BE269">
        <v>-3.1147119649221353</v>
      </c>
      <c r="BF269" s="6">
        <f t="shared" si="226"/>
        <v>3.1914477700410386</v>
      </c>
      <c r="BG269" s="6">
        <f t="shared" si="227"/>
        <v>1.4685813327837933</v>
      </c>
      <c r="BH269" s="6">
        <f t="shared" si="228"/>
        <v>-0.14952376894240738</v>
      </c>
      <c r="BI269" s="6">
        <f t="shared" si="229"/>
        <v>0.14952376894240738</v>
      </c>
      <c r="BJ269">
        <v>-96.036157014498457</v>
      </c>
      <c r="BK269">
        <v>-4.7918645614186692</v>
      </c>
      <c r="BV269" s="38"/>
      <c r="BW269" s="6">
        <f t="shared" si="216"/>
        <v>4.4331363000655717</v>
      </c>
      <c r="BX269" s="9">
        <f t="shared" ca="1" si="217"/>
        <v>-27.679604434878087</v>
      </c>
      <c r="BY269" s="9">
        <f t="shared" ca="1" si="218"/>
        <v>-22.225841521156699</v>
      </c>
      <c r="BZ269" s="9">
        <f t="shared" ca="1" si="219"/>
        <v>-93.752246316607497</v>
      </c>
      <c r="CA269" s="6">
        <f t="shared" ca="1" si="220"/>
        <v>-0.20162756058022779</v>
      </c>
      <c r="CB269" s="6">
        <f t="shared" ca="1" si="221"/>
        <v>-3.1394420144569448</v>
      </c>
      <c r="CC269" s="6">
        <f t="shared" ca="1" si="222"/>
        <v>1.2195783473045728E-2</v>
      </c>
      <c r="CD269" s="9">
        <f t="shared" si="223"/>
        <v>-83.752246316607497</v>
      </c>
      <c r="CE269" s="9">
        <f t="shared" si="224"/>
        <v>-1.2016275605802285</v>
      </c>
      <c r="CF269" s="6">
        <f t="shared" si="225"/>
        <v>-3.1272462309838991</v>
      </c>
      <c r="CG269" s="6"/>
      <c r="CH269" s="6"/>
      <c r="CI269" s="6"/>
      <c r="CJ269" s="1"/>
      <c r="CK269" s="6"/>
    </row>
    <row r="270" spans="55:89" x14ac:dyDescent="0.2">
      <c r="BC270">
        <v>4.6774823953447751</v>
      </c>
      <c r="BD270">
        <v>-59.864820338606251</v>
      </c>
      <c r="BE270">
        <v>-3.2129134433310833</v>
      </c>
      <c r="BF270" s="6">
        <f t="shared" si="226"/>
        <v>3.1952106868008219</v>
      </c>
      <c r="BG270" s="6">
        <f t="shared" si="227"/>
        <v>1.4822717085439532</v>
      </c>
      <c r="BH270" s="6">
        <f t="shared" si="228"/>
        <v>-0.15328668570219062</v>
      </c>
      <c r="BI270" s="6">
        <f t="shared" si="229"/>
        <v>0.15328668570219062</v>
      </c>
      <c r="BJ270">
        <v>-92.099723597855771</v>
      </c>
      <c r="BK270">
        <v>-4.9429437589708973</v>
      </c>
      <c r="BV270" s="38"/>
      <c r="BW270" s="6">
        <f t="shared" si="216"/>
        <v>4.4505895925855148</v>
      </c>
      <c r="BX270" s="9">
        <f t="shared" ca="1" si="217"/>
        <v>-25.438143898071345</v>
      </c>
      <c r="BY270" s="9">
        <f t="shared" ca="1" si="218"/>
        <v>-22.556015054196205</v>
      </c>
      <c r="BZ270" s="9">
        <f t="shared" ca="1" si="219"/>
        <v>-91.510785779800756</v>
      </c>
      <c r="CA270" s="6">
        <f t="shared" ca="1" si="220"/>
        <v>-0.53180109361973393</v>
      </c>
      <c r="CB270" s="6">
        <f t="shared" ca="1" si="221"/>
        <v>-3.1357813702248087</v>
      </c>
      <c r="CC270" s="6">
        <f t="shared" ca="1" si="222"/>
        <v>1.2979123232903511E-2</v>
      </c>
      <c r="CD270" s="9">
        <f t="shared" si="223"/>
        <v>-81.510785779800756</v>
      </c>
      <c r="CE270" s="9">
        <f t="shared" si="224"/>
        <v>-1.5318010936197322</v>
      </c>
      <c r="CF270" s="6">
        <f t="shared" si="225"/>
        <v>-3.1228022469919052</v>
      </c>
      <c r="CG270" s="6"/>
      <c r="CH270" s="6"/>
      <c r="CI270" s="6"/>
      <c r="CJ270" s="1"/>
      <c r="CK270" s="6"/>
    </row>
    <row r="271" spans="55:89" x14ac:dyDescent="0.2">
      <c r="BC271">
        <v>4.6949356878647182</v>
      </c>
      <c r="BD271">
        <v>-57.299714926240874</v>
      </c>
      <c r="BE271">
        <v>-3.2930272025308751</v>
      </c>
      <c r="BF271" s="6">
        <f t="shared" si="226"/>
        <v>3.1989997269451735</v>
      </c>
      <c r="BG271" s="6">
        <f t="shared" si="227"/>
        <v>1.4959359609195446</v>
      </c>
      <c r="BH271" s="6">
        <f t="shared" si="228"/>
        <v>-0.15707572584654228</v>
      </c>
      <c r="BI271" s="6">
        <f t="shared" si="229"/>
        <v>0.15707572584654228</v>
      </c>
      <c r="BJ271">
        <v>-88.153407578832116</v>
      </c>
      <c r="BK271">
        <v>-5.0661956962013459</v>
      </c>
      <c r="BV271" s="38"/>
      <c r="BW271" s="6">
        <f t="shared" si="216"/>
        <v>4.4680428851054579</v>
      </c>
      <c r="BX271" s="9">
        <f t="shared" ca="1" si="217"/>
        <v>-23.16610900023322</v>
      </c>
      <c r="BY271" s="9">
        <f t="shared" ca="1" si="218"/>
        <v>-22.868722903554424</v>
      </c>
      <c r="BZ271" s="9">
        <f t="shared" ca="1" si="219"/>
        <v>-89.238750881962631</v>
      </c>
      <c r="CA271" s="6">
        <f t="shared" ca="1" si="220"/>
        <v>-0.84450894297795287</v>
      </c>
      <c r="CB271" s="6">
        <f t="shared" ca="1" si="221"/>
        <v>-3.1321294582255867</v>
      </c>
      <c r="CC271" s="6">
        <f t="shared" ca="1" si="222"/>
        <v>1.3810466526402276E-2</v>
      </c>
      <c r="CD271" s="9">
        <f t="shared" si="223"/>
        <v>-79.238750881962631</v>
      </c>
      <c r="CE271" s="9">
        <f t="shared" si="224"/>
        <v>-1.8445089429779522</v>
      </c>
      <c r="CF271" s="6">
        <f t="shared" si="225"/>
        <v>-3.1183189916991845</v>
      </c>
      <c r="CG271" s="6"/>
      <c r="CH271" s="6"/>
      <c r="CI271" s="6"/>
      <c r="CJ271" s="1"/>
      <c r="CK271" s="6"/>
    </row>
    <row r="272" spans="55:89" x14ac:dyDescent="0.2">
      <c r="BC272">
        <v>4.7123889803846613</v>
      </c>
      <c r="BD272">
        <v>-54.733262817957176</v>
      </c>
      <c r="BE272">
        <v>-3.3551982040152146</v>
      </c>
      <c r="BF272" s="6">
        <f t="shared" si="226"/>
        <v>3.2028169395255399</v>
      </c>
      <c r="BG272" s="6">
        <f t="shared" si="227"/>
        <v>1.5095720408591213</v>
      </c>
      <c r="BH272" s="6">
        <f t="shared" si="228"/>
        <v>-0.16089293842690866</v>
      </c>
      <c r="BI272" s="6">
        <f t="shared" si="229"/>
        <v>0.16089293842690866</v>
      </c>
      <c r="BJ272">
        <v>-84.205019719934114</v>
      </c>
      <c r="BK272">
        <v>-5.1618433907926375</v>
      </c>
      <c r="BV272" s="38"/>
      <c r="BW272" s="6">
        <f t="shared" ref="BW272:BW335" si="230">BC259</f>
        <v>4.485496177625401</v>
      </c>
      <c r="BX272" s="9">
        <f t="shared" ref="BX272:BX335" ca="1" si="231">BD259-$BW$5</f>
        <v>-20.863626457634567</v>
      </c>
      <c r="BY272" s="9">
        <f t="shared" ref="BY272:BY335" ca="1" si="232">BE259-$BX$5</f>
        <v>-23.163939032200613</v>
      </c>
      <c r="BZ272" s="9">
        <f t="shared" ref="BZ272:BZ335" ca="1" si="233">BX272-$CE$5</f>
        <v>-86.936268339363977</v>
      </c>
      <c r="CA272" s="6">
        <f t="shared" ref="CA272:CA335" ca="1" si="234">BY272-$CF$5</f>
        <v>-1.1397250716241416</v>
      </c>
      <c r="CB272" s="6">
        <f t="shared" ref="CB272:CB335" ca="1" si="235">ATAN2(BZ272,CA272)</f>
        <v>-3.1284835127725401</v>
      </c>
      <c r="CC272" s="6">
        <f t="shared" ref="CC272:CC335" ca="1" si="236">ATAN2(COS(CF272-CB272),SIN(CF272-CB272))</f>
        <v>1.469534839997122E-2</v>
      </c>
      <c r="CD272" s="9">
        <f t="shared" ref="CD272:CD335" si="237">BD259-$BW$6</f>
        <v>-76.936268339363977</v>
      </c>
      <c r="CE272" s="9">
        <f t="shared" ref="CE272:CE335" si="238">BE259-$BX$6</f>
        <v>-2.1397250716241434</v>
      </c>
      <c r="CF272" s="6">
        <f t="shared" ref="CF272:CF335" si="239">ATAN2(CD272,CE272)</f>
        <v>-3.1137881643725689</v>
      </c>
      <c r="CG272" s="6"/>
      <c r="CH272" s="6"/>
      <c r="CI272" s="6"/>
      <c r="CJ272" s="1"/>
      <c r="CK272" s="6"/>
    </row>
    <row r="273" spans="55:89" x14ac:dyDescent="0.2">
      <c r="BC273">
        <v>4.7298422729046044</v>
      </c>
      <c r="BD273">
        <v>-52.098319730504507</v>
      </c>
      <c r="BE273">
        <v>-3.107106845694533</v>
      </c>
      <c r="BF273" s="6">
        <f t="shared" si="226"/>
        <v>3.201161385768108</v>
      </c>
      <c r="BG273" s="6">
        <f t="shared" si="227"/>
        <v>1.5286808871364963</v>
      </c>
      <c r="BH273" s="6">
        <f t="shared" si="228"/>
        <v>-0.15923738466947679</v>
      </c>
      <c r="BI273" s="6">
        <f t="shared" si="229"/>
        <v>0.15923738466947679</v>
      </c>
      <c r="BJ273">
        <v>-80.151261123853089</v>
      </c>
      <c r="BK273">
        <v>-4.7801643779915892</v>
      </c>
      <c r="BV273" s="38"/>
      <c r="BW273" s="6">
        <f t="shared" si="230"/>
        <v>4.5029494701453441</v>
      </c>
      <c r="BX273" s="9">
        <f t="shared" ca="1" si="231"/>
        <v>-18.530987295402241</v>
      </c>
      <c r="BY273" s="9">
        <f t="shared" ca="1" si="232"/>
        <v>-23.441622408739814</v>
      </c>
      <c r="BZ273" s="9">
        <f t="shared" ca="1" si="233"/>
        <v>-84.603629177131651</v>
      </c>
      <c r="CA273" s="6">
        <f t="shared" ca="1" si="234"/>
        <v>-1.4174084481633429</v>
      </c>
      <c r="CB273" s="6">
        <f t="shared" ca="1" si="235"/>
        <v>-3.1248407025048914</v>
      </c>
      <c r="CC273" s="6">
        <f t="shared" ca="1" si="236"/>
        <v>1.5640077724944135E-2</v>
      </c>
      <c r="CD273" s="9">
        <f t="shared" si="237"/>
        <v>-74.603629177131651</v>
      </c>
      <c r="CE273" s="9">
        <f t="shared" si="238"/>
        <v>-2.4174084481633438</v>
      </c>
      <c r="CF273" s="6">
        <f t="shared" si="239"/>
        <v>-3.1092006247799473</v>
      </c>
      <c r="CG273" s="6"/>
      <c r="CH273" s="6"/>
      <c r="CI273" s="6"/>
      <c r="CJ273" s="1"/>
      <c r="CK273" s="6"/>
    </row>
    <row r="274" spans="55:89" x14ac:dyDescent="0.2">
      <c r="BC274">
        <v>4.7472955654245474</v>
      </c>
      <c r="BD274">
        <v>-49.6438635380634</v>
      </c>
      <c r="BE274">
        <v>-2.8619426299578667</v>
      </c>
      <c r="BF274" s="6">
        <f t="shared" si="226"/>
        <v>3.199178389558607</v>
      </c>
      <c r="BG274" s="6">
        <f t="shared" si="227"/>
        <v>1.5481171758659404</v>
      </c>
      <c r="BH274" s="6">
        <f t="shared" si="228"/>
        <v>-0.15725438845997575</v>
      </c>
      <c r="BI274" s="6">
        <f t="shared" si="229"/>
        <v>0.15725438845997575</v>
      </c>
      <c r="BJ274">
        <v>-76.37517467394369</v>
      </c>
      <c r="BK274">
        <v>-4.4029886614736409</v>
      </c>
      <c r="BV274" s="38"/>
      <c r="BW274" s="6">
        <f t="shared" si="230"/>
        <v>4.5204027626652872</v>
      </c>
      <c r="BX274" s="9">
        <f t="shared" ca="1" si="231"/>
        <v>-16.168681155349788</v>
      </c>
      <c r="BY274" s="9">
        <f t="shared" ca="1" si="232"/>
        <v>-23.701712304253604</v>
      </c>
      <c r="BZ274" s="9">
        <f t="shared" ca="1" si="233"/>
        <v>-82.241323037079198</v>
      </c>
      <c r="CA274" s="6">
        <f t="shared" ca="1" si="234"/>
        <v>-1.6774983436771329</v>
      </c>
      <c r="CB274" s="6">
        <f t="shared" ca="1" si="235"/>
        <v>-3.1211982131851737</v>
      </c>
      <c r="CC274" s="6">
        <f t="shared" ca="1" si="236"/>
        <v>1.6651854262918597E-2</v>
      </c>
      <c r="CD274" s="9">
        <f t="shared" si="237"/>
        <v>-72.241323037079198</v>
      </c>
      <c r="CE274" s="9">
        <f t="shared" si="238"/>
        <v>-2.6774983436771329</v>
      </c>
      <c r="CF274" s="6">
        <f t="shared" si="239"/>
        <v>-3.1045463589222551</v>
      </c>
      <c r="CG274" s="6"/>
      <c r="CH274" s="6"/>
      <c r="CI274" s="6"/>
      <c r="CJ274" s="1"/>
      <c r="CK274" s="6"/>
    </row>
    <row r="275" spans="55:89" x14ac:dyDescent="0.2">
      <c r="BC275">
        <v>4.7647488579444905</v>
      </c>
      <c r="BD275">
        <v>-47.35634535181854</v>
      </c>
      <c r="BE275">
        <v>-2.6194197284562706</v>
      </c>
      <c r="BF275" s="6">
        <f t="shared" si="226"/>
        <v>3.1968493084253593</v>
      </c>
      <c r="BG275" s="6">
        <f t="shared" si="227"/>
        <v>1.5678995495191312</v>
      </c>
      <c r="BH275" s="6">
        <f t="shared" si="228"/>
        <v>-0.15492530732672805</v>
      </c>
      <c r="BI275" s="6">
        <f t="shared" si="229"/>
        <v>0.15492530732672805</v>
      </c>
      <c r="BJ275">
        <v>-72.855915925874669</v>
      </c>
      <c r="BK275">
        <v>-4.0298765053173389</v>
      </c>
      <c r="BV275" s="38"/>
      <c r="BW275" s="6">
        <f t="shared" si="230"/>
        <v>4.5378560551852303</v>
      </c>
      <c r="BX275" s="9">
        <f t="shared" ca="1" si="231"/>
        <v>-13.777423677043231</v>
      </c>
      <c r="BY275" s="9">
        <f t="shared" ca="1" si="232"/>
        <v>-23.944132186993006</v>
      </c>
      <c r="BZ275" s="9">
        <f t="shared" ca="1" si="233"/>
        <v>-79.850065558772641</v>
      </c>
      <c r="CA275" s="6">
        <f t="shared" ca="1" si="234"/>
        <v>-1.9199182264165344</v>
      </c>
      <c r="CB275" s="6">
        <f t="shared" ca="1" si="235"/>
        <v>-3.1175532446944878</v>
      </c>
      <c r="CC275" s="6">
        <f t="shared" ca="1" si="236"/>
        <v>1.7738922574082494E-2</v>
      </c>
      <c r="CD275" s="9">
        <f t="shared" si="237"/>
        <v>-69.850065558772641</v>
      </c>
      <c r="CE275" s="9">
        <f t="shared" si="238"/>
        <v>-2.9199182264165349</v>
      </c>
      <c r="CF275" s="6">
        <f t="shared" si="239"/>
        <v>-3.0998143221204053</v>
      </c>
      <c r="CG275" s="6"/>
      <c r="CH275" s="6"/>
      <c r="CI275" s="6"/>
      <c r="CJ275" s="1"/>
      <c r="CK275" s="6"/>
    </row>
    <row r="276" spans="55:89" x14ac:dyDescent="0.2">
      <c r="BC276">
        <v>4.7822021504644336</v>
      </c>
      <c r="BD276">
        <v>-45.223299548357012</v>
      </c>
      <c r="BE276">
        <v>-2.3792802736572964</v>
      </c>
      <c r="BF276" s="6">
        <f t="shared" si="226"/>
        <v>3.1941560147411088</v>
      </c>
      <c r="BG276" s="6">
        <f t="shared" si="227"/>
        <v>1.5880461357233249</v>
      </c>
      <c r="BH276" s="6">
        <f t="shared" si="228"/>
        <v>-0.15223201364247751</v>
      </c>
      <c r="BI276" s="6">
        <f t="shared" si="229"/>
        <v>0.15223201364247751</v>
      </c>
      <c r="BJ276">
        <v>-69.57430699747232</v>
      </c>
      <c r="BK276">
        <v>-3.6604311902419946</v>
      </c>
      <c r="BV276" s="38"/>
      <c r="BW276" s="6">
        <f t="shared" si="230"/>
        <v>4.5553093477051734</v>
      </c>
      <c r="BX276" s="9">
        <f t="shared" ca="1" si="231"/>
        <v>-11.358186703570539</v>
      </c>
      <c r="BY276" s="9">
        <f t="shared" ca="1" si="232"/>
        <v>-24.16879412968342</v>
      </c>
      <c r="BZ276" s="9">
        <f t="shared" ca="1" si="233"/>
        <v>-77.430828585299949</v>
      </c>
      <c r="CA276" s="6">
        <f t="shared" ca="1" si="234"/>
        <v>-2.1445801691069484</v>
      </c>
      <c r="CB276" s="6">
        <f t="shared" ca="1" si="235"/>
        <v>-3.1139030100026051</v>
      </c>
      <c r="CC276" s="6">
        <f t="shared" ca="1" si="236"/>
        <v>1.891075643025264E-2</v>
      </c>
      <c r="CD276" s="9">
        <f t="shared" si="237"/>
        <v>-67.430828585299949</v>
      </c>
      <c r="CE276" s="9">
        <f t="shared" si="238"/>
        <v>-3.1445801691069488</v>
      </c>
      <c r="CF276" s="6">
        <f t="shared" si="239"/>
        <v>-3.0949922535723524</v>
      </c>
      <c r="CG276" s="6"/>
      <c r="CH276" s="6"/>
      <c r="CI276" s="6"/>
      <c r="CJ276" s="1"/>
      <c r="CK276" s="6"/>
    </row>
    <row r="277" spans="55:89" x14ac:dyDescent="0.2">
      <c r="BC277">
        <v>4.7996554429843767</v>
      </c>
      <c r="BD277">
        <v>-43.233256754443971</v>
      </c>
      <c r="BE277">
        <v>-2.1412882769456978</v>
      </c>
      <c r="BF277" s="6">
        <f t="shared" si="226"/>
        <v>3.1910809429828868</v>
      </c>
      <c r="BG277" s="6">
        <f t="shared" si="227"/>
        <v>1.6085745000014899</v>
      </c>
      <c r="BH277" s="6">
        <f t="shared" si="228"/>
        <v>-0.14915694188425555</v>
      </c>
      <c r="BI277" s="6">
        <f t="shared" si="229"/>
        <v>0.14915694188425555</v>
      </c>
      <c r="BJ277">
        <v>-66.512702699144569</v>
      </c>
      <c r="BK277">
        <v>-3.2942896568395348</v>
      </c>
      <c r="BV277" s="38"/>
      <c r="BW277" s="6">
        <f t="shared" si="230"/>
        <v>4.5727626402251165</v>
      </c>
      <c r="BX277" s="9">
        <f t="shared" ca="1" si="231"/>
        <v>-8.9122314093184514</v>
      </c>
      <c r="BY277" s="9">
        <f t="shared" ca="1" si="232"/>
        <v>-24.375603871543827</v>
      </c>
      <c r="BZ277" s="9">
        <f t="shared" ca="1" si="233"/>
        <v>-74.984873291047862</v>
      </c>
      <c r="CA277" s="6">
        <f t="shared" ca="1" si="234"/>
        <v>-2.3513899109673559</v>
      </c>
      <c r="CB277" s="6">
        <f t="shared" ca="1" si="235"/>
        <v>-3.1102447359805656</v>
      </c>
      <c r="CC277" s="6">
        <f t="shared" ca="1" si="236"/>
        <v>2.0178280613345034E-2</v>
      </c>
      <c r="CD277" s="9">
        <f t="shared" si="237"/>
        <v>-64.984873291047862</v>
      </c>
      <c r="CE277" s="9">
        <f t="shared" si="238"/>
        <v>-3.3513899109673568</v>
      </c>
      <c r="CF277" s="6">
        <f t="shared" si="239"/>
        <v>-3.0900664553672206</v>
      </c>
      <c r="CG277" s="6"/>
      <c r="CH277" s="6"/>
      <c r="CI277" s="6"/>
      <c r="CJ277" s="1"/>
      <c r="CK277" s="6"/>
    </row>
    <row r="278" spans="55:89" x14ac:dyDescent="0.2">
      <c r="BC278">
        <v>4.8171087355043198</v>
      </c>
      <c r="BD278">
        <v>-41.375663280322541</v>
      </c>
      <c r="BE278">
        <v>-1.9052246063893121</v>
      </c>
      <c r="BF278" s="6">
        <f t="shared" si="226"/>
        <v>3.1876071365213923</v>
      </c>
      <c r="BG278" s="6">
        <f t="shared" si="227"/>
        <v>1.6295015989829276</v>
      </c>
      <c r="BH278" s="6">
        <f t="shared" si="228"/>
        <v>-0.14568313542276101</v>
      </c>
      <c r="BI278" s="6">
        <f t="shared" si="229"/>
        <v>0.14568313542276101</v>
      </c>
      <c r="BJ278">
        <v>-63.654866585111598</v>
      </c>
      <c r="BK278">
        <v>-2.9311147790604801</v>
      </c>
      <c r="BV278" s="38"/>
      <c r="BW278" s="6">
        <f t="shared" si="230"/>
        <v>4.5902159327450596</v>
      </c>
      <c r="BX278" s="9">
        <f t="shared" ca="1" si="231"/>
        <v>-6.4411443948627465</v>
      </c>
      <c r="BY278" s="9">
        <f t="shared" ca="1" si="232"/>
        <v>-24.564466551215979</v>
      </c>
      <c r="BZ278" s="9">
        <f t="shared" ca="1" si="233"/>
        <v>-72.513786276592157</v>
      </c>
      <c r="CA278" s="6">
        <f t="shared" ca="1" si="234"/>
        <v>-2.5402525906395077</v>
      </c>
      <c r="CB278" s="6">
        <f t="shared" ca="1" si="235"/>
        <v>-3.1065756677269736</v>
      </c>
      <c r="CC278" s="6">
        <f t="shared" ca="1" si="236"/>
        <v>2.1554138382715134E-2</v>
      </c>
      <c r="CD278" s="9">
        <f t="shared" si="237"/>
        <v>-62.513786276592157</v>
      </c>
      <c r="CE278" s="9">
        <f t="shared" si="238"/>
        <v>-3.5402525906395068</v>
      </c>
      <c r="CF278" s="6">
        <f t="shared" si="239"/>
        <v>-3.0850215293442584</v>
      </c>
      <c r="CG278" s="6"/>
      <c r="CH278" s="6"/>
      <c r="CI278" s="6"/>
      <c r="CJ278" s="1"/>
      <c r="CK278" s="6"/>
    </row>
    <row r="279" spans="55:89" x14ac:dyDescent="0.2">
      <c r="BC279">
        <v>4.8345620280242629</v>
      </c>
      <c r="BD279">
        <v>-39.6408064492107</v>
      </c>
      <c r="BE279">
        <v>-1.6708829867750579</v>
      </c>
      <c r="BF279" s="6">
        <f t="shared" si="226"/>
        <v>3.1837182976720895</v>
      </c>
      <c r="BG279" s="6">
        <f t="shared" si="227"/>
        <v>1.6508437303521735</v>
      </c>
      <c r="BH279" s="6">
        <f t="shared" si="228"/>
        <v>-0.14179429657345821</v>
      </c>
      <c r="BI279" s="6">
        <f t="shared" si="229"/>
        <v>0.14179429657345821</v>
      </c>
      <c r="BJ279">
        <v>-60.985856075708767</v>
      </c>
      <c r="BK279">
        <v>-2.570589210423166</v>
      </c>
      <c r="BV279" s="38"/>
      <c r="BW279" s="6">
        <f t="shared" si="230"/>
        <v>4.6076692252650027</v>
      </c>
      <c r="BX279" s="9">
        <f t="shared" ca="1" si="231"/>
        <v>-3.9468766926604246</v>
      </c>
      <c r="BY279" s="9">
        <f t="shared" ca="1" si="232"/>
        <v>-24.735293342706104</v>
      </c>
      <c r="BZ279" s="9">
        <f t="shared" ca="1" si="233"/>
        <v>-70.019518574389835</v>
      </c>
      <c r="CA279" s="6">
        <f t="shared" ca="1" si="234"/>
        <v>-2.7110793821296326</v>
      </c>
      <c r="CB279" s="6">
        <f t="shared" ca="1" si="235"/>
        <v>-3.1028930755363691</v>
      </c>
      <c r="CC279" s="6">
        <f t="shared" ca="1" si="236"/>
        <v>2.3053015353907025E-2</v>
      </c>
      <c r="CD279" s="9">
        <f t="shared" si="237"/>
        <v>-60.019518574389835</v>
      </c>
      <c r="CE279" s="9">
        <f t="shared" si="238"/>
        <v>-3.7110793821296326</v>
      </c>
      <c r="CF279" s="6">
        <f t="shared" si="239"/>
        <v>-3.079840060182462</v>
      </c>
      <c r="CG279" s="6"/>
      <c r="CH279" s="6"/>
      <c r="CI279" s="6"/>
      <c r="CJ279" s="1"/>
      <c r="CK279" s="6"/>
    </row>
    <row r="280" spans="55:89" x14ac:dyDescent="0.2">
      <c r="BC280">
        <v>4.852015320544206</v>
      </c>
      <c r="BD280">
        <v>-38.019745663446926</v>
      </c>
      <c r="BE280">
        <v>-1.4380666462255483</v>
      </c>
      <c r="BF280" s="6">
        <f t="shared" si="226"/>
        <v>3.179398835861845</v>
      </c>
      <c r="BG280" s="6">
        <f t="shared" si="227"/>
        <v>1.672616484682361</v>
      </c>
      <c r="BH280" s="6">
        <f t="shared" si="228"/>
        <v>-0.13747483476321376</v>
      </c>
      <c r="BI280" s="6">
        <f t="shared" si="229"/>
        <v>0.13747483476321376</v>
      </c>
      <c r="BJ280">
        <v>-58.491916405302959</v>
      </c>
      <c r="BK280">
        <v>-2.2124102249623818</v>
      </c>
      <c r="BV280" s="38"/>
      <c r="BW280" s="6">
        <f t="shared" si="230"/>
        <v>4.6251225177849458</v>
      </c>
      <c r="BX280" s="9">
        <f t="shared" ca="1" si="231"/>
        <v>-1.4317855425993997</v>
      </c>
      <c r="BY280" s="9">
        <f t="shared" ca="1" si="232"/>
        <v>-24.888008963489867</v>
      </c>
      <c r="BZ280" s="9">
        <f t="shared" ca="1" si="233"/>
        <v>-67.50442742432881</v>
      </c>
      <c r="CA280" s="6">
        <f t="shared" ca="1" si="234"/>
        <v>-2.8637950029133954</v>
      </c>
      <c r="CB280" s="6">
        <f t="shared" ca="1" si="235"/>
        <v>-3.0991942673155819</v>
      </c>
      <c r="CC280" s="6">
        <f t="shared" ca="1" si="236"/>
        <v>2.4692032583333745E-2</v>
      </c>
      <c r="CD280" s="9">
        <f t="shared" si="237"/>
        <v>-57.50442742432881</v>
      </c>
      <c r="CE280" s="9">
        <f t="shared" si="238"/>
        <v>-3.8637950029133963</v>
      </c>
      <c r="CF280" s="6">
        <f t="shared" si="239"/>
        <v>-3.0745022347322482</v>
      </c>
      <c r="CG280" s="6"/>
      <c r="CH280" s="6"/>
      <c r="CI280" s="6"/>
      <c r="CJ280" s="1"/>
      <c r="CK280" s="6"/>
    </row>
    <row r="281" spans="55:89" x14ac:dyDescent="0.2">
      <c r="BC281">
        <v>4.8694686130641491</v>
      </c>
      <c r="BD281">
        <v>-36.504248627925179</v>
      </c>
      <c r="BE281">
        <v>-1.2065856845354601</v>
      </c>
      <c r="BF281" s="6">
        <f t="shared" si="226"/>
        <v>3.1746339189557986</v>
      </c>
      <c r="BG281" s="6">
        <f t="shared" si="227"/>
        <v>1.6948346941083505</v>
      </c>
      <c r="BH281" s="6">
        <f t="shared" si="228"/>
        <v>-0.13270991785716735</v>
      </c>
      <c r="BI281" s="6">
        <f t="shared" si="229"/>
        <v>0.13270991785716735</v>
      </c>
      <c r="BJ281">
        <v>-56.160382504500276</v>
      </c>
      <c r="BK281">
        <v>-1.8562856685160924</v>
      </c>
      <c r="BV281" s="38"/>
      <c r="BW281" s="6">
        <f t="shared" si="230"/>
        <v>4.6425758103048889</v>
      </c>
      <c r="BX281" s="9">
        <f t="shared" ca="1" si="231"/>
        <v>1.1013213860616133</v>
      </c>
      <c r="BY281" s="9">
        <f t="shared" ca="1" si="232"/>
        <v>-25.022560262917754</v>
      </c>
      <c r="BZ281" s="9">
        <f t="shared" ca="1" si="233"/>
        <v>-64.971320495667797</v>
      </c>
      <c r="CA281" s="6">
        <f t="shared" ca="1" si="234"/>
        <v>-2.9983463023412824</v>
      </c>
      <c r="CB281" s="6">
        <f t="shared" ca="1" si="235"/>
        <v>-3.0954766063776118</v>
      </c>
      <c r="CC281" s="6">
        <f t="shared" ca="1" si="236"/>
        <v>2.6491225338113544E-2</v>
      </c>
      <c r="CD281" s="9">
        <f t="shared" si="237"/>
        <v>-54.971320495667797</v>
      </c>
      <c r="CE281" s="9">
        <f t="shared" si="238"/>
        <v>-3.9983463023412824</v>
      </c>
      <c r="CF281" s="6">
        <f t="shared" si="239"/>
        <v>-3.0689853810394983</v>
      </c>
      <c r="CG281" s="6"/>
      <c r="CH281" s="6"/>
      <c r="CI281" s="6"/>
      <c r="CJ281" s="1"/>
      <c r="CK281" s="6"/>
    </row>
    <row r="282" spans="55:89" x14ac:dyDescent="0.2">
      <c r="BC282">
        <v>4.8869219055840922</v>
      </c>
      <c r="BD282">
        <v>-35.086732699539048</v>
      </c>
      <c r="BE282">
        <v>-0.97625478061852844</v>
      </c>
      <c r="BF282" s="6">
        <f t="shared" si="226"/>
        <v>3.1694095202804617</v>
      </c>
      <c r="BG282" s="6">
        <f t="shared" si="227"/>
        <v>1.7175123853036305</v>
      </c>
      <c r="BH282" s="6">
        <f t="shared" si="228"/>
        <v>-0.12748551918183049</v>
      </c>
      <c r="BI282" s="6">
        <f t="shared" si="229"/>
        <v>0.12748551918183049</v>
      </c>
      <c r="BJ282">
        <v>-53.979588768521609</v>
      </c>
      <c r="BK282">
        <v>-1.5019304317208129</v>
      </c>
      <c r="BV282" s="38"/>
      <c r="BW282" s="6">
        <f t="shared" si="230"/>
        <v>4.660029102824832</v>
      </c>
      <c r="BX282" s="9">
        <f t="shared" ca="1" si="231"/>
        <v>3.6491398223054077</v>
      </c>
      <c r="BY282" s="9">
        <f t="shared" ca="1" si="232"/>
        <v>-25.138925925498608</v>
      </c>
      <c r="BZ282" s="9">
        <f t="shared" ca="1" si="233"/>
        <v>-62.423502059424003</v>
      </c>
      <c r="CA282" s="6">
        <f t="shared" ca="1" si="234"/>
        <v>-3.1147119649221366</v>
      </c>
      <c r="CB282" s="6">
        <f t="shared" ca="1" si="235"/>
        <v>-3.0917375371385476</v>
      </c>
      <c r="CC282" s="6">
        <f t="shared" ca="1" si="236"/>
        <v>2.847412765179369E-2</v>
      </c>
      <c r="CD282" s="9">
        <f t="shared" si="237"/>
        <v>-52.423502059424003</v>
      </c>
      <c r="CE282" s="9">
        <f t="shared" si="238"/>
        <v>-4.1147119649221349</v>
      </c>
      <c r="CF282" s="6">
        <f t="shared" si="239"/>
        <v>-3.0632634094867539</v>
      </c>
      <c r="CG282" s="6"/>
      <c r="CH282" s="6"/>
      <c r="CI282" s="6"/>
      <c r="CJ282" s="1"/>
      <c r="CK282" s="6"/>
    </row>
    <row r="283" spans="55:89" x14ac:dyDescent="0.2">
      <c r="BC283">
        <v>4.9043751981040353</v>
      </c>
      <c r="BD283">
        <v>-33.760210729275848</v>
      </c>
      <c r="BE283">
        <v>-0.74689140545123811</v>
      </c>
      <c r="BF283" s="6">
        <f t="shared" si="226"/>
        <v>3.1637124677378416</v>
      </c>
      <c r="BG283" s="6">
        <f t="shared" si="227"/>
        <v>1.7406627303661937</v>
      </c>
      <c r="BH283" s="6">
        <f t="shared" si="228"/>
        <v>-0.12178846663921038</v>
      </c>
      <c r="BI283" s="6">
        <f t="shared" si="229"/>
        <v>0.12178846663921038</v>
      </c>
      <c r="BJ283">
        <v>-51.938785737347459</v>
      </c>
      <c r="BK283">
        <v>-1.1490637006942124</v>
      </c>
      <c r="BV283" s="38"/>
      <c r="BW283" s="6">
        <f t="shared" si="230"/>
        <v>4.6774823953447751</v>
      </c>
      <c r="BX283" s="9">
        <f t="shared" ca="1" si="231"/>
        <v>6.2078215431231598</v>
      </c>
      <c r="BY283" s="9">
        <f t="shared" ca="1" si="232"/>
        <v>-25.237127403907554</v>
      </c>
      <c r="BZ283" s="9">
        <f t="shared" ca="1" si="233"/>
        <v>-59.864820338606251</v>
      </c>
      <c r="CA283" s="6">
        <f t="shared" ca="1" si="234"/>
        <v>-3.2129134433310824</v>
      </c>
      <c r="CB283" s="6">
        <f t="shared" ca="1" si="235"/>
        <v>-3.0879746203787644</v>
      </c>
      <c r="CC283" s="6">
        <f t="shared" ca="1" si="236"/>
        <v>3.0668487865837427E-2</v>
      </c>
      <c r="CD283" s="9">
        <f t="shared" si="237"/>
        <v>-49.864820338606251</v>
      </c>
      <c r="CE283" s="9">
        <f t="shared" si="238"/>
        <v>-4.2129134433310833</v>
      </c>
      <c r="CF283" s="6">
        <f t="shared" si="239"/>
        <v>-3.0573061325129269</v>
      </c>
      <c r="CG283" s="6"/>
      <c r="CH283" s="6"/>
      <c r="CI283" s="6"/>
      <c r="CJ283" s="1"/>
      <c r="CK283" s="6"/>
    </row>
    <row r="284" spans="55:89" x14ac:dyDescent="0.2">
      <c r="BC284">
        <v>4.9218284906239784</v>
      </c>
      <c r="BD284">
        <v>-32.518241326438471</v>
      </c>
      <c r="BE284">
        <v>-0.51831425663421649</v>
      </c>
      <c r="BF284" s="6">
        <f t="shared" si="226"/>
        <v>3.1575304887336841</v>
      </c>
      <c r="BG284" s="6">
        <f t="shared" si="227"/>
        <v>1.7642980018902943</v>
      </c>
      <c r="BH284" s="6">
        <f t="shared" si="228"/>
        <v>-0.11560648763505288</v>
      </c>
      <c r="BI284" s="6">
        <f t="shared" si="229"/>
        <v>0.11560648763505288</v>
      </c>
      <c r="BJ284">
        <v>-50.028063579136109</v>
      </c>
      <c r="BK284">
        <v>-0.79740654866802529</v>
      </c>
      <c r="BV284" s="38"/>
      <c r="BW284" s="6">
        <f t="shared" si="230"/>
        <v>4.6949356878647182</v>
      </c>
      <c r="BX284" s="9">
        <f t="shared" ca="1" si="231"/>
        <v>8.7729269554885363</v>
      </c>
      <c r="BY284" s="9">
        <f t="shared" ca="1" si="232"/>
        <v>-25.317241163107347</v>
      </c>
      <c r="BZ284" s="9">
        <f t="shared" ca="1" si="233"/>
        <v>-57.299714926240874</v>
      </c>
      <c r="CA284" s="6">
        <f t="shared" ca="1" si="234"/>
        <v>-3.293027202530876</v>
      </c>
      <c r="CB284" s="6">
        <f t="shared" ca="1" si="235"/>
        <v>-3.0841855802344127</v>
      </c>
      <c r="CC284" s="6">
        <f t="shared" ca="1" si="236"/>
        <v>3.310714634563805E-2</v>
      </c>
      <c r="CD284" s="9">
        <f t="shared" si="237"/>
        <v>-47.299714926240874</v>
      </c>
      <c r="CE284" s="9">
        <f t="shared" si="238"/>
        <v>-4.2930272025308751</v>
      </c>
      <c r="CF284" s="6">
        <f t="shared" si="239"/>
        <v>-3.0510784338887746</v>
      </c>
      <c r="CG284" s="6"/>
      <c r="CH284" s="6"/>
      <c r="CI284" s="6"/>
      <c r="CJ284" s="1"/>
      <c r="CK284" s="6"/>
    </row>
    <row r="285" spans="55:89" x14ac:dyDescent="0.2">
      <c r="BC285">
        <v>4.9392817831439215</v>
      </c>
      <c r="BD285">
        <v>-31.354883147890867</v>
      </c>
      <c r="BE285">
        <v>-0.29034193045225232</v>
      </c>
      <c r="BF285" s="6">
        <f t="shared" si="226"/>
        <v>3.1508522521999023</v>
      </c>
      <c r="BG285" s="6">
        <f t="shared" si="227"/>
        <v>1.7884295309440192</v>
      </c>
      <c r="BH285" s="6">
        <f t="shared" si="228"/>
        <v>-0.10892825110127101</v>
      </c>
      <c r="BI285" s="6">
        <f t="shared" si="229"/>
        <v>0.10892825110127101</v>
      </c>
      <c r="BJ285">
        <v>-48.238281765985946</v>
      </c>
      <c r="BK285">
        <v>-0.44667989300346511</v>
      </c>
      <c r="BV285" s="38"/>
      <c r="BW285" s="6">
        <f t="shared" si="230"/>
        <v>4.7123889803846613</v>
      </c>
      <c r="BX285" s="9">
        <f t="shared" ca="1" si="231"/>
        <v>11.339379063772235</v>
      </c>
      <c r="BY285" s="9">
        <f t="shared" ca="1" si="232"/>
        <v>-25.379412164591685</v>
      </c>
      <c r="BZ285" s="9">
        <f t="shared" ca="1" si="233"/>
        <v>-54.733262817957176</v>
      </c>
      <c r="CA285" s="6">
        <f t="shared" ca="1" si="234"/>
        <v>-3.3551982040152133</v>
      </c>
      <c r="CB285" s="6">
        <f t="shared" ca="1" si="235"/>
        <v>-3.0803683676540463</v>
      </c>
      <c r="CC285" s="6">
        <f t="shared" ca="1" si="236"/>
        <v>3.58291132418187E-2</v>
      </c>
      <c r="CD285" s="9">
        <f t="shared" si="237"/>
        <v>-44.733262817957176</v>
      </c>
      <c r="CE285" s="9">
        <f t="shared" si="238"/>
        <v>-4.3551982040152151</v>
      </c>
      <c r="CF285" s="6">
        <f t="shared" si="239"/>
        <v>-3.0445392544122276</v>
      </c>
      <c r="CG285" s="6"/>
      <c r="CH285" s="6"/>
      <c r="CI285" s="6"/>
      <c r="CJ285" s="1"/>
      <c r="CK285" s="6"/>
    </row>
    <row r="286" spans="55:89" x14ac:dyDescent="0.2">
      <c r="BC286">
        <v>4.9567350756638646</v>
      </c>
      <c r="BD286">
        <v>-30.264652890593858</v>
      </c>
      <c r="BE286">
        <v>-6.2791792564535959E-2</v>
      </c>
      <c r="BF286" s="6">
        <f t="shared" si="226"/>
        <v>3.1436674073526589</v>
      </c>
      <c r="BG286" s="6">
        <f t="shared" si="227"/>
        <v>1.8130676683112057</v>
      </c>
      <c r="BH286" s="6">
        <f t="shared" si="228"/>
        <v>-0.10174340625402767</v>
      </c>
      <c r="BI286" s="6">
        <f t="shared" si="229"/>
        <v>0.10174340625402767</v>
      </c>
      <c r="BJ286">
        <v>-46.561004447067475</v>
      </c>
      <c r="BK286">
        <v>-9.6602757791593774E-2</v>
      </c>
      <c r="BV286" s="38"/>
      <c r="BW286" s="6">
        <f t="shared" si="230"/>
        <v>4.7298422729046044</v>
      </c>
      <c r="BX286" s="9">
        <f t="shared" ca="1" si="231"/>
        <v>13.974322151224904</v>
      </c>
      <c r="BY286" s="9">
        <f t="shared" ca="1" si="232"/>
        <v>-25.131320806271006</v>
      </c>
      <c r="BZ286" s="9">
        <f t="shared" ca="1" si="233"/>
        <v>-52.098319730504507</v>
      </c>
      <c r="CA286" s="6">
        <f t="shared" ca="1" si="234"/>
        <v>-3.1071068456945348</v>
      </c>
      <c r="CB286" s="6">
        <f t="shared" ca="1" si="235"/>
        <v>-3.0820239214114782</v>
      </c>
      <c r="CC286" s="6">
        <f t="shared" ca="1" si="236"/>
        <v>3.7683376665719415E-2</v>
      </c>
      <c r="CD286" s="9">
        <f t="shared" si="237"/>
        <v>-42.098319730504507</v>
      </c>
      <c r="CE286" s="9">
        <f t="shared" si="238"/>
        <v>-4.107106845694533</v>
      </c>
      <c r="CF286" s="6">
        <f t="shared" si="239"/>
        <v>-3.0443405447457588</v>
      </c>
      <c r="CG286" s="6"/>
      <c r="CH286" s="6"/>
      <c r="CI286" s="6"/>
      <c r="CJ286" s="1"/>
      <c r="CK286" s="6"/>
    </row>
    <row r="287" spans="55:89" x14ac:dyDescent="0.2">
      <c r="BC287">
        <v>4.9741883681838077</v>
      </c>
      <c r="BD287">
        <v>-29.242486794206272</v>
      </c>
      <c r="BE287">
        <v>0.16452105734330236</v>
      </c>
      <c r="BF287" s="6">
        <f t="shared" si="226"/>
        <v>3.1359666162874804</v>
      </c>
      <c r="BG287" s="6">
        <f t="shared" si="227"/>
        <v>1.8382217518963273</v>
      </c>
      <c r="BH287" s="6">
        <f t="shared" si="228"/>
        <v>-9.4042615188849155E-2</v>
      </c>
      <c r="BI287" s="6">
        <f t="shared" si="229"/>
        <v>9.4042615188849155E-2</v>
      </c>
      <c r="BJ287">
        <v>-44.988441221855801</v>
      </c>
      <c r="BK287">
        <v>0.25310931898969591</v>
      </c>
      <c r="BV287" s="38"/>
      <c r="BW287" s="6">
        <f t="shared" si="230"/>
        <v>4.7472955654245474</v>
      </c>
      <c r="BX287" s="9">
        <f t="shared" ca="1" si="231"/>
        <v>16.428778343666011</v>
      </c>
      <c r="BY287" s="9">
        <f t="shared" ca="1" si="232"/>
        <v>-24.886156590534338</v>
      </c>
      <c r="BZ287" s="9">
        <f t="shared" ca="1" si="233"/>
        <v>-49.6438635380634</v>
      </c>
      <c r="CA287" s="6">
        <f t="shared" ca="1" si="234"/>
        <v>-2.8619426299578663</v>
      </c>
      <c r="CB287" s="6">
        <f t="shared" ca="1" si="235"/>
        <v>-3.0840069176209792</v>
      </c>
      <c r="CC287" s="6">
        <f t="shared" ca="1" si="236"/>
        <v>3.9523752088665987E-2</v>
      </c>
      <c r="CD287" s="9">
        <f t="shared" si="237"/>
        <v>-39.6438635380634</v>
      </c>
      <c r="CE287" s="9">
        <f t="shared" si="238"/>
        <v>-3.8619426299578667</v>
      </c>
      <c r="CF287" s="6">
        <f t="shared" si="239"/>
        <v>-3.0444831655323132</v>
      </c>
      <c r="CG287" s="6"/>
      <c r="CH287" s="6"/>
      <c r="CI287" s="6"/>
      <c r="CJ287" s="1"/>
      <c r="CK287" s="6"/>
    </row>
    <row r="288" spans="55:89" x14ac:dyDescent="0.2">
      <c r="BC288">
        <v>4.9916416607037508</v>
      </c>
      <c r="BD288">
        <v>-28.283705284434383</v>
      </c>
      <c r="BE288">
        <v>0.39178469650096348</v>
      </c>
      <c r="BF288" s="6">
        <f t="shared" si="226"/>
        <v>3.127741581485826</v>
      </c>
      <c r="BG288" s="6">
        <f t="shared" si="227"/>
        <v>1.8639000792179248</v>
      </c>
      <c r="BH288" s="6">
        <f t="shared" si="228"/>
        <v>-8.5817580387194795E-2</v>
      </c>
      <c r="BI288" s="6">
        <f t="shared" si="229"/>
        <v>8.5817580387194795E-2</v>
      </c>
      <c r="BJ288">
        <v>-43.513392745283667</v>
      </c>
      <c r="BK288">
        <v>0.60274568692455921</v>
      </c>
      <c r="BV288" s="38"/>
      <c r="BW288" s="6">
        <f t="shared" si="230"/>
        <v>4.7647488579444905</v>
      </c>
      <c r="BX288" s="9">
        <f t="shared" ca="1" si="231"/>
        <v>18.716296529910871</v>
      </c>
      <c r="BY288" s="9">
        <f t="shared" ca="1" si="232"/>
        <v>-24.643633689032743</v>
      </c>
      <c r="BZ288" s="9">
        <f t="shared" ca="1" si="233"/>
        <v>-47.35634535181854</v>
      </c>
      <c r="CA288" s="6">
        <f t="shared" ca="1" si="234"/>
        <v>-2.6194197284562719</v>
      </c>
      <c r="CB288" s="6">
        <f t="shared" ca="1" si="235"/>
        <v>-3.0863359987542269</v>
      </c>
      <c r="CC288" s="6">
        <f t="shared" ca="1" si="236"/>
        <v>4.1330881114650442E-2</v>
      </c>
      <c r="CD288" s="9">
        <f t="shared" si="237"/>
        <v>-37.35634535181854</v>
      </c>
      <c r="CE288" s="9">
        <f t="shared" si="238"/>
        <v>-3.6194197284562706</v>
      </c>
      <c r="CF288" s="6">
        <f t="shared" si="239"/>
        <v>-3.0450051176395765</v>
      </c>
      <c r="CG288" s="6"/>
      <c r="CH288" s="6"/>
      <c r="CI288" s="6"/>
      <c r="CJ288" s="1"/>
      <c r="CK288" s="6"/>
    </row>
    <row r="289" spans="55:89" x14ac:dyDescent="0.2">
      <c r="BC289">
        <v>5.0090949532236939</v>
      </c>
      <c r="BD289">
        <v>-27.383980590485066</v>
      </c>
      <c r="BE289">
        <v>0.61919125433340516</v>
      </c>
      <c r="BF289" s="6">
        <f t="shared" si="226"/>
        <v>3.1189850652403415</v>
      </c>
      <c r="BG289" s="6">
        <f t="shared" si="227"/>
        <v>1.8901098879833524</v>
      </c>
      <c r="BH289" s="6">
        <f t="shared" si="228"/>
        <v>-7.7061064141710212E-2</v>
      </c>
      <c r="BI289" s="6">
        <f t="shared" si="229"/>
        <v>7.7061064141710212E-2</v>
      </c>
      <c r="BJ289">
        <v>-42.129200908438563</v>
      </c>
      <c r="BK289">
        <v>0.95260192974370017</v>
      </c>
      <c r="BV289" s="38"/>
      <c r="BW289" s="6">
        <f t="shared" si="230"/>
        <v>4.7822021504644336</v>
      </c>
      <c r="BX289" s="9">
        <f t="shared" ca="1" si="231"/>
        <v>20.849342333372398</v>
      </c>
      <c r="BY289" s="9">
        <f t="shared" ca="1" si="232"/>
        <v>-24.403494234233769</v>
      </c>
      <c r="BZ289" s="9">
        <f t="shared" ca="1" si="233"/>
        <v>-45.223299548357012</v>
      </c>
      <c r="CA289" s="6">
        <f t="shared" ca="1" si="234"/>
        <v>-2.3792802736572973</v>
      </c>
      <c r="CB289" s="6">
        <f t="shared" ca="1" si="235"/>
        <v>-3.0890292924384775</v>
      </c>
      <c r="CC289" s="6">
        <f t="shared" ca="1" si="236"/>
        <v>4.3082682466391464E-2</v>
      </c>
      <c r="CD289" s="9">
        <f t="shared" si="237"/>
        <v>-35.223299548357012</v>
      </c>
      <c r="CE289" s="9">
        <f t="shared" si="238"/>
        <v>-3.3792802736572964</v>
      </c>
      <c r="CF289" s="6">
        <f t="shared" si="239"/>
        <v>-3.045946609972086</v>
      </c>
      <c r="CG289" s="6"/>
      <c r="CH289" s="6"/>
      <c r="CI289" s="6"/>
      <c r="CJ289" s="1"/>
      <c r="CK289" s="6"/>
    </row>
    <row r="290" spans="55:89" x14ac:dyDescent="0.2">
      <c r="BC290">
        <v>5.026548245743637</v>
      </c>
      <c r="BD290">
        <v>-26.539307085876107</v>
      </c>
      <c r="BE290">
        <v>0.8469377645947036</v>
      </c>
      <c r="BF290" s="6">
        <f t="shared" si="226"/>
        <v>3.1096909002145203</v>
      </c>
      <c r="BG290" s="6">
        <f t="shared" si="227"/>
        <v>1.9168573455291167</v>
      </c>
      <c r="BH290" s="6">
        <f t="shared" si="228"/>
        <v>-6.7766899115889068E-2</v>
      </c>
      <c r="BI290" s="6">
        <f t="shared" si="229"/>
        <v>6.7766899115889068E-2</v>
      </c>
      <c r="BJ290">
        <v>-40.829703209040161</v>
      </c>
      <c r="BK290">
        <v>1.302981176299544</v>
      </c>
      <c r="BV290" s="38"/>
      <c r="BW290" s="6">
        <f t="shared" si="230"/>
        <v>4.7996554429843767</v>
      </c>
      <c r="BX290" s="9">
        <f t="shared" ca="1" si="231"/>
        <v>22.839385127285439</v>
      </c>
      <c r="BY290" s="9">
        <f t="shared" ca="1" si="232"/>
        <v>-24.165502237522169</v>
      </c>
      <c r="BZ290" s="9">
        <f t="shared" ca="1" si="233"/>
        <v>-43.233256754443971</v>
      </c>
      <c r="CA290" s="6">
        <f t="shared" ca="1" si="234"/>
        <v>-2.1412882769456978</v>
      </c>
      <c r="CB290" s="6">
        <f t="shared" ca="1" si="235"/>
        <v>-3.0921043641966994</v>
      </c>
      <c r="CC290" s="6">
        <f t="shared" ca="1" si="236"/>
        <v>4.475413960237784E-2</v>
      </c>
      <c r="CD290" s="9">
        <f t="shared" si="237"/>
        <v>-33.233256754443971</v>
      </c>
      <c r="CE290" s="9">
        <f t="shared" si="238"/>
        <v>-3.1412882769456978</v>
      </c>
      <c r="CF290" s="6">
        <f t="shared" si="239"/>
        <v>-3.0473502245943216</v>
      </c>
      <c r="CG290" s="6"/>
      <c r="CH290" s="6"/>
      <c r="CI290" s="6"/>
      <c r="CJ290" s="1"/>
      <c r="CK290" s="6"/>
    </row>
    <row r="291" spans="55:89" x14ac:dyDescent="0.2">
      <c r="BC291">
        <v>5.0440015382635801</v>
      </c>
      <c r="BD291">
        <v>-25.745984415143781</v>
      </c>
      <c r="BE291">
        <v>1.0752110072463268</v>
      </c>
      <c r="BF291" s="6">
        <f t="shared" si="226"/>
        <v>3.0998546273530154</v>
      </c>
      <c r="BG291" s="6">
        <f t="shared" si="227"/>
        <v>1.9441469109105647</v>
      </c>
      <c r="BH291" s="6">
        <f t="shared" si="228"/>
        <v>-5.7930626254384172E-2</v>
      </c>
      <c r="BI291" s="6">
        <f t="shared" si="229"/>
        <v>5.7930626254384172E-2</v>
      </c>
      <c r="BJ291">
        <v>-39.609206792528894</v>
      </c>
      <c r="BK291">
        <v>1.6541707803789643</v>
      </c>
      <c r="BV291" s="38"/>
      <c r="BW291" s="6">
        <f t="shared" si="230"/>
        <v>4.8171087355043198</v>
      </c>
      <c r="BX291" s="9">
        <f t="shared" ca="1" si="231"/>
        <v>24.696978601406869</v>
      </c>
      <c r="BY291" s="9">
        <f t="shared" ca="1" si="232"/>
        <v>-23.929438566965782</v>
      </c>
      <c r="BZ291" s="9">
        <f t="shared" ca="1" si="233"/>
        <v>-41.375663280322541</v>
      </c>
      <c r="CA291" s="6">
        <f t="shared" ca="1" si="234"/>
        <v>-1.9052246063893108</v>
      </c>
      <c r="CB291" s="6">
        <f t="shared" ca="1" si="235"/>
        <v>-3.0955781706581944</v>
      </c>
      <c r="CC291" s="6">
        <f t="shared" ca="1" si="236"/>
        <v>4.6317082790620301E-2</v>
      </c>
      <c r="CD291" s="9">
        <f t="shared" si="237"/>
        <v>-31.375663280322541</v>
      </c>
      <c r="CE291" s="9">
        <f t="shared" si="238"/>
        <v>-2.9052246063893121</v>
      </c>
      <c r="CF291" s="6">
        <f t="shared" si="239"/>
        <v>-3.0492610878675741</v>
      </c>
      <c r="CG291" s="6"/>
      <c r="CH291" s="6"/>
      <c r="CI291" s="6"/>
      <c r="CJ291" s="1"/>
      <c r="CK291" s="6"/>
    </row>
    <row r="292" spans="55:89" x14ac:dyDescent="0.2">
      <c r="BC292">
        <v>5.0614548307835232</v>
      </c>
      <c r="BD292">
        <v>-25.000658902470221</v>
      </c>
      <c r="BE292">
        <v>1.304076843968651</v>
      </c>
      <c r="BF292" s="6">
        <f t="shared" si="226"/>
        <v>3.0894781854576592</v>
      </c>
      <c r="BG292" s="6">
        <f t="shared" si="227"/>
        <v>1.971976645325864</v>
      </c>
      <c r="BH292" s="6">
        <f t="shared" si="228"/>
        <v>-4.7554184359027911E-2</v>
      </c>
      <c r="BI292" s="6">
        <f t="shared" si="229"/>
        <v>4.7554184359027911E-2</v>
      </c>
      <c r="BJ292">
        <v>-38.462552157646492</v>
      </c>
      <c r="BK292">
        <v>2.0062720676440784</v>
      </c>
      <c r="BV292" s="38"/>
      <c r="BW292" s="6">
        <f t="shared" si="230"/>
        <v>4.8345620280242629</v>
      </c>
      <c r="BX292" s="9">
        <f t="shared" ca="1" si="231"/>
        <v>26.43183543251871</v>
      </c>
      <c r="BY292" s="9">
        <f t="shared" ca="1" si="232"/>
        <v>-23.69509694735153</v>
      </c>
      <c r="BZ292" s="9">
        <f t="shared" ca="1" si="233"/>
        <v>-39.6408064492107</v>
      </c>
      <c r="CA292" s="6">
        <f t="shared" ca="1" si="234"/>
        <v>-1.6708829867750588</v>
      </c>
      <c r="CB292" s="6">
        <f t="shared" ca="1" si="235"/>
        <v>-3.0994670095074968</v>
      </c>
      <c r="CC292" s="6">
        <f t="shared" ca="1" si="236"/>
        <v>4.7739969161196168E-2</v>
      </c>
      <c r="CD292" s="9">
        <f t="shared" si="237"/>
        <v>-29.6408064492107</v>
      </c>
      <c r="CE292" s="9">
        <f t="shared" si="238"/>
        <v>-2.6708829867750579</v>
      </c>
      <c r="CF292" s="6">
        <f t="shared" si="239"/>
        <v>-3.0517270403463006</v>
      </c>
      <c r="CG292" s="6"/>
      <c r="CH292" s="6"/>
      <c r="CI292" s="6"/>
      <c r="CJ292" s="1"/>
      <c r="CK292" s="6"/>
    </row>
    <row r="293" spans="55:89" x14ac:dyDescent="0.2">
      <c r="BC293">
        <v>5.0789081233034663</v>
      </c>
      <c r="BD293">
        <v>-24.300304600654087</v>
      </c>
      <c r="BE293">
        <v>1.5334452251110766</v>
      </c>
      <c r="BF293" s="6">
        <f t="shared" si="226"/>
        <v>3.0785722655230563</v>
      </c>
      <c r="BG293" s="6">
        <f t="shared" si="227"/>
        <v>2.00033585778041</v>
      </c>
      <c r="BH293" s="6">
        <f t="shared" si="228"/>
        <v>-3.6648264424425037E-2</v>
      </c>
      <c r="BI293" s="6">
        <f t="shared" si="229"/>
        <v>3.6648264424425037E-2</v>
      </c>
      <c r="BJ293">
        <v>-37.385084001006284</v>
      </c>
      <c r="BK293">
        <v>2.3591465001708869</v>
      </c>
      <c r="BV293" s="38"/>
      <c r="BW293" s="6">
        <f t="shared" si="230"/>
        <v>4.852015320544206</v>
      </c>
      <c r="BX293" s="9">
        <f t="shared" ca="1" si="231"/>
        <v>28.052896218282484</v>
      </c>
      <c r="BY293" s="9">
        <f t="shared" ca="1" si="232"/>
        <v>-23.462280606802018</v>
      </c>
      <c r="BZ293" s="9">
        <f t="shared" ca="1" si="233"/>
        <v>-38.019745663446926</v>
      </c>
      <c r="CA293" s="6">
        <f t="shared" ca="1" si="234"/>
        <v>-1.4380666462255469</v>
      </c>
      <c r="CB293" s="6">
        <f t="shared" ca="1" si="235"/>
        <v>-3.1037864713177412</v>
      </c>
      <c r="CC293" s="6">
        <f t="shared" ca="1" si="236"/>
        <v>4.8987662110612444E-2</v>
      </c>
      <c r="CD293" s="9">
        <f t="shared" si="237"/>
        <v>-28.019745663446926</v>
      </c>
      <c r="CE293" s="9">
        <f t="shared" si="238"/>
        <v>-2.4380666462255483</v>
      </c>
      <c r="CF293" s="6">
        <f t="shared" si="239"/>
        <v>-3.0547988092071288</v>
      </c>
      <c r="CG293" s="6"/>
      <c r="CH293" s="6"/>
      <c r="CI293" s="6"/>
      <c r="CJ293" s="1"/>
      <c r="CK293" s="6"/>
    </row>
    <row r="294" spans="55:89" x14ac:dyDescent="0.2">
      <c r="BC294">
        <v>5.0963614158234094</v>
      </c>
      <c r="BD294">
        <v>-23.64215088868562</v>
      </c>
      <c r="BE294">
        <v>1.7631298785190663</v>
      </c>
      <c r="BF294" s="6">
        <f t="shared" si="226"/>
        <v>3.0671547489606827</v>
      </c>
      <c r="BG294" s="6">
        <f t="shared" si="227"/>
        <v>2.0292066668627267</v>
      </c>
      <c r="BH294" s="6">
        <f t="shared" si="228"/>
        <v>-2.5230747862051487E-2</v>
      </c>
      <c r="BI294" s="6">
        <f t="shared" si="229"/>
        <v>2.5230747862051487E-2</v>
      </c>
      <c r="BJ294">
        <v>-36.372539828747108</v>
      </c>
      <c r="BK294">
        <v>2.712507505413948</v>
      </c>
      <c r="BV294" s="38"/>
      <c r="BW294" s="6">
        <f t="shared" si="230"/>
        <v>4.8694686130641491</v>
      </c>
      <c r="BX294" s="9">
        <f t="shared" ca="1" si="231"/>
        <v>29.568393253804231</v>
      </c>
      <c r="BY294" s="9">
        <f t="shared" ca="1" si="232"/>
        <v>-23.230799645111933</v>
      </c>
      <c r="BZ294" s="9">
        <f t="shared" ca="1" si="233"/>
        <v>-36.504248627925179</v>
      </c>
      <c r="CA294" s="6">
        <f t="shared" ca="1" si="234"/>
        <v>-1.2065856845354617</v>
      </c>
      <c r="CB294" s="6">
        <f t="shared" ca="1" si="235"/>
        <v>-3.1085513882237876</v>
      </c>
      <c r="CC294" s="6">
        <f t="shared" ca="1" si="236"/>
        <v>5.0021216116913791E-2</v>
      </c>
      <c r="CD294" s="9">
        <f t="shared" si="237"/>
        <v>-26.504248627925179</v>
      </c>
      <c r="CE294" s="9">
        <f t="shared" si="238"/>
        <v>-2.2065856845354599</v>
      </c>
      <c r="CF294" s="6">
        <f t="shared" si="239"/>
        <v>-3.0585301721068738</v>
      </c>
      <c r="CG294" s="6"/>
      <c r="CH294" s="6"/>
      <c r="CI294" s="6"/>
      <c r="CJ294" s="1"/>
      <c r="CK294" s="6"/>
    </row>
    <row r="295" spans="55:89" x14ac:dyDescent="0.2">
      <c r="BC295">
        <v>5.1138147083433525</v>
      </c>
      <c r="BD295">
        <v>-23.023631831997612</v>
      </c>
      <c r="BE295">
        <v>1.9928934666003923</v>
      </c>
      <c r="BF295" s="6">
        <f t="shared" si="226"/>
        <v>3.0552492583849524</v>
      </c>
      <c r="BG295" s="6">
        <f t="shared" si="227"/>
        <v>2.0585654499584001</v>
      </c>
      <c r="BH295" s="6">
        <f t="shared" si="228"/>
        <v>-1.332525728632117E-2</v>
      </c>
      <c r="BI295" s="6">
        <f t="shared" si="229"/>
        <v>1.332525728632117E-2</v>
      </c>
      <c r="BJ295">
        <v>-35.420972049227096</v>
      </c>
      <c r="BK295">
        <v>3.0659899486159881</v>
      </c>
      <c r="BV295" s="38"/>
      <c r="BW295" s="6">
        <f t="shared" si="230"/>
        <v>4.8869219055840922</v>
      </c>
      <c r="BX295" s="9">
        <f t="shared" ca="1" si="231"/>
        <v>30.985909182190362</v>
      </c>
      <c r="BY295" s="9">
        <f t="shared" ca="1" si="232"/>
        <v>-23.000468741195</v>
      </c>
      <c r="BZ295" s="9">
        <f t="shared" ca="1" si="233"/>
        <v>-35.086732699539048</v>
      </c>
      <c r="CA295" s="6">
        <f t="shared" ca="1" si="234"/>
        <v>-0.97625478061852888</v>
      </c>
      <c r="CB295" s="6">
        <f t="shared" ca="1" si="235"/>
        <v>-3.1137757868991245</v>
      </c>
      <c r="CC295" s="6">
        <f t="shared" ca="1" si="236"/>
        <v>5.0797669502254283E-2</v>
      </c>
      <c r="CD295" s="9">
        <f t="shared" si="237"/>
        <v>-25.086732699539048</v>
      </c>
      <c r="CE295" s="9">
        <f t="shared" si="238"/>
        <v>-1.9762547806185284</v>
      </c>
      <c r="CF295" s="6">
        <f t="shared" si="239"/>
        <v>-3.0629781173968702</v>
      </c>
      <c r="CG295" s="6"/>
      <c r="CH295" s="6"/>
      <c r="CI295" s="6"/>
      <c r="CJ295" s="1"/>
      <c r="CK295" s="6"/>
    </row>
    <row r="296" spans="55:89" x14ac:dyDescent="0.2">
      <c r="BC296">
        <v>5.1312680008632956</v>
      </c>
      <c r="BD296">
        <v>-22.442352196095111</v>
      </c>
      <c r="BE296">
        <v>2.2224775652053697</v>
      </c>
      <c r="BF296" s="6">
        <f t="shared" si="226"/>
        <v>3.0428839848515277</v>
      </c>
      <c r="BG296" s="6">
        <f t="shared" si="227"/>
        <v>2.0883840160117679</v>
      </c>
      <c r="BH296" s="6">
        <f t="shared" si="228"/>
        <v>-9.5998375289640947E-4</v>
      </c>
      <c r="BI296" s="6">
        <f t="shared" si="229"/>
        <v>9.5998375289640947E-4</v>
      </c>
      <c r="BJ296">
        <v>-34.526695686300172</v>
      </c>
      <c r="BK296">
        <v>3.4191962541621073</v>
      </c>
      <c r="BV296" s="38"/>
      <c r="BW296" s="6">
        <f t="shared" si="230"/>
        <v>4.9043751981040353</v>
      </c>
      <c r="BX296" s="9">
        <f t="shared" ca="1" si="231"/>
        <v>32.312431152453563</v>
      </c>
      <c r="BY296" s="9">
        <f t="shared" ca="1" si="232"/>
        <v>-22.771105366027708</v>
      </c>
      <c r="BZ296" s="9">
        <f t="shared" ca="1" si="233"/>
        <v>-33.760210729275848</v>
      </c>
      <c r="CA296" s="6">
        <f t="shared" ca="1" si="234"/>
        <v>-0.74689140545123678</v>
      </c>
      <c r="CB296" s="6">
        <f t="shared" ca="1" si="235"/>
        <v>-3.1194728394417446</v>
      </c>
      <c r="CC296" s="6">
        <f t="shared" ca="1" si="236"/>
        <v>5.1269854861616171E-2</v>
      </c>
      <c r="CD296" s="9">
        <f t="shared" si="237"/>
        <v>-23.760210729275848</v>
      </c>
      <c r="CE296" s="9">
        <f t="shared" si="238"/>
        <v>-1.7468914054512381</v>
      </c>
      <c r="CF296" s="6">
        <f t="shared" si="239"/>
        <v>-3.0682029845801284</v>
      </c>
      <c r="CG296" s="6"/>
      <c r="CH296" s="6"/>
      <c r="CI296" s="6"/>
      <c r="CJ296" s="1"/>
      <c r="CK296" s="6"/>
    </row>
    <row r="297" spans="55:89" x14ac:dyDescent="0.2">
      <c r="BC297">
        <v>5.1487212933832387</v>
      </c>
      <c r="BD297">
        <v>-21.896063980679386</v>
      </c>
      <c r="BE297">
        <v>2.4516223901478247</v>
      </c>
      <c r="BF297" s="6">
        <f t="shared" si="226"/>
        <v>3.0300907015515866</v>
      </c>
      <c r="BG297" s="6">
        <f t="shared" si="227"/>
        <v>2.1186305918316521</v>
      </c>
      <c r="BH297" s="6">
        <f t="shared" si="228"/>
        <v>1.1833299547044707E-2</v>
      </c>
      <c r="BI297" s="6">
        <f t="shared" si="229"/>
        <v>1.1833299547044707E-2</v>
      </c>
      <c r="BJ297">
        <v>-33.686252277968286</v>
      </c>
      <c r="BK297">
        <v>3.7717267540735762</v>
      </c>
      <c r="BV297" s="38"/>
      <c r="BW297" s="6">
        <f t="shared" si="230"/>
        <v>4.9218284906239784</v>
      </c>
      <c r="BX297" s="9">
        <f t="shared" ca="1" si="231"/>
        <v>33.55440055529094</v>
      </c>
      <c r="BY297" s="9">
        <f t="shared" ca="1" si="232"/>
        <v>-22.542528217210688</v>
      </c>
      <c r="BZ297" s="9">
        <f t="shared" ca="1" si="233"/>
        <v>-32.518241326438471</v>
      </c>
      <c r="CA297" s="6">
        <f t="shared" ca="1" si="234"/>
        <v>-0.51831425663421626</v>
      </c>
      <c r="CB297" s="6">
        <f t="shared" ca="1" si="235"/>
        <v>-3.1256548184459021</v>
      </c>
      <c r="CC297" s="6">
        <f t="shared" ca="1" si="236"/>
        <v>5.1386233645902564E-2</v>
      </c>
      <c r="CD297" s="9">
        <f t="shared" si="237"/>
        <v>-22.518241326438471</v>
      </c>
      <c r="CE297" s="9">
        <f t="shared" si="238"/>
        <v>-1.5183142566342165</v>
      </c>
      <c r="CF297" s="6">
        <f t="shared" si="239"/>
        <v>-3.0742685847999995</v>
      </c>
      <c r="CG297" s="6"/>
      <c r="CH297" s="6"/>
      <c r="CI297" s="6"/>
      <c r="CJ297" s="1"/>
      <c r="CK297" s="6"/>
    </row>
    <row r="298" spans="55:89" x14ac:dyDescent="0.2">
      <c r="BC298">
        <v>5.1661745859031818</v>
      </c>
      <c r="BD298">
        <v>-21.382649499858793</v>
      </c>
      <c r="BE298">
        <v>2.6800794910487635</v>
      </c>
      <c r="BF298" s="6">
        <f t="shared" si="226"/>
        <v>3.0169039074562845</v>
      </c>
      <c r="BG298" s="6">
        <f t="shared" si="227"/>
        <v>2.1492706784468973</v>
      </c>
      <c r="BH298" s="6">
        <f t="shared" si="228"/>
        <v>2.5020093642346811E-2</v>
      </c>
      <c r="BI298" s="6">
        <f t="shared" si="229"/>
        <v>2.5020093642346811E-2</v>
      </c>
      <c r="BJ298">
        <v>-32.896383845936604</v>
      </c>
      <c r="BK298">
        <v>4.1231992169980973</v>
      </c>
      <c r="BV298" s="38"/>
      <c r="BW298" s="6">
        <f t="shared" si="230"/>
        <v>4.9392817831439215</v>
      </c>
      <c r="BX298" s="9">
        <f t="shared" ca="1" si="231"/>
        <v>34.717758733838544</v>
      </c>
      <c r="BY298" s="9">
        <f t="shared" ca="1" si="232"/>
        <v>-22.314555891028725</v>
      </c>
      <c r="BZ298" s="9">
        <f t="shared" ca="1" si="233"/>
        <v>-31.354883147890867</v>
      </c>
      <c r="CA298" s="6">
        <f t="shared" ca="1" si="234"/>
        <v>-0.29034193045225365</v>
      </c>
      <c r="CB298" s="6">
        <f t="shared" ca="1" si="235"/>
        <v>-3.132333054979684</v>
      </c>
      <c r="CC298" s="6">
        <f t="shared" ca="1" si="236"/>
        <v>5.1090766889557944E-2</v>
      </c>
      <c r="CD298" s="9">
        <f t="shared" si="237"/>
        <v>-21.354883147890867</v>
      </c>
      <c r="CE298" s="9">
        <f t="shared" si="238"/>
        <v>-1.2903419304522523</v>
      </c>
      <c r="CF298" s="6">
        <f t="shared" si="239"/>
        <v>-3.081242288090126</v>
      </c>
      <c r="CG298" s="6"/>
      <c r="CH298" s="6"/>
      <c r="CI298" s="6"/>
      <c r="CJ298" s="1"/>
      <c r="CK298" s="6"/>
    </row>
    <row r="299" spans="55:89" x14ac:dyDescent="0.2">
      <c r="BC299">
        <v>5.1836278784231249</v>
      </c>
      <c r="BD299">
        <v>-20.900108448968165</v>
      </c>
      <c r="BE299">
        <v>2.9076195803480092</v>
      </c>
      <c r="BF299" s="6">
        <f t="shared" si="226"/>
        <v>3.0033600643715839</v>
      </c>
      <c r="BG299" s="6">
        <f t="shared" si="227"/>
        <v>2.180267814051541</v>
      </c>
      <c r="BH299" s="6">
        <f t="shared" si="228"/>
        <v>3.8563936727047388E-2</v>
      </c>
      <c r="BI299" s="6">
        <f t="shared" si="229"/>
        <v>3.8563936727047388E-2</v>
      </c>
      <c r="BJ299">
        <v>-32.154012998412561</v>
      </c>
      <c r="BK299">
        <v>4.4732608928430908</v>
      </c>
      <c r="BV299" s="38"/>
      <c r="BW299" s="6">
        <f t="shared" si="230"/>
        <v>4.9567350756638646</v>
      </c>
      <c r="BX299" s="9">
        <f t="shared" ca="1" si="231"/>
        <v>35.807988991135552</v>
      </c>
      <c r="BY299" s="9">
        <f t="shared" ca="1" si="232"/>
        <v>-22.087005753141007</v>
      </c>
      <c r="BZ299" s="9">
        <f t="shared" ca="1" si="233"/>
        <v>-30.264652890593858</v>
      </c>
      <c r="CA299" s="6">
        <f t="shared" ca="1" si="234"/>
        <v>-6.2791792564535598E-2</v>
      </c>
      <c r="CB299" s="6">
        <f t="shared" ca="1" si="235"/>
        <v>-3.1395178998269273</v>
      </c>
      <c r="CC299" s="6">
        <f t="shared" ca="1" si="236"/>
        <v>5.0322836561353952E-2</v>
      </c>
      <c r="CD299" s="9">
        <f t="shared" si="237"/>
        <v>-20.264652890593858</v>
      </c>
      <c r="CE299" s="9">
        <f t="shared" si="238"/>
        <v>-1.062791792564536</v>
      </c>
      <c r="CF299" s="6">
        <f t="shared" si="239"/>
        <v>-3.0891950632655734</v>
      </c>
      <c r="CG299" s="6"/>
      <c r="CH299" s="6"/>
      <c r="CI299" s="6"/>
      <c r="CJ299" s="1"/>
      <c r="CK299" s="6"/>
    </row>
    <row r="300" spans="55:89" x14ac:dyDescent="0.2">
      <c r="BC300">
        <v>5.201081170943068</v>
      </c>
      <c r="BD300">
        <v>-20.446547669177381</v>
      </c>
      <c r="BE300">
        <v>3.134037133082646</v>
      </c>
      <c r="BF300" s="6">
        <f t="shared" si="226"/>
        <v>2.9894968989983282</v>
      </c>
      <c r="BG300" s="6">
        <f t="shared" si="227"/>
        <v>2.2115842719447398</v>
      </c>
      <c r="BH300" s="6">
        <f t="shared" si="228"/>
        <v>5.2427102100303109E-2</v>
      </c>
      <c r="BI300" s="6">
        <f t="shared" si="229"/>
        <v>5.2427102100303109E-2</v>
      </c>
      <c r="BJ300">
        <v>-31.456227183349817</v>
      </c>
      <c r="BK300">
        <v>4.8215955893579165</v>
      </c>
      <c r="BV300" s="38"/>
      <c r="BW300" s="6">
        <f t="shared" si="230"/>
        <v>4.9741883681838077</v>
      </c>
      <c r="BX300" s="9">
        <f t="shared" ca="1" si="231"/>
        <v>36.830155087523138</v>
      </c>
      <c r="BY300" s="9">
        <f t="shared" ca="1" si="232"/>
        <v>-21.859692903233167</v>
      </c>
      <c r="BZ300" s="9">
        <f t="shared" ca="1" si="233"/>
        <v>-29.242486794206272</v>
      </c>
      <c r="CA300" s="6">
        <f t="shared" ca="1" si="234"/>
        <v>0.16452105734330402</v>
      </c>
      <c r="CB300" s="6">
        <f t="shared" ca="1" si="235"/>
        <v>3.1359666162874804</v>
      </c>
      <c r="CC300" s="6">
        <f t="shared" ca="1" si="236"/>
        <v>4.9017234100297707E-2</v>
      </c>
      <c r="CD300" s="9">
        <f t="shared" si="237"/>
        <v>-19.242486794206272</v>
      </c>
      <c r="CE300" s="9">
        <f t="shared" si="238"/>
        <v>-0.83547894265669764</v>
      </c>
      <c r="CF300" s="6">
        <f t="shared" si="239"/>
        <v>-3.0982014567918088</v>
      </c>
      <c r="CG300" s="6"/>
      <c r="CH300" s="6"/>
      <c r="CI300" s="6"/>
      <c r="CJ300" s="1"/>
      <c r="CK300" s="6"/>
    </row>
    <row r="301" spans="55:89" x14ac:dyDescent="0.2">
      <c r="BC301">
        <v>5.2185344634630111</v>
      </c>
      <c r="BD301">
        <v>-20.020172571191495</v>
      </c>
      <c r="BE301">
        <v>3.3591527781563926</v>
      </c>
      <c r="BF301" s="6">
        <f t="shared" si="226"/>
        <v>2.9753527562295004</v>
      </c>
      <c r="BG301" s="6">
        <f t="shared" si="227"/>
        <v>2.2431817072335107</v>
      </c>
      <c r="BH301" s="6">
        <f t="shared" si="228"/>
        <v>6.6571244869130908E-2</v>
      </c>
      <c r="BI301" s="6">
        <f t="shared" si="229"/>
        <v>6.6571244869130908E-2</v>
      </c>
      <c r="BJ301">
        <v>-30.80026549414076</v>
      </c>
      <c r="BK301">
        <v>5.1679273510098342</v>
      </c>
      <c r="BV301" s="38"/>
      <c r="BW301" s="6">
        <f t="shared" si="230"/>
        <v>4.9916416607037508</v>
      </c>
      <c r="BX301" s="9">
        <f t="shared" ca="1" si="231"/>
        <v>37.788936597295027</v>
      </c>
      <c r="BY301" s="9">
        <f t="shared" ca="1" si="232"/>
        <v>-21.632429264075508</v>
      </c>
      <c r="BZ301" s="9">
        <f t="shared" ca="1" si="233"/>
        <v>-28.283705284434383</v>
      </c>
      <c r="CA301" s="6">
        <f t="shared" ca="1" si="234"/>
        <v>0.39178469650096304</v>
      </c>
      <c r="CB301" s="6">
        <f t="shared" ca="1" si="235"/>
        <v>3.127741581485826</v>
      </c>
      <c r="CC301" s="6">
        <f t="shared" ca="1" si="236"/>
        <v>4.7104239052512292E-2</v>
      </c>
      <c r="CD301" s="9">
        <f t="shared" si="237"/>
        <v>-18.283705284434383</v>
      </c>
      <c r="CE301" s="9">
        <f t="shared" si="238"/>
        <v>-0.60821530349903652</v>
      </c>
      <c r="CF301" s="6">
        <f t="shared" si="239"/>
        <v>-3.1083394866412482</v>
      </c>
      <c r="CG301" s="6"/>
      <c r="CH301" s="6"/>
      <c r="CI301" s="6"/>
      <c r="CJ301" s="1"/>
      <c r="CK301" s="6"/>
    </row>
    <row r="302" spans="55:89" x14ac:dyDescent="0.2">
      <c r="BC302">
        <v>5.2359877559829542</v>
      </c>
      <c r="BD302">
        <v>-19.619279605394986</v>
      </c>
      <c r="BE302">
        <v>3.582814217096177</v>
      </c>
      <c r="BF302" s="6">
        <f t="shared" si="226"/>
        <v>2.960965995137272</v>
      </c>
      <c r="BG302" s="6">
        <f t="shared" si="227"/>
        <v>2.2750217608456822</v>
      </c>
      <c r="BH302" s="6">
        <f t="shared" si="228"/>
        <v>8.095800596135927E-2</v>
      </c>
      <c r="BI302" s="6">
        <f t="shared" si="229"/>
        <v>8.095800596135927E-2</v>
      </c>
      <c r="BJ302">
        <v>-30.183507085223056</v>
      </c>
      <c r="BK302">
        <v>5.5120218724556569</v>
      </c>
      <c r="BV302" s="38"/>
      <c r="BW302" s="6">
        <f t="shared" si="230"/>
        <v>5.0090949532236939</v>
      </c>
      <c r="BX302" s="9">
        <f t="shared" ca="1" si="231"/>
        <v>38.688661291244344</v>
      </c>
      <c r="BY302" s="9">
        <f t="shared" ca="1" si="232"/>
        <v>-21.405022706243066</v>
      </c>
      <c r="BZ302" s="9">
        <f t="shared" ca="1" si="233"/>
        <v>-27.383980590485066</v>
      </c>
      <c r="CA302" s="6">
        <f t="shared" ca="1" si="234"/>
        <v>0.61919125433340483</v>
      </c>
      <c r="CB302" s="6">
        <f t="shared" ca="1" si="235"/>
        <v>3.1189850652403415</v>
      </c>
      <c r="CC302" s="6">
        <f t="shared" ca="1" si="236"/>
        <v>4.4509813186442558E-2</v>
      </c>
      <c r="CD302" s="9">
        <f t="shared" si="237"/>
        <v>-17.383980590485066</v>
      </c>
      <c r="CE302" s="9">
        <f t="shared" si="238"/>
        <v>-0.38080874566659484</v>
      </c>
      <c r="CF302" s="6">
        <f t="shared" si="239"/>
        <v>-3.1196904287528029</v>
      </c>
      <c r="CG302" s="6"/>
      <c r="CH302" s="6"/>
      <c r="CI302" s="6"/>
      <c r="CJ302" s="1"/>
      <c r="CK302" s="6"/>
    </row>
    <row r="303" spans="55:89" x14ac:dyDescent="0.2">
      <c r="BC303">
        <v>5.2534410485028973</v>
      </c>
      <c r="BD303">
        <v>-19.242249352290873</v>
      </c>
      <c r="BE303">
        <v>3.8048961718823717</v>
      </c>
      <c r="BF303" s="6">
        <f t="shared" si="226"/>
        <v>2.9463744237424723</v>
      </c>
      <c r="BG303" s="6">
        <f t="shared" si="227"/>
        <v>2.307066624760425</v>
      </c>
      <c r="BH303" s="6">
        <f t="shared" si="228"/>
        <v>9.5549577356158988E-2</v>
      </c>
      <c r="BI303" s="6">
        <f t="shared" si="229"/>
        <v>9.5549577356158988E-2</v>
      </c>
      <c r="BJ303">
        <v>-29.603460541985957</v>
      </c>
      <c r="BK303">
        <v>5.8536864182805717</v>
      </c>
      <c r="BV303" s="38"/>
      <c r="BW303" s="6">
        <f t="shared" si="230"/>
        <v>5.026548245743637</v>
      </c>
      <c r="BX303" s="9">
        <f t="shared" ca="1" si="231"/>
        <v>39.533334795853307</v>
      </c>
      <c r="BY303" s="9">
        <f t="shared" ca="1" si="232"/>
        <v>-21.177276195981769</v>
      </c>
      <c r="BZ303" s="9">
        <f t="shared" ca="1" si="233"/>
        <v>-26.539307085876104</v>
      </c>
      <c r="CA303" s="6">
        <f t="shared" ca="1" si="234"/>
        <v>0.84693776459470271</v>
      </c>
      <c r="CB303" s="6">
        <f t="shared" ca="1" si="235"/>
        <v>3.1096909002145203</v>
      </c>
      <c r="CC303" s="6">
        <f t="shared" ca="1" si="236"/>
        <v>4.1155941907401038E-2</v>
      </c>
      <c r="CD303" s="9">
        <f t="shared" si="237"/>
        <v>-16.539307085876107</v>
      </c>
      <c r="CE303" s="9">
        <f t="shared" si="238"/>
        <v>-0.1530622354052964</v>
      </c>
      <c r="CF303" s="6">
        <f t="shared" si="239"/>
        <v>-3.1323384650576651</v>
      </c>
      <c r="CG303" s="6"/>
      <c r="CH303" s="6"/>
      <c r="CI303" s="6"/>
      <c r="CJ303" s="1"/>
      <c r="CK303" s="6"/>
    </row>
    <row r="304" spans="55:89" x14ac:dyDescent="0.2">
      <c r="BC304">
        <v>5.2708943410228404</v>
      </c>
      <c r="BD304">
        <v>-18.887540206142244</v>
      </c>
      <c r="BE304">
        <v>4.0252998088014502</v>
      </c>
      <c r="BF304" s="6">
        <f t="shared" si="226"/>
        <v>2.9316147689607392</v>
      </c>
      <c r="BG304" s="6">
        <f t="shared" si="227"/>
        <v>2.3392795720621011</v>
      </c>
      <c r="BH304" s="6">
        <f t="shared" si="228"/>
        <v>0.11030923213789201</v>
      </c>
      <c r="BI304" s="6">
        <f t="shared" si="229"/>
        <v>0.11030923213789201</v>
      </c>
      <c r="BJ304">
        <v>-29.057754163295758</v>
      </c>
      <c r="BK304">
        <v>6.1927689366176155</v>
      </c>
      <c r="BV304" s="38"/>
      <c r="BW304" s="6">
        <f t="shared" si="230"/>
        <v>5.0440015382635801</v>
      </c>
      <c r="BX304" s="9">
        <f t="shared" ca="1" si="231"/>
        <v>40.32665746658563</v>
      </c>
      <c r="BY304" s="9">
        <f t="shared" ca="1" si="232"/>
        <v>-20.949002953330144</v>
      </c>
      <c r="BZ304" s="9">
        <f t="shared" ca="1" si="233"/>
        <v>-25.745984415143781</v>
      </c>
      <c r="CA304" s="6">
        <f t="shared" ca="1" si="234"/>
        <v>1.0752110072463275</v>
      </c>
      <c r="CB304" s="6">
        <f t="shared" ca="1" si="235"/>
        <v>3.0998546273530154</v>
      </c>
      <c r="CC304" s="6">
        <f t="shared" ca="1" si="236"/>
        <v>3.6961542703709327E-2</v>
      </c>
      <c r="CD304" s="9">
        <f t="shared" si="237"/>
        <v>-15.745984415143781</v>
      </c>
      <c r="CE304" s="9">
        <f t="shared" si="238"/>
        <v>7.5211007246326789E-2</v>
      </c>
      <c r="CF304" s="6">
        <f t="shared" si="239"/>
        <v>3.1368161700567248</v>
      </c>
      <c r="CG304" s="6"/>
      <c r="CH304" s="6"/>
      <c r="CI304" s="6"/>
      <c r="CJ304" s="1"/>
      <c r="CK304" s="6"/>
    </row>
    <row r="305" spans="55:89" x14ac:dyDescent="0.2">
      <c r="BC305">
        <v>5.2883476335427835</v>
      </c>
      <c r="BD305">
        <v>-18.553682252826025</v>
      </c>
      <c r="BE305">
        <v>4.2439517956515553</v>
      </c>
      <c r="BF305" s="6">
        <f t="shared" si="226"/>
        <v>2.9167221847702125</v>
      </c>
      <c r="BG305" s="6">
        <f t="shared" si="227"/>
        <v>2.371625448772571</v>
      </c>
      <c r="BH305" s="6">
        <f t="shared" si="228"/>
        <v>0.12520181632841876</v>
      </c>
      <c r="BI305" s="6">
        <f t="shared" si="229"/>
        <v>0.12520181632841876</v>
      </c>
      <c r="BJ305">
        <v>-28.54412654280927</v>
      </c>
      <c r="BK305">
        <v>6.5291566086947004</v>
      </c>
      <c r="BV305" s="38"/>
      <c r="BW305" s="6">
        <f t="shared" si="230"/>
        <v>5.0614548307835232</v>
      </c>
      <c r="BX305" s="9">
        <f t="shared" ca="1" si="231"/>
        <v>41.07198297925919</v>
      </c>
      <c r="BY305" s="9">
        <f t="shared" ca="1" si="232"/>
        <v>-20.72013711660782</v>
      </c>
      <c r="BZ305" s="9">
        <f t="shared" ca="1" si="233"/>
        <v>-25.000658902470221</v>
      </c>
      <c r="CA305" s="6">
        <f t="shared" ca="1" si="234"/>
        <v>1.3040768439686516</v>
      </c>
      <c r="CB305" s="6">
        <f t="shared" ca="1" si="235"/>
        <v>3.0894781854576592</v>
      </c>
      <c r="CC305" s="6">
        <f t="shared" ca="1" si="236"/>
        <v>3.1846344786944591E-2</v>
      </c>
      <c r="CD305" s="9">
        <f t="shared" si="237"/>
        <v>-15.000658902470221</v>
      </c>
      <c r="CE305" s="9">
        <f t="shared" si="238"/>
        <v>0.30407684396865098</v>
      </c>
      <c r="CF305" s="6">
        <f t="shared" si="239"/>
        <v>3.1213245302446038</v>
      </c>
      <c r="CG305" s="6"/>
      <c r="CH305" s="6"/>
      <c r="CI305" s="6"/>
      <c r="CJ305" s="1"/>
      <c r="CK305" s="6"/>
    </row>
    <row r="306" spans="55:89" x14ac:dyDescent="0.2">
      <c r="BC306">
        <v>5.3058009260627266</v>
      </c>
      <c r="BD306">
        <v>-18.239271391499752</v>
      </c>
      <c r="BE306">
        <v>4.4608032317266373</v>
      </c>
      <c r="BF306" s="6">
        <f t="shared" si="226"/>
        <v>2.9017297978763272</v>
      </c>
      <c r="BG306" s="6">
        <f t="shared" si="227"/>
        <v>2.4040711281863993</v>
      </c>
      <c r="BH306" s="6">
        <f t="shared" si="228"/>
        <v>0.14019420322230403</v>
      </c>
      <c r="BI306" s="6">
        <f t="shared" si="229"/>
        <v>0.14019420322230403</v>
      </c>
      <c r="BJ306">
        <v>-28.060417525384231</v>
      </c>
      <c r="BK306">
        <v>6.8627742026563645</v>
      </c>
      <c r="BV306" s="38"/>
      <c r="BW306" s="6">
        <f t="shared" si="230"/>
        <v>5.0789081233034663</v>
      </c>
      <c r="BX306" s="9">
        <f t="shared" ca="1" si="231"/>
        <v>41.772337281075323</v>
      </c>
      <c r="BY306" s="9">
        <f t="shared" ca="1" si="232"/>
        <v>-20.490768735465394</v>
      </c>
      <c r="BZ306" s="9">
        <f t="shared" ca="1" si="233"/>
        <v>-24.300304600654087</v>
      </c>
      <c r="CA306" s="6">
        <f t="shared" ca="1" si="234"/>
        <v>1.5334452251110768</v>
      </c>
      <c r="CB306" s="6">
        <f t="shared" ca="1" si="235"/>
        <v>3.0785722655230563</v>
      </c>
      <c r="CC306" s="6">
        <f t="shared" ca="1" si="236"/>
        <v>2.5734608962362682E-2</v>
      </c>
      <c r="CD306" s="9">
        <f t="shared" si="237"/>
        <v>-14.300304600654087</v>
      </c>
      <c r="CE306" s="9">
        <f t="shared" si="238"/>
        <v>0.53344522511107662</v>
      </c>
      <c r="CF306" s="6">
        <f t="shared" si="239"/>
        <v>3.104306874485419</v>
      </c>
      <c r="CG306" s="6"/>
      <c r="CH306" s="6"/>
      <c r="CI306" s="6"/>
      <c r="CJ306" s="1"/>
      <c r="CK306" s="6"/>
    </row>
    <row r="307" spans="55:89" x14ac:dyDescent="0.2">
      <c r="BC307">
        <v>5.3232542185826697</v>
      </c>
      <c r="BD307">
        <v>-17.942963593470257</v>
      </c>
      <c r="BE307">
        <v>4.6758285613016568</v>
      </c>
      <c r="BF307" s="6">
        <f t="shared" si="226"/>
        <v>2.886668292282609</v>
      </c>
      <c r="BG307" s="6">
        <f t="shared" si="227"/>
        <v>2.4365859263000607</v>
      </c>
      <c r="BH307" s="6">
        <f t="shared" si="228"/>
        <v>0.15525570881602227</v>
      </c>
      <c r="BI307" s="6">
        <f t="shared" si="229"/>
        <v>0.15525570881602227</v>
      </c>
      <c r="BJ307">
        <v>-27.604559374569625</v>
      </c>
      <c r="BK307">
        <v>7.1935824020025487</v>
      </c>
      <c r="BV307" s="38"/>
      <c r="BW307" s="6">
        <f t="shared" si="230"/>
        <v>5.0963614158234094</v>
      </c>
      <c r="BX307" s="9">
        <f t="shared" ca="1" si="231"/>
        <v>42.43049099304379</v>
      </c>
      <c r="BY307" s="9">
        <f t="shared" ca="1" si="232"/>
        <v>-20.261084082057405</v>
      </c>
      <c r="BZ307" s="9">
        <f t="shared" ca="1" si="233"/>
        <v>-23.64215088868562</v>
      </c>
      <c r="CA307" s="6">
        <f t="shared" ca="1" si="234"/>
        <v>1.7631298785190666</v>
      </c>
      <c r="CB307" s="6">
        <f t="shared" ca="1" si="235"/>
        <v>3.0671547489606827</v>
      </c>
      <c r="CC307" s="6">
        <f t="shared" ca="1" si="236"/>
        <v>1.8557025990027842E-2</v>
      </c>
      <c r="CD307" s="9">
        <f t="shared" si="237"/>
        <v>-13.64215088868562</v>
      </c>
      <c r="CE307" s="9">
        <f t="shared" si="238"/>
        <v>0.76312987851906633</v>
      </c>
      <c r="CF307" s="6">
        <f t="shared" si="239"/>
        <v>3.0857117749507106</v>
      </c>
      <c r="CG307" s="6"/>
      <c r="CH307" s="6"/>
      <c r="CI307" s="6"/>
      <c r="CJ307" s="1"/>
      <c r="CK307" s="6"/>
    </row>
    <row r="308" spans="55:89" x14ac:dyDescent="0.2">
      <c r="BC308">
        <v>5.3407075111026128</v>
      </c>
      <c r="BD308">
        <v>-17.663469222883712</v>
      </c>
      <c r="BE308">
        <v>4.8890245515705271</v>
      </c>
      <c r="BF308" s="6">
        <f t="shared" si="226"/>
        <v>2.8715655331892549</v>
      </c>
      <c r="BG308" s="6">
        <f t="shared" si="227"/>
        <v>2.4691419779133579</v>
      </c>
      <c r="BH308" s="6">
        <f t="shared" si="228"/>
        <v>0.17035846790937639</v>
      </c>
      <c r="BI308" s="6">
        <f t="shared" si="229"/>
        <v>0.17035846790937639</v>
      </c>
      <c r="BJ308">
        <v>-27.174568035205709</v>
      </c>
      <c r="BK308">
        <v>7.5215762331854261</v>
      </c>
      <c r="BV308" s="38"/>
      <c r="BW308" s="6">
        <f t="shared" si="230"/>
        <v>5.1138147083433525</v>
      </c>
      <c r="BX308" s="9">
        <f t="shared" ca="1" si="231"/>
        <v>43.049010049731798</v>
      </c>
      <c r="BY308" s="9">
        <f t="shared" ca="1" si="232"/>
        <v>-20.031320493976079</v>
      </c>
      <c r="BZ308" s="9">
        <f t="shared" ca="1" si="233"/>
        <v>-23.023631831997612</v>
      </c>
      <c r="CA308" s="6">
        <f t="shared" ca="1" si="234"/>
        <v>1.9928934666003926</v>
      </c>
      <c r="CB308" s="6">
        <f t="shared" ca="1" si="235"/>
        <v>3.0552492583849524</v>
      </c>
      <c r="CC308" s="6">
        <f t="shared" ca="1" si="236"/>
        <v>1.0252752761595652E-2</v>
      </c>
      <c r="CD308" s="9">
        <f t="shared" si="237"/>
        <v>-13.023631831997612</v>
      </c>
      <c r="CE308" s="9">
        <f t="shared" si="238"/>
        <v>0.99289346660039235</v>
      </c>
      <c r="CF308" s="6">
        <f t="shared" si="239"/>
        <v>3.0655020111465481</v>
      </c>
      <c r="CG308" s="6"/>
      <c r="CH308" s="6"/>
      <c r="CI308" s="6"/>
      <c r="CJ308" s="1"/>
      <c r="CK308" s="6"/>
    </row>
    <row r="309" spans="55:89" x14ac:dyDescent="0.2">
      <c r="BC309">
        <v>5.3581608036225559</v>
      </c>
      <c r="BD309">
        <v>-17.399547504281436</v>
      </c>
      <c r="BE309">
        <v>5.1004094424833735</v>
      </c>
      <c r="BF309" s="6">
        <f t="shared" si="226"/>
        <v>2.8564462290801274</v>
      </c>
      <c r="BG309" s="6">
        <f t="shared" si="227"/>
        <v>2.5017145745424285</v>
      </c>
      <c r="BH309" s="6">
        <f t="shared" si="228"/>
        <v>0.18547777201850391</v>
      </c>
      <c r="BI309" s="6">
        <f t="shared" si="229"/>
        <v>0.18547777201850391</v>
      </c>
      <c r="BJ309">
        <v>-26.76853462197144</v>
      </c>
      <c r="BK309">
        <v>7.8467837576667279</v>
      </c>
      <c r="BV309" s="38"/>
      <c r="BW309" s="6">
        <f t="shared" si="230"/>
        <v>5.1312680008632956</v>
      </c>
      <c r="BX309" s="9">
        <f t="shared" ca="1" si="231"/>
        <v>43.630289685634295</v>
      </c>
      <c r="BY309" s="9">
        <f t="shared" ca="1" si="232"/>
        <v>-19.801736395371101</v>
      </c>
      <c r="BZ309" s="9">
        <f t="shared" ca="1" si="233"/>
        <v>-22.442352196095115</v>
      </c>
      <c r="CA309" s="6">
        <f t="shared" ca="1" si="234"/>
        <v>2.2224775652053701</v>
      </c>
      <c r="CB309" s="6">
        <f t="shared" ca="1" si="235"/>
        <v>3.0428839848515277</v>
      </c>
      <c r="CC309" s="6">
        <f t="shared" ca="1" si="236"/>
        <v>7.7167764009011819E-4</v>
      </c>
      <c r="CD309" s="9">
        <f t="shared" si="237"/>
        <v>-12.442352196095111</v>
      </c>
      <c r="CE309" s="9">
        <f t="shared" si="238"/>
        <v>1.2224775652053697</v>
      </c>
      <c r="CF309" s="6">
        <f t="shared" si="239"/>
        <v>3.0436556624916178</v>
      </c>
      <c r="CG309" s="6"/>
      <c r="CH309" s="6"/>
      <c r="CI309" s="6"/>
      <c r="CJ309" s="1"/>
      <c r="CK309" s="6"/>
    </row>
    <row r="310" spans="55:89" x14ac:dyDescent="0.2">
      <c r="BC310">
        <v>5.375614096142499</v>
      </c>
      <c r="BD310">
        <v>-17.150001877993123</v>
      </c>
      <c r="BE310">
        <v>5.3100220317453566</v>
      </c>
      <c r="BF310" s="6">
        <f t="shared" si="226"/>
        <v>2.8413316586222583</v>
      </c>
      <c r="BG310" s="6">
        <f t="shared" si="227"/>
        <v>2.5342824375202406</v>
      </c>
      <c r="BH310" s="6">
        <f t="shared" si="228"/>
        <v>0.20059234247637292</v>
      </c>
      <c r="BI310" s="6">
        <f t="shared" si="229"/>
        <v>0.20059234247637292</v>
      </c>
      <c r="BJ310">
        <v>-26.384618273835574</v>
      </c>
      <c r="BK310">
        <v>8.1692646642236255</v>
      </c>
      <c r="BV310" s="38"/>
      <c r="BW310" s="6">
        <f t="shared" si="230"/>
        <v>5.1487212933832387</v>
      </c>
      <c r="BX310" s="9">
        <f t="shared" ca="1" si="231"/>
        <v>44.176577901050024</v>
      </c>
      <c r="BY310" s="9">
        <f t="shared" ca="1" si="232"/>
        <v>-19.572591570428646</v>
      </c>
      <c r="BZ310" s="9">
        <f t="shared" ca="1" si="233"/>
        <v>-21.896063980679386</v>
      </c>
      <c r="CA310" s="6">
        <f t="shared" ca="1" si="234"/>
        <v>2.4516223901478256</v>
      </c>
      <c r="CB310" s="6">
        <f t="shared" ca="1" si="235"/>
        <v>3.0300907015515866</v>
      </c>
      <c r="CC310" s="6">
        <f t="shared" ca="1" si="236"/>
        <v>-9.9231764746794404E-3</v>
      </c>
      <c r="CD310" s="9">
        <f t="shared" si="237"/>
        <v>-11.896063980679386</v>
      </c>
      <c r="CE310" s="9">
        <f t="shared" si="238"/>
        <v>1.4516223901478247</v>
      </c>
      <c r="CF310" s="6">
        <f t="shared" si="239"/>
        <v>3.0201675250769071</v>
      </c>
      <c r="CG310" s="6"/>
      <c r="CH310" s="6"/>
      <c r="CI310" s="6"/>
      <c r="CJ310" s="1"/>
      <c r="CK310" s="6"/>
    </row>
    <row r="311" spans="55:89" x14ac:dyDescent="0.2">
      <c r="BC311">
        <v>5.3930673886624421</v>
      </c>
      <c r="BD311">
        <v>-16.913701618650435</v>
      </c>
      <c r="BE311">
        <v>5.5179159681451146</v>
      </c>
      <c r="BF311" s="6">
        <f t="shared" si="226"/>
        <v>2.8262401629584679</v>
      </c>
      <c r="BG311" s="6">
        <f t="shared" si="227"/>
        <v>2.5668272257039741</v>
      </c>
      <c r="BH311" s="6">
        <f t="shared" si="228"/>
        <v>0.21568383814016334</v>
      </c>
      <c r="BI311" s="6">
        <f t="shared" si="229"/>
        <v>0.21568383814016334</v>
      </c>
      <c r="BJ311">
        <v>-26.02107941330836</v>
      </c>
      <c r="BK311">
        <v>8.489101489454022</v>
      </c>
      <c r="BV311" s="38"/>
      <c r="BW311" s="6">
        <f t="shared" si="230"/>
        <v>5.1661745859031818</v>
      </c>
      <c r="BX311" s="9">
        <f t="shared" ca="1" si="231"/>
        <v>44.689992381870617</v>
      </c>
      <c r="BY311" s="9">
        <f t="shared" ca="1" si="232"/>
        <v>-19.34413446952771</v>
      </c>
      <c r="BZ311" s="9">
        <f t="shared" ca="1" si="233"/>
        <v>-21.382649499858793</v>
      </c>
      <c r="CA311" s="6">
        <f t="shared" ca="1" si="234"/>
        <v>2.6800794910487618</v>
      </c>
      <c r="CB311" s="6">
        <f t="shared" ca="1" si="235"/>
        <v>3.0169039074562845</v>
      </c>
      <c r="CC311" s="6">
        <f t="shared" ca="1" si="236"/>
        <v>-2.1853227372184758E-2</v>
      </c>
      <c r="CD311" s="9">
        <f t="shared" si="237"/>
        <v>-11.382649499858793</v>
      </c>
      <c r="CE311" s="9">
        <f t="shared" si="238"/>
        <v>1.6800794910487635</v>
      </c>
      <c r="CF311" s="6">
        <f t="shared" si="239"/>
        <v>2.9950506800840997</v>
      </c>
      <c r="CG311" s="6"/>
      <c r="CH311" s="6"/>
      <c r="CI311" s="6"/>
      <c r="CJ311" s="1"/>
      <c r="CK311" s="6"/>
    </row>
    <row r="312" spans="55:89" x14ac:dyDescent="0.2">
      <c r="BC312">
        <v>5.4105206811823852</v>
      </c>
      <c r="BD312">
        <v>-16.689621562392922</v>
      </c>
      <c r="BE312">
        <v>5.724149812677517</v>
      </c>
      <c r="BF312" s="6">
        <f t="shared" si="226"/>
        <v>2.8111884025344716</v>
      </c>
      <c r="BG312" s="6">
        <f t="shared" si="227"/>
        <v>2.5993322786479136</v>
      </c>
      <c r="BH312" s="6">
        <f t="shared" si="228"/>
        <v>0.23073559856415971</v>
      </c>
      <c r="BI312" s="6">
        <f t="shared" si="229"/>
        <v>0.23073559856415971</v>
      </c>
      <c r="BJ312">
        <v>-25.676340865219881</v>
      </c>
      <c r="BK312">
        <v>8.806384327196179</v>
      </c>
      <c r="BV312" s="38"/>
      <c r="BW312" s="6">
        <f t="shared" si="230"/>
        <v>5.1836278784231249</v>
      </c>
      <c r="BX312" s="9">
        <f t="shared" ca="1" si="231"/>
        <v>45.172533432761242</v>
      </c>
      <c r="BY312" s="9">
        <f t="shared" ca="1" si="232"/>
        <v>-19.116594380228463</v>
      </c>
      <c r="BZ312" s="9">
        <f t="shared" ca="1" si="233"/>
        <v>-20.900108448968169</v>
      </c>
      <c r="CA312" s="6">
        <f t="shared" ca="1" si="234"/>
        <v>2.9076195803480083</v>
      </c>
      <c r="CB312" s="6">
        <f t="shared" ca="1" si="235"/>
        <v>3.0033600643715839</v>
      </c>
      <c r="CC312" s="6">
        <f t="shared" ca="1" si="236"/>
        <v>-3.502203239697322E-2</v>
      </c>
      <c r="CD312" s="9">
        <f t="shared" si="237"/>
        <v>-10.900108448968165</v>
      </c>
      <c r="CE312" s="9">
        <f t="shared" si="238"/>
        <v>1.9076195803480092</v>
      </c>
      <c r="CF312" s="6">
        <f t="shared" si="239"/>
        <v>2.9683380319746107</v>
      </c>
      <c r="CG312" s="6"/>
      <c r="CH312" s="6"/>
      <c r="CI312" s="6"/>
      <c r="CJ312" s="1"/>
      <c r="CK312" s="6"/>
    </row>
    <row r="313" spans="55:89" x14ac:dyDescent="0.2">
      <c r="BC313">
        <v>5.4279739737023283</v>
      </c>
      <c r="BD313">
        <v>-16.476838157853436</v>
      </c>
      <c r="BE313">
        <v>5.9287848911247361</v>
      </c>
      <c r="BF313" s="6">
        <f t="shared" si="226"/>
        <v>2.7961916490466221</v>
      </c>
      <c r="BG313" s="6">
        <f t="shared" si="227"/>
        <v>2.6317823246557062</v>
      </c>
      <c r="BH313" s="6">
        <f t="shared" si="228"/>
        <v>0.24573235205200916</v>
      </c>
      <c r="BI313" s="6">
        <f t="shared" si="229"/>
        <v>0.24573235205200916</v>
      </c>
      <c r="BJ313">
        <v>-25.348981781312979</v>
      </c>
      <c r="BK313">
        <v>9.1212075248072857</v>
      </c>
      <c r="BV313" s="38"/>
      <c r="BW313" s="6">
        <f t="shared" si="230"/>
        <v>5.201081170943068</v>
      </c>
      <c r="BX313" s="9">
        <f t="shared" ca="1" si="231"/>
        <v>45.626094212552033</v>
      </c>
      <c r="BY313" s="9">
        <f t="shared" ca="1" si="232"/>
        <v>-18.890176827493825</v>
      </c>
      <c r="BZ313" s="9">
        <f t="shared" ca="1" si="233"/>
        <v>-20.446547669177377</v>
      </c>
      <c r="CA313" s="6">
        <f t="shared" ca="1" si="234"/>
        <v>3.1340371330826464</v>
      </c>
      <c r="CB313" s="6">
        <f t="shared" ca="1" si="235"/>
        <v>2.9894968989983282</v>
      </c>
      <c r="CC313" s="6">
        <f t="shared" ca="1" si="236"/>
        <v>-4.9413286937094902E-2</v>
      </c>
      <c r="CD313" s="9">
        <f t="shared" si="237"/>
        <v>-10.446547669177381</v>
      </c>
      <c r="CE313" s="9">
        <f t="shared" si="238"/>
        <v>2.134037133082646</v>
      </c>
      <c r="CF313" s="6">
        <f t="shared" si="239"/>
        <v>2.9400836120612333</v>
      </c>
      <c r="CG313" s="6"/>
      <c r="CH313" s="6"/>
      <c r="CI313" s="6"/>
      <c r="CJ313" s="1"/>
      <c r="CK313" s="6"/>
    </row>
    <row r="314" spans="55:89" x14ac:dyDescent="0.2">
      <c r="BC314">
        <v>5.4454272662222714</v>
      </c>
      <c r="BD314">
        <v>-16.274517249587948</v>
      </c>
      <c r="BE314">
        <v>6.1318849524770531</v>
      </c>
      <c r="BF314" s="6">
        <f t="shared" si="226"/>
        <v>2.7812638374806373</v>
      </c>
      <c r="BG314" s="6">
        <f t="shared" si="227"/>
        <v>2.664163428741634</v>
      </c>
      <c r="BH314" s="6">
        <f t="shared" si="228"/>
        <v>0.26066016361799393</v>
      </c>
      <c r="BI314" s="6">
        <f t="shared" si="229"/>
        <v>0.26066016361799393</v>
      </c>
      <c r="BJ314">
        <v>-25.037718845519919</v>
      </c>
      <c r="BK314">
        <v>9.433669157657004</v>
      </c>
      <c r="BV314" s="38"/>
      <c r="BW314" s="6">
        <f t="shared" si="230"/>
        <v>5.2185344634630111</v>
      </c>
      <c r="BX314" s="9">
        <f t="shared" ca="1" si="231"/>
        <v>46.052469310537916</v>
      </c>
      <c r="BY314" s="9">
        <f t="shared" ca="1" si="232"/>
        <v>-18.665061182420079</v>
      </c>
      <c r="BZ314" s="9">
        <f t="shared" ca="1" si="233"/>
        <v>-20.020172571191495</v>
      </c>
      <c r="CA314" s="6">
        <f t="shared" ca="1" si="234"/>
        <v>3.3591527781563926</v>
      </c>
      <c r="CB314" s="6">
        <f t="shared" ca="1" si="235"/>
        <v>2.9753527562295004</v>
      </c>
      <c r="CC314" s="6">
        <f t="shared" ca="1" si="236"/>
        <v>-6.4989311424180851E-2</v>
      </c>
      <c r="CD314" s="9">
        <f t="shared" si="237"/>
        <v>-10.020172571191495</v>
      </c>
      <c r="CE314" s="9">
        <f t="shared" si="238"/>
        <v>2.3591527781563926</v>
      </c>
      <c r="CF314" s="6">
        <f t="shared" si="239"/>
        <v>2.9103634448053195</v>
      </c>
      <c r="CG314" s="6"/>
      <c r="CH314" s="6"/>
      <c r="CI314" s="6"/>
      <c r="CJ314" s="1"/>
      <c r="CK314" s="6"/>
    </row>
    <row r="315" spans="55:89" x14ac:dyDescent="0.2">
      <c r="BC315">
        <v>5.4628805587422145</v>
      </c>
      <c r="BD315">
        <v>-16.081903667998521</v>
      </c>
      <c r="BE315">
        <v>6.3335158869143369</v>
      </c>
      <c r="BF315" s="6">
        <f t="shared" si="226"/>
        <v>2.7664176214761573</v>
      </c>
      <c r="BG315" s="6">
        <f t="shared" si="227"/>
        <v>2.6964629372660571</v>
      </c>
      <c r="BH315" s="6">
        <f t="shared" si="228"/>
        <v>0.27550637962247393</v>
      </c>
      <c r="BI315" s="6">
        <f t="shared" si="229"/>
        <v>0.27550637962247393</v>
      </c>
      <c r="BJ315">
        <v>-24.741390258459262</v>
      </c>
      <c r="BK315">
        <v>9.743870595252826</v>
      </c>
      <c r="BV315" s="38"/>
      <c r="BW315" s="6">
        <f t="shared" si="230"/>
        <v>5.2359877559829542</v>
      </c>
      <c r="BX315" s="9">
        <f t="shared" ca="1" si="231"/>
        <v>46.453362276334424</v>
      </c>
      <c r="BY315" s="9">
        <f t="shared" ca="1" si="232"/>
        <v>-18.441399743480293</v>
      </c>
      <c r="BZ315" s="9">
        <f t="shared" ca="1" si="233"/>
        <v>-19.619279605394986</v>
      </c>
      <c r="CA315" s="6">
        <f t="shared" ca="1" si="234"/>
        <v>3.5828142170961783</v>
      </c>
      <c r="CB315" s="6">
        <f t="shared" ca="1" si="235"/>
        <v>2.9609659951372715</v>
      </c>
      <c r="CC315" s="6">
        <f t="shared" ca="1" si="236"/>
        <v>-8.1690219143811138E-2</v>
      </c>
      <c r="CD315" s="9">
        <f t="shared" si="237"/>
        <v>-9.6192796053949863</v>
      </c>
      <c r="CE315" s="9">
        <f t="shared" si="238"/>
        <v>2.582814217096177</v>
      </c>
      <c r="CF315" s="6">
        <f t="shared" si="239"/>
        <v>2.8792757759934604</v>
      </c>
      <c r="CG315" s="6"/>
      <c r="CH315" s="6"/>
      <c r="CI315" s="6"/>
      <c r="CJ315" s="1"/>
      <c r="CK315" s="6"/>
    </row>
    <row r="316" spans="55:89" x14ac:dyDescent="0.2">
      <c r="BC316">
        <v>5.4803338512621576</v>
      </c>
      <c r="BD316">
        <v>-15.89831219359227</v>
      </c>
      <c r="BE316">
        <v>6.5337454479952477</v>
      </c>
      <c r="BF316" s="6">
        <f t="shared" si="226"/>
        <v>2.7516644314043086</v>
      </c>
      <c r="BG316" s="6">
        <f t="shared" si="227"/>
        <v>2.7286694198578489</v>
      </c>
      <c r="BH316" s="6">
        <f t="shared" si="228"/>
        <v>0.29025956969432265</v>
      </c>
      <c r="BI316" s="6">
        <f t="shared" si="229"/>
        <v>0.29025956969432265</v>
      </c>
      <c r="BJ316">
        <v>-24.4589418362958</v>
      </c>
      <c r="BK316">
        <v>10.051916073838843</v>
      </c>
      <c r="BV316" s="38"/>
      <c r="BW316" s="6">
        <f t="shared" si="230"/>
        <v>5.2534410485028973</v>
      </c>
      <c r="BX316" s="9">
        <f t="shared" ca="1" si="231"/>
        <v>46.830392529438541</v>
      </c>
      <c r="BY316" s="9">
        <f t="shared" ca="1" si="232"/>
        <v>-18.219317788694099</v>
      </c>
      <c r="BZ316" s="9">
        <f t="shared" ca="1" si="233"/>
        <v>-19.24224935229087</v>
      </c>
      <c r="CA316" s="6">
        <f t="shared" ca="1" si="234"/>
        <v>3.8048961718823726</v>
      </c>
      <c r="CB316" s="6">
        <f t="shared" ca="1" si="235"/>
        <v>2.9463744237424723</v>
      </c>
      <c r="CC316" s="6">
        <f t="shared" ca="1" si="236"/>
        <v>-9.9433939181787778E-2</v>
      </c>
      <c r="CD316" s="9">
        <f t="shared" si="237"/>
        <v>-9.2422493522908731</v>
      </c>
      <c r="CE316" s="9">
        <f t="shared" si="238"/>
        <v>2.8048961718823717</v>
      </c>
      <c r="CF316" s="6">
        <f t="shared" si="239"/>
        <v>2.8469404845606845</v>
      </c>
      <c r="CG316" s="6"/>
      <c r="CH316" s="6"/>
      <c r="CI316" s="6"/>
      <c r="CJ316" s="1"/>
      <c r="CK316" s="6"/>
    </row>
    <row r="317" spans="55:89" x14ac:dyDescent="0.2">
      <c r="BC317">
        <v>5.4977871437821006</v>
      </c>
      <c r="BD317">
        <v>-15.723119744980444</v>
      </c>
      <c r="BE317">
        <v>6.7326430057594973</v>
      </c>
      <c r="BF317" s="6">
        <f t="shared" si="226"/>
        <v>2.7370145343267924</v>
      </c>
      <c r="BG317" s="6">
        <f t="shared" si="227"/>
        <v>2.7607726094553082</v>
      </c>
      <c r="BH317" s="6">
        <f t="shared" si="228"/>
        <v>0.30490946677183883</v>
      </c>
      <c r="BI317" s="6">
        <f t="shared" si="229"/>
        <v>0.30490946677183883</v>
      </c>
      <c r="BJ317">
        <v>-24.189414992277605</v>
      </c>
      <c r="BK317">
        <v>10.357912316553072</v>
      </c>
      <c r="BV317" s="38"/>
      <c r="BW317" s="6">
        <f t="shared" si="230"/>
        <v>5.2708943410228404</v>
      </c>
      <c r="BX317" s="9">
        <f t="shared" ca="1" si="231"/>
        <v>47.185101675587163</v>
      </c>
      <c r="BY317" s="9">
        <f t="shared" ca="1" si="232"/>
        <v>-17.998914151775022</v>
      </c>
      <c r="BZ317" s="9">
        <f t="shared" ca="1" si="233"/>
        <v>-18.887540206142248</v>
      </c>
      <c r="CA317" s="6">
        <f t="shared" ca="1" si="234"/>
        <v>4.0252998088014493</v>
      </c>
      <c r="CB317" s="6">
        <f t="shared" ca="1" si="235"/>
        <v>2.9316147689607392</v>
      </c>
      <c r="CC317" s="6">
        <f t="shared" ca="1" si="236"/>
        <v>-0.11811722641481959</v>
      </c>
      <c r="CD317" s="9">
        <f t="shared" si="237"/>
        <v>-8.8875402061422442</v>
      </c>
      <c r="CE317" s="9">
        <f t="shared" si="238"/>
        <v>3.0252998088014502</v>
      </c>
      <c r="CF317" s="6">
        <f t="shared" si="239"/>
        <v>2.8134975425459197</v>
      </c>
      <c r="CG317" s="6"/>
      <c r="CH317" s="6"/>
      <c r="CI317" s="6"/>
      <c r="CJ317" s="1"/>
      <c r="CK317" s="6"/>
    </row>
    <row r="318" spans="55:89" x14ac:dyDescent="0.2">
      <c r="BC318">
        <v>5.5152404363020437</v>
      </c>
      <c r="BD318">
        <v>-15.555758590758195</v>
      </c>
      <c r="BE318">
        <v>6.9302793273596714</v>
      </c>
      <c r="BF318" s="6">
        <f t="shared" si="226"/>
        <v>2.7224770950617718</v>
      </c>
      <c r="BG318" s="6">
        <f t="shared" si="227"/>
        <v>2.7927633412402719</v>
      </c>
      <c r="BH318" s="6">
        <f t="shared" si="228"/>
        <v>0.31944690603685938</v>
      </c>
      <c r="BI318" s="6">
        <f t="shared" si="229"/>
        <v>0.31944690603685938</v>
      </c>
      <c r="BJ318">
        <v>-23.931936293474145</v>
      </c>
      <c r="BK318">
        <v>10.661968195937956</v>
      </c>
      <c r="BV318" s="38"/>
      <c r="BW318" s="6">
        <f t="shared" si="230"/>
        <v>5.2883476335427835</v>
      </c>
      <c r="BX318" s="9">
        <f t="shared" ca="1" si="231"/>
        <v>47.518959628903389</v>
      </c>
      <c r="BY318" s="9">
        <f t="shared" ca="1" si="232"/>
        <v>-17.780262164924917</v>
      </c>
      <c r="BZ318" s="9">
        <f t="shared" ca="1" si="233"/>
        <v>-18.553682252826022</v>
      </c>
      <c r="CA318" s="6">
        <f t="shared" ca="1" si="234"/>
        <v>4.2439517956515544</v>
      </c>
      <c r="CB318" s="6">
        <f t="shared" ca="1" si="235"/>
        <v>2.9167221847702125</v>
      </c>
      <c r="CC318" s="6">
        <f t="shared" ca="1" si="236"/>
        <v>-0.13761772173710307</v>
      </c>
      <c r="CD318" s="9">
        <f t="shared" si="237"/>
        <v>-8.5536822528260252</v>
      </c>
      <c r="CE318" s="9">
        <f t="shared" si="238"/>
        <v>3.2439517956515553</v>
      </c>
      <c r="CF318" s="6">
        <f t="shared" si="239"/>
        <v>2.7791044630331094</v>
      </c>
      <c r="CG318" s="6"/>
      <c r="CH318" s="6"/>
      <c r="CI318" s="6"/>
      <c r="CJ318" s="1"/>
      <c r="CK318" s="6"/>
    </row>
    <row r="319" spans="55:89" x14ac:dyDescent="0.2">
      <c r="BC319">
        <v>5.5326937288219868</v>
      </c>
      <c r="BD319">
        <v>-15.395710427396436</v>
      </c>
      <c r="BE319">
        <v>7.1267263840589088</v>
      </c>
      <c r="BF319" s="6">
        <f t="shared" si="226"/>
        <v>2.7080602376455545</v>
      </c>
      <c r="BG319" s="6">
        <f t="shared" si="227"/>
        <v>2.8246334911764324</v>
      </c>
      <c r="BH319" s="6">
        <f t="shared" si="228"/>
        <v>0.33386376345307683</v>
      </c>
      <c r="BI319" s="6">
        <f t="shared" si="229"/>
        <v>0.33386376345307683</v>
      </c>
      <c r="BJ319">
        <v>-23.68570834984067</v>
      </c>
      <c r="BK319">
        <v>10.964194437013706</v>
      </c>
      <c r="BV319" s="38"/>
      <c r="BW319" s="6">
        <f t="shared" si="230"/>
        <v>5.3058009260627266</v>
      </c>
      <c r="BX319" s="9">
        <f t="shared" ca="1" si="231"/>
        <v>47.833370490229655</v>
      </c>
      <c r="BY319" s="9">
        <f t="shared" ca="1" si="232"/>
        <v>-17.563410728849835</v>
      </c>
      <c r="BZ319" s="9">
        <f t="shared" ca="1" si="233"/>
        <v>-18.239271391499756</v>
      </c>
      <c r="CA319" s="6">
        <f t="shared" ca="1" si="234"/>
        <v>4.4608032317266364</v>
      </c>
      <c r="CB319" s="6">
        <f t="shared" ca="1" si="235"/>
        <v>2.9017297978763272</v>
      </c>
      <c r="CC319" s="6">
        <f t="shared" ca="1" si="236"/>
        <v>-0.15779704062641553</v>
      </c>
      <c r="CD319" s="9">
        <f t="shared" si="237"/>
        <v>-8.2392713914997522</v>
      </c>
      <c r="CE319" s="9">
        <f t="shared" si="238"/>
        <v>3.4608032317266373</v>
      </c>
      <c r="CF319" s="6">
        <f t="shared" si="239"/>
        <v>2.7439327572499117</v>
      </c>
      <c r="CG319" s="6"/>
      <c r="CH319" s="6"/>
      <c r="CI319" s="6"/>
      <c r="CJ319" s="1"/>
      <c r="CK319" s="6"/>
    </row>
    <row r="320" spans="55:89" x14ac:dyDescent="0.2">
      <c r="BC320">
        <v>5.5501470213419299</v>
      </c>
      <c r="BD320">
        <v>-15.242501216305822</v>
      </c>
      <c r="BE320">
        <v>7.3220571896567579</v>
      </c>
      <c r="BF320" s="6">
        <f t="shared" si="226"/>
        <v>2.6937711068103525</v>
      </c>
      <c r="BG320" s="6">
        <f t="shared" si="227"/>
        <v>2.8563759145315775</v>
      </c>
      <c r="BH320" s="6">
        <f t="shared" si="228"/>
        <v>0.34815289428827878</v>
      </c>
      <c r="BI320" s="6">
        <f t="shared" si="229"/>
        <v>0.34815289428827878</v>
      </c>
      <c r="BJ320">
        <v>-23.450001871239724</v>
      </c>
      <c r="BK320">
        <v>11.264703368702705</v>
      </c>
      <c r="BV320" s="38"/>
      <c r="BW320" s="6">
        <f t="shared" si="230"/>
        <v>5.3232542185826697</v>
      </c>
      <c r="BX320" s="9">
        <f t="shared" ca="1" si="231"/>
        <v>48.129678288259157</v>
      </c>
      <c r="BY320" s="9">
        <f t="shared" ca="1" si="232"/>
        <v>-17.348385399274814</v>
      </c>
      <c r="BZ320" s="9">
        <f t="shared" ca="1" si="233"/>
        <v>-17.942963593470253</v>
      </c>
      <c r="CA320" s="6">
        <f t="shared" ca="1" si="234"/>
        <v>4.6758285613016568</v>
      </c>
      <c r="CB320" s="6">
        <f t="shared" ca="1" si="235"/>
        <v>2.886668292282609</v>
      </c>
      <c r="CC320" s="6">
        <f t="shared" ca="1" si="236"/>
        <v>-0.17850477025096145</v>
      </c>
      <c r="CD320" s="9">
        <f t="shared" si="237"/>
        <v>-7.9429635934702567</v>
      </c>
      <c r="CE320" s="9">
        <f t="shared" si="238"/>
        <v>3.6758285613016568</v>
      </c>
      <c r="CF320" s="6">
        <f t="shared" si="239"/>
        <v>2.7081635220316476</v>
      </c>
      <c r="CG320" s="6"/>
      <c r="CH320" s="6"/>
      <c r="CI320" s="6"/>
      <c r="CJ320" s="1"/>
      <c r="CK320" s="6"/>
    </row>
    <row r="321" spans="55:89" x14ac:dyDescent="0.2">
      <c r="BC321">
        <v>5.567600313861873</v>
      </c>
      <c r="BD321">
        <v>-15.095696672057187</v>
      </c>
      <c r="BE321">
        <v>7.5163456682045302</v>
      </c>
      <c r="BF321" s="6">
        <f t="shared" si="226"/>
        <v>2.6796159290987585</v>
      </c>
      <c r="BG321" s="6">
        <f t="shared" si="227"/>
        <v>2.8879843847631146</v>
      </c>
      <c r="BH321" s="6">
        <f t="shared" si="228"/>
        <v>0.36230807199987286</v>
      </c>
      <c r="BI321" s="6">
        <f t="shared" si="229"/>
        <v>0.36230807199987286</v>
      </c>
      <c r="BJ321">
        <v>-23.224148726241825</v>
      </c>
      <c r="BK321">
        <v>11.563608720314662</v>
      </c>
      <c r="BV321" s="38"/>
      <c r="BW321" s="6">
        <f t="shared" si="230"/>
        <v>5.3407075111026128</v>
      </c>
      <c r="BX321" s="9">
        <f t="shared" ca="1" si="231"/>
        <v>48.409172658845698</v>
      </c>
      <c r="BY321" s="9">
        <f t="shared" ca="1" si="232"/>
        <v>-17.135189409005946</v>
      </c>
      <c r="BZ321" s="9">
        <f t="shared" ca="1" si="233"/>
        <v>-17.663469222883712</v>
      </c>
      <c r="CA321" s="6">
        <f t="shared" ca="1" si="234"/>
        <v>4.8890245515705253</v>
      </c>
      <c r="CB321" s="6">
        <f t="shared" ca="1" si="235"/>
        <v>2.8715655331892549</v>
      </c>
      <c r="CC321" s="6">
        <f t="shared" ca="1" si="236"/>
        <v>-0.19958316256906494</v>
      </c>
      <c r="CD321" s="9">
        <f t="shared" si="237"/>
        <v>-7.6634692228837125</v>
      </c>
      <c r="CE321" s="9">
        <f t="shared" si="238"/>
        <v>3.8890245515705271</v>
      </c>
      <c r="CF321" s="6">
        <f t="shared" si="239"/>
        <v>2.67198237062019</v>
      </c>
      <c r="CG321" s="6"/>
      <c r="CH321" s="6"/>
      <c r="CI321" s="6"/>
      <c r="CJ321" s="1"/>
      <c r="CK321" s="6"/>
    </row>
    <row r="322" spans="55:89" x14ac:dyDescent="0.2">
      <c r="BC322">
        <v>5.5850536063818161</v>
      </c>
      <c r="BD322">
        <v>-14.954898214486368</v>
      </c>
      <c r="BE322">
        <v>7.70966652342572</v>
      </c>
      <c r="BF322" s="6">
        <f t="shared" si="226"/>
        <v>2.6656000719964963</v>
      </c>
      <c r="BG322" s="6">
        <f t="shared" si="227"/>
        <v>2.9194535343853198</v>
      </c>
      <c r="BH322" s="6">
        <f t="shared" si="228"/>
        <v>0.37632392910213491</v>
      </c>
      <c r="BI322" s="6">
        <f t="shared" si="229"/>
        <v>0.37632392910213491</v>
      </c>
      <c r="BJ322">
        <v>-23.007535714594411</v>
      </c>
      <c r="BK322">
        <v>11.861025420654954</v>
      </c>
      <c r="BV322" s="38"/>
      <c r="BW322" s="6">
        <f t="shared" si="230"/>
        <v>5.3581608036225559</v>
      </c>
      <c r="BX322" s="9">
        <f t="shared" ca="1" si="231"/>
        <v>48.673094377447974</v>
      </c>
      <c r="BY322" s="9">
        <f t="shared" ca="1" si="232"/>
        <v>-16.9238045180931</v>
      </c>
      <c r="BZ322" s="9">
        <f t="shared" ca="1" si="233"/>
        <v>-17.399547504281436</v>
      </c>
      <c r="CA322" s="6">
        <f t="shared" ca="1" si="234"/>
        <v>5.1004094424833717</v>
      </c>
      <c r="CB322" s="6">
        <f t="shared" ca="1" si="235"/>
        <v>2.8564462290801278</v>
      </c>
      <c r="CC322" s="6">
        <f t="shared" ca="1" si="236"/>
        <v>-0.22087223270174139</v>
      </c>
      <c r="CD322" s="9">
        <f t="shared" si="237"/>
        <v>-7.3995475042814363</v>
      </c>
      <c r="CE322" s="9">
        <f t="shared" si="238"/>
        <v>4.1004094424833735</v>
      </c>
      <c r="CF322" s="6">
        <f t="shared" si="239"/>
        <v>2.6355739963783864</v>
      </c>
      <c r="CG322" s="6"/>
      <c r="CH322" s="6"/>
      <c r="CI322" s="6"/>
      <c r="CJ322" s="1"/>
      <c r="CK322" s="6"/>
    </row>
    <row r="323" spans="55:89" x14ac:dyDescent="0.2">
      <c r="BC323">
        <v>5.6025068989017592</v>
      </c>
      <c r="BD323">
        <v>-14.819739541240612</v>
      </c>
      <c r="BE323">
        <v>7.9020951705948663</v>
      </c>
      <c r="BF323" s="6">
        <f t="shared" ref="BF323:BF362" si="240">IF(BC323&lt;&gt;"",IF(AND(BD323=0,BE323=0),0,MOD(ATAN2(BD323,BE323),2*PI())),NA())</f>
        <v>2.6517281034423239</v>
      </c>
      <c r="BG323" s="6">
        <f t="shared" ref="BG323:BG362" si="241">ABS(BC323-BF323)</f>
        <v>2.9507787954594353</v>
      </c>
      <c r="BH323" s="6">
        <f t="shared" ref="BH323:BH362" si="242">ATAN2(COS($U$13-BF323),SIN($U$13-BF323))</f>
        <v>0.39019589765630736</v>
      </c>
      <c r="BI323" s="6">
        <f t="shared" ref="BI323:BI362" si="243">ABS(BH323)</f>
        <v>0.39019589765630736</v>
      </c>
      <c r="BJ323">
        <v>-22.799599294216325</v>
      </c>
      <c r="BK323">
        <v>12.15706949322287</v>
      </c>
      <c r="BV323" s="38"/>
      <c r="BW323" s="6">
        <f t="shared" si="230"/>
        <v>5.375614096142499</v>
      </c>
      <c r="BX323" s="9">
        <f t="shared" ca="1" si="231"/>
        <v>48.922640003736291</v>
      </c>
      <c r="BY323" s="9">
        <f t="shared" ca="1" si="232"/>
        <v>-16.714191928831113</v>
      </c>
      <c r="BZ323" s="9">
        <f t="shared" ca="1" si="233"/>
        <v>-17.15000187799312</v>
      </c>
      <c r="CA323" s="6">
        <f t="shared" ca="1" si="234"/>
        <v>5.3100220317453584</v>
      </c>
      <c r="CB323" s="6">
        <f t="shared" ca="1" si="235"/>
        <v>2.8413316586222579</v>
      </c>
      <c r="CC323" s="6">
        <f t="shared" ca="1" si="236"/>
        <v>-0.24221487811362194</v>
      </c>
      <c r="CD323" s="9">
        <f t="shared" si="237"/>
        <v>-7.1500018779931231</v>
      </c>
      <c r="CE323" s="9">
        <f t="shared" si="238"/>
        <v>4.3100220317453566</v>
      </c>
      <c r="CF323" s="6">
        <f t="shared" si="239"/>
        <v>2.5991167805086359</v>
      </c>
      <c r="CG323" s="6"/>
      <c r="CH323" s="6"/>
      <c r="CI323" s="6"/>
      <c r="CJ323" s="1"/>
      <c r="CK323" s="6"/>
    </row>
    <row r="324" spans="55:89" x14ac:dyDescent="0.2">
      <c r="BC324">
        <v>5.6199601914217023</v>
      </c>
      <c r="BD324">
        <v>-14.68988342099088</v>
      </c>
      <c r="BE324">
        <v>8.0937076394252809</v>
      </c>
      <c r="BF324" s="6">
        <f t="shared" si="240"/>
        <v>2.638003847336182</v>
      </c>
      <c r="BG324" s="6">
        <f t="shared" si="241"/>
        <v>2.9819563440855203</v>
      </c>
      <c r="BH324" s="6">
        <f t="shared" si="242"/>
        <v>0.40392015376244933</v>
      </c>
      <c r="BI324" s="6">
        <f t="shared" si="243"/>
        <v>0.40392015376244933</v>
      </c>
      <c r="BJ324">
        <v>-22.599820647678275</v>
      </c>
      <c r="BK324">
        <v>12.451857906808124</v>
      </c>
      <c r="BV324" s="38"/>
      <c r="BW324" s="6">
        <f t="shared" si="230"/>
        <v>5.3930673886624421</v>
      </c>
      <c r="BX324" s="9">
        <f t="shared" ca="1" si="231"/>
        <v>49.158940263078975</v>
      </c>
      <c r="BY324" s="9">
        <f t="shared" ca="1" si="232"/>
        <v>-16.506297992431357</v>
      </c>
      <c r="BZ324" s="9">
        <f t="shared" ca="1" si="233"/>
        <v>-16.913701618650435</v>
      </c>
      <c r="CA324" s="6">
        <f t="shared" ca="1" si="234"/>
        <v>5.5179159681451146</v>
      </c>
      <c r="CB324" s="6">
        <f t="shared" ca="1" si="235"/>
        <v>2.8262401629584679</v>
      </c>
      <c r="CC324" s="6">
        <f t="shared" ca="1" si="236"/>
        <v>-0.26346019419110123</v>
      </c>
      <c r="CD324" s="9">
        <f t="shared" si="237"/>
        <v>-6.9137016186504354</v>
      </c>
      <c r="CE324" s="9">
        <f t="shared" si="238"/>
        <v>4.5179159681451146</v>
      </c>
      <c r="CF324" s="6">
        <f t="shared" si="239"/>
        <v>2.5627799687673667</v>
      </c>
      <c r="CG324" s="6"/>
      <c r="CH324" s="6"/>
      <c r="CI324" s="6"/>
      <c r="CJ324" s="1"/>
      <c r="CK324" s="6"/>
    </row>
    <row r="325" spans="55:89" x14ac:dyDescent="0.2">
      <c r="BC325">
        <v>5.6374134839416454</v>
      </c>
      <c r="BD325">
        <v>-14.565019049584675</v>
      </c>
      <c r="BE325">
        <v>8.2845805507802037</v>
      </c>
      <c r="BF325" s="6">
        <f t="shared" si="240"/>
        <v>2.6244304399709191</v>
      </c>
      <c r="BG325" s="6">
        <f t="shared" si="241"/>
        <v>3.0129830439707264</v>
      </c>
      <c r="BH325" s="6">
        <f t="shared" si="242"/>
        <v>0.41749356112771219</v>
      </c>
      <c r="BI325" s="6">
        <f t="shared" si="243"/>
        <v>0.41749356112771219</v>
      </c>
      <c r="BJ325">
        <v>-22.407721614745654</v>
      </c>
      <c r="BK325">
        <v>12.745508539661852</v>
      </c>
      <c r="BV325" s="38"/>
      <c r="BW325" s="6">
        <f t="shared" si="230"/>
        <v>5.4105206811823852</v>
      </c>
      <c r="BX325" s="9">
        <f t="shared" ca="1" si="231"/>
        <v>49.383020319336488</v>
      </c>
      <c r="BY325" s="9">
        <f t="shared" ca="1" si="232"/>
        <v>-16.300064147898954</v>
      </c>
      <c r="BZ325" s="9">
        <f t="shared" ca="1" si="233"/>
        <v>-16.689621562392922</v>
      </c>
      <c r="CA325" s="6">
        <f t="shared" ca="1" si="234"/>
        <v>5.724149812677517</v>
      </c>
      <c r="CB325" s="6">
        <f t="shared" ca="1" si="235"/>
        <v>2.8111884025344716</v>
      </c>
      <c r="CC325" s="6">
        <f t="shared" ca="1" si="236"/>
        <v>-0.28446460060040252</v>
      </c>
      <c r="CD325" s="9">
        <f t="shared" si="237"/>
        <v>-6.6896215623929223</v>
      </c>
      <c r="CE325" s="9">
        <f t="shared" si="238"/>
        <v>4.724149812677517</v>
      </c>
      <c r="CF325" s="6">
        <f t="shared" si="239"/>
        <v>2.526723801934069</v>
      </c>
      <c r="CG325" s="6"/>
      <c r="CH325" s="6"/>
      <c r="CI325" s="6"/>
      <c r="CJ325" s="1"/>
      <c r="CK325" s="6"/>
    </row>
    <row r="326" spans="55:89" x14ac:dyDescent="0.2">
      <c r="BC326">
        <v>5.6548667764615885</v>
      </c>
      <c r="BD326">
        <v>-14.444859475205075</v>
      </c>
      <c r="BE326">
        <v>8.4747910497153889</v>
      </c>
      <c r="BF326" s="6">
        <f t="shared" si="240"/>
        <v>2.6110103808496583</v>
      </c>
      <c r="BG326" s="6">
        <f t="shared" si="241"/>
        <v>3.0438563956119302</v>
      </c>
      <c r="BH326" s="6">
        <f t="shared" si="242"/>
        <v>0.43091362024897295</v>
      </c>
      <c r="BI326" s="6">
        <f t="shared" si="243"/>
        <v>0.43091362024897295</v>
      </c>
      <c r="BJ326">
        <v>-22.222860731084729</v>
      </c>
      <c r="BK326">
        <v>13.038140076485213</v>
      </c>
      <c r="BV326" s="38"/>
      <c r="BW326" s="6">
        <f t="shared" si="230"/>
        <v>5.4279739737023283</v>
      </c>
      <c r="BX326" s="9">
        <f t="shared" ca="1" si="231"/>
        <v>49.595803723875974</v>
      </c>
      <c r="BY326" s="9">
        <f t="shared" ca="1" si="232"/>
        <v>-16.095429069451736</v>
      </c>
      <c r="BZ326" s="9">
        <f t="shared" ca="1" si="233"/>
        <v>-16.476838157853436</v>
      </c>
      <c r="CA326" s="6">
        <f t="shared" ca="1" si="234"/>
        <v>5.9287848911247352</v>
      </c>
      <c r="CB326" s="6">
        <f t="shared" ca="1" si="235"/>
        <v>2.7961916490466225</v>
      </c>
      <c r="CC326" s="6">
        <f t="shared" ca="1" si="236"/>
        <v>-0.30509431708009505</v>
      </c>
      <c r="CD326" s="9">
        <f t="shared" si="237"/>
        <v>-6.476838157853436</v>
      </c>
      <c r="CE326" s="9">
        <f t="shared" si="238"/>
        <v>4.9287848911247361</v>
      </c>
      <c r="CF326" s="6">
        <f t="shared" si="239"/>
        <v>2.4910973319665275</v>
      </c>
      <c r="CG326" s="6"/>
      <c r="CH326" s="6"/>
      <c r="CI326" s="6"/>
      <c r="CJ326" s="1"/>
      <c r="CK326" s="6"/>
    </row>
    <row r="327" spans="55:89" x14ac:dyDescent="0.2">
      <c r="BC327">
        <v>5.6723200689815316</v>
      </c>
      <c r="BD327">
        <v>-14.329139568900189</v>
      </c>
      <c r="BE327">
        <v>8.664416824556346</v>
      </c>
      <c r="BF327" s="6">
        <f t="shared" si="240"/>
        <v>2.597745585619327</v>
      </c>
      <c r="BG327" s="6">
        <f t="shared" si="241"/>
        <v>3.0745744833622046</v>
      </c>
      <c r="BH327" s="6">
        <f t="shared" si="242"/>
        <v>0.44417841547930426</v>
      </c>
      <c r="BI327" s="6">
        <f t="shared" si="243"/>
        <v>0.44417841547930426</v>
      </c>
      <c r="BJ327">
        <v>-22.04483010600029</v>
      </c>
      <c r="BK327">
        <v>13.329872037778994</v>
      </c>
      <c r="BV327" s="38"/>
      <c r="BW327" s="6">
        <f t="shared" si="230"/>
        <v>5.4454272662222714</v>
      </c>
      <c r="BX327" s="9">
        <f t="shared" ca="1" si="231"/>
        <v>49.798124632141466</v>
      </c>
      <c r="BY327" s="9">
        <f t="shared" ca="1" si="232"/>
        <v>-15.892329008099418</v>
      </c>
      <c r="BZ327" s="9">
        <f t="shared" ca="1" si="233"/>
        <v>-16.274517249587944</v>
      </c>
      <c r="CA327" s="6">
        <f t="shared" ca="1" si="234"/>
        <v>6.1318849524770531</v>
      </c>
      <c r="CB327" s="6">
        <f t="shared" ca="1" si="235"/>
        <v>2.7812638374806373</v>
      </c>
      <c r="CC327" s="6">
        <f t="shared" ca="1" si="236"/>
        <v>-0.32522778144448283</v>
      </c>
      <c r="CD327" s="9">
        <f t="shared" si="237"/>
        <v>-6.274517249587948</v>
      </c>
      <c r="CE327" s="9">
        <f t="shared" si="238"/>
        <v>5.1318849524770531</v>
      </c>
      <c r="CF327" s="6">
        <f t="shared" si="239"/>
        <v>2.4560360560361545</v>
      </c>
      <c r="CG327" s="6"/>
      <c r="CH327" s="6"/>
      <c r="CI327" s="6"/>
      <c r="CJ327" s="1"/>
      <c r="CK327" s="6"/>
    </row>
    <row r="328" spans="55:89" x14ac:dyDescent="0.2">
      <c r="BC328">
        <v>5.6897733615014747</v>
      </c>
      <c r="BD328">
        <v>-14.217613961559788</v>
      </c>
      <c r="BE328">
        <v>8.8535360736712398</v>
      </c>
      <c r="BF328" s="6">
        <f t="shared" si="240"/>
        <v>2.5846374322855104</v>
      </c>
      <c r="BG328" s="6">
        <f t="shared" si="241"/>
        <v>3.1051359292159644</v>
      </c>
      <c r="BH328" s="6">
        <f t="shared" si="242"/>
        <v>0.45728656881312091</v>
      </c>
      <c r="BI328" s="6">
        <f t="shared" si="243"/>
        <v>0.45728656881312091</v>
      </c>
      <c r="BJ328">
        <v>-21.87325224855352</v>
      </c>
      <c r="BK328">
        <v>13.620824728724983</v>
      </c>
      <c r="BV328" s="38"/>
      <c r="BW328" s="6">
        <f t="shared" si="230"/>
        <v>5.4628805587422145</v>
      </c>
      <c r="BX328" s="9">
        <f t="shared" ca="1" si="231"/>
        <v>49.990738213730893</v>
      </c>
      <c r="BY328" s="9">
        <f t="shared" ca="1" si="232"/>
        <v>-15.690698073662134</v>
      </c>
      <c r="BZ328" s="9">
        <f t="shared" ca="1" si="233"/>
        <v>-16.081903667998517</v>
      </c>
      <c r="CA328" s="6">
        <f t="shared" ca="1" si="234"/>
        <v>6.3335158869143378</v>
      </c>
      <c r="CB328" s="6">
        <f t="shared" ca="1" si="235"/>
        <v>2.7664176214761573</v>
      </c>
      <c r="CC328" s="6">
        <f t="shared" ca="1" si="236"/>
        <v>-0.34475743938498526</v>
      </c>
      <c r="CD328" s="9">
        <f t="shared" si="237"/>
        <v>-6.081903667998521</v>
      </c>
      <c r="CE328" s="9">
        <f t="shared" si="238"/>
        <v>5.3335158869143369</v>
      </c>
      <c r="CF328" s="6">
        <f t="shared" si="239"/>
        <v>2.4216601820911721</v>
      </c>
      <c r="CG328" s="6"/>
      <c r="CH328" s="6"/>
      <c r="CI328" s="6"/>
      <c r="CJ328" s="1"/>
      <c r="CK328" s="6"/>
    </row>
    <row r="329" spans="55:89" x14ac:dyDescent="0.2">
      <c r="BC329">
        <v>5.7072266540214178</v>
      </c>
      <c r="BD329">
        <v>-14.110055378696696</v>
      </c>
      <c r="BE329">
        <v>9.042227533500224</v>
      </c>
      <c r="BF329" s="6">
        <f t="shared" si="240"/>
        <v>2.5716868082322759</v>
      </c>
      <c r="BG329" s="6">
        <f t="shared" si="241"/>
        <v>3.1355398457891419</v>
      </c>
      <c r="BH329" s="6">
        <f t="shared" si="242"/>
        <v>0.4702371928663554</v>
      </c>
      <c r="BI329" s="6">
        <f t="shared" si="243"/>
        <v>0.4702371928663554</v>
      </c>
      <c r="BJ329">
        <v>-21.707777505687226</v>
      </c>
      <c r="BK329">
        <v>13.911119282308036</v>
      </c>
      <c r="BV329" s="38"/>
      <c r="BW329" s="6">
        <f t="shared" si="230"/>
        <v>5.4803338512621576</v>
      </c>
      <c r="BX329" s="9">
        <f t="shared" ca="1" si="231"/>
        <v>50.174329688137142</v>
      </c>
      <c r="BY329" s="9">
        <f t="shared" ca="1" si="232"/>
        <v>-15.490468512581224</v>
      </c>
      <c r="BZ329" s="9">
        <f t="shared" ca="1" si="233"/>
        <v>-15.898312193592268</v>
      </c>
      <c r="CA329" s="6">
        <f t="shared" ca="1" si="234"/>
        <v>6.5337454479952477</v>
      </c>
      <c r="CB329" s="6">
        <f t="shared" ca="1" si="235"/>
        <v>2.7516644314043086</v>
      </c>
      <c r="CC329" s="6">
        <f t="shared" ca="1" si="236"/>
        <v>-0.36359088245403282</v>
      </c>
      <c r="CD329" s="9">
        <f t="shared" si="237"/>
        <v>-5.89831219359227</v>
      </c>
      <c r="CE329" s="9">
        <f t="shared" si="238"/>
        <v>5.5337454479952477</v>
      </c>
      <c r="CF329" s="6">
        <f t="shared" si="239"/>
        <v>2.3880735489502758</v>
      </c>
      <c r="CG329" s="6"/>
      <c r="CH329" s="6"/>
      <c r="CI329" s="6"/>
      <c r="CJ329" s="1"/>
      <c r="CK329" s="6"/>
    </row>
    <row r="330" spans="55:89" x14ac:dyDescent="0.2">
      <c r="BC330">
        <v>5.7246799465413609</v>
      </c>
      <c r="BD330">
        <v>-14.006253048722652</v>
      </c>
      <c r="BE330">
        <v>9.2305704929111574</v>
      </c>
      <c r="BF330" s="6">
        <f t="shared" si="240"/>
        <v>2.5588941528870861</v>
      </c>
      <c r="BG330" s="6">
        <f t="shared" si="241"/>
        <v>3.1657857936542748</v>
      </c>
      <c r="BH330" s="6">
        <f t="shared" si="242"/>
        <v>0.48302984821154515</v>
      </c>
      <c r="BI330" s="6">
        <f t="shared" si="243"/>
        <v>0.48302984821154515</v>
      </c>
      <c r="BJ330">
        <v>-21.548081613419463</v>
      </c>
      <c r="BK330">
        <v>14.20087768140178</v>
      </c>
      <c r="BV330" s="38"/>
      <c r="BW330" s="6">
        <f t="shared" si="230"/>
        <v>5.4977871437821006</v>
      </c>
      <c r="BX330" s="9">
        <f t="shared" ca="1" si="231"/>
        <v>50.349522136748966</v>
      </c>
      <c r="BY330" s="9">
        <f t="shared" ca="1" si="232"/>
        <v>-15.291570954816974</v>
      </c>
      <c r="BZ330" s="9">
        <f t="shared" ca="1" si="233"/>
        <v>-15.723119744980444</v>
      </c>
      <c r="CA330" s="6">
        <f t="shared" ca="1" si="234"/>
        <v>6.7326430057594973</v>
      </c>
      <c r="CB330" s="6">
        <f t="shared" ca="1" si="235"/>
        <v>2.7370145343267924</v>
      </c>
      <c r="CC330" s="6">
        <f t="shared" ca="1" si="236"/>
        <v>-0.38165135138063588</v>
      </c>
      <c r="CD330" s="9">
        <f t="shared" si="237"/>
        <v>-5.7231197449804441</v>
      </c>
      <c r="CE330" s="9">
        <f t="shared" si="238"/>
        <v>5.7326430057594973</v>
      </c>
      <c r="CF330" s="6">
        <f t="shared" si="239"/>
        <v>2.3553631829461565</v>
      </c>
      <c r="CG330" s="6"/>
      <c r="CH330" s="6"/>
      <c r="CI330" s="6"/>
      <c r="CJ330" s="1"/>
      <c r="CK330" s="6"/>
    </row>
    <row r="331" spans="55:89" x14ac:dyDescent="0.2">
      <c r="BC331">
        <v>5.742133239061304</v>
      </c>
      <c r="BD331">
        <v>-13.906011341930558</v>
      </c>
      <c r="BE331">
        <v>9.4186448361436614</v>
      </c>
      <c r="BF331" s="6">
        <f t="shared" si="240"/>
        <v>2.546259499300529</v>
      </c>
      <c r="BG331" s="6">
        <f t="shared" si="241"/>
        <v>3.195873739760775</v>
      </c>
      <c r="BH331" s="6">
        <f t="shared" si="242"/>
        <v>0.49566450179810229</v>
      </c>
      <c r="BI331" s="6">
        <f t="shared" si="243"/>
        <v>0.49566450179810229</v>
      </c>
      <c r="BJ331">
        <v>-21.393863602970089</v>
      </c>
      <c r="BK331">
        <v>14.490222824836401</v>
      </c>
      <c r="BV331" s="38"/>
      <c r="BW331" s="6">
        <f t="shared" si="230"/>
        <v>5.5152404363020437</v>
      </c>
      <c r="BX331" s="9">
        <f t="shared" ca="1" si="231"/>
        <v>50.516883290971215</v>
      </c>
      <c r="BY331" s="9">
        <f t="shared" ca="1" si="232"/>
        <v>-15.093934633216801</v>
      </c>
      <c r="BZ331" s="9">
        <f t="shared" ca="1" si="233"/>
        <v>-15.555758590758195</v>
      </c>
      <c r="CA331" s="6">
        <f t="shared" ca="1" si="234"/>
        <v>6.9302793273596706</v>
      </c>
      <c r="CB331" s="6">
        <f t="shared" ca="1" si="235"/>
        <v>2.7224770950617718</v>
      </c>
      <c r="CC331" s="6">
        <f t="shared" ca="1" si="236"/>
        <v>-0.39887766461624835</v>
      </c>
      <c r="CD331" s="9">
        <f t="shared" si="237"/>
        <v>-5.5557585907581952</v>
      </c>
      <c r="CE331" s="9">
        <f t="shared" si="238"/>
        <v>5.9302793273596714</v>
      </c>
      <c r="CF331" s="6">
        <f t="shared" si="239"/>
        <v>2.3235994304455234</v>
      </c>
      <c r="CG331" s="6"/>
      <c r="CH331" s="6"/>
      <c r="CI331" s="6"/>
      <c r="CJ331" s="1"/>
      <c r="CK331" s="6"/>
    </row>
    <row r="332" spans="55:89" x14ac:dyDescent="0.2">
      <c r="BC332">
        <v>5.7595865315812471</v>
      </c>
      <c r="BD332">
        <v>-13.809148519734173</v>
      </c>
      <c r="BE332">
        <v>9.6065310891196347</v>
      </c>
      <c r="BF332" s="6">
        <f t="shared" si="240"/>
        <v>2.5337825127430951</v>
      </c>
      <c r="BG332" s="6">
        <f t="shared" si="241"/>
        <v>3.225804018838152</v>
      </c>
      <c r="BH332" s="6">
        <f t="shared" si="242"/>
        <v>0.50814148835553619</v>
      </c>
      <c r="BI332" s="6">
        <f t="shared" si="243"/>
        <v>0.50814148835553619</v>
      </c>
      <c r="BJ332">
        <v>-21.244843876514111</v>
      </c>
      <c r="BK332">
        <v>14.779278598645591</v>
      </c>
      <c r="BV332" s="38"/>
      <c r="BW332" s="6">
        <f t="shared" si="230"/>
        <v>5.5326937288219868</v>
      </c>
      <c r="BX332" s="9">
        <f t="shared" ca="1" si="231"/>
        <v>50.676931454332973</v>
      </c>
      <c r="BY332" s="9">
        <f t="shared" ca="1" si="232"/>
        <v>-14.897487576517563</v>
      </c>
      <c r="BZ332" s="9">
        <f t="shared" ca="1" si="233"/>
        <v>-15.395710427396438</v>
      </c>
      <c r="CA332" s="6">
        <f t="shared" ca="1" si="234"/>
        <v>7.1267263840589088</v>
      </c>
      <c r="CB332" s="6">
        <f t="shared" ca="1" si="235"/>
        <v>2.7080602376455549</v>
      </c>
      <c r="CC332" s="6">
        <f t="shared" ca="1" si="236"/>
        <v>-0.41522365972053565</v>
      </c>
      <c r="CD332" s="9">
        <f t="shared" si="237"/>
        <v>-5.3957104273964358</v>
      </c>
      <c r="CE332" s="9">
        <f t="shared" si="238"/>
        <v>6.1267263840589088</v>
      </c>
      <c r="CF332" s="6">
        <f t="shared" si="239"/>
        <v>2.2928365779250193</v>
      </c>
      <c r="CG332" s="6"/>
      <c r="CH332" s="6"/>
      <c r="CI332" s="6"/>
      <c r="CJ332" s="1"/>
      <c r="CK332" s="6"/>
    </row>
    <row r="333" spans="55:89" x14ac:dyDescent="0.2">
      <c r="BC333">
        <v>5.7770398241011902</v>
      </c>
      <c r="BD333">
        <v>-13.7154955882769</v>
      </c>
      <c r="BE333">
        <v>9.7943104715376954</v>
      </c>
      <c r="BF333" s="6">
        <f t="shared" si="240"/>
        <v>2.5214625264011166</v>
      </c>
      <c r="BG333" s="6">
        <f t="shared" si="241"/>
        <v>3.2555772977000736</v>
      </c>
      <c r="BH333" s="6">
        <f t="shared" si="242"/>
        <v>0.52046147469751469</v>
      </c>
      <c r="BI333" s="6">
        <f t="shared" si="243"/>
        <v>0.52046147469751469</v>
      </c>
      <c r="BJ333">
        <v>-21.100762443502923</v>
      </c>
      <c r="BK333">
        <v>15.068169956211838</v>
      </c>
      <c r="BV333" s="38"/>
      <c r="BW333" s="6">
        <f t="shared" si="230"/>
        <v>5.5501470213419299</v>
      </c>
      <c r="BX333" s="9">
        <f t="shared" ca="1" si="231"/>
        <v>50.830140665423585</v>
      </c>
      <c r="BY333" s="9">
        <f t="shared" ca="1" si="232"/>
        <v>-14.702156770919714</v>
      </c>
      <c r="BZ333" s="9">
        <f t="shared" ca="1" si="233"/>
        <v>-15.242501216305826</v>
      </c>
      <c r="CA333" s="6">
        <f t="shared" ca="1" si="234"/>
        <v>7.322057189656757</v>
      </c>
      <c r="CB333" s="6">
        <f t="shared" ca="1" si="235"/>
        <v>2.6937711068103529</v>
      </c>
      <c r="CC333" s="6">
        <f t="shared" ca="1" si="236"/>
        <v>-0.43065724919467691</v>
      </c>
      <c r="CD333" s="9">
        <f t="shared" si="237"/>
        <v>-5.242501216305822</v>
      </c>
      <c r="CE333" s="9">
        <f t="shared" si="238"/>
        <v>6.3220571896567579</v>
      </c>
      <c r="CF333" s="6">
        <f t="shared" si="239"/>
        <v>2.263113857615676</v>
      </c>
      <c r="CG333" s="6"/>
      <c r="CH333" s="6"/>
      <c r="CI333" s="6"/>
      <c r="CJ333" s="1"/>
      <c r="CK333" s="6"/>
    </row>
    <row r="334" spans="55:89" x14ac:dyDescent="0.2">
      <c r="BC334">
        <v>5.7944931166211333</v>
      </c>
      <c r="BD334">
        <v>-13.62489528973278</v>
      </c>
      <c r="BE334">
        <v>9.982064964857452</v>
      </c>
      <c r="BF334" s="6">
        <f t="shared" si="240"/>
        <v>2.5092985752809391</v>
      </c>
      <c r="BG334" s="6">
        <f t="shared" si="241"/>
        <v>3.2851945413401942</v>
      </c>
      <c r="BH334" s="6">
        <f t="shared" si="242"/>
        <v>0.53262542581769212</v>
      </c>
      <c r="BI334" s="6">
        <f t="shared" si="243"/>
        <v>0.53262542581769212</v>
      </c>
      <c r="BJ334">
        <v>-20.961377368819662</v>
      </c>
      <c r="BK334">
        <v>15.357023022857618</v>
      </c>
      <c r="BV334" s="38"/>
      <c r="BW334" s="6">
        <f t="shared" si="230"/>
        <v>5.567600313861873</v>
      </c>
      <c r="BX334" s="9">
        <f t="shared" ca="1" si="231"/>
        <v>50.976945209672223</v>
      </c>
      <c r="BY334" s="9">
        <f t="shared" ca="1" si="232"/>
        <v>-14.507868292371942</v>
      </c>
      <c r="BZ334" s="9">
        <f t="shared" ca="1" si="233"/>
        <v>-15.095696672057187</v>
      </c>
      <c r="CA334" s="6">
        <f t="shared" ca="1" si="234"/>
        <v>7.5163456682045293</v>
      </c>
      <c r="CB334" s="6">
        <f t="shared" ca="1" si="235"/>
        <v>2.6796159290987589</v>
      </c>
      <c r="CC334" s="6">
        <f t="shared" ca="1" si="236"/>
        <v>-0.44515919754033284</v>
      </c>
      <c r="CD334" s="9">
        <f t="shared" si="237"/>
        <v>-5.095696672057187</v>
      </c>
      <c r="CE334" s="9">
        <f t="shared" si="238"/>
        <v>6.5163456682045302</v>
      </c>
      <c r="CF334" s="6">
        <f t="shared" si="239"/>
        <v>2.2344567315584261</v>
      </c>
      <c r="CG334" s="6"/>
      <c r="CH334" s="6"/>
      <c r="CI334" s="6"/>
      <c r="CJ334" s="1"/>
      <c r="CK334" s="6"/>
    </row>
    <row r="335" spans="55:89" x14ac:dyDescent="0.2">
      <c r="BC335">
        <v>5.8119464091410764</v>
      </c>
      <c r="BD335">
        <v>-13.537201188669821</v>
      </c>
      <c r="BE335">
        <v>10.169877388658945</v>
      </c>
      <c r="BF335" s="6">
        <f t="shared" si="240"/>
        <v>2.4972894277656144</v>
      </c>
      <c r="BG335" s="6">
        <f t="shared" si="241"/>
        <v>3.3146569813754621</v>
      </c>
      <c r="BH335" s="6">
        <f t="shared" si="242"/>
        <v>0.5446345733330169</v>
      </c>
      <c r="BI335" s="6">
        <f t="shared" si="243"/>
        <v>0.5446345733330169</v>
      </c>
      <c r="BJ335">
        <v>-20.826463367184338</v>
      </c>
      <c r="BK335">
        <v>15.645965213321453</v>
      </c>
      <c r="BV335" s="38"/>
      <c r="BW335" s="6">
        <f t="shared" si="230"/>
        <v>5.5850536063818161</v>
      </c>
      <c r="BX335" s="9">
        <f t="shared" ca="1" si="231"/>
        <v>51.11774366724304</v>
      </c>
      <c r="BY335" s="9">
        <f t="shared" ca="1" si="232"/>
        <v>-14.31454743715075</v>
      </c>
      <c r="BZ335" s="9">
        <f t="shared" ca="1" si="233"/>
        <v>-14.95489821448637</v>
      </c>
      <c r="CA335" s="6">
        <f t="shared" ca="1" si="234"/>
        <v>7.7096665234257209</v>
      </c>
      <c r="CB335" s="6">
        <f t="shared" ca="1" si="235"/>
        <v>2.6656000719964963</v>
      </c>
      <c r="CC335" s="6">
        <f t="shared" ca="1" si="236"/>
        <v>-0.45872172757889373</v>
      </c>
      <c r="CD335" s="9">
        <f t="shared" si="237"/>
        <v>-4.9548982144863682</v>
      </c>
      <c r="CE335" s="9">
        <f t="shared" si="238"/>
        <v>6.70966652342572</v>
      </c>
      <c r="CF335" s="6">
        <f t="shared" si="239"/>
        <v>2.2068783444176026</v>
      </c>
      <c r="CG335" s="6"/>
      <c r="CH335" s="6"/>
      <c r="CI335" s="6"/>
      <c r="CJ335" s="1"/>
      <c r="CK335" s="6"/>
    </row>
    <row r="336" spans="55:89" x14ac:dyDescent="0.2">
      <c r="BC336">
        <v>5.8293997016610195</v>
      </c>
      <c r="BD336">
        <v>-13.452276849386225</v>
      </c>
      <c r="BE336">
        <v>10.357831486510378</v>
      </c>
      <c r="BF336" s="6">
        <f t="shared" si="240"/>
        <v>2.4854336150511349</v>
      </c>
      <c r="BG336" s="6">
        <f t="shared" si="241"/>
        <v>3.3439660866098846</v>
      </c>
      <c r="BH336" s="6">
        <f t="shared" si="242"/>
        <v>0.55649038604749634</v>
      </c>
      <c r="BI336" s="6">
        <f t="shared" si="243"/>
        <v>0.55649038604749634</v>
      </c>
      <c r="BJ336">
        <v>-20.695810537517268</v>
      </c>
      <c r="BK336">
        <v>15.935125363862118</v>
      </c>
      <c r="BV336" s="38"/>
      <c r="BW336" s="6">
        <f t="shared" ref="BW336:BW375" si="244">BC323</f>
        <v>5.6025068989017592</v>
      </c>
      <c r="BX336" s="9">
        <f t="shared" ref="BX336:BX375" ca="1" si="245">BD323-$BW$5</f>
        <v>51.252902340488802</v>
      </c>
      <c r="BY336" s="9">
        <f t="shared" ref="BY336:BY375" ca="1" si="246">BE323-$BX$5</f>
        <v>-14.122118789981606</v>
      </c>
      <c r="BZ336" s="9">
        <f t="shared" ref="BZ336:BZ375" ca="1" si="247">BX336-$CE$5</f>
        <v>-14.819739541240608</v>
      </c>
      <c r="CA336" s="6">
        <f t="shared" ref="CA336:CA375" ca="1" si="248">BY336-$CF$5</f>
        <v>7.9020951705948654</v>
      </c>
      <c r="CB336" s="6">
        <f t="shared" ref="CB336:CB375" ca="1" si="249">ATAN2(BZ336,CA336)</f>
        <v>2.6517281034423239</v>
      </c>
      <c r="CC336" s="6">
        <f t="shared" ref="CC336:CC375" ca="1" si="250">ATAN2(COS(CF336-CB336),SIN(CF336-CB336))</f>
        <v>-0.47134703185170362</v>
      </c>
      <c r="CD336" s="9">
        <f t="shared" ref="CD336:CD375" si="251">BD323-$BW$6</f>
        <v>-4.8197395412406117</v>
      </c>
      <c r="CE336" s="9">
        <f t="shared" ref="CE336:CE375" si="252">BE323-$BX$6</f>
        <v>6.9020951705948663</v>
      </c>
      <c r="CF336" s="6">
        <f t="shared" ref="CF336:CF375" si="253">ATAN2(CD336,CE336)</f>
        <v>2.1803810715906202</v>
      </c>
      <c r="CG336" s="6"/>
      <c r="CH336" s="6"/>
      <c r="CI336" s="6"/>
      <c r="CJ336" s="1"/>
      <c r="CK336" s="6"/>
    </row>
    <row r="337" spans="55:89" x14ac:dyDescent="0.2">
      <c r="BC337">
        <v>5.8468529941809626</v>
      </c>
      <c r="BD337">
        <v>-13.369995126178727</v>
      </c>
      <c r="BE337">
        <v>10.546012027391262</v>
      </c>
      <c r="BF337" s="6">
        <f t="shared" si="240"/>
        <v>2.4737294594066821</v>
      </c>
      <c r="BG337" s="6">
        <f t="shared" si="241"/>
        <v>3.3731235347742805</v>
      </c>
      <c r="BH337" s="6">
        <f t="shared" si="242"/>
        <v>0.56819454169194916</v>
      </c>
      <c r="BI337" s="6">
        <f t="shared" si="243"/>
        <v>0.56819454169194916</v>
      </c>
      <c r="BJ337">
        <v>-20.569223271044194</v>
      </c>
      <c r="BK337">
        <v>16.22463388829425</v>
      </c>
      <c r="BV337" s="38"/>
      <c r="BW337" s="6">
        <f t="shared" si="244"/>
        <v>5.6199601914217023</v>
      </c>
      <c r="BX337" s="9">
        <f t="shared" ca="1" si="245"/>
        <v>51.382758460738529</v>
      </c>
      <c r="BY337" s="9">
        <f t="shared" ca="1" si="246"/>
        <v>-13.93050632115119</v>
      </c>
      <c r="BZ337" s="9">
        <f t="shared" ca="1" si="247"/>
        <v>-14.689883420990881</v>
      </c>
      <c r="CA337" s="6">
        <f t="shared" ca="1" si="248"/>
        <v>8.0937076394252809</v>
      </c>
      <c r="CB337" s="6">
        <f t="shared" ca="1" si="249"/>
        <v>2.638003847336182</v>
      </c>
      <c r="CC337" s="6">
        <f t="shared" ca="1" si="250"/>
        <v>-0.48304578520392916</v>
      </c>
      <c r="CD337" s="9">
        <f t="shared" si="251"/>
        <v>-4.6898834209908795</v>
      </c>
      <c r="CE337" s="9">
        <f t="shared" si="252"/>
        <v>7.0937076394252809</v>
      </c>
      <c r="CF337" s="6">
        <f t="shared" si="253"/>
        <v>2.1549580621322528</v>
      </c>
      <c r="CG337" s="6"/>
      <c r="CH337" s="6"/>
      <c r="CI337" s="6"/>
      <c r="CJ337" s="1"/>
      <c r="CK337" s="6"/>
    </row>
    <row r="338" spans="55:89" x14ac:dyDescent="0.2">
      <c r="BC338">
        <v>5.8643062867009057</v>
      </c>
      <c r="BD338">
        <v>-13.290237408844757</v>
      </c>
      <c r="BE338">
        <v>10.734504891908445</v>
      </c>
      <c r="BF338" s="6">
        <f t="shared" si="240"/>
        <v>2.4621750973702183</v>
      </c>
      <c r="BG338" s="6">
        <f t="shared" si="241"/>
        <v>3.4021311893306874</v>
      </c>
      <c r="BH338" s="6">
        <f t="shared" si="242"/>
        <v>0.57974890372841281</v>
      </c>
      <c r="BI338" s="6">
        <f t="shared" si="243"/>
        <v>0.57974890372841281</v>
      </c>
      <c r="BJ338">
        <v>-20.446519090530394</v>
      </c>
      <c r="BK338">
        <v>16.514622910628376</v>
      </c>
      <c r="BV338" s="38"/>
      <c r="BW338" s="6">
        <f t="shared" si="244"/>
        <v>5.6374134839416454</v>
      </c>
      <c r="BX338" s="9">
        <f t="shared" ca="1" si="245"/>
        <v>51.507622832144733</v>
      </c>
      <c r="BY338" s="9">
        <f t="shared" ca="1" si="246"/>
        <v>-13.739633409796268</v>
      </c>
      <c r="BZ338" s="9">
        <f t="shared" ca="1" si="247"/>
        <v>-14.565019049584677</v>
      </c>
      <c r="CA338" s="6">
        <f t="shared" ca="1" si="248"/>
        <v>8.2845805507802037</v>
      </c>
      <c r="CB338" s="6">
        <f t="shared" ca="1" si="249"/>
        <v>2.6244304399709195</v>
      </c>
      <c r="CC338" s="6">
        <f t="shared" ca="1" si="250"/>
        <v>-0.4938356916655548</v>
      </c>
      <c r="CD338" s="9">
        <f t="shared" si="251"/>
        <v>-4.5650190495846754</v>
      </c>
      <c r="CE338" s="9">
        <f t="shared" si="252"/>
        <v>7.2845805507802037</v>
      </c>
      <c r="CF338" s="6">
        <f t="shared" si="253"/>
        <v>2.1305947483053647</v>
      </c>
      <c r="CG338" s="6"/>
      <c r="CH338" s="6"/>
      <c r="CI338" s="6"/>
      <c r="CJ338" s="1"/>
      <c r="CK338" s="6"/>
    </row>
    <row r="339" spans="55:89" x14ac:dyDescent="0.2">
      <c r="BC339">
        <v>5.8817595792208488</v>
      </c>
      <c r="BD339">
        <v>-13.212893076711921</v>
      </c>
      <c r="BE339">
        <v>10.923397197090166</v>
      </c>
      <c r="BF339" s="6">
        <f t="shared" si="240"/>
        <v>2.4507685048105214</v>
      </c>
      <c r="BG339" s="6">
        <f t="shared" si="241"/>
        <v>3.4309910744103274</v>
      </c>
      <c r="BH339" s="6">
        <f t="shared" si="242"/>
        <v>0.59115549628810982</v>
      </c>
      <c r="BI339" s="6">
        <f t="shared" si="243"/>
        <v>0.59115549628810982</v>
      </c>
      <c r="BJ339">
        <v>-20.327527810326032</v>
      </c>
      <c r="BK339">
        <v>16.805226457061792</v>
      </c>
      <c r="BV339" s="38"/>
      <c r="BW339" s="6">
        <f t="shared" si="244"/>
        <v>5.6548667764615885</v>
      </c>
      <c r="BX339" s="9">
        <f t="shared" ca="1" si="245"/>
        <v>51.627782406524332</v>
      </c>
      <c r="BY339" s="9">
        <f t="shared" ca="1" si="246"/>
        <v>-13.549422910861082</v>
      </c>
      <c r="BZ339" s="9">
        <f t="shared" ca="1" si="247"/>
        <v>-14.444859475205078</v>
      </c>
      <c r="CA339" s="6">
        <f t="shared" ca="1" si="248"/>
        <v>8.4747910497153889</v>
      </c>
      <c r="CB339" s="6">
        <f t="shared" ca="1" si="249"/>
        <v>2.6110103808496583</v>
      </c>
      <c r="CC339" s="6">
        <f t="shared" ca="1" si="250"/>
        <v>-0.50374013691166963</v>
      </c>
      <c r="CD339" s="9">
        <f t="shared" si="251"/>
        <v>-4.4448594752050745</v>
      </c>
      <c r="CE339" s="9">
        <f t="shared" si="252"/>
        <v>7.4747910497153889</v>
      </c>
      <c r="CF339" s="6">
        <f t="shared" si="253"/>
        <v>2.1072702439379887</v>
      </c>
      <c r="CG339" s="6"/>
      <c r="CH339" s="6"/>
      <c r="CI339" s="6"/>
      <c r="CJ339" s="1"/>
      <c r="CK339" s="6"/>
    </row>
    <row r="340" spans="55:89" x14ac:dyDescent="0.2">
      <c r="BC340">
        <v>5.8992128717407919</v>
      </c>
      <c r="BD340">
        <v>-13.137858913984783</v>
      </c>
      <c r="BE340">
        <v>11.11277740990653</v>
      </c>
      <c r="BF340" s="6">
        <f t="shared" si="240"/>
        <v>2.4395075176570642</v>
      </c>
      <c r="BG340" s="6">
        <f t="shared" si="241"/>
        <v>3.4597053540837277</v>
      </c>
      <c r="BH340" s="6">
        <f t="shared" si="242"/>
        <v>0.60241648344156706</v>
      </c>
      <c r="BI340" s="6">
        <f t="shared" si="243"/>
        <v>0.60241648344156706</v>
      </c>
      <c r="BJ340">
        <v>-20.212090636899664</v>
      </c>
      <c r="BK340">
        <v>17.096580630625429</v>
      </c>
      <c r="BV340" s="38"/>
      <c r="BW340" s="6">
        <f t="shared" si="244"/>
        <v>5.6723200689815316</v>
      </c>
      <c r="BX340" s="9">
        <f t="shared" ca="1" si="245"/>
        <v>51.743502312829222</v>
      </c>
      <c r="BY340" s="9">
        <f t="shared" ca="1" si="246"/>
        <v>-13.359797136020125</v>
      </c>
      <c r="BZ340" s="9">
        <f t="shared" ca="1" si="247"/>
        <v>-14.329139568900189</v>
      </c>
      <c r="CA340" s="6">
        <f t="shared" ca="1" si="248"/>
        <v>8.664416824556346</v>
      </c>
      <c r="CB340" s="6">
        <f t="shared" ca="1" si="249"/>
        <v>2.597745585619327</v>
      </c>
      <c r="CC340" s="6">
        <f t="shared" ca="1" si="250"/>
        <v>-0.51278694007511305</v>
      </c>
      <c r="CD340" s="9">
        <f t="shared" si="251"/>
        <v>-4.3291395689001888</v>
      </c>
      <c r="CE340" s="9">
        <f t="shared" si="252"/>
        <v>7.664416824556346</v>
      </c>
      <c r="CF340" s="6">
        <f t="shared" si="253"/>
        <v>2.084958645544214</v>
      </c>
      <c r="CG340" s="6"/>
      <c r="CH340" s="6"/>
      <c r="CI340" s="6"/>
      <c r="CJ340" s="1"/>
      <c r="CK340" s="6"/>
    </row>
    <row r="341" spans="55:89" x14ac:dyDescent="0.2">
      <c r="BC341">
        <v>5.916666164260735</v>
      </c>
      <c r="BD341">
        <v>-13.065038598525037</v>
      </c>
      <c r="BE341">
        <v>11.302735474202155</v>
      </c>
      <c r="BF341" s="6">
        <f t="shared" si="240"/>
        <v>2.4283898514386717</v>
      </c>
      <c r="BG341" s="6">
        <f t="shared" si="241"/>
        <v>3.4882763128220633</v>
      </c>
      <c r="BH341" s="6">
        <f t="shared" si="242"/>
        <v>0.61353414965995956</v>
      </c>
      <c r="BI341" s="6">
        <f t="shared" si="243"/>
        <v>0.61353414965995956</v>
      </c>
      <c r="BJ341">
        <v>-20.10005938234621</v>
      </c>
      <c r="BK341">
        <v>17.388823806464853</v>
      </c>
      <c r="BV341" s="38"/>
      <c r="BW341" s="6">
        <f t="shared" si="244"/>
        <v>5.6897733615014747</v>
      </c>
      <c r="BX341" s="9">
        <f t="shared" ca="1" si="245"/>
        <v>51.855027920169618</v>
      </c>
      <c r="BY341" s="9">
        <f t="shared" ca="1" si="246"/>
        <v>-13.170677886905231</v>
      </c>
      <c r="BZ341" s="9">
        <f t="shared" ca="1" si="247"/>
        <v>-14.217613961559792</v>
      </c>
      <c r="CA341" s="6">
        <f t="shared" ca="1" si="248"/>
        <v>8.8535360736712398</v>
      </c>
      <c r="CB341" s="6">
        <f t="shared" ca="1" si="249"/>
        <v>2.5846374322855104</v>
      </c>
      <c r="CC341" s="6">
        <f t="shared" ca="1" si="250"/>
        <v>-0.52100725646145529</v>
      </c>
      <c r="CD341" s="9">
        <f t="shared" si="251"/>
        <v>-4.2176139615597883</v>
      </c>
      <c r="CE341" s="9">
        <f t="shared" si="252"/>
        <v>7.8535360736712398</v>
      </c>
      <c r="CF341" s="6">
        <f t="shared" si="253"/>
        <v>2.0636301758240552</v>
      </c>
      <c r="CG341" s="6"/>
      <c r="CH341" s="6"/>
      <c r="CI341" s="6"/>
      <c r="CJ341" s="1"/>
      <c r="CK341" s="6"/>
    </row>
    <row r="342" spans="55:89" x14ac:dyDescent="0.2">
      <c r="BC342">
        <v>5.9341194567806781</v>
      </c>
      <c r="BD342">
        <v>-12.994342299588972</v>
      </c>
      <c r="BE342">
        <v>11.493362958195913</v>
      </c>
      <c r="BF342" s="6">
        <f t="shared" si="240"/>
        <v>2.4174131210580496</v>
      </c>
      <c r="BG342" s="6">
        <f t="shared" si="241"/>
        <v>3.5167063357226285</v>
      </c>
      <c r="BH342" s="6">
        <f t="shared" si="242"/>
        <v>0.62451088004058164</v>
      </c>
      <c r="BI342" s="6">
        <f t="shared" si="243"/>
        <v>0.62451088004058164</v>
      </c>
      <c r="BJ342">
        <v>-19.991295845521496</v>
      </c>
      <c r="BK342">
        <v>17.682096858762943</v>
      </c>
      <c r="BV342" s="38"/>
      <c r="BW342" s="6">
        <f t="shared" si="244"/>
        <v>5.7072266540214178</v>
      </c>
      <c r="BX342" s="9">
        <f t="shared" ca="1" si="245"/>
        <v>51.962586503032711</v>
      </c>
      <c r="BY342" s="9">
        <f t="shared" ca="1" si="246"/>
        <v>-12.981986427076247</v>
      </c>
      <c r="BZ342" s="9">
        <f t="shared" ca="1" si="247"/>
        <v>-14.1100553786967</v>
      </c>
      <c r="CA342" s="6">
        <f t="shared" ca="1" si="248"/>
        <v>9.042227533500224</v>
      </c>
      <c r="CB342" s="6">
        <f t="shared" ca="1" si="249"/>
        <v>2.5716868082322764</v>
      </c>
      <c r="CC342" s="6">
        <f t="shared" ca="1" si="250"/>
        <v>-0.52843460625164962</v>
      </c>
      <c r="CD342" s="9">
        <f t="shared" si="251"/>
        <v>-4.1100553786966962</v>
      </c>
      <c r="CE342" s="9">
        <f t="shared" si="252"/>
        <v>8.042227533500224</v>
      </c>
      <c r="CF342" s="6">
        <f t="shared" si="253"/>
        <v>2.0432522019806267</v>
      </c>
      <c r="CG342" s="6"/>
      <c r="CH342" s="6"/>
      <c r="CI342" s="6"/>
      <c r="CJ342" s="1"/>
      <c r="CK342" s="6"/>
    </row>
    <row r="343" spans="55:89" x14ac:dyDescent="0.2">
      <c r="BC343">
        <v>5.9515727493006212</v>
      </c>
      <c r="BD343">
        <v>-12.925686174729837</v>
      </c>
      <c r="BE343">
        <v>11.684753183941231</v>
      </c>
      <c r="BF343" s="6">
        <f t="shared" si="240"/>
        <v>2.406574854832769</v>
      </c>
      <c r="BG343" s="6">
        <f t="shared" si="241"/>
        <v>3.5449978944678522</v>
      </c>
      <c r="BH343" s="6">
        <f t="shared" si="242"/>
        <v>0.63534914626586225</v>
      </c>
      <c r="BI343" s="6">
        <f t="shared" si="243"/>
        <v>0.63534914626586225</v>
      </c>
      <c r="BJ343">
        <v>-19.885671038045903</v>
      </c>
      <c r="BK343">
        <v>17.976543359909584</v>
      </c>
      <c r="BV343" s="38"/>
      <c r="BW343" s="6">
        <f t="shared" si="244"/>
        <v>5.7246799465413609</v>
      </c>
      <c r="BX343" s="9">
        <f t="shared" ca="1" si="245"/>
        <v>52.066388833006755</v>
      </c>
      <c r="BY343" s="9">
        <f t="shared" ca="1" si="246"/>
        <v>-12.793643467665314</v>
      </c>
      <c r="BZ343" s="9">
        <f t="shared" ca="1" si="247"/>
        <v>-14.006253048722655</v>
      </c>
      <c r="CA343" s="6">
        <f t="shared" ca="1" si="248"/>
        <v>9.2305704929111574</v>
      </c>
      <c r="CB343" s="6">
        <f t="shared" ca="1" si="249"/>
        <v>2.5588941528870861</v>
      </c>
      <c r="CC343" s="6">
        <f t="shared" ca="1" si="250"/>
        <v>-0.53510404750253526</v>
      </c>
      <c r="CD343" s="9">
        <f t="shared" si="251"/>
        <v>-4.0062530487226518</v>
      </c>
      <c r="CE343" s="9">
        <f t="shared" si="252"/>
        <v>8.2305704929111574</v>
      </c>
      <c r="CF343" s="6">
        <f t="shared" si="253"/>
        <v>2.0237901053845508</v>
      </c>
      <c r="CG343" s="6"/>
      <c r="CH343" s="6"/>
      <c r="CI343" s="6"/>
      <c r="CJ343" s="1"/>
      <c r="CK343" s="6"/>
    </row>
    <row r="344" spans="55:89" x14ac:dyDescent="0.2">
      <c r="BC344">
        <v>5.9690260418205643</v>
      </c>
      <c r="BD344">
        <v>-12.858992110574956</v>
      </c>
      <c r="BE344">
        <v>11.877001404767759</v>
      </c>
      <c r="BF344" s="6">
        <f t="shared" si="240"/>
        <v>2.3958725132406564</v>
      </c>
      <c r="BG344" s="6">
        <f t="shared" si="241"/>
        <v>3.5731535285799079</v>
      </c>
      <c r="BH344" s="6">
        <f t="shared" si="242"/>
        <v>0.64605148785797484</v>
      </c>
      <c r="BI344" s="6">
        <f t="shared" si="243"/>
        <v>0.64605148785797484</v>
      </c>
      <c r="BJ344">
        <v>-19.783064785499931</v>
      </c>
      <c r="BK344">
        <v>18.27230985348886</v>
      </c>
      <c r="BV344" s="38"/>
      <c r="BW344" s="6">
        <f t="shared" si="244"/>
        <v>5.742133239061304</v>
      </c>
      <c r="BX344" s="9">
        <f t="shared" ca="1" si="245"/>
        <v>52.166630539798852</v>
      </c>
      <c r="BY344" s="9">
        <f t="shared" ca="1" si="246"/>
        <v>-12.60556912443281</v>
      </c>
      <c r="BZ344" s="9">
        <f t="shared" ca="1" si="247"/>
        <v>-13.906011341930558</v>
      </c>
      <c r="CA344" s="6">
        <f t="shared" ca="1" si="248"/>
        <v>9.4186448361436614</v>
      </c>
      <c r="CB344" s="6">
        <f t="shared" ca="1" si="249"/>
        <v>2.546259499300529</v>
      </c>
      <c r="CC344" s="6">
        <f t="shared" ca="1" si="250"/>
        <v>-0.54105147477949378</v>
      </c>
      <c r="CD344" s="9">
        <f t="shared" si="251"/>
        <v>-3.906011341930558</v>
      </c>
      <c r="CE344" s="9">
        <f t="shared" si="252"/>
        <v>8.4186448361436614</v>
      </c>
      <c r="CF344" s="6">
        <f t="shared" si="253"/>
        <v>2.0052080245210351</v>
      </c>
      <c r="CG344" s="6"/>
      <c r="CH344" s="6"/>
      <c r="CI344" s="6"/>
      <c r="CJ344" s="1"/>
      <c r="CK344" s="6"/>
    </row>
    <row r="345" spans="55:89" x14ac:dyDescent="0.2">
      <c r="BC345">
        <v>5.9864793343405074</v>
      </c>
      <c r="BD345">
        <v>-12.794187252054249</v>
      </c>
      <c r="BE345">
        <v>12.070204947039413</v>
      </c>
      <c r="BF345" s="6">
        <f t="shared" si="240"/>
        <v>2.3853034988756558</v>
      </c>
      <c r="BG345" s="6">
        <f t="shared" si="241"/>
        <v>3.6011758354648515</v>
      </c>
      <c r="BH345" s="6">
        <f t="shared" si="242"/>
        <v>0.6566205022229753</v>
      </c>
      <c r="BI345" s="6">
        <f t="shared" si="243"/>
        <v>0.6566205022229753</v>
      </c>
      <c r="BJ345">
        <v>-19.683365003160382</v>
      </c>
      <c r="BK345">
        <v>18.569546072368325</v>
      </c>
      <c r="BV345" s="38"/>
      <c r="BW345" s="6">
        <f t="shared" si="244"/>
        <v>5.7595865315812471</v>
      </c>
      <c r="BX345" s="9">
        <f t="shared" ca="1" si="245"/>
        <v>52.263493361995238</v>
      </c>
      <c r="BY345" s="9">
        <f t="shared" ca="1" si="246"/>
        <v>-12.417682871456837</v>
      </c>
      <c r="BZ345" s="9">
        <f t="shared" ca="1" si="247"/>
        <v>-13.809148519734173</v>
      </c>
      <c r="CA345" s="6">
        <f t="shared" ca="1" si="248"/>
        <v>9.6065310891196347</v>
      </c>
      <c r="CB345" s="6">
        <f t="shared" ca="1" si="249"/>
        <v>2.5337825127430951</v>
      </c>
      <c r="CC345" s="6">
        <f t="shared" ca="1" si="250"/>
        <v>-0.54631304018240989</v>
      </c>
      <c r="CD345" s="9">
        <f t="shared" si="251"/>
        <v>-3.8091485197341726</v>
      </c>
      <c r="CE345" s="9">
        <f t="shared" si="252"/>
        <v>8.6065310891196347</v>
      </c>
      <c r="CF345" s="6">
        <f t="shared" si="253"/>
        <v>1.9874694725606852</v>
      </c>
      <c r="CG345" s="6"/>
      <c r="CH345" s="6"/>
      <c r="CI345" s="6"/>
      <c r="CJ345" s="1"/>
      <c r="CK345" s="6"/>
    </row>
    <row r="346" spans="55:89" x14ac:dyDescent="0.2">
      <c r="BC346">
        <v>6.0039326268604505</v>
      </c>
      <c r="BD346">
        <v>-12.73120380677465</v>
      </c>
      <c r="BE346">
        <v>12.26446340674867</v>
      </c>
      <c r="BF346" s="6">
        <f t="shared" si="240"/>
        <v>2.3748651726117611</v>
      </c>
      <c r="BG346" s="6">
        <f t="shared" si="241"/>
        <v>3.6290674542486894</v>
      </c>
      <c r="BH346" s="6">
        <f t="shared" si="242"/>
        <v>0.66705882848687015</v>
      </c>
      <c r="BI346" s="6">
        <f t="shared" si="243"/>
        <v>0.66705882848687015</v>
      </c>
      <c r="BJ346">
        <v>-19.586467395037921</v>
      </c>
      <c r="BK346">
        <v>18.868405241151798</v>
      </c>
      <c r="BV346" s="38"/>
      <c r="BW346" s="6">
        <f t="shared" si="244"/>
        <v>5.7770398241011902</v>
      </c>
      <c r="BX346" s="9">
        <f t="shared" ca="1" si="245"/>
        <v>52.357146293452509</v>
      </c>
      <c r="BY346" s="9">
        <f t="shared" ca="1" si="246"/>
        <v>-12.229903489038776</v>
      </c>
      <c r="BZ346" s="9">
        <f t="shared" ca="1" si="247"/>
        <v>-13.715495588276902</v>
      </c>
      <c r="CA346" s="6">
        <f t="shared" ca="1" si="248"/>
        <v>9.7943104715376954</v>
      </c>
      <c r="CB346" s="6">
        <f t="shared" ca="1" si="249"/>
        <v>2.521462526401117</v>
      </c>
      <c r="CC346" s="6">
        <f t="shared" ca="1" si="250"/>
        <v>-0.55092468408621187</v>
      </c>
      <c r="CD346" s="9">
        <f t="shared" si="251"/>
        <v>-3.7154955882768999</v>
      </c>
      <c r="CE346" s="9">
        <f t="shared" si="252"/>
        <v>8.7943104715376954</v>
      </c>
      <c r="CF346" s="6">
        <f t="shared" si="253"/>
        <v>1.9705378423149051</v>
      </c>
      <c r="CG346" s="6"/>
      <c r="CH346" s="6"/>
      <c r="CI346" s="6"/>
      <c r="CJ346" s="1"/>
      <c r="CK346" s="6"/>
    </row>
    <row r="347" spans="55:89" x14ac:dyDescent="0.2">
      <c r="BC347">
        <v>6.0213859193803936</v>
      </c>
      <c r="BD347">
        <v>-12.66997869409334</v>
      </c>
      <c r="BE347">
        <v>12.459878823703516</v>
      </c>
      <c r="BF347" s="6">
        <f t="shared" si="240"/>
        <v>2.3645548629156337</v>
      </c>
      <c r="BG347" s="6">
        <f t="shared" si="241"/>
        <v>3.6568310564647599</v>
      </c>
      <c r="BH347" s="6">
        <f t="shared" si="242"/>
        <v>0.6773691381829976</v>
      </c>
      <c r="BI347" s="6">
        <f t="shared" si="243"/>
        <v>0.6773691381829976</v>
      </c>
      <c r="BJ347">
        <v>-19.492274913989753</v>
      </c>
      <c r="BK347">
        <v>19.169044344159254</v>
      </c>
      <c r="BV347" s="38"/>
      <c r="BW347" s="6">
        <f t="shared" si="244"/>
        <v>5.7944931166211333</v>
      </c>
      <c r="BX347" s="9">
        <f t="shared" ca="1" si="245"/>
        <v>52.447746591996633</v>
      </c>
      <c r="BY347" s="9">
        <f t="shared" ca="1" si="246"/>
        <v>-12.042148995719019</v>
      </c>
      <c r="BZ347" s="9">
        <f t="shared" ca="1" si="247"/>
        <v>-13.624895289732777</v>
      </c>
      <c r="CA347" s="6">
        <f t="shared" ca="1" si="248"/>
        <v>9.982064964857452</v>
      </c>
      <c r="CB347" s="6">
        <f t="shared" ca="1" si="249"/>
        <v>2.5092985752809387</v>
      </c>
      <c r="CC347" s="6">
        <f t="shared" ca="1" si="250"/>
        <v>-0.55492175981147485</v>
      </c>
      <c r="CD347" s="9">
        <f t="shared" si="251"/>
        <v>-3.6248952897327804</v>
      </c>
      <c r="CE347" s="9">
        <f t="shared" si="252"/>
        <v>8.982064964857452</v>
      </c>
      <c r="CF347" s="6">
        <f t="shared" si="253"/>
        <v>1.9543768154694638</v>
      </c>
      <c r="CG347" s="6"/>
      <c r="CH347" s="6"/>
      <c r="CI347" s="6"/>
      <c r="CJ347" s="1"/>
      <c r="CK347" s="6"/>
    </row>
    <row r="348" spans="55:89" x14ac:dyDescent="0.2">
      <c r="BC348">
        <v>6.0388392119003367</v>
      </c>
      <c r="BD348">
        <v>-12.610453331551449</v>
      </c>
      <c r="BE348">
        <v>12.656555887071525</v>
      </c>
      <c r="BF348" s="6">
        <f t="shared" si="240"/>
        <v>2.3543698775538071</v>
      </c>
      <c r="BG348" s="6">
        <f t="shared" si="241"/>
        <v>3.6844693343465296</v>
      </c>
      <c r="BH348" s="6">
        <f t="shared" si="242"/>
        <v>0.68755412354482415</v>
      </c>
      <c r="BI348" s="6">
        <f t="shared" si="243"/>
        <v>0.68755412354482415</v>
      </c>
      <c r="BJ348">
        <v>-19.400697433156076</v>
      </c>
      <c r="BK348">
        <v>19.471624441648498</v>
      </c>
      <c r="BV348" s="38"/>
      <c r="BW348" s="6">
        <f t="shared" si="244"/>
        <v>5.8119464091410764</v>
      </c>
      <c r="BX348" s="9">
        <f t="shared" ca="1" si="245"/>
        <v>52.535440693059591</v>
      </c>
      <c r="BY348" s="9">
        <f t="shared" ca="1" si="246"/>
        <v>-11.854336571917527</v>
      </c>
      <c r="BZ348" s="9">
        <f t="shared" ca="1" si="247"/>
        <v>-13.537201188669819</v>
      </c>
      <c r="CA348" s="6">
        <f t="shared" ca="1" si="248"/>
        <v>10.169877388658945</v>
      </c>
      <c r="CB348" s="6">
        <f t="shared" ca="1" si="249"/>
        <v>2.4972894277656144</v>
      </c>
      <c r="CC348" s="6">
        <f t="shared" ca="1" si="250"/>
        <v>-0.55833874161870367</v>
      </c>
      <c r="CD348" s="9">
        <f t="shared" si="251"/>
        <v>-3.5372011886698207</v>
      </c>
      <c r="CE348" s="9">
        <f t="shared" si="252"/>
        <v>9.1698773886589446</v>
      </c>
      <c r="CF348" s="6">
        <f t="shared" si="253"/>
        <v>1.9389506861469106</v>
      </c>
      <c r="CG348" s="6"/>
      <c r="CH348" s="6"/>
      <c r="CI348" s="6"/>
      <c r="CJ348" s="1"/>
      <c r="CK348" s="6"/>
    </row>
    <row r="349" spans="55:89" x14ac:dyDescent="0.2">
      <c r="BC349">
        <v>6.0562925044202798</v>
      </c>
      <c r="BD349">
        <v>-12.552573398673347</v>
      </c>
      <c r="BE349">
        <v>12.854602144895715</v>
      </c>
      <c r="BF349" s="6">
        <f t="shared" si="240"/>
        <v>2.3443075128306434</v>
      </c>
      <c r="BG349" s="6">
        <f t="shared" si="241"/>
        <v>3.7119849915896364</v>
      </c>
      <c r="BH349" s="6">
        <f t="shared" si="242"/>
        <v>0.69761648826798772</v>
      </c>
      <c r="BI349" s="6">
        <f t="shared" si="243"/>
        <v>0.69761648826798772</v>
      </c>
      <c r="BJ349">
        <v>-19.311651382574379</v>
      </c>
      <c r="BK349">
        <v>19.776310992147252</v>
      </c>
      <c r="BV349" s="38"/>
      <c r="BW349" s="6">
        <f t="shared" si="244"/>
        <v>5.8293997016610195</v>
      </c>
      <c r="BX349" s="9">
        <f t="shared" ca="1" si="245"/>
        <v>52.620365032343187</v>
      </c>
      <c r="BY349" s="9">
        <f t="shared" ca="1" si="246"/>
        <v>-11.666382474066094</v>
      </c>
      <c r="BZ349" s="9">
        <f t="shared" ca="1" si="247"/>
        <v>-13.452276849386223</v>
      </c>
      <c r="CA349" s="6">
        <f t="shared" ca="1" si="248"/>
        <v>10.357831486510378</v>
      </c>
      <c r="CB349" s="6">
        <f t="shared" ca="1" si="249"/>
        <v>2.4854336150511349</v>
      </c>
      <c r="CC349" s="6">
        <f t="shared" ca="1" si="250"/>
        <v>-0.56120900355296532</v>
      </c>
      <c r="CD349" s="9">
        <f t="shared" si="251"/>
        <v>-3.4522768493862248</v>
      </c>
      <c r="CE349" s="9">
        <f t="shared" si="252"/>
        <v>9.3578314865103778</v>
      </c>
      <c r="CF349" s="6">
        <f t="shared" si="253"/>
        <v>1.9242246114981696</v>
      </c>
      <c r="CG349" s="6"/>
      <c r="CH349" s="6"/>
      <c r="CI349" s="6"/>
      <c r="CJ349" s="1"/>
      <c r="CK349" s="6"/>
    </row>
    <row r="350" spans="55:89" x14ac:dyDescent="0.2">
      <c r="BC350">
        <v>6.0737457969402229</v>
      </c>
      <c r="BD350">
        <v>-12.496288637460099</v>
      </c>
      <c r="BE350">
        <v>13.054128229259769</v>
      </c>
      <c r="BF350" s="6">
        <f t="shared" si="240"/>
        <v>2.3343650623624783</v>
      </c>
      <c r="BG350" s="6">
        <f t="shared" si="241"/>
        <v>3.7393807345777446</v>
      </c>
      <c r="BH350" s="6">
        <f t="shared" si="242"/>
        <v>0.70755893873615294</v>
      </c>
      <c r="BI350" s="6">
        <f t="shared" si="243"/>
        <v>0.70755893873615294</v>
      </c>
      <c r="BJ350">
        <v>-19.225059442246305</v>
      </c>
      <c r="BK350">
        <v>20.083274198861183</v>
      </c>
      <c r="BV350" s="38"/>
      <c r="BW350" s="6">
        <f t="shared" si="244"/>
        <v>5.8468529941809626</v>
      </c>
      <c r="BX350" s="9">
        <f t="shared" ca="1" si="245"/>
        <v>52.702646755550681</v>
      </c>
      <c r="BY350" s="9">
        <f t="shared" ca="1" si="246"/>
        <v>-11.478201933185209</v>
      </c>
      <c r="BZ350" s="9">
        <f t="shared" ca="1" si="247"/>
        <v>-13.369995126178729</v>
      </c>
      <c r="CA350" s="6">
        <f t="shared" ca="1" si="248"/>
        <v>10.546012027391262</v>
      </c>
      <c r="CB350" s="6">
        <f t="shared" ca="1" si="249"/>
        <v>2.4737294594066821</v>
      </c>
      <c r="CC350" s="6">
        <f t="shared" ca="1" si="250"/>
        <v>-0.56356465615419304</v>
      </c>
      <c r="CD350" s="9">
        <f t="shared" si="251"/>
        <v>-3.3699951261787273</v>
      </c>
      <c r="CE350" s="9">
        <f t="shared" si="252"/>
        <v>9.5460120273912619</v>
      </c>
      <c r="CF350" s="6">
        <f t="shared" si="253"/>
        <v>1.9101648032524889</v>
      </c>
      <c r="CG350" s="6"/>
      <c r="CH350" s="6"/>
      <c r="CI350" s="6"/>
      <c r="CJ350" s="1"/>
      <c r="CK350" s="6"/>
    </row>
    <row r="351" spans="55:89" x14ac:dyDescent="0.2">
      <c r="BC351">
        <v>6.091199089460166</v>
      </c>
      <c r="BD351">
        <v>-12.441552657869307</v>
      </c>
      <c r="BE351">
        <v>13.255248093076187</v>
      </c>
      <c r="BF351" s="6">
        <f t="shared" si="240"/>
        <v>2.3245398244690278</v>
      </c>
      <c r="BG351" s="6">
        <f t="shared" si="241"/>
        <v>3.7666592649911381</v>
      </c>
      <c r="BH351" s="6">
        <f t="shared" si="242"/>
        <v>0.71738417662960341</v>
      </c>
      <c r="BI351" s="6">
        <f t="shared" si="243"/>
        <v>0.71738417662960341</v>
      </c>
      <c r="BJ351">
        <v>-19.140850242875857</v>
      </c>
      <c r="BK351">
        <v>20.392689373963364</v>
      </c>
      <c r="BV351" s="38"/>
      <c r="BW351" s="6">
        <f t="shared" si="244"/>
        <v>5.8643062867009057</v>
      </c>
      <c r="BX351" s="9">
        <f t="shared" ca="1" si="245"/>
        <v>52.78240447288465</v>
      </c>
      <c r="BY351" s="9">
        <f t="shared" ca="1" si="246"/>
        <v>-11.289709068668026</v>
      </c>
      <c r="BZ351" s="9">
        <f t="shared" ca="1" si="247"/>
        <v>-13.29023740884476</v>
      </c>
      <c r="CA351" s="6">
        <f t="shared" ca="1" si="248"/>
        <v>10.734504891908445</v>
      </c>
      <c r="CB351" s="6">
        <f t="shared" ca="1" si="249"/>
        <v>2.4621750973702183</v>
      </c>
      <c r="CC351" s="6">
        <f t="shared" ca="1" si="250"/>
        <v>-0.56543643997183879</v>
      </c>
      <c r="CD351" s="9">
        <f t="shared" si="251"/>
        <v>-3.2902374088447566</v>
      </c>
      <c r="CE351" s="9">
        <f t="shared" si="252"/>
        <v>9.7345048919084451</v>
      </c>
      <c r="CF351" s="6">
        <f t="shared" si="253"/>
        <v>1.8967386573983795</v>
      </c>
      <c r="CG351" s="6"/>
      <c r="CH351" s="6"/>
      <c r="CI351" s="6"/>
      <c r="CJ351" s="1"/>
      <c r="CK351" s="6"/>
    </row>
    <row r="352" spans="55:89" x14ac:dyDescent="0.2">
      <c r="BC352">
        <v>6.1086523819801091</v>
      </c>
      <c r="BD352">
        <v>-12.388322780775276</v>
      </c>
      <c r="BE352">
        <v>13.458079265108575</v>
      </c>
      <c r="BF352" s="6">
        <f t="shared" si="240"/>
        <v>2.3148291093837727</v>
      </c>
      <c r="BG352" s="6">
        <f t="shared" si="241"/>
        <v>3.7938232725963363</v>
      </c>
      <c r="BH352" s="6">
        <f t="shared" si="242"/>
        <v>0.72709489171485853</v>
      </c>
      <c r="BI352" s="6">
        <f t="shared" si="243"/>
        <v>0.72709489171485853</v>
      </c>
      <c r="BJ352">
        <v>-19.058958124269655</v>
      </c>
      <c r="BK352">
        <v>20.704737330936268</v>
      </c>
      <c r="BV352" s="38"/>
      <c r="BW352" s="6">
        <f t="shared" si="244"/>
        <v>5.8817595792208488</v>
      </c>
      <c r="BX352" s="9">
        <f t="shared" ca="1" si="245"/>
        <v>52.859748805017489</v>
      </c>
      <c r="BY352" s="9">
        <f t="shared" ca="1" si="246"/>
        <v>-11.100816763486305</v>
      </c>
      <c r="BZ352" s="9">
        <f t="shared" ca="1" si="247"/>
        <v>-13.212893076711921</v>
      </c>
      <c r="CA352" s="6">
        <f t="shared" ca="1" si="248"/>
        <v>10.923397197090166</v>
      </c>
      <c r="CB352" s="6">
        <f t="shared" ca="1" si="249"/>
        <v>2.4507685048105214</v>
      </c>
      <c r="CC352" s="6">
        <f t="shared" ca="1" si="250"/>
        <v>-0.5668536511615776</v>
      </c>
      <c r="CD352" s="9">
        <f t="shared" si="251"/>
        <v>-3.2128930767119215</v>
      </c>
      <c r="CE352" s="9">
        <f t="shared" si="252"/>
        <v>9.923397197090166</v>
      </c>
      <c r="CF352" s="6">
        <f t="shared" si="253"/>
        <v>1.8839148536489438</v>
      </c>
      <c r="CG352" s="6"/>
      <c r="CH352" s="6"/>
      <c r="CI352" s="6"/>
      <c r="CJ352" s="1"/>
      <c r="CK352" s="6"/>
    </row>
    <row r="353" spans="55:89" x14ac:dyDescent="0.2">
      <c r="BC353">
        <v>6.1261056745000522</v>
      </c>
      <c r="BD353">
        <v>-12.336559911426855</v>
      </c>
      <c r="BE353">
        <v>13.662743123164034</v>
      </c>
      <c r="BF353" s="6">
        <f t="shared" si="240"/>
        <v>2.3052302461914724</v>
      </c>
      <c r="BG353" s="6">
        <f t="shared" si="241"/>
        <v>3.8208754283085797</v>
      </c>
      <c r="BH353" s="6">
        <f t="shared" si="242"/>
        <v>0.73669375490715883</v>
      </c>
      <c r="BI353" s="6">
        <f t="shared" si="243"/>
        <v>0.73669375490715883</v>
      </c>
      <c r="BJ353">
        <v>-18.979322940656701</v>
      </c>
      <c r="BK353">
        <v>21.019604804867743</v>
      </c>
      <c r="BV353" s="38"/>
      <c r="BW353" s="6">
        <f t="shared" si="244"/>
        <v>5.8992128717407919</v>
      </c>
      <c r="BX353" s="9">
        <f t="shared" ca="1" si="245"/>
        <v>52.934782967744624</v>
      </c>
      <c r="BY353" s="9">
        <f t="shared" ca="1" si="246"/>
        <v>-10.911436550669942</v>
      </c>
      <c r="BZ353" s="9">
        <f t="shared" ca="1" si="247"/>
        <v>-13.137858913984786</v>
      </c>
      <c r="CA353" s="6">
        <f t="shared" ca="1" si="248"/>
        <v>11.11277740990653</v>
      </c>
      <c r="CB353" s="6">
        <f t="shared" ca="1" si="249"/>
        <v>2.4395075176570642</v>
      </c>
      <c r="CC353" s="6">
        <f t="shared" ca="1" si="250"/>
        <v>-0.56784410606415836</v>
      </c>
      <c r="CD353" s="9">
        <f t="shared" si="251"/>
        <v>-3.1378589139847826</v>
      </c>
      <c r="CE353" s="9">
        <f t="shared" si="252"/>
        <v>10.11277740990653</v>
      </c>
      <c r="CF353" s="6">
        <f t="shared" si="253"/>
        <v>1.8716634115929058</v>
      </c>
      <c r="CG353" s="6"/>
      <c r="CH353" s="6"/>
      <c r="CI353" s="6"/>
      <c r="CJ353" s="1"/>
      <c r="CK353" s="6"/>
    </row>
    <row r="354" spans="55:89" x14ac:dyDescent="0.2">
      <c r="BC354">
        <v>6.1435589670199953</v>
      </c>
      <c r="BD354">
        <v>-12.286228422692792</v>
      </c>
      <c r="BE354">
        <v>13.869365183645161</v>
      </c>
      <c r="BF354" s="6">
        <f t="shared" si="240"/>
        <v>2.2957405888838962</v>
      </c>
      <c r="BG354" s="6">
        <f t="shared" si="241"/>
        <v>3.8478183781360991</v>
      </c>
      <c r="BH354" s="6">
        <f t="shared" si="242"/>
        <v>0.74618341221473505</v>
      </c>
      <c r="BI354" s="6">
        <f t="shared" si="243"/>
        <v>0.74618341221473505</v>
      </c>
      <c r="BJ354">
        <v>-18.901889881065834</v>
      </c>
      <c r="BK354">
        <v>21.337484897915633</v>
      </c>
      <c r="BV354" s="38"/>
      <c r="BW354" s="6">
        <f t="shared" si="244"/>
        <v>5.916666164260735</v>
      </c>
      <c r="BX354" s="9">
        <f t="shared" ca="1" si="245"/>
        <v>53.007603283204375</v>
      </c>
      <c r="BY354" s="9">
        <f t="shared" ca="1" si="246"/>
        <v>-10.721478486374316</v>
      </c>
      <c r="BZ354" s="9">
        <f t="shared" ca="1" si="247"/>
        <v>-13.065038598525035</v>
      </c>
      <c r="CA354" s="6">
        <f t="shared" ca="1" si="248"/>
        <v>11.302735474202155</v>
      </c>
      <c r="CB354" s="6">
        <f t="shared" ca="1" si="249"/>
        <v>2.4283898514386717</v>
      </c>
      <c r="CC354" s="6">
        <f t="shared" ca="1" si="250"/>
        <v>-0.56843413087830075</v>
      </c>
      <c r="CD354" s="9">
        <f t="shared" si="251"/>
        <v>-3.065038598525037</v>
      </c>
      <c r="CE354" s="9">
        <f t="shared" si="252"/>
        <v>10.302735474202155</v>
      </c>
      <c r="CF354" s="6">
        <f t="shared" si="253"/>
        <v>1.859955720560371</v>
      </c>
      <c r="CG354" s="6"/>
      <c r="CH354" s="6"/>
      <c r="CI354" s="6"/>
      <c r="CJ354" s="1"/>
      <c r="CK354" s="6"/>
    </row>
    <row r="355" spans="55:89" x14ac:dyDescent="0.2">
      <c r="BC355">
        <v>6.1610122595399384</v>
      </c>
      <c r="BD355">
        <v>-12.23729600060925</v>
      </c>
      <c r="BE355">
        <v>14.078075402481883</v>
      </c>
      <c r="BF355" s="6">
        <f t="shared" si="240"/>
        <v>2.2863575199169341</v>
      </c>
      <c r="BG355" s="6">
        <f t="shared" si="241"/>
        <v>3.8746547396230042</v>
      </c>
      <c r="BH355" s="6">
        <f t="shared" si="242"/>
        <v>0.75556648118169711</v>
      </c>
      <c r="BI355" s="6">
        <f t="shared" si="243"/>
        <v>0.75556648118169711</v>
      </c>
      <c r="BJ355">
        <v>-18.826609231706538</v>
      </c>
      <c r="BK355">
        <v>21.658577542279819</v>
      </c>
      <c r="BV355" s="38"/>
      <c r="BW355" s="6">
        <f t="shared" si="244"/>
        <v>5.9341194567806781</v>
      </c>
      <c r="BX355" s="9">
        <f t="shared" ca="1" si="245"/>
        <v>53.078299582140438</v>
      </c>
      <c r="BY355" s="9">
        <f t="shared" ca="1" si="246"/>
        <v>-10.530851002380558</v>
      </c>
      <c r="BZ355" s="9">
        <f t="shared" ca="1" si="247"/>
        <v>-12.994342299588972</v>
      </c>
      <c r="CA355" s="6">
        <f t="shared" ca="1" si="248"/>
        <v>11.493362958195913</v>
      </c>
      <c r="CB355" s="6">
        <f t="shared" ca="1" si="249"/>
        <v>2.4174131210580496</v>
      </c>
      <c r="CC355" s="6">
        <f t="shared" ca="1" si="250"/>
        <v>-0.56864856880239834</v>
      </c>
      <c r="CD355" s="9">
        <f t="shared" si="251"/>
        <v>-2.9943422995889719</v>
      </c>
      <c r="CE355" s="9">
        <f t="shared" si="252"/>
        <v>10.493362958195913</v>
      </c>
      <c r="CF355" s="6">
        <f t="shared" si="253"/>
        <v>1.8487645522556513</v>
      </c>
      <c r="CG355" s="6"/>
      <c r="CH355" s="6"/>
      <c r="CI355" s="6"/>
      <c r="CJ355" s="1"/>
      <c r="CK355" s="6"/>
    </row>
    <row r="356" spans="55:89" x14ac:dyDescent="0.2">
      <c r="BC356">
        <v>6.1784655520598815</v>
      </c>
      <c r="BD356">
        <v>-12.189733611298552</v>
      </c>
      <c r="BE356">
        <v>14.289008512511959</v>
      </c>
      <c r="BF356" s="6">
        <f t="shared" si="240"/>
        <v>2.2770784569319864</v>
      </c>
      <c r="BG356" s="6">
        <f t="shared" si="241"/>
        <v>3.9013870951278951</v>
      </c>
      <c r="BH356" s="6">
        <f t="shared" si="242"/>
        <v>0.76484554416664485</v>
      </c>
      <c r="BI356" s="6">
        <f t="shared" si="243"/>
        <v>0.76484554416664485</v>
      </c>
      <c r="BJ356">
        <v>-18.753436325074695</v>
      </c>
      <c r="BK356">
        <v>21.983090019249168</v>
      </c>
      <c r="BV356" s="38"/>
      <c r="BW356" s="6">
        <f t="shared" si="244"/>
        <v>5.9515727493006212</v>
      </c>
      <c r="BX356" s="9">
        <f t="shared" ca="1" si="245"/>
        <v>53.146955706999577</v>
      </c>
      <c r="BY356" s="9">
        <f t="shared" ca="1" si="246"/>
        <v>-10.33946077663524</v>
      </c>
      <c r="BZ356" s="9">
        <f t="shared" ca="1" si="247"/>
        <v>-12.925686174729833</v>
      </c>
      <c r="CA356" s="6">
        <f t="shared" ca="1" si="248"/>
        <v>11.684753183941231</v>
      </c>
      <c r="CB356" s="6">
        <f t="shared" ca="1" si="249"/>
        <v>2.406574854832769</v>
      </c>
      <c r="CC356" s="6">
        <f t="shared" ca="1" si="250"/>
        <v>-0.56851081114228075</v>
      </c>
      <c r="CD356" s="9">
        <f t="shared" si="251"/>
        <v>-2.9256861747298366</v>
      </c>
      <c r="CE356" s="9">
        <f t="shared" si="252"/>
        <v>10.684753183941231</v>
      </c>
      <c r="CF356" s="6">
        <f t="shared" si="253"/>
        <v>1.8380640436904883</v>
      </c>
      <c r="CG356" s="6"/>
      <c r="CH356" s="6"/>
      <c r="CI356" s="6"/>
      <c r="CJ356" s="1"/>
      <c r="CK356" s="6"/>
    </row>
    <row r="357" spans="55:89" x14ac:dyDescent="0.2">
      <c r="BC357">
        <v>6.1959188445798246</v>
      </c>
      <c r="BD357">
        <v>-12.143515371223391</v>
      </c>
      <c r="BE357">
        <v>14.502304367174622</v>
      </c>
      <c r="BF357" s="6">
        <f t="shared" si="240"/>
        <v>2.2679008550666224</v>
      </c>
      <c r="BG357" s="6">
        <f t="shared" si="241"/>
        <v>3.9280179895132021</v>
      </c>
      <c r="BH357" s="6">
        <f t="shared" si="242"/>
        <v>0.77402314603200884</v>
      </c>
      <c r="BI357" s="6">
        <f t="shared" si="243"/>
        <v>0.77402314603200884</v>
      </c>
      <c r="BJ357">
        <v>-18.682331340343676</v>
      </c>
      <c r="BK357">
        <v>22.311237487960955</v>
      </c>
      <c r="BV357" s="38"/>
      <c r="BW357" s="6">
        <f t="shared" si="244"/>
        <v>5.9690260418205643</v>
      </c>
      <c r="BX357" s="9">
        <f t="shared" ca="1" si="245"/>
        <v>53.213649771154451</v>
      </c>
      <c r="BY357" s="9">
        <f t="shared" ca="1" si="246"/>
        <v>-10.147212555808713</v>
      </c>
      <c r="BZ357" s="9">
        <f t="shared" ca="1" si="247"/>
        <v>-12.85899211057496</v>
      </c>
      <c r="CA357" s="6">
        <f t="shared" ca="1" si="248"/>
        <v>11.877001404767759</v>
      </c>
      <c r="CB357" s="6">
        <f t="shared" ca="1" si="249"/>
        <v>2.3958725132406564</v>
      </c>
      <c r="CC357" s="6">
        <f t="shared" ca="1" si="250"/>
        <v>-0.56804282948305129</v>
      </c>
      <c r="CD357" s="9">
        <f t="shared" si="251"/>
        <v>-2.8589921105749561</v>
      </c>
      <c r="CE357" s="9">
        <f t="shared" si="252"/>
        <v>10.877001404767759</v>
      </c>
      <c r="CF357" s="6">
        <f t="shared" si="253"/>
        <v>1.8278296837576051</v>
      </c>
      <c r="CG357" s="6"/>
      <c r="CH357" s="6"/>
      <c r="CI357" s="6"/>
      <c r="CJ357" s="1"/>
      <c r="CK357" s="6"/>
    </row>
    <row r="358" spans="55:89" x14ac:dyDescent="0.2">
      <c r="BC358">
        <v>6.2133721370997677</v>
      </c>
      <c r="BD358">
        <v>-12.098618555372306</v>
      </c>
      <c r="BE358">
        <v>14.718108326165328</v>
      </c>
      <c r="BF358" s="6">
        <f t="shared" si="240"/>
        <v>2.2588222132101432</v>
      </c>
      <c r="BG358" s="6">
        <f t="shared" si="241"/>
        <v>3.9545499238896245</v>
      </c>
      <c r="BH358" s="6">
        <f t="shared" si="242"/>
        <v>0.78310178788848805</v>
      </c>
      <c r="BI358" s="6">
        <f t="shared" si="243"/>
        <v>0.78310178788848805</v>
      </c>
      <c r="BJ358">
        <v>-18.613259315957393</v>
      </c>
      <c r="BK358">
        <v>22.643243578715889</v>
      </c>
      <c r="BV358" s="38"/>
      <c r="BW358" s="6">
        <f t="shared" si="244"/>
        <v>5.9864793343405074</v>
      </c>
      <c r="BX358" s="9">
        <f t="shared" ca="1" si="245"/>
        <v>53.27845462967516</v>
      </c>
      <c r="BY358" s="9">
        <f t="shared" ca="1" si="246"/>
        <v>-9.9540090135370587</v>
      </c>
      <c r="BZ358" s="9">
        <f t="shared" ca="1" si="247"/>
        <v>-12.79418725205425</v>
      </c>
      <c r="CA358" s="6">
        <f t="shared" ca="1" si="248"/>
        <v>12.070204947039413</v>
      </c>
      <c r="CB358" s="6">
        <f t="shared" ca="1" si="249"/>
        <v>2.3853034988756558</v>
      </c>
      <c r="CC358" s="6">
        <f t="shared" ca="1" si="250"/>
        <v>-0.56726522986049166</v>
      </c>
      <c r="CD358" s="9">
        <f t="shared" si="251"/>
        <v>-2.7941872520542486</v>
      </c>
      <c r="CE358" s="9">
        <f t="shared" si="252"/>
        <v>11.070204947039413</v>
      </c>
      <c r="CF358" s="6">
        <f t="shared" si="253"/>
        <v>1.8180382690151642</v>
      </c>
      <c r="CG358" s="6"/>
      <c r="CH358" s="6"/>
      <c r="CI358" s="6"/>
      <c r="CJ358" s="1"/>
      <c r="CK358" s="6"/>
    </row>
    <row r="359" spans="55:89" x14ac:dyDescent="0.2">
      <c r="BC359">
        <v>6.2308254296197108</v>
      </c>
      <c r="BD359">
        <v>-12.055023483833276</v>
      </c>
      <c r="BE359">
        <v>14.936571648941849</v>
      </c>
      <c r="BF359" s="6">
        <f t="shared" si="240"/>
        <v>2.2498400750161798</v>
      </c>
      <c r="BG359" s="6">
        <f t="shared" si="241"/>
        <v>3.980985354603531</v>
      </c>
      <c r="BH359" s="6">
        <f t="shared" si="242"/>
        <v>0.79208392608245148</v>
      </c>
      <c r="BI359" s="6">
        <f t="shared" si="243"/>
        <v>0.79208392608245148</v>
      </c>
      <c r="BJ359">
        <v>-18.546189975128115</v>
      </c>
      <c r="BK359">
        <v>22.979340998372074</v>
      </c>
      <c r="BV359" s="38"/>
      <c r="BW359" s="6">
        <f t="shared" si="244"/>
        <v>6.0039326268604505</v>
      </c>
      <c r="BX359" s="9">
        <f t="shared" ca="1" si="245"/>
        <v>53.341438074954759</v>
      </c>
      <c r="BY359" s="9">
        <f t="shared" ca="1" si="246"/>
        <v>-9.7597505538278018</v>
      </c>
      <c r="BZ359" s="9">
        <f t="shared" ca="1" si="247"/>
        <v>-12.731203806774651</v>
      </c>
      <c r="CA359" s="6">
        <f t="shared" ca="1" si="248"/>
        <v>12.26446340674867</v>
      </c>
      <c r="CB359" s="6">
        <f t="shared" ca="1" si="249"/>
        <v>2.3748651726117616</v>
      </c>
      <c r="CC359" s="6">
        <f t="shared" ca="1" si="250"/>
        <v>-0.56619730049476491</v>
      </c>
      <c r="CD359" s="9">
        <f t="shared" si="251"/>
        <v>-2.7312038067746496</v>
      </c>
      <c r="CE359" s="9">
        <f t="shared" si="252"/>
        <v>11.26446340674867</v>
      </c>
      <c r="CF359" s="6">
        <f t="shared" si="253"/>
        <v>1.8086678721169966</v>
      </c>
      <c r="CG359" s="6"/>
      <c r="CH359" s="6"/>
      <c r="CI359" s="6"/>
      <c r="CJ359" s="1"/>
      <c r="CK359" s="6"/>
    </row>
    <row r="360" spans="55:89" x14ac:dyDescent="0.2">
      <c r="BC360">
        <v>6.2482787221396539</v>
      </c>
      <c r="BD360">
        <v>-12.012713544348335</v>
      </c>
      <c r="BE360">
        <v>15.157851934014044</v>
      </c>
      <c r="BF360" s="6">
        <f t="shared" si="240"/>
        <v>2.240952033934497</v>
      </c>
      <c r="BG360" s="6">
        <f t="shared" si="241"/>
        <v>4.0073266882051568</v>
      </c>
      <c r="BH360" s="6">
        <f t="shared" si="242"/>
        <v>0.80097196716413421</v>
      </c>
      <c r="BI360" s="6">
        <f t="shared" si="243"/>
        <v>0.80097196716413421</v>
      </c>
      <c r="BJ360">
        <v>-18.481097760535899</v>
      </c>
      <c r="BK360">
        <v>23.31977220617545</v>
      </c>
      <c r="BV360" s="38"/>
      <c r="BW360" s="6">
        <f t="shared" si="244"/>
        <v>6.0213859193803936</v>
      </c>
      <c r="BX360" s="9">
        <f t="shared" ca="1" si="245"/>
        <v>53.402663187636072</v>
      </c>
      <c r="BY360" s="9">
        <f t="shared" ca="1" si="246"/>
        <v>-9.5643351368729554</v>
      </c>
      <c r="BZ360" s="9">
        <f t="shared" ca="1" si="247"/>
        <v>-12.669978694093338</v>
      </c>
      <c r="CA360" s="6">
        <f t="shared" ca="1" si="248"/>
        <v>12.459878823703516</v>
      </c>
      <c r="CB360" s="6">
        <f t="shared" ca="1" si="249"/>
        <v>2.3645548629156337</v>
      </c>
      <c r="CC360" s="6">
        <f t="shared" ca="1" si="250"/>
        <v>-0.5648570731723177</v>
      </c>
      <c r="CD360" s="9">
        <f t="shared" si="251"/>
        <v>-2.6699786940933397</v>
      </c>
      <c r="CE360" s="9">
        <f t="shared" si="252"/>
        <v>11.459878823703516</v>
      </c>
      <c r="CF360" s="6">
        <f t="shared" si="253"/>
        <v>1.799697789743316</v>
      </c>
      <c r="CG360" s="6"/>
      <c r="CH360" s="6"/>
      <c r="CI360" s="6"/>
      <c r="CJ360" s="1"/>
      <c r="CK360" s="6"/>
    </row>
    <row r="361" spans="55:89" x14ac:dyDescent="0.2">
      <c r="BC361">
        <v>6.2657320146595969</v>
      </c>
      <c r="BD361">
        <v>-11.971675165753968</v>
      </c>
      <c r="BE361">
        <v>15.382113581198473</v>
      </c>
      <c r="BF361" s="6">
        <f t="shared" si="240"/>
        <v>2.232155735676101</v>
      </c>
      <c r="BG361" s="6">
        <f t="shared" si="241"/>
        <v>4.0335762789834959</v>
      </c>
      <c r="BH361" s="6">
        <f t="shared" si="242"/>
        <v>0.80976826542253022</v>
      </c>
      <c r="BI361" s="6">
        <f t="shared" si="243"/>
        <v>0.80976826542253022</v>
      </c>
      <c r="BJ361">
        <v>-18.417961793467644</v>
      </c>
      <c r="BK361">
        <v>23.664790124920728</v>
      </c>
      <c r="BV361" s="38"/>
      <c r="BW361" s="6">
        <f t="shared" si="244"/>
        <v>6.0388392119003367</v>
      </c>
      <c r="BX361" s="9">
        <f t="shared" ca="1" si="245"/>
        <v>53.462188550177963</v>
      </c>
      <c r="BY361" s="9">
        <f t="shared" ca="1" si="246"/>
        <v>-9.3676580735049466</v>
      </c>
      <c r="BZ361" s="9">
        <f t="shared" ca="1" si="247"/>
        <v>-12.610453331551447</v>
      </c>
      <c r="CA361" s="6">
        <f t="shared" ca="1" si="248"/>
        <v>12.656555887071525</v>
      </c>
      <c r="CB361" s="6">
        <f t="shared" ca="1" si="249"/>
        <v>2.3543698775538071</v>
      </c>
      <c r="CC361" s="6">
        <f t="shared" ca="1" si="250"/>
        <v>-0.56326138146348392</v>
      </c>
      <c r="CD361" s="9">
        <f t="shared" si="251"/>
        <v>-2.6104533315514491</v>
      </c>
      <c r="CE361" s="9">
        <f t="shared" si="252"/>
        <v>11.656555887071525</v>
      </c>
      <c r="CF361" s="6">
        <f t="shared" si="253"/>
        <v>1.7911084960903232</v>
      </c>
      <c r="CG361" s="6"/>
      <c r="CH361" s="6"/>
      <c r="CI361" s="6"/>
      <c r="CJ361" s="1"/>
      <c r="CK361" s="6"/>
    </row>
    <row r="362" spans="55:89" x14ac:dyDescent="0.2">
      <c r="BC362">
        <v>6.28318530717954</v>
      </c>
      <c r="BD362">
        <v>-11.931897788627278</v>
      </c>
      <c r="BE362">
        <v>15.609528286728199</v>
      </c>
      <c r="BF362" s="6">
        <f t="shared" si="240"/>
        <v>2.2234488797717953</v>
      </c>
      <c r="BG362" s="6">
        <f t="shared" si="241"/>
        <v>4.0597364274077448</v>
      </c>
      <c r="BH362" s="6">
        <f t="shared" si="242"/>
        <v>0.81847512132683609</v>
      </c>
      <c r="BI362" s="6">
        <f t="shared" si="243"/>
        <v>0.81847512132683609</v>
      </c>
      <c r="BJ362">
        <v>-18.356765828657352</v>
      </c>
      <c r="BK362">
        <v>24.014658902658766</v>
      </c>
      <c r="BV362" s="38"/>
      <c r="BW362" s="6">
        <f t="shared" si="244"/>
        <v>6.0562925044202798</v>
      </c>
      <c r="BX362" s="9">
        <f t="shared" ca="1" si="245"/>
        <v>53.520068483056065</v>
      </c>
      <c r="BY362" s="9">
        <f t="shared" ca="1" si="246"/>
        <v>-9.1696118156807565</v>
      </c>
      <c r="BZ362" s="9">
        <f t="shared" ca="1" si="247"/>
        <v>-12.552573398673346</v>
      </c>
      <c r="CA362" s="6">
        <f t="shared" ca="1" si="248"/>
        <v>12.854602144895715</v>
      </c>
      <c r="CB362" s="6">
        <f t="shared" ca="1" si="249"/>
        <v>2.3443075128306434</v>
      </c>
      <c r="CC362" s="6">
        <f t="shared" ca="1" si="250"/>
        <v>-0.56142592240531519</v>
      </c>
      <c r="CD362" s="9">
        <f t="shared" si="251"/>
        <v>-2.5525733986733474</v>
      </c>
      <c r="CE362" s="9">
        <f t="shared" si="252"/>
        <v>11.854602144895715</v>
      </c>
      <c r="CF362" s="6">
        <f t="shared" si="253"/>
        <v>1.7828815904253283</v>
      </c>
      <c r="CG362" s="6"/>
      <c r="CH362" s="6"/>
      <c r="CI362" s="6"/>
      <c r="CJ362" s="1"/>
      <c r="CK362" s="6"/>
    </row>
    <row r="363" spans="55:89" x14ac:dyDescent="0.2">
      <c r="BC363" s="6"/>
      <c r="BD363" s="6"/>
      <c r="BE363" s="6"/>
      <c r="BF363" s="6"/>
      <c r="BG363" s="6"/>
      <c r="BH363" s="6"/>
      <c r="BI363" s="6"/>
      <c r="BW363" s="6">
        <f t="shared" si="244"/>
        <v>6.0737457969402229</v>
      </c>
      <c r="BX363" s="9">
        <f t="shared" ca="1" si="245"/>
        <v>53.576353244269313</v>
      </c>
      <c r="BY363" s="9">
        <f t="shared" ca="1" si="246"/>
        <v>-8.9700857313167024</v>
      </c>
      <c r="BZ363" s="9">
        <f t="shared" ca="1" si="247"/>
        <v>-12.496288637460097</v>
      </c>
      <c r="CA363" s="6">
        <f t="shared" ca="1" si="248"/>
        <v>13.054128229259769</v>
      </c>
      <c r="CB363" s="6">
        <f t="shared" ca="1" si="249"/>
        <v>2.3343650623624783</v>
      </c>
      <c r="CC363" s="6">
        <f t="shared" ca="1" si="250"/>
        <v>-0.55936531753643881</v>
      </c>
      <c r="CD363" s="9">
        <f t="shared" si="251"/>
        <v>-2.4962886374600988</v>
      </c>
      <c r="CE363" s="9">
        <f t="shared" si="252"/>
        <v>12.054128229259769</v>
      </c>
      <c r="CF363" s="6">
        <f t="shared" si="253"/>
        <v>1.7749997448260395</v>
      </c>
      <c r="CG363" s="6"/>
      <c r="CH363" s="6"/>
      <c r="CI363" s="6"/>
      <c r="CJ363" s="1"/>
      <c r="CK363" s="6"/>
    </row>
    <row r="364" spans="55:89" x14ac:dyDescent="0.2">
      <c r="BC364" s="6"/>
      <c r="BD364" s="6"/>
      <c r="BE364" s="6"/>
      <c r="BF364" s="6"/>
      <c r="BG364" s="6"/>
      <c r="BH364" s="6"/>
      <c r="BI364" s="6"/>
      <c r="BW364" s="6">
        <f t="shared" si="244"/>
        <v>6.091199089460166</v>
      </c>
      <c r="BX364" s="9">
        <f t="shared" ca="1" si="245"/>
        <v>53.631089223860101</v>
      </c>
      <c r="BY364" s="9">
        <f t="shared" ca="1" si="246"/>
        <v>-8.7689658675002846</v>
      </c>
      <c r="BZ364" s="9">
        <f t="shared" ca="1" si="247"/>
        <v>-12.441552657869309</v>
      </c>
      <c r="CA364" s="6">
        <f t="shared" ca="1" si="248"/>
        <v>13.255248093076187</v>
      </c>
      <c r="CB364" s="6">
        <f t="shared" ca="1" si="249"/>
        <v>2.3245398244690278</v>
      </c>
      <c r="CC364" s="6">
        <f t="shared" ca="1" si="250"/>
        <v>-0.55709317385034995</v>
      </c>
      <c r="CD364" s="9">
        <f t="shared" si="251"/>
        <v>-2.4415526578693072</v>
      </c>
      <c r="CE364" s="9">
        <f t="shared" si="252"/>
        <v>12.255248093076187</v>
      </c>
      <c r="CF364" s="6">
        <f t="shared" si="253"/>
        <v>1.7674466506186779</v>
      </c>
      <c r="CG364" s="6"/>
      <c r="CH364" s="6"/>
      <c r="CI364" s="6"/>
      <c r="CJ364" s="1"/>
      <c r="CK364" s="6"/>
    </row>
    <row r="365" spans="55:89" x14ac:dyDescent="0.2">
      <c r="BW365" s="6">
        <f t="shared" si="244"/>
        <v>6.1086523819801091</v>
      </c>
      <c r="BX365" s="9">
        <f t="shared" ca="1" si="245"/>
        <v>53.684319100954134</v>
      </c>
      <c r="BY365" s="9">
        <f t="shared" ca="1" si="246"/>
        <v>-8.5661346954678965</v>
      </c>
      <c r="BZ365" s="9">
        <f t="shared" ca="1" si="247"/>
        <v>-12.388322780775276</v>
      </c>
      <c r="CA365" s="6">
        <f t="shared" ca="1" si="248"/>
        <v>13.458079265108575</v>
      </c>
      <c r="CB365" s="6">
        <f t="shared" ca="1" si="249"/>
        <v>2.3148291093837727</v>
      </c>
      <c r="CC365" s="6">
        <f t="shared" ca="1" si="250"/>
        <v>-0.55462214253785369</v>
      </c>
      <c r="CD365" s="9">
        <f t="shared" si="251"/>
        <v>-2.388322780775276</v>
      </c>
      <c r="CE365" s="9">
        <f t="shared" si="252"/>
        <v>12.458079265108575</v>
      </c>
      <c r="CF365" s="6">
        <f t="shared" si="253"/>
        <v>1.760206966845919</v>
      </c>
      <c r="CG365" s="6"/>
      <c r="CH365" s="6"/>
      <c r="CI365" s="6"/>
      <c r="CJ365" s="1"/>
      <c r="CK365" s="6"/>
    </row>
    <row r="366" spans="55:89" x14ac:dyDescent="0.2">
      <c r="BW366" s="6">
        <f t="shared" si="244"/>
        <v>6.1261056745000522</v>
      </c>
      <c r="BX366" s="9">
        <f t="shared" ca="1" si="245"/>
        <v>53.736081970302557</v>
      </c>
      <c r="BY366" s="9">
        <f t="shared" ca="1" si="246"/>
        <v>-8.3614708374124369</v>
      </c>
      <c r="BZ366" s="9">
        <f t="shared" ca="1" si="247"/>
        <v>-12.336559911426853</v>
      </c>
      <c r="CA366" s="6">
        <f t="shared" ca="1" si="248"/>
        <v>13.662743123164034</v>
      </c>
      <c r="CB366" s="6">
        <f t="shared" ca="1" si="249"/>
        <v>2.3052302461914724</v>
      </c>
      <c r="CC366" s="6">
        <f t="shared" ca="1" si="250"/>
        <v>-0.55196397544741949</v>
      </c>
      <c r="CD366" s="9">
        <f t="shared" si="251"/>
        <v>-2.3365599114268552</v>
      </c>
      <c r="CE366" s="9">
        <f t="shared" si="252"/>
        <v>12.662743123164034</v>
      </c>
      <c r="CF366" s="6">
        <f t="shared" si="253"/>
        <v>1.7532662707440529</v>
      </c>
      <c r="CG366" s="6"/>
      <c r="CH366" s="6"/>
      <c r="CI366" s="6"/>
      <c r="CJ366" s="1"/>
      <c r="CK366" s="6"/>
    </row>
    <row r="367" spans="55:89" x14ac:dyDescent="0.2">
      <c r="BW367" s="6">
        <f t="shared" si="244"/>
        <v>6.1435589670199953</v>
      </c>
      <c r="BX367" s="9">
        <f t="shared" ca="1" si="245"/>
        <v>53.786413459036616</v>
      </c>
      <c r="BY367" s="9">
        <f t="shared" ca="1" si="246"/>
        <v>-8.1548487769313098</v>
      </c>
      <c r="BZ367" s="9">
        <f t="shared" ca="1" si="247"/>
        <v>-12.286228422692794</v>
      </c>
      <c r="CA367" s="6">
        <f t="shared" ca="1" si="248"/>
        <v>13.869365183645161</v>
      </c>
      <c r="CB367" s="6">
        <f t="shared" ca="1" si="249"/>
        <v>2.2957405888838966</v>
      </c>
      <c r="CC367" s="6">
        <f t="shared" ca="1" si="250"/>
        <v>-0.54912957979123744</v>
      </c>
      <c r="CD367" s="9">
        <f t="shared" si="251"/>
        <v>-2.2862284226927923</v>
      </c>
      <c r="CE367" s="9">
        <f t="shared" si="252"/>
        <v>12.869365183645161</v>
      </c>
      <c r="CF367" s="6">
        <f t="shared" si="253"/>
        <v>1.7466110090926592</v>
      </c>
      <c r="CG367" s="6"/>
      <c r="CH367" s="6"/>
      <c r="CI367" s="6"/>
      <c r="CJ367" s="1"/>
      <c r="CK367" s="6"/>
    </row>
    <row r="368" spans="55:89" x14ac:dyDescent="0.2">
      <c r="BW368" s="6">
        <f t="shared" si="244"/>
        <v>6.1610122595399384</v>
      </c>
      <c r="BX368" s="9">
        <f t="shared" ca="1" si="245"/>
        <v>53.835345881120162</v>
      </c>
      <c r="BY368" s="9">
        <f t="shared" ca="1" si="246"/>
        <v>-7.9461385580945887</v>
      </c>
      <c r="BZ368" s="9">
        <f t="shared" ca="1" si="247"/>
        <v>-12.237296000609248</v>
      </c>
      <c r="CA368" s="6">
        <f t="shared" ca="1" si="248"/>
        <v>14.078075402481883</v>
      </c>
      <c r="CB368" s="6">
        <f t="shared" ca="1" si="249"/>
        <v>2.2863575199169341</v>
      </c>
      <c r="CC368" s="6">
        <f t="shared" ca="1" si="250"/>
        <v>-0.54612907253680065</v>
      </c>
      <c r="CD368" s="9">
        <f t="shared" si="251"/>
        <v>-2.2372960006092502</v>
      </c>
      <c r="CE368" s="9">
        <f t="shared" si="252"/>
        <v>13.078075402481883</v>
      </c>
      <c r="CF368" s="6">
        <f t="shared" si="253"/>
        <v>1.7402284473801335</v>
      </c>
      <c r="CG368" s="6"/>
      <c r="CH368" s="6"/>
      <c r="CI368" s="6"/>
      <c r="CJ368" s="1"/>
      <c r="CK368" s="6"/>
    </row>
    <row r="369" spans="75:89" x14ac:dyDescent="0.2">
      <c r="BW369" s="6">
        <f t="shared" si="244"/>
        <v>6.1784655520598815</v>
      </c>
      <c r="BX369" s="9">
        <f t="shared" ca="1" si="245"/>
        <v>53.88290827043086</v>
      </c>
      <c r="BY369" s="9">
        <f t="shared" ca="1" si="246"/>
        <v>-7.7352054480645123</v>
      </c>
      <c r="BZ369" s="9">
        <f t="shared" ca="1" si="247"/>
        <v>-12.18973361129855</v>
      </c>
      <c r="CA369" s="6">
        <f t="shared" ca="1" si="248"/>
        <v>14.289008512511959</v>
      </c>
      <c r="CB369" s="6">
        <f t="shared" ca="1" si="249"/>
        <v>2.2770784569319864</v>
      </c>
      <c r="CC369" s="6">
        <f t="shared" ca="1" si="250"/>
        <v>-0.54297182817877676</v>
      </c>
      <c r="CD369" s="9">
        <f t="shared" si="251"/>
        <v>-2.1897336112985517</v>
      </c>
      <c r="CE369" s="9">
        <f t="shared" si="252"/>
        <v>13.289008512511959</v>
      </c>
      <c r="CF369" s="6">
        <f t="shared" si="253"/>
        <v>1.7341066287532096</v>
      </c>
      <c r="CG369" s="6"/>
      <c r="CH369" s="6"/>
      <c r="CI369" s="6"/>
      <c r="CJ369" s="1"/>
      <c r="CK369" s="6"/>
    </row>
    <row r="370" spans="75:89" x14ac:dyDescent="0.2">
      <c r="BW370" s="6">
        <f t="shared" si="244"/>
        <v>6.1959188445798246</v>
      </c>
      <c r="BX370" s="9">
        <f t="shared" ca="1" si="245"/>
        <v>53.929126510506023</v>
      </c>
      <c r="BY370" s="9">
        <f t="shared" ca="1" si="246"/>
        <v>-7.5219095934018494</v>
      </c>
      <c r="BZ370" s="9">
        <f t="shared" ca="1" si="247"/>
        <v>-12.143515371223387</v>
      </c>
      <c r="CA370" s="6">
        <f t="shared" ca="1" si="248"/>
        <v>14.502304367174622</v>
      </c>
      <c r="CB370" s="6">
        <f t="shared" ca="1" si="249"/>
        <v>2.2679008550666224</v>
      </c>
      <c r="CC370" s="6">
        <f t="shared" ca="1" si="250"/>
        <v>-0.53966652823069505</v>
      </c>
      <c r="CD370" s="9">
        <f t="shared" si="251"/>
        <v>-2.1435153712233905</v>
      </c>
      <c r="CE370" s="9">
        <f t="shared" si="252"/>
        <v>13.502304367174622</v>
      </c>
      <c r="CF370" s="6">
        <f t="shared" si="253"/>
        <v>1.7282343268359275</v>
      </c>
      <c r="CG370" s="6"/>
      <c r="CH370" s="6"/>
      <c r="CI370" s="6"/>
      <c r="CJ370" s="1"/>
      <c r="CK370" s="6"/>
    </row>
    <row r="371" spans="75:89" x14ac:dyDescent="0.2">
      <c r="BW371" s="6">
        <f t="shared" si="244"/>
        <v>6.2133721370997677</v>
      </c>
      <c r="BX371" s="9">
        <f t="shared" ca="1" si="245"/>
        <v>53.974023326357106</v>
      </c>
      <c r="BY371" s="9">
        <f t="shared" ca="1" si="246"/>
        <v>-7.3061056344111428</v>
      </c>
      <c r="BZ371" s="9">
        <f t="shared" ca="1" si="247"/>
        <v>-12.098618555372305</v>
      </c>
      <c r="CA371" s="6">
        <f t="shared" ca="1" si="248"/>
        <v>14.718108326165328</v>
      </c>
      <c r="CB371" s="6">
        <f t="shared" ca="1" si="249"/>
        <v>2.2588222132101432</v>
      </c>
      <c r="CC371" s="6">
        <f t="shared" ca="1" si="250"/>
        <v>-0.53622120362038916</v>
      </c>
      <c r="CD371" s="9">
        <f t="shared" si="251"/>
        <v>-2.0986185553723065</v>
      </c>
      <c r="CE371" s="9">
        <f t="shared" si="252"/>
        <v>13.718108326165328</v>
      </c>
      <c r="CF371" s="6">
        <f t="shared" si="253"/>
        <v>1.7226010095897539</v>
      </c>
      <c r="CG371" s="6"/>
      <c r="CH371" s="6"/>
      <c r="CI371" s="6"/>
      <c r="CJ371" s="1"/>
      <c r="CK371" s="6"/>
    </row>
    <row r="372" spans="75:89" x14ac:dyDescent="0.2">
      <c r="BW372" s="6">
        <f t="shared" si="244"/>
        <v>6.2308254296197108</v>
      </c>
      <c r="BX372" s="9">
        <f t="shared" ca="1" si="245"/>
        <v>54.017618397896136</v>
      </c>
      <c r="BY372" s="9">
        <f t="shared" ca="1" si="246"/>
        <v>-7.0876423116346228</v>
      </c>
      <c r="BZ372" s="9">
        <f t="shared" ca="1" si="247"/>
        <v>-12.055023483833274</v>
      </c>
      <c r="CA372" s="6">
        <f t="shared" ca="1" si="248"/>
        <v>14.936571648941849</v>
      </c>
      <c r="CB372" s="6">
        <f t="shared" ca="1" si="249"/>
        <v>2.2498400750161798</v>
      </c>
      <c r="CC372" s="6">
        <f t="shared" ca="1" si="250"/>
        <v>-0.53264327941000245</v>
      </c>
      <c r="CD372" s="9">
        <f t="shared" si="251"/>
        <v>-2.0550234838332759</v>
      </c>
      <c r="CE372" s="9">
        <f t="shared" si="252"/>
        <v>13.936571648941849</v>
      </c>
      <c r="CF372" s="6">
        <f t="shared" si="253"/>
        <v>1.7171967956061773</v>
      </c>
      <c r="CG372" s="6"/>
      <c r="CH372" s="6"/>
      <c r="CI372" s="6"/>
      <c r="CJ372" s="1"/>
      <c r="CK372" s="6"/>
    </row>
    <row r="373" spans="75:89" x14ac:dyDescent="0.2">
      <c r="BW373" s="6">
        <f t="shared" si="244"/>
        <v>6.2482787221396539</v>
      </c>
      <c r="BX373" s="9">
        <f t="shared" ca="1" si="245"/>
        <v>54.059928337381074</v>
      </c>
      <c r="BY373" s="9">
        <f t="shared" ca="1" si="246"/>
        <v>-6.8663620265624274</v>
      </c>
      <c r="BZ373" s="9">
        <f t="shared" ca="1" si="247"/>
        <v>-12.012713544348337</v>
      </c>
      <c r="CA373" s="6">
        <f t="shared" ca="1" si="248"/>
        <v>15.157851934014044</v>
      </c>
      <c r="CB373" s="6">
        <f t="shared" ca="1" si="249"/>
        <v>2.240952033934497</v>
      </c>
      <c r="CC373" s="6">
        <f t="shared" ca="1" si="250"/>
        <v>-0.52893961272874068</v>
      </c>
      <c r="CD373" s="9">
        <f t="shared" si="251"/>
        <v>-2.012713544348335</v>
      </c>
      <c r="CE373" s="9">
        <f t="shared" si="252"/>
        <v>14.157851934014044</v>
      </c>
      <c r="CF373" s="6">
        <f t="shared" si="253"/>
        <v>1.7120124212057564</v>
      </c>
      <c r="CG373" s="6"/>
      <c r="CH373" s="6"/>
      <c r="CI373" s="6"/>
      <c r="CJ373" s="1"/>
      <c r="CK373" s="6"/>
    </row>
    <row r="374" spans="75:89" x14ac:dyDescent="0.2">
      <c r="BW374" s="6">
        <f t="shared" si="244"/>
        <v>6.2657320146595969</v>
      </c>
      <c r="BX374" s="9">
        <f t="shared" ca="1" si="245"/>
        <v>54.100966715975446</v>
      </c>
      <c r="BY374" s="9">
        <f t="shared" ca="1" si="246"/>
        <v>-6.6421003793779985</v>
      </c>
      <c r="BZ374" s="9">
        <f t="shared" ca="1" si="247"/>
        <v>-11.971675165753965</v>
      </c>
      <c r="CA374" s="6">
        <f t="shared" ca="1" si="248"/>
        <v>15.382113581198473</v>
      </c>
      <c r="CB374" s="6">
        <f t="shared" ca="1" si="249"/>
        <v>2.232155735676101</v>
      </c>
      <c r="CC374" s="6">
        <f t="shared" ca="1" si="250"/>
        <v>-0.52511653054481289</v>
      </c>
      <c r="CD374" s="9">
        <f t="shared" si="251"/>
        <v>-1.9716751657539682</v>
      </c>
      <c r="CE374" s="9">
        <f t="shared" si="252"/>
        <v>14.382113581198473</v>
      </c>
      <c r="CF374" s="6">
        <f t="shared" si="253"/>
        <v>1.7070392051312882</v>
      </c>
      <c r="CG374" s="6"/>
      <c r="CH374" s="6"/>
      <c r="CI374" s="6"/>
      <c r="CJ374" s="1"/>
      <c r="CK374" s="6"/>
    </row>
    <row r="375" spans="75:89" x14ac:dyDescent="0.2">
      <c r="BW375" s="6">
        <f t="shared" si="244"/>
        <v>6.28318530717954</v>
      </c>
      <c r="BX375" s="9">
        <f t="shared" ca="1" si="245"/>
        <v>54.140744093102128</v>
      </c>
      <c r="BY375" s="9">
        <f t="shared" ca="1" si="246"/>
        <v>-6.4146856738482718</v>
      </c>
      <c r="BZ375" s="9">
        <f t="shared" ca="1" si="247"/>
        <v>-11.931897788627282</v>
      </c>
      <c r="CA375" s="6">
        <f t="shared" ca="1" si="248"/>
        <v>15.609528286728199</v>
      </c>
      <c r="CB375" s="6">
        <f t="shared" ca="1" si="249"/>
        <v>2.2234488797717953</v>
      </c>
      <c r="CC375" s="6">
        <f t="shared" ca="1" si="250"/>
        <v>-0.52117986552775819</v>
      </c>
      <c r="CD375" s="9">
        <f t="shared" si="251"/>
        <v>-1.9318977886272783</v>
      </c>
      <c r="CE375" s="9">
        <f t="shared" si="252"/>
        <v>14.609528286728199</v>
      </c>
      <c r="CF375" s="6">
        <f t="shared" si="253"/>
        <v>1.7022690142440371</v>
      </c>
      <c r="CG375" s="6"/>
      <c r="CH375" s="6"/>
      <c r="CI375" s="6"/>
      <c r="CJ375" s="1"/>
      <c r="CK375" s="6"/>
    </row>
    <row r="376" spans="75:89" x14ac:dyDescent="0.2">
      <c r="BW376" s="6"/>
    </row>
    <row r="377" spans="75:89" x14ac:dyDescent="0.2">
      <c r="BW377" s="6"/>
    </row>
    <row r="378" spans="75:89" x14ac:dyDescent="0.2">
      <c r="BW378" s="6"/>
    </row>
  </sheetData>
  <phoneticPr fontId="3" type="noConversion"/>
  <dataValidations disablePrompts="1" count="4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50800</xdr:colOff>
                    <xdr:row>3</xdr:row>
                    <xdr:rowOff>12700</xdr:rowOff>
                  </from>
                  <to>
                    <xdr:col>9</xdr:col>
                    <xdr:colOff>190500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63500</xdr:colOff>
                    <xdr:row>8</xdr:row>
                    <xdr:rowOff>25400</xdr:rowOff>
                  </from>
                  <to>
                    <xdr:col>9</xdr:col>
                    <xdr:colOff>203200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292100</xdr:colOff>
                    <xdr:row>24</xdr:row>
                    <xdr:rowOff>88900</xdr:rowOff>
                  </from>
                  <to>
                    <xdr:col>20</xdr:col>
                    <xdr:colOff>800100</xdr:colOff>
                    <xdr:row>27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292100</xdr:colOff>
                    <xdr:row>2</xdr:row>
                    <xdr:rowOff>88900</xdr:rowOff>
                  </from>
                  <to>
                    <xdr:col>31</xdr:col>
                    <xdr:colOff>177800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</cp:lastModifiedBy>
  <dcterms:created xsi:type="dcterms:W3CDTF">2020-11-07T15:23:03Z</dcterms:created>
  <dcterms:modified xsi:type="dcterms:W3CDTF">2020-11-15T00:26:46Z</dcterms:modified>
</cp:coreProperties>
</file>